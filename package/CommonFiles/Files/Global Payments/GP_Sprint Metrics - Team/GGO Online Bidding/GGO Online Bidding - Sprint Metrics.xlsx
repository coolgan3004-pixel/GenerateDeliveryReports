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calcChain.xml" ContentType="application/vnd.openxmlformats-officedocument.spreadsheetml.calcChain+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xr:revisionPtr revIDLastSave="22476" documentId="11_EF21DF46856BAED68D490EFDE3826CDCAA1F8DD4" xr6:coauthVersionLast="47" xr6:coauthVersionMax="47" xr10:uidLastSave="{30728830-4F1C-453F-8C63-DA5FD6E31B90}"/>
  <bookViews>
    <workbookView xWindow="0" yWindow="0" windowWidth="0" windowHeight="0" xr2:uid="{00000000-000D-0000-FFFF-FFFF00000000}"/>
  </bookViews>
  <sheets>
    <sheet name="Dashboard" sheetId="1" r:id="rId1"/>
    <sheet name="Unplanned Leaves" sheetId="142" r:id="rId2"/>
    <sheet name="OB-OP 8.6.0 Sprint 4-Status" sheetId="155" r:id="rId3"/>
    <sheet name="OB-OP 8.6.0 Sprint 4-Defect" sheetId="156" r:id="rId4"/>
    <sheet name="OB-OP 8.6.0 Sprint 3-Status" sheetId="153" r:id="rId5"/>
    <sheet name="OB-OP 8.6.0 Sprint 3-Defect " sheetId="154" r:id="rId6"/>
    <sheet name="OB-OP 8.6.0 Sprint 2-Status" sheetId="151" r:id="rId7"/>
    <sheet name="OB-OP 8.6.0 Sprint 2-Defect" sheetId="152" r:id="rId8"/>
    <sheet name="OB-OP 8.6.0 Sprint 1-Status" sheetId="149" r:id="rId9"/>
    <sheet name="OB-OP 8.6.0 Sprint 1-Defect" sheetId="150" r:id="rId10"/>
    <sheet name="OB-OP 8.5 Sprint 4-Status" sheetId="147" r:id="rId11"/>
    <sheet name="OB-OP 8.5 Sprint 4-Defect" sheetId="148" r:id="rId12"/>
    <sheet name="OB-OP 8.5 Sprint 3-Status" sheetId="145" r:id="rId13"/>
    <sheet name="OB-OP 8.5 Sprint 3-Defect" sheetId="146" r:id="rId14"/>
    <sheet name="OB-OP 8.5 Sprint 2-Status" sheetId="143" r:id="rId15"/>
    <sheet name="OB-OP 8.5 Sprint 2-Defect" sheetId="144" r:id="rId16"/>
    <sheet name="OB-OP 8.5 Sprint 1-Status" sheetId="140" r:id="rId17"/>
    <sheet name="OB-OP 8.5 Sprint 1-Defect" sheetId="141" r:id="rId18"/>
    <sheet name="OB-OP 8.4 Sprint 4-Status" sheetId="138" r:id="rId19"/>
    <sheet name="OB-OP 8.4 Sprint 4-Defect" sheetId="139" r:id="rId20"/>
    <sheet name="OB-OP 8.4 Sprint 2-Status " sheetId="136" r:id="rId21"/>
    <sheet name="OB-OP 8.4 Sprint 2-Defect " sheetId="137" r:id="rId22"/>
    <sheet name="OB-OP 8.4 Sprint 1-Status " sheetId="134" r:id="rId23"/>
    <sheet name="OB-OP 8.4 Sprint 1-Defect" sheetId="135" r:id="rId24"/>
    <sheet name="OB-OP 8.3 Sprint 4-Status" sheetId="132" r:id="rId25"/>
    <sheet name="OB-OP 8.3 Sprint 4-Defect" sheetId="133" r:id="rId26"/>
    <sheet name="OB-OP 8.3 Sprint 3-Status" sheetId="130" r:id="rId27"/>
    <sheet name="OB-OP 8.3 Sprint 3-Defect" sheetId="131" r:id="rId28"/>
    <sheet name="OB-OP 8.3 Sprint 2-Status" sheetId="127" r:id="rId29"/>
    <sheet name="OB-OP 8.3 Sprint 2-Defect" sheetId="128" r:id="rId30"/>
    <sheet name="OB-OP 8.3 Sprint 1-Status" sheetId="124" r:id="rId31"/>
    <sheet name="OB-OP 8.3 Sprint 1-Defect" sheetId="125" r:id="rId32"/>
    <sheet name="OB-OP 8.2 Sprint 4-Status" sheetId="121" r:id="rId33"/>
    <sheet name="OB-OP 8.2 Sprint-4-Defect" sheetId="122" r:id="rId34"/>
    <sheet name="OB-OP 8.2 Sprint 3-Status" sheetId="118" r:id="rId35"/>
    <sheet name="OB-OP 8.2 Sprint-3-Defect" sheetId="119" r:id="rId36"/>
    <sheet name="OB-OP 8.2 Sprint 2-Status" sheetId="115" r:id="rId37"/>
    <sheet name="OB-OP 8.2 Sprint-2-Defect" sheetId="116" r:id="rId38"/>
    <sheet name="OB-OP 8.2 Sprint 1-Status" sheetId="112" r:id="rId39"/>
    <sheet name="OB-OP 8.2 Sprint-1-Defect" sheetId="113" r:id="rId40"/>
    <sheet name="OB-OP 8.1 Sprint 4-Status" sheetId="109" r:id="rId41"/>
    <sheet name="OB-OP 8.1 Sprint-4-Defect" sheetId="110" r:id="rId42"/>
    <sheet name="OB-OP 8.1 Sprint 3-Status" sheetId="106" r:id="rId43"/>
    <sheet name="OB-OP 8.1 Sprint-3-Defect" sheetId="107" r:id="rId44"/>
    <sheet name="OB-OP 8.1 Sprint 2-Status" sheetId="103" r:id="rId45"/>
    <sheet name="OB-OP 8.1 Sprint-2-Defect" sheetId="104" r:id="rId46"/>
    <sheet name="OB-OP 8.1 Sprint 1-Status" sheetId="100" r:id="rId47"/>
    <sheet name="OB-OP 8.1 Sprint-1-Defect" sheetId="101" r:id="rId48"/>
    <sheet name="OB-OP 8.0 Sprint 4-Status" sheetId="97" r:id="rId49"/>
    <sheet name="OB-OP 8.0 Sprint-4-Defect" sheetId="98" r:id="rId50"/>
    <sheet name="OB-OP 8.0 Sprint 3-Status" sheetId="94" r:id="rId51"/>
    <sheet name="OB-OP 8.0 Sprint-3-Defect" sheetId="95" r:id="rId52"/>
    <sheet name="OB-OP 8.0 Sprint 2-Status" sheetId="91" r:id="rId53"/>
    <sheet name="OB-OP 8.0 Sprint-2-Defect" sheetId="92" r:id="rId54"/>
    <sheet name="OB-OP a7.14.0 Sprint 1-Status" sheetId="88" r:id="rId55"/>
    <sheet name="OB-OP a7.14.0 Sprint-1-Defect" sheetId="89" r:id="rId56"/>
    <sheet name="OB-OP 8.5.0 Sprint 4-Status" sheetId="85" r:id="rId57"/>
    <sheet name="OB-OP 8.5.0 Sprint-4-Defect" sheetId="86" r:id="rId58"/>
    <sheet name="OB-OP 8.5.0 Sprint 3-Status" sheetId="82" r:id="rId59"/>
    <sheet name="OB-OP 8.5.0 Sprint-3-Defect" sheetId="83" r:id="rId60"/>
    <sheet name="OB-OP 8.5.0 Sprint 2-Status" sheetId="79" r:id="rId61"/>
    <sheet name="OB-OP 8.5.0 Sprint-2-Defect" sheetId="80" r:id="rId62"/>
    <sheet name="OB-OP 8.5.0 Sprint 1-Status" sheetId="76" r:id="rId63"/>
    <sheet name="OB-OP 8.5.0 Sprint-1-Defect" sheetId="77" r:id="rId64"/>
    <sheet name="OB-OP 8.4.0 Sprint 4-Status" sheetId="73" r:id="rId65"/>
    <sheet name="OB-OP 8.4.0 Sprint-4-Defect" sheetId="74" r:id="rId66"/>
    <sheet name="OB-OP 8.4.0 Sprint 3-Status" sheetId="70" r:id="rId67"/>
    <sheet name="OB-OP 8.4.0 Sprint-3-Defect" sheetId="71" r:id="rId68"/>
    <sheet name="OB-OP 8.4.0 Sprint 2-Status" sheetId="66" r:id="rId69"/>
    <sheet name="OB-OP 8.4.0 Sprint-2-Defect" sheetId="65" r:id="rId70"/>
    <sheet name="OB-OP 8.4.0 Sprint 1-Status" sheetId="61" r:id="rId71"/>
    <sheet name="OB-OP 8.4.0 Sprint 1-Defect" sheetId="62" r:id="rId72"/>
    <sheet name="OB-OP 8.3.0 Sprint 4-Status" sheetId="58" r:id="rId73"/>
    <sheet name="OB-OP 8.3.0 Sprint 4-Defect" sheetId="59" r:id="rId74"/>
    <sheet name="OB-OP 8.3.0 Sprint 3-Status" sheetId="55" r:id="rId75"/>
    <sheet name="OB-OP 8.3.0 Sprint 3-Defect" sheetId="56" r:id="rId76"/>
    <sheet name="OBOP 8.3.0 Sprint 2-Status" sheetId="52" r:id="rId77"/>
    <sheet name="OBOP 8.3.0 Sprint 2-Defect" sheetId="51" r:id="rId78"/>
    <sheet name="8.3.0 Sprint 1 - CRC" sheetId="48" r:id="rId79"/>
    <sheet name="8.3.0 Sprint 1 - Defect" sheetId="49" r:id="rId80"/>
    <sheet name="8.2.0 Sprint 4 - CRC" sheetId="46" r:id="rId81"/>
    <sheet name="8.2.0 Sprint 4 - Defect" sheetId="47" r:id="rId82"/>
    <sheet name="8.2.0 Sprint 3 - CRC" sheetId="44" r:id="rId83"/>
    <sheet name="8.2.0 Sprint 3 - Defect" sheetId="45" r:id="rId84"/>
    <sheet name="8.2.0 Sprint 2 - CRC" sheetId="42" r:id="rId85"/>
    <sheet name="8.2.0 Sprint 2 - Defect" sheetId="43" r:id="rId86"/>
    <sheet name="8.2.0 Sprint 1 - CRC" sheetId="41" r:id="rId87"/>
    <sheet name="8.2.0 Sprint 1 - Defect" sheetId="40" r:id="rId88"/>
    <sheet name="7.12.0 Sprint 4 - Defect" sheetId="38" r:id="rId89"/>
    <sheet name="7.12.0 Sprint 3 - CRC " sheetId="35" r:id="rId90"/>
    <sheet name="7.12.0 Sprint 4 - CRC" sheetId="37" r:id="rId91"/>
    <sheet name="7.14.0 Sprint 3 - Defect" sheetId="36" r:id="rId92"/>
    <sheet name="7.14.0 Sprint 2 - CRC " sheetId="33" r:id="rId93"/>
    <sheet name="7.14.0 Sprint 2 - Defect" sheetId="34" r:id="rId94"/>
    <sheet name="7.14.0 Sprint 1 - CRC" sheetId="31" r:id="rId95"/>
    <sheet name="7.13.1 Sprint 4 - CRC " sheetId="29" r:id="rId96"/>
    <sheet name="7.13.1 Sprint 4 - Defect" sheetId="30" r:id="rId97"/>
    <sheet name="7.14.0 Sprint 1 - Defect" sheetId="32" r:id="rId98"/>
    <sheet name="7.13.1 Sprint 3 - CRC" sheetId="27" r:id="rId99"/>
    <sheet name="7.13.1 Sprint 3 - Defect " sheetId="28" r:id="rId100"/>
    <sheet name="7.13.1 Sprint 2 - CRC  " sheetId="25" r:id="rId101"/>
    <sheet name="7.13.1 Sprint 2 - Defect" sheetId="26" r:id="rId102"/>
    <sheet name="7.13.1 Sprint 1 - CRC  " sheetId="23" r:id="rId103"/>
    <sheet name="7.13.1 Sprint 1 - Defect " sheetId="24" r:id="rId104"/>
    <sheet name="7.12.0 Sprint 4 - Defect " sheetId="22" r:id="rId105"/>
    <sheet name="7.12.0 Sprint 4 - CRC " sheetId="21" r:id="rId106"/>
    <sheet name="7.12.0 Sprint 3 - CRC" sheetId="18" r:id="rId107"/>
    <sheet name="Sheet1" sheetId="54" r:id="rId108"/>
    <sheet name="7.12.0 Sprint 3 - Defect" sheetId="19" r:id="rId109"/>
    <sheet name="7.12.0 Sprint 2 - CRC" sheetId="16" r:id="rId110"/>
    <sheet name="7.12.0 Sprint 2 - Defect" sheetId="17" r:id="rId111"/>
    <sheet name="7.12.0 Sprint 1 - CRC" sheetId="14" r:id="rId112"/>
    <sheet name="7.12.0 Sprint 1 - Defect" sheetId="15" r:id="rId113"/>
    <sheet name="7.11.0 Sprint 4 - CRC " sheetId="10" r:id="rId114"/>
    <sheet name="7.11.0 Sprint 3 - CRC" sheetId="7" r:id="rId115"/>
    <sheet name="7.11.0 Sprint 4 - Defect" sheetId="13" r:id="rId116"/>
    <sheet name="Checklist" sheetId="4" state="hidden" r:id="rId117"/>
    <sheet name="Details" sheetId="5" state="hidden" r:id="rId118"/>
    <sheet name="7.11.0 Sprint 1&amp;2 - CRC" sheetId="6" r:id="rId119"/>
    <sheet name="7.11.0 Sprint 3 - Defect" sheetId="9" r:id="rId120"/>
    <sheet name="7.11.0 Sprint 1&amp;2 - Defect" sheetId="8" r:id="rId121"/>
    <sheet name="7.10.0 Sprint 4 - CRC" sheetId="2" r:id="rId122"/>
    <sheet name="7.10.0 Sprint 4 - Defect" sheetId="3" r:id="rId123"/>
    <sheet name="Settings" sheetId="68" r:id="rId124"/>
    <sheet name="ExportData" sheetId="129" r:id="rId125"/>
  </sheets>
  <definedNames>
    <definedName name="_xlnm._FilterDatabase" localSheetId="84" hidden="1">'8.2.0 Sprint 2 - CRC'!$A$2:$X$7</definedName>
    <definedName name="_xlnm._FilterDatabase" localSheetId="82" hidden="1">'8.2.0 Sprint 3 - CRC'!$A$2:$X$8</definedName>
    <definedName name="_xlnm._FilterDatabase" localSheetId="80" hidden="1">'8.2.0 Sprint 4 - CRC'!$A$2:$X$8</definedName>
    <definedName name="_xlnm._FilterDatabase" localSheetId="78" hidden="1">'8.3.0 Sprint 1 - CRC'!$A$2:$X$8</definedName>
    <definedName name="_xlnm._FilterDatabase" localSheetId="52" hidden="1">'OBOP 8.3.0 Sprint 2-Status'!$A$1:$X$7</definedName>
    <definedName name="_xlnm._FilterDatabase" localSheetId="50" hidden="1">'OBOP 8.3.0 Sprint 2-Status'!$A$1:$X$7</definedName>
    <definedName name="_xlnm._FilterDatabase" localSheetId="48" hidden="1">'OBOP 8.3.0 Sprint 2-Status'!$A$1:$X$7</definedName>
    <definedName name="_xlnm._FilterDatabase" localSheetId="53" hidden="1">'OB-OP 8.0 Sprint-2-Defect'!$A$1:$M$1</definedName>
    <definedName name="_xlnm._FilterDatabase" localSheetId="51" hidden="1">'OB-OP 8.0 Sprint-3-Defect'!$A$1:$M$1</definedName>
    <definedName name="_xlnm._FilterDatabase" localSheetId="49" hidden="1">'OB-OP 8.0 Sprint-4-Defect'!$A$1:$M$1</definedName>
    <definedName name="_xlnm._FilterDatabase" localSheetId="46" hidden="1">'OBOP 8.3.0 Sprint 2-Status'!$A$1:$X$7</definedName>
    <definedName name="_xlnm._FilterDatabase" localSheetId="44" hidden="1">'OBOP 8.3.0 Sprint 2-Status'!$A$1:$X$7</definedName>
    <definedName name="_xlnm._FilterDatabase" localSheetId="42" hidden="1">'OBOP 8.3.0 Sprint 2-Status'!$A$1:$X$7</definedName>
    <definedName name="_xlnm._FilterDatabase" localSheetId="40" hidden="1">'OBOP 8.3.0 Sprint 2-Status'!$A$1:$X$7</definedName>
    <definedName name="_xlnm._FilterDatabase" localSheetId="47" hidden="1">'OB-OP 8.1 Sprint-1-Defect'!$A$1:$M$1</definedName>
    <definedName name="_xlnm._FilterDatabase" localSheetId="45" hidden="1">'OB-OP 8.1 Sprint-2-Defect'!$A$1:$M$1</definedName>
    <definedName name="_xlnm._FilterDatabase" localSheetId="43" hidden="1">'OB-OP 8.1 Sprint-3-Defect'!$A$1:$M$1</definedName>
    <definedName name="_xlnm._FilterDatabase" localSheetId="41" hidden="1">'OB-OP 8.1 Sprint-4-Defect'!$A$1:$M$1</definedName>
    <definedName name="_xlnm._FilterDatabase" localSheetId="38" hidden="1">'OBOP 8.3.0 Sprint 2-Status'!$A$1:$X$7</definedName>
    <definedName name="_xlnm._FilterDatabase" localSheetId="36" hidden="1">'OBOP 8.3.0 Sprint 2-Status'!$A$1:$X$7</definedName>
    <definedName name="_xlnm._FilterDatabase" localSheetId="34" hidden="1">'OBOP 8.3.0 Sprint 2-Status'!$A$1:$X$7</definedName>
    <definedName name="_xlnm._FilterDatabase" localSheetId="32" hidden="1">'OBOP 8.3.0 Sprint 2-Status'!$A$1:$X$7</definedName>
    <definedName name="_xlnm._FilterDatabase" localSheetId="39" hidden="1">'OB-OP 8.2 Sprint-1-Defect'!$A$1:$M$1</definedName>
    <definedName name="_xlnm._FilterDatabase" localSheetId="37" hidden="1">'OB-OP 8.2 Sprint-2-Defect'!$A$1:$M$1</definedName>
    <definedName name="_xlnm._FilterDatabase" localSheetId="35" hidden="1">'OB-OP 8.2 Sprint-3-Defect'!$A$1:$M$1</definedName>
    <definedName name="_xlnm._FilterDatabase" localSheetId="33" hidden="1">'OB-OP 8.2 Sprint-4-Defect'!$A$1:$M$1</definedName>
    <definedName name="_xlnm._FilterDatabase" localSheetId="31" hidden="1">'OB-OP 8.3 Sprint 1-Defect'!$A$1:$M$1</definedName>
    <definedName name="_xlnm._FilterDatabase" localSheetId="30" hidden="1">'OBOP 8.3.0 Sprint 2-Status'!$A$1:$X$7</definedName>
    <definedName name="_xlnm._FilterDatabase" localSheetId="29" hidden="1">'OB-OP 8.3 Sprint 2-Defect'!$A$1:$M$1</definedName>
    <definedName name="_xlnm._FilterDatabase" localSheetId="28" hidden="1">'OBOP 8.3.0 Sprint 2-Status'!$A$1:$X$7</definedName>
    <definedName name="_xlnm._FilterDatabase" localSheetId="27" hidden="1">'OB-OP 8.3 Sprint 3-Defect'!$A$1:$M$1</definedName>
    <definedName name="_xlnm._FilterDatabase" localSheetId="26" hidden="1">'OBOP 8.3.0 Sprint 2-Status'!$A$1:$X$7</definedName>
    <definedName name="_xlnm._FilterDatabase" localSheetId="25" hidden="1">'OB-OP 8.3 Sprint 4-Defect'!$A$1:$M$1</definedName>
    <definedName name="_xlnm._FilterDatabase" localSheetId="24" hidden="1">'OBOP 8.3.0 Sprint 2-Status'!$A$1:$X$7</definedName>
    <definedName name="_xlnm._FilterDatabase" localSheetId="76" hidden="1">'OBOP 8.3.0 Sprint 2-Status'!$A$1:$X$7</definedName>
    <definedName name="_xlnm._FilterDatabase" localSheetId="74" hidden="1">'OBOP 8.3.0 Sprint 2-Status'!$A$1:$X$7</definedName>
    <definedName name="_xlnm._FilterDatabase" localSheetId="72" hidden="1">'OBOP 8.3.0 Sprint 2-Status'!$A$1:$X$7</definedName>
    <definedName name="_xlnm._FilterDatabase" localSheetId="23" hidden="1">'OB-OP 8.4 Sprint 1-Defect'!$A$1:$M$1</definedName>
    <definedName name="_xlnm._FilterDatabase" localSheetId="22" hidden="1">'OBOP 8.3.0 Sprint 2-Status'!$A$1:$X$7</definedName>
    <definedName name="_xlnm._FilterDatabase" localSheetId="21" hidden="1">'OB-OP 8.4 Sprint 2-Defect '!$A$1:$M$1</definedName>
    <definedName name="_xlnm._FilterDatabase" localSheetId="20" hidden="1">'OBOP 8.3.0 Sprint 2-Status'!$A$1:$X$7</definedName>
    <definedName name="_xlnm._FilterDatabase" localSheetId="19" hidden="1">'OB-OP 8.4 Sprint 4-Defect'!$A$1:$M$1</definedName>
    <definedName name="_xlnm._FilterDatabase" localSheetId="18" hidden="1">'OBOP 8.3.0 Sprint 2-Status'!$A$1:$X$7</definedName>
    <definedName name="_xlnm._FilterDatabase" localSheetId="70" hidden="1">'OBOP 8.3.0 Sprint 2-Status'!$A$1:$X$7</definedName>
    <definedName name="_xlnm._FilterDatabase" localSheetId="68" hidden="1">'OBOP 8.3.0 Sprint 2-Status'!$A$1:$X$7</definedName>
    <definedName name="_xlnm._FilterDatabase" localSheetId="66" hidden="1">'OBOP 8.3.0 Sprint 2-Status'!$A$1:$X$7</definedName>
    <definedName name="_xlnm._FilterDatabase" localSheetId="64" hidden="1">'OBOP 8.3.0 Sprint 2-Status'!$A$1:$X$7</definedName>
    <definedName name="_xlnm._FilterDatabase" localSheetId="17" hidden="1">'OB-OP 8.5 Sprint 1-Defect'!$A$1:$M$1</definedName>
    <definedName name="_xlnm._FilterDatabase" localSheetId="16" hidden="1">'OBOP 8.3.0 Sprint 2-Status'!$A$1:$X$7</definedName>
    <definedName name="_xlnm._FilterDatabase" localSheetId="15" hidden="1">'OB-OP 8.5 Sprint 2-Defect'!$A$1:$M$1</definedName>
    <definedName name="_xlnm._FilterDatabase" localSheetId="14" hidden="1">'OBOP 8.3.0 Sprint 2-Status'!$A$1:$X$7</definedName>
    <definedName name="_xlnm._FilterDatabase" localSheetId="13" hidden="1">'OB-OP 8.5 Sprint 3-Defect'!$A$1:$M$1</definedName>
    <definedName name="_xlnm._FilterDatabase" localSheetId="12" hidden="1">'OBOP 8.3.0 Sprint 2-Status'!$A$1:$X$7</definedName>
    <definedName name="_xlnm._FilterDatabase" localSheetId="11" hidden="1">'OB-OP 8.5 Sprint 4-Defect'!$A$1:$M$1</definedName>
    <definedName name="_xlnm._FilterDatabase" localSheetId="10" hidden="1">'OBOP 8.3.0 Sprint 2-Status'!$A$1:$X$7</definedName>
    <definedName name="_xlnm._FilterDatabase" localSheetId="62" hidden="1">'OBOP 8.3.0 Sprint 2-Status'!$A$1:$X$7</definedName>
    <definedName name="_xlnm._FilterDatabase" localSheetId="60" hidden="1">'OBOP 8.3.0 Sprint 2-Status'!$A$1:$X$7</definedName>
    <definedName name="_xlnm._FilterDatabase" localSheetId="58" hidden="1">'OBOP 8.3.0 Sprint 2-Status'!$A$1:$X$7</definedName>
    <definedName name="_xlnm._FilterDatabase" localSheetId="56" hidden="1">'OBOP 8.3.0 Sprint 2-Status'!$A$1:$X$7</definedName>
    <definedName name="_xlnm._FilterDatabase" localSheetId="57" hidden="1">'OB-OP 8.5.0 Sprint-4-Defect'!$A$1:$M$1</definedName>
    <definedName name="_xlnm._FilterDatabase" localSheetId="9" hidden="1">'OB-OP 8.6.0 Sprint 1-Defect'!$A$1:$M$1</definedName>
    <definedName name="_xlnm._FilterDatabase" localSheetId="8" hidden="1">'OBOP 8.3.0 Sprint 2-Status'!$A$1:$X$7</definedName>
    <definedName name="_xlnm._FilterDatabase" localSheetId="7" hidden="1">'OB-OP 8.6.0 Sprint 2-Defect'!$A$1:$M$1</definedName>
    <definedName name="_xlnm._FilterDatabase" localSheetId="6" hidden="1">'OBOP 8.3.0 Sprint 2-Status'!$A$1:$X$7</definedName>
    <definedName name="_xlnm._FilterDatabase" localSheetId="5" hidden="1">'OB-OP 8.6.0 Sprint 3-Defect '!$A$1:$M$1</definedName>
    <definedName name="_xlnm._FilterDatabase" localSheetId="3" hidden="1">'OB-OP 8.6.0 Sprint 4-Defect'!$A$1:$M$1</definedName>
    <definedName name="_xlnm._FilterDatabase" localSheetId="4" hidden="1">'OBOP 8.3.0 Sprint 2-Status'!$A$1:$X$7</definedName>
    <definedName name="_xlnm._FilterDatabase" localSheetId="2" hidden="1">'OBOP 8.3.0 Sprint 2-Status'!$A$1:$X$7</definedName>
    <definedName name="_xlnm._FilterDatabase" localSheetId="54" hidden="1">'OBOP 8.3.0 Sprint 2-Status'!$A$1:$X$7</definedName>
    <definedName name="_xlnm._FilterDatabase" localSheetId="55" hidden="1">'OB-OP a7.14.0 Sprint-1-Defect'!$A$1:$M$1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6" roundtripDataChecksum="ETdnUb+ln6pgIGScdlVz2rQX8r0e5+dTIegVMHNyZps="/>
    </ext>
  </extLst>
</workbook>
</file>

<file path=xl/calcChain.xml><?xml version="1.0" encoding="utf-8"?>
<calcChain xmlns="http://schemas.openxmlformats.org/spreadsheetml/2006/main">
  <c r="B2" i="79" l="1"/>
  <c r="B3" i="79"/>
  <c r="B4" i="79"/>
  <c r="B5" i="79"/>
  <c r="B6" i="79"/>
  <c r="B7" i="79"/>
  <c r="B8" i="79"/>
  <c r="B9" i="79"/>
  <c r="B6" i="76"/>
  <c r="B5" i="76"/>
  <c r="B4" i="76"/>
  <c r="B3" i="76"/>
  <c r="B2" i="76"/>
  <c r="B9" i="73"/>
  <c r="B8" i="73"/>
  <c r="B7" i="73"/>
  <c r="B6" i="73"/>
  <c r="B6" i="70"/>
  <c r="B5" i="73"/>
  <c r="B4" i="73"/>
  <c r="B3" i="73"/>
  <c r="B5" i="70"/>
  <c r="B4" i="70"/>
  <c r="B2" i="73"/>
  <c r="B3" i="70"/>
  <c r="B2" i="70"/>
  <c r="B8" i="66"/>
  <c r="B7" i="66"/>
  <c r="B6" i="66"/>
  <c r="B5" i="66"/>
  <c r="B4" i="66"/>
  <c r="B3" i="66"/>
  <c r="B2" i="66"/>
  <c r="B2" i="61"/>
  <c r="B7" i="61"/>
  <c r="B8" i="61"/>
  <c r="B6" i="61"/>
  <c r="B11" i="58"/>
  <c r="B5" i="61"/>
  <c r="B4" i="61"/>
  <c r="B2" i="58"/>
  <c r="B3" i="61"/>
  <c r="B10" i="58"/>
  <c r="B3" i="58"/>
  <c r="B4" i="58"/>
  <c r="B5" i="58"/>
  <c r="B6" i="58"/>
  <c r="B7" i="58"/>
  <c r="B8" i="58"/>
  <c r="B9" i="58"/>
  <c r="B1" i="1" a="1"/>
  <c r="B1" i="1" s="1"/>
  <c r="F1" i="1" s="1"/>
  <c r="D1" i="1" l="1"/>
  <c r="A61" i="1" s="1"/>
  <c r="A35" i="1"/>
  <c r="A24" i="1"/>
  <c r="A22" i="1"/>
  <c r="A23" i="1"/>
  <c r="A19" i="1"/>
  <c r="A20" i="1"/>
  <c r="A21" i="1"/>
  <c r="A12" i="1"/>
  <c r="A13" i="1"/>
  <c r="A14" i="1"/>
  <c r="A15" i="1"/>
  <c r="A16" i="1"/>
  <c r="A17" i="1"/>
  <c r="A18" i="1"/>
  <c r="A3" i="1"/>
  <c r="A4" i="1"/>
  <c r="A5" i="1"/>
  <c r="A6" i="1"/>
  <c r="A7" i="1"/>
  <c r="A8" i="1"/>
  <c r="A9" i="1"/>
  <c r="A10" i="1"/>
  <c r="A11" i="1"/>
  <c r="A59" i="1" l="1"/>
  <c r="A60" i="1"/>
  <c r="A57" i="1"/>
  <c r="A58" i="1"/>
  <c r="A55" i="1"/>
  <c r="A56" i="1"/>
  <c r="A53" i="1"/>
  <c r="A54" i="1"/>
  <c r="A51" i="1"/>
  <c r="A52" i="1"/>
  <c r="A49" i="1"/>
  <c r="A50" i="1"/>
  <c r="A47" i="1"/>
  <c r="A48" i="1"/>
  <c r="A46" i="1"/>
  <c r="A44" i="1"/>
  <c r="A45" i="1"/>
  <c r="A42" i="1"/>
  <c r="A43" i="1"/>
  <c r="A40" i="1"/>
  <c r="A41" i="1"/>
  <c r="A38" i="1"/>
  <c r="A39" i="1"/>
  <c r="A37" i="1"/>
  <c r="A36" i="1"/>
  <c r="H1" i="1"/>
  <c r="A34" i="1"/>
  <c r="C5" i="79"/>
  <c r="C2" i="79"/>
  <c r="C3" i="79"/>
  <c r="C4" i="79"/>
  <c r="C6" i="79"/>
  <c r="C7" i="79"/>
  <c r="C8" i="79"/>
  <c r="C9" i="79"/>
  <c r="D2" i="79"/>
  <c r="D3" i="79"/>
  <c r="D4" i="79"/>
  <c r="D5" i="79"/>
  <c r="D6" i="79"/>
  <c r="D7" i="79"/>
  <c r="D8" i="79"/>
  <c r="D9" i="79"/>
  <c r="A32" i="1"/>
  <c r="A33" i="1"/>
  <c r="C6" i="76"/>
  <c r="D6" i="76"/>
  <c r="C5" i="76"/>
  <c r="D5" i="76"/>
  <c r="C3" i="76"/>
  <c r="C4" i="76"/>
  <c r="D3" i="76"/>
  <c r="D4" i="76"/>
  <c r="C2" i="76"/>
  <c r="D2" i="76"/>
  <c r="A30" i="1"/>
  <c r="A31" i="1"/>
  <c r="C9" i="73"/>
  <c r="D9" i="73"/>
  <c r="C7" i="73"/>
  <c r="C8" i="73"/>
  <c r="D7" i="73"/>
  <c r="D8" i="73"/>
  <c r="C6" i="70"/>
  <c r="C6" i="73"/>
  <c r="D6" i="70"/>
  <c r="D6" i="73"/>
  <c r="C4" i="73"/>
  <c r="C5" i="73"/>
  <c r="D4" i="73"/>
  <c r="D5" i="73"/>
  <c r="C5" i="70"/>
  <c r="C3" i="73"/>
  <c r="D5" i="70"/>
  <c r="D3" i="73"/>
  <c r="C4" i="70"/>
  <c r="D4" i="70"/>
  <c r="C2" i="73"/>
  <c r="D2" i="73"/>
  <c r="C3" i="70"/>
  <c r="D3" i="70"/>
  <c r="C2" i="70"/>
  <c r="D2" i="70"/>
  <c r="A28" i="1"/>
  <c r="A29" i="1"/>
  <c r="C8" i="66"/>
  <c r="D8" i="66"/>
  <c r="C7" i="66"/>
  <c r="D7" i="66"/>
  <c r="C5" i="66"/>
  <c r="C6" i="66"/>
  <c r="D5" i="66"/>
  <c r="D6" i="66"/>
  <c r="C3" i="66"/>
  <c r="C4" i="66"/>
  <c r="D3" i="66"/>
  <c r="D4" i="66"/>
  <c r="C2" i="66"/>
  <c r="D2" i="66"/>
  <c r="C7" i="61"/>
  <c r="D7" i="61"/>
  <c r="C6" i="61"/>
  <c r="C8" i="61"/>
  <c r="D6" i="61"/>
  <c r="D8" i="61"/>
  <c r="C11" i="58"/>
  <c r="D11" i="58"/>
  <c r="C4" i="61"/>
  <c r="C5" i="61"/>
  <c r="D4" i="61"/>
  <c r="D5" i="61"/>
  <c r="C4" i="58"/>
  <c r="D2" i="58"/>
  <c r="C3" i="58"/>
  <c r="A25" i="1"/>
  <c r="A26" i="1"/>
  <c r="A27" i="1"/>
  <c r="C2" i="61"/>
  <c r="C3" i="61"/>
  <c r="D2" i="61"/>
  <c r="D3" i="61"/>
  <c r="C10" i="58"/>
  <c r="D9" i="58"/>
  <c r="D10" i="58"/>
  <c r="D3" i="58"/>
  <c r="D4" i="58"/>
  <c r="D5" i="58"/>
  <c r="D6" i="58"/>
  <c r="D7" i="58"/>
  <c r="D8" i="58"/>
  <c r="C2" i="58"/>
  <c r="C5" i="58"/>
  <c r="C6" i="58"/>
  <c r="C7" i="58"/>
  <c r="C8" i="58"/>
  <c r="C9" i="58"/>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<sst xmlns="http://schemas.openxmlformats.org/spreadsheetml/2006/main" count="11938" uniqueCount="2064">
  <si>
    <t>Current Sprint</t>
  </si>
  <si>
    <t>Current Sprint Sheet</t>
  </si>
  <si>
    <t>Sprint Start Date</t>
  </si>
  <si>
    <t>Sprint End Date</t>
  </si>
  <si>
    <t>Application Name</t>
  </si>
  <si>
    <t>OnlineBidding</t>
  </si>
  <si>
    <t>Users</t>
  </si>
  <si>
    <t>karthi.rajendran@relevantz.com;preethi.muthu@relevantz.com;prabu.pandiya@relevantz.com;mercy.hameed@relevantz.com;nivetha.murugadass@relevantz.com</t>
  </si>
  <si>
    <t>Teams Name(GP-GGO.OnlineBidding)</t>
  </si>
  <si>
    <t>19:f86125062bb647689bca347bf687e022@thread.v2</t>
  </si>
  <si>
    <t>Sprint Type</t>
  </si>
  <si>
    <t>Sprint #</t>
  </si>
  <si>
    <t>Assigned SP</t>
  </si>
  <si>
    <t>Completed SP</t>
  </si>
  <si>
    <t>Story points introduced/removed</t>
  </si>
  <si>
    <t>Sprint Summary</t>
  </si>
  <si>
    <t>Accomplishments</t>
  </si>
  <si>
    <t>Remarks</t>
  </si>
  <si>
    <t>Retro Points
(Internal &amp; External)</t>
  </si>
  <si>
    <t>Data sanity
Audit Status</t>
  </si>
  <si>
    <t>AuditDate</t>
  </si>
  <si>
    <t>Planned Leaves</t>
  </si>
  <si>
    <t>Availed Leaves</t>
  </si>
  <si>
    <t>Backlog Health</t>
  </si>
  <si>
    <t>OBOP 7.10.0 Sprint 4</t>
  </si>
  <si>
    <t>5/0</t>
  </si>
  <si>
    <t>Offshore team faced some challenges while implementing the Rich textbox.</t>
  </si>
  <si>
    <t>Internal:
External:</t>
  </si>
  <si>
    <t>OBOP 7.11.0 Sprint 1,2</t>
  </si>
  <si>
    <t>0/0</t>
  </si>
  <si>
    <t>Offshore team got appreciations for more than expected story points completed. Prabhu and Rajesh for helping with the hotfix as well.</t>
  </si>
  <si>
    <t>OBOP 7.11.0 Sprint 3</t>
  </si>
  <si>
    <t>Overall good sprint, Prabhu and offshore team got appreciated for DNN libraries documentation.</t>
  </si>
  <si>
    <t>OBOP 7.11.0 Sprint 4</t>
  </si>
  <si>
    <t>Offshore team got appreciations for investigating the AHA templates-DNN7(OP) and group filter story(OB).</t>
  </si>
  <si>
    <t>OBOP 7.12.0 Sprint 1</t>
  </si>
  <si>
    <t>2/0</t>
  </si>
  <si>
    <t>Appreciated for completing all the work with good production release.</t>
  </si>
  <si>
    <t>OBOP 7.12.0 Sprint 2</t>
  </si>
  <si>
    <t>2 DNN-7 story getting carried. Prabhu and Offshore team got appreciated for doing  great job in learning and updating AHA templates.</t>
  </si>
  <si>
    <t>OBOP 7.12.0 Sprint 3</t>
  </si>
  <si>
    <t>Client appreciated for completing Recaptcha DNN9 conversion.
Addition to this development completed for one stretch story.</t>
  </si>
  <si>
    <t>OBOP 7.12.0 Sprint 4</t>
  </si>
  <si>
    <t>6/0</t>
  </si>
  <si>
    <t>Overall good sprint, Team completed more than expected story points.</t>
  </si>
  <si>
    <t>OBOP 7.13.1 Sprint 1</t>
  </si>
  <si>
    <t>Prabhu got appriciated for getting all AHA fixes completed and Mercy got appriciated for finding lot of issues.</t>
  </si>
  <si>
    <t>OBOP 7.13.1 Sprint 2</t>
  </si>
  <si>
    <t>8/0</t>
  </si>
  <si>
    <t>Completed most of assigned stories/defects</t>
  </si>
  <si>
    <t>OBOP 7.13.1 Sprint 3</t>
  </si>
  <si>
    <t>Appreciated for completing all the work</t>
  </si>
  <si>
    <t>OBOP 7.13.1 Sprint 4</t>
  </si>
  <si>
    <t>1/0</t>
  </si>
  <si>
    <t>Appreciated dev team for Investigation stories and Mercy for finding defect.</t>
  </si>
  <si>
    <t>OBOP 7.14.0 Sprint 1</t>
  </si>
  <si>
    <t>3/0</t>
  </si>
  <si>
    <t>Appreciated Mercy for good testing</t>
  </si>
  <si>
    <t>OBOP 7.14.0 Sprint 2</t>
  </si>
  <si>
    <t>Completing another sprint successfully, Appriciated Prabhu and offshore for completing the work on messaging</t>
  </si>
  <si>
    <t>OBOP 7.14.0 Sprint 3</t>
  </si>
  <si>
    <t>Couldn't complete testing because of release pipeline certificate issue.</t>
  </si>
  <si>
    <t>OBOP 7.14.0 Sprint 4</t>
  </si>
  <si>
    <t xml:space="preserve">Appreciated Prabhu for helping in testing. </t>
  </si>
  <si>
    <t>OBOP 8.2.0 Sprint 1</t>
  </si>
  <si>
    <t>Appreciated Prabhu for providing KT to quick invoice team</t>
  </si>
  <si>
    <t>OBOP 8.2.0 Sprint 2</t>
  </si>
  <si>
    <t xml:space="preserve">                                                            </t>
  </si>
  <si>
    <t>OBOP 8.2.0 Sprint 3</t>
  </si>
  <si>
    <t>3/3</t>
  </si>
  <si>
    <t>TST was down which lead to rolling over one story
Peer CRC: 0
Onsite CRC: 2
Client CRC: 0
Internal Defects :2
External Defects:0
Appreciated 
i)Prabhu for helping Alice on providing info on some stories
ii)Mercy for helping out while Alice  was unavailable
iii) Rajesh and Prabhu for helping Joe set up GGO locally.
iv) Lot of challenges while developing the OP page module  and offshore continued working through it
v) Rajesh for helping Prabhu  and team with testing of OP stories.
vi) Rajkumar and Prabhu for good coordination for getting the entire flow end to end on Quick invoicing</t>
  </si>
  <si>
    <t>OBOP 8.2.0 Sprint 4</t>
  </si>
  <si>
    <t>1.Import quick invoice payment page designed, created in GGO and placed in between Registrations &amp; RSVPs  2. Added new convenience fee sale and made reconcile with sale payment association  3.Pending quick invoice imports count included in existing left nav notification counter</t>
  </si>
  <si>
    <t>i) Appreciated the team for completing all the quick invoice stories.
ii) Kudos to Farhath and Mercy for helping with the test planning  and testing which made it easier for Alice.
iii) Kudos to Prabhu and Rajkumar for coordinating with offshore teams and completing all the planned stories for the sprint
iv) Appreciated Offshore for finishing the planned stories and meeting the deadline
v) Rajesh and Prabhu helped Rajkumar  &amp; offshore with the OP and GGO integration.
Peer CRC: 2
Onsite CRC: 0
Client CRC: 0
Internal Defects :0
External Defects:0</t>
  </si>
  <si>
    <t>OBOP 8.3.0 Sprint 1</t>
  </si>
  <si>
    <t>1.Quick Invoice feature release into CRT 2.Added Privacy Police notice on both OB &amp; OP 3.Default application text css changes &amp; Text updates</t>
  </si>
  <si>
    <t>Nice job with the privacy policy implementation.
One story has been moved to next sprint for testing alone
Kudos to Offshore QA - has been very helpful , making sure all gaps are covered
Peer CRC: 0
Onsite CRC: 0
Client CRC: 0
Internal Defects:2
External Defects: 0</t>
  </si>
  <si>
    <t>OBOP 8.3.0 Sprint 2</t>
  </si>
  <si>
    <t>1.OP 8.2.0 release to CRT &amp; PRD 2.App help url updates 3.Invoicing feature updates - Collected from pilot user's feedback 4.Escalation support</t>
  </si>
  <si>
    <t>Kudos shared to Mercy for the support in making a lot of test plans and doing thorough testing that really helped out with all the small areas we have to verify, especially with all of the stories we added during the quick invoice effort. Rajkumar and team for the merge field completion. Rajesh for helping with the merge strategies and Prabhu was very helpful for a couple of tickets Joe had.
Peer CRC:0 
Onsite CRC:0 
Client CRC: 6
Internal Defects:2
External Defects: 0
A 3 point story was added towards the end of the Sprint as part of the strech goal and was rolled over to the next sprint</t>
  </si>
  <si>
    <t>OB-OP 8.3.0 Sprint 3</t>
  </si>
  <si>
    <t>Ten/0</t>
  </si>
  <si>
    <t>1. We had 8.2.2 OP CRT release        2. completed final set of pending invoicing tasks          3.Macroscope fixes</t>
  </si>
  <si>
    <t>Kudos to 
Rajkumar and team for taking invoicing project to finish line, 
Offshore QA - Mercy and Farhath for putting some good notes for Alice which was helpful when she got back and 
Preethi and Karthi  for managing all the dev work during the US thanksgiving holidays when everyone was away
Kalai and Rajiv are very dynamic and all the deliveries were on time
Prabhu and Rajesh for the KT and support to the invoicing team
Peer CRC:0 
Onsite CRC:2 
Client CRC: 2
Internal Defects:1
External Defects: 0
A 2 point story was added towards the end of the Sprint as part of the strech goal and was rolled over to the next sprint</t>
  </si>
  <si>
    <t>OB-OP 8.3.0 Sprint 4</t>
  </si>
  <si>
    <t>15/0</t>
  </si>
  <si>
    <t>1.OB 7.12.1 release to CRT&amp; PRD  2. OP 8.2.2 PRD Release  3.Complete Invoicing 4.Macroscope fix</t>
  </si>
  <si>
    <t>Kudos
Offshore in general and offshore QA for keeping up with things when Onsite was away for holidays +2
Mercy for keeping up with test plans when Alice was out
Raj kumar and team for a great impact on past few sprints +1                                              Peer CRC:0 
Onsite CRC:1 
Client CRC: 0
Internal Defects:0
External Defects: 0                                                                                    Some of the stories are stretch and  got carry forwarded because of client resources unavailability due to holidays</t>
  </si>
  <si>
    <t>OB-OP 8.4.0 Sprint 1</t>
  </si>
  <si>
    <t xml:space="preserve">1. Release 8.3.0 to CRT and PRD
2. Macroscope fix in OP and OB
</t>
  </si>
  <si>
    <t>Kudos to
Given the release, towards the end of the sprint we were seeing a bunch of issues in OP and OB and Mercy was very helpful in testing those
Given the product overlap  across both teams and the staggered release for both teams, it was confusing but the team did a great job overall staying on top of everything
Rajesh for helping Joe set up for the portals
To the team on a great job on the overall Invoice project and release
Peer CRC:0 
Onsite CRC:2 
Client CRC: 0
Internal Defects:0
External Defects: 0 
3 point story carry forwarded to next sprint. Part of  the performance improvement done.Restrictions on DNN9 core functionality prevents us from finding performance improvements.  But there is more room left for improvements. So Story was carry forwarded</t>
  </si>
  <si>
    <t>OB-OP 8.4.0 Sprint 2</t>
  </si>
  <si>
    <t>RSVP enhancements, continuing with Macroscope work,OP MFA login production hotfix</t>
  </si>
  <si>
    <t>Peer CRC:0 
Onsite CRC:0 
Client CRC: 0
Internal Defects:1
External Defects: 0 
2 RSVP stories got carried over to the next sprint, RSVP Multiple attendee dynamic control creation has been challenging. Completed major functionalities, local testing and dev testing is in progress and a 3 point story is dependent on that 8 point story so we couldn't proceed that without completing the main story</t>
  </si>
  <si>
    <t>OB-OP 8.4.0 Sprint 3</t>
  </si>
  <si>
    <t>Continue RSVP enhancements, Supported OP 8.3.2 Hotfix testing support for delay in OP site creation, RSVP index table update and Apigee threading exception</t>
  </si>
  <si>
    <t xml:space="preserve">Kudos to
i) Rajesh to take the big feature and manage it +1
ii) Joe,Mike , Rajesh, Derek was handling all the rapid change in the sprint goal
iii) Rajesh for handling all on both teams GGO and OB/OP
iv) Offshore dev and QA for working hard on multiple attendees and getting all the scenarios covered
Peer CRC:2 
Onsite CRC:2 
Client CRC: 0
Internal Defects:0
External Defects: 2 
3 pt bug has been carry forwarded to next sprint as we couldn't able to reproduce the bug in our environment and trying to find the root cause for it
</t>
  </si>
  <si>
    <t>OB-OP 8.4.0 Sprint 4</t>
  </si>
  <si>
    <t>6/3</t>
  </si>
  <si>
    <t>New card type added with existing ones, OP 8.3.3 and 8.4.0 release to CRT</t>
  </si>
  <si>
    <t>Kudos to
i) Everyone in the team for all the hard work this sprint
ii) Joe , Rajesh, Mike and Carlos for all of the release stuff
iii) Offshore for taking care of all the sprint stories
Peer CRC:0 
Onsite CRC:0 
Client CRC: 0
Internal Defects:1
External Defects: 3
3 pt bug has been flagged in JIRA as blocker and removed from sprint during sprint end and another 3 pt bug which is in stretch has been carry forwarded to next sprint, in which we have completed the fix for 1 report, need to check for remaining 3 reports</t>
  </si>
  <si>
    <t>OB-OP 8.5.0 Sprint 1</t>
  </si>
  <si>
    <t>Release OP 8.4 to PRD, begin investigating OB UX and QoL fixes</t>
  </si>
  <si>
    <t xml:space="preserve">Kudos
i) Prabhu and Rajesh on assisting Joe on a ticket related to convenience fee
ii) Offshore QA Mercy for the test plan put together for catalog verification, very good testing  and makes it more secure
iii) Karthi and Preethi for great documentation on the investigation stories
Peer CRC:0 
Onsite CRC:0 
Client CRC: 0
Internal Defects:0
External Defects: 2
One of the story got completed at the  last minute  because the fix wasn't working so the team had to coninue trying out different aproaches till it worked. It was sent for peer review on the last day and hence got carry forwarded to the next sprint for testing </t>
  </si>
  <si>
    <t>OB-OP 8.5.0 Sprint 2</t>
  </si>
  <si>
    <t>7/0</t>
  </si>
  <si>
    <t>Begin work on OB UX settings and layouts</t>
  </si>
  <si>
    <t>Kudos
i) We did a stretch AC on the layout  and Prabhu assisted Joe on that
ii) Prabhu for helping Alice with testing
iii) Rajesh for helping Alice on the email issue +1
iv) Offshore for completing all the planned stories and adding some stretch stories
Peer CRC:0 
Onsite CRC:0 
Client CRC: 1
Internal Defects:0
External Defects: 0 
OB UX  settings and layout implementation
 Escalation support for investigating the max bid label update
 Fixed Max Bid label
 OP negative payment fix</t>
  </si>
  <si>
    <t>OB-OP 8.5.0 Sprint 3</t>
  </si>
  <si>
    <t xml:space="preserve">Continue OB UX and high value OP items
Accompolishments:
Added new settings in Online bidding settings page
Feature flag implementation for OB - sending data from GGO to OB
</t>
  </si>
  <si>
    <r>
      <rPr>
        <sz val="10"/>
        <color rgb="FF000000"/>
        <rFont val="Arial"/>
        <scheme val="minor"/>
      </rPr>
      <t xml:space="preserve">
Peer CRC:0 
Onsite CRC:0 
Client CRC: 0
Internal Defects:1
External Defects: 2 
</t>
    </r>
    <r>
      <rPr>
        <b/>
        <sz val="10"/>
        <color rgb="FF000000"/>
        <rFont val="Arial"/>
        <scheme val="minor"/>
      </rPr>
      <t xml:space="preserve">Pending reason
</t>
    </r>
    <r>
      <rPr>
        <sz val="10"/>
        <color rgb="FF000000"/>
        <rFont val="Arial"/>
        <scheme val="minor"/>
      </rPr>
      <t>One 3-point story was carried over to the next sprint. While development, local testing, and DEV testing were completed from our side, the peer review and 
testing for OB-3731 were delayed. This was primarily due 
to the extended time required for development and testing of OB-3708 (an 8-point story). As a result, OB-3731 has been moved to the next sprint.</t>
    </r>
  </si>
  <si>
    <t>What went well?
Offshore doing testing in Dev before going to TST helps mitigate issues later in the Sprint
What didn’t go well?
The development for OB settings page was a little challenging
Kudos
1. Nice job team on OB settings page, the mockups really look good
2. Great QA team for being a sport , working last minute to test the stories +1
3. Offshore QA Mercy for finding the issues before it hit TST and helped in not sending it back to Dev later
4. Prabhu and Rajesh for their support to Alice
5. Prabhu, Offshore dev Preethi and Karthi for completing the OB settings page for spending extended hours in completing it +2</t>
  </si>
  <si>
    <t>OB-OP 8.5.0 Sprint 4</t>
  </si>
  <si>
    <r>
      <rPr>
        <sz val="10"/>
        <color rgb="FF000000"/>
        <rFont val="Arial"/>
        <scheme val="minor"/>
      </rPr>
      <t xml:space="preserve">Release and test OP 8.5 and OB 7.13 to CRT. Donor Project continuing work
</t>
    </r>
    <r>
      <rPr>
        <b/>
        <sz val="10"/>
        <color rgb="FF000000"/>
        <rFont val="Arial"/>
        <scheme val="minor"/>
      </rPr>
      <t xml:space="preserve">Accomplishment
</t>
    </r>
    <r>
      <rPr>
        <sz val="10"/>
        <color rgb="FF000000"/>
        <rFont val="Arial"/>
        <scheme val="minor"/>
      </rPr>
      <t>1. Tested OP 8.5 and OB 7.13 in CRT
2. Upgraded Angular 12 to 13, version got upgraded but facing few routing issues</t>
    </r>
  </si>
  <si>
    <r>
      <rPr>
        <sz val="10"/>
        <color rgb="FF000000"/>
        <rFont val="Arial"/>
        <scheme val="minor"/>
      </rPr>
      <t xml:space="preserve">
Peer CRC:0 
Onsite CRC:0 
Client CRC: 0
Internal Defects:0
External Defects: 0
</t>
    </r>
    <r>
      <rPr>
        <b/>
        <sz val="10"/>
        <color rgb="FF000000"/>
        <rFont val="Arial"/>
        <scheme val="minor"/>
      </rPr>
      <t xml:space="preserve">Pending reason
</t>
    </r>
    <r>
      <rPr>
        <sz val="10"/>
        <color rgb="FF000000"/>
        <rFont val="Arial"/>
        <scheme val="minor"/>
      </rPr>
      <t>1 Bug has been carry forwarded to next sprint since it is taking more time than expected. Also PM cannot remember what this report looked like working in Prod, 
so we may need to do some discovery and explanation in order to come up with a good solution</t>
    </r>
  </si>
  <si>
    <r>
      <rPr>
        <b/>
        <sz val="10"/>
        <color rgb="FF000000"/>
        <rFont val="Arial"/>
        <scheme val="minor"/>
      </rPr>
      <t xml:space="preserve">
What went well?
</t>
    </r>
    <r>
      <rPr>
        <sz val="10"/>
        <color rgb="FF000000"/>
        <rFont val="Arial"/>
        <scheme val="minor"/>
      </rPr>
      <t xml:space="preserve">1. CRT testing completed on time
2. Great progress on Angular update
3. Good initial progress on Donor project
4. Completed more  stories than planned
</t>
    </r>
    <r>
      <rPr>
        <b/>
        <sz val="10"/>
        <color rgb="FF000000"/>
        <rFont val="Arial"/>
        <scheme val="minor"/>
      </rPr>
      <t xml:space="preserve">What didn’t go well?
</t>
    </r>
    <r>
      <rPr>
        <sz val="10"/>
        <color rgb="FF000000"/>
        <rFont val="Arial"/>
        <scheme val="minor"/>
      </rPr>
      <t xml:space="preserve">1. The package dependency made the Angular update challenging
2. Fixing the section report issue has been more complex than planned
</t>
    </r>
    <r>
      <rPr>
        <b/>
        <sz val="10"/>
        <color rgb="FF000000"/>
        <rFont val="Arial"/>
        <scheme val="minor"/>
      </rPr>
      <t xml:space="preserve">Kudos
</t>
    </r>
    <r>
      <rPr>
        <sz val="10"/>
        <color rgb="FF000000"/>
        <rFont val="Arial"/>
        <scheme val="minor"/>
      </rPr>
      <t>Prabhu and Rajesh for supporting the CRT issue fix, Carlos as well
Rajesh for  leading the way on Donor Project +2
Offshore for the Angular update , that was a big jump +2</t>
    </r>
  </si>
  <si>
    <t>OB-OP a7.14.0 Sprint 1</t>
  </si>
  <si>
    <r>
      <rPr>
        <sz val="10"/>
        <color rgb="FF000000"/>
        <rFont val="Arial"/>
        <scheme val="minor"/>
      </rPr>
      <t xml:space="preserve">OB &amp; OP PRD release, continue with OB UX and Donor project
</t>
    </r>
    <r>
      <rPr>
        <b/>
        <sz val="10"/>
        <color rgb="FF000000"/>
        <rFont val="Arial"/>
        <scheme val="minor"/>
      </rPr>
      <t xml:space="preserve">Accomplishment
</t>
    </r>
    <r>
      <rPr>
        <sz val="10"/>
        <color rgb="FF000000"/>
        <rFont val="Arial"/>
        <scheme val="minor"/>
      </rPr>
      <t xml:space="preserve">
1. Passed the new settings value from GGO to OB and mapped the header values in OB side UI
2. Upgraded Angular 12 to 13, Updated node version from 14 to 16, fixing the errors</t>
    </r>
  </si>
  <si>
    <r>
      <rPr>
        <sz val="10"/>
        <color rgb="FF000000"/>
        <rFont val="Arial"/>
        <scheme val="minor"/>
      </rPr>
      <t xml:space="preserve">
Peer CRC:0 
Onsite CRC:0 
Client CRC: 3
Internal Defects:0
External Defects: 0
</t>
    </r>
    <r>
      <rPr>
        <b/>
        <sz val="10"/>
        <color rgb="FF000000"/>
        <rFont val="Arial"/>
        <scheme val="minor"/>
      </rPr>
      <t xml:space="preserve">Pending reason
</t>
    </r>
    <r>
      <rPr>
        <sz val="10"/>
        <color rgb="FF000000"/>
        <rFont val="Arial"/>
        <scheme val="minor"/>
      </rPr>
      <t>OP-2747-It has been carry forwarded to next sprint since it is taking more time than expected. Also PM cannot remember what this report looked like working in Prod, 
so we may need to do some discovery and explanation in order to come up with a good solution
OB-3680 - Story has been carry forwarded to next sprint - Dependent on OB-3755. Development and peer review is completed, Since PR was shared in the last day testing will be done in next sprint</t>
    </r>
  </si>
  <si>
    <r>
      <rPr>
        <b/>
        <sz val="10"/>
        <color rgb="FF000000"/>
        <rFont val="Arial"/>
        <scheme val="minor"/>
      </rPr>
      <t xml:space="preserve">What went well?
</t>
    </r>
    <r>
      <rPr>
        <sz val="10"/>
        <color rgb="FF000000"/>
        <rFont val="Arial"/>
        <scheme val="minor"/>
      </rPr>
      <t xml:space="preserve">The new Donor platform setup went well
On pace with OB UX
</t>
    </r>
    <r>
      <rPr>
        <b/>
        <sz val="10"/>
        <color rgb="FF000000"/>
        <rFont val="Arial"/>
        <scheme val="minor"/>
      </rPr>
      <t xml:space="preserve">What didn’t go well?
</t>
    </r>
    <r>
      <rPr>
        <sz val="10"/>
        <color rgb="FF000000"/>
        <rFont val="Arial"/>
        <scheme val="minor"/>
      </rPr>
      <t xml:space="preserve">Last minute unplanned PTO for team member led to delay in closing a few tickets
New OB page and design turned out to be a little challenging
</t>
    </r>
    <r>
      <rPr>
        <b/>
        <sz val="10"/>
        <color rgb="FF000000"/>
        <rFont val="Arial"/>
        <scheme val="minor"/>
      </rPr>
      <t xml:space="preserve">Kudos
</t>
    </r>
    <r>
      <rPr>
        <sz val="10"/>
        <color rgb="FF000000"/>
        <rFont val="Arial"/>
        <scheme val="minor"/>
      </rPr>
      <t>Preethi for updating the node and Angular version as it requires a lot of tracking and patience. Thanks for doing it</t>
    </r>
  </si>
  <si>
    <t>OB-OP 8.0 Sprint 2</t>
  </si>
  <si>
    <r>
      <rPr>
        <sz val="10"/>
        <color rgb="FF000000"/>
        <rFont val="Arial"/>
        <scheme val="minor"/>
      </rPr>
      <t xml:space="preserve">OB &amp; OP PRD release, continue with OB UX and Donor project
</t>
    </r>
    <r>
      <rPr>
        <b/>
        <sz val="10"/>
        <color rgb="FF000000"/>
        <rFont val="Arial"/>
        <scheme val="minor"/>
      </rPr>
      <t xml:space="preserve">Accomplishment
</t>
    </r>
    <r>
      <rPr>
        <sz val="10"/>
        <color rgb="FF000000"/>
        <rFont val="Arial"/>
        <scheme val="minor"/>
      </rPr>
      <t xml:space="preserve">
1. The team completed all they planned for and more (initially firebase was spike later converted to story)
2. Fixed the warnings while compiling angular 13, ended up with 1 console error while running application</t>
    </r>
  </si>
  <si>
    <r>
      <rPr>
        <sz val="10"/>
        <color rgb="FF000000"/>
        <rFont val="Arial"/>
        <scheme val="minor"/>
      </rPr>
      <t xml:space="preserve">
Peer CRC:0 
Onsite CRC:1 
Client CRC: 0
Internal Defects:1
External Defects: 0
</t>
    </r>
    <r>
      <rPr>
        <b/>
        <sz val="10"/>
        <color rgb="FF000000"/>
        <rFont val="Arial"/>
        <scheme val="minor"/>
      </rPr>
      <t>Escaped defect RCA</t>
    </r>
    <r>
      <rPr>
        <sz val="10"/>
        <color rgb="FF000000"/>
        <rFont val="Arial"/>
        <scheme val="minor"/>
      </rPr>
      <t xml:space="preserve"> - Should do proper code review and local testing,DEV testing covering all scenarios
</t>
    </r>
    <r>
      <rPr>
        <b/>
        <sz val="10"/>
        <color rgb="FF000000"/>
        <rFont val="Arial"/>
        <scheme val="minor"/>
      </rPr>
      <t xml:space="preserve">Review Comment - </t>
    </r>
    <r>
      <rPr>
        <sz val="10"/>
        <color rgb="FF000000"/>
        <rFont val="Arial"/>
        <scheme val="minor"/>
      </rPr>
      <t>Add try catch block here when you connecting with DB to make operations</t>
    </r>
  </si>
  <si>
    <r>
      <rPr>
        <b/>
        <sz val="10"/>
        <color rgb="FF000000"/>
        <rFont val="Arial"/>
        <scheme val="minor"/>
      </rPr>
      <t xml:space="preserve">What went well?
</t>
    </r>
    <r>
      <rPr>
        <sz val="10"/>
        <color rgb="FF000000"/>
        <rFont val="Arial"/>
        <scheme val="minor"/>
      </rPr>
      <t xml:space="preserve">The team completed all they planned for and more
PRD releases were long  and it went well
</t>
    </r>
    <r>
      <rPr>
        <b/>
        <sz val="10"/>
        <color rgb="FF000000"/>
        <rFont val="Arial"/>
        <scheme val="minor"/>
      </rPr>
      <t xml:space="preserve">What didn’t go well?
</t>
    </r>
    <r>
      <rPr>
        <sz val="10"/>
        <color rgb="FF000000"/>
        <rFont val="Arial"/>
        <scheme val="minor"/>
      </rPr>
      <t xml:space="preserve">Firebase notification was a little tricky to configure
Handling Aesgcn decryption for existing URLs  cost a little extra time to complete
Docker desktop is not authorized so it forced the team to find a different way to communicate with the database
</t>
    </r>
    <r>
      <rPr>
        <b/>
        <sz val="10"/>
        <color rgb="FF000000"/>
        <rFont val="Arial"/>
        <scheme val="minor"/>
      </rPr>
      <t xml:space="preserve">Kudos
</t>
    </r>
    <r>
      <rPr>
        <sz val="10"/>
        <color rgb="FF000000"/>
        <rFont val="Arial"/>
        <scheme val="minor"/>
      </rPr>
      <t>Offshore and Dev Prabhu for completing the investigation and implementation of Firebase notification +2</t>
    </r>
  </si>
  <si>
    <t>OB-OP 8.0 Sprint 3</t>
  </si>
  <si>
    <r>
      <rPr>
        <sz val="10"/>
        <color rgb="FF000000"/>
        <rFont val="Arial"/>
        <scheme val="minor"/>
      </rPr>
      <t xml:space="preserve">Continue OB UX work, setup for donor platform
</t>
    </r>
    <r>
      <rPr>
        <b/>
        <sz val="10"/>
        <color rgb="FF000000"/>
        <rFont val="Arial"/>
        <scheme val="minor"/>
      </rPr>
      <t xml:space="preserve">Accomplishment
</t>
    </r>
    <r>
      <rPr>
        <sz val="10"/>
        <color rgb="FF000000"/>
        <rFont val="Arial"/>
        <scheme val="minor"/>
      </rPr>
      <t>1. Updated Node js to version 16 and then to 18, trying to fix the errors
2. Firebase notification is coming correctly to the bidders who are outbidden
3. New team members setup is completed and started the design story</t>
    </r>
  </si>
  <si>
    <r>
      <rPr>
        <sz val="10"/>
        <color rgb="FF000000"/>
        <rFont val="Arial"/>
        <scheme val="minor"/>
      </rPr>
      <t xml:space="preserve">
Peer CRC:0 
Onsite CRC:0
Client CRC: 2
Internal Defects:0
External Defects: 0
</t>
    </r>
    <r>
      <rPr>
        <b/>
        <sz val="10"/>
        <color rgb="FF000000"/>
        <rFont val="Arial"/>
        <scheme val="minor"/>
      </rPr>
      <t>Review comment - 1.</t>
    </r>
    <r>
      <rPr>
        <sz val="10"/>
        <color rgb="FF000000"/>
        <rFont val="Arial"/>
        <scheme val="minor"/>
      </rPr>
      <t xml:space="preserve"> Macroscope will ding us for putting apikeys or secrets in the repo. We need to add these as variables, even for local testing the same way we do for the SMS test keys
2. Let's add a general exception catch as well.
</t>
    </r>
    <r>
      <rPr>
        <b/>
        <sz val="10"/>
        <color rgb="FF000000"/>
        <rFont val="Arial"/>
        <scheme val="minor"/>
      </rPr>
      <t xml:space="preserve">Pending reason
</t>
    </r>
    <r>
      <rPr>
        <sz val="10"/>
        <color rgb="FF000000"/>
        <rFont val="Arial"/>
        <scheme val="minor"/>
      </rPr>
      <t>1. OB-3675 -During the sprint, a few high-priority security issues were introduced that required quick attention. Addressing them took some time away from our originally planned work.
Development work has been completed successfully, and dev environment testing was verified by the Relevantz offshore QA team. However, during deployment to the TST environment, we encountered issues related to pipeline variables. As a result, only testing is pending for this story.
2. DON-20 - Stretch story - Development completed, local testing is in progress, Once done will raise the PR in next sprint</t>
    </r>
  </si>
  <si>
    <r>
      <rPr>
        <b/>
        <sz val="10"/>
        <color rgb="FF000000"/>
        <rFont val="Arial"/>
        <scheme val="minor"/>
      </rPr>
      <t xml:space="preserve">What went well?
</t>
    </r>
    <r>
      <rPr>
        <sz val="10"/>
        <color rgb="FF000000"/>
        <rFont val="Arial"/>
        <scheme val="minor"/>
      </rPr>
      <t xml:space="preserve">Onboarding went well
</t>
    </r>
    <r>
      <rPr>
        <b/>
        <sz val="10"/>
        <color rgb="FF000000"/>
        <rFont val="Arial"/>
        <scheme val="minor"/>
      </rPr>
      <t xml:space="preserve">What didn’t go well?
</t>
    </r>
    <r>
      <rPr>
        <sz val="10"/>
        <color rgb="FF000000"/>
        <rFont val="Arial"/>
        <scheme val="minor"/>
      </rPr>
      <t xml:space="preserve">2 Security issues took about a week of 2 of the team members time
New developers onboarding
For multiple bidders, Firebase notification is not getting sent randomly
Angular upgrade has been challenging
Escalation support for OP Login issue
</t>
    </r>
    <r>
      <rPr>
        <b/>
        <sz val="10"/>
        <color rgb="FF000000"/>
        <rFont val="Arial"/>
        <scheme val="minor"/>
      </rPr>
      <t xml:space="preserve">Kudos
</t>
    </r>
    <r>
      <rPr>
        <sz val="10"/>
        <color rgb="FF000000"/>
        <rFont val="Arial"/>
        <scheme val="minor"/>
      </rPr>
      <t xml:space="preserve">Prabhu nice job get everybody onboarded +3
</t>
    </r>
    <r>
      <rPr>
        <b/>
        <sz val="10"/>
        <color rgb="FF000000"/>
        <rFont val="Arial"/>
        <scheme val="minor"/>
      </rPr>
      <t xml:space="preserve">Takeaways
</t>
    </r>
    <r>
      <rPr>
        <sz val="10"/>
        <color rgb="FF000000"/>
        <rFont val="Arial"/>
        <scheme val="minor"/>
      </rPr>
      <t>6/5/2025
Angular Update timebox effort should be significantly lowered - 10 hrs a Sprint
Escalation Support should be filtered by Derek Anderson and Mike Horihan so that team can focus on OB UX overhaul and Donor project</t>
    </r>
  </si>
  <si>
    <t>OB-OP 8.0 Sprint 4</t>
  </si>
  <si>
    <r>
      <rPr>
        <sz val="10"/>
        <color rgb="FF000000"/>
        <rFont val="Arial"/>
        <scheme val="minor"/>
      </rPr>
      <t xml:space="preserve">CRT Release and testing for OB and OP, continue with OB UX and Donor project
</t>
    </r>
    <r>
      <rPr>
        <b/>
        <sz val="10"/>
        <color rgb="FF000000"/>
        <rFont val="Arial"/>
        <scheme val="minor"/>
      </rPr>
      <t xml:space="preserve">Accomplishment
</t>
    </r>
    <r>
      <rPr>
        <sz val="10"/>
        <color rgb="FF000000"/>
        <rFont val="Arial"/>
        <scheme val="minor"/>
      </rPr>
      <t>Completed the firebase notification story and updated the sponsor bar design for new UI</t>
    </r>
  </si>
  <si>
    <r>
      <rPr>
        <sz val="10"/>
        <color rgb="FF000000"/>
        <rFont val="Arial"/>
        <scheme val="minor"/>
      </rPr>
      <t xml:space="preserve">
Peer CRC:1 
Onsite CRC:1
Client CRC: 0
Internal Defects:0
External Defects: 0
</t>
    </r>
    <r>
      <rPr>
        <b/>
        <sz val="10"/>
        <color rgb="FF000000"/>
        <rFont val="Arial"/>
        <scheme val="minor"/>
      </rPr>
      <t xml:space="preserve">Review comment 
</t>
    </r>
    <r>
      <rPr>
        <sz val="10"/>
        <color rgb="FF000000"/>
        <rFont val="Arial"/>
        <scheme val="minor"/>
      </rPr>
      <t xml:space="preserve">Rename the css class
Move all the numbers to constant file
</t>
    </r>
    <r>
      <rPr>
        <b/>
        <sz val="10"/>
        <color rgb="FF000000"/>
        <rFont val="Arial"/>
        <scheme val="minor"/>
      </rPr>
      <t xml:space="preserve">Pending reason
</t>
    </r>
    <r>
      <rPr>
        <sz val="10"/>
        <color rgb="FF000000"/>
        <rFont val="Arial"/>
        <scheme val="minor"/>
      </rPr>
      <t>1. OP-2766 - Was having CRT certificate issue so couldn't complete testing
2. OB-3684 - Testing completed from offshore QA end and added comments in JIRA, since onsite QA was occupied with CRT testing, couldn't give signoff to this ticket. We shared the PR on 17/06(Tues)</t>
    </r>
  </si>
  <si>
    <r>
      <rPr>
        <b/>
        <sz val="10"/>
        <color rgb="FF000000"/>
        <rFont val="Arial"/>
        <scheme val="minor"/>
      </rPr>
      <t xml:space="preserve">Overall it was a good sprint even though we didn't meet the Sprint forecast this time. The onsite QA needs to signoff on those tickets before closing and given this was a regression sprint, the onsite QA had her hands full with CRT testing.
A special shout out to the new Donor team for coming up to speed very fast and taking control right away. Well done!
What went well?
</t>
    </r>
    <r>
      <rPr>
        <sz val="10"/>
        <color rgb="FF000000"/>
        <rFont val="Arial"/>
        <scheme val="minor"/>
      </rPr>
      <t xml:space="preserve">Very productive sprint inspite our story point completion
</t>
    </r>
    <r>
      <rPr>
        <b/>
        <sz val="10"/>
        <color rgb="FF000000"/>
        <rFont val="Arial"/>
        <scheme val="minor"/>
      </rPr>
      <t xml:space="preserve">What didn’t go well?
</t>
    </r>
    <r>
      <rPr>
        <sz val="10"/>
        <color rgb="FF000000"/>
        <rFont val="Arial"/>
        <scheme val="minor"/>
      </rPr>
      <t xml:space="preserve">Cross site scripting was a distraction from our planned work
Issues in PAPI CRT caused testing delays
</t>
    </r>
    <r>
      <rPr>
        <b/>
        <sz val="10"/>
        <color rgb="FF000000"/>
        <rFont val="Arial"/>
        <scheme val="minor"/>
      </rPr>
      <t xml:space="preserve">Kudos
</t>
    </r>
    <r>
      <rPr>
        <sz val="10"/>
        <color rgb="FF000000"/>
        <rFont val="Arial"/>
        <scheme val="minor"/>
      </rPr>
      <t>Alice for a lot of of help  with initial cross site testing
Joe, Rajesh and Prabhu  with fixing the update script  to get to CRT without a lot of issues
New Donor team for completing a lot of the design work +1
Rajesh for helping with the CRT issue +1
Preethi, Karthi and Mercy for completing the Firebase notification and Sponsor bar design</t>
    </r>
  </si>
  <si>
    <t>OB-OP 8.1 Sprint 1</t>
  </si>
  <si>
    <r>
      <rPr>
        <sz val="10"/>
        <color rgb="FF000000"/>
        <rFont val="Arial"/>
        <scheme val="minor"/>
      </rPr>
      <t xml:space="preserve">Release OB/OP to PRD, continue OB UX and Donor Platform
</t>
    </r>
    <r>
      <rPr>
        <b/>
        <sz val="10"/>
        <color rgb="FF000000"/>
        <rFont val="Arial"/>
        <scheme val="minor"/>
      </rPr>
      <t xml:space="preserve">Accomplishment
</t>
    </r>
    <r>
      <rPr>
        <sz val="10"/>
        <color rgb="FF000000"/>
        <rFont val="Arial"/>
        <scheme val="minor"/>
      </rPr>
      <t>Completed all the sprint stories and took stretch stories and made good progress on that as well</t>
    </r>
  </si>
  <si>
    <t xml:space="preserve">
Peer CRC:0 
Onsite CRC:0
Client CRC: 0
Internal Defects:0
External Defects: 0
</t>
  </si>
  <si>
    <r>
      <rPr>
        <b/>
        <sz val="10"/>
        <color rgb="FF000000"/>
        <rFont val="Arial"/>
        <scheme val="minor"/>
      </rPr>
      <t xml:space="preserve">Great in meeting the Sprint Goal
</t>
    </r>
    <r>
      <rPr>
        <sz val="10"/>
        <color rgb="FF000000"/>
        <rFont val="Arial"/>
        <scheme val="minor"/>
      </rPr>
      <t xml:space="preserve">
</t>
    </r>
    <r>
      <rPr>
        <b/>
        <sz val="10"/>
        <color rgb="FF000000"/>
        <rFont val="Arial"/>
        <scheme val="minor"/>
      </rPr>
      <t xml:space="preserve">What went well?
</t>
    </r>
    <r>
      <rPr>
        <sz val="10"/>
        <color rgb="FF000000"/>
        <rFont val="Arial"/>
        <scheme val="minor"/>
      </rPr>
      <t xml:space="preserve">All planned stories got completed and more
Quick turn around on the Hot Fix
</t>
    </r>
    <r>
      <rPr>
        <b/>
        <sz val="10"/>
        <color rgb="FF000000"/>
        <rFont val="Arial"/>
        <scheme val="minor"/>
      </rPr>
      <t xml:space="preserve">What didn’t go well?
</t>
    </r>
    <r>
      <rPr>
        <sz val="10"/>
        <color rgb="FF000000"/>
        <rFont val="Arial"/>
        <scheme val="minor"/>
      </rPr>
      <t xml:space="preserve">A number of security issues came through which was unplanned and high priority for some old modules
The arc review is preventing us from implementing B2C
</t>
    </r>
    <r>
      <rPr>
        <b/>
        <sz val="10"/>
        <color rgb="FF000000"/>
        <rFont val="Arial"/>
        <scheme val="minor"/>
      </rPr>
      <t xml:space="preserve">Kudos
</t>
    </r>
    <r>
      <rPr>
        <sz val="10"/>
        <color rgb="FF000000"/>
        <rFont val="Arial"/>
        <scheme val="minor"/>
      </rPr>
      <t>Offshore team did a great job on OB and Donor work, completed everything +1
Appreciate Rajesh stepping in and covering for Prabhu
 Joe and Prabhu giving assistance on couple of stories for testing to Alice( specially on Donor project)
Quick turn around on the Hot Fix 		
Alice and Offshore QA team has done a great job on automation testing which made both the prod release testing quick +1</t>
    </r>
  </si>
  <si>
    <t>OB-OP 8.1 Sprint 2</t>
  </si>
  <si>
    <r>
      <rPr>
        <sz val="10"/>
        <color rgb="FF000000"/>
        <rFont val="Arial"/>
        <scheme val="minor"/>
      </rPr>
      <t xml:space="preserve">More OB UX, Donor Platform infrastructure, and OP security remediation.
</t>
    </r>
    <r>
      <rPr>
        <b/>
        <sz val="10"/>
        <color rgb="FF000000"/>
        <rFont val="Arial"/>
        <scheme val="minor"/>
      </rPr>
      <t xml:space="preserve">Accomplishment
</t>
    </r>
    <r>
      <rPr>
        <sz val="10"/>
        <color rgb="FF000000"/>
        <rFont val="Arial"/>
        <scheme val="minor"/>
      </rPr>
      <t>Completed OB UX stories,took a stretch story and completed that as well</t>
    </r>
  </si>
  <si>
    <r>
      <rPr>
        <sz val="10"/>
        <color rgb="FF000000"/>
        <rFont val="Arial"/>
        <scheme val="minor"/>
      </rPr>
      <t xml:space="preserve">
Peer CRC:0 
Onsite CRC:0
Client CRC: 0
Internal Defects:1
External Defects: 0
</t>
    </r>
    <r>
      <rPr>
        <b/>
        <sz val="10"/>
        <color rgb="FF000000"/>
        <rFont val="Arial"/>
        <scheme val="minor"/>
      </rPr>
      <t xml:space="preserve">Pending reason
</t>
    </r>
    <r>
      <rPr>
        <sz val="10"/>
        <color rgb="FF000000"/>
        <rFont val="Arial"/>
        <scheme val="minor"/>
      </rPr>
      <t xml:space="preserve">OB-3784 - Due to few escalation and production login issue couldn't work on this before, but Development is completed, need to do local and DEV testing
</t>
    </r>
    <r>
      <rPr>
        <b/>
        <sz val="10"/>
        <color rgb="FF000000"/>
        <rFont val="Arial"/>
        <scheme val="minor"/>
      </rPr>
      <t xml:space="preserve">Internal Defect
</t>
    </r>
    <r>
      <rPr>
        <sz val="10"/>
        <color rgb="FF000000"/>
        <rFont val="Arial"/>
        <scheme val="minor"/>
      </rPr>
      <t>OB-3790 - Missed in local and DEV testing, need to compare all the scenarios with Old UI</t>
    </r>
  </si>
  <si>
    <r>
      <rPr>
        <b/>
        <sz val="10"/>
        <color rgb="FF000000"/>
        <rFont val="Arial"/>
        <scheme val="minor"/>
      </rPr>
      <t xml:space="preserve">Completed the design stories in OB pages
</t>
    </r>
    <r>
      <rPr>
        <sz val="10"/>
        <color rgb="FF000000"/>
        <rFont val="Arial"/>
        <scheme val="minor"/>
      </rPr>
      <t xml:space="preserve">
</t>
    </r>
    <r>
      <rPr>
        <b/>
        <sz val="10"/>
        <color rgb="FF000000"/>
        <rFont val="Arial"/>
        <scheme val="minor"/>
      </rPr>
      <t xml:space="preserve">What went well?
</t>
    </r>
    <r>
      <rPr>
        <sz val="10"/>
        <color rgb="FF000000"/>
        <rFont val="Arial"/>
        <scheme val="minor"/>
      </rPr>
      <t xml:space="preserve">Design story in OB page is completed along with one more stretch story
</t>
    </r>
    <r>
      <rPr>
        <b/>
        <sz val="10"/>
        <color rgb="FF000000"/>
        <rFont val="Arial"/>
        <scheme val="minor"/>
      </rPr>
      <t xml:space="preserve">What didn’t go well?
</t>
    </r>
    <r>
      <rPr>
        <sz val="10"/>
        <color rgb="FF000000"/>
        <rFont val="Arial"/>
        <scheme val="minor"/>
      </rPr>
      <t xml:space="preserve">One design story that needs to be updated in GGO page is carry forwarded to next sprint as testing is pending
</t>
    </r>
    <r>
      <rPr>
        <b/>
        <sz val="10"/>
        <color rgb="FF000000"/>
        <rFont val="Arial"/>
        <scheme val="minor"/>
      </rPr>
      <t xml:space="preserve">Kudos
</t>
    </r>
    <r>
      <rPr>
        <sz val="10"/>
        <color rgb="FF000000"/>
        <rFont val="Arial"/>
        <scheme val="minor"/>
      </rPr>
      <t>Offshore team did a great job on OB and Donor work</t>
    </r>
  </si>
  <si>
    <t>OB-OP 8.1 Sprint 3</t>
  </si>
  <si>
    <r>
      <rPr>
        <sz val="10"/>
        <color rgb="FF000000"/>
        <rFont val="Arial"/>
        <scheme val="minor"/>
      </rPr>
      <t xml:space="preserve">Continue OB UX (Package Cards, Donation Modal), Platform work, Security remediation
</t>
    </r>
    <r>
      <rPr>
        <b/>
        <sz val="10"/>
        <color rgb="FF000000"/>
        <rFont val="Arial"/>
        <scheme val="minor"/>
      </rPr>
      <t xml:space="preserve">Accomplishment
</t>
    </r>
    <r>
      <rPr>
        <sz val="10"/>
        <color rgb="FF000000"/>
        <rFont val="Arial"/>
        <scheme val="minor"/>
      </rPr>
      <t>Implemented the package design in browse page by mapping with API and also the search functionality</t>
    </r>
  </si>
  <si>
    <r>
      <rPr>
        <sz val="10"/>
        <color rgb="FF000000"/>
        <rFont val="Arial"/>
        <scheme val="minor"/>
      </rPr>
      <t xml:space="preserve">
Peer CRC:0 
Onsite CRC:0
Client CRC: 0
Internal Defects:0
External Defects: 0
</t>
    </r>
    <r>
      <rPr>
        <b/>
        <sz val="10"/>
        <color rgb="FF000000"/>
        <rFont val="Arial"/>
        <scheme val="minor"/>
      </rPr>
      <t xml:space="preserve">Pending reason
</t>
    </r>
    <r>
      <rPr>
        <sz val="10"/>
        <color rgb="FF000000"/>
        <rFont val="Arial"/>
        <scheme val="minor"/>
      </rPr>
      <t xml:space="preserve">
OB-3689, OB-3724 - Development completed, local testing by pointing DEV DB is done, Peer review for one story is completed(OB 3689), OB 3724 can be reviewed only when the previous story is deployed as it is the dependent story - OB certificate issue blocked testing in Dev</t>
    </r>
  </si>
  <si>
    <r>
      <rPr>
        <b/>
        <sz val="10"/>
        <color rgb="FF000000"/>
        <rFont val="Arial"/>
        <scheme val="minor"/>
      </rPr>
      <t xml:space="preserve">Well Done Team for another great Sprint. The  Sprint goal wasn't met because of the certificate issue which is out of our hands.
What went well?
</t>
    </r>
    <r>
      <rPr>
        <sz val="10"/>
        <color rgb="FF000000"/>
        <rFont val="Arial"/>
        <scheme val="minor"/>
      </rPr>
      <t xml:space="preserve">Donor app progress was good
A lot of positive comments from CS on the Donor Platform progress - well done team!
“The login page looks great and it will be one of the most visited page”
</t>
    </r>
    <r>
      <rPr>
        <b/>
        <sz val="10"/>
        <color rgb="FF000000"/>
        <rFont val="Arial"/>
        <scheme val="minor"/>
      </rPr>
      <t xml:space="preserve">What didn’t go well?
</t>
    </r>
    <r>
      <rPr>
        <sz val="10"/>
        <color rgb="FF000000"/>
        <rFont val="Arial"/>
        <scheme val="minor"/>
      </rPr>
      <t xml:space="preserve">OB certificate issue blocked testing in Dev, TST and CRT
OB  build Pipeline issue
The fixes for WhiteHat security  findings was challenging
</t>
    </r>
    <r>
      <rPr>
        <b/>
        <sz val="10"/>
        <color rgb="FF000000"/>
        <rFont val="Arial"/>
        <scheme val="minor"/>
      </rPr>
      <t xml:space="preserve">Kudos
</t>
    </r>
    <r>
      <rPr>
        <sz val="10"/>
        <color rgb="FF000000"/>
        <rFont val="Arial"/>
        <scheme val="minor"/>
      </rPr>
      <t>Prabhu for supporting Alice with Donor platform testing
Mercy for cross site scripting testing and bringing up some issues
Prabhu, Rajesh, Mike H and Joe for  getting  the Certificate issue  resolved, it is very close to getting done
Arivalagan - the code he delivered for Don 39 and  Don 40 is of high quality</t>
    </r>
  </si>
  <si>
    <t>OB-OP 8.1 Sprint 4</t>
  </si>
  <si>
    <r>
      <rPr>
        <sz val="10"/>
        <color rgb="FF000000"/>
        <rFont val="Arial"/>
        <scheme val="minor"/>
      </rPr>
      <t xml:space="preserve">Continue OB UX, Platform work, Security remediation
</t>
    </r>
    <r>
      <rPr>
        <b/>
        <sz val="10"/>
        <color rgb="FF000000"/>
        <rFont val="Arial"/>
        <scheme val="minor"/>
      </rPr>
      <t xml:space="preserve">Accomplishment
</t>
    </r>
    <r>
      <rPr>
        <sz val="10"/>
        <color rgb="FF000000"/>
        <rFont val="Arial"/>
        <scheme val="minor"/>
      </rPr>
      <t>Worked on the macroscopic stories related to vulnerable package, CRT testing of OB and OP</t>
    </r>
  </si>
  <si>
    <r>
      <rPr>
        <sz val="10"/>
        <color rgb="FF000000"/>
        <rFont val="Arial"/>
        <scheme val="minor"/>
      </rPr>
      <t xml:space="preserve">
Peer CRC:0 
Onsite CRC:0
Client CRC: 0
Internal Defects:2
External Defects: 0
</t>
    </r>
    <r>
      <rPr>
        <b/>
        <sz val="10"/>
        <color rgb="FF000000"/>
        <rFont val="Arial"/>
        <scheme val="minor"/>
      </rPr>
      <t xml:space="preserve">Internal Defect
</t>
    </r>
    <r>
      <rPr>
        <sz val="10"/>
        <color rgb="FF000000"/>
        <rFont val="Arial"/>
        <scheme val="minor"/>
      </rPr>
      <t xml:space="preserve">OB-3801 - Missed to check in local and DEV testing
OB-3802 - Need to edit all the values and check, missed the custom amount scenario
</t>
    </r>
    <r>
      <rPr>
        <b/>
        <sz val="10"/>
        <color rgb="FF000000"/>
        <rFont val="Arial"/>
        <scheme val="minor"/>
      </rPr>
      <t xml:space="preserve">Pending reason
</t>
    </r>
    <r>
      <rPr>
        <sz val="10"/>
        <color rgb="FF000000"/>
        <rFont val="Arial"/>
        <scheme val="minor"/>
      </rPr>
      <t>OP-2786 - CRT testing for OP coudn't be completed</t>
    </r>
  </si>
  <si>
    <r>
      <rPr>
        <b/>
        <sz val="10"/>
        <color rgb="FF000000"/>
        <rFont val="Arial"/>
        <scheme val="minor"/>
      </rPr>
      <t xml:space="preserve">Well Done on completing another big Sprint given all the Challenges! the assistance provide to Onsite QA Alice for the complete all the testing including OB CRT  testing was acknowledged and appreciated by all at the Retrospective meeting today.
</t>
    </r>
    <r>
      <rPr>
        <sz val="10"/>
        <color rgb="FF000000"/>
        <rFont val="Arial"/>
        <scheme val="minor"/>
      </rPr>
      <t xml:space="preserve">
</t>
    </r>
    <r>
      <rPr>
        <b/>
        <sz val="10"/>
        <color rgb="FF000000"/>
        <rFont val="Arial"/>
        <scheme val="minor"/>
      </rPr>
      <t xml:space="preserve">What went well?
</t>
    </r>
    <r>
      <rPr>
        <sz val="10"/>
        <color rgb="FF000000"/>
        <rFont val="Arial"/>
        <scheme val="minor"/>
      </rPr>
      <t xml:space="preserve">Most of the planned stories got completed + some stretch stories
Upper Management support for getting us out of OP bug bounty
</t>
    </r>
    <r>
      <rPr>
        <b/>
        <sz val="10"/>
        <color rgb="FF000000"/>
        <rFont val="Arial"/>
        <scheme val="minor"/>
      </rPr>
      <t xml:space="preserve">What didn’t go well?
</t>
    </r>
    <r>
      <rPr>
        <sz val="10"/>
        <color rgb="FF000000"/>
        <rFont val="Arial"/>
        <scheme val="minor"/>
      </rPr>
      <t xml:space="preserve">Implementing the WAF caused us to do additional testing in CRT affecting both OB and OP
B2C implementation using MSAL  was challenging without having designated MFA policy
</t>
    </r>
    <r>
      <rPr>
        <b/>
        <sz val="10"/>
        <color rgb="FF000000"/>
        <rFont val="Arial"/>
        <scheme val="minor"/>
      </rPr>
      <t xml:space="preserve">Kudos
</t>
    </r>
    <r>
      <rPr>
        <sz val="10"/>
        <color rgb="FF000000"/>
        <rFont val="Arial"/>
        <scheme val="minor"/>
      </rPr>
      <t>Offshore team and Prabhu for the implementation of B2C token, It was difficult and needed a lot of coordination +1
Well Done on the OB Cert issue
Prabhu and Joe for the support with all the testing
Offshore  QA for for helping Alice with all the testing
Rajesh for clearing the CRT issue
Offshore ( OB/OP and Donor) for completing the planned stories+1</t>
    </r>
  </si>
  <si>
    <t>OB-OP 8.2 Sprint 1</t>
  </si>
  <si>
    <r>
      <rPr>
        <sz val="10"/>
        <color rgb="FF000000"/>
        <rFont val="Arial"/>
        <scheme val="minor"/>
      </rPr>
      <t xml:space="preserve">Release OB 8.1 to PRD, OB UX, Donor Platform
</t>
    </r>
    <r>
      <rPr>
        <b/>
        <sz val="10"/>
        <color rgb="FF000000"/>
        <rFont val="Arial"/>
        <scheme val="minor"/>
      </rPr>
      <t xml:space="preserve">Accomplishment
</t>
    </r>
    <r>
      <rPr>
        <sz val="10"/>
        <color rgb="FF000000"/>
        <rFont val="Arial"/>
        <scheme val="minor"/>
      </rPr>
      <t>Completed the design for detail page and worked on some improvements in design and fucntionality in new UI</t>
    </r>
  </si>
  <si>
    <r>
      <rPr>
        <sz val="10"/>
        <color rgb="FF000000"/>
        <rFont val="Arial"/>
        <scheme val="minor"/>
      </rPr>
      <t xml:space="preserve">Peer CRC:3 
Onsite CRC:0
Client CRC: 0
Internal Defects:0
External Defects: 0
</t>
    </r>
    <r>
      <rPr>
        <b/>
        <sz val="10"/>
        <color rgb="FF000000"/>
        <rFont val="Arial"/>
        <scheme val="minor"/>
      </rPr>
      <t xml:space="preserve">Review Comment
</t>
    </r>
    <r>
      <rPr>
        <sz val="10"/>
        <color rgb="FF000000"/>
        <rFont val="Arial"/>
        <scheme val="minor"/>
      </rPr>
      <t>1. Move numbers to constant variables
2. Use bootstrap classes
3. Reduce the code by putting repeated codes as common method</t>
    </r>
  </si>
  <si>
    <r>
      <rPr>
        <sz val="10"/>
        <color rgb="FF000000"/>
        <rFont val="Arial"/>
        <scheme val="minor"/>
      </rPr>
      <t xml:space="preserve">There were few challenges on the Donor stories  given it was all the same page, client is aware of it and appreciates the hard work put in
</t>
    </r>
    <r>
      <rPr>
        <b/>
        <sz val="10"/>
        <color rgb="FF000000"/>
        <rFont val="Arial"/>
        <scheme val="minor"/>
      </rPr>
      <t xml:space="preserve">What went well?
</t>
    </r>
    <r>
      <rPr>
        <sz val="10"/>
        <color rgb="FF000000"/>
        <rFont val="Arial"/>
        <scheme val="minor"/>
      </rPr>
      <t xml:space="preserve">Both OB and Donor feature implementation went well
OB Prod release was long but very smooth
</t>
    </r>
    <r>
      <rPr>
        <b/>
        <sz val="10"/>
        <color rgb="FF000000"/>
        <rFont val="Arial"/>
        <scheme val="minor"/>
      </rPr>
      <t xml:space="preserve">What didn’t go well?
</t>
    </r>
    <r>
      <rPr>
        <sz val="10"/>
        <color rgb="FF000000"/>
        <rFont val="Arial"/>
        <scheme val="minor"/>
      </rPr>
      <t xml:space="preserve">Dependency on B2C token
Given multiple stories were for the same Home page there was time spent on fixing merge conflict
</t>
    </r>
    <r>
      <rPr>
        <b/>
        <sz val="10"/>
        <color rgb="FF000000"/>
        <rFont val="Arial"/>
        <scheme val="minor"/>
      </rPr>
      <t xml:space="preserve">Kudos
</t>
    </r>
    <r>
      <rPr>
        <sz val="10"/>
        <color rgb="FF000000"/>
        <rFont val="Arial"/>
        <scheme val="minor"/>
      </rPr>
      <t xml:space="preserve">OB search functionality was a great win- Prabhu Sankar [C]+1
Prabhu for sticking in there on the Donor app with Joe- coordinating all the updates with offshore +1
Prabhu for supporting Alice on the local setup for Donor testing
Offshore for putting in a lot of effort in designing the application the way it is+1
</t>
    </r>
  </si>
  <si>
    <t>OB-OP 8.2 Sprint 2</t>
  </si>
  <si>
    <r>
      <rPr>
        <sz val="10"/>
        <color rgb="FF000000"/>
        <rFont val="Arial"/>
        <scheme val="minor"/>
      </rPr>
      <t xml:space="preserve">OP PRD release, continue Ob UX work, continue Donor Platform
</t>
    </r>
    <r>
      <rPr>
        <b/>
        <sz val="10"/>
        <color rgb="FF000000"/>
        <rFont val="Arial"/>
        <scheme val="minor"/>
      </rPr>
      <t xml:space="preserve">Accomplishment
</t>
    </r>
    <r>
      <rPr>
        <sz val="10"/>
        <color rgb="FF000000"/>
        <rFont val="Arial"/>
        <scheme val="minor"/>
      </rPr>
      <t>Completed the design for filtering the packages with multiple options and added bid modal to allow the users to bid the package</t>
    </r>
  </si>
  <si>
    <r>
      <rPr>
        <sz val="10"/>
        <color rgb="FF000000"/>
        <rFont val="Arial"/>
        <scheme val="minor"/>
      </rPr>
      <t xml:space="preserve">
Peer CRC:0 
Onsite CRC:1
Client CRC: 0
Internal Defects:2
External Defects: 0
</t>
    </r>
    <r>
      <rPr>
        <b/>
        <sz val="10"/>
        <color rgb="FF000000"/>
        <rFont val="Arial"/>
        <scheme val="minor"/>
      </rPr>
      <t xml:space="preserve">Review Comment - </t>
    </r>
    <r>
      <rPr>
        <sz val="10"/>
        <color rgb="FF000000"/>
        <rFont val="Arial"/>
        <scheme val="minor"/>
      </rPr>
      <t xml:space="preserve">Avoid multiple API calls
</t>
    </r>
    <r>
      <rPr>
        <b/>
        <sz val="10"/>
        <color rgb="FF000000"/>
        <rFont val="Arial"/>
        <scheme val="minor"/>
      </rPr>
      <t xml:space="preserve">
Internal Defect 
</t>
    </r>
    <r>
      <rPr>
        <sz val="10"/>
        <color rgb="FF000000"/>
        <rFont val="Arial"/>
        <scheme val="minor"/>
      </rPr>
      <t xml:space="preserve">OB-3818 - Outbid popup didnt occur beacuse of the last minute spelling change which needs to be change in SQL also but we missed that
OB-3819 - Issue couldn't be reproduced with the exact steps mentioned in the description, but while using search filter this was reproduceable 
</t>
    </r>
    <r>
      <rPr>
        <b/>
        <sz val="10"/>
        <color rgb="FF000000"/>
        <rFont val="Arial"/>
        <scheme val="minor"/>
      </rPr>
      <t xml:space="preserve">Pending Reason
</t>
    </r>
    <r>
      <rPr>
        <sz val="10"/>
        <color rgb="FF000000"/>
        <rFont val="Arial"/>
        <scheme val="minor"/>
      </rPr>
      <t xml:space="preserve">OB-3718 - Development was started on last friday only since there was a discussion going on with client side designer (Sep 5). Development and DEV testing was completed but we prioritised 8 point story to go for review initially because of DEV deployment failure in last week for 2 days and due to which we had many merge conflict in coding for this story. </t>
    </r>
  </si>
  <si>
    <r>
      <rPr>
        <b/>
        <sz val="10"/>
        <color rgb="FF000000"/>
        <rFont val="Arial"/>
        <scheme val="minor"/>
      </rPr>
      <t xml:space="preserve">Keep up the good work team, kudos on hustling to complete the planned stories given the build issue this Sprint!
</t>
    </r>
    <r>
      <rPr>
        <sz val="10"/>
        <color rgb="FF000000"/>
        <rFont val="Arial"/>
        <scheme val="minor"/>
      </rPr>
      <t xml:space="preserve">
</t>
    </r>
    <r>
      <rPr>
        <b/>
        <sz val="10"/>
        <color rgb="FF000000"/>
        <rFont val="Arial"/>
        <scheme val="minor"/>
      </rPr>
      <t xml:space="preserve">What went well?
</t>
    </r>
    <r>
      <rPr>
        <sz val="10"/>
        <color rgb="FF000000"/>
        <rFont val="Arial"/>
        <scheme val="minor"/>
      </rPr>
      <t xml:space="preserve">Completed way more than planned
2  Prod releases this sprint
Over the hump on the security issues (DevOps side)
Macroscope report is up to date
Macroscope report is up to date
</t>
    </r>
    <r>
      <rPr>
        <b/>
        <sz val="10"/>
        <color rgb="FF000000"/>
        <rFont val="Arial"/>
        <scheme val="minor"/>
      </rPr>
      <t xml:space="preserve">What didn’t go well?
</t>
    </r>
    <r>
      <rPr>
        <sz val="10"/>
        <color rgb="FF000000"/>
        <rFont val="Arial"/>
        <scheme val="minor"/>
      </rPr>
      <t xml:space="preserve">Implemented security measures that caused pipeline issues
The team is putting renewed emphasis to be compliant with FIGMA design
</t>
    </r>
    <r>
      <rPr>
        <b/>
        <sz val="10"/>
        <color rgb="FF000000"/>
        <rFont val="Arial"/>
        <scheme val="minor"/>
      </rPr>
      <t xml:space="preserve">Kudos
</t>
    </r>
    <r>
      <rPr>
        <sz val="10"/>
        <color rgb="FF000000"/>
        <rFont val="Arial"/>
        <scheme val="minor"/>
      </rPr>
      <t xml:space="preserve">
Great job team on completing more than planned given all the challenges
Prabhu and Joe for helping setup Dionor platform and general testing support, including the hotfix testing
Offshore for fixing the bugs under OB stories really fast
To Prabhu for getting offshore to be compliant with Bootstrap +2
Offshore team for being resilient and delivering on the designs meeting all the AC +2</t>
    </r>
  </si>
  <si>
    <t>OB-OP 8.2 Sprint 3</t>
  </si>
  <si>
    <r>
      <rPr>
        <sz val="10"/>
        <color rgb="FF000000"/>
        <rFont val="Arial"/>
        <scheme val="minor"/>
      </rPr>
      <t xml:space="preserve">Continue OB UX, Donor Platform
</t>
    </r>
    <r>
      <rPr>
        <b/>
        <sz val="10"/>
        <color rgb="FF000000"/>
        <rFont val="Arial"/>
        <scheme val="minor"/>
      </rPr>
      <t xml:space="preserve">Accomplishment
</t>
    </r>
    <r>
      <rPr>
        <sz val="10"/>
        <color rgb="FF000000"/>
        <rFont val="Arial"/>
        <scheme val="minor"/>
      </rPr>
      <t>Took 2 stretch stories and completed that
Completed the bid and buy now popup which is most important for bidding application
Overall as a team, We forecasted 34 Story points and completed 41 Story points</t>
    </r>
  </si>
  <si>
    <r>
      <rPr>
        <sz val="10"/>
        <color rgb="FF000000"/>
        <rFont val="Arial"/>
        <scheme val="minor"/>
      </rPr>
      <t xml:space="preserve">Peer CRC:0 
Onsite CRC:1
Client CRC: 2
Internal Defects:0
External Defects: 0
</t>
    </r>
    <r>
      <rPr>
        <b/>
        <sz val="10"/>
        <color rgb="FF000000"/>
        <rFont val="Arial"/>
        <scheme val="minor"/>
      </rPr>
      <t xml:space="preserve">Review comment
</t>
    </r>
    <r>
      <rPr>
        <sz val="10"/>
        <color rgb="FF000000"/>
        <rFont val="Arial"/>
        <scheme val="minor"/>
      </rPr>
      <t>1. Add error callback.
2. Use tab or this.activeTab throughout for consistency.
3. Remove multiple div condition in HTML and use switch case</t>
    </r>
  </si>
  <si>
    <r>
      <rPr>
        <b/>
        <sz val="10"/>
        <color rgb="FF000000"/>
        <rFont val="Arial"/>
        <scheme val="minor"/>
      </rPr>
      <t xml:space="preserve">A big shout out to team for complete more the committed stories yet another Sprint.  A special mention for OB/OP offshore team for going above and beyond.
</t>
    </r>
    <r>
      <rPr>
        <sz val="10"/>
        <color rgb="FF000000"/>
        <rFont val="Arial"/>
        <scheme val="minor"/>
      </rPr>
      <t xml:space="preserve">
</t>
    </r>
    <r>
      <rPr>
        <b/>
        <sz val="10"/>
        <color rgb="FF000000"/>
        <rFont val="Arial"/>
        <scheme val="minor"/>
      </rPr>
      <t xml:space="preserve">What went well?
</t>
    </r>
    <r>
      <rPr>
        <sz val="10"/>
        <color rgb="FF000000"/>
        <rFont val="Arial"/>
        <scheme val="minor"/>
      </rPr>
      <t xml:space="preserve">Completed more than planned
Lack of any escalation or any distraction lead to a lot getting done by team
</t>
    </r>
    <r>
      <rPr>
        <b/>
        <sz val="10"/>
        <color rgb="FF000000"/>
        <rFont val="Arial"/>
        <scheme val="minor"/>
      </rPr>
      <t xml:space="preserve">What didn’t go well?
</t>
    </r>
    <r>
      <rPr>
        <sz val="10"/>
        <color rgb="FF000000"/>
        <rFont val="Arial"/>
        <scheme val="minor"/>
      </rPr>
      <t xml:space="preserve">Vega is a new component library and taking some extra time to apply our customization
</t>
    </r>
    <r>
      <rPr>
        <b/>
        <sz val="10"/>
        <color rgb="FF000000"/>
        <rFont val="Arial"/>
        <scheme val="minor"/>
      </rPr>
      <t xml:space="preserve">Kudos
</t>
    </r>
    <r>
      <rPr>
        <sz val="10"/>
        <color rgb="FF000000"/>
        <rFont val="Arial"/>
        <scheme val="minor"/>
      </rPr>
      <t>Joe: Appreciate all the help from Prabhu and Alice especially towards end for review and getting everything tested out
Rajesh has been very responsive from the GGO side
Prabhu: OB/OP offshore team for completing all that was committed and more +1 from Rajesh
Joe: All the ob work looks really great +1
Alice: Shout out to Joe and Prabhu for the support on testing
Mike Horihan who is dealing with the cyber security  and shielding the team</t>
    </r>
  </si>
  <si>
    <t>OB-OP 8.2 Sprint 4</t>
  </si>
  <si>
    <r>
      <rPr>
        <sz val="10"/>
        <color rgb="FF000000"/>
        <rFont val="Arial"/>
        <scheme val="minor"/>
      </rPr>
      <t xml:space="preserve">Release OB 8.2. to CRT, continue OB UX and Donor Platform
</t>
    </r>
    <r>
      <rPr>
        <b/>
        <sz val="10"/>
        <color rgb="FF000000"/>
        <rFont val="Arial"/>
        <scheme val="minor"/>
      </rPr>
      <t xml:space="preserve">Accomplishment
</t>
    </r>
    <r>
      <rPr>
        <sz val="10"/>
        <color rgb="FF000000"/>
        <rFont val="Arial"/>
        <scheme val="minor"/>
      </rPr>
      <t xml:space="preserve">Completed all the sprint stories
Good work on the OB UX cleanup
Added max bid alert and status banner for the packages
</t>
    </r>
  </si>
  <si>
    <r>
      <rPr>
        <sz val="10"/>
        <color rgb="FF000000"/>
        <rFont val="Arial"/>
        <scheme val="minor"/>
      </rPr>
      <t xml:space="preserve">Peer CRC:0 
Onsite CRC:0
Client CRC: 0
Internal Defects:2
External Defects: 0
</t>
    </r>
    <r>
      <rPr>
        <b/>
        <sz val="10"/>
        <color rgb="FF000000"/>
        <rFont val="Arial"/>
        <scheme val="minor"/>
      </rPr>
      <t xml:space="preserve">Internal Defect
</t>
    </r>
    <r>
      <rPr>
        <sz val="10"/>
        <color rgb="FF000000"/>
        <rFont val="Arial"/>
        <scheme val="minor"/>
      </rPr>
      <t>Both defectes were found in CRT regression testing and will be worked in next sprint as it is not of part of this release
One defect OB-3837 was developed and tested initially but later while changing the logic, missed this scenario, other bug OB-3836 was missed in development and testing</t>
    </r>
  </si>
  <si>
    <r>
      <rPr>
        <b/>
        <sz val="10"/>
        <color rgb="FF000000"/>
        <rFont val="Arial"/>
        <scheme val="minor"/>
      </rPr>
      <t xml:space="preserve">Well Done on keeping the momentum going and delivering more the planned!
</t>
    </r>
    <r>
      <rPr>
        <sz val="10"/>
        <color rgb="FF000000"/>
        <rFont val="Arial"/>
        <scheme val="minor"/>
      </rPr>
      <t xml:space="preserve">
</t>
    </r>
    <r>
      <rPr>
        <b/>
        <sz val="10"/>
        <color rgb="FF000000"/>
        <rFont val="Arial"/>
        <scheme val="minor"/>
      </rPr>
      <t xml:space="preserve">What went well?
</t>
    </r>
    <r>
      <rPr>
        <sz val="10"/>
        <color rgb="FF000000"/>
        <rFont val="Arial"/>
        <scheme val="minor"/>
      </rPr>
      <t xml:space="preserve">Very few distractions
Completed more than planned
</t>
    </r>
    <r>
      <rPr>
        <b/>
        <sz val="10"/>
        <color rgb="FF000000"/>
        <rFont val="Arial"/>
        <scheme val="minor"/>
      </rPr>
      <t xml:space="preserve">What didn’t go well?
</t>
    </r>
    <r>
      <rPr>
        <sz val="10"/>
        <color rgb="FF000000"/>
        <rFont val="Arial"/>
        <scheme val="minor"/>
      </rPr>
      <t xml:space="preserve">Customization on the google places autocomplete textbox was challenging
</t>
    </r>
    <r>
      <rPr>
        <b/>
        <sz val="10"/>
        <color rgb="FF000000"/>
        <rFont val="Arial"/>
        <scheme val="minor"/>
      </rPr>
      <t xml:space="preserve">Kudos
</t>
    </r>
    <r>
      <rPr>
        <sz val="10"/>
        <color rgb="FF000000"/>
        <rFont val="Arial"/>
        <scheme val="minor"/>
      </rPr>
      <t>Joe : Prabhu for overseeing all the offshore work
Prabhu : OB/OP offshore team and Donor offshore team were very productive
Alice : Offshore QA Mercy for catching some issues and  Murugasen and Mercy doing very good testing</t>
    </r>
  </si>
  <si>
    <t>OB-OP 8.3 Sprint 1</t>
  </si>
  <si>
    <t>4/0</t>
  </si>
  <si>
    <r>
      <rPr>
        <sz val="10"/>
        <color rgb="FF000000"/>
        <rFont val="Arial"/>
        <scheme val="minor"/>
      </rPr>
      <t xml:space="preserve">Production release, wrap up OB UX and continue work on Donor platform
</t>
    </r>
    <r>
      <rPr>
        <b/>
        <sz val="10"/>
        <color rgb="FF000000"/>
        <rFont val="Arial"/>
        <scheme val="minor"/>
      </rPr>
      <t xml:space="preserve">
Accomplishment
</t>
    </r>
    <r>
      <rPr>
        <sz val="10"/>
        <color rgb="FF000000"/>
        <rFont val="Arial"/>
        <scheme val="minor"/>
      </rPr>
      <t>Completed all the sprint stories and took stretch stories as well and completed
Good work on the OB UX cleanup
Added zoom feature to the package image in detail page</t>
    </r>
  </si>
  <si>
    <r>
      <rPr>
        <sz val="10"/>
        <color rgb="FF000000"/>
        <rFont val="Arial"/>
        <scheme val="minor"/>
      </rPr>
      <t xml:space="preserve">Peer CRC:0 
Onsite CRC:0
Client CRC: 0
Internal Defects:1
External Defects: 0
</t>
    </r>
    <r>
      <rPr>
        <b/>
        <sz val="10"/>
        <color rgb="FF000000"/>
        <rFont val="Arial"/>
        <scheme val="minor"/>
      </rPr>
      <t xml:space="preserve">Internal Defect
</t>
    </r>
    <r>
      <rPr>
        <sz val="10"/>
        <color rgb="FF000000"/>
        <rFont val="Arial"/>
        <scheme val="minor"/>
      </rPr>
      <t>Tested the same behaviour in local and DEV before raising PR it was working fine, bug has come due to merge conflict in the code</t>
    </r>
  </si>
  <si>
    <r>
      <rPr>
        <b/>
        <sz val="10"/>
        <color rgb="FF000000"/>
        <rFont val="Arial"/>
        <scheme val="minor"/>
      </rPr>
      <t xml:space="preserve">Great work Team for for meeting the commit again given the mid sprint changes for Profile and Login, Well Done!
</t>
    </r>
    <r>
      <rPr>
        <sz val="10"/>
        <color rgb="FF000000"/>
        <rFont val="Arial"/>
        <scheme val="minor"/>
      </rPr>
      <t xml:space="preserve">
</t>
    </r>
    <r>
      <rPr>
        <b/>
        <sz val="10"/>
        <color rgb="FF000000"/>
        <rFont val="Arial"/>
        <scheme val="minor"/>
      </rPr>
      <t xml:space="preserve">What went well?
</t>
    </r>
    <r>
      <rPr>
        <sz val="10"/>
        <color rgb="FF000000"/>
        <rFont val="Arial"/>
        <scheme val="minor"/>
      </rPr>
      <t xml:space="preserve">Met the commit goal and more
Production release for OB 8.2 went well
</t>
    </r>
    <r>
      <rPr>
        <b/>
        <sz val="10"/>
        <color rgb="FF000000"/>
        <rFont val="Arial"/>
        <scheme val="minor"/>
      </rPr>
      <t xml:space="preserve">What didn’t go well?
</t>
    </r>
    <r>
      <rPr>
        <sz val="10"/>
        <color rgb="FF000000"/>
        <rFont val="Arial"/>
        <scheme val="minor"/>
      </rPr>
      <t xml:space="preserve">Couple of changes mid Sprint regarding Profile and Login
</t>
    </r>
    <r>
      <rPr>
        <b/>
        <sz val="10"/>
        <color rgb="FF000000"/>
        <rFont val="Arial"/>
        <scheme val="minor"/>
      </rPr>
      <t xml:space="preserve">Kudos
</t>
    </r>
    <r>
      <rPr>
        <sz val="10"/>
        <color rgb="FF000000"/>
        <rFont val="Arial"/>
        <scheme val="minor"/>
      </rPr>
      <t>Joe:
Prabhu took a quiet a few to start with making sure everything goes well  and leading / managing the big offshore team +2
Good job by offshore team by being Agile for taking all the requirement changes on the stride and changes related to Vega +2
Alice:
Offshore QA for great help with testing and writing fantastic test plans both Mercy and Murugesan +1
Prabhu:
Joe for putting in a lot effort in multiple stories
Thanks to Derek for always being being available with quick responses+1
Rajesh for supporting on the MFA work</t>
    </r>
  </si>
  <si>
    <t>OB-OP 8.3 Sprint 2</t>
  </si>
  <si>
    <r>
      <rPr>
        <sz val="10"/>
        <color rgb="FF000000"/>
        <rFont val="Arial"/>
        <scheme val="minor"/>
      </rPr>
      <t xml:space="preserve">Wrap up OB UX and continue work on Donor platform
</t>
    </r>
    <r>
      <rPr>
        <b/>
        <sz val="10"/>
        <color rgb="FF000000"/>
        <rFont val="Arial"/>
        <scheme val="minor"/>
      </rPr>
      <t xml:space="preserve">Accomplishment
</t>
    </r>
    <r>
      <rPr>
        <sz val="10"/>
        <color rgb="FF000000"/>
        <rFont val="Arial"/>
        <scheme val="minor"/>
      </rPr>
      <t>Completed all the sprint stories and took a stretch story and completed that as well
Implemented sign out feature for the user, even auto logout implemented
Implemented buy logic for multisale packages</t>
    </r>
  </si>
  <si>
    <r>
      <rPr>
        <sz val="10"/>
        <color rgb="FF000000"/>
        <rFont val="Arial"/>
        <scheme val="minor"/>
      </rPr>
      <t xml:space="preserve">Peer CRC:0 
Onsite CRC:3
Client CRC: 2
Internal Defects:1
External Defects: 0
</t>
    </r>
    <r>
      <rPr>
        <b/>
        <sz val="10"/>
        <color rgb="FF000000"/>
        <rFont val="Arial"/>
        <scheme val="minor"/>
      </rPr>
      <t xml:space="preserve">Internal Defect
</t>
    </r>
    <r>
      <rPr>
        <sz val="10"/>
        <color rgb="FF000000"/>
        <rFont val="Arial"/>
        <scheme val="minor"/>
      </rPr>
      <t xml:space="preserve">While testing this story in DEV, eveything was working correctly. Due to the changes done in the before PR, that change has affected in this branch
</t>
    </r>
    <r>
      <rPr>
        <b/>
        <sz val="10"/>
        <color rgb="FF000000"/>
        <rFont val="Arial"/>
        <scheme val="minor"/>
      </rPr>
      <t xml:space="preserve">Review comments
ONSITE
</t>
    </r>
    <r>
      <rPr>
        <sz val="10"/>
        <color rgb="FF000000"/>
        <rFont val="Arial"/>
        <scheme val="minor"/>
      </rPr>
      <t xml:space="preserve">1. Move the magic string to constants
2. Simplify the if condition to more readable
3. Avoid repeated codes in the same file
</t>
    </r>
    <r>
      <rPr>
        <b/>
        <sz val="10"/>
        <color rgb="FF000000"/>
        <rFont val="Arial"/>
        <scheme val="minor"/>
      </rPr>
      <t xml:space="preserve">
CLIENT
</t>
    </r>
    <r>
      <rPr>
        <sz val="10"/>
        <color rgb="FF000000"/>
        <rFont val="Arial"/>
        <scheme val="minor"/>
      </rPr>
      <t>1. Let's throw some error handling on the methods that aren't just calling other methods.
2. Make sure to implement onDestroy since we're using it.</t>
    </r>
  </si>
  <si>
    <r>
      <rPr>
        <b/>
        <sz val="10"/>
        <color rgb="FF000000"/>
        <rFont val="Arial"/>
        <scheme val="minor"/>
      </rPr>
      <t xml:space="preserve">Here is the well deserved feedback from Onsite including the Managers on how this team is on autopilot, well done!
</t>
    </r>
    <r>
      <rPr>
        <sz val="10"/>
        <color rgb="FF000000"/>
        <rFont val="Arial"/>
        <scheme val="minor"/>
      </rPr>
      <t xml:space="preserve">
</t>
    </r>
    <r>
      <rPr>
        <b/>
        <sz val="10"/>
        <color rgb="FF000000"/>
        <rFont val="Arial"/>
        <scheme val="minor"/>
      </rPr>
      <t xml:space="preserve">What went well?
</t>
    </r>
    <r>
      <rPr>
        <sz val="10"/>
        <color rgb="FF000000"/>
        <rFont val="Arial"/>
        <scheme val="minor"/>
      </rPr>
      <t xml:space="preserve">Well planned Sprint-  the tickets were pointed properly and the AC was detailed.
The stories coming out in phases for QA to test rather than all together +1
</t>
    </r>
    <r>
      <rPr>
        <b/>
        <sz val="10"/>
        <color rgb="FF000000"/>
        <rFont val="Arial"/>
        <scheme val="minor"/>
      </rPr>
      <t xml:space="preserve">What didn’t go well?
</t>
    </r>
    <r>
      <rPr>
        <sz val="10"/>
        <color rgb="FF000000"/>
        <rFont val="Arial"/>
        <scheme val="minor"/>
      </rPr>
      <t xml:space="preserve">Security settings blocking sales appearing in GGO, that let to delay in testing OB
</t>
    </r>
    <r>
      <rPr>
        <b/>
        <sz val="10"/>
        <color rgb="FF000000"/>
        <rFont val="Arial"/>
        <scheme val="minor"/>
      </rPr>
      <t xml:space="preserve">Kudos
</t>
    </r>
    <r>
      <rPr>
        <sz val="10"/>
        <color rgb="FF000000"/>
        <rFont val="Arial"/>
        <scheme val="minor"/>
      </rPr>
      <t>Joe:
Arivalangan - The login page styling and
Ubai- update to to credit card area
Preethi and Karthi- slide out menu stood out and was a big impact to what is seen
Alice:
Offshore QA- Mercy and Murugasen for putting all the details in written
Writing great test plans which frees up Alice to work on automation
For Prabhu and Rajesh in helping diagnose all those little issues
Prabhu:
Joe for taking on both Login flow and Signup flow
All offshore team members for completing all the work
Rajesh for supporting with Azure work +1 ( Alice)
Irsath and Kannan for the work on B2C flow as it was challenging but he was able to get it done +1 (Joe)
Owen : Thanks to everyone on the team for being on autopilot mode +1(Mike H)</t>
    </r>
  </si>
  <si>
    <t>OB-OP 8.3 Sprint 3</t>
  </si>
  <si>
    <r>
      <rPr>
        <sz val="10"/>
        <color rgb="FF000000"/>
        <rFont val="Arial"/>
        <scheme val="minor"/>
      </rPr>
      <t xml:space="preserve">Continue work on OB UX and Donor platform
</t>
    </r>
    <r>
      <rPr>
        <b/>
        <sz val="10"/>
        <color rgb="FF000000"/>
        <rFont val="Arial"/>
        <scheme val="minor"/>
      </rPr>
      <t xml:space="preserve">Accomplishment
</t>
    </r>
    <r>
      <rPr>
        <sz val="10"/>
        <color rgb="FF000000"/>
        <rFont val="Arial"/>
        <scheme val="minor"/>
      </rPr>
      <t>Implemented pagination to our application 
Completed search functionality with the new updated approach</t>
    </r>
  </si>
  <si>
    <r>
      <rPr>
        <sz val="10"/>
        <color rgb="FF000000"/>
        <rFont val="Arial"/>
        <scheme val="minor"/>
      </rPr>
      <t xml:space="preserve">Peer CRC:0 
Onsite CRC:0
Client CRC: 0
Internal Defects:0
External Defects: 0
</t>
    </r>
    <r>
      <rPr>
        <b/>
        <sz val="10"/>
        <color rgb="FF000000"/>
        <rFont val="Arial"/>
        <scheme val="minor"/>
      </rPr>
      <t xml:space="preserve">
</t>
    </r>
    <r>
      <rPr>
        <sz val="10"/>
        <color rgb="FF000000"/>
        <rFont val="Arial"/>
        <scheme val="minor"/>
      </rPr>
      <t xml:space="preserve">
</t>
    </r>
    <r>
      <rPr>
        <b/>
        <sz val="10"/>
        <color rgb="FF000000"/>
        <rFont val="Arial"/>
        <scheme val="minor"/>
      </rPr>
      <t xml:space="preserve">
Pending Reason
</t>
    </r>
    <r>
      <rPr>
        <sz val="10"/>
        <color rgb="FF000000"/>
        <rFont val="Arial"/>
        <scheme val="minor"/>
      </rPr>
      <t>OB-3846 - We had 2 different set of codes, implemented that and was pending with PO decision, later they gave us the image ratio, but then the focus were on other priority stories( two 5 pointers), so this one couldn’t able to resume work during the sprint
OB-3870 - Focus was on other priority stories, so this one couldn’t able to start work during the sprint</t>
    </r>
  </si>
  <si>
    <r>
      <rPr>
        <b/>
        <sz val="10"/>
        <color rgb="FF000000"/>
        <rFont val="Arial"/>
        <scheme val="minor"/>
      </rPr>
      <t xml:space="preserve">Well Done Team for pulling through yet another Sprint  meeting the commit given the complexities
</t>
    </r>
    <r>
      <rPr>
        <sz val="10"/>
        <color rgb="FF000000"/>
        <rFont val="Arial"/>
        <scheme val="minor"/>
      </rPr>
      <t xml:space="preserve">
</t>
    </r>
    <r>
      <rPr>
        <b/>
        <sz val="10"/>
        <color rgb="FF000000"/>
        <rFont val="Arial"/>
        <scheme val="minor"/>
      </rPr>
      <t xml:space="preserve">What went well?
</t>
    </r>
    <r>
      <rPr>
        <sz val="10"/>
        <color rgb="FF000000"/>
        <rFont val="Arial"/>
        <scheme val="minor"/>
      </rPr>
      <t xml:space="preserve">Yet again completed all planned stories
Work is getting completed for Dev environment
</t>
    </r>
    <r>
      <rPr>
        <b/>
        <sz val="10"/>
        <color rgb="FF000000"/>
        <rFont val="Arial"/>
        <scheme val="minor"/>
      </rPr>
      <t xml:space="preserve">What didn’t go well?
</t>
    </r>
    <r>
      <rPr>
        <sz val="10"/>
        <color rgb="FF000000"/>
        <rFont val="Arial"/>
        <scheme val="minor"/>
      </rPr>
      <t xml:space="preserve">None
</t>
    </r>
    <r>
      <rPr>
        <b/>
        <sz val="10"/>
        <color rgb="FF000000"/>
        <rFont val="Arial"/>
        <scheme val="minor"/>
      </rPr>
      <t xml:space="preserve">Kudos
Joe:
</t>
    </r>
    <r>
      <rPr>
        <sz val="10"/>
        <color rgb="FF000000"/>
        <rFont val="Arial"/>
        <scheme val="minor"/>
      </rPr>
      <t xml:space="preserve">Profile data management looked really good- Kudos to Kannan and Ubai
Profile clean up looks really good- Kudos to Arivalagan
Preethi on pagination - very good initial PR given the complexity +1 (Prabhu)
Karthi on autocomplete  - very good initial PR given the complexity +1 (Prabhu)
Prabhu has a big job to look over a lot of developer and work and all the PRs
</t>
    </r>
    <r>
      <rPr>
        <b/>
        <sz val="10"/>
        <color rgb="FF000000"/>
        <rFont val="Arial"/>
        <scheme val="minor"/>
      </rPr>
      <t xml:space="preserve">Alice:
</t>
    </r>
    <r>
      <rPr>
        <sz val="10"/>
        <color rgb="FF000000"/>
        <rFont val="Arial"/>
        <scheme val="minor"/>
      </rPr>
      <t xml:space="preserve">Offshore QA put a lot extra effort in putting the test plans together and all the testing in taking us to the finish line while Alice could focus on the automation +1 (Prabhu)
</t>
    </r>
    <r>
      <rPr>
        <b/>
        <sz val="10"/>
        <color rgb="FF000000"/>
        <rFont val="Arial"/>
        <scheme val="minor"/>
      </rPr>
      <t xml:space="preserve">Prabhu:
</t>
    </r>
    <r>
      <rPr>
        <sz val="10"/>
        <color rgb="FF000000"/>
        <rFont val="Arial"/>
        <scheme val="minor"/>
      </rPr>
      <t>Joe for providing continuous support +1 (Mike Horihan)
Rajesh for supporting the with clarification between Donor and GDon team +1 (Joe), +1 (Mike Horihan)</t>
    </r>
  </si>
  <si>
    <t>OB-OP 8.3 Sprint 4</t>
  </si>
  <si>
    <r>
      <rPr>
        <sz val="10"/>
        <color rgb="FF000000"/>
        <rFont val="Arial"/>
        <scheme val="minor"/>
      </rPr>
      <t xml:space="preserve">OB CRT release and continue work on OB UX and Donor platform
</t>
    </r>
    <r>
      <rPr>
        <b/>
        <sz val="10"/>
        <color rgb="FF000000"/>
        <rFont val="Arial"/>
        <scheme val="minor"/>
      </rPr>
      <t xml:space="preserve">Accomplishment
</t>
    </r>
    <r>
      <rPr>
        <sz val="10"/>
        <color rgb="FF000000"/>
        <rFont val="Arial"/>
        <scheme val="minor"/>
      </rPr>
      <t xml:space="preserve">Worked on the package stretch part and updated
Started with caching feature
Imporoved search and filter functionality
</t>
    </r>
  </si>
  <si>
    <r>
      <rPr>
        <sz val="10"/>
        <color rgb="FF000000"/>
        <rFont val="Arial"/>
        <scheme val="minor"/>
      </rPr>
      <t xml:space="preserve">Peer CRC:0 
Onsite CRC:0
Client CRC: 2
Internal Defects:6
External Defects: 0
</t>
    </r>
    <r>
      <rPr>
        <b/>
        <sz val="10"/>
        <color rgb="FF000000"/>
        <rFont val="Arial"/>
        <scheme val="minor"/>
      </rPr>
      <t xml:space="preserve">Review Comments
</t>
    </r>
    <r>
      <rPr>
        <sz val="10"/>
        <color rgb="FF000000"/>
        <rFont val="Arial"/>
        <scheme val="minor"/>
      </rPr>
      <t xml:space="preserve">1. No need to check &gt; 0 against length. An empty array returns 0 (falsy), so just _this.selectedFilter?.category?.length. Use (?.) to safely chain it.
2. Better to check price === 'number' than !==null. That's what we really care about.
</t>
    </r>
    <r>
      <rPr>
        <b/>
        <sz val="10"/>
        <color rgb="FF000000"/>
        <rFont val="Arial"/>
        <scheme val="minor"/>
      </rPr>
      <t xml:space="preserve">Internal Defect
</t>
    </r>
    <r>
      <rPr>
        <sz val="10"/>
        <color rgb="FF000000"/>
        <rFont val="Arial"/>
        <scheme val="minor"/>
      </rPr>
      <t xml:space="preserve">OB-3883 would have been caused due to the recent changes, need to check the root cause yet
OB-3884 - this is due to the changes made in the story worked during 8.3 sprint 2
2 bugs OB-3885, OB-3886 are related to the recent pagination changes which we have done, signalr changes causes this issue
OB-3887 - This is a known issue since development, tried many approaches in initial days of development itself, but this was not working as expected, so need to research and work on this
OB-3888 - Missed from the current sprint story
</t>
    </r>
    <r>
      <rPr>
        <b/>
        <sz val="10"/>
        <color rgb="FF000000"/>
        <rFont val="Arial"/>
        <scheme val="minor"/>
      </rPr>
      <t xml:space="preserve">Pending reason
</t>
    </r>
    <r>
      <rPr>
        <sz val="10"/>
        <color rgb="FF000000"/>
        <rFont val="Arial"/>
        <scheme val="minor"/>
      </rPr>
      <t>1. OB-3877 - Lot more prerequisite changes were needed to implement the points in the AC and that was covered in OB-3881 - Completed all the points mentioned in AC and did DEV testing. PR was raised on the last day and was pending with Joe's review</t>
    </r>
  </si>
  <si>
    <r>
      <rPr>
        <b/>
        <sz val="10"/>
        <color rgb="FF000000"/>
        <rFont val="Arial"/>
        <scheme val="minor"/>
      </rPr>
      <t xml:space="preserve">Client and everyone at onsite appreciated your efforts during the onsite holidays and PTOs, keep up the good work Team!
</t>
    </r>
    <r>
      <rPr>
        <sz val="10"/>
        <color rgb="FF000000"/>
        <rFont val="Arial"/>
        <scheme val="minor"/>
      </rPr>
      <t xml:space="preserve">
</t>
    </r>
    <r>
      <rPr>
        <b/>
        <sz val="10"/>
        <color rgb="FF000000"/>
        <rFont val="Arial"/>
        <scheme val="minor"/>
      </rPr>
      <t xml:space="preserve">What went well?
</t>
    </r>
    <r>
      <rPr>
        <sz val="10"/>
        <color rgb="FF000000"/>
        <rFont val="Arial"/>
        <scheme val="minor"/>
      </rPr>
      <t xml:space="preserve">Despite multiple PTOs and holiday schedule, the team completed the key commitments
</t>
    </r>
    <r>
      <rPr>
        <b/>
        <sz val="10"/>
        <color rgb="FF000000"/>
        <rFont val="Arial"/>
        <scheme val="minor"/>
      </rPr>
      <t xml:space="preserve">What didn’t go well?
</t>
    </r>
    <r>
      <rPr>
        <sz val="10"/>
        <color rgb="FF000000"/>
        <rFont val="Arial"/>
        <scheme val="minor"/>
      </rPr>
      <t xml:space="preserve">TST environment was down for 1 day
</t>
    </r>
    <r>
      <rPr>
        <b/>
        <sz val="10"/>
        <color rgb="FF000000"/>
        <rFont val="Arial"/>
        <scheme val="minor"/>
      </rPr>
      <t xml:space="preserve">Kudos
Joe:
</t>
    </r>
    <r>
      <rPr>
        <sz val="10"/>
        <color rgb="FF000000"/>
        <rFont val="Arial"/>
        <scheme val="minor"/>
      </rPr>
      <t xml:space="preserve">The profile initials functionality was super cool- great job Ubai and Kannan
Error page again great work Ubai and Kannan while Joe could work on other tickets
Ob package alignment and resolving the stretch for that - Great job Karthi and Prabhu for the work
Prabhu for organizing and thinking about the approach for caching and search functionality. Great job in specifying the work that needs to be done
</t>
    </r>
    <r>
      <rPr>
        <b/>
        <sz val="10"/>
        <color rgb="FF000000"/>
        <rFont val="Arial"/>
        <scheme val="minor"/>
      </rPr>
      <t xml:space="preserve">Alice:
</t>
    </r>
    <r>
      <rPr>
        <sz val="10"/>
        <color rgb="FF000000"/>
        <rFont val="Arial"/>
        <scheme val="minor"/>
      </rPr>
      <t xml:space="preserve">Mercy and Murugasen for doing excellent testing while Alice was on PTO +1 (Prabhu)
Did excellent test plans which was very helpful
</t>
    </r>
    <r>
      <rPr>
        <b/>
        <sz val="10"/>
        <color rgb="FF000000"/>
        <rFont val="Arial"/>
        <scheme val="minor"/>
      </rPr>
      <t xml:space="preserve">Prabhu:
</t>
    </r>
    <r>
      <rPr>
        <sz val="10"/>
        <color rgb="FF000000"/>
        <rFont val="Arial"/>
        <scheme val="minor"/>
      </rPr>
      <t>Mercy and Murgasen for going over and beyond
Preethi for the good progress on caching +1 (Joe)
Joe for his consistent support
Rajesh for providing support with all Donor stories</t>
    </r>
  </si>
  <si>
    <t>OB-OP 8.4 Sprint 1</t>
  </si>
  <si>
    <r>
      <rPr>
        <sz val="10"/>
        <color rgb="FF000000"/>
        <rFont val="Arial"/>
        <scheme val="minor"/>
      </rPr>
      <t xml:space="preserve">Release OB 8.3 to PRD, continue OB UX, continue Donor Platform
</t>
    </r>
    <r>
      <rPr>
        <b/>
        <sz val="10"/>
        <color rgb="FF000000"/>
        <rFont val="Arial"/>
        <scheme val="minor"/>
      </rPr>
      <t xml:space="preserve">Accomplishment
</t>
    </r>
    <r>
      <rPr>
        <sz val="10"/>
        <color rgb="FF000000"/>
        <rFont val="Arial"/>
        <scheme val="minor"/>
      </rPr>
      <t>Completed Caching feature
Optimised the code for better performance
Completed the bugs reported in last sprint</t>
    </r>
  </si>
  <si>
    <r>
      <rPr>
        <sz val="10"/>
        <color rgb="FF000000"/>
        <rFont val="Arial"/>
        <scheme val="minor"/>
      </rPr>
      <t xml:space="preserve">Peer CRC:0 
Onsite CRC:0
Client CRC: 2
Internal Defects:0
External Defects: 0
</t>
    </r>
    <r>
      <rPr>
        <b/>
        <sz val="10"/>
        <color rgb="FF000000"/>
        <rFont val="Arial"/>
        <scheme val="minor"/>
      </rPr>
      <t xml:space="preserve">Review comments
</t>
    </r>
    <r>
      <rPr>
        <sz val="10"/>
        <color rgb="FF000000"/>
        <rFont val="Arial"/>
        <scheme val="minor"/>
      </rPr>
      <t xml:space="preserve">1.use of ToLower() will cause significant issues (full table scans, bypassing indexes and unneeded comparisons
2. Stick with the use of hasValue() checks over !=NULL. HasValue translates to IS NOT NULL in SQL. We should flag this for optimization later. It will get called frequently.and If there are more condition in HTML, move it to ts as a method
</t>
    </r>
  </si>
  <si>
    <r>
      <rPr>
        <b/>
        <sz val="10"/>
        <color rgb="FF000000"/>
        <rFont val="Arial"/>
        <scheme val="minor"/>
      </rPr>
      <t xml:space="preserve">A strong finish to the year,  well done team!
</t>
    </r>
    <r>
      <rPr>
        <sz val="10"/>
        <color rgb="FF000000"/>
        <rFont val="Arial"/>
        <scheme val="minor"/>
      </rPr>
      <t xml:space="preserve">
</t>
    </r>
    <r>
      <rPr>
        <b/>
        <sz val="10"/>
        <color rgb="FF000000"/>
        <rFont val="Arial"/>
        <scheme val="minor"/>
      </rPr>
      <t xml:space="preserve">What went well?
</t>
    </r>
    <r>
      <rPr>
        <sz val="10"/>
        <color rgb="FF000000"/>
        <rFont val="Arial"/>
        <scheme val="minor"/>
      </rPr>
      <t xml:space="preserve">Completed the planned stories and more
</t>
    </r>
    <r>
      <rPr>
        <b/>
        <sz val="10"/>
        <color rgb="FF000000"/>
        <rFont val="Arial"/>
        <scheme val="minor"/>
      </rPr>
      <t xml:space="preserve">What didn’t go well?
</t>
    </r>
    <r>
      <rPr>
        <sz val="10"/>
        <color rgb="FF000000"/>
        <rFont val="Arial"/>
        <scheme val="minor"/>
      </rPr>
      <t xml:space="preserve">The team had to wait on getting Donor database access
Still don’t have our own B2C policy
</t>
    </r>
    <r>
      <rPr>
        <b/>
        <sz val="10"/>
        <color rgb="FF000000"/>
        <rFont val="Arial"/>
        <scheme val="minor"/>
      </rPr>
      <t xml:space="preserve">Kudos
Joe:
</t>
    </r>
    <r>
      <rPr>
        <sz val="10"/>
        <color rgb="FF000000"/>
        <rFont val="Arial"/>
        <scheme val="minor"/>
      </rPr>
      <t xml:space="preserve">Prabhu and offshore team for some really great dev work, pagination, filtering and caching. That's a big ask  and they have done a terrific job. OB is looking great (+1 Mike)
</t>
    </r>
    <r>
      <rPr>
        <b/>
        <sz val="10"/>
        <color rgb="FF000000"/>
        <rFont val="Arial"/>
        <scheme val="minor"/>
      </rPr>
      <t xml:space="preserve">Alice:
</t>
    </r>
    <r>
      <rPr>
        <sz val="10"/>
        <color rgb="FF000000"/>
        <rFont val="Arial"/>
        <scheme val="minor"/>
      </rPr>
      <t xml:space="preserve">Mercy and Murugasen for doing a lot of  good testing, creating good test plans, catching bugs early codes come clean letting Alice focus on automation
Prabhu for letting me know things are ready for testing and in general very smooth
All the pre testing done by dev is ending up with sprints going smoother
</t>
    </r>
    <r>
      <rPr>
        <b/>
        <sz val="10"/>
        <color rgb="FF000000"/>
        <rFont val="Arial"/>
        <scheme val="minor"/>
      </rPr>
      <t xml:space="preserve">Prabhu:
</t>
    </r>
    <r>
      <rPr>
        <sz val="10"/>
        <color rgb="FF000000"/>
        <rFont val="Arial"/>
        <scheme val="minor"/>
      </rPr>
      <t xml:space="preserve">Joe for all the support he has provided for the team
Preethi on the caching , filtering and pagination work. She did a tremendous job on all of these items (+1 Joe)
AliCe, Mercy and Murugasen for the thorough testing
</t>
    </r>
  </si>
  <si>
    <t>OB-OP 8.4 Sprint 2</t>
  </si>
  <si>
    <t>7.5/0</t>
  </si>
  <si>
    <r>
      <rPr>
        <sz val="10"/>
        <color rgb="FF000000"/>
        <rFont val="Arial"/>
        <scheme val="minor"/>
      </rPr>
      <t xml:space="preserve">Finish OB UX and beginning phase 2 of Donor platform
</t>
    </r>
    <r>
      <rPr>
        <b/>
        <sz val="10"/>
        <color rgb="FF000000"/>
        <rFont val="Arial"/>
        <scheme val="minor"/>
      </rPr>
      <t xml:space="preserve">Accomplishment
</t>
    </r>
    <r>
      <rPr>
        <sz val="10"/>
        <color rgb="FF000000"/>
        <rFont val="Arial"/>
        <scheme val="minor"/>
      </rPr>
      <t>Completed the changes needed for the CRT release</t>
    </r>
  </si>
  <si>
    <r>
      <rPr>
        <sz val="10"/>
        <color rgb="FF000000"/>
        <rFont val="Arial"/>
        <scheme val="minor"/>
      </rPr>
      <t xml:space="preserve">Peer CRC:0 
Onsite CRC:0
Client CRC: 0
Internal Defects:3 (2 bugs are not related to the stories done in current sprint, defects found during regression)
External Defects: 0
</t>
    </r>
    <r>
      <rPr>
        <b/>
        <sz val="10"/>
        <color rgb="FF000000"/>
        <rFont val="Arial"/>
        <scheme val="minor"/>
      </rPr>
      <t xml:space="preserve">
Internal Defect
</t>
    </r>
    <r>
      <rPr>
        <sz val="10"/>
        <color rgb="FF000000"/>
        <rFont val="Arial"/>
        <scheme val="minor"/>
      </rPr>
      <t xml:space="preserve">1. OB-3903 - We have been doing UX cleanup for browse pages, but detail page was missed to add in that, so created a defect for this and will be working in next sprint
2. OB-3905 - This is an existing behaviour in old UX missed to add in new UX and has been found during regression
3. OB-3901 - Due to the past sprint story review comment changes, this scenario got broken but this was working fine while doing DEV testing in past sprint
</t>
    </r>
    <r>
      <rPr>
        <b/>
        <sz val="10"/>
        <color rgb="FF000000"/>
        <rFont val="Arial"/>
        <scheme val="minor"/>
      </rPr>
      <t xml:space="preserve">Pending Reason
</t>
    </r>
    <r>
      <rPr>
        <sz val="10"/>
        <color rgb="FF000000"/>
        <rFont val="Arial"/>
        <scheme val="minor"/>
      </rPr>
      <t>OB-3895, OB-3864 - Prabu was working on the review and making code changes to improve the deliverable, which caused a delay at the peer‑review stage. but offshore development has completed.</t>
    </r>
  </si>
  <si>
    <r>
      <rPr>
        <b/>
        <sz val="10"/>
        <color rgb="FF000000"/>
        <rFont val="Arial"/>
        <scheme val="minor"/>
      </rPr>
      <t xml:space="preserve">Well the retro appreciation for each of  you says it all, Well Done Team for yet another great Sprint! Both Devs and QAs were equally  appreciated for high delivery quality, keep up the good work Team
</t>
    </r>
    <r>
      <rPr>
        <sz val="10"/>
        <color rgb="FF000000"/>
        <rFont val="Arial"/>
        <scheme val="minor"/>
      </rPr>
      <t xml:space="preserve">
</t>
    </r>
    <r>
      <rPr>
        <b/>
        <sz val="10"/>
        <color rgb="FF000000"/>
        <rFont val="Arial"/>
        <scheme val="minor"/>
      </rPr>
      <t xml:space="preserve">What went well?
</t>
    </r>
    <r>
      <rPr>
        <sz val="10"/>
        <color rgb="FF000000"/>
        <rFont val="Arial"/>
        <scheme val="minor"/>
      </rPr>
      <t xml:space="preserve">Completed more than planned stories even though it was holiday time
</t>
    </r>
    <r>
      <rPr>
        <b/>
        <sz val="10"/>
        <color rgb="FF000000"/>
        <rFont val="Arial"/>
        <scheme val="minor"/>
      </rPr>
      <t xml:space="preserve">What didn’t go well?
</t>
    </r>
    <r>
      <rPr>
        <sz val="10"/>
        <color rgb="FF000000"/>
        <rFont val="Arial"/>
        <scheme val="minor"/>
      </rPr>
      <t xml:space="preserve">Setting up the new Dev environment for Donor platform is challenging
</t>
    </r>
    <r>
      <rPr>
        <b/>
        <sz val="10"/>
        <color rgb="FF000000"/>
        <rFont val="Arial"/>
        <scheme val="minor"/>
      </rPr>
      <t xml:space="preserve">Kudos
Joe:
</t>
    </r>
    <r>
      <rPr>
        <sz val="10"/>
        <color rgb="FF000000"/>
        <rFont val="Arial"/>
        <scheme val="minor"/>
      </rPr>
      <t xml:space="preserve">Offshore team has done great work particularly OB . It looks great. They are in  rhythm and code quality is really great. (+1 Mike +1 Alice +1 Prabhu +1 Rajesh)
Prabhu for being a great leader, organizer great PR and testing (+1 Mike +1 Alice +1 Rajesh)
</t>
    </r>
    <r>
      <rPr>
        <b/>
        <sz val="10"/>
        <color rgb="FF000000"/>
        <rFont val="Arial"/>
        <scheme val="minor"/>
      </rPr>
      <t xml:space="preserve">Alice:
</t>
    </r>
    <r>
      <rPr>
        <sz val="10"/>
        <color rgb="FF000000"/>
        <rFont val="Arial"/>
        <scheme val="minor"/>
      </rPr>
      <t xml:space="preserve">Offshore Qa for some great test plans and great testing, couple issues caught early and resolved
A lot of testing happens in Dev before coming to TST
Joe, Rajesh and Moose for the environment set up
</t>
    </r>
    <r>
      <rPr>
        <b/>
        <sz val="10"/>
        <color rgb="FF000000"/>
        <rFont val="Arial"/>
        <scheme val="minor"/>
      </rPr>
      <t>Prabu</t>
    </r>
    <r>
      <rPr>
        <sz val="10"/>
        <color rgb="FF000000"/>
        <rFont val="Arial"/>
        <scheme val="minor"/>
      </rPr>
      <t xml:space="preserve">:
Rajesh for supporting and resolving issues whenever requested (+1 Joe) and resolving it the same day
Joe and Alice for their support for the entire support
Derek for always being available for the team (+1 Joe)
</t>
    </r>
  </si>
  <si>
    <t>OB-OP 8.4 Sprint 4</t>
  </si>
  <si>
    <t>16/0</t>
  </si>
  <si>
    <r>
      <rPr>
        <sz val="10"/>
        <color rgb="FF000000"/>
        <rFont val="Arial"/>
        <scheme val="minor"/>
      </rPr>
      <t xml:space="preserve">Release OB 8.4.0 to CRT. Test it thoroughly. Continue Donor Platform build for b2c
</t>
    </r>
    <r>
      <rPr>
        <b/>
        <sz val="10"/>
        <color rgb="FF000000"/>
        <rFont val="Arial"/>
        <scheme val="minor"/>
      </rPr>
      <t xml:space="preserve">Accomplishment
</t>
    </r>
    <r>
      <rPr>
        <sz val="10"/>
        <color rgb="FF000000"/>
        <rFont val="Arial"/>
        <scheme val="minor"/>
      </rPr>
      <t>Completed current sprint tickets and took bugs and new story requirements from backlog and completed those</t>
    </r>
  </si>
  <si>
    <r>
      <rPr>
        <sz val="10"/>
        <color rgb="FF000000"/>
        <rFont val="Arial"/>
        <scheme val="minor"/>
      </rPr>
      <t xml:space="preserve">Peer CRC:0 
Onsite CRC:0
Client CRC: 0
Internal Defects: 6
External Defects: 0
</t>
    </r>
    <r>
      <rPr>
        <b/>
        <sz val="10"/>
        <color rgb="FF000000"/>
        <rFont val="Arial"/>
        <scheme val="minor"/>
      </rPr>
      <t xml:space="preserve">Pending Reason
OB-3913 - </t>
    </r>
    <r>
      <rPr>
        <sz val="10"/>
        <color rgb="FF000000"/>
        <rFont val="Arial"/>
        <scheme val="minor"/>
      </rPr>
      <t xml:space="preserve">After CRT release, CS team shared few points to work on, so will be deploying those changes to CRT in upcoming weeks and testing will continue in CRT, hence this story is carry forwarded to next sprint
</t>
    </r>
    <r>
      <rPr>
        <b/>
        <sz val="10"/>
        <color rgb="FF000000"/>
        <rFont val="Arial"/>
        <scheme val="minor"/>
      </rPr>
      <t xml:space="preserve">Internal Defects
</t>
    </r>
    <r>
      <rPr>
        <sz val="10"/>
        <color rgb="FF000000"/>
        <rFont val="Arial"/>
        <scheme val="minor"/>
      </rPr>
      <t>1. OB-3916 - We need to test all scenarios in all tabs - this occurs in one tab and rest of the 2 tabs are working as expected
2. OB-3917 - Minor issues found during regression in TST, few incosistent issues and few browser specific issues
3. OB-3925 - Came from CS Team during CRT testing. We didn't have any story to handle this button functionality before, so can be considered as new requirement
4. OB-3924 - Came from CS Team during CRT testing. The feature has behaved this way since development and may have been missed in the PO requirements.
5. OB-3926 - Came from CS Team during CRT testing. This was already addressed by QAs during testing of those stories
6. OB-3927 - Came from CS team during CRT testing. We didnt have any story to handle single sponsor scenario and also static sponsors</t>
    </r>
  </si>
  <si>
    <r>
      <rPr>
        <sz val="10"/>
        <color rgb="FF000000"/>
        <rFont val="Arial"/>
        <scheme val="minor"/>
      </rPr>
      <t xml:space="preserve">Great effort, Keep up the good work!
</t>
    </r>
    <r>
      <rPr>
        <b/>
        <sz val="10"/>
        <color rgb="FF000000"/>
        <rFont val="Arial"/>
        <scheme val="minor"/>
      </rPr>
      <t xml:space="preserve">What went well?
</t>
    </r>
    <r>
      <rPr>
        <sz val="10"/>
        <color rgb="FF000000"/>
        <rFont val="Arial"/>
        <scheme val="minor"/>
      </rPr>
      <t xml:space="preserve">CRT release went and CS team tested and shared their feedback
</t>
    </r>
    <r>
      <rPr>
        <b/>
        <sz val="10"/>
        <color rgb="FF000000"/>
        <rFont val="Arial"/>
        <scheme val="minor"/>
      </rPr>
      <t xml:space="preserve">What didn’t go well?
</t>
    </r>
    <r>
      <rPr>
        <sz val="10"/>
        <color rgb="FF000000"/>
        <rFont val="Arial"/>
        <scheme val="minor"/>
      </rPr>
      <t xml:space="preserve">Trouble shooting and setting up the new Dev environment has been difficult
</t>
    </r>
    <r>
      <rPr>
        <b/>
        <sz val="10"/>
        <color rgb="FF000000"/>
        <rFont val="Arial"/>
        <scheme val="minor"/>
      </rPr>
      <t>Kudos
Joe:</t>
    </r>
    <r>
      <rPr>
        <sz val="10"/>
        <color rgb="FF000000"/>
        <rFont val="Arial"/>
        <scheme val="minor"/>
      </rPr>
      <t xml:space="preserve"> 
Prabhu really pushes the pace of the team and that's why we were able to bring in those bugs(+1 Rajesh)
Consistent high quality work by the team(+1 Prabhu)
B2C pages looks great +1 Prabhu
Derek for queuing in all those bugs from CS and internal Stakeholders (+1 Alice, +1 Rajesh, +1 Prabhu)
Client Services for great testing (+1 Alice)
Great testing by CS, Alice and offshore in the past Sprint 
</t>
    </r>
    <r>
      <rPr>
        <b/>
        <sz val="10"/>
        <color rgb="FF000000"/>
        <rFont val="Arial"/>
        <scheme val="minor"/>
      </rPr>
      <t xml:space="preserve">Alice:
</t>
    </r>
    <r>
      <rPr>
        <sz val="10"/>
        <color rgb="FF000000"/>
        <rFont val="Arial"/>
        <scheme val="minor"/>
      </rPr>
      <t xml:space="preserve">Offshore Dev for fixing all the bugs
Offshore Qa Mercy for finding few of the bugs
Online Bidding sales issue support from Rajesh and Joe
</t>
    </r>
    <r>
      <rPr>
        <b/>
        <sz val="10"/>
        <color rgb="FF000000"/>
        <rFont val="Arial"/>
        <scheme val="minor"/>
      </rPr>
      <t>Prabhu</t>
    </r>
    <r>
      <rPr>
        <sz val="10"/>
        <color rgb="FF000000"/>
        <rFont val="Arial"/>
        <scheme val="minor"/>
      </rPr>
      <t xml:space="preserve">:
Offshore team for taking ownership of the bugs which came and they quickly fixed it. 
Kudos to Preethi, Karthi and Mercy(+1 Joe, +1 Mike , +1 Alice , +1 Rajesh)
All the bugs got discussed and completed because of Joe ‘s support given he already had a lot on his plate
</t>
    </r>
  </si>
  <si>
    <t>OB-OP 8.5 Sprint 1</t>
  </si>
  <si>
    <t>9/0</t>
  </si>
  <si>
    <r>
      <rPr>
        <sz val="10"/>
        <color rgb="FF000000"/>
        <rFont val="Arial"/>
        <scheme val="minor"/>
      </rPr>
      <t xml:space="preserve">Release OB 8.4.0 to CRT. Test it thoroughly. Continue Donor Platform build for b2c
</t>
    </r>
    <r>
      <rPr>
        <b/>
        <sz val="10"/>
        <color rgb="FF000000"/>
        <rFont val="Arial"/>
        <scheme val="minor"/>
      </rPr>
      <t xml:space="preserve">Accomplishment
</t>
    </r>
    <r>
      <rPr>
        <sz val="10"/>
        <color rgb="FF000000"/>
        <rFont val="Arial"/>
        <scheme val="minor"/>
      </rPr>
      <t>Completed current sprint development stories
Took stories from backlog and completed those as well
Another stretch story related to signalr - made good progress on that
Completed almost all necessary items for next CRT release</t>
    </r>
  </si>
  <si>
    <r>
      <rPr>
        <sz val="10"/>
        <color rgb="FF000000"/>
        <rFont val="Arial"/>
        <scheme val="minor"/>
      </rPr>
      <t xml:space="preserve">Peer CRC:0 
Onsite CRC:1
Client CRC: 0
Internal Defects: 2
External Defects: 0
</t>
    </r>
    <r>
      <rPr>
        <b/>
        <sz val="10"/>
        <color rgb="FF000000"/>
        <rFont val="Arial"/>
        <scheme val="minor"/>
      </rPr>
      <t>Review comment</t>
    </r>
    <r>
      <rPr>
        <sz val="10"/>
        <color rgb="FF000000"/>
        <rFont val="Arial"/>
        <scheme val="minor"/>
      </rPr>
      <t xml:space="preserve"> - Remove the dead codes on ts file for the changes removed in HTML
</t>
    </r>
    <r>
      <rPr>
        <b/>
        <sz val="10"/>
        <color rgb="FF000000"/>
        <rFont val="Arial"/>
        <scheme val="minor"/>
      </rPr>
      <t xml:space="preserve">Internal Defects
</t>
    </r>
    <r>
      <rPr>
        <sz val="10"/>
        <color rgb="FF000000"/>
        <rFont val="Arial"/>
        <scheme val="minor"/>
      </rPr>
      <t xml:space="preserve">1. OB-3933 - We have updated the popup in one scenario but missed to add the parameter in other places which uses the same popup component. When any change is done we make sure that its reflected in all places 
2. OB-3941 - These scenarios will be done in regression only. As part of the original story, TOP icon functionality was tested but having donation bar at the top and bottom separately was not tested
</t>
    </r>
    <r>
      <rPr>
        <b/>
        <sz val="10"/>
        <color rgb="FF000000"/>
        <rFont val="Arial"/>
        <scheme val="minor"/>
      </rPr>
      <t xml:space="preserve">Pending Reason
</t>
    </r>
    <r>
      <rPr>
        <sz val="10"/>
        <color rgb="FF000000"/>
        <rFont val="Arial"/>
        <scheme val="minor"/>
      </rPr>
      <t>OB-3920 - Development completed, PR raised, yet to deploy and test, this change is done in GGO source code
OB-3913 - This is CRT testing story, we have planned for next CRT release in next sprint, so will be closing this story once CRT deployment and tested is completed</t>
    </r>
  </si>
  <si>
    <r>
      <rPr>
        <b/>
        <sz val="10"/>
        <color rgb="FF000000"/>
        <rFont val="Arial"/>
        <scheme val="minor"/>
      </rPr>
      <t xml:space="preserve">Well Done Team!
</t>
    </r>
    <r>
      <rPr>
        <sz val="10"/>
        <color rgb="FF000000"/>
        <rFont val="Arial"/>
        <scheme val="minor"/>
      </rPr>
      <t xml:space="preserve">
</t>
    </r>
    <r>
      <rPr>
        <b/>
        <sz val="10"/>
        <color rgb="FF000000"/>
        <rFont val="Arial"/>
        <scheme val="minor"/>
      </rPr>
      <t xml:space="preserve">What went well?
</t>
    </r>
    <r>
      <rPr>
        <sz val="10"/>
        <color rgb="FF000000"/>
        <rFont val="Arial"/>
        <scheme val="minor"/>
      </rPr>
      <t xml:space="preserve">Completed more than planned 
</t>
    </r>
    <r>
      <rPr>
        <b/>
        <sz val="10"/>
        <color rgb="FF000000"/>
        <rFont val="Arial"/>
        <scheme val="minor"/>
      </rPr>
      <t xml:space="preserve">What didn’t go well?
</t>
    </r>
    <r>
      <rPr>
        <sz val="10"/>
        <color rgb="FF000000"/>
        <rFont val="Arial"/>
        <scheme val="minor"/>
      </rPr>
      <t xml:space="preserve">Working with Donor B2C team  has been challenging because of the time difference
OP escalations taking up time
</t>
    </r>
    <r>
      <rPr>
        <b/>
        <sz val="10"/>
        <color rgb="FF000000"/>
        <rFont val="Arial"/>
        <scheme val="minor"/>
      </rPr>
      <t xml:space="preserve">Kudos
Joe: 
</t>
    </r>
    <r>
      <rPr>
        <sz val="10"/>
        <color rgb="FF000000"/>
        <rFont val="Arial"/>
        <scheme val="minor"/>
      </rPr>
      <t xml:space="preserve">All of the offshore team, their quality of work has been really high right now and that has led to more stories as the code quality is high and gets completed after the 1st pull request.No sending back (+1 Alice, +1 Mike H, +1 Prabhu, +1 Rajesh)
Derek for keeping tickets up to date, getting all the stories AC up to date as per request (+1 Alice, +1 Prabhu)
Alice for getting all the testing done at the end of the sprint and CRT testing as well
</t>
    </r>
    <r>
      <rPr>
        <b/>
        <sz val="10"/>
        <color rgb="FF000000"/>
        <rFont val="Arial"/>
        <scheme val="minor"/>
      </rPr>
      <t>Alice</t>
    </r>
    <r>
      <rPr>
        <sz val="10"/>
        <color rgb="FF000000"/>
        <rFont val="Arial"/>
        <scheme val="minor"/>
      </rPr>
      <t xml:space="preserve">:
Offshore QA for getting all the bases covered and an extra eye on CRT  environment
Joe and Prabhu for the extra support  with testing the stories and completing them 
</t>
    </r>
    <r>
      <rPr>
        <b/>
        <sz val="10"/>
        <color rgb="FF000000"/>
        <rFont val="Arial"/>
        <scheme val="minor"/>
      </rPr>
      <t xml:space="preserve">Prabhu:
</t>
    </r>
    <r>
      <rPr>
        <sz val="10"/>
        <color rgb="FF000000"/>
        <rFont val="Arial"/>
        <scheme val="minor"/>
      </rPr>
      <t xml:space="preserve">The team was able to complete all the stories only because Joe took up the complex tasks
</t>
    </r>
    <r>
      <rPr>
        <b/>
        <sz val="10"/>
        <color rgb="FF000000"/>
        <rFont val="Arial"/>
        <scheme val="minor"/>
      </rPr>
      <t xml:space="preserve">Mike: 
</t>
    </r>
    <r>
      <rPr>
        <sz val="10"/>
        <color rgb="FF000000"/>
        <rFont val="Arial"/>
        <scheme val="minor"/>
      </rPr>
      <t xml:space="preserve">Rajesh for helping me with the Op escalations
Joe for helping me with GCP and B2C teams 
</t>
    </r>
    <r>
      <rPr>
        <b/>
        <sz val="10"/>
        <color rgb="FF000000"/>
        <rFont val="Arial"/>
        <scheme val="minor"/>
      </rPr>
      <t xml:space="preserve">Anything that needs to be highlighted from the past Sprint
</t>
    </r>
    <r>
      <rPr>
        <sz val="10"/>
        <color rgb="FF000000"/>
        <rFont val="Arial"/>
        <scheme val="minor"/>
      </rPr>
      <t xml:space="preserve">Donor Dev environment is up and running
</t>
    </r>
    <r>
      <rPr>
        <b/>
        <sz val="10"/>
        <color rgb="FF000000"/>
        <rFont val="Arial"/>
        <scheme val="minor"/>
      </rPr>
      <t xml:space="preserve">Takeaways
</t>
    </r>
    <r>
      <rPr>
        <sz val="10"/>
        <color rgb="FF000000"/>
        <rFont val="Arial"/>
        <scheme val="minor"/>
      </rPr>
      <t>Going forward for the next releases, as a team we need to remind ourselves that given a deadline we need to release the MVP for the release and tackle the rest in the next release instead of stretching ourselves</t>
    </r>
  </si>
  <si>
    <t>OB-OP 8.5 Sprint 2</t>
  </si>
  <si>
    <r>
      <rPr>
        <sz val="10"/>
        <color rgb="FF000000"/>
        <rFont val="Arial"/>
        <scheme val="minor"/>
      </rPr>
      <t xml:space="preserve">Release OB 8.4.0 to CRT. Test it thoroughly. Continue Donor Platform build for b2c
</t>
    </r>
    <r>
      <rPr>
        <b/>
        <sz val="10"/>
        <color rgb="FF000000"/>
        <rFont val="Arial"/>
        <scheme val="minor"/>
      </rPr>
      <t xml:space="preserve">Accomplishment
</t>
    </r>
    <r>
      <rPr>
        <sz val="10"/>
        <color rgb="FF000000"/>
        <rFont val="Arial"/>
        <scheme val="minor"/>
      </rPr>
      <t>Second CRT release completed successfully
Tested all the recently completed stories in CRT
Updated the functionality for retaining the previous filters, search during browser back</t>
    </r>
  </si>
  <si>
    <r>
      <rPr>
        <sz val="10"/>
        <color rgb="FF000000"/>
        <rFont val="Arial"/>
        <scheme val="minor"/>
      </rPr>
      <t xml:space="preserve">Peer CRC:0 
Onsite CRC:0
Client CRC: 0
Internal Defects: 0
External Defects: 0
</t>
    </r>
    <r>
      <rPr>
        <b/>
        <sz val="10"/>
        <color rgb="FF000000"/>
        <rFont val="Arial"/>
        <scheme val="minor"/>
      </rPr>
      <t xml:space="preserve">Pending Reason
</t>
    </r>
    <r>
      <rPr>
        <sz val="10"/>
        <color rgb="FF000000"/>
        <rFont val="Arial"/>
        <scheme val="minor"/>
      </rPr>
      <t>OB-3911 - Implementing browser back retain was challenging due to filter handling and required significant code changes. We explored multiple approaches including SessionStorage, QueryParams, and Router Reuse Strategy, but none met the requirements. As a workaround, we finalized the solution by saving the state in a service variable
OB-3913 - During the bug bash, the CS team identified a few minor issues in CRT. As a result, we’re planning another CRT release, and this work will be carried forward into the next sprint.</t>
    </r>
  </si>
  <si>
    <r>
      <rPr>
        <b/>
        <sz val="10"/>
        <color rgb="FF000000"/>
        <rFont val="Arial"/>
        <scheme val="minor"/>
      </rPr>
      <t xml:space="preserve">A very challenging Sprint, everyone in retro acknowledged it.
What went well?
</t>
    </r>
    <r>
      <rPr>
        <sz val="10"/>
        <color rgb="FF000000"/>
        <rFont val="Arial"/>
        <scheme val="minor"/>
      </rPr>
      <t xml:space="preserve">A lot got completed given how complex some of the stories turned out to be 
</t>
    </r>
    <r>
      <rPr>
        <b/>
        <sz val="10"/>
        <color rgb="FF000000"/>
        <rFont val="Arial"/>
        <scheme val="minor"/>
      </rPr>
      <t xml:space="preserve">What didn’t go well?
</t>
    </r>
    <r>
      <rPr>
        <sz val="10"/>
        <color rgb="FF000000"/>
        <rFont val="Arial"/>
        <scheme val="minor"/>
      </rPr>
      <t xml:space="preserve">Checkout Steeper 2 was complex and Stepper 3 was dependent on Stepper 2 which kind of delayed completing Stepper 3
The scenarios for back button were a lot more than the effort originally planned by the team 
Delay in response from B2C team given the different time zones
</t>
    </r>
    <r>
      <rPr>
        <b/>
        <sz val="10"/>
        <color rgb="FF000000"/>
        <rFont val="Arial"/>
        <scheme val="minor"/>
      </rPr>
      <t>Kudos
Joe:</t>
    </r>
    <r>
      <rPr>
        <sz val="10"/>
        <color rgb="FF000000"/>
        <rFont val="Arial"/>
        <scheme val="minor"/>
      </rPr>
      <t xml:space="preserve"> 
Team did a great job on(+1 Mike H, +1 Rajesh , +1 Alice)
OB price sorting as we knew it has potential to cause issues. The team did a great job
Donor side - great job on Stepper 
Kudos to Prabhu for keeping everyone on schedule and peer reviews with the OB release coming up. He has done  a lot in leading the team (+1 Mike H, +1 Rajesh , +1 Alice)
Alice found some issues which we missed, thanks for the thorough testing( +1 Prabhu)
Thanks Mike  on taking lead on the OP Apigee URL switch
</t>
    </r>
    <r>
      <rPr>
        <b/>
        <sz val="10"/>
        <color rgb="FF000000"/>
        <rFont val="Arial"/>
        <scheme val="minor"/>
      </rPr>
      <t xml:space="preserve">Alice:
</t>
    </r>
    <r>
      <rPr>
        <sz val="10"/>
        <color rgb="FF000000"/>
        <rFont val="Arial"/>
        <scheme val="minor"/>
      </rPr>
      <t xml:space="preserve">Joe and Prabhu for support on testing efforts
Shout out to Derek for all the last minute information close to release(+1 Joe, +1 Prabhu)
Great testing and test plans from Mercy and Murugasen
</t>
    </r>
    <r>
      <rPr>
        <b/>
        <sz val="10"/>
        <color rgb="FF000000"/>
        <rFont val="Arial"/>
        <scheme val="minor"/>
      </rPr>
      <t xml:space="preserve">Prabhu:
</t>
    </r>
    <r>
      <rPr>
        <sz val="10"/>
        <color rgb="FF000000"/>
        <rFont val="Arial"/>
        <scheme val="minor"/>
      </rPr>
      <t xml:space="preserve">Joe for leading the way for MFA and lot of insights on the work in the Sprint 
Offshore got a lot done this sprint even though we couldn’t mark those complete
</t>
    </r>
  </si>
  <si>
    <t>OB-OP 8.5 Sprint 3</t>
  </si>
  <si>
    <r>
      <rPr>
        <sz val="10"/>
        <color rgb="FF000000"/>
        <rFont val="Arial"/>
        <scheme val="minor"/>
      </rPr>
      <t xml:space="preserve">Release OB 8.4.0 to PRD. OP Security Items. Continue Donor Platform work
</t>
    </r>
    <r>
      <rPr>
        <b/>
        <sz val="10"/>
        <color rgb="FF000000"/>
        <rFont val="Arial"/>
        <scheme val="minor"/>
      </rPr>
      <t xml:space="preserve">Accomplishment
</t>
    </r>
    <r>
      <rPr>
        <sz val="10"/>
        <color rgb="FF000000"/>
        <rFont val="Arial"/>
        <scheme val="minor"/>
      </rPr>
      <t xml:space="preserve">Production release went well
Completed the planned stories
Made good progress on the OP stretch stories
</t>
    </r>
  </si>
  <si>
    <r>
      <rPr>
        <sz val="10"/>
        <color rgb="FF000000"/>
        <rFont val="Arial"/>
        <scheme val="minor"/>
      </rPr>
      <t xml:space="preserve">Peer CRC:0 
Onsite CRC:0
Client CRC: 0
Internal Defects: 3
External Defects: 0
</t>
    </r>
    <r>
      <rPr>
        <b/>
        <sz val="10"/>
        <color rgb="FF000000"/>
        <rFont val="Arial"/>
        <scheme val="minor"/>
      </rPr>
      <t xml:space="preserve">Internal Defect
1. OB-3947 - </t>
    </r>
    <r>
      <rPr>
        <sz val="10"/>
        <color rgb="FF000000"/>
        <rFont val="Arial"/>
        <scheme val="minor"/>
      </rPr>
      <t xml:space="preserve">Was working fine in DEV testing with single sponsor, but we had 2 branches with different approaches and in final branch got missed for single sponsor alone
2. </t>
    </r>
    <r>
      <rPr>
        <b/>
        <sz val="10"/>
        <color rgb="FF000000"/>
        <rFont val="Arial"/>
        <scheme val="minor"/>
      </rPr>
      <t xml:space="preserve">OB-3948 - </t>
    </r>
    <r>
      <rPr>
        <sz val="10"/>
        <color rgb="FF000000"/>
        <rFont val="Arial"/>
        <scheme val="minor"/>
      </rPr>
      <t xml:space="preserve">OB-3911 handles this which is almost completed development in previous sprint but that was not included for production release (this can be conisdered as new requirement, not considered as bug. OB-3911 is story only)
</t>
    </r>
    <r>
      <rPr>
        <b/>
        <sz val="10"/>
        <color rgb="FF000000"/>
        <rFont val="Arial"/>
        <scheme val="minor"/>
      </rPr>
      <t xml:space="preserve">3. OB-3949 - </t>
    </r>
    <r>
      <rPr>
        <sz val="10"/>
        <color rgb="FF000000"/>
        <rFont val="Arial"/>
        <scheme val="minor"/>
      </rPr>
      <t>This is not part of any of the requirement so far we developed</t>
    </r>
  </si>
  <si>
    <r>
      <rPr>
        <b/>
        <sz val="10"/>
        <color rgb="FF000000"/>
        <rFont val="Arial"/>
        <scheme val="minor"/>
      </rPr>
      <t xml:space="preserve">Well Done team for completed a good Sprint. A lot positive feedback for the foort which went in for the OB release.
</t>
    </r>
    <r>
      <rPr>
        <sz val="10"/>
        <color rgb="FF000000"/>
        <rFont val="Arial"/>
        <scheme val="minor"/>
      </rPr>
      <t xml:space="preserve">
</t>
    </r>
    <r>
      <rPr>
        <b/>
        <sz val="10"/>
        <color rgb="FF000000"/>
        <rFont val="Arial"/>
        <scheme val="minor"/>
      </rPr>
      <t xml:space="preserve">What went well?
</t>
    </r>
    <r>
      <rPr>
        <sz val="10"/>
        <color rgb="FF000000"/>
        <rFont val="Arial"/>
        <scheme val="minor"/>
      </rPr>
      <t xml:space="preserve">Prod release went well
Completed all the planned stories
</t>
    </r>
    <r>
      <rPr>
        <b/>
        <sz val="10"/>
        <color rgb="FF000000"/>
        <rFont val="Arial"/>
        <scheme val="minor"/>
      </rPr>
      <t xml:space="preserve">What didn’t go well?
</t>
    </r>
    <r>
      <rPr>
        <sz val="10"/>
        <color rgb="FF000000"/>
        <rFont val="Arial"/>
        <scheme val="minor"/>
      </rPr>
      <t xml:space="preserve">Working with B2C team took more time than planned given their availability
Reproducing OP errors was challenging
</t>
    </r>
    <r>
      <rPr>
        <b/>
        <sz val="10"/>
        <color rgb="FF000000"/>
        <rFont val="Arial"/>
        <scheme val="minor"/>
      </rPr>
      <t>Kudos
Joe:</t>
    </r>
    <r>
      <rPr>
        <sz val="10"/>
        <color rgb="FF000000"/>
        <rFont val="Arial"/>
        <scheme val="minor"/>
      </rPr>
      <t xml:space="preserve"> 
Some really good work on Checkout
Irsath and arivalagan and Prabhu backed me on this, don 128 
Release went well (+1 Derek)
Thanks for offshore for the great work and Prabhu Sankar [C], a lot of time was spent on OB for the last few months.  I really appreciate all the work
A ton of automation works which goes in with UX changes, thanks to Alice for taking care of all the automation work
Derek for dealing with all the client interaction
</t>
    </r>
    <r>
      <rPr>
        <b/>
        <sz val="10"/>
        <color rgb="FF000000"/>
        <rFont val="Arial"/>
        <scheme val="minor"/>
      </rPr>
      <t xml:space="preserve">Alice:
</t>
    </r>
    <r>
      <rPr>
        <sz val="10"/>
        <color rgb="FF000000"/>
        <rFont val="Arial"/>
        <scheme val="minor"/>
      </rPr>
      <t xml:space="preserve">Entire team for a great release OB 8.4.0 (+1 Prabhu, +1 Rajesh, +1 Mike)
Derek for managing all our stories and progression for the OB UX release(+1 Joe)
Offshore QA Mercy for good testing leading to a smooth release
CS also helped in identifying a lot of issues which the team was able to fix before the release
</t>
    </r>
    <r>
      <rPr>
        <b/>
        <sz val="10"/>
        <color rgb="FF000000"/>
        <rFont val="Arial"/>
        <scheme val="minor"/>
      </rPr>
      <t xml:space="preserve">Prabhu:
</t>
    </r>
    <r>
      <rPr>
        <sz val="10"/>
        <color rgb="FF000000"/>
        <rFont val="Arial"/>
        <scheme val="minor"/>
      </rPr>
      <t xml:space="preserve">Don 128 and Don 129 Irsath, arivalagan, kanna and Ubai for the progress on it
Rajesh for helping in identifying the root cause of the OP issue
</t>
    </r>
    <r>
      <rPr>
        <b/>
        <sz val="10"/>
        <color rgb="FF000000"/>
        <rFont val="Arial"/>
        <scheme val="minor"/>
      </rPr>
      <t xml:space="preserve">Mike: 
</t>
    </r>
    <r>
      <rPr>
        <sz val="10"/>
        <color rgb="FF000000"/>
        <rFont val="Arial"/>
        <scheme val="minor"/>
      </rPr>
      <t xml:space="preserve">Joe for making great strides on the B2c stories (+1 Prabhu)
</t>
    </r>
    <r>
      <rPr>
        <b/>
        <sz val="10"/>
        <color rgb="FF000000"/>
        <rFont val="Arial"/>
        <scheme val="minor"/>
      </rPr>
      <t xml:space="preserve">Anything that needs to be highlighted from the past Sprint
</t>
    </r>
    <r>
      <rPr>
        <sz val="10"/>
        <color rgb="FF000000"/>
        <rFont val="Arial"/>
        <scheme val="minor"/>
      </rPr>
      <t xml:space="preserve">Ob UX release went well and that will increase the performance going forward
</t>
    </r>
    <r>
      <rPr>
        <b/>
        <sz val="10"/>
        <color rgb="FF000000"/>
        <rFont val="Arial"/>
        <scheme val="minor"/>
      </rPr>
      <t xml:space="preserve">Takeaways
</t>
    </r>
    <r>
      <rPr>
        <sz val="10"/>
        <color rgb="FF000000"/>
        <rFont val="Arial"/>
        <scheme val="minor"/>
      </rPr>
      <t>If we have mock data and put it in a local file and not into the repository
Point the stories better to be able to complete the stories without getting stretched
Going forward for the next releases, as a team we need to remind ourselves that given a deadline we need to release the MVP for the release and tackle the rest in the next release instead of stretching ourselves</t>
    </r>
  </si>
  <si>
    <t>OB-OP 8.5 Sprint 4</t>
  </si>
  <si>
    <r>
      <rPr>
        <sz val="10"/>
        <color rgb="FF000000"/>
        <rFont val="Arial"/>
        <scheme val="minor"/>
      </rPr>
      <t xml:space="preserve">OB 8.5.0 CRT release and continue with Donor work
</t>
    </r>
    <r>
      <rPr>
        <b/>
        <sz val="10"/>
        <color rgb="FF000000"/>
        <rFont val="Arial"/>
        <scheme val="minor"/>
      </rPr>
      <t xml:space="preserve">
Accomplishment
</t>
    </r>
    <r>
      <rPr>
        <sz val="10"/>
        <color rgb="FF000000"/>
        <rFont val="Arial"/>
        <scheme val="minor"/>
      </rPr>
      <t>OB CRT release went well
Completed current sprint story except one OP story, though development was completed for that
Took stretch stories and completed that as well</t>
    </r>
  </si>
  <si>
    <r>
      <rPr>
        <sz val="10"/>
        <color rgb="FF000000"/>
        <rFont val="Arial"/>
        <scheme val="minor"/>
      </rPr>
      <t xml:space="preserve">Peer CRC:0 
Onsite CRC:0
Client CRC: 0
Internal Defects: 
External Defects: 
</t>
    </r>
    <r>
      <rPr>
        <b/>
        <sz val="10"/>
        <color rgb="FF000000"/>
        <rFont val="Arial"/>
        <scheme val="minor"/>
      </rPr>
      <t xml:space="preserve"> Defect
</t>
    </r>
    <r>
      <rPr>
        <sz val="10"/>
        <color rgb="FF000000"/>
        <rFont val="Arial"/>
        <scheme val="minor"/>
      </rPr>
      <t xml:space="preserve">1. OB-3957 - Missed to add the time coversion code based on the project timezone which was implemented in old UI, since this code was deployed in client server, so it was working correctly in client timezone as well in all the past CRT releases tested by CS teams
2. OB-3956 - This was not added as part of any of the AC in the previous stories, we have added this in our observation sheet already
</t>
    </r>
    <r>
      <rPr>
        <b/>
        <sz val="10"/>
        <color rgb="FF000000"/>
        <rFont val="Arial"/>
        <scheme val="minor"/>
      </rPr>
      <t xml:space="preserve">Pending Reason
</t>
    </r>
    <r>
      <rPr>
        <sz val="10"/>
        <color rgb="FF000000"/>
        <rFont val="Arial"/>
        <scheme val="minor"/>
      </rPr>
      <t xml:space="preserve">OP-2807 - Development completed in the start of the sprint itself, but finding the page in OP UI was challenging to see the code reflection, found a table in DB which had the content, but design changes were not refelcted, so finding a way to update the css as well through DB or any other option
</t>
    </r>
  </si>
  <si>
    <r>
      <rPr>
        <b/>
        <sz val="10"/>
        <color rgb="FF000000"/>
        <rFont val="Arial"/>
        <scheme val="minor"/>
      </rPr>
      <t xml:space="preserve">Well Done on another great sprint!
</t>
    </r>
    <r>
      <rPr>
        <sz val="10"/>
        <color rgb="FF000000"/>
        <rFont val="Arial"/>
        <scheme val="minor"/>
      </rPr>
      <t xml:space="preserve">
</t>
    </r>
    <r>
      <rPr>
        <b/>
        <sz val="10"/>
        <color rgb="FF000000"/>
        <rFont val="Arial"/>
        <scheme val="minor"/>
      </rPr>
      <t xml:space="preserve">What went well?
</t>
    </r>
    <r>
      <rPr>
        <sz val="10"/>
        <color rgb="FF000000"/>
        <rFont val="Arial"/>
        <scheme val="minor"/>
      </rPr>
      <t xml:space="preserve">Completed the planned stories and a few stretch
</t>
    </r>
    <r>
      <rPr>
        <b/>
        <sz val="10"/>
        <color rgb="FF000000"/>
        <rFont val="Arial"/>
        <scheme val="minor"/>
      </rPr>
      <t xml:space="preserve">What didn’t go well?
</t>
    </r>
    <r>
      <rPr>
        <sz val="10"/>
        <color rgb="FF000000"/>
        <rFont val="Arial"/>
        <scheme val="minor"/>
      </rPr>
      <t xml:space="preserve">Dependency on B2C and GCP team was a blocker
It was challenging for the team to reproduce the OP splash page error
</t>
    </r>
    <r>
      <rPr>
        <b/>
        <sz val="10"/>
        <color rgb="FF000000"/>
        <rFont val="Arial"/>
        <scheme val="minor"/>
      </rPr>
      <t xml:space="preserve">Kudos
Joe: 
</t>
    </r>
    <r>
      <rPr>
        <sz val="10"/>
        <color rgb="FF000000"/>
        <rFont val="Arial"/>
        <scheme val="minor"/>
      </rPr>
      <t xml:space="preserve">Nice job on Checkout : Prabhu has been working on that feature for 2 weeks now
Rajesh, Karthi and Preethi were able to find where to make the change for OP splash page issue (+1 Mike Horihan)
Thanks for all quick quick work on OB for the Crt release- Alice and offshore
</t>
    </r>
    <r>
      <rPr>
        <b/>
        <sz val="10"/>
        <color rgb="FF000000"/>
        <rFont val="Arial"/>
        <scheme val="minor"/>
      </rPr>
      <t xml:space="preserve">Alice:
</t>
    </r>
    <r>
      <rPr>
        <sz val="10"/>
        <color rgb="FF000000"/>
        <rFont val="Arial"/>
        <scheme val="minor"/>
      </rPr>
      <t xml:space="preserve">Offshore and Murugasen for good test plans and good testing documentation
Dev team for all the work on the release
</t>
    </r>
    <r>
      <rPr>
        <b/>
        <sz val="10"/>
        <color rgb="FF000000"/>
        <rFont val="Arial"/>
        <scheme val="minor"/>
      </rPr>
      <t xml:space="preserve">Prabhu:
</t>
    </r>
    <r>
      <rPr>
        <sz val="10"/>
        <color rgb="FF000000"/>
        <rFont val="Arial"/>
        <scheme val="minor"/>
      </rPr>
      <t xml:space="preserve">Ob/OP offshore team for completing the bugs for the release fast
Donor team did a great job on the checkout step
</t>
    </r>
    <r>
      <rPr>
        <b/>
        <sz val="10"/>
        <color rgb="FF000000"/>
        <rFont val="Arial"/>
        <scheme val="minor"/>
      </rPr>
      <t>Mike:</t>
    </r>
    <r>
      <rPr>
        <sz val="10"/>
        <color rgb="FF000000"/>
        <rFont val="Arial"/>
        <scheme val="minor"/>
      </rPr>
      <t xml:space="preserve"> 
Joe for continuing to work on B2C (+1 Rajesh, +1 Prabhu)</t>
    </r>
  </si>
  <si>
    <t>OB-OP 8.6.0 Sprint 1</t>
  </si>
  <si>
    <r>
      <rPr>
        <b/>
        <sz val="10"/>
        <color rgb="FF000000"/>
        <rFont val="Arial"/>
        <scheme val="minor"/>
      </rPr>
      <t>OB/OP</t>
    </r>
    <r>
      <rPr>
        <sz val="10"/>
        <color rgb="FF000000"/>
        <rFont val="Arial"/>
        <scheme val="minor"/>
      </rPr>
      <t xml:space="preserve"> - Worked on the enhancements changes in OB after recent prod release and also updated the splash page for OP
</t>
    </r>
    <r>
      <rPr>
        <b/>
        <sz val="10"/>
        <color rgb="FF000000"/>
        <rFont val="Arial"/>
        <scheme val="minor"/>
      </rPr>
      <t>Donor</t>
    </r>
    <r>
      <rPr>
        <sz val="10"/>
        <color rgb="FF000000"/>
        <rFont val="Arial"/>
        <scheme val="minor"/>
      </rPr>
      <t xml:space="preserve"> - Worked on the checkout and household functionality, Updated the payment component and cancellation token</t>
    </r>
  </si>
  <si>
    <r>
      <rPr>
        <sz val="10"/>
        <color rgb="FF000000"/>
        <rFont val="Arial"/>
        <scheme val="minor"/>
      </rPr>
      <t xml:space="preserve">OB 8.5.0 Prod release, continue Donor Platform Checkout work, some of OB and OP stories
</t>
    </r>
    <r>
      <rPr>
        <b/>
        <sz val="10"/>
        <color rgb="FF000000"/>
        <rFont val="Arial"/>
        <scheme val="minor"/>
      </rPr>
      <t xml:space="preserve">
OB/OP
</t>
    </r>
    <r>
      <rPr>
        <sz val="10"/>
        <color rgb="FF000000"/>
        <rFont val="Arial"/>
        <scheme val="minor"/>
      </rPr>
      <t xml:space="preserve">Completed the assigned SP
Found the splash page in OP and updated that though it was very difficult in initial stages
</t>
    </r>
    <r>
      <rPr>
        <b/>
        <sz val="10"/>
        <color rgb="FF000000"/>
        <rFont val="Arial"/>
        <scheme val="minor"/>
      </rPr>
      <t xml:space="preserve">Donor
</t>
    </r>
    <r>
      <rPr>
        <sz val="10"/>
        <color rgb="FF000000"/>
        <rFont val="Arial"/>
        <scheme val="minor"/>
      </rPr>
      <t>Completed current sprint stories
Took 3 stories from backlog and completed 2
Client mentioned in standup that most of the PRs were ready for review in first week of the sprint itself</t>
    </r>
  </si>
  <si>
    <r>
      <rPr>
        <sz val="10"/>
        <color rgb="FF000000"/>
        <rFont val="Arial"/>
        <scheme val="minor"/>
      </rPr>
      <t xml:space="preserve">Peer CRC:0 
Onsite CRC:0
Client CRC: 0
Internal Defects: 0
External Defects: 1
</t>
    </r>
    <r>
      <rPr>
        <b/>
        <sz val="10"/>
        <color rgb="FF000000"/>
        <rFont val="Arial"/>
        <scheme val="minor"/>
      </rPr>
      <t xml:space="preserve">External Defect
</t>
    </r>
    <r>
      <rPr>
        <sz val="10"/>
        <color rgb="FF000000"/>
        <rFont val="Arial"/>
        <scheme val="minor"/>
      </rPr>
      <t xml:space="preserve">OB-3969 - We have already added this point in the observation sheet and shared to derek long back, but story was not created for this point from PO end 
</t>
    </r>
    <r>
      <rPr>
        <b/>
        <sz val="10"/>
        <color rgb="FF000000"/>
        <rFont val="Arial"/>
        <scheme val="minor"/>
      </rPr>
      <t xml:space="preserve">Pending Reason
</t>
    </r>
    <r>
      <rPr>
        <sz val="10"/>
        <color rgb="FF000000"/>
        <rFont val="Arial"/>
        <scheme val="minor"/>
      </rPr>
      <t>OP-2705 - Not able to get the settled date in local OP UI,OP DEV got broken, tried directly in TST as well but couldn't find a way. We have a fix for that but need to reproduce the issue first then deploy our changes and test</t>
    </r>
  </si>
  <si>
    <r>
      <rPr>
        <b/>
        <sz val="10"/>
        <color rgb="FF000000"/>
        <rFont val="Arial"/>
        <scheme val="minor"/>
      </rPr>
      <t xml:space="preserve">Well Done Team for keeping up the momentum  and completing more than planned!
</t>
    </r>
    <r>
      <rPr>
        <sz val="10"/>
        <color rgb="FF000000"/>
        <rFont val="Arial"/>
        <scheme val="minor"/>
      </rPr>
      <t xml:space="preserve">
</t>
    </r>
    <r>
      <rPr>
        <b/>
        <sz val="10"/>
        <color rgb="FF000000"/>
        <rFont val="Arial"/>
        <scheme val="minor"/>
      </rPr>
      <t xml:space="preserve">What went well?
</t>
    </r>
    <r>
      <rPr>
        <sz val="10"/>
        <color rgb="FF000000"/>
        <rFont val="Arial"/>
        <scheme val="minor"/>
      </rPr>
      <t xml:space="preserve">Completed more than planned stories
</t>
    </r>
    <r>
      <rPr>
        <b/>
        <sz val="10"/>
        <color rgb="FF000000"/>
        <rFont val="Arial"/>
        <scheme val="minor"/>
      </rPr>
      <t xml:space="preserve">What didn’t go well?
</t>
    </r>
    <r>
      <rPr>
        <sz val="10"/>
        <color rgb="FF000000"/>
        <rFont val="Arial"/>
        <scheme val="minor"/>
      </rPr>
      <t xml:space="preserve">Connecting with B2C  team has been challenging
Configuration stuff for Donor environment took a lot of time
The audit process for Donor initial release is time taking
</t>
    </r>
    <r>
      <rPr>
        <b/>
        <sz val="10"/>
        <color rgb="FF000000"/>
        <rFont val="Arial"/>
        <scheme val="minor"/>
      </rPr>
      <t xml:space="preserve">Kudos
</t>
    </r>
    <r>
      <rPr>
        <sz val="10"/>
        <color rgb="FF000000"/>
        <rFont val="Arial"/>
        <scheme val="minor"/>
      </rPr>
      <t>Lot of great work on Donor tickets this sprint
Appreciate Rajesh's stepping up getting the PRs through and made it seamless
Donor - Murugasen has put together a lot of good test plans and good testing
The release went well, a lot of good testing over all so kudos to the team on it
Offshore Donor and OB team for completing all tickets. Whole team, has always been self managing</t>
    </r>
  </si>
  <si>
    <t>OB-OP 8.6.0 Sprint 2</t>
  </si>
  <si>
    <r>
      <rPr>
        <b/>
        <sz val="10"/>
        <color rgb="FF000000"/>
        <rFont val="Arial"/>
        <scheme val="minor"/>
      </rPr>
      <t xml:space="preserve">OB/OP
</t>
    </r>
    <r>
      <rPr>
        <sz val="10"/>
        <color rgb="FF000000"/>
        <rFont val="Arial"/>
        <scheme val="minor"/>
      </rPr>
      <t xml:space="preserve">1. OB SYNK remediation - reduced the count
2. Worked on the feedback stories came after the production deployment in OB
</t>
    </r>
    <r>
      <rPr>
        <b/>
        <sz val="10"/>
        <color rgb="FF000000"/>
        <rFont val="Arial"/>
        <scheme val="minor"/>
      </rPr>
      <t xml:space="preserve">Donor
</t>
    </r>
    <r>
      <rPr>
        <sz val="10"/>
        <color rgb="FF000000"/>
        <rFont val="Arial"/>
        <scheme val="minor"/>
      </rPr>
      <t>1. Integrating login flow with Checkout
2. SNYK Remediation and manually address edit</t>
    </r>
  </si>
  <si>
    <r>
      <rPr>
        <sz val="10"/>
        <color rgb="FF000000"/>
        <rFont val="Arial"/>
        <scheme val="minor"/>
      </rPr>
      <t xml:space="preserve">Continue Donor Platform Checkout work, some of OB and OP stories
</t>
    </r>
    <r>
      <rPr>
        <b/>
        <sz val="10"/>
        <color rgb="FF000000"/>
        <rFont val="Arial"/>
        <scheme val="minor"/>
      </rPr>
      <t xml:space="preserve">Accomplishments
OB/OP
</t>
    </r>
    <r>
      <rPr>
        <sz val="10"/>
        <color rgb="FF000000"/>
        <rFont val="Arial"/>
        <scheme val="minor"/>
      </rPr>
      <t xml:space="preserve">1. Fixed the SYNK remediations taken in this sprint
2. Completed the defects and the enhancement stories in OB
3. Completed fixing OP SYNK and testing is in progress
</t>
    </r>
    <r>
      <rPr>
        <b/>
        <sz val="10"/>
        <color rgb="FF000000"/>
        <rFont val="Arial"/>
        <scheme val="minor"/>
      </rPr>
      <t xml:space="preserve">Donor
</t>
    </r>
    <r>
      <rPr>
        <sz val="10"/>
        <color rgb="FF000000"/>
        <rFont val="Arial"/>
        <scheme val="minor"/>
      </rPr>
      <t xml:space="preserve">1. Completed current sprint stories
2. Completed SYNK remediated stories
3. Took 7 stories from backlog and completed 4, made good progress on others
</t>
    </r>
  </si>
  <si>
    <r>
      <rPr>
        <sz val="10"/>
        <color rgb="FF000000"/>
        <rFont val="Arial"/>
        <scheme val="minor"/>
      </rPr>
      <t xml:space="preserve">Peer CRC:0 
Onsite CRC:0
Client CRC: 0
Internal Defects: 0
External Defects: 2
</t>
    </r>
    <r>
      <rPr>
        <b/>
        <sz val="10"/>
        <color rgb="FF000000"/>
        <rFont val="Arial"/>
        <scheme val="minor"/>
      </rPr>
      <t xml:space="preserve">External Defect
</t>
    </r>
    <r>
      <rPr>
        <sz val="10"/>
        <color rgb="FF000000"/>
        <rFont val="Arial"/>
        <scheme val="minor"/>
      </rPr>
      <t xml:space="preserve">1. OB-3978 - We have written the code to fetch bidder infoonly after the success of package API, so when no package was there, bidder API wasn't called
2. OB-3974 - We have changed the routes for new UI and missed to test email scenarios
</t>
    </r>
    <r>
      <rPr>
        <b/>
        <sz val="10"/>
        <color rgb="FF000000"/>
        <rFont val="Arial"/>
        <scheme val="minor"/>
      </rPr>
      <t xml:space="preserve">Pending Reason
</t>
    </r>
    <r>
      <rPr>
        <sz val="10"/>
        <color rgb="FF000000"/>
        <rFont val="Arial"/>
        <scheme val="minor"/>
      </rPr>
      <t xml:space="preserve">1. OP-2807 - We tested in TST DB and found that the dates were correctly inserted in DB in PST timezone as well as in UI, but this is contradicting with the analysis shared in the story, so once prabu is back, need to confirm with him and proceed
2. OP-2805 - Tested in local, except pages option rest all were working fine and Deployed in DEV for testing
</t>
    </r>
  </si>
  <si>
    <r>
      <rPr>
        <sz val="10"/>
        <color rgb="FF000000"/>
        <rFont val="Arial"/>
        <scheme val="minor"/>
      </rPr>
      <t xml:space="preserve">Well Done Team for all the good work!
</t>
    </r>
    <r>
      <rPr>
        <b/>
        <sz val="10"/>
        <color rgb="FF000000"/>
        <rFont val="Arial"/>
        <scheme val="minor"/>
      </rPr>
      <t xml:space="preserve">What went well?
</t>
    </r>
    <r>
      <rPr>
        <sz val="10"/>
        <color rgb="FF000000"/>
        <rFont val="Arial"/>
        <scheme val="minor"/>
      </rPr>
      <t xml:space="preserve">Met the Sprint commit given we have  new team member
</t>
    </r>
    <r>
      <rPr>
        <b/>
        <sz val="10"/>
        <color rgb="FF000000"/>
        <rFont val="Arial"/>
        <scheme val="minor"/>
      </rPr>
      <t xml:space="preserve">What didn’t go well?
</t>
    </r>
    <r>
      <rPr>
        <sz val="10"/>
        <color rgb="FF000000"/>
        <rFont val="Arial"/>
        <scheme val="minor"/>
      </rPr>
      <t xml:space="preserve">B2C continues to be challenging
</t>
    </r>
    <r>
      <rPr>
        <b/>
        <sz val="10"/>
        <color rgb="FF000000"/>
        <rFont val="Arial"/>
        <scheme val="minor"/>
      </rPr>
      <t xml:space="preserve">Kudos
</t>
    </r>
    <r>
      <rPr>
        <sz val="10"/>
        <color rgb="FF000000"/>
        <rFont val="Arial"/>
        <scheme val="minor"/>
      </rPr>
      <t>Team did a great job , kept their foot on the gas pedal all sprint(+1 Mike )
Rajesh a lot gone done this sprint coordinating with offshore(+1 Mike )
Offshore for delivering high quality work(+1 Mike )
Rajesh supported with setup in Donor platform(+1 Mike )
Murugasen for all the testing and putting really good information on the testing report(+1 Mike )
Nivetha for taking care of testing and creating good reports (+1 Mike )
Ob and Donor offshore team for completing all the stories(+1 Mike )
Alice , Murgasen and Nivetha for all the good testing(+1 Mike )</t>
    </r>
  </si>
  <si>
    <t>OB-OP 8.6.0 Sprint 3</t>
  </si>
  <si>
    <r>
      <rPr>
        <b/>
        <sz val="10"/>
        <color rgb="FF000000"/>
        <rFont val="Arial"/>
        <scheme val="minor"/>
      </rPr>
      <t xml:space="preserve">OB/OP
</t>
    </r>
    <r>
      <rPr>
        <sz val="10"/>
        <color rgb="FF000000"/>
        <rFont val="Arial"/>
        <scheme val="minor"/>
      </rPr>
      <t xml:space="preserve">1. Completed OP SYNK remediation
2. Implemented the navigation to new Donor application from OB application
3. Featured packages content looks similar to browse page
4. Table # for household has been introduced in new UI
</t>
    </r>
    <r>
      <rPr>
        <b/>
        <sz val="10"/>
        <color rgb="FF000000"/>
        <rFont val="Arial"/>
        <scheme val="minor"/>
      </rPr>
      <t xml:space="preserve">Donor
</t>
    </r>
    <r>
      <rPr>
        <sz val="10"/>
        <color rgb="FF000000"/>
        <rFont val="Arial"/>
        <scheme val="minor"/>
      </rPr>
      <t>1. Full flow needs for the checkout (with project key as well as bidder key)
2. All service health checkup and fixing all identified issues</t>
    </r>
  </si>
  <si>
    <r>
      <rPr>
        <sz val="10"/>
        <color rgb="FF000000"/>
        <rFont val="Arial"/>
        <scheme val="minor"/>
      </rPr>
      <t xml:space="preserve">Continue Donor Platform, some of OB and OP stories
</t>
    </r>
    <r>
      <rPr>
        <b/>
        <sz val="10"/>
        <color rgb="FF000000"/>
        <rFont val="Arial"/>
        <scheme val="minor"/>
      </rPr>
      <t xml:space="preserve">Accomplishments
OB/OP
</t>
    </r>
    <r>
      <rPr>
        <sz val="10"/>
        <color rgb="FF000000"/>
        <rFont val="Arial"/>
        <scheme val="minor"/>
      </rPr>
      <t xml:space="preserve">1. Completed OP SYNK remediation
2. Though we got GDON API 3 days before the sprint end date, we completed both the stories
3. Completed current sprint stories leaving the OP time conversion as we have difficulties in it, we took from backlog and completed those as well
</t>
    </r>
    <r>
      <rPr>
        <b/>
        <sz val="10"/>
        <color rgb="FF000000"/>
        <rFont val="Arial"/>
        <scheme val="minor"/>
      </rPr>
      <t xml:space="preserve">Donor
</t>
    </r>
    <r>
      <rPr>
        <sz val="10"/>
        <color rgb="FF000000"/>
        <rFont val="Arial"/>
        <scheme val="minor"/>
      </rPr>
      <t>1. Completed the current sprint stories
2. Great job on maintenance notification and health check work
3. Worked on B2c styling updates</t>
    </r>
  </si>
  <si>
    <r>
      <rPr>
        <sz val="10"/>
        <color rgb="FF000000"/>
        <rFont val="Arial"/>
        <scheme val="minor"/>
      </rPr>
      <t xml:space="preserve">Peer CRC:0 
Onsite CRC:0
Client CRC: 0
Internal Defects: 1
External Defects: 1
</t>
    </r>
    <r>
      <rPr>
        <b/>
        <sz val="10"/>
        <color rgb="FF000000"/>
        <rFont val="Arial"/>
        <scheme val="minor"/>
      </rPr>
      <t xml:space="preserve">Pending reason
OP-2805 - </t>
    </r>
    <r>
      <rPr>
        <sz val="10"/>
        <color rgb="FF000000"/>
        <rFont val="Arial"/>
        <scheme val="minor"/>
      </rPr>
      <t xml:space="preserve">Cant be reproduced in TST, so need to check directly in Prod with the help of Carlos and also need prabu's input on this as he has already analysed more on the same
</t>
    </r>
    <r>
      <rPr>
        <b/>
        <sz val="10"/>
        <color rgb="FF000000"/>
        <rFont val="Arial"/>
        <scheme val="minor"/>
      </rPr>
      <t xml:space="preserve">Internal defect
OP-2811 - </t>
    </r>
    <r>
      <rPr>
        <sz val="10"/>
        <color rgb="FF000000"/>
        <rFont val="Arial"/>
        <scheme val="minor"/>
      </rPr>
      <t xml:space="preserve">Checked all pages in OP as well as GGO to OP flow, but missed to check in the new project by creating new project website
</t>
    </r>
    <r>
      <rPr>
        <b/>
        <sz val="10"/>
        <color rgb="FF000000"/>
        <rFont val="Arial"/>
        <scheme val="minor"/>
      </rPr>
      <t xml:space="preserve">External Defect
OB-3990 - </t>
    </r>
    <r>
      <rPr>
        <sz val="10"/>
        <color rgb="FF000000"/>
        <rFont val="Arial"/>
        <scheme val="minor"/>
      </rPr>
      <t>This would have been broken as part of implementing apply filter before. We were working on multiple scenarios of filter and search so some scenarios would have caused this issue. Offshore QA only found the issue, since the code is in production it was marked as external</t>
    </r>
  </si>
  <si>
    <r>
      <rPr>
        <sz val="10"/>
        <color rgb="FF000000"/>
        <rFont val="Arial"/>
        <scheme val="minor"/>
      </rPr>
      <t xml:space="preserve">Well Done Team for all the good work!
</t>
    </r>
    <r>
      <rPr>
        <b/>
        <sz val="10"/>
        <color rgb="FF000000"/>
        <rFont val="Arial"/>
        <scheme val="minor"/>
      </rPr>
      <t xml:space="preserve">What went well?
</t>
    </r>
    <r>
      <rPr>
        <sz val="10"/>
        <color rgb="FF000000"/>
        <rFont val="Arial"/>
        <scheme val="minor"/>
      </rPr>
      <t xml:space="preserve">    ○ B2C CERT/PROD release credentials created and in progress towards implementation.
    ○ Exceeded expectations of story completion as well as great testing effort in Donor.
</t>
    </r>
    <r>
      <rPr>
        <b/>
        <sz val="10"/>
        <color rgb="FF000000"/>
        <rFont val="Arial"/>
        <scheme val="minor"/>
      </rPr>
      <t xml:space="preserve">What didn’t go well?
</t>
    </r>
    <r>
      <rPr>
        <sz val="10"/>
        <color rgb="FF000000"/>
        <rFont val="Arial"/>
        <scheme val="minor"/>
      </rPr>
      <t xml:space="preserve">     ○ Reliance on 3rd party teams for routine updates in Donor environments delays our potential.
</t>
    </r>
    <r>
      <rPr>
        <b/>
        <sz val="10"/>
        <color rgb="FF000000"/>
        <rFont val="Arial"/>
        <scheme val="minor"/>
      </rPr>
      <t xml:space="preserve">Kudos
</t>
    </r>
    <r>
      <rPr>
        <sz val="10"/>
        <color rgb="FF000000"/>
        <rFont val="Arial"/>
        <scheme val="minor"/>
      </rPr>
      <t xml:space="preserve">     ■ Thank you for the last minute testing of the OB slide out menu so we didn’t have to carry it forward.
     ■ Thanks for a great pre-PTO hand-off.
     ■ Thank you for the OP queries
     ■ Offshore team did a great job working within a looser-than-typical arrangement with DON-360 (catch-all), but was able to catch several bugs, resolve, retest and reiterate on some great improvements. (+1Alice)
     ■ Preethi was a huge help in Rajeshs’ absence.
     ■ Great job on B2C styling updates
     ■ Great job on maintenance notification and health check work
     ■ Great testing and fixes for OB (filter clearing and featured package appearance) done by offshore team along with some very good testing documentation from Murugesan and Nivetha. (+1 Joe)
</t>
    </r>
    <r>
      <rPr>
        <b/>
        <sz val="10"/>
        <color rgb="FF000000"/>
        <rFont val="Arial"/>
        <scheme val="minor"/>
      </rPr>
      <t xml:space="preserve">Takeaways
</t>
    </r>
    <r>
      <rPr>
        <sz val="10"/>
        <color rgb="FF000000"/>
        <rFont val="Arial"/>
        <scheme val="minor"/>
      </rPr>
      <t>    ○ Loosen the rate limiter for DEV/TST</t>
    </r>
  </si>
  <si>
    <t>OB-OP 8.6.0 Sprint 4</t>
  </si>
  <si>
    <t>Release OP, OB &amp; Donor</t>
  </si>
  <si>
    <t xml:space="preserve">Peer CRC:0 
Onsite CRC:0
Client CRC: 0
Internal Defects: 0
External Defects: 0
</t>
  </si>
  <si>
    <t xml:space="preserve">                                                                                                                                  </t>
  </si>
  <si>
    <t>Resource Name</t>
  </si>
  <si>
    <t>Sprint Name</t>
  </si>
  <si>
    <t>Preethi Muthu</t>
  </si>
  <si>
    <t>Nivetha</t>
  </si>
  <si>
    <t>Karthi Rajendran</t>
  </si>
  <si>
    <t>Prabu Sankar</t>
  </si>
  <si>
    <t>Total UnPlanned Leaves</t>
  </si>
  <si>
    <t>Total Planned Leaves</t>
  </si>
  <si>
    <t>OB-OP 8.5 Sprint 1 (29-Jan-26 to 12-Feb-2026)</t>
  </si>
  <si>
    <r>
      <rPr>
        <sz val="10"/>
        <color rgb="FF000000"/>
        <rFont val="Arial"/>
      </rPr>
      <t xml:space="preserve">Karthi - Personal Emergency
</t>
    </r>
    <r>
      <rPr>
        <b/>
        <sz val="10"/>
        <color rgb="FF000000"/>
        <rFont val="Arial"/>
      </rPr>
      <t>Mercy had a planned leave but she didnt take that</t>
    </r>
  </si>
  <si>
    <t>OB-OP 8.5 Sprint 2 (12-Jan-26 to 26-Feb-2026)</t>
  </si>
  <si>
    <t>No unplanned leaves</t>
  </si>
  <si>
    <t>OB-OP 8.5 Sprint 3 (26-Feb-26 to 12-Mar-2026)</t>
  </si>
  <si>
    <t>Mercy - Daughter not well</t>
  </si>
  <si>
    <t>OB-OP 8.5 Sprint 4 (12-Mar-26 to 26-Mar-2026)</t>
  </si>
  <si>
    <t>Karthi - Not well, ear and nose problem</t>
  </si>
  <si>
    <t>OB-OP 8.6.0 Sprint 1 (26-Mar-26 to 09-Apr-2026)</t>
  </si>
  <si>
    <r>
      <rPr>
        <sz val="10"/>
        <color rgb="FF000000"/>
        <rFont val="Arial"/>
      </rPr>
      <t xml:space="preserve">Prabu - Personal emergency
</t>
    </r>
    <r>
      <rPr>
        <b/>
        <sz val="10"/>
        <color rgb="FF000000"/>
        <rFont val="Arial"/>
      </rPr>
      <t>Preethi - didnt take half day planned leave</t>
    </r>
  </si>
  <si>
    <t>OB-OP 8.6.0 Sprint 2 (09-Apr-26 to 23-Apr-20260</t>
  </si>
  <si>
    <t>Nivetha - Personal reason</t>
  </si>
  <si>
    <t>OB-OP 8.6.0 Sprint 3 (24-Apr-26 to 07-May-2026)</t>
  </si>
  <si>
    <t>OB-OP 8.6.0 Sprint 4 (07-May-26 to 21-May-2026)</t>
  </si>
  <si>
    <t>Nivetha - Not well</t>
  </si>
  <si>
    <t>S.No</t>
  </si>
  <si>
    <t xml:space="preserve">Sprint </t>
  </si>
  <si>
    <t>Developer</t>
  </si>
  <si>
    <t>Story ID/Defect ID</t>
  </si>
  <si>
    <t>Description</t>
  </si>
  <si>
    <t>Status</t>
  </si>
  <si>
    <t>Estimated(hrs/sp)</t>
  </si>
  <si>
    <t>Actual(hrs/sp)</t>
  </si>
  <si>
    <t>Actual Hours  Worklog</t>
  </si>
  <si>
    <t>Dev Start Date</t>
  </si>
  <si>
    <t>Dev End Date</t>
  </si>
  <si>
    <t>Unit testing</t>
  </si>
  <si>
    <t>Peer Tested By</t>
  </si>
  <si>
    <t>Peer Tested Defects, if any</t>
  </si>
  <si>
    <t>Peer Reviewed By</t>
  </si>
  <si>
    <t>Peer Code Review Comments, if any</t>
  </si>
  <si>
    <t>PR Number/Link</t>
  </si>
  <si>
    <t>PR Created Date</t>
  </si>
  <si>
    <t>PR Approved Date</t>
  </si>
  <si>
    <t>Onsite Lead Code Review</t>
  </si>
  <si>
    <t>Code Review Comments, if any</t>
  </si>
  <si>
    <t>Client Code Review</t>
  </si>
  <si>
    <t>Approved Date</t>
  </si>
  <si>
    <t>Code Review Comments, if any2</t>
  </si>
  <si>
    <t>Internal PO -POV Comments</t>
  </si>
  <si>
    <t>Client PO -POV Comments</t>
  </si>
  <si>
    <t>Comments</t>
  </si>
  <si>
    <t>QA Comments</t>
  </si>
  <si>
    <t>Nivetha - [TESTING ONLY]</t>
  </si>
  <si>
    <t>OB-3993</t>
  </si>
  <si>
    <t>OB 8.6.0 CRT release</t>
  </si>
  <si>
    <t>Refinement</t>
  </si>
  <si>
    <t>Preethi/Karthi</t>
  </si>
  <si>
    <t>OB-3985</t>
  </si>
  <si>
    <t>OB Dashboard failing to open on Safari/iPad</t>
  </si>
  <si>
    <t>Completed</t>
  </si>
  <si>
    <t>Done</t>
  </si>
  <si>
    <t>Nil</t>
  </si>
  <si>
    <t>Karthi</t>
  </si>
  <si>
    <t>https://greatergiving.visualstudio.com/Greater%20Giving/_git/OnlineBidding/pullrequest/9555</t>
  </si>
  <si>
    <t>Rajesh</t>
  </si>
  <si>
    <t>Joe</t>
  </si>
  <si>
    <t>Development not yet started, checking on to reproduce the issue using browser stack or some other options as we dont have iOS devices to check 5/8/2026
Trying to fix the issue and check after deployment - 5/11/2026
Fixed the issue and checked in safari browser in mac, but need to check in ipad also, but we dont have the device, so asked mobile QA's help and also will ping alice to test from her side in DEV itself - 5/12/2026</t>
  </si>
  <si>
    <t>DEV testing completed for safari browser alone, need to confirm in ipad as well - 5/12/2026</t>
  </si>
  <si>
    <t>Preethi</t>
  </si>
  <si>
    <t>OB-3986</t>
  </si>
  <si>
    <t xml:space="preserve">Bid Assistant - Need to log out </t>
  </si>
  <si>
    <t>Being Developed</t>
  </si>
  <si>
    <t>Checked with mobile team, but we couldn't find the option of logout bidder in their screen, checking other options as well - 5/8/2026
Checking with mobile team for reproducing the issue - 5/12/2026</t>
  </si>
  <si>
    <t>OB-3962</t>
  </si>
  <si>
    <t>Build Switch control between Individual and Household</t>
  </si>
  <si>
    <t>Started to analyse and checking if we have all the APIs needed for this or need to check with GDON - 5/8/2026
Started with UI design changes - 5/11/2026
Made the code changes with mock data, as we need new/updated API from GDON side to fetch the bidder info like name, bidder etc if the given bidder key is household - 5/12/2026</t>
  </si>
  <si>
    <t>OP-2805</t>
  </si>
  <si>
    <t>OP Transactions - PST to UTC conversion</t>
  </si>
  <si>
    <t>https://greatergiving.visualstudio.com/Greater%20Giving/_git/OP/pullrequest/9451</t>
  </si>
  <si>
    <t>Already shared the analysis done so far from our side to client, need to check the scenario in PROD once after Carlos is available 5/8/2026
As carlos was on PTO, rajesh will check with him today and try to reproduce in prod environment if possible - 5/12/2026</t>
  </si>
  <si>
    <t>OB-3996</t>
  </si>
  <si>
    <t xml:space="preserve">Add Checkout Link to OB </t>
  </si>
  <si>
    <t>Checkout button is not required for Donor disabled users</t>
  </si>
  <si>
    <t>https://greatergiving.visualstudio.com/Greater%20Giving/_git/OnlineBidding/pullrequest/9557</t>
  </si>
  <si>
    <t>Need to check with Rajesh, if only these changes need to be addressed in OB side for this ticket - 5/11/2026
Updated the code to show the button only for donor enabled projects, deployed in DEV for testing - 5/12/2026</t>
  </si>
  <si>
    <t>Dev testing completed 5/12/2026</t>
  </si>
  <si>
    <t>OB-OP 8.6.0 Sprint 4 - [SPIKE]</t>
  </si>
  <si>
    <t>OB-3995</t>
  </si>
  <si>
    <t>Research Repeated Sent Email</t>
  </si>
  <si>
    <t>Its not development task, its an investigation ticket</t>
  </si>
  <si>
    <t>Analysed and noted down the points related to sending email and shared to Joe as a document, he attached that document in the JIRA ticket - 5/11/2026
We gave the qquery, waiting for the result, as Sarah was on PTO yesterday, we might get the result today - 5/12/2026</t>
  </si>
  <si>
    <t xml:space="preserve"> Sprint</t>
  </si>
  <si>
    <t>Story/Defect ID</t>
  </si>
  <si>
    <t>Parent Story</t>
  </si>
  <si>
    <t>Issue Type</t>
  </si>
  <si>
    <t xml:space="preserve">Issue Description </t>
  </si>
  <si>
    <t>Priority</t>
  </si>
  <si>
    <t>Defect Source</t>
  </si>
  <si>
    <t>Type</t>
  </si>
  <si>
    <t>Root Cause Category</t>
  </si>
  <si>
    <t>Found By</t>
  </si>
  <si>
    <t>RCA Comment</t>
  </si>
  <si>
    <t>OB-3980</t>
  </si>
  <si>
    <t>Update Featured Packages (Large) to match Package Browse</t>
  </si>
  <si>
    <t>https://greatergiving.visualstudio.com/Greater%20Giving/_git/OnlineBidding/pullrequest/9506</t>
  </si>
  <si>
    <t>Development and local testing completed 4/27/2026</t>
  </si>
  <si>
    <t>Dev testing completed 4/27/2026
TST testing completed 4/28/2026</t>
  </si>
  <si>
    <t>OB-3964</t>
  </si>
  <si>
    <t>Add Table # to slide out menu</t>
  </si>
  <si>
    <t>https://greatergiving.visualstudio.com/Greater%20Giving/_git/OnlineBidding/pullrequest/9541</t>
  </si>
  <si>
    <t>Checked with GGO team for the API - 4/27/2026
Starting with integrating existing GDON API - 4/28/2026
Having dependency on GDON API, they have to write new API, once done will resume the work on this, story has been flagged in JIRA, client also knows about this - 4/30/2026
Updated the coe by integreating GDON API, tested in local and DEV and created PR - 5/6/2026
Joe made few changes in this PR and deployed in DEV for our testing, we need to review and confirm this today, and he will complete the PR in our evening - 5/7/2026</t>
  </si>
  <si>
    <t>DEV testing completed 5/6/2026
TST testing completed 5/7/2026</t>
  </si>
  <si>
    <t>OB-3983</t>
  </si>
  <si>
    <t>Send Project Key with SignIn/Sign Up</t>
  </si>
  <si>
    <t>Donr</t>
  </si>
  <si>
    <t>https://greatergiving.visualstudio.com/Greater%20Giving/_git/OnlineBidding/pullrequest/9511</t>
  </si>
  <si>
    <t>Started analysis and shared with Rajesh - 4/27/2026
Started development and tested in local by hardcoding values - 4/28/2026
Rajesh approved the PR, waiting for Joe's approval - 5/4/2026
Need some changes in GDON API, so need to implement this in OB - 5/5/2026</t>
  </si>
  <si>
    <t>DEV testing completed 5/4/2026
TST testing completed 5/6/2026</t>
  </si>
  <si>
    <t>OP-2809</t>
  </si>
  <si>
    <t>OP - Synk remediation</t>
  </si>
  <si>
    <t>Only testing needs to be done in this sprint</t>
  </si>
  <si>
    <t>https://greatergiving.visualstudio.com/Greater%20Giving/_git/OP/pullrequest/9497</t>
  </si>
  <si>
    <t>Local and DEV testing completed 4/27/2026
Defect was added for not able to create project website, worked on that and will be creating PR today - 4/30/2026
Alice tested the sub defect and closed it and said final regression alone pending for this story She was on unplanned PTO on may 1st, so it will be closed today - 5/4/2026</t>
  </si>
  <si>
    <t>Preethi/Rajesh</t>
  </si>
  <si>
    <t>Need help from Prabu''s end so kept on hold till he is back, trying to put multiple transactions today  and check one more time in TST - 5/4/2026
Rajesh will try to check this in prod and let us know today if possible - 5/5/2026
This will be carry forwarded to next sprint as we cant reproduce this in TST and need to check in production with the help of carlos. Client is also aware of this - 5/6/2026</t>
  </si>
  <si>
    <t>OP-2811 - [Defect]</t>
  </si>
  <si>
    <t>Creating Project Websites Always Fails</t>
  </si>
  <si>
    <t>https://greatergiving.visualstudio.com/Greater%20Giving/_git/OP/pullrequest/9518</t>
  </si>
  <si>
    <t>NIl</t>
  </si>
  <si>
    <t>Fixed the bug and tested in local 4/29/2026
Tested in DEV - 4/30/2026</t>
  </si>
  <si>
    <t>TST testing completed 5/4/2026</t>
  </si>
  <si>
    <t>OB-OP 8.6.0 Sprint 3 - [Stretch]</t>
  </si>
  <si>
    <t>OB-3990</t>
  </si>
  <si>
    <t>OB Filters - Apply button function is not working after when we see “No Packages found.” and then make changes to the filters</t>
  </si>
  <si>
    <t>https://greatergiving.visualstudio.com/Greater%20Giving/_git/OnlineBidding/pullrequest/9528</t>
  </si>
  <si>
    <t>Fixed the issue in local and testing multiple scenarios related to filter and search combination - 4/30/2026</t>
  </si>
  <si>
    <t>Devtesting completed 5/4/2026
TST testing completed 5/6/2026</t>
  </si>
  <si>
    <t>OB-3987</t>
  </si>
  <si>
    <t>Update OB Footer to not be hardcoded date</t>
  </si>
  <si>
    <t>https://greatergiving.visualstudio.com/Greater%20Giving/_git/OnlineBidding/pullrequest/9523</t>
  </si>
  <si>
    <t>Updated the code and tested in local 4/30/2026</t>
  </si>
  <si>
    <t>OB-3992</t>
  </si>
  <si>
    <t>SMS Null Delivery Status</t>
  </si>
  <si>
    <t>This is not development ticket, its investigation ticket</t>
  </si>
  <si>
    <t>This is an investigation ticket, so no PR has been raised for this, analysed on the points given from PO and shared the analysis along with screenshot and added it in JIRA comments as well. Joe will have a look on it and it will be closed today - 5/7/2026</t>
  </si>
  <si>
    <t>No testing efforts needed for this ticket</t>
  </si>
  <si>
    <t>OP-2810</t>
  </si>
  <si>
    <t>Determine production use case</t>
  </si>
  <si>
    <t xml:space="preserve">This is an investigation ticket, so no PR has been raised for this, analysed on the points given from PO and shared the analysis along with screenshot and added it in JIRA comments </t>
  </si>
  <si>
    <t>OP-2811</t>
  </si>
  <si>
    <t>Defect</t>
  </si>
  <si>
    <t>Significant</t>
  </si>
  <si>
    <t>Manual</t>
  </si>
  <si>
    <t>Internal</t>
  </si>
  <si>
    <t>Closed</t>
  </si>
  <si>
    <t>Development</t>
  </si>
  <si>
    <t>Created many pages and checked but new project website got failed</t>
  </si>
  <si>
    <t>Alice</t>
  </si>
  <si>
    <t>Checked all pages in OP as well as GGO to OP flow, but missed to check in the new project by creating new project website</t>
  </si>
  <si>
    <t>Regression</t>
  </si>
  <si>
    <t>Existing_Issues</t>
  </si>
  <si>
    <t>This was broken as part of doing something else as we were working on mutltiple scenarios of filter and search</t>
  </si>
  <si>
    <t>Karthi/Preethi/Rajesh</t>
  </si>
  <si>
    <t>Need Rajesh's help on this to test thorugh TST DB, so will be doing this in next week - 4/10/2026
Couldn't find the place as mentioned in the AC, so need Prabu's help as well on this, hence this will be carry forwarded 4/23/2026</t>
  </si>
  <si>
    <t>OB-3978</t>
  </si>
  <si>
    <t>Fix: Bidder Link appearing as anonymous</t>
  </si>
  <si>
    <t>https://greatergiving.visualstudio.com/Greater%20Giving/_git/OnlineBidding/pullrequest/9458</t>
  </si>
  <si>
    <t>Completed development and tested in local, Deployed in DEV for testing 4/10/2026</t>
  </si>
  <si>
    <t>Dev testing completed 4/10/2026
TST testing completed 4/13/2026</t>
  </si>
  <si>
    <t>OB-3974</t>
  </si>
  <si>
    <t>Outbid texts no longer go to that specific package</t>
  </si>
  <si>
    <t>https://greatergiving.visualstudio.com/Greater%20Giving/_git/OnlineBidding/pullrequest/9468</t>
  </si>
  <si>
    <t>Completed development, not getting mail in DEV so deployment cant be done for testing 4/10/2026
Mail received and checked in DEV and created PR - 4/14/2026</t>
  </si>
  <si>
    <t>Dev testing completed 4/15/2026
TST testing completed 4/16/2026</t>
  </si>
  <si>
    <t>Started analysis
Fixing the issues one by one 4/17/2026
Tested in local, except pages option rest all working today, 4/22/2026
Deployed in DEV for testing today, once all pages are working, then PR will be sent out today 4/23/2026</t>
  </si>
  <si>
    <t>OB-3977</t>
  </si>
  <si>
    <t>OB - SNYK remediation</t>
  </si>
  <si>
    <t>https://greatergiving.visualstudio.com/Greater%20Giving/_git/OnlineBidding/pullrequest/9484</t>
  </si>
  <si>
    <t>Trying to fix the sync points 4/17/2026
Updated the points and deployed in DEV for testing, for other points shared the reason 4/17/2026</t>
  </si>
  <si>
    <t>Dev testing completed 4/17/2026
TST testing completed 4/21/2026</t>
  </si>
  <si>
    <t>OB-OP 8.6.0 Sprint 2 - [Stretch]</t>
  </si>
  <si>
    <t>OB-3984</t>
  </si>
  <si>
    <t>Featured Packages - Should follow order of Packages in OB Settings</t>
  </si>
  <si>
    <t>https://greatergiving.visualstudio.com/Greater%20Giving/_git/OnlineBidding/pullrequest/9492</t>
  </si>
  <si>
    <t>Development and local testing completed 4/21/2026</t>
  </si>
  <si>
    <t>Dev testing completed 4/21/2026</t>
  </si>
  <si>
    <t>OB-3965</t>
  </si>
  <si>
    <t>Swap Apply and Clear in filters area</t>
  </si>
  <si>
    <t>https://dev.azure.com/greatergiving/Greater%20Giving/_git/OnlineBidding/pullrequest/9498</t>
  </si>
  <si>
    <t>Development and local testing completed 4/22/2026</t>
  </si>
  <si>
    <t>Dev testing completed 4/22/2026</t>
  </si>
  <si>
    <t>External</t>
  </si>
  <si>
    <t>When no package is created, bidder info is not seen</t>
  </si>
  <si>
    <t>Client</t>
  </si>
  <si>
    <t>We have written the code to call bidder only after the success of package API, so when no package was there, bidder API wasn't called</t>
  </si>
  <si>
    <t>We have changed the routes for new UI and missed to test email scenarios</t>
  </si>
  <si>
    <t>Prabu</t>
  </si>
  <si>
    <t>OP-2807</t>
  </si>
  <si>
    <t>Update OP splash page</t>
  </si>
  <si>
    <t>No PR, only SQL queries, those are updated in the JIRA ticket</t>
  </si>
  <si>
    <t>Need to find an approach to update the css 3/27/2026
Found the table in DB and updated in local, when trying to update in DEV , getting error before login page itself, analysing on that - 4/7/2026</t>
  </si>
  <si>
    <t>Tested in TST 4/8/2026
Tested in TST 4/9/2026</t>
  </si>
  <si>
    <t>OB-3968</t>
  </si>
  <si>
    <t>OB - Read Donation Settings</t>
  </si>
  <si>
    <t>https://greatergiving.visualstudio.com/Greater%20Giving/_git/OnlineBidding/pullrequest/9421</t>
  </si>
  <si>
    <t>Started development, added migration script to add new column and updated the condition to show/hide based on the new parameter 3/27/2026
Updated the code by refactoring few approaches 3/30/2026
Prabu suggested to make 2 methods into single method, updated that and tested in local as well as in DEV 4/1/2026</t>
  </si>
  <si>
    <t>Tested in TST 4/3/2026</t>
  </si>
  <si>
    <t>Karthi/Preethi</t>
  </si>
  <si>
    <t>Started analysis, trying to find the location 3/30/2026
Still analysing to find the place from where the changes are being happening, as far we are saving the value from PAPI to OP,so need to confirm in PAPI as well - 4/7/2026</t>
  </si>
  <si>
    <t>OB-OP 8.6.0 Sprint 1 - [Stretch]</t>
  </si>
  <si>
    <t>OB-3969</t>
  </si>
  <si>
    <t>UI Artifact around "Show Item Donor Name" selection</t>
  </si>
  <si>
    <t>https://greatergiving.visualstudio.com/Greater%20Giving/_git/OnlineBidding/pullrequest/9428</t>
  </si>
  <si>
    <t>Development and local testing completed 4/3/2026
Tested in DEV and created PR - 4/3/2026</t>
  </si>
  <si>
    <t>Tested in DEV 4/3/2026
Tested in TST 4/7/2026</t>
  </si>
  <si>
    <t>OB-3954</t>
  </si>
  <si>
    <t>Missing Font resources</t>
  </si>
  <si>
    <t>https://greatergiving.visualstudio.com/Greater%20Giving/_git/OnlineBidding/pullrequest/9435</t>
  </si>
  <si>
    <t>Updated the code, when checked in DEV, for me and karthi console error is not coming, but for nivetha its coming, so rechecking on that 4/6/2026</t>
  </si>
  <si>
    <t>Tested in DEV - 4/6/2026
Tested in TST - 4/6/2026</t>
  </si>
  <si>
    <t xml:space="preserve">OB-OP 8.6.0 Sprint 1 - [Stretch] </t>
  </si>
  <si>
    <t>Requirements</t>
  </si>
  <si>
    <t>We have already added this point in the observation sheet and shared with derek</t>
  </si>
  <si>
    <t xml:space="preserve">We already found the missing things in new UI and shared the document with PO, they missed to create story for that </t>
  </si>
  <si>
    <t>OP-2803</t>
  </si>
  <si>
    <t>Add link to privacy policy and terms of use on OP login</t>
  </si>
  <si>
    <t>Development done in last sprint, only testing in this sprint</t>
  </si>
  <si>
    <t>Mercy</t>
  </si>
  <si>
    <t>https://greatergiving.visualstudio.com/Greater%20Giving/_git/OP/pullrequest/9346</t>
  </si>
  <si>
    <t>Updated the HTML in azure but seeing console error and we cant able to login to OP after that, since OB CRT release is priority now, it will be done after that 3/13/2026
DEV testing completed 3/20/2026</t>
  </si>
  <si>
    <t>TST testing completed 3/20/2026</t>
  </si>
  <si>
    <t>Updated the splash page in DEV and TST but still the changes didnt get reflected, this will be done after OB CRT release 3/13/2026
Found a table from where the content was coming in UI, tried updating the content and it got worked, but the style changes are not able to be added inside the html content 3/26/2026</t>
  </si>
  <si>
    <t>OP-2799</t>
  </si>
  <si>
    <t>RSVP Receipts showing data tags for certain email clients</t>
  </si>
  <si>
    <t>https://greatergiving.visualstudio.com/Greater%20Giving/_git/OP/pullrequest/9357</t>
  </si>
  <si>
    <t>Not receiving emails in DEV, need to check the email queue in server, but this can be done after OB CRT release as that is the priority for now 3/13/2026
Mail is receiving now, tested in DEV 3/20/2026</t>
  </si>
  <si>
    <t>DEV testing in progress 3/20/2026</t>
  </si>
  <si>
    <t>OB-3951</t>
  </si>
  <si>
    <t>Ensure Package Images are consistent</t>
  </si>
  <si>
    <t>1. overlapping with the banner is seen for an image
2. In mobile view some images seems to be stretched</t>
  </si>
  <si>
    <t>https://greatergiving.visualstudio.com/Greater%20Giving/_git/OnlineBidding/pullrequest/9391</t>
  </si>
  <si>
    <t>Checking the images in browse, detail, deatured packages and comparing the codes 3/13/2026
Updated the code for browse, detail pages, checked for featured packages 3/16/2026</t>
  </si>
  <si>
    <t>Tested in TST 3/18/2026</t>
  </si>
  <si>
    <t>OB-3956</t>
  </si>
  <si>
    <t>Terms of Use and Privacy Policy Update</t>
  </si>
  <si>
    <t>https://greatergiving.visualstudio.com/Greater%20Giving/_git/OnlineBidding/pullrequest/9386</t>
  </si>
  <si>
    <t>Development completed and local testing done 3/17/2026</t>
  </si>
  <si>
    <t>OB-3957</t>
  </si>
  <si>
    <t>Closed packages w/o bids still show bid buttons</t>
  </si>
  <si>
    <t>https://greatergiving.visualstudio.com/Greater%20Giving/_git/OnlineBidding/pullrequest/9378</t>
  </si>
  <si>
    <t xml:space="preserve">Tried to reproduce by pointing DEV and TST and adding console logs, but working as expected. Added some more safer checks in code to not to display buttons and timer 3/13/2026
Updated the code related to timezone issue and deployed in DEV for testing 3/16/2026
Both OB-3960 and OB-3957 have the same fix so will be raising the same PR </t>
  </si>
  <si>
    <t>Trying to reproduce the issue in multiple environments 3/13/2026
Dev testing completed 3/17/2026
Dev testing completed 3/18/2026
TST testing completed 3/20/2026</t>
  </si>
  <si>
    <t>OB-3959</t>
  </si>
  <si>
    <t>OB 8.5.0 Release to CRT.</t>
  </si>
  <si>
    <t>Deployed in CRT and testing started 3/20/2026</t>
  </si>
  <si>
    <t>OB-OP 8.5 Sprint 4 - [STRETCH]</t>
  </si>
  <si>
    <t>OB-3960</t>
  </si>
  <si>
    <t>Ensure Ob Start Times are using pre-UX logic</t>
  </si>
  <si>
    <t>Updated the code, checked with different timezones, we have 2 clarification, need to check with PO 3/16/2026
Worked on the 2 points after confirming from PO, deployed in DEV for testing 3/17/2026
Worked on the point suggested by prabu regarding time interval, updated that and deployed in DEV for testing 3/18/2026</t>
  </si>
  <si>
    <t>Dev testing completed for timezone issue and shared the result with prabu 3/16/2026
TST testing completed 3/18/2026</t>
  </si>
  <si>
    <t>OB-3955</t>
  </si>
  <si>
    <t>Donation Bar Updates</t>
  </si>
  <si>
    <t>https://greatergiving.visualstudio.com/Greater%20Giving/_git/OnlineBidding/pullrequest/9388</t>
  </si>
  <si>
    <t>Development completed and local testing done, Deployed in DEV 3/19/2026</t>
  </si>
  <si>
    <t>Dev testing completed 3/19/2026
TST testing completed 3/20/2026</t>
  </si>
  <si>
    <t>OB-3967</t>
  </si>
  <si>
    <t>Set Up &amp;  Knowledge Transfer</t>
  </si>
  <si>
    <t>We have added this point in our regression observation sheet and shared with derek before itself</t>
  </si>
  <si>
    <t>Derek</t>
  </si>
  <si>
    <t>Its not a defect, no requirement was given to update the url for those links</t>
  </si>
  <si>
    <t>Inprogress</t>
  </si>
  <si>
    <t>Time calculation was based on current timezone in which the source code was deployed</t>
  </si>
  <si>
    <t>Rachelle</t>
  </si>
  <si>
    <t>Missed to add the time coversion code based on the project timezone which was implemented in old UI</t>
  </si>
  <si>
    <t>Mercy - [TESTING ONLY]</t>
  </si>
  <si>
    <t>OB-3913</t>
  </si>
  <si>
    <t>Release and Test OB 8.4.0 to CRT</t>
  </si>
  <si>
    <t xml:space="preserve">Release to CRT is completed 3/3/2026 </t>
  </si>
  <si>
    <t>Testing in CRT is in progress 3/3/2026
CRT testing completed 3/4/2026</t>
  </si>
  <si>
    <t>OB-3911</t>
  </si>
  <si>
    <t>Using the back button should show full search results</t>
  </si>
  <si>
    <t>https://greatergiving.visualstudio.com/Greater%20Giving/_git/OnlineBidding/pullrequest/9328</t>
  </si>
  <si>
    <t>Took cut branch and updated the code for making ALL/Home icon click also to retain the filter and search functionality 2/27/2026
Made some more changes related to reducing the API calls and adding X icon in search are added today as part of this story changes for CRT release 3/2/2026</t>
  </si>
  <si>
    <t>Dev testing completed 3/2/2026
CRT testing completed 3/3/2026</t>
  </si>
  <si>
    <t>OB-3947</t>
  </si>
  <si>
    <t>Sponsor Image not always centered on sponsor scroll with single sponsor</t>
  </si>
  <si>
    <t>https://greatergiving.visualstudio.com/Greater%20Giving/_git/OnlineBidding/pullrequest/9329</t>
  </si>
  <si>
    <t>Development completed in local, deployed in DEV for testing 2/27/2026</t>
  </si>
  <si>
    <t>DEV testing completed 2/27/2026
CRT testing completed 3/3/2026</t>
  </si>
  <si>
    <t>Preethi/Prabu</t>
  </si>
  <si>
    <t>OB-3948</t>
  </si>
  <si>
    <t>Searching for a package by pkg # does not have a UX route to all packages</t>
  </si>
  <si>
    <t>Development completed in local, deployed in DEV for testing 2/27/2026
Will be sharing the PR of OB-3911 as most of the scenarios for this are already handled in that story 3/2/2026</t>
  </si>
  <si>
    <t>OB-3949</t>
  </si>
  <si>
    <t>Mobile should match Desktop in regards to Hamburger Menu</t>
  </si>
  <si>
    <t>https://greatergiving.visualstudio.com/Greater%20Giving/_git/OnlineBidding/pullrequest/9330</t>
  </si>
  <si>
    <t>OB-3953</t>
  </si>
  <si>
    <t>Clean up console logging and missing font resources</t>
  </si>
  <si>
    <t>https://greatergiving.visualstudio.com/Greater%20Giving/_git/OnlineBidding/pullrequest/9336</t>
  </si>
  <si>
    <t>Removed logs and verified 3/2/2026</t>
  </si>
  <si>
    <t xml:space="preserve">
CRT testing completed 3/3/2026</t>
  </si>
  <si>
    <t>OB-OP 8.5 Sprint 3 - [STRETCH]</t>
  </si>
  <si>
    <t>Peer Review</t>
  </si>
  <si>
    <t>Added the links in html file and shared the screenshot of the changes 3/4/2026
Need to check the way to deploy this in DEV - kept hold till 3/11/2026
Deployed the changes in DEV 3/12/2026
This file should be updated in azure portal and deployment should be done, after that will be raising the PR 3/12/2026</t>
  </si>
  <si>
    <t>Analysed and added the code for encoding, tried to reproduce the mentioned issue in DEV but all mails were coming correctly 3/4/2026
Updated the latest zip in DEV to check the fix but mail is not coming in DEV, need to confirm 3/5/2026
Tested in DEV and updated few more places 3/6/2026
Updated the conditions in all possible places 3/9/2026
Not receiving mails from 3/10/2026, so testing is blocked - created draft PR for review purpose</t>
  </si>
  <si>
    <t>Tested in DEV, mail didnt have ##  -3/6/2026</t>
  </si>
  <si>
    <t>Mike/Preethi/Karthi</t>
  </si>
  <si>
    <t>Initially this story was assigned to Mike, since we had time we took this in the middle of the sprint
Trying to find the splash page in solution and in SQL tables as well 3/5/2026
Trying diff ways to find the splash page in our source 3/6/2026
Found the splash page, updating the content 3/9/2026
Updated the content and checked in browser as html page itself 3/10/2026
Trying to deploy in DEV for testing 3/11/2026
Deployed in DEV, but not able to see any splash page in DEV, only in TST we can see splash page 3/12/2026</t>
  </si>
  <si>
    <t>OB-3913 - CRT regression</t>
  </si>
  <si>
    <t>Need to check and analyse, we have checked in DEV with 1 sponsors but somehow got broken in TST</t>
  </si>
  <si>
    <t>Enhancements</t>
  </si>
  <si>
    <t>This is part of OB-3911 which is almost developed in last sprint but that is not of this production release</t>
  </si>
  <si>
    <t>This is not part of any of the requirement so far discussed</t>
  </si>
  <si>
    <t>OB-3920</t>
  </si>
  <si>
    <t>Pre-Existing OB Sites are Not updating to new UX</t>
  </si>
  <si>
    <t>PR completed by Joe, yet to deploy in TST and test, so no development in this sprint</t>
  </si>
  <si>
    <t>https://greatergiving.visualstudio.com/Greater%20Giving/_git/GGO/pullrequest/9283</t>
  </si>
  <si>
    <t>Only QA testing pending in this sprint</t>
  </si>
  <si>
    <t>Tested and noted down the org and project names in DEV environment which are not showing up new UI in OB 2/13/2026
Tested the projects in DEV and TST and shared with prabu, all showing new UI in OB 2/16/2026
TST testing completed 2/18/2026</t>
  </si>
  <si>
    <t>Being Tested</t>
  </si>
  <si>
    <t>Completed all CRT stories testing and added screenshots in JIRA 2/26/2026</t>
  </si>
  <si>
    <t>OB-3940</t>
  </si>
  <si>
    <t>SignalR Investigation and Update</t>
  </si>
  <si>
    <t>https://greatergiving.visualstudio.com/Greater%20Giving/_git/OnlineBidding/pullrequest/9276</t>
  </si>
  <si>
    <t>Analysed if any improvements can be done, deployed in DEV for testing 2/13/2026
Worked on showing current high bid during bid again functionality 2/17/2026</t>
  </si>
  <si>
    <t>Dev testing completed 2/13/2026
Retesting in DEV completed 2/16/2026
Retesting in DEV again completed 2/17/2026
TST testing completed 2/18/2026</t>
  </si>
  <si>
    <t>OB-3939</t>
  </si>
  <si>
    <t>OB UX - Sort by price feature enhancement</t>
  </si>
  <si>
    <t>https://greatergiving.visualstudio.com/Greater%20Giving/_git/OnlineBidding/pullrequest/9287</t>
  </si>
  <si>
    <t>Development and local testing completed 2/13/2026
DEV testing completed 2/16/2026
Since we are planning for second CRT release, this PR will be shared later after the release 2/18/2026
Both Joe and Prabu reviewed the PR, after CRT release is done they might complete it today 2/19/2026
Joe had few discussuion with prabu regrading the PR, waiting for his reply 2/23/2026
Joe suggested changes, prabu updated that and tested in DEV, waiting for Joe's approval 2/25/2026
PR approved 2/26/2026</t>
  </si>
  <si>
    <t>Tested in DEV completed 2/17/2026
Tested in DEV completed 2/25/2026
Tested in TST completed 2/26/2026</t>
  </si>
  <si>
    <t xml:space="preserve">1.Home icon click/All breadcrumb click -  not displayig all packages
</t>
  </si>
  <si>
    <t>https://greatergiving.visualstudio.com/Greater%20Giving/_git/OnlineBidding/pullrequest/9323</t>
  </si>
  <si>
    <t>Worked on retaining the search text when clicking back from detail page, in progress with filter retain 2/13/2026
Worked on filter retain, in progress with storing scroll position 2/16/2026
Worked on activity and favorite tab retain functionality for sometime since OB-3940 was priority 2/17/2026
Working on scroll position and pagination sceanrio 2/18/2026
Completed devlopment, testing all possible sceanrios in local and fixing the broken scenarios 2/19/2026, 2/20/2026
Home icon/All click scenarios failed because of recent update in branch, fixed that - 2/23/2026
Worked on one failing scenario reported by mercy - both browse and ALL click back to back was showing result wrongly, Fixed all sceanrios, tested in DEV and created PR- 2/24/2026
Worked on the code changes suggested by prabu - not to have too many code changes in browse page and thinking of alternative approach to reduce the number of lines 2/25/2026
Checked all diff approaches, session storage, storing in URL, RouteReuse Strategy, but nothing helps in our scenario, done with service level changes and tested in local and deployed in DEV 2/26/2026</t>
  </si>
  <si>
    <t>Tested in DEV in progress 2/19/2026
Tested in DEV completed - 2/24/2026
Restesting for the recent changes in DEV in progress - 2/25/2026</t>
  </si>
  <si>
    <t>OB-3922</t>
  </si>
  <si>
    <t>Donations do not appear in Acitivty</t>
  </si>
  <si>
    <t>Donation tab keep on loading when there is no count and also when donation is disabled in GGO settings</t>
  </si>
  <si>
    <t>https://greatergiving.visualstudio.com/Greater%20Giving/_git/OnlineBidding/pullrequest/9238</t>
  </si>
  <si>
    <t>Implemented the slider animation and created 2 branches with different set of donation order and deployed in DEV for testing 1/30/2026
Mercy reported few issues in DEV testing, worked on those and prabu suggested to show difference in the columns, updated that and deployed in DEV for QA testing 2/2/2026
PO didn't want any color backgrounds to the list and added a vertical line for separating the columns and deployed in DEV for testing 2/3/2026
Raised PR waiting for prabu's review, he has got many stories yesterday to review, so he might review this today as this has more code changes 2/4/2026
Prabu approved the PR, waitiing for Joe's review 2/5/2026
Joe asked for a change related to background theme color, working on that today, DEV testin g completed for the change mentioned 2/6/2026
TST testing completed 2/9/2026</t>
  </si>
  <si>
    <t>OB-3927</t>
  </si>
  <si>
    <t>Single Sponsor Logo Stuck on Far Left</t>
  </si>
  <si>
    <t>https://greatergiving.visualstudio.com/Greater%20Giving/_git/OnlineBidding/pullrequest/9250</t>
  </si>
  <si>
    <t>Updated the point suggested by prabu and deployed in DEV for testing 1/30/2026
Updated the points which mercy mentioned during testing and deployed in DEV for QA testing 2/2/2026
Retesting in DEV and created PR  2/3/2026
PR approved, TST testing completed 2/4/2026</t>
  </si>
  <si>
    <t>OB-3933</t>
  </si>
  <si>
    <t>For logged In user unable to donate from slide out menu</t>
  </si>
  <si>
    <t>https://greatergiving.visualstudio.com/Greater%20Giving/_git/OnlineBidding/pullrequest/9237</t>
  </si>
  <si>
    <t>Development and local testing completed, Deployed in DEV for QA testing, Raised PR - 1/30/2026
Prabu approved on friday itself, waiting for Joe's approval 2/2/2026
TST testing completed 2/3/2026</t>
  </si>
  <si>
    <t xml:space="preserve">OB-3929 </t>
  </si>
  <si>
    <t>OB UX - Mobile header clean up</t>
  </si>
  <si>
    <t>https://greatergiving.visualstudio.com/Greater%20Giving/_git/OnlineBidding/pullrequest/9275</t>
  </si>
  <si>
    <t>Working on the font changes 2/3/2026
Working on showing full image instead of cropped images 2/4/2026
Updated the height region of the whole container and shared screenshots to prabu 2/5/2026
We dont have mockup or screenshot for this story, so we have made changes as per the AC and shared the before and after screenshots with prabu, once derek confirms the changes, we will deploy in DEV for testing and will be raising PR after that 2/6/2026
Made changes for donation bar spacing and deployed in DEV for testing 2/9/2026
Retested in DEV 2/10/2026
Restested in DEV 2/11/2026</t>
  </si>
  <si>
    <t>Tested in DEV and shared my observation with repect to horizontal and vertical images 2/11/2026</t>
  </si>
  <si>
    <t>OB-3930</t>
  </si>
  <si>
    <t>OB UX - Donations modal should clear 0s on click</t>
  </si>
  <si>
    <t>https://greatergiving.visualstudio.com/Greater%20Giving/_git/OnlineBidding/pullrequest/9240</t>
  </si>
  <si>
    <t>Development and local testing completed, Created draft PR - 1/30/2026
Deployed in DEV for QA testing, no issues found and published the PR 2/2/2026
TST testing completed 2/3/2026</t>
  </si>
  <si>
    <t>OB-3934</t>
  </si>
  <si>
    <t>OB UX - Clickable links should indicate they are such</t>
  </si>
  <si>
    <t>https://greatergiving.visualstudio.com/Greater%20Giving/_git/OnlineBidding/pullrequest/9241</t>
  </si>
  <si>
    <t>Development and local testing completed, Created draft PR - 1/30/2026
Deployed in DEV for QA testing, no issues found and published the PR 2/2/2026
Prabu approved the PR, waiting for Joe's approval, retesting done in DEV 2/3/2026
PR approved, TST testing completed 2/4/2026</t>
  </si>
  <si>
    <t>OB-3931</t>
  </si>
  <si>
    <t>OB UX - Provide a "Return to Top" option when scrolling</t>
  </si>
  <si>
    <t>https://greatergiving.visualstudio.com/Greater%20Giving/_git/OnlineBidding/pullrequest/9251</t>
  </si>
  <si>
    <t>Development started and need to do DEV testing tomorrow 2/2/2026
Deployed in DEV for testing and created PR - 2/3/2026
PR approved, TST testing completed 2/4/2026</t>
  </si>
  <si>
    <t>OB-3936</t>
  </si>
  <si>
    <t>OB UX - Notification Bell and User Profile button</t>
  </si>
  <si>
    <t>https://greatergiving.visualstudio.com/Greater%20Giving/_git/OnlineBidding/pullrequest/9252</t>
  </si>
  <si>
    <t>Started development and it is progress 2/2/2026
Deployed in DEV for testing and will create PR today - 2/3/2026
Prabu approved the PR, waiting for Joe's review 2/4/2026
PR approved, TST testing completed 2/5/2026</t>
  </si>
  <si>
    <t>OB-OP 8.5 Sprint 1 - [STRETCH]</t>
  </si>
  <si>
    <t>OB-3937</t>
  </si>
  <si>
    <t>OB UX - Featured packages text should wrap</t>
  </si>
  <si>
    <t>https://greatergiving.visualstudio.com/Greater%20Giving/_git/OnlineBidding/pullrequest/9267</t>
  </si>
  <si>
    <t>Updated the code, shared screenshots to prabu since we dont have any mockup for this in JIRA 2/5/2026
Prabu asked for a screenshot by displaying show more/show less text , so worked on that 2/6/2026
Tested in DEV with show more/show less text and created PR - 2/9/2026</t>
  </si>
  <si>
    <t>OB-3938</t>
  </si>
  <si>
    <t>OB UX - Hamburger menu consistency</t>
  </si>
  <si>
    <t>https://greatergiving.visualstudio.com/Greater%20Giving/_git/OnlineBidding/pullrequest/9259</t>
  </si>
  <si>
    <t>Development and local testing completed, need to deploy in DEV tomorrow 2/5/2026
DEV testing by QA in progress, once done will raise the PR 2/6/2026</t>
  </si>
  <si>
    <t>OB-3935</t>
  </si>
  <si>
    <t>OB UX - Move Terms and Conditions</t>
  </si>
  <si>
    <t>https://greatergiving.visualstudio.com/Greater%20Giving/_git/OnlineBidding/pullrequest/9268</t>
  </si>
  <si>
    <t>Remove the dead codes on .ts file for the changes removed in HTML</t>
  </si>
  <si>
    <t>Development and local testing completed. Deployed in DEV for QA testing 2/10/2026
Worked on the comments given by prabu, retesting in DEV completed, raised PR 2/11/2026</t>
  </si>
  <si>
    <t>DEV testing completed 2/11/2026</t>
  </si>
  <si>
    <t>Started with commenting the signalr related changes and noted down the steps which all affects the signalr 2/9/2026
Tried with stopping reload while signalr and tested in local with multiple users 2/10/2026
Worked on stopping the APIs when signalr is triggered so that cache becomes empty 2/11/2026</t>
  </si>
  <si>
    <t>DEV testing in progress 2/11/2026</t>
  </si>
  <si>
    <t>OB-3941</t>
  </si>
  <si>
    <t>When we set donation bar at bottom of the page in GGO, top icon hides behind the footer</t>
  </si>
  <si>
    <t>https://greatergiving.visualstudio.com/Greater%20Giving/_git/OnlineBidding/pullrequest/9277</t>
  </si>
  <si>
    <t>Fixed and created PR - 2/11/2026</t>
  </si>
  <si>
    <t>https://greatergiving.visualstudio.com/Greater%20Giving/_git/GGO/pullrequest/9282</t>
  </si>
  <si>
    <t>Development and local testing completed and raised PR - 2/12/2026</t>
  </si>
  <si>
    <t>Major</t>
  </si>
  <si>
    <t>Missed to find in local and DEV testing</t>
  </si>
  <si>
    <t>We have updated the popup in one scenario but missed to add the parameter in other places which uses the same popup component. When any change is done we make sure that its reflected in all places</t>
  </si>
  <si>
    <t>Didn't check by having donation bar at the bottom</t>
  </si>
  <si>
    <t>These scenarios will be done in regression only. As part of the original story, TOP icon functionality was tested but having donation bar at the top and bottom separately was not tested</t>
  </si>
  <si>
    <t>Dev Comments</t>
  </si>
  <si>
    <t>OB-3895</t>
  </si>
  <si>
    <t>Adjust Activity and Favorites to reflect updated search and pagination</t>
  </si>
  <si>
    <t>https://greatergiving.visualstudio.com/Greater%20Giving/_git/OnlineBidding/pullrequest/9118</t>
  </si>
  <si>
    <t>DEV testing completed,Need to test the last review changes alone, that will be done on monday - 1/16/2026
Had a defect in it, mercy created bug for that and tested in DEV - 1/19/2026
Partial DEV testing completed for the issue mentioned by mercy as queue stopped in DEV - 1/20/2026
Retesting completed in DEV, TST was having CORS error, so did testing in DEV only 1/21/2026
Queue is stopped, so its a blocker for testing in TST for many scenarios, we can test only with the existing settings - 1/22/2026</t>
  </si>
  <si>
    <t>OB-3864</t>
  </si>
  <si>
    <t>Package Browse Audit</t>
  </si>
  <si>
    <t>https://greatergiving.visualstudio.com/Greater%20Giving/_git/OnlineBidding/pullrequest/9165</t>
  </si>
  <si>
    <t>Merged with develop and resolved the conflicts and tested in DEV - 1/16/2026
Since client is having holiday on Monday (Jan 19), PR will be approved once they are back - 1/19/2026
Pending with Prabu and Joe review. DEV testing completed - 1/20/2026
PR approved, Retesting completed in DEV, TST was having CORS error, so did testing in DEV only 1/21/2026
Partial testing is done, need to change in GGO settings and confirm for few scenarios, since queue is not working, it can't be tested today - 1/22/2026</t>
  </si>
  <si>
    <t>OB-3903</t>
  </si>
  <si>
    <t>There is no spacing available in the left and right side of detailed page</t>
  </si>
  <si>
    <t>https://greatergiving.visualstudio.com/Greater%20Giving/_git/OnlineBidding/pullrequest/9181</t>
  </si>
  <si>
    <t>Development and DEV testing completed and raised PR - 1/16/2026
Prabu approved the PR, waiting for Joe's approval.Since client is having holiday on Monday (Jan 19), PR will be approved once they are back 1/19/2026
Tested in DEV but being queue stopped couldn't change setting in GGO and complete the testing 1/20/2026
PR approved and DEV testing is done, as TST is having CORS error 1/21/2026
TST testing completed 1/22/2026</t>
  </si>
  <si>
    <t>OB-3909</t>
  </si>
  <si>
    <t>Donations must be greater than $0.0</t>
  </si>
  <si>
    <t>Donate button is not seen in featured package section</t>
  </si>
  <si>
    <t>https://greatergiving.visualstudio.com/Greater%20Giving/_git/OnlineBidding/pullrequest/9182</t>
  </si>
  <si>
    <t>Development completed and mercy found an issue in DEV testing but that is not because of the changes done for this story, it is due to the changes done in previous sprint story OB-3862, the code was updated in browse and detail page but missed to add in featured package section.Raised PR- 1/16/2026
PR is approved, since client is in holiday, it wil be tested once they are back - 1/19/2026
Partial DEV and TST testing completed beacuse of the queue issue - 1/20/2026
DEV testing completed as TST was having CORS error 1/21/2026
TST testing completed 1/22/2026</t>
  </si>
  <si>
    <t>OB-3901</t>
  </si>
  <si>
    <t>When we bid or buy any package that appears at the end of the page, after the confirmation pop up box is closed, the page loading is interrupted</t>
  </si>
  <si>
    <t>Tested and verified in TST and added comments in JIRA as this is not reproduceable in TST anymore and fixed as part of other stories1/16/2026</t>
  </si>
  <si>
    <t>OB-3886</t>
  </si>
  <si>
    <t>if we have more than 24 packages but less than 48 packages and the pagination option enabled, some package duplicates are seen</t>
  </si>
  <si>
    <t>OB-3916 - [DEFECT]</t>
  </si>
  <si>
    <t>Packages do not load inside Activity tab after performing an action</t>
  </si>
  <si>
    <t>https://greatergiving.visualstudio.com/Greater%20Giving/_git/OnlineBidding/pullrequest/9185</t>
  </si>
  <si>
    <t>Development and local testing completed 1/19/2026
DEV testing completed 1/20/202
Retesting in DEV completed as TST was having CORS error 1/21/2026
Partial testing in TST is completed as queue is a blocker for many scenarios 1/22/2026</t>
  </si>
  <si>
    <t>OB-OP 8.4 Sprint 4 - [Stretch]</t>
  </si>
  <si>
    <t xml:space="preserve">OB-3905 </t>
  </si>
  <si>
    <t>Pop up should be closed and failure message should be appear when all package gets sold</t>
  </si>
  <si>
    <t>https://greatergiving.visualstudio.com/Greater%20Giving/_git/OnlineBidding/pullrequest/9186</t>
  </si>
  <si>
    <t>Development and local testing completed 1/19/2026
DEV testing completed 1/20/2026
Retesting in DEV completed as TST was having CORS error 1/21/2026
TST testing completed 1/22/2026</t>
  </si>
  <si>
    <t>OB-3917</t>
  </si>
  <si>
    <t>Minor Cleanup</t>
  </si>
  <si>
    <t>In the Mob view Browse page we see less spacing in the right side</t>
  </si>
  <si>
    <t>https://greatergiving.visualstudio.com/Greater%20Giving/_git/OnlineBidding/pullrequest/9189</t>
  </si>
  <si>
    <t>OB-3918</t>
  </si>
  <si>
    <t>Donation button inconsistent enable issue</t>
  </si>
  <si>
    <t>https://greatergiving.visualstudio.com/Greater%20Giving/_git/OnlineBidding/pullrequest/9203</t>
  </si>
  <si>
    <t>Local testing completed 1/21/2026
TST testing completed 1/22/2026</t>
  </si>
  <si>
    <t>Started with search functionality and completed that, need to work on retaining filter part 1/23/2026
This has been removed from current sprint board, but we worked on it for 1 day 1/27/2026</t>
  </si>
  <si>
    <t>Regression Testing in Progress</t>
  </si>
  <si>
    <t>OB-3925</t>
  </si>
  <si>
    <t>Sign In on Package Details Does Not redirect</t>
  </si>
  <si>
    <t>https://greatergiving.visualstudio.com/Greater%20Giving/_git/OnlineBidding/pullrequest/9222</t>
  </si>
  <si>
    <t>Development and local testing completed. DEV testing by QA also completed 1/27/2026
Prabu approved the PR, waiting for Joe's approval 1/28/2026</t>
  </si>
  <si>
    <t>OB-3921</t>
  </si>
  <si>
    <t>Provide message when user is not logged in - Donate</t>
  </si>
  <si>
    <t>https://greatergiving.visualstudio.com/Greater%20Giving/_git/OnlineBidding/pullrequest/9223</t>
  </si>
  <si>
    <t>Development and local testing completed. DEV testing by QA also completed with the mock message, need to the confirm the message text from PO, created draft PR 1/27/2026
Still PO didn't confirm the message text in the popup - 1/28/2026</t>
  </si>
  <si>
    <t>OB-3924</t>
  </si>
  <si>
    <t>Cannot close bottom drawer on iphone/safari</t>
  </si>
  <si>
    <t>https://greatergiving.visualstudio.com/Greater%20Giving/_git/OnlineBidding/pullrequest/9225</t>
  </si>
  <si>
    <t>Development and local testing completed, DEV testing by QA completed 1/27/2026
PR raised today - 1/28/2026</t>
  </si>
  <si>
    <t>OB-3926</t>
  </si>
  <si>
    <t>Sponsor Logo Images distorted</t>
  </si>
  <si>
    <t>https://greatergiving.visualstudio.com/Greater%20Giving/_git/OnlineBidding/pullrequest/9224</t>
  </si>
  <si>
    <t>Development and local testing completed, DEV testing by QA completed 1/27/2026
Prabu approved the PR, waiting for Joe's approval 1/28/2026</t>
  </si>
  <si>
    <t>OB-3923</t>
  </si>
  <si>
    <t>Mobile - After applying a filter, close the filters area in order to see Package Browse page</t>
  </si>
  <si>
    <t>Noted this while testing but its like this in CRT itself, when we are in favorite tab and clicking show filters, canvas appears in mobile and ipad</t>
  </si>
  <si>
    <t>https://greatergiving.visualstudio.com/Greater%20Giving/_git/OnlineBidding/pullrequest/9230</t>
  </si>
  <si>
    <t>Development and local testing completed 1/27/2026
DEV testing done and found an issuw which is existing in CRT also, worked on that retested in DEV, created PR - 1/28/2026</t>
  </si>
  <si>
    <t>OB-3928</t>
  </si>
  <si>
    <t>OB UX - Buy Now Price</t>
  </si>
  <si>
    <t>Karthii</t>
  </si>
  <si>
    <t>https://greatergiving.visualstudio.com/Greater%20Giving/_git/OnlineBidding/pullrequest/9231</t>
  </si>
  <si>
    <t>Development and local testing completed 1/27/2026
QA tested in DEV, still PO needs to confirm the position of the amount and display text, created draft PR - 1/28/2026</t>
  </si>
  <si>
    <t>SP is not yet given in JIRA, devlopment completed and local testing in progress 1/28/2026
Implemented the slider changes suggested by prabu and shared screen recording to prabu 1/29/2026</t>
  </si>
  <si>
    <t>Basic development changes are done, checking with multiple scenarios and updating the code accordingly 1/28/2026
Tried another approach which prabu suggested - with respect to devide width and shared the recording to prabu 1/29/2026</t>
  </si>
  <si>
    <t>OB-3916</t>
  </si>
  <si>
    <t>Missed to find during development and DEV testing</t>
  </si>
  <si>
    <t>Need to test all scenarios in all tabs carefully</t>
  </si>
  <si>
    <t>Few inconsistent scenarios found in regression</t>
  </si>
  <si>
    <t>Need to test all scenarios in all browsers carefully</t>
  </si>
  <si>
    <t>CRT Testing</t>
  </si>
  <si>
    <t>We didn't have any story to handle this button functionality</t>
  </si>
  <si>
    <t>CS Team</t>
  </si>
  <si>
    <t>We did not have a dedicated story to address this button’s functionality. While we documented and communicated several points that were missing from the acceptance criteria, this particular item was unfortunately overlooked</t>
  </si>
  <si>
    <t>Its not browser specific, this occurs in all devices, but the scenario is different</t>
  </si>
  <si>
    <t>The feature has behaved this way since development and may have been missed in the PO requirements.</t>
  </si>
  <si>
    <t>QA reported this differences while testing the story, PO also mentioned about this in bug as well</t>
  </si>
  <si>
    <t>Addressed during testing and CS team created a bug to work on it</t>
  </si>
  <si>
    <t>We didnt have any story to handle single sponsor scenario</t>
  </si>
  <si>
    <t>This is new feature of making the sponsor static and making them to move after certain number of sponsor, so this can be considered as new enhancement instead of bug</t>
  </si>
  <si>
    <t>OB-3887</t>
  </si>
  <si>
    <t>opening up a popup from featured packages before closing the confirmation popup the slider moves to the next package</t>
  </si>
  <si>
    <t>When bidding from 2 tabs, slide is moving</t>
  </si>
  <si>
    <t>https://greatergiving.visualstudio.com/Greater%20Giving/_git/OnlineBidding/pullrequest/9120
https://greatergiving.visualstudio.com/Greater%20Giving/_git/OnlineBidding/pullrequest/9142</t>
  </si>
  <si>
    <t>Dev testing completed 12/23/2025
TST testing completed 1/6/2026</t>
  </si>
  <si>
    <t>Sorting does not work in Favorite Tab</t>
  </si>
  <si>
    <t>Dev testing completed 12/23/2025</t>
  </si>
  <si>
    <t>OB-3870</t>
  </si>
  <si>
    <t>Read API to determine logged in status</t>
  </si>
  <si>
    <t>Preethi/Mercy</t>
  </si>
  <si>
    <t>https://greatergiving.visualstudio.com/Greater%20Giving/_git/OnlineBidding/pullrequest/9119</t>
  </si>
  <si>
    <t>Partial DEV and local testing completed 12/23/2025
TST testing completed 1/6/2026</t>
  </si>
  <si>
    <t>OB-3872</t>
  </si>
  <si>
    <t>Add Quantity Remaining to Package Details</t>
  </si>
  <si>
    <t>https://greatergiving.visualstudio.com/Greater%20Giving/_git/OnlineBidding/pullrequest/9138</t>
  </si>
  <si>
    <t>Added the field, need to confirm with PO for positioning for all devices 12/29/2025
Created draft PR 12/30/2025
Dev testing completed 1/6/2026
TST testing completed 1/8/2026</t>
  </si>
  <si>
    <t>OB-3862</t>
  </si>
  <si>
    <t>Adjust Donations in OB</t>
  </si>
  <si>
    <t>https://greatergiving.visualstudio.com/Greater%20Giving/_git/OnlineBidding/pullrequest/9130</t>
  </si>
  <si>
    <t>Dev testing completed 12/26/2025</t>
  </si>
  <si>
    <t>OB-3869</t>
  </si>
  <si>
    <t>Ensure proper color selections are represented in OB UX</t>
  </si>
  <si>
    <t>https://greatergiving.visualstudio.com/Greater%20Giving/_git/OnlineBidding/pullrequest/9139</t>
  </si>
  <si>
    <t>Created draft PR, need to discuss with PO regarding 2 more places where color is seen in old UI
Dev testing completed 1/6/2026</t>
  </si>
  <si>
    <t>OB-3891</t>
  </si>
  <si>
    <t>Include Sponsor Image tiles between packages</t>
  </si>
  <si>
    <t>https://greatergiving.visualstudio.com/Greater%20Giving/_git/OnlineBidding/pullrequest/9143</t>
  </si>
  <si>
    <t>DEV testing completed 1/13/2026</t>
  </si>
  <si>
    <t>OB-3892</t>
  </si>
  <si>
    <t>Display market Value on package Details page</t>
  </si>
  <si>
    <t>Added the field, need to confirm with PO for positioning for all devices 12/29/2025 
Created draft PR 12/30/2025
Dev testing completed 1/6/2026
TST testing completed 1/8/2026</t>
  </si>
  <si>
    <t>OB-3893</t>
  </si>
  <si>
    <t>Related Packages should direct to package Details page</t>
  </si>
  <si>
    <t>Not a defect, observed that in old UI we have banner for related packages also, need to confirm with PO if we need the same in new UI also</t>
  </si>
  <si>
    <t>https://greatergiving.visualstudio.com/Greater%20Giving/_git/OnlineBidding/pullrequest/9132</t>
  </si>
  <si>
    <t>Created draft PR, need to discuss with PO regarding banner change in related package 12/24/2025
Dev testing completed 1/6/2026
TST testing completed 1/8/2026</t>
  </si>
  <si>
    <t>OB-OP 8.4 Sprint 2 - [STRETCH]</t>
  </si>
  <si>
    <t>Mercy  - [TESTING ONLY]</t>
  </si>
  <si>
    <t>OB-3904</t>
  </si>
  <si>
    <t>Evaluate the functionality of Online Bidding Settings</t>
  </si>
  <si>
    <t>Testing efforts alone.</t>
  </si>
  <si>
    <t>OB-3906</t>
  </si>
  <si>
    <t>Add functionality for Start Bidding</t>
  </si>
  <si>
    <t>When clicking start bidding from mobile/tablet, need help popup gets closed but canvas is still seen</t>
  </si>
  <si>
    <t>https://greatergiving.visualstudio.com/Greater%20Giving/_git/OnlineBidding/pullrequest/9162</t>
  </si>
  <si>
    <t>Dev testing completed 1/12/2026</t>
  </si>
  <si>
    <t>OB-3907</t>
  </si>
  <si>
    <t>Add Price to Multisale "Sold" packages</t>
  </si>
  <si>
    <t>https://greatergiving.visualstudio.com/Greater%20Giving/_git/OnlineBidding/pullrequest/9163</t>
  </si>
  <si>
    <t>OB-3908</t>
  </si>
  <si>
    <t>Fix logo in GG footer</t>
  </si>
  <si>
    <t>https://greatergiving.visualstudio.com/Greater%20Giving/_git/OnlineBidding/pullrequest/9171</t>
  </si>
  <si>
    <t>Need to check for the logo image with PO today 1/12/2026</t>
  </si>
  <si>
    <t>OB-3894</t>
  </si>
  <si>
    <t>Opening Soon filter re-applied to Search options</t>
  </si>
  <si>
    <t>https://greatergiving.visualstudio.com/Greater%20Giving/_git/OnlineBidding/pullrequest/9164</t>
  </si>
  <si>
    <t>Open</t>
  </si>
  <si>
    <t>We did Cleanup stories based on designer requirement, detail page was not covered in it yet</t>
  </si>
  <si>
    <t>Need to add this into cleanup document and work in the upcoming sprint</t>
  </si>
  <si>
    <t>OB-3905</t>
  </si>
  <si>
    <t>Pop up should be closed when package gets sold</t>
  </si>
  <si>
    <t>This is in old UI, but missed to handle the failure scenario in new UI</t>
  </si>
  <si>
    <t>This is in old UI, but missed to handle the failure scenario in new UI, will be working in upcoming sprint</t>
  </si>
  <si>
    <t>This was working fine in DEV testing before merging to TST</t>
  </si>
  <si>
    <t>Joe updated few lines as part of review which caused this issue and this has been fixed as part of OB-3895</t>
  </si>
  <si>
    <t>OB-3860</t>
  </si>
  <si>
    <t xml:space="preserve">Update to Privacy Policy </t>
  </si>
  <si>
    <t>https://greatergiving.visualstudio.com/Greater%20Giving/_git/OnlineBidding/pullrequest/9097</t>
  </si>
  <si>
    <t>Prabu and client QA tested in CRT</t>
  </si>
  <si>
    <t>OB-3884</t>
  </si>
  <si>
    <t>Sponsor bar when set to top and donation bar are not appearing on the bidding page</t>
  </si>
  <si>
    <t>https://greatergiving.visualstudio.com/Greater%20Giving/_git/OnlineBidding/pullrequest/9081</t>
  </si>
  <si>
    <t>Dev testing completed 12/5/2025
TST testing completed 12/16/2025</t>
  </si>
  <si>
    <t>OB-3883</t>
  </si>
  <si>
    <t>multi-sale package purchased text missing from package banner</t>
  </si>
  <si>
    <t>https://greatergiving.visualstudio.com/Greater%20Giving/_git/OnlineBidding/pullrequest/9082</t>
  </si>
  <si>
    <t>Move the condition from HTML to ts file</t>
  </si>
  <si>
    <t>Dev testing completed 12/5/2025
TST testing completed 12/17/2025</t>
  </si>
  <si>
    <t>OB-3885</t>
  </si>
  <si>
    <t>when bidding on a package from page 4 and is outbid and bid is clicked again, the page is refreshed and returned to page 1</t>
  </si>
  <si>
    <t>when we bid or buy any package that appears at the end of the page, after the confirmation pop up box is closed, the page loading is interrupted</t>
  </si>
  <si>
    <t>https://greatergiving.visualstudio.com/Greater%20Giving/_git/OnlineBidding/pullrequest/9083</t>
  </si>
  <si>
    <t>Dev testing completed 12/8/2025
Tried a different approach for the bug which mercy mentioned in DEV 12/15/2025
DEV testing completed 12/17/2025
TST testing completed 12/18/2025</t>
  </si>
  <si>
    <t>Caching Improvements</t>
  </si>
  <si>
    <t>https://greatergiving.visualstudio.com/Greater%20Giving/_git/OnlineBidding/pullrequest/9072</t>
  </si>
  <si>
    <t>Waiting for Joe to review the PR, if he gives any suggestion,will work on that. So as of now it is on hold 12/05/2025
Joe mentioned 2 points will satrt work on that 12/10/2025
Dev testing completed 12/12/2025 
TST testing completed 12/17/2025</t>
  </si>
  <si>
    <t>OB-3897</t>
  </si>
  <si>
    <t>Move Pagination from Client to Server</t>
  </si>
  <si>
    <t>https://greatergiving.visualstudio.com/Greater%20Giving/_git/OnlineBidding/pullrequest/9101</t>
  </si>
  <si>
    <t xml:space="preserve">1.use of ToLower() will cause significant issues (full table scans, bypassing indexes and unneeded comparisons
2. Stick with the use of hasValue() checks over !=NULL. HasValue translates to IS NOT NULL in SQL. We should flag this for optimization later. It will get called frequently.
</t>
  </si>
  <si>
    <t>Dev testing completed 12/12/2025</t>
  </si>
  <si>
    <t>OB-OP 8.4 Sprint 1 - [STRETCH]</t>
  </si>
  <si>
    <t>1. When we keep the pop up open for multisale packages, slider moves to the next package
2. When a bidder goes outbid, Slider moves to the next package</t>
  </si>
  <si>
    <t>Dev testing completed12/16/2025</t>
  </si>
  <si>
    <t>OB-3877</t>
  </si>
  <si>
    <t>Mapping the paramters to the existing calls, working on cache json 11/25/2025
Will close with what we have done for this sprint 12/3/2025</t>
  </si>
  <si>
    <t>OB-3865</t>
  </si>
  <si>
    <t>Package Sort does not appear to apply</t>
  </si>
  <si>
    <t>https://greatergiving.visualstudio.com/Greater%20Giving/_git/OnlineBidding/pullrequest/9059</t>
  </si>
  <si>
    <t>DEV testing completed 12/2/2025
This PR is dependent on OB-3881, once that is completed, this will be moved</t>
  </si>
  <si>
    <t>OB-3846</t>
  </si>
  <si>
    <t>Package Browse area is stretched</t>
  </si>
  <si>
    <t>https://greatergiving.visualstudio.com/Greater%20Giving/_git/OnlineBidding/pullrequest/9061</t>
  </si>
  <si>
    <t>Once the priority stories are done, we will be taking this story
TST testing done and raised defect 12/3/2025</t>
  </si>
  <si>
    <t>OB-3880</t>
  </si>
  <si>
    <t>OB 8.3.0 CRT release</t>
  </si>
  <si>
    <t>11/26/2025
(Not development in this case, testing started date is Nov 26)</t>
  </si>
  <si>
    <t>Once deployed to CRT, this story will be taken
Tested and created bugs under the story</t>
  </si>
  <si>
    <t>OB-OP 8.3 Sprint 4 - [STRETCH]</t>
  </si>
  <si>
    <t>OB-3881</t>
  </si>
  <si>
    <t>Imrpovement to Search functionality</t>
  </si>
  <si>
    <t>https://greatergiving.visualstudio.com/Greater%20Giving/_git/OnlineBidding/pullrequest/9057</t>
  </si>
  <si>
    <t>1. No need to check &gt; 0 against length. An empty array returns 0 (falsy), so just _this.selectedFilter?.category?.length. Use (?.) to safely chain it.
2. Better to check price === 'number' than !==null. That's what we really care about.</t>
  </si>
  <si>
    <t>This story was created and added on Nov 27 as some additional work was needed for cache story to be proceed, so that work was done as part of this story
DEV testing completed 12/4/2025</t>
  </si>
  <si>
    <t>OB-3888 - [DEFECT]</t>
  </si>
  <si>
    <t>Packages under Activity area seems to be stretched</t>
  </si>
  <si>
    <t>https://greatergiving.visualstudio.com/Greater%20Giving/_git/OnlineBidding/pullrequest/9071</t>
  </si>
  <si>
    <t>DEV testing completed 12/3/2025</t>
  </si>
  <si>
    <t>Multi-sale package purchased text missing from package banner</t>
  </si>
  <si>
    <t>This was working fine, Not sure how existing functionalities got broken</t>
  </si>
  <si>
    <t>Need to check the recent changes as we are not sure how it got broken</t>
  </si>
  <si>
    <t>This was working fine as part of OB-3684 and OB-3682, broken due to url change story OB-3859</t>
  </si>
  <si>
    <t>During url change, checked only the url changes, missed to check the existing functionality in the url changed pages</t>
  </si>
  <si>
    <t>When bidding on a package from page 4 and is outbid and bid is clicked again, the page is refreshed and returned to page 1</t>
  </si>
  <si>
    <t>This was a miss from developers and dev environment testing while pagination story was implemented. Concentrated more on Pagination and search functionality along with filter and hence missed to check bidding</t>
  </si>
  <si>
    <t>This is due to the pagination enhancement, need to check signalr behaviour whenever we implement new things</t>
  </si>
  <si>
    <t>If we have more than 24 packages but less than 48 packages and the pagination option enabled, some package duplicates are seen</t>
  </si>
  <si>
    <t>Opening up a popup from featured packages before closing the confirmation popup the slider moves to the next package</t>
  </si>
  <si>
    <t>This is a known issue since development, tried many approaches in initial days of development itself, but this was not working as expected, so need to research and work on this</t>
  </si>
  <si>
    <t>Known issue, need some time to research on the behaviour</t>
  </si>
  <si>
    <t>OB-3888</t>
  </si>
  <si>
    <t>Minor</t>
  </si>
  <si>
    <t>It is missed while making the changes for OB-3846</t>
  </si>
  <si>
    <t>Need to check all the pages when making any design changes</t>
  </si>
  <si>
    <t>OB-3836</t>
  </si>
  <si>
    <t>Package Filters - Clear Filter does not clear any selected checkbox</t>
  </si>
  <si>
    <t>1.When we filter  with Category "All" and Status, results are incorrect 
2. When we filter status, category and price, results are incorrect</t>
  </si>
  <si>
    <t>https://greatergiving.visualstudio.com/Greater%20Giving/_git/OnlineBidding/pullrequest/8997</t>
  </si>
  <si>
    <t>Dev testing is in progress 11/10/2025
DEV testing completed 11/12/2025
TST testing completed 11/19/2025</t>
  </si>
  <si>
    <t>OB-3861</t>
  </si>
  <si>
    <t>Add "default" image to package list view</t>
  </si>
  <si>
    <t>https://greatergiving.visualstudio.com/Greater%20Giving/_git/OnlineBidding/pullrequest/8992</t>
  </si>
  <si>
    <t>Dev testing completed 11/10/2025
TST testing completed 11/12/2025</t>
  </si>
  <si>
    <t>https://greatergiving.visualstudio.com/Greater%20Giving/_git/OnlineBidding/pullrequest/8991</t>
  </si>
  <si>
    <t>Updated the code change and shared the branch - yet to confirm with PO</t>
  </si>
  <si>
    <t>OB-3875</t>
  </si>
  <si>
    <t>Implement pagination on OB UX</t>
  </si>
  <si>
    <t>1. Pagination is not working during search
2. Clear filter isn't working for status filter alone
3. Category filter results are incorrect</t>
  </si>
  <si>
    <t>Nill</t>
  </si>
  <si>
    <t>https://greatergiving.visualstudio.com/Greater%20Giving/_git/OnlineBidding/pullrequest/9006</t>
  </si>
  <si>
    <t>Prabhu</t>
  </si>
  <si>
    <t>Dev testing in progress 11/18/2025
Dev testing completed 11/19/2025</t>
  </si>
  <si>
    <t>OB-3876</t>
  </si>
  <si>
    <t>Search auto-complete function</t>
  </si>
  <si>
    <t>1. When we click out of the search box search drop down is still visible
2. Unable to clear search box
3. Search field box is partially highlighted
4. After a fix, mouse click is not working only keyboard click is working to selct any package
5. Dropdown is seen visible even after we move to any other browser tab and navigate to OB page</t>
  </si>
  <si>
    <t>https://greatergiving.visualstudio.com/Greater%20Giving/_git/OnlineBidding/pullrequest/9024</t>
  </si>
  <si>
    <t>Dev testing in progress 11/18/2025
Dev testing completed 11/19/2025
TST testing completed 11/20/2025</t>
  </si>
  <si>
    <t>OB-3845</t>
  </si>
  <si>
    <t>Connect process and UI for multiple sale packages</t>
  </si>
  <si>
    <t xml:space="preserve">
 1. Disable + when max quantity is exceeded
2. Hide the price when all are purchased or if the package is closed</t>
  </si>
  <si>
    <t>https://greatergiving.visualstudio.com/Greater%20Giving/_git/OnlineBidding/pullrequest/8953</t>
  </si>
  <si>
    <t xml:space="preserve">1. Move the magic string to constants
2. Simplify the if condition to more readable
</t>
  </si>
  <si>
    <t>1. Let's throw some error handling on the methods that aren't just calling other methods.
2. Make sure to implement onDestroy since we're using it.</t>
  </si>
  <si>
    <t>10/27/2025 Dev testing in Progress
DEV testing completed 10/30/2025
Partial TST testing completed 10/31/2025</t>
  </si>
  <si>
    <t>OB-3850</t>
  </si>
  <si>
    <t>UX - Update to Details Pages</t>
  </si>
  <si>
    <t>Donation bar was seen in footer</t>
  </si>
  <si>
    <t>https://greatergiving.visualstudio.com/Greater%20Giving/_git/OnlineBidding/pullrequest/8952</t>
  </si>
  <si>
    <t>Dev testing completed 10/24/2025
TST testing completed 10/27/2025</t>
  </si>
  <si>
    <t>OB-3847</t>
  </si>
  <si>
    <t>Add a Get Started button to the header bar</t>
  </si>
  <si>
    <t>Avoid repeated codes in the same file</t>
  </si>
  <si>
    <t>Dev testing completed 10/30/2025
TST testing completed 10/31/2025</t>
  </si>
  <si>
    <t>OB-3848</t>
  </si>
  <si>
    <t>Create logout function for OB slide out menu</t>
  </si>
  <si>
    <t>Mercy/Karthi/Preethi</t>
  </si>
  <si>
    <t>https://greatergiving.visualstudio.com/Greater%20Giving/_git/OnlineBidding/pullrequest/8962</t>
  </si>
  <si>
    <t xml:space="preserve">Partial DEV testing done 10/29/2025
</t>
  </si>
  <si>
    <t>Prabu/Karthi/Preethi</t>
  </si>
  <si>
    <t>OB-3858</t>
  </si>
  <si>
    <t>Implement functionality for Donate and View Profile</t>
  </si>
  <si>
    <t>https://greatergiving.visualstudio.com/Greater%20Giving/_git/OnlineBidding/pullrequest/8974</t>
  </si>
  <si>
    <t>Partial DEV testing done 10/30/2025</t>
  </si>
  <si>
    <t>Preethi/Karthi/Prabu</t>
  </si>
  <si>
    <t>OB-3855</t>
  </si>
  <si>
    <t>Continue Angular Update</t>
  </si>
  <si>
    <t>OB-3868 [DEFECT]</t>
  </si>
  <si>
    <t>Sign In Button is seen on the Detail page instead of Buy button</t>
  </si>
  <si>
    <t>https://greatergiving.visualstudio.com/Greater%20Giving/_git/OnlineBidding/pullrequest/8973</t>
  </si>
  <si>
    <t>DEV testing completed 10/31/2025</t>
  </si>
  <si>
    <t>OB-OP 8.3 Sprint 2 - [STRETCH]</t>
  </si>
  <si>
    <t>OB-3859</t>
  </si>
  <si>
    <t xml:space="preserve">Adjust OB new URLs </t>
  </si>
  <si>
    <t>https://greatergiving.visualstudio.com/Greater%20Giving/_git/OnlineBidding/pullrequest/8977</t>
  </si>
  <si>
    <t>OB-3868</t>
  </si>
  <si>
    <t>While testing this story in DEV, eveything was working correctly. Due to the changes done in the before PR, that change has affected in this branch</t>
  </si>
  <si>
    <t>While giving multiple PR at the same time, need to do complete testing in all pages. Though we did testing by merging both changes, missed to check in detail page</t>
  </si>
  <si>
    <t>OB-3834</t>
  </si>
  <si>
    <t xml:space="preserve">Clicking a users name should open user slide out menu </t>
  </si>
  <si>
    <t>1. When Bidder Number is 0 it should not be displayed in OB side as 0 
2. Home Icon should navigate to home page 
3. When Ketcy K is given as user name in GGO side, on the OB side K alone is displayed in the icon which is wrong</t>
  </si>
  <si>
    <t>https://greatergiving.visualstudio.com/Greater%20Giving/_git/OnlineBidding/pullrequest/8920</t>
  </si>
  <si>
    <t>DEV testing completed 10/15/2025
TST testing completed 10/21/2025</t>
  </si>
  <si>
    <t>OB-3842</t>
  </si>
  <si>
    <t xml:space="preserve">OB Clean Up </t>
  </si>
  <si>
    <t>https://greatergiving.visualstudio.com/Greater%20Giving/_git/OnlineBidding/pullrequest/8927</t>
  </si>
  <si>
    <t>Local testing completed 10/16/2025
DEV testing completed 10/22/2025
TST testing completed 10/23/2025</t>
  </si>
  <si>
    <t>OB-OP 8.3 Sprint 1 - [Spike]</t>
  </si>
  <si>
    <t>OB-3835</t>
  </si>
  <si>
    <t>Determine if a user is logged into GGAM/Donor Platform on Bidding Site</t>
  </si>
  <si>
    <t>Added investigation result in JIRA comments 10/23/2025</t>
  </si>
  <si>
    <t>OB-3827</t>
  </si>
  <si>
    <t>Allow zooming in on Package Details</t>
  </si>
  <si>
    <t>https://greatergiving.visualstudio.com/Greater%20Giving/_git/OnlineBidding/pullrequest/8926</t>
  </si>
  <si>
    <t>DEV testing in progress 10/17/2025
DEV testing completed for the bug under this story 10/22/2025
TST testing completed 10/23/2025</t>
  </si>
  <si>
    <t>OB-3843</t>
  </si>
  <si>
    <t>Ob - Continue Angular update</t>
  </si>
  <si>
    <t>Added current sprint pogress in JIRA comments 10/23/2025</t>
  </si>
  <si>
    <t>OB-OP 8.3 Sprint 1 - [Stretch]</t>
  </si>
  <si>
    <t>OB-3838</t>
  </si>
  <si>
    <t>Remove image borders on Package Details page</t>
  </si>
  <si>
    <t>Few images are seen as stretched in some scenarios but this is an existing scenario in browse page also</t>
  </si>
  <si>
    <t>https://greatergiving.visualstudio.com/Greater%20Giving/_git/OnlineBidding/pullrequest/8929</t>
  </si>
  <si>
    <t>DEV testing completed 10/21/2025
TST testing completed 10/22/2025</t>
  </si>
  <si>
    <t>OB-3841</t>
  </si>
  <si>
    <t>Update Help area to be clickable</t>
  </si>
  <si>
    <t>When clicking the link inside need help, it is opening in same tab and clicking browser back refreshes the page, but in old UI the links are opening in separate tab</t>
  </si>
  <si>
    <t>https://greatergiving.visualstudio.com/Greater%20Giving/_git/OnlineBidding/pullrequest/8930</t>
  </si>
  <si>
    <t>out of 2 points, one point is developed but regarding other point, need to discuss and confirm with PO 10/17/2025
Pending point will be done in upcoming sprint as the requirement is not decided fully</t>
  </si>
  <si>
    <t>OB-3852 - Defect</t>
  </si>
  <si>
    <t>zoomed section of image does not display when hovering over an image</t>
  </si>
  <si>
    <t>https://greatergiving.visualstudio.com/Greater%20Giving/_git/OnlineBidding/pullrequest/8940</t>
  </si>
  <si>
    <t>DEV testing completed 10/22/2025
TST testing completed 10/23/2025</t>
  </si>
  <si>
    <t>OB-3852</t>
  </si>
  <si>
    <t>It is not due to development, while merging the PR some code would have been missed</t>
  </si>
  <si>
    <t>Some code would have been missed while resolving merge conflict, need to investigate that. Because this was working fine in local and DEV till yesterday night 10/22/2025</t>
  </si>
  <si>
    <t>OB-3826</t>
  </si>
  <si>
    <t>Featured Package should link to Package Details</t>
  </si>
  <si>
    <t>https://greatergiving.visualstudio.com/Greater%20Giving/_git/OnlineBidding/pullrequest/8877</t>
  </si>
  <si>
    <t>TST testing completed 9/29/2025</t>
  </si>
  <si>
    <t>OB-3726</t>
  </si>
  <si>
    <t>Add Package Banners to Package Cards/Detail pages</t>
  </si>
  <si>
    <t>https://greatergiving.visualstudio.com/Greater%20Giving/_git/OnlineBidding/pullrequest/8884</t>
  </si>
  <si>
    <t>Created draft PR - need to check with PO for UI placement and color 9/30/2025
Dev testing completed 10/6/2025</t>
  </si>
  <si>
    <t>OB-3831</t>
  </si>
  <si>
    <t>OB UX - Clean Up</t>
  </si>
  <si>
    <t>https://greatergiving.visualstudio.com/Greater%20Giving/_git/OnlineBidding/pullrequest/8886</t>
  </si>
  <si>
    <t>Need to check with client designer for padding update and that will be done on upcoming monday -10/3/2025
TST testing completed 10/7/2025</t>
  </si>
  <si>
    <t>OB-3828</t>
  </si>
  <si>
    <t>Create Max Bid alerts</t>
  </si>
  <si>
    <t>- button for max bid is enabled when both bid and max bid is having same value</t>
  </si>
  <si>
    <t>https://greatergiving.visualstudio.com/Greater%20Giving/_git/OnlineBidding/pullrequest/8903</t>
  </si>
  <si>
    <t>Have done the changes - need to check UI placement with PO 10/6/2025
DEV testing in progress 10/7/2025</t>
  </si>
  <si>
    <t>OB-3833</t>
  </si>
  <si>
    <t>Document is attached in JIRA story</t>
  </si>
  <si>
    <t>Mercy - Testing only story</t>
  </si>
  <si>
    <t>OB-3830</t>
  </si>
  <si>
    <t>Release Ob 8.2.0 to CRT</t>
  </si>
  <si>
    <t>Package Filters - 'All' check box is seen checked even after clicking clear filter</t>
  </si>
  <si>
    <t>Will be worked in next sprint as this is not planned for current release</t>
  </si>
  <si>
    <t>Missed during development and testing, other textbox gets cleared, only when all checkbox is clicked, this issue is happening</t>
  </si>
  <si>
    <t>OB-3837</t>
  </si>
  <si>
    <t>Activity and Favorites Area - searching for a package name in the search field displays results based on the 'All' filter</t>
  </si>
  <si>
    <t xml:space="preserve"> During initial development and  testing these scenarios were addressed, missed after updating the logic by making the filters as separate component</t>
  </si>
  <si>
    <t>OB-3718</t>
  </si>
  <si>
    <t>Implement Activity and Favorites area</t>
  </si>
  <si>
    <t>1. When we bid as auctioneer for the package that is in ALL filter, page gets refreshed and then loading first 24 packages which is not expected, should refresh and display and load the packages that is inside ALL filter alone
2. After closing a package from Auction control center, page loads and showing 24 packages instead of ALL filter packages
3. When i bid any package which is in ALL filter, TOP BID amount not getting updated, only after manual page refresh value getting updated
4. When two bidders bid for a package Bidder A bids higher value than bidder B and takes Winning place, Bidder B which was previously under winning tab has to be moved to Outbid tab. but actual result is because of signalR issue Bidder B is still seen under Winning tab</t>
  </si>
  <si>
    <t>https://greatergiving.visualstudio.com/Greater%20Giving/_git/OnlineBidding/pullrequest/8837</t>
  </si>
  <si>
    <t>1. Add error callback.
2. Use tab or this.activeTab throughout for consistency.</t>
  </si>
  <si>
    <t>DEV testing completed 9/18/2025 
TST testing completed 9/23/2025</t>
  </si>
  <si>
    <t>OB-3727</t>
  </si>
  <si>
    <t>Add Bid History to Package Detail Pages</t>
  </si>
  <si>
    <t>1. When we bid as a auctioneer , auctioneer number not getting updated in Bidding history</t>
  </si>
  <si>
    <t>https://greatergiving.visualstudio.com/Greater%20Giving/_git/OnlineBidding/pullrequest/8847</t>
  </si>
  <si>
    <t>DEV testing completed 9/22/2025 
TST testing completed 9/23/2025</t>
  </si>
  <si>
    <t>OB-3821</t>
  </si>
  <si>
    <t>https://greatergiving.visualstudio.com/Greater%20Giving/_git/OnlineBidding/pullrequest/8843</t>
  </si>
  <si>
    <t>OB-3822</t>
  </si>
  <si>
    <t xml:space="preserve">Added comments in JIRA </t>
  </si>
  <si>
    <t>OB-OP 8.2 Sprint 3 - [Stretch]</t>
  </si>
  <si>
    <t>OB-3720</t>
  </si>
  <si>
    <t>Implement Bid Modal (Max Bidding)</t>
  </si>
  <si>
    <t>1. When Max bid toggle is enabled in ggo side we should see the text as "Choose the amount to bid below. You can also set a max bid value" 
2. Congratulation pop up should not show up when error is still seen
3. When Confirm bid is clicked twice even if set max bid is lesser than original bid congratulations pop up is seen
4. Fav Icon is different, only red border is seen entire heart has to be in red 
5. I have made Bidder A set max bid for $5200.5 and now i tried to set max bid for Bidder B as $650, confirm bid button is clickable but no action is seen</t>
  </si>
  <si>
    <t>https://greatergiving.visualstudio.com/Greater%20Giving/_git/OnlineBidding/pullrequest/8851</t>
  </si>
  <si>
    <t>Remove multiple div condition and use switch case</t>
  </si>
  <si>
    <t>Dev testing in progress 9/22/2025
TST testing completed 9/25/2025</t>
  </si>
  <si>
    <t>OB-3693</t>
  </si>
  <si>
    <t>Implement Buy Now Modal</t>
  </si>
  <si>
    <t>When clicked buy now simultaneously popup is not getting closed until we click no</t>
  </si>
  <si>
    <t>https://greatergiving.visualstudio.com/Greater%20Giving/_git/OnlineBidding/pullrequest/8858</t>
  </si>
  <si>
    <t>Dev testing completed 9/24/2025 
TST testing completed 9/25/2025</t>
  </si>
  <si>
    <t xml:space="preserve">1. Activity batch count is not updating correctly
2. When we deselect fav icon under Favorite tab, particular package not getting removed immediately
3. When the outbid checkbox is selected package list gets updated correctly. However after placing bid on any one of the package, bidding completes and page gets refreshed loading entire packages which is not expected </t>
  </si>
  <si>
    <t>https://greatergiving.visualstudio.com/Greater%20Giving/_git/OnlineBidding/pullrequest/8785</t>
  </si>
  <si>
    <t>Reduce multiple API calls</t>
  </si>
  <si>
    <t>Development completed, waiting for client designer to confirm the position of few options
9/9/2025 Dev testing completed
Have got many conflicts because of the other 2 stories, since we prioritised 8 point story, this is carry forwarded to next sprint</t>
  </si>
  <si>
    <t>OB-3688</t>
  </si>
  <si>
    <t>Implement Package Filters</t>
  </si>
  <si>
    <t>1. Show More and Show Less not proper
2. When Min and Max is updated as 1 to 3, entire package list is displayed which is wrong
3. When All is checked other boxes are also checked, but as per AC uncheck all other boxes when All is checked</t>
  </si>
  <si>
    <t>https://greatergiving.visualstudio.com/Greater%20Giving/_git/OnlineBidding/pullrequest/8816</t>
  </si>
  <si>
    <t>9/9/2025 Dev testing completed</t>
  </si>
  <si>
    <t>OB-3692</t>
  </si>
  <si>
    <t>Implement Bid Modal</t>
  </si>
  <si>
    <t>1. When bidding is done between 2 bidders (Bid amount incremented twice by both the bidder) one bidders gets bummer pop up with the button "Bid Again", when bid again is clicked incorrect bid value is displayed
2. When we set minimum increment value as 5.5 in ggo, and on OB page when we click + button to increment the value by 5.5 , "please enter the valid amount" pop up is seen which is wrong
3. When starting bid is mentioned as 5.5 in ggo, and on OB page when we click + button to increment the value by 5 , "please enter the valid amount" pop up is seen which is wrong
4. Include dollar symbol where bid amount is displayed in Bid modal
5. Font size mismatch for "Place your bid" and "Your offer" text within the bid modal</t>
  </si>
  <si>
    <t>https://greatergiving.visualstudio.com/Greater%20Giving/_git/OnlineBidding/pullrequest/8794</t>
  </si>
  <si>
    <t>Dev testing Completed</t>
  </si>
  <si>
    <t>Karthi/Preethi/Prabu</t>
  </si>
  <si>
    <t>OB-3814</t>
  </si>
  <si>
    <t>OB-3818 - Defect</t>
  </si>
  <si>
    <t>When a bidder is pre-emptively outbid the "bummer!" message does not display</t>
  </si>
  <si>
    <t>https://greatergiving.visualstudio.com/Greater%20Giving/_git/OnlineBidding/pullrequest/8834</t>
  </si>
  <si>
    <t>OB-3819 -Defect</t>
  </si>
  <si>
    <t>closed packages show up under the currently open filter</t>
  </si>
  <si>
    <t>https://greatergiving.visualstudio.com/Greater%20Giving/_git/OnlineBidding/pullrequest/8835</t>
  </si>
  <si>
    <t>OB-3818</t>
  </si>
  <si>
    <t>Property name has been changed</t>
  </si>
  <si>
    <t>We didnt test this at last since we thought that is only spelling change, but that spelling has be changed in SQL also which we missed</t>
  </si>
  <si>
    <t>OB-3819</t>
  </si>
  <si>
    <t>Need to check signalr</t>
  </si>
  <si>
    <t>Need to check signalr related code, we aimed to reduce the API call for better performance so few duplicate packages are coming as we didnt use signalr</t>
  </si>
  <si>
    <t xml:space="preserve">Mercy [TESTING ONLY] </t>
  </si>
  <si>
    <t>OP-2786</t>
  </si>
  <si>
    <t>Release/Test OP 8.7.0 in CRT</t>
  </si>
  <si>
    <t>Tested in CRT 8/26/2025</t>
  </si>
  <si>
    <t>OB-3800</t>
  </si>
  <si>
    <t>Add PKG # to Package Cards</t>
  </si>
  <si>
    <t>https://greatergiving.visualstudio.com/Greater%20Giving/_git/OnlineBidding/pullrequest/8750</t>
  </si>
  <si>
    <t>Don't we have the .vr class from bootstrap, replace it with separator , also there is a spelling mistake</t>
  </si>
  <si>
    <t>Tested in DEV 8/19/2025
TST testing completed 8/20/2025</t>
  </si>
  <si>
    <t>OB-3691</t>
  </si>
  <si>
    <t>Implement Package Detail Designs</t>
  </si>
  <si>
    <t>1. Donate button click functionality is not added in detail page
2. Donate click in browse page for Donation package navigates to Detailed page</t>
  </si>
  <si>
    <t>https://greatergiving.visualstudio.com/Greater%20Giving/_git/OnlineBidding/pullrequest/8764</t>
  </si>
  <si>
    <t>Partial dev testing - 8/21/2025
Dev testing completed 8/25/2025
TST testing completed 8/28/2025</t>
  </si>
  <si>
    <t>OB-3807</t>
  </si>
  <si>
    <t>UX Enhancements - Carousel and Package Search</t>
  </si>
  <si>
    <t>Carousel is still moving in background when checked in ipad pro</t>
  </si>
  <si>
    <t>https://greatergiving.visualstudio.com/Greater%20Giving/_git/OnlineBidding/pullrequest/8755</t>
  </si>
  <si>
    <t>1. Both pauseCarousel and resumeCarousel share 80% of their code. Consider refactoring them into a single method and using a flag to differentiate the behavior.
2. Move 100 to constant and use it</t>
  </si>
  <si>
    <t>Dev testing - 8/21/2025
TST teting completed 8/28/2025</t>
  </si>
  <si>
    <t>OB-3810</t>
  </si>
  <si>
    <t>Will be taken on last day of the sprint since it is timebox story for 10hrs</t>
  </si>
  <si>
    <t>OB-OP 8.2 Sprint 1 - [Stretch]</t>
  </si>
  <si>
    <t>Development completed, deployed in DEV for testing 8/28/2025</t>
  </si>
  <si>
    <t>OB-3689</t>
  </si>
  <si>
    <t>Implement Package Cards</t>
  </si>
  <si>
    <t>Development completed in previous sprint</t>
  </si>
  <si>
    <t>Added in previous sprint sheet</t>
  </si>
  <si>
    <t>https://greatergiving.visualstudio.com/Greater%20Giving/_git/OnlineBidding/pullrequest/8684</t>
  </si>
  <si>
    <t>Mike</t>
  </si>
  <si>
    <t>Waiting for Mike branch to merge into develop, because his branch is only having the changes related to the certificate issue
Dev testing completed 8/4/2025</t>
  </si>
  <si>
    <t>OB-3724</t>
  </si>
  <si>
    <t>Implement Donation Modal (use case 2)</t>
  </si>
  <si>
    <t>https://greatergiving.visualstudio.com/Greater%20Giving/_git/OnlineBidding/pullrequest/8689</t>
  </si>
  <si>
    <t>OB-3798</t>
  </si>
  <si>
    <t>Continue Angular Upgrade</t>
  </si>
  <si>
    <t>OB-3746</t>
  </si>
  <si>
    <t>Macroscope - Update Microsoft.IdentityModel.Logging</t>
  </si>
  <si>
    <t>https://greatergiving.visualstudio.com/Greater%20Giving/_git/OnlineBidding/pullrequest/8720</t>
  </si>
  <si>
    <t>OB-3748</t>
  </si>
  <si>
    <t>Macroscope - Upgrade Microsoft.IdentityModel.Abstractions</t>
  </si>
  <si>
    <t>https://greatergiving.visualstudio.com/Greater%20Giving/_git/OnlineBidding/pullrequest/8709</t>
  </si>
  <si>
    <t>OB-3799</t>
  </si>
  <si>
    <t>Resolve Vulnerable Packages in OB</t>
  </si>
  <si>
    <t>karthi</t>
  </si>
  <si>
    <t>https://greatergiving.visualstudio.com/Greater%20Giving/_git/OnlineBidding/pullrequest/8737</t>
  </si>
  <si>
    <t>Prabu is having diff count in vulnerable list but me and karthi is having diff count list, so prabu is checking on that</t>
  </si>
  <si>
    <t>OB-3795</t>
  </si>
  <si>
    <t>OB Cert Issue</t>
  </si>
  <si>
    <t>https://greatergiving.visualstudio.com/Greater%20Giving/_git/OnlineBidding/pullrequest/8703</t>
  </si>
  <si>
    <t>OB-3801 [Defect]</t>
  </si>
  <si>
    <t xml:space="preserve">Error pop up is seen when Fav icon is clicked </t>
  </si>
  <si>
    <t>https://greatergiving.visualstudio.com/Greater%20Giving/_git/OnlineBidding/pullrequest/8710</t>
  </si>
  <si>
    <t>Tested in DEV 8/6/2025
Tested in TST 8/7/2025</t>
  </si>
  <si>
    <t>OB-3802 [Defect]</t>
  </si>
  <si>
    <t>Tapping - minus button should not go below the actual price amount</t>
  </si>
  <si>
    <t>https://greatergiving.visualstudio.com/Greater%20Giving/_git/OnlineBidding/pullrequest/8711</t>
  </si>
  <si>
    <t>OB-3796</t>
  </si>
  <si>
    <t>Release/Test OB 8.1 in CRT</t>
  </si>
  <si>
    <t>OB-3801</t>
  </si>
  <si>
    <t xml:space="preserve">We dont have the API for this feature in old UI, either we have to disable or hide the icon </t>
  </si>
  <si>
    <t>Missed to check in local and DEV testing</t>
  </si>
  <si>
    <t>OB-3802</t>
  </si>
  <si>
    <t>In local testing, tested only with default value, didnt edit the default value and tried</t>
  </si>
  <si>
    <t xml:space="preserve">Need to edit all the values and check </t>
  </si>
  <si>
    <t>Package image's Swipe not working in mobile device</t>
  </si>
  <si>
    <t>Development completed, but existing API is throwing 500 error not able to check in DEV because of certificate issue, will confirm it tomorrow 7/24/2025
Created draft PR
Today also certificate issue still exist in DEV so couldn't complete testing 7/25/2025
 Supported local testing 7/29/2025</t>
  </si>
  <si>
    <t>Donate button should be clickable for featured package as well but that was not happening</t>
  </si>
  <si>
    <t>Did development, but need to test few scenarios since DEV is still having certificate issue, will test on Monday 7/25/2025
 Supported local testing 7/29/2025</t>
  </si>
  <si>
    <t>OB-3793</t>
  </si>
  <si>
    <t>OB-3784</t>
  </si>
  <si>
    <t>GGO - Update Browse Page Sort Order</t>
  </si>
  <si>
    <t>When we select a page sort order in GGO side, we are seeing values mapped wrongly in OB Side for 2 values alone</t>
  </si>
  <si>
    <t>https://greatergiving.visualstudio.com/Greater%20Giving/_git/OnlineBidding/pullrequest/8647</t>
  </si>
  <si>
    <t>7/24/2025 TST testing completed.
7/23/2025 Dev testing completed</t>
  </si>
  <si>
    <t>OP-2785 [Testing Only]</t>
  </si>
  <si>
    <t>Blackduck Remediation - Continued</t>
  </si>
  <si>
    <t>Testing completed in TST environment 7/31/2025</t>
  </si>
  <si>
    <t xml:space="preserve">OB-OP 8.1 Sprint 3 - [Stretch] </t>
  </si>
  <si>
    <t>OB Cert issue</t>
  </si>
  <si>
    <t>OB-3780</t>
  </si>
  <si>
    <t>Implement Featured Package Designs (Large)</t>
  </si>
  <si>
    <t>https://greatergiving.visualstudio.com/Greater%20Giving/_git/OnlineBidding/pullrequest/8624</t>
  </si>
  <si>
    <t>Created draft PR 
Had issue in DEV env login so DEV testing will be done tomorrow 7/8/2025
DEV testing completed 7/11/2025</t>
  </si>
  <si>
    <t>OB-3690</t>
  </si>
  <si>
    <t>Implement Package Search and Activity bar</t>
  </si>
  <si>
    <t>Few improvements mentioned
1. After typing any character in search bar, When we click outside, dropdown shoud close
2. When we clear out the search field, placeholder text should come again</t>
  </si>
  <si>
    <t>https://greatergiving.visualstudio.com/Greater%20Giving/_git/OnlineBidding/pullrequest/8625</t>
  </si>
  <si>
    <t>Created draft PR 
Had issue in DEV env login so DEV testing will be done tomorrow 7/8/2025
DEV testing completed 7/14/2025</t>
  </si>
  <si>
    <t>Development completed, local testing and DEV testing is pending</t>
  </si>
  <si>
    <t>OB-3785</t>
  </si>
  <si>
    <t>Continue angular update</t>
  </si>
  <si>
    <t>Will update the comments in JIRA story 7/17/2025</t>
  </si>
  <si>
    <t xml:space="preserve">OB-3719 </t>
  </si>
  <si>
    <t>Implement Need Help area</t>
  </si>
  <si>
    <t>Need scroll for popup, because if we give more content in terms and condition, then the above label is not seen</t>
  </si>
  <si>
    <t>https://greatergiving.visualstudio.com/Greater%20Giving/_git/OnlineBidding/pullrequest/8638</t>
  </si>
  <si>
    <t>Created draft PR 7/14/2025
DEV testing completed 7/14/2025</t>
  </si>
  <si>
    <t xml:space="preserve">OB-OP 8.1 Sprint 2 - [Stretch] </t>
  </si>
  <si>
    <t>OB-3786</t>
  </si>
  <si>
    <t>Donation Modal (use case 1) Follow up</t>
  </si>
  <si>
    <t>When checked in exactly 430px, not able to see the progress bar</t>
  </si>
  <si>
    <t>https://greatergiving.visualstudio.com/Greater%20Giving/_git/OnlineBidding/pullrequest/8637</t>
  </si>
  <si>
    <t>OB-3790 [ Defect]</t>
  </si>
  <si>
    <t>When hitting the link, navigation not happening</t>
  </si>
  <si>
    <t>https://greatergiving.visualstudio.com/Greater%20Giving/_git/OnlineBidding/pullrequest/8651</t>
  </si>
  <si>
    <t>OB-3790</t>
  </si>
  <si>
    <t>OB-3719</t>
  </si>
  <si>
    <t>Missed in development and DEV testing</t>
  </si>
  <si>
    <t>Need to check all points by comparing the old UI</t>
  </si>
  <si>
    <t xml:space="preserve">Mercy [Testing only story] </t>
  </si>
  <si>
    <t>OB-3684</t>
  </si>
  <si>
    <t>Implement OB Donation bar designs</t>
  </si>
  <si>
    <t>Testing completed in Tst</t>
  </si>
  <si>
    <t>OB-3694</t>
  </si>
  <si>
    <t>Implement Donation Modal (use case 1 - Home Page)</t>
  </si>
  <si>
    <t xml:space="preserve">1. Donation pop up should close after Donation
2. Decimal digit should be added in total amount collected, amount donated etc
3. Must not allow double click on Confirm Donation button
</t>
  </si>
  <si>
    <t>https://greatergiving.visualstudio.com/Greater%20Giving/_git/OnlineBidding/pullrequest/8601</t>
  </si>
  <si>
    <t>Anlaysis and discussion with team and shared the clarification to onsite lead 6/20/2025
Dev testing 6/26/2025
Dev testing 6/27/2025
Draft PR created 6/27/2025
TST testing completed 7/2/2025</t>
  </si>
  <si>
    <t>OB-3686</t>
  </si>
  <si>
    <t>Implement Featured Package Designs</t>
  </si>
  <si>
    <t xml:space="preserve">1. When Featured package is disabled, should not be visible in OB page
2. Pagination should not be visible when package count is 4 or less than 4
3. Show Online bidding page is not showing Featured package list
</t>
  </si>
  <si>
    <t>https://greatergiving.visualstudio.com/Greater%20Giving/_git/OnlineBidding/pullrequest/8605</t>
  </si>
  <si>
    <t>Anlaysis and discussion with team and shared the clarification to onsite lead 6/20/2025
In progress with pause/play in bootstrap carousel 6/27/2025
Raised draft PR 6/30/2025
working on DEV testing defects 7/1/2025
TST testing completed 7/4/2025</t>
  </si>
  <si>
    <t>OB-3772</t>
  </si>
  <si>
    <t>Added the comments in JIRA story</t>
  </si>
  <si>
    <t xml:space="preserve">OB-OP 8.1 Sprint 1 - [Stretch] </t>
  </si>
  <si>
    <t>OP-2766</t>
  </si>
  <si>
    <t>Release OP 8.6.0 to CRT</t>
  </si>
  <si>
    <t>Tested in CRT</t>
  </si>
  <si>
    <t>OB-3765</t>
  </si>
  <si>
    <t>Continue Firebase notification work</t>
  </si>
  <si>
    <t>https://greatergiving.visualstudio.com/Greater%20Giving/_git/OnlineBidding/pullrequest/8574</t>
  </si>
  <si>
    <t>TST testing completed 6/13/2025</t>
  </si>
  <si>
    <t>OB-3773</t>
  </si>
  <si>
    <t>Clean up Firebase notification</t>
  </si>
  <si>
    <t>No separate PR, reverted the commit alone from current release branch</t>
  </si>
  <si>
    <t>OB-3682</t>
  </si>
  <si>
    <t>Implement Sponsor bar designs</t>
  </si>
  <si>
    <t>1. When Show Sponsor Is kept Disabled, Sponsor reel is still visible in OB page</t>
  </si>
  <si>
    <t>Rename the css class</t>
  </si>
  <si>
    <t>https://greatergiving.visualstudio.com/Greater%20Giving/_git/OnlineBidding/pullrequest/8560</t>
  </si>
  <si>
    <t>Move all the numbers to constant file</t>
  </si>
  <si>
    <t>Dev testing in progress 6/10/2025
Dev testing completed
TST testing completed 6/13/2025</t>
  </si>
  <si>
    <t>Ready for testing</t>
  </si>
  <si>
    <t>https://greatergiving.visualstudio.com/Greater%20Giving/_git/OnlineBidding/pullrequest/8588</t>
  </si>
  <si>
    <t>Started with design changes and mapping values from GGO settings
6/13/2025 3:27 PM
Testing completed in TST 6/18/2025</t>
  </si>
  <si>
    <t>Mercy [ Testing only story]</t>
  </si>
  <si>
    <t>OP-2763</t>
  </si>
  <si>
    <t>OP - XSS and HTML injection</t>
  </si>
  <si>
    <t>Testing completed in TST 6/13/2025</t>
  </si>
  <si>
    <t>OB-3770</t>
  </si>
  <si>
    <t>Release OB 8.0.0 to CRT</t>
  </si>
  <si>
    <t>OB-OP 8.0 Sprint 4 - [Stretch]</t>
  </si>
  <si>
    <t>Took on the last day of the sprint as stretch as offshore didnt have work  but this will be done in next sprint</t>
  </si>
  <si>
    <t>OB-3768</t>
  </si>
  <si>
    <t>Getting console error related to template conversion, trying to update to angular 14
5/28/2025
Trying changing the js files to mjs files and the respective changes 6/2/2025 3:09 PM</t>
  </si>
  <si>
    <t>Karthi/Prabu</t>
  </si>
  <si>
    <t>When text message is sent from send message page for more than 2 bidders, not receiving notification</t>
  </si>
  <si>
    <t>https://greatergiving.visualstudio.com/Greater%20Giving/_git/OnlineBidding/pullrequest/8545</t>
  </si>
  <si>
    <t>1. Macroscope will ding us for putting apikeys or secrets in the repo. We need to add these as variables, even for local testing the same way we do for the SMS test keys
2. Let's add a general exception catch as well.</t>
  </si>
  <si>
    <t>Dev testing 5/28/2025, Dev testing in Progress and did some analysis on firebase 5/29/2025
Continuing Dev testing 5/30/2025
Few changes done and local, DEV testing is in progress 6/2/2025 3:08 PM
Dev testing completed 6/3/2025
Having issues in pipeline variable when trying to deploy in TST 6/5/2025 3:00 PM</t>
  </si>
  <si>
    <t>OB-3764</t>
  </si>
  <si>
    <t>Use selected OB Header on Package Details Page</t>
  </si>
  <si>
    <t>https://greatergiving.visualstudio.com/Greater%20Giving/_git/OnlineBidding/pullrequest/8522</t>
  </si>
  <si>
    <t>PR raised, since US holiday it will be reviewed today 5/27/2025 4:13 PM
DEV testing completed 5/27/2025, TST testing completed 5/28/2025</t>
  </si>
  <si>
    <t>Irsath/Arivu/Niranjan/Murugesan</t>
  </si>
  <si>
    <t>DON-31</t>
  </si>
  <si>
    <t>Set Up Donor Project in Local Environment</t>
  </si>
  <si>
    <t>No PR for this as this is related to env setup only
All our new joinees completed the setup, but in JIRA board, the status is not yet updated they might update on sprint end date
6/2/2025 1:04 PM</t>
  </si>
  <si>
    <t>Irsath</t>
  </si>
  <si>
    <t>DON-32</t>
  </si>
  <si>
    <t>Donor - New Team Member setup</t>
  </si>
  <si>
    <t>OB-OP 8.0 Sprint 3 - [Stretch]</t>
  </si>
  <si>
    <t>Arivalagan</t>
  </si>
  <si>
    <t>DON-20</t>
  </si>
  <si>
    <t xml:space="preserve">Create Azure B2C Login Page </t>
  </si>
  <si>
    <t>Today only team has started to check the mockup and analysing on the folder structure 6/2/2025 3:07 PM
Initial design done, few things like icon mapping, responsive are pending 6/4/2025 9:36 PM</t>
  </si>
  <si>
    <t>OB-3769</t>
  </si>
  <si>
    <t>OB- XSS vulnerability</t>
  </si>
  <si>
    <t>Took this in last week of sprint because of high priority.
No PR for this, analysed and updated our findings in the JIRA ticket</t>
  </si>
  <si>
    <t>OP-2675</t>
  </si>
  <si>
    <t>Update MFA physical address</t>
  </si>
  <si>
    <t>OB-3761</t>
  </si>
  <si>
    <t>While compiling the application , warnings are coming, fixing those 5/16/2025 3:42 PM
Shared the points in the JIRA story</t>
  </si>
  <si>
    <t>OP-2747</t>
  </si>
  <si>
    <t>OP Reports - Section Report formatting issues</t>
  </si>
  <si>
    <t>https://dev.azure.com/greatergiving/Greater%20Giving/_git/OP/pullrequest/8509</t>
  </si>
  <si>
    <t>OB-3680</t>
  </si>
  <si>
    <t>Implement OB header designs</t>
  </si>
  <si>
    <t>No PR for this story, worked on the below sub defect</t>
  </si>
  <si>
    <t>OB-3762</t>
  </si>
  <si>
    <t>When clearing the logo and or the banner in the settings and saving the original logo and banner remain in place on the online bidding page.</t>
  </si>
  <si>
    <t>https://greatergiving.visualstudio.com/Greater%20Giving/_git/OnlineBidding/pullrequest/8480</t>
  </si>
  <si>
    <t>Shared draft PR, tested in local and DEV 5/9/2025</t>
  </si>
  <si>
    <t>OB-3756</t>
  </si>
  <si>
    <t>Add Firebase Notification system to OB</t>
  </si>
  <si>
    <t>https://dev.azure.com/greatergiving/Greater%20Giving/_git/OnlineBidding/pullrequest/8507</t>
  </si>
  <si>
    <t>Add try catch block here when you connecting with DB to make operations</t>
  </si>
  <si>
    <t>Spike has been converted to story</t>
  </si>
  <si>
    <t>OP-2761</t>
  </si>
  <si>
    <t>High - Weak Encryption: Insecure Mode of Operation - Cryptography.cs: 56</t>
  </si>
  <si>
    <t>https://dev.azure.com/greatergiving/Greater%20Giving/_git/OP/pullrequest/8501</t>
  </si>
  <si>
    <t>DON-25</t>
  </si>
  <si>
    <t xml:space="preserve"> API Endpoints for JoinMe Tables</t>
  </si>
  <si>
    <t>OB-OP 8.0 Sprint-2</t>
  </si>
  <si>
    <t>Automation</t>
  </si>
  <si>
    <t>Missed to find in review, local and DEV testing</t>
  </si>
  <si>
    <t>Need to do proper review and local testing covering all scenarios</t>
  </si>
  <si>
    <t>OB-3753</t>
  </si>
  <si>
    <t>Continue to Update Angular to recommended version</t>
  </si>
  <si>
    <t>Facing router error while launching the application, when trying to fix that many error cam and fixed those and ended up with router error again 5/6/2025 3:09 PM
Will prepare the document of what all we have tried in this sprint and the error we are facing at the end 5/8/2025 3:43 PM
Shared the document in JIRA comments</t>
  </si>
  <si>
    <t>OB-3732</t>
  </si>
  <si>
    <t>Routing Package Details layout</t>
  </si>
  <si>
    <t>The package detailed page loads and displays at the end of the page, instead of loading and displaying at the top of the page.</t>
  </si>
  <si>
    <t>https://greatergiving.visualstudio.com/Greater%20Giving/_git/OnlineBidding/pullrequest/8439</t>
  </si>
  <si>
    <t>Let's do a little input validation here so we don't get flagged by macroscope. Ensuring we are passing a natural number should be good.</t>
  </si>
  <si>
    <t>Local testing completed 4/28/2025
Dev testing completed 4/29/2025
TST testing completed 5/2/2025</t>
  </si>
  <si>
    <t>https://greatergiving.visualstudio.com/Greater%20Giving/_git/OnlineBidding/pullrequest/8471</t>
  </si>
  <si>
    <t>1. Missing alt attribute in image tag
2. If AC says it is not needed for now, remove the code itself</t>
  </si>
  <si>
    <t>Dependent on OB-3755, ampping the values is in progress 5/6/2025 3:08 PM
Dev testing completed 5/8/2025</t>
  </si>
  <si>
    <t>Prabu/Karthi</t>
  </si>
  <si>
    <t>OB-3755</t>
  </si>
  <si>
    <t>Display Header option according to GGO values</t>
  </si>
  <si>
    <t>Not exactly defects, header was mapped in browse page, so should that also reflect in detail page. And suggested about table # to show along with bidder name and #</t>
  </si>
  <si>
    <t>https://dev.azure.com/greatergiving/Greater%20Giving/_git/OnlineBidding/pullrequest/8467</t>
  </si>
  <si>
    <t>Local and DEV testing is going on 5/6/2025 3:07 PM</t>
  </si>
  <si>
    <t>OB-3593</t>
  </si>
  <si>
    <t>Macroscope - Resolve HTML tag issues</t>
  </si>
  <si>
    <t>https://greatergiving.visualstudio.com/Greater%20Giving/_git/OnlineBidding/pullrequest/8401</t>
  </si>
  <si>
    <t>Did Dev testing 4/15/2025
Development completed and raised PR 4/15/2025 10:15 PM
Testing completed in TST 4/16/2025</t>
  </si>
  <si>
    <t>OB-3592</t>
  </si>
  <si>
    <t>Macroscope - Update the npm package "tough-cookie"</t>
  </si>
  <si>
    <t>No unit testing required for this</t>
  </si>
  <si>
    <t>No PR raised for this, as the mentioned package was not seen in the mentioned file</t>
  </si>
  <si>
    <t>OB-3590</t>
  </si>
  <si>
    <t>Macroscope - Update Microsoft.IdentityModel.Tokens</t>
  </si>
  <si>
    <t>https://dev.azure.com/greatergiving/Greater%20Giving/_git/OnlineBidding/pullrequest/8414</t>
  </si>
  <si>
    <t>Did Dev testing 4/15/2025
Development completed and raised PR 4/15/2025 10:15 PM 
Testing done in Dev environment 4/21/2025</t>
  </si>
  <si>
    <t>OB-3731</t>
  </si>
  <si>
    <t xml:space="preserve">UX Feature Flag Implementation for OB </t>
  </si>
  <si>
    <t>Testing completed 4/11/2025</t>
  </si>
  <si>
    <t>OB-OP 8.5.0 Sprint 4-[Stretch]</t>
  </si>
  <si>
    <t>OB-3713</t>
  </si>
  <si>
    <t>Update Angular to recommended version</t>
  </si>
  <si>
    <t>This story is timeboxed, we have added comments as per the completion status of that angular update in JIRA. Will again take in next sprint</t>
  </si>
  <si>
    <t>Existing Issue from previous sprint being carry forwarded to this sprint and also Client developer was initially working on this defect but was unable to complete it. As a result, the ticket was handed over to our Relevantz onsite developer four days before the end of the sprint.Also the PM doesn’t recall how this report functioned in Production, so we may need to do some discovery and provide context to develop an effective solution. Team is currently working on that</t>
  </si>
  <si>
    <t>OB-3708</t>
  </si>
  <si>
    <t>OB Settings - Add New Settings</t>
  </si>
  <si>
    <t>1. In Featured package text field, default label is missing and it is seen editable when in View menu
2. When show sponsor scroll is disabled, sponsor location should also be disabled but it is enabled</t>
  </si>
  <si>
    <t>https://greatergiving.visualstudio.com/Greater%20Giving/_git/GGO/pullrequest/8378</t>
  </si>
  <si>
    <t>Micheal Wall</t>
  </si>
  <si>
    <t xml:space="preserve">
Testing Completed 
 4/8/2025 10:29 PM</t>
  </si>
  <si>
    <t>Verify</t>
  </si>
  <si>
    <t>https://greatergiving.visualstudio.com/Greater%20Giving/_git/GGO/pullrequest/8384</t>
  </si>
  <si>
    <t xml:space="preserve">Testing done by offshore QA in TST 4/10/2025 8:18 PM
Development, local and DEV testing completed from our end, since more testing was needed for OB-3608, peer review and testing for OB-3731 got delayed and moved to next sprint </t>
  </si>
  <si>
    <t>OB-3738</t>
  </si>
  <si>
    <t>Single Featured Package not getting removed after saving</t>
  </si>
  <si>
    <t>https://greatergiving.visualstudio.com/Greater%20Giving/_git/GGO/pullrequest/8381</t>
  </si>
  <si>
    <t>Testing completed in TST 4/10/2025
This is a sub defect for story OB-3708</t>
  </si>
  <si>
    <t>Mercy
[Testing only Story]</t>
  </si>
  <si>
    <t>OP-2746</t>
  </si>
  <si>
    <t>Prevent OP from allowing Negative Payments</t>
  </si>
  <si>
    <t>Testing completed in TST</t>
  </si>
  <si>
    <t>OP-2748</t>
  </si>
  <si>
    <t>Escalation:[ES-3365] Receipts/invoices will not generate</t>
  </si>
  <si>
    <t>ES-3383</t>
  </si>
  <si>
    <t>BT1D - Cannot export bid history</t>
  </si>
  <si>
    <t xml:space="preserve">We have investigated and decoded the issue and we have given the fix. Waiting for client Approval. </t>
  </si>
  <si>
    <t>Bounceback/Sub-Defect</t>
  </si>
  <si>
    <t>Closed/Rejected</t>
  </si>
  <si>
    <t>Missed while developing to handle the save functionality when package count is less than 0</t>
  </si>
  <si>
    <t>Need to include all the scenarios during development as well as in local testing</t>
  </si>
  <si>
    <t>Client data issue with particular client. Gave temporary fix in receipt page and will work on permanent fix later</t>
  </si>
  <si>
    <t>It is happening for only one client, so new story will be created for investigating this</t>
  </si>
  <si>
    <t xml:space="preserve">Its a data issue. We have investigated and decoded the issue and we have given the fix. Waiting for client Approval. </t>
  </si>
  <si>
    <t>Have to implement proper exception handling</t>
  </si>
  <si>
    <t>OP-2713</t>
  </si>
  <si>
    <t>OP Reports crashing with internal server error</t>
  </si>
  <si>
    <t>https://greatergiving.visualstudio.com/Greater%20Giving/_git/OP/pullrequest/8310
https://dev.azure.com/greatergiving/Greater%20Giving/_git/OP/pullrequest/8348</t>
  </si>
  <si>
    <t>Preethi/Prabhu</t>
  </si>
  <si>
    <t>OB-3677</t>
  </si>
  <si>
    <t>Feature Flag for Projects to use new elements</t>
  </si>
  <si>
    <t>Since this is DB related changes, didnt have local testing with Mercy, only migration script and LLBLGen  changes for this ticket</t>
  </si>
  <si>
    <t>https://greatergiving.visualstudio.com/Greater%20Giving/_git/GGO/pullrequest/8316</t>
  </si>
  <si>
    <t>Loan</t>
  </si>
  <si>
    <t>Karthi/Preethi/Prabhu/Mercy</t>
  </si>
  <si>
    <t>OB-3697</t>
  </si>
  <si>
    <t xml:space="preserve">Remove unnecessary settings from OB Settings page </t>
  </si>
  <si>
    <t>https://dev.azure.com/greatergiving/Greater%20Giving/_git/GGO/pullrequest/8321</t>
  </si>
  <si>
    <t>Preethi/Karthi/Prabu/Mercy</t>
  </si>
  <si>
    <t>OB-3678</t>
  </si>
  <si>
    <t>OB Settings - Update Page layout with existing settings</t>
  </si>
  <si>
    <t>https://greatergiving.visualstudio.com/Greater%20Giving/_git/GGO/pullrequest/8341</t>
  </si>
  <si>
    <t>Remove unused using from the files</t>
  </si>
  <si>
    <t>OB-3715</t>
  </si>
  <si>
    <t>Escalation Support</t>
  </si>
  <si>
    <t>OB-OP 8.5.0 Sprint 2-[Stretch]</t>
  </si>
  <si>
    <t>OB-3728</t>
  </si>
  <si>
    <t>OB Settings - Add Browse Page Sort Order and Cash Donation Close Time</t>
  </si>
  <si>
    <t>Preethi/Prabhu/Mercy</t>
  </si>
  <si>
    <t>OB-3725</t>
  </si>
  <si>
    <t>Max bid label not updating as expected</t>
  </si>
  <si>
    <t>https://dev.azure.com/greatergiving/Greater%20Giving/_git/OnlineBidding/pullrequest/8346</t>
  </si>
  <si>
    <t>https://dev.azure.com/greatergiving/Greater%20Giving/_git/OP/pullrequest/8347</t>
  </si>
  <si>
    <t>This method already exists and no apparent changes from develop.</t>
  </si>
  <si>
    <t xml:space="preserve">Couldn't able to complete testing because of email delivery failure in TST </t>
  </si>
  <si>
    <t>Fixed 3 reports, only 1 report design is pending</t>
  </si>
  <si>
    <t>[SPIKE] OB-3702</t>
  </si>
  <si>
    <t>Use Firebase Notification instead of SMS if user is online</t>
  </si>
  <si>
    <t>Attached the document in JIRA for review</t>
  </si>
  <si>
    <t>OB-3666</t>
  </si>
  <si>
    <t>OB Max Sales - Update logic to check available packages on Confirm</t>
  </si>
  <si>
    <t>When choosing higher amounts and clicking buy, it throws error message</t>
  </si>
  <si>
    <t>https://greatergiving.visualstudio.com/Greater%20Giving/_git/OnlineBidding/pullrequest/8303</t>
  </si>
  <si>
    <t>Refactor the code</t>
  </si>
  <si>
    <t xml:space="preserve">[SPIKE] OB-3696 </t>
  </si>
  <si>
    <t>Investigate new OB UX and tools</t>
  </si>
  <si>
    <t>Attached the analysis document in JIRA comments</t>
  </si>
  <si>
    <t>OB-3704</t>
  </si>
  <si>
    <t>Auction board won't display all screens</t>
  </si>
  <si>
    <t>When sponsor intersitial screen is set, last set of package screen is not coming  and redirected to first screen</t>
  </si>
  <si>
    <t>https://greatergiving.visualstudio.com/Greater%20Giving/_git/OnlineBidding/pullrequest/8295</t>
  </si>
  <si>
    <t>OP-2515</t>
  </si>
  <si>
    <t>PR shared on last day, carry forwarded to next sprint
As per Derek, this was not present in DNN7, could have happened while upgrading to DNN9</t>
  </si>
  <si>
    <t>GGO-11886</t>
  </si>
  <si>
    <t>This was not existing before.  this functionality was developed long back and no changes were done for this in the recent times. Might be due to any package version update animation could have taken more time causing mismatch in the calculation</t>
  </si>
  <si>
    <t>OP-2724</t>
  </si>
  <si>
    <t>Accept New Discover Cards on OP</t>
  </si>
  <si>
    <t>https://greatergiving.visualstudio.com/Greater%20Giving/_git/OP/pullrequest/8235</t>
  </si>
  <si>
    <t>OP-2685</t>
  </si>
  <si>
    <t>Resolve Alert in MFA Apigee Module</t>
  </si>
  <si>
    <t>https://greatergiving.visualstudio.com/Greater%20Giving/_git/OP/pullrequest/8245</t>
  </si>
  <si>
    <t>OP-2717</t>
  </si>
  <si>
    <t>OP Item Donation Forms Blank</t>
  </si>
  <si>
    <t>It has been flagged in JIRA and was removed from sprint</t>
  </si>
  <si>
    <t>OB-OP 8.4.0 Sprint 4-[Stretch]</t>
  </si>
  <si>
    <t>Rajesh/Preethi/Karthi</t>
  </si>
  <si>
    <t>[Stretch] OP-2713</t>
  </si>
  <si>
    <t>Checking on with telerik pdf converter, it is throwing error as it couldn't find the installed library, checking on that</t>
  </si>
  <si>
    <t>[Stretch] OP-2739</t>
  </si>
  <si>
    <t>MFA Configuration page not loading</t>
  </si>
  <si>
    <t>https://greatergiving.visualstudio.com/Greater%20Giving/_git/OP/pullrequest/8258</t>
  </si>
  <si>
    <t>Mercy
[Testing only]</t>
  </si>
  <si>
    <t>[Stretch] OB-3700</t>
  </si>
  <si>
    <t>Missing Index</t>
  </si>
  <si>
    <t>OP-2727</t>
  </si>
  <si>
    <t>Resolve portal failure during creation</t>
  </si>
  <si>
    <t>[Stretch] OP-2744</t>
  </si>
  <si>
    <t>Environment_Related</t>
  </si>
  <si>
    <t>Alert was coming even before, we reported that long back</t>
  </si>
  <si>
    <t xml:space="preserve">Still trying to reproduce the error in different ways. Flagged as of now, have asked CS team for steps to replicate
</t>
  </si>
  <si>
    <t xml:space="preserve">[Stretch] OP-2713 </t>
  </si>
  <si>
    <t>Derek said, this was not present in DNN7 and in DNN9 only this error is occuring</t>
  </si>
  <si>
    <t>Found while checking OP-2685</t>
  </si>
  <si>
    <t>OP-2145</t>
  </si>
  <si>
    <t>OP RSVP -  Multiple Attendee UI</t>
  </si>
  <si>
    <t>1. 0 Remaining text is seen in few scenarios
2. Carry forward checkbox is unchecked, but old information can be seen in credit card page
3. Country and state mapping is not happening</t>
  </si>
  <si>
    <t>Can remove the unwanted codes</t>
  </si>
  <si>
    <t>https://greatergiving.visualstudio.com/Greater%20Giving/_git/OP/pullrequest/8213</t>
  </si>
  <si>
    <t>Remove unwanted references and refactor the code</t>
  </si>
  <si>
    <t>Took more time because when we fix one scenario, the other was breaking. It involved many scenarios while going to next page and coming back and retaining values. While retaining we had little difficulty in dropdown values and validation was not happening by itself, we have to write separately as we had clone the user control</t>
  </si>
  <si>
    <t>OP-2126</t>
  </si>
  <si>
    <t>OP RSVP -  Multiple attendees submitted to OP</t>
  </si>
  <si>
    <t xml:space="preserve">Email's does not display Customized Questions for additional RSVP </t>
  </si>
  <si>
    <t>Remove unwanted reference and unused code</t>
  </si>
  <si>
    <t>https://greatergiving.visualstudio.com/Greater%20Giving/_git/OP/pullrequest/8225</t>
  </si>
  <si>
    <t>Move the repeated code to a separate method</t>
  </si>
  <si>
    <t>This took more time because we had to understand the existing logic of receipt and tried to understand the receipt flow of registration then came up with this idea of replacing the whole content in .cs file anf then updating it in XML and then refactoring of code as we had 2 sets of same code in different scenarios</t>
  </si>
  <si>
    <t>OP-2127</t>
  </si>
  <si>
    <t>Still investigating to reproduce the issue, might be because of cache/session related</t>
  </si>
  <si>
    <t>OP-2694</t>
  </si>
  <si>
    <t>OP Dates showing incorrect times</t>
  </si>
  <si>
    <t>As per analysis, it might be related to the columns in PAPI table, so investigation is needed in PAPI side, so new ticket will be created in PAPI for further analysis. This ticket was considered as investigation and closed</t>
  </si>
  <si>
    <t>OB-OP 8.4.0 Sprint 3-[Stretch]</t>
  </si>
  <si>
    <t>Mercy/Rajesh</t>
  </si>
  <si>
    <t>OP-2721</t>
  </si>
  <si>
    <t>Release Hotfix OP 8.3.2 to CRT</t>
  </si>
  <si>
    <t>Verified only in TST environment as we don't have access to CRT</t>
  </si>
  <si>
    <t>Still investigating to reproduce the issue, might be because of cache/session related
(3 SP)</t>
  </si>
  <si>
    <t>As per analysis, it might be related to the columns in PAPI table, so investigation is needed in PAPI side
(3 SP)</t>
  </si>
  <si>
    <t>Column1</t>
  </si>
  <si>
    <t>Completed development of major functionality and deployed in DEV for testing and  few design changes and validation error message are showing up, working on that</t>
  </si>
  <si>
    <t xml:space="preserve">Tested the existing flow and updated </t>
  </si>
  <si>
    <t>We are sending as List of data only from OP to GGO so newly added info will also be sent in the same way</t>
  </si>
  <si>
    <t>OP-2144</t>
  </si>
  <si>
    <t>OP RSVP -  Multiple attendee information transferred to GGO</t>
  </si>
  <si>
    <t>This depends on 2145 so it is getting blocked till we complete that story</t>
  </si>
  <si>
    <t>Mercy (Testing only story)</t>
  </si>
  <si>
    <t>OP-2700</t>
  </si>
  <si>
    <t>Resolve Unsanitized JS input (473611280)</t>
  </si>
  <si>
    <t>Development completed in previous sprint, testing alone carry forwarded to this sprint</t>
  </si>
  <si>
    <t>OP-2701</t>
  </si>
  <si>
    <t>Remove yarn.lock from Apigee Module</t>
  </si>
  <si>
    <t>OP-2704</t>
  </si>
  <si>
    <t>Update Newtonsoft.Json packages in the following modules to 13.0.3 (473594073)</t>
  </si>
  <si>
    <t>OP-2710</t>
  </si>
  <si>
    <t>Stretch--Escalation Support</t>
  </si>
  <si>
    <t>OP-2712</t>
  </si>
  <si>
    <t>Rajesh &amp; Joe</t>
  </si>
  <si>
    <t>The 'Forgot Password' page does not load immediately.</t>
  </si>
  <si>
    <t>This defect got fixed as part of OP-2710, but as per JIRA defect is still in Refinement</t>
  </si>
  <si>
    <t>[SPIKE] OB-OP 8.4.0 Sprint 1</t>
  </si>
  <si>
    <t>OP-2687</t>
  </si>
  <si>
    <t>Investigate - Creating/Managing a plugin tool for clients</t>
  </si>
  <si>
    <t>Shared analyis document</t>
  </si>
  <si>
    <t>OP-2585</t>
  </si>
  <si>
    <t>Reroute GetPortals Call</t>
  </si>
  <si>
    <t>Part of performance improvement done.Restrictions on DNN9 core functionality prevents us from finding performance improvements.  But there is more room left for improvements. So Story was carry forwarded</t>
  </si>
  <si>
    <t>https://greatergiving.visualstudio.com/Greater%20Giving/_git/OP/pullrequest/8139</t>
  </si>
  <si>
    <t>Add the code in other file also which is mentioned in AC</t>
  </si>
  <si>
    <t>https://greatergiving.visualstudio.com/Greater%20Giving/_git/OP/pullrequest/8122</t>
  </si>
  <si>
    <t>OB-3670</t>
  </si>
  <si>
    <t>Resolve Microsoft.Extensions.Caching.Memory</t>
  </si>
  <si>
    <t>https://greatergiving.visualstudio.com/Greater%20Giving/_git/OnlineBidding/pullrequest/8138</t>
  </si>
  <si>
    <t>Should commit the changes in App.config also</t>
  </si>
  <si>
    <t>OB-3671</t>
  </si>
  <si>
    <t>Resolve braces dependency in UI (426923792)</t>
  </si>
  <si>
    <t>https://greatergiving.visualstudio.com/Greater%20Giving/_git/OnlineBidding/pullrequest/8146</t>
  </si>
  <si>
    <t>OB-3672</t>
  </si>
  <si>
    <t>Resolve System.Text.Json (426923791)</t>
  </si>
  <si>
    <t>https://greatergiving.visualstudio.com/Greater%20Giving/_git/OnlineBidding/pullrequest/8140</t>
  </si>
  <si>
    <t>[SPIKE] OB-OP 8.3.0 Sprint 4</t>
  </si>
  <si>
    <t>In progress</t>
  </si>
  <si>
    <t>Story got carry forwarded because of incomplete investigation. Don't have clear idea which way to go.</t>
  </si>
  <si>
    <t>OP-2684</t>
  </si>
  <si>
    <t>Invoicing - Show obfuscated Supporter ID on Invoice Payment Page</t>
  </si>
  <si>
    <t>Move Supporter Id above Total sales</t>
  </si>
  <si>
    <t>https://greatergiving.visualstudio.com/Greater%20Giving/_git/OP/pullrequest/8061</t>
  </si>
  <si>
    <t>Rajiv</t>
  </si>
  <si>
    <t>OP-2683</t>
  </si>
  <si>
    <t>Invoicing GGO - Make Supporter ID visible in View Supporters</t>
  </si>
  <si>
    <t>Kalai</t>
  </si>
  <si>
    <t>Raj</t>
  </si>
  <si>
    <t>https://greatergiving.visualstudio.com/Greater%20Giving/_git/GGO/pullrequest/8066</t>
  </si>
  <si>
    <t>OP-2686</t>
  </si>
  <si>
    <t xml:space="preserve">Invoicing GGO - Add basic text to Invoice Page Header </t>
  </si>
  <si>
    <t>https://greatergiving.visualstudio.com/Greater%20Giving/_git/GGO/pullrequest/8067</t>
  </si>
  <si>
    <t>Macroscope Medium - Sanitize Input in AjaxFaq.js</t>
  </si>
  <si>
    <t>Refactor the code, dont call function inside the function</t>
  </si>
  <si>
    <t>https://dev.azure.com/greatergiving/Greater%20Giving/_git/OP/pullrequest/8055</t>
  </si>
  <si>
    <t>[Stretch] OB-OP 8.3.0 Sprint 4</t>
  </si>
  <si>
    <t>OP-2660</t>
  </si>
  <si>
    <t>Remove deprecated Share Module from OP</t>
  </si>
  <si>
    <t>Ready For Testing</t>
  </si>
  <si>
    <t>https://greatergiving.visualstudio.com/Greater%20Giving/_git/OP/pullrequest/8081</t>
  </si>
  <si>
    <t>Due to the holidays onsite QA was not available to test and complete</t>
  </si>
  <si>
    <t>Part of performance improvement done. But there is more room left for improvements. So Story carry forwarded</t>
  </si>
  <si>
    <t>OP-2674</t>
  </si>
  <si>
    <t>Macroscope Medium - Replace Microsoft.IdentityModel.Clients.ActiveDirectory</t>
  </si>
  <si>
    <t>https://greatergiving.visualstudio.com/Greater%20Giving/_git/OP/pullrequest/8095</t>
  </si>
  <si>
    <t>Update to the latest stable version as much as possible</t>
  </si>
  <si>
    <t>Sprint ended right after the holidays. No time left to review and move to testing</t>
  </si>
  <si>
    <t>OP-2676</t>
  </si>
  <si>
    <t xml:space="preserve">Macroscope Medium - Upgrade Microsoft.IdentityModel.JsonWebTokens </t>
  </si>
  <si>
    <t>https://greatergiving.visualstudio.com/Greater%20Giving/_git/OP/pullrequest/8094</t>
  </si>
  <si>
    <t>OP-2601</t>
  </si>
  <si>
    <t>Page loads in middle instead of at the top</t>
  </si>
  <si>
    <t>https://dev.azure.com/greatergiving/Greater%20Giving/_git/OP/pullrequest/8069</t>
  </si>
  <si>
    <t>This is an existing production bug and it is not because of the changes that we have done in recent times</t>
  </si>
  <si>
    <t>OP-2653</t>
  </si>
  <si>
    <t>Invoicing - Hide nav bar when GGO setting is disabled</t>
  </si>
  <si>
    <t>https://greatergiving.visualstudio.com/Greater%20Giving/_git/OP/pullrequest/8029</t>
  </si>
  <si>
    <t>OP-2663</t>
  </si>
  <si>
    <t>Invoicing - Option to update Supporter Info</t>
  </si>
  <si>
    <t>https://greatergiving.visualstudio.com/Greater%20Giving/_git/GGO/pullrequest/8041</t>
  </si>
  <si>
    <t>Michael Wall</t>
  </si>
  <si>
    <t>OP-2639</t>
  </si>
  <si>
    <t>Invoicing GGO - Allow users to send invoice without invoice page created</t>
  </si>
  <si>
    <t>https://greatergiving.visualstudio.com/Greater%20Giving/_git/GGO/pullrequest/8043</t>
  </si>
  <si>
    <t>OP-2666</t>
  </si>
  <si>
    <t>GGO Invoicing - Add "Invoice Last Sent" to Manage Sales &amp; Payments</t>
  </si>
  <si>
    <t>Pull request 8034: GGO-14405- Invoice Last Sent Date - Repos</t>
  </si>
  <si>
    <t>This will throw error if Invoice is not enabled for a client.</t>
  </si>
  <si>
    <t>[Stretch]OB-OP 8.3.0 Sprint 3</t>
  </si>
  <si>
    <t>OP-2667</t>
  </si>
  <si>
    <t>Invoicing GGO - Update Review Sent Emails with proper email name</t>
  </si>
  <si>
    <t>https://greatergiving.visualstudio.com/Greater%20Giving/_git/GGO/pullrequest/8045</t>
  </si>
  <si>
    <t>[Stretch] OB-OP 8.3.0 Sprint 3</t>
  </si>
  <si>
    <t>OP-2665</t>
  </si>
  <si>
    <t>Invoicing - Enable Invoices for Customers without OP</t>
  </si>
  <si>
    <t>https://greatergiving.visualstudio.com/Greater%20Giving/_git/GGO/pullrequest/8047</t>
  </si>
  <si>
    <t>OP-2671</t>
  </si>
  <si>
    <t>Macroscope Critical - Insecure Mail Transport Transmission</t>
  </si>
  <si>
    <t>https://greatergiving.visualstudio.com/Greater%20Giving/_git/OP/commit/f39dbc0dd3abf9e863e476ef69e1fea07c8019ce?refName=refs/heads/OP/OP-2671-Macroscope-Critical-Insecure-Mail-Transport-Transmission(448262088)</t>
  </si>
  <si>
    <t>OP-2672</t>
  </si>
  <si>
    <t>Macroscope High - Model with Non-Nullable Property</t>
  </si>
  <si>
    <t>https://greatergiving.visualstudio.com/Greater%20Giving/_git/OP/commit/f5b87b868381a64e6dca17e8bac2e0484d8c6b03?refName=refs/heads/OP/OP-2672-Macroscope-High-Model-with-Non-Nullable-Property(448262077)</t>
  </si>
  <si>
    <t>In Progress</t>
  </si>
  <si>
    <t>Story Carry forwarded , onsite lead expecting more solid solution</t>
  </si>
  <si>
    <t>OP-2682</t>
  </si>
  <si>
    <t>Last sent for should display specific to project in Manage Sales and Payment screen</t>
  </si>
  <si>
    <t>OB/OP 8.3.0 Sprint 2</t>
  </si>
  <si>
    <t>Preethi / Karthi</t>
  </si>
  <si>
    <t>OP-2631</t>
  </si>
  <si>
    <t>Update/Remove Help URL in application and emails</t>
  </si>
  <si>
    <t>https://greatergiving.visualstudio.com/Greater%20Giving/_git/OP/pullrequest/7975</t>
  </si>
  <si>
    <t>OP-2643</t>
  </si>
  <si>
    <t>Invoicing - Add Convenience Fee into Total Sales</t>
  </si>
  <si>
    <t>https://greatergiving.visualstudio.com/Greater%20Giving/_git/OP/pullrequest/7974</t>
  </si>
  <si>
    <t>OP-2640</t>
  </si>
  <si>
    <t>Invoicing GGO - Add Letters&amp;Emails toolbar functions to Invoice/Receipt Settings</t>
  </si>
  <si>
    <t>Pull request 7982: Invoicing GGO - Add Letters&amp;Emails toolbar functions to Invoice/Receipt Settings - Repos</t>
  </si>
  <si>
    <t>Rajkumar</t>
  </si>
  <si>
    <t>Why is the "else" incomplete? Is this a TODO later?
Rephrase comment. Exp, invalid image format
Assign the "2" to a variable.</t>
  </si>
  <si>
    <t>OP-2642</t>
  </si>
  <si>
    <t>Invoicing - View Supporters "More" button should also indicate Receipts</t>
  </si>
  <si>
    <t xml:space="preserve"> Nil</t>
  </si>
  <si>
    <t>Pull request 7977: GGO-14377-Menu Text Changes - Repos</t>
  </si>
  <si>
    <t>OP-2650</t>
  </si>
  <si>
    <t>GGO Invoicing - Separate Invoice and Receipt Settings</t>
  </si>
  <si>
    <t>https://greatergiving.visualstudio.com/Greater%20Giving/_git/GGO/pullrequest/8001</t>
  </si>
  <si>
    <t xml:space="preserve">OP-2646 </t>
  </si>
  <si>
    <t>GGO Invoicing - Navigation Constraint UI</t>
  </si>
  <si>
    <t>https://greatergiving.visualstudio.com/Greater%20Giving/_git/GGO/pullrequest/8006</t>
  </si>
  <si>
    <t>Rolled over to next sprint, 2 files are in different places, checking on how to map that ID in another file and make the changes based on that</t>
  </si>
  <si>
    <t>8.3.0 Sprint 2</t>
  </si>
  <si>
    <t>OP-2647</t>
  </si>
  <si>
    <t>Joe (Client)</t>
  </si>
  <si>
    <t>Cannot click more than one Generate/Email Invoice &amp; Receipt in sequence</t>
  </si>
  <si>
    <t xml:space="preserve">Onsite </t>
  </si>
  <si>
    <t>OP-2650 - OP-2656</t>
  </si>
  <si>
    <t>"Receipt for" is not updated for existing projects that has Invoice Payment page created</t>
  </si>
  <si>
    <t>There are couple of less used places developers missed out during development, found out by offshore QA and fixed it</t>
  </si>
  <si>
    <t>OP-2646 - OP-2655</t>
  </si>
  <si>
    <t>Navigation Button Issues</t>
  </si>
  <si>
    <t>Missed out default value and missed out in the cloning process, found out by onsite lead and reported it to offshore QA. (Should have been fixed this during development itself)</t>
  </si>
  <si>
    <t>OB/OP 8.3.0 Sprint 1</t>
  </si>
  <si>
    <t>OP-2621</t>
  </si>
  <si>
    <t>Login Page Update - Expiring Privacy Policy Message</t>
  </si>
  <si>
    <t>None</t>
  </si>
  <si>
    <t>https://greatergiving.visualstudio.com/Greater%20Giving/_git/OP/pullrequest/7965</t>
  </si>
  <si>
    <t>Ready for Testing</t>
  </si>
  <si>
    <t>Rolled over to next sprint because Onsite QA testing is pending</t>
  </si>
  <si>
    <t>OP-2583</t>
  </si>
  <si>
    <t>AHA - Update OP Credit Card collection area label</t>
  </si>
  <si>
    <t>https://greatergiving.visualstudio.com/Greater%20Giving/_git/OP/pullrequest/7932</t>
  </si>
  <si>
    <t>OB-3651</t>
  </si>
  <si>
    <t>Update Pages with Privacy Policy Notice</t>
  </si>
  <si>
    <t>https://greatergiving.visualstudio.com/Greater%20Giving/_git/OnlineBidding/pullrequest/7960</t>
  </si>
  <si>
    <t>OP-2562</t>
  </si>
  <si>
    <t>Default text changed with OP migration</t>
  </si>
  <si>
    <t>https://greatergiving.visualstudio.com/Greater%20Giving/_git/OP/pullrequest/7954</t>
  </si>
  <si>
    <t>8.3.0 Sprint 1</t>
  </si>
  <si>
    <t>GGO-14354</t>
  </si>
  <si>
    <t>Delayed response in updating Left Nav count for Import Online Purchases &amp; Registration*</t>
  </si>
  <si>
    <t>OP-2628</t>
  </si>
  <si>
    <t>For Quick Invoice not enabled projects , leftnav label should be Print/Email Receipts</t>
  </si>
  <si>
    <t>Found this on internal Testing and got 0.5 story points for Dev</t>
  </si>
  <si>
    <t>OB/OP 8.2.0 Sprint 4</t>
  </si>
  <si>
    <t>OP-2611</t>
  </si>
  <si>
    <t>OP Webservice to call requested invoice details</t>
  </si>
  <si>
    <t>Prabhu/Karthi</t>
  </si>
  <si>
    <t>Karthi/Prabhu</t>
  </si>
  <si>
    <t>Remove unused parameters, check for saving a property similar to reg page</t>
  </si>
  <si>
    <t>https://greatergiving.visualstudio.com/Greater%20Giving/_git/OP/pullrequest/7904</t>
  </si>
  <si>
    <t>OP-2617</t>
  </si>
  <si>
    <t>Default invoice page to not display in navigation</t>
  </si>
  <si>
    <t>try to reduce the DB call</t>
  </si>
  <si>
    <t>https://greatergiving.visualstudio.com/Greater%20Giving/_git/GGO/pullrequest/7895</t>
  </si>
  <si>
    <t>joe</t>
  </si>
  <si>
    <t>OP-2593</t>
  </si>
  <si>
    <t>Update left nav notifications</t>
  </si>
  <si>
    <t>RajKumar</t>
  </si>
  <si>
    <t>Pull request 7905: GGO-14337-UpdateNavNotify - Repos (visualstudio.com)</t>
  </si>
  <si>
    <t>OP-2610</t>
  </si>
  <si>
    <t>Generate and Include Dynamic Invoice URL</t>
  </si>
  <si>
    <t>Pull request 7898: GGO-14322-OP-2622-Embed Link Only for Email Invoices - Repos (visualstudio.com)</t>
  </si>
  <si>
    <t>10/16/2024`</t>
  </si>
  <si>
    <t>10/162024</t>
  </si>
  <si>
    <t>OP-2573</t>
  </si>
  <si>
    <t>Update to Import online Payment</t>
  </si>
  <si>
    <t>Pull request 7912: [GGO-14335]-Import Invoices - Repos</t>
  </si>
  <si>
    <t>OP-2620</t>
  </si>
  <si>
    <t>Functionality for Import Online Payment</t>
  </si>
  <si>
    <t>Pull request 7914: GGO-14335-Import-Invoices-Release - Repos</t>
  </si>
  <si>
    <t>OB/OP 8.2.0 Sprint 3</t>
  </si>
  <si>
    <t>OP-2551</t>
  </si>
  <si>
    <t>OP - Create Invoice Page from Template</t>
  </si>
  <si>
    <t>NIL</t>
  </si>
  <si>
    <t>https://greatergiving.visualstudio.com/Greater%20Giving/_git/OP/pullrequest/7875</t>
  </si>
  <si>
    <t>Update the font of supporter info similar to others</t>
  </si>
  <si>
    <t>Karthi / Preethi</t>
  </si>
  <si>
    <t>OP-2552</t>
  </si>
  <si>
    <t>OP - Add New Supporter Invoicing Module to Invoice Page</t>
  </si>
  <si>
    <t>Remove unwanted methods from cryptography file</t>
  </si>
  <si>
    <t>Rajiv/Prabhu</t>
  </si>
  <si>
    <t>OP-2609</t>
  </si>
  <si>
    <t>OP- Create Donation Page while creating Invoice Page</t>
  </si>
  <si>
    <t>Preethi, Mercy</t>
  </si>
  <si>
    <t>1.Manage project website throwing error</t>
  </si>
  <si>
    <t>OP Side PR - https://greatergiving.visualstudio.com/Greater%20Giving/_git/OP/pullrequest/7871</t>
  </si>
  <si>
    <t>Rajesh &amp; Prabu</t>
  </si>
  <si>
    <t>1. Give proper name for constraints 2. schema needs to be updated with correct constraint name by running SQL change automation</t>
  </si>
  <si>
    <t>OB/OP 8.2.0 Sprint 5</t>
  </si>
  <si>
    <t>Kalaivani</t>
  </si>
  <si>
    <t>OP - Generate and Include Dynamic Invoice URL</t>
  </si>
  <si>
    <t>Rajiv,Farhath</t>
  </si>
  <si>
    <t>Rajiv, Raj</t>
  </si>
  <si>
    <t>Pull request 7876: GGO-14322-Generate Dynamic Invoice URL - Repos (visualstudio.com)</t>
  </si>
  <si>
    <t>MikeH</t>
  </si>
  <si>
    <t>If the SaveCreditCard column doesn't exist add the column and the constraint together</t>
  </si>
  <si>
    <t>Carry frwarded to next sprint for testing, development is completed and PR has been raised</t>
  </si>
  <si>
    <t>OP-2596</t>
  </si>
  <si>
    <t>GGO - Dynamically update Email button between invoice and receipt</t>
  </si>
  <si>
    <t>Kalai,Farhath</t>
  </si>
  <si>
    <t>Kalai,Raj</t>
  </si>
  <si>
    <t>Pull request 7853: GGO-14314-Button Invoice Receipt Label Changes - Repos (visualstudio.com)</t>
  </si>
  <si>
    <t>26/09/2024</t>
  </si>
  <si>
    <t>OP-2598</t>
  </si>
  <si>
    <t>GGO - Minor text updates to Print/Email Invoices</t>
  </si>
  <si>
    <t>Rajiv,Raj</t>
  </si>
  <si>
    <t>Pull request 7854: GGO-14315-Minor-text-updates-to-Print-Email-Invoices - Repos (visualstudio.com)</t>
  </si>
  <si>
    <t>30/09/2024</t>
  </si>
  <si>
    <t>Could you rename this to something like SetEmailReceiptToolTips()?</t>
  </si>
  <si>
    <t>8.2.0 Sprint 3</t>
  </si>
  <si>
    <t>OP-2598 / OP-2612</t>
  </si>
  <si>
    <t>Tool tip issues</t>
  </si>
  <si>
    <t>OP-2610 / OP-2614</t>
  </si>
  <si>
    <t>Invoice URL is missing in emails when "Invoice Page Link Label" is kept empty</t>
  </si>
  <si>
    <t>Not a defect, Created this issue as a subtask (OP- 2614) as its not in OP - 2610 AC</t>
  </si>
  <si>
    <t>OP-2610 / OP-2615</t>
  </si>
  <si>
    <t>Multiple URL's received for single supporter email address</t>
  </si>
  <si>
    <t>As the Mail Functionality is not working in local environment we found this issue in TST</t>
  </si>
  <si>
    <t>OB/OP 8.2.0 Sprint 2</t>
  </si>
  <si>
    <t>OP - 2551</t>
  </si>
  <si>
    <t>Moved to next sprint</t>
  </si>
  <si>
    <t>Carry forwarded to next sprint, took some time to understand how new pages are created in OP side</t>
  </si>
  <si>
    <t>Kalaivani / Rajiv / Raj</t>
  </si>
  <si>
    <t>OP - 2579</t>
  </si>
  <si>
    <t>OP - New Invoice Payment page Template</t>
  </si>
  <si>
    <t>Farhath, Mercy</t>
  </si>
  <si>
    <t>1) Unwanted code is added. Remove it  2) clicking on the tool tip of page header throws error 3)clicking on tool tip of offer to Keep Credit Card info for Use at Event (Toggle)  OP-2604: Cannot Add New Invoice Page in New Project
Ready for Testing</t>
  </si>
  <si>
    <t>No</t>
  </si>
  <si>
    <t>Pull request 7836: GGO-14299-Invoicing-code-check-in-for-invoice-page-template - Repos (visualstudio.com)</t>
  </si>
  <si>
    <t>Change this IsInvoice to Not Null column and update LLBLGen entity.</t>
  </si>
  <si>
    <t>Mike Wall</t>
  </si>
  <si>
    <t>Rajiv Gandhi</t>
  </si>
  <si>
    <t>OP - 2577</t>
  </si>
  <si>
    <t>OP - Update Email Settings</t>
  </si>
  <si>
    <t>Farhath,Mercy</t>
  </si>
  <si>
    <t>Pull request 7823: GGO-14292-Update Email Settings - Repos (visualstudio.com)</t>
  </si>
  <si>
    <t>1. uxEmailBodyEditor.Text is defaulted to "your receipt is attached" in database, It won't be null or empty all the time. 
2. this batch of code are present in 2 places, it can be converted as a method which is accepting bool parameter like true/false 
3. These 2 lines of code can be simplified to 1 line</t>
  </si>
  <si>
    <t>OP-2572</t>
  </si>
  <si>
    <t>GGO - Text change to Totals for Supporter section</t>
  </si>
  <si>
    <t>1. Can make the if condition as common
2. This button should not be removed, this should just be hided depends on the IsQuickInvoiceEnabled flag</t>
  </si>
  <si>
    <t>https://greatergiving.visualstudio.com/Greater%20Giving/_git/GGO/pullrequest/7829</t>
  </si>
  <si>
    <t>OP-2566</t>
  </si>
  <si>
    <t>RSVP Receipts Show Data Tags for "Hidden" Attendee Info Fields</t>
  </si>
  <si>
    <t>Did a POC of attaching a PDF in the mail. SHould be reviewed by tech leaders.
Implementation of new solution will be done in a separate story.</t>
  </si>
  <si>
    <t>OP-2553</t>
  </si>
  <si>
    <t>OP/GGO - Create Call to Webservice or API to communicate with GGO</t>
  </si>
  <si>
    <t>https://greatergiving.visualstudio.com/Greater%20Giving/_git/GGO/pullrequest/7843</t>
  </si>
  <si>
    <t>8.2.0 Sprint 2 - Defect</t>
  </si>
  <si>
    <t>OP-2603</t>
  </si>
  <si>
    <t>Kalaivani, Rajiv</t>
  </si>
  <si>
    <t>Clicking on tooltip shows error popup</t>
  </si>
  <si>
    <t>OP-2604</t>
  </si>
  <si>
    <t>Cannot add new invoice page in new project</t>
  </si>
  <si>
    <t>Not a defect, verified. Created in JIRA alone. No development against this defect has been done</t>
  </si>
  <si>
    <t>OB/OP 8.2.0 Sprint 1</t>
  </si>
  <si>
    <t>OP-2581</t>
  </si>
  <si>
    <t>GGO - Replace the text Event Receipt with a "Receipt"</t>
  </si>
  <si>
    <t xml:space="preserve">No </t>
  </si>
  <si>
    <t>No Comments</t>
  </si>
  <si>
    <t>https://greatergiving.visualstudio.com/Greater%20Giving/_git/GGO/pullrequest/7790</t>
  </si>
  <si>
    <t>Truong, Loan</t>
  </si>
  <si>
    <t>Could you fix the spelling error? e.g. txtEventReceipt.Text</t>
  </si>
  <si>
    <t>OP-2580</t>
  </si>
  <si>
    <t>GGO - Replace the text 'Receipt Settings' with 'Edit Invoice &amp; Receipt Settings'</t>
  </si>
  <si>
    <t>https://greatergiving.visualstudio.com/Greater%20Giving/_git/GGO/pullrequest/7792</t>
  </si>
  <si>
    <t>OP-2575</t>
  </si>
  <si>
    <t xml:space="preserve">GGO - Text change to Print/Email Receipts </t>
  </si>
  <si>
    <t>https://greatergiving.visualstudio.com/Greater%20Giving/_git/GGO/pullrequest/7803</t>
  </si>
  <si>
    <t>OP-2574</t>
  </si>
  <si>
    <t>GGO - Text change to Edit Invoice &amp; Receipt Settings</t>
  </si>
  <si>
    <t>https://greatergiving.visualstudio.com/Greater%20Giving/_git/GGO/pullrequest/7797</t>
  </si>
  <si>
    <t>No Defects reported</t>
  </si>
  <si>
    <t>Reviewer 1</t>
  </si>
  <si>
    <t>Reviewer 2</t>
  </si>
  <si>
    <t>OB/OP 7.14.0 Sprint 3</t>
  </si>
  <si>
    <t>Karthi / Vaishnavi/Prabhu</t>
  </si>
  <si>
    <t>OB-3610</t>
  </si>
  <si>
    <t xml:space="preserve"> Improve OB Bidders Dashboard</t>
  </si>
  <si>
    <t>Vaishnavi</t>
  </si>
  <si>
    <t>https://greatergiving.visualstudio.com/Greater%20Giving/_git/OnlineBidding/pullrequest/7752?path=/GreaterGivingTokyo/OnlineBiddingDatabase/Programmable%20Objects/Stored%20Procedures/sp_GetBidders.sql</t>
  </si>
  <si>
    <t>Jeo</t>
  </si>
  <si>
    <t>QA Inprogress - Dev and TST release pipeline certificate issues so we couldn't test in both the environments</t>
  </si>
  <si>
    <t>OB-3612</t>
  </si>
  <si>
    <t xml:space="preserve"> Reduce steps in SendSaleData Function App</t>
  </si>
  <si>
    <t>OP-2557</t>
  </si>
  <si>
    <t xml:space="preserve"> Resolve warnings in OP Build</t>
  </si>
  <si>
    <t>OB/OP 7.14.0 Sprint 4</t>
  </si>
  <si>
    <t>Karthi/Vaishnavi/Prabhu</t>
  </si>
  <si>
    <t>Vaishnavi/Prabhu</t>
  </si>
  <si>
    <t>https://greatergiving.visualstudio.com/Greater%20Giving/_git/OnlineBidding/pullrequest/7751</t>
  </si>
  <si>
    <t xml:space="preserve">OB-3640 </t>
  </si>
  <si>
    <t xml:space="preserve"> Release and test OB 7.12.0 to CRT</t>
  </si>
  <si>
    <t>NA</t>
  </si>
  <si>
    <t>OB-3640 / OB-3642 [Defect]</t>
  </si>
  <si>
    <t xml:space="preserve"> Some Emails Not Going Out</t>
  </si>
  <si>
    <t>https://greatergiving.visualstudio.com/Greater%20Giving/_git/OnlineBidding/pullrequest/7772</t>
  </si>
  <si>
    <t>OP-2566 [Defect]</t>
  </si>
  <si>
    <t>Closed, Unable to reproduce in local environment</t>
  </si>
  <si>
    <t>No defects reported</t>
  </si>
  <si>
    <t>OB/OP 7.14.0 Sprint 2</t>
  </si>
  <si>
    <t>vaishnavi/Karthi</t>
  </si>
  <si>
    <t xml:space="preserve">OB-3609 </t>
  </si>
  <si>
    <t>Select Multiple Groups in OB Messaging</t>
  </si>
  <si>
    <t>https://greatergiving.visualstudio.com/Greater%20Giving/_git/OnlineBidding/pullrequest/7710</t>
  </si>
  <si>
    <t xml:space="preserve">OB-3609/ OB-3636 </t>
  </si>
  <si>
    <t>Group Filter Issue</t>
  </si>
  <si>
    <t>https://greatergiving.visualstudio.com/Greater%20Giving/_git/OnlineBidding/pullrequest/7716</t>
  </si>
  <si>
    <t>OB-3609/ OB-3637</t>
  </si>
  <si>
    <t>When recipient data is more than Varchar(50) error is seen in send message page</t>
  </si>
  <si>
    <t>https://greatergiving.visualstudio.com/Greater%20Giving/_git/OnlineBidding/pullrequest/7724</t>
  </si>
  <si>
    <t>OB-3621</t>
  </si>
  <si>
    <t>Update UI for Send Messages (Check All)</t>
  </si>
  <si>
    <t>https://greatergiving.visualstudio.com/Greater%20Giving/_git/OnlineBidding/pullrequest/7713</t>
  </si>
  <si>
    <t>vaishnavi/Karthi/Prabhu</t>
  </si>
  <si>
    <t>OB-3628</t>
  </si>
  <si>
    <t>Update UI for Send Messages (Logic+UI Match)</t>
  </si>
  <si>
    <t>Resolve warnings in OP Build</t>
  </si>
  <si>
    <t>https://greatergiving.visualstudio.com/Greater%20Giving/_git/OP/pullrequest/7729</t>
  </si>
  <si>
    <t>199 / 1636 warnings fixed.</t>
  </si>
  <si>
    <t>https://greatergiving.visualstudio.com/Greater%20Giving/_git/OP/pullrequest/7731</t>
  </si>
  <si>
    <t xml:space="preserve">OB-3636 </t>
  </si>
  <si>
    <t>Issue resolved</t>
  </si>
  <si>
    <t>OB-3637</t>
  </si>
  <si>
    <t>OB/OP 7.14.0 Sprint 1</t>
  </si>
  <si>
    <t>OB-3618</t>
  </si>
  <si>
    <t>Improve "Save for Later" message functionality</t>
  </si>
  <si>
    <t>https://greatergiving.visualstudio.com/Greater%20Giving/_git/OnlineBidding/pullrequest/7687</t>
  </si>
  <si>
    <t>OB-3618 / OB-3633</t>
  </si>
  <si>
    <t>Date time picker reset issue</t>
  </si>
  <si>
    <t>https://greatergiving.visualstudio.com/Greater%20Giving/_git/OnlineBidding/pullrequest/7699</t>
  </si>
  <si>
    <t>Karthi / Vaishnavi</t>
  </si>
  <si>
    <t>OB-3618 / OB-3634</t>
  </si>
  <si>
    <t>Save Fixed- Emails going out to all supporters in the recipient list</t>
  </si>
  <si>
    <t>https://greatergiving.visualstudio.com/Greater%20Giving/_git/OnlineBidding/pullrequest/7703</t>
  </si>
  <si>
    <t>OB-3620</t>
  </si>
  <si>
    <t>Update Saved/Scheduled Message Grid</t>
  </si>
  <si>
    <t>https://greatergiving.visualstudio.com/Greater%20Giving/_git/OnlineBidding/pullrequest/7690</t>
  </si>
  <si>
    <t>OB-3620 / OB-3632</t>
  </si>
  <si>
    <t>Recipient column for Email not updated as Fixed / Dynamic</t>
  </si>
  <si>
    <t>https://greatergiving.visualstudio.com/Greater%20Giving/_git/OnlineBidding/pullrequest/7693</t>
  </si>
  <si>
    <t>vaishnavi</t>
  </si>
  <si>
    <t>OB-3608</t>
  </si>
  <si>
    <t>Select Multiple Tables in OB Messaging</t>
  </si>
  <si>
    <t>https://greatergiving.visualstudio.com/Greater%20Giving/_git/OP/pullrequest/7666</t>
  </si>
  <si>
    <t>OP-2550</t>
  </si>
  <si>
    <t>[Bug] AHA - Heart Ball Logo not displaying at correct size</t>
  </si>
  <si>
    <t>https://greatergiving.visualstudio.com/Greater%20Giving/_git/OP/pullrequest/7696</t>
  </si>
  <si>
    <t>OB 7.13.1 Sprint  4</t>
  </si>
  <si>
    <t>karthi/Prabhu/vaishnavi</t>
  </si>
  <si>
    <t>OB-3613</t>
  </si>
  <si>
    <t>Investigate SendSaleData Function App</t>
  </si>
  <si>
    <t>Investigated and attached document in JIRA</t>
  </si>
  <si>
    <t>vaishnavi/Prabhu</t>
  </si>
  <si>
    <t>OP-2536</t>
  </si>
  <si>
    <t>Can't control order of manually added links in Links Module</t>
  </si>
  <si>
    <t>https://greatergiving.visualstudio.com/Greater%20Giving/_git/OP/pullrequest/7646</t>
  </si>
  <si>
    <t>26/06/2024</t>
  </si>
  <si>
    <t>OB-3614</t>
  </si>
  <si>
    <t>Investigate unresolved records with SendSaleData Function App</t>
  </si>
  <si>
    <t>OB 7.13.1 Sprint  4
Stretch</t>
  </si>
  <si>
    <t>OP-2549</t>
  </si>
  <si>
    <t>Changing toggle settings in registration module settings causes the HTML "junk" data issue to occur</t>
  </si>
  <si>
    <t>7.13.1 Sprint 4</t>
  </si>
  <si>
    <t>OP-2547</t>
  </si>
  <si>
    <t>Catalog Page Package Images Display At Actual Size Instead Of Default Scaled Size</t>
  </si>
  <si>
    <t>OP-2548</t>
  </si>
  <si>
    <t>Add announcement plain or rich text radio button select has no label text</t>
  </si>
  <si>
    <t>Existing</t>
  </si>
  <si>
    <t xml:space="preserve">                                                                                                                                                                                                        </t>
  </si>
  <si>
    <t>Prabhu / Karthi</t>
  </si>
  <si>
    <t>Save Fixed- Emails going out to all supporters in the recipient list even if check box is not selected.</t>
  </si>
  <si>
    <t>OB 7.13.1 Sprint  3</t>
  </si>
  <si>
    <t>OP-2528</t>
  </si>
  <si>
    <t xml:space="preserve"> Banner width incorrect with image size.</t>
  </si>
  <si>
    <t>https://greatergiving.visualstudio.com/Greater%20Giving/_git/OP/pullrequest/7621</t>
  </si>
  <si>
    <t>vaishnavi/Prabhu/Karthi</t>
  </si>
  <si>
    <t>OP-2533</t>
  </si>
  <si>
    <t>Option to save card for event does not appear</t>
  </si>
  <si>
    <t>No PR</t>
  </si>
  <si>
    <t>OP-2534</t>
  </si>
  <si>
    <t>Investigate and resolve HTML across modules</t>
  </si>
  <si>
    <t>https://greatergiving.visualstudio.com/Greater%20Giving/_git/OP/pullrequest/7618</t>
  </si>
  <si>
    <t>OP-2537</t>
  </si>
  <si>
    <t>[Stretch] Broken nav links due to special characters in Project Names</t>
  </si>
  <si>
    <t>https://greatergiving.visualstudio.com/Greater%20Giving/_git/OP/pullrequest/7622</t>
  </si>
  <si>
    <t>Karthi/vaishnavi</t>
  </si>
  <si>
    <t>[Stretch] Can't control order of manually added links in Links Module</t>
  </si>
  <si>
    <t>OP-2523</t>
  </si>
  <si>
    <t>AHA Content missing from Webpage</t>
  </si>
  <si>
    <t>Investigated and Inputs shared to client.Its not issues</t>
  </si>
  <si>
    <t>No defects reported.</t>
  </si>
  <si>
    <t>OB 7.13.1 Sprint 2</t>
  </si>
  <si>
    <t>Karthi/ Vaishnavi</t>
  </si>
  <si>
    <t>OP-2516</t>
  </si>
  <si>
    <t>Investigate and resolve headers with Giving Tuesday/Year End templates</t>
  </si>
  <si>
    <t>Moved to refinement</t>
  </si>
  <si>
    <t>Prabhu/vaishnavi</t>
  </si>
  <si>
    <t>OP-2498</t>
  </si>
  <si>
    <t>Generic and Volunteer template pages do not show correct header information</t>
  </si>
  <si>
    <t>Karthi/Prabhu/Rajesh</t>
  </si>
  <si>
    <t>OP-2521</t>
  </si>
  <si>
    <t>[Production issue] Can't add new modules or copy modules</t>
  </si>
  <si>
    <t>https://greatergiving.visualstudio.com/Greater%20Giving/_git/OP/pullrequest/7591</t>
  </si>
  <si>
    <t>Vaishnavi/Prabhu/Rajesh</t>
  </si>
  <si>
    <t>OP-2517</t>
  </si>
  <si>
    <t>[Production issue] OP Portals are not creating successfully</t>
  </si>
  <si>
    <t>OB 7.13.1 Sprint  2</t>
  </si>
  <si>
    <t>OP-2530</t>
  </si>
  <si>
    <t>Contact Us &amp; About Us Section - Not on OP sites</t>
  </si>
  <si>
    <t>OP-2524</t>
  </si>
  <si>
    <t>Error creating Generic Pages</t>
  </si>
  <si>
    <t>Prabhu/Rajesh</t>
  </si>
  <si>
    <t>OP-2520</t>
  </si>
  <si>
    <t>Can't edit HTML modules in OP</t>
  </si>
  <si>
    <t>OP-2518</t>
  </si>
  <si>
    <t>Junk coding added to pkg desc. every time you re-save</t>
  </si>
  <si>
    <t>https://greatergiving.visualstudio.com/Greater%20Giving/_git/OP/pullrequest/7597?_a=files</t>
  </si>
  <si>
    <t>[Stretch] Banner width incorrect with image size.</t>
  </si>
  <si>
    <t>OP-2526</t>
  </si>
  <si>
    <t>Logout Popup missing</t>
  </si>
  <si>
    <t>OB 7.13.1 Sprint 1</t>
  </si>
  <si>
    <t>OP-2490</t>
  </si>
  <si>
    <t>[Defect] Drop Downs overlap interface when adding a page in OP and cannot have options selected from the drop down</t>
  </si>
  <si>
    <t>https://greatergiving.visualstudio.com/Greater%20Giving/_git/OP/pullrequest/7546</t>
  </si>
  <si>
    <t>Joe Mccarty</t>
  </si>
  <si>
    <t>Prabhu/ Vaishnavi</t>
  </si>
  <si>
    <t>OP-2489</t>
  </si>
  <si>
    <t>Update AHA Custom Headers and Footers</t>
  </si>
  <si>
    <t>Completed testing in TST and CRT.</t>
  </si>
  <si>
    <t>Prabhu/Karthi/ Vaishnavi/Rajesh</t>
  </si>
  <si>
    <t>OP-2491[OP-2512,OP-2508,OP-2503,OP-2507,OP-2502,OP-2499]</t>
  </si>
  <si>
    <t>Continue dnn9 in CRT</t>
  </si>
  <si>
    <t>Investigated and Inputs shared to client.Its all about application configuration level</t>
  </si>
  <si>
    <t>OP-2496</t>
  </si>
  <si>
    <t>Online Auction Virtual Terminal is missing in Save the programmers Organization</t>
  </si>
  <si>
    <t>OP-2497</t>
  </si>
  <si>
    <t>Join Me Fundraiser Progress amount not getting updated</t>
  </si>
  <si>
    <t>OP-2508</t>
  </si>
  <si>
    <t>Confirmation receipt Emails not going out when making donation in Join Me fundraising</t>
  </si>
  <si>
    <t>OP-2511</t>
  </si>
  <si>
    <t>OP emails not going out</t>
  </si>
  <si>
    <t>OP-2512</t>
  </si>
  <si>
    <t>Error is seen in the place of Re-captcha</t>
  </si>
  <si>
    <t>OB 7.12.0 Sprint 4</t>
  </si>
  <si>
    <r>
      <rPr>
        <b/>
        <sz val="10"/>
        <color rgb="FF000000"/>
        <rFont val="Arial"/>
        <scheme val="minor"/>
      </rPr>
      <t>OP-2480</t>
    </r>
    <r>
      <rPr>
        <sz val="10"/>
        <color rgb="FF000000"/>
        <rFont val="Arial"/>
        <scheme val="minor"/>
      </rPr>
      <t xml:space="preserve"> 1.OP-2490</t>
    </r>
  </si>
  <si>
    <t>Drop Downs overlap interface when adding a page in OP and cannot have options selected from the drop down</t>
  </si>
  <si>
    <t>Carry forwarded to Sprint 7.13.0</t>
  </si>
  <si>
    <t>OB-3617</t>
  </si>
  <si>
    <t>Higher Bid More Values UI Issue</t>
  </si>
  <si>
    <t>Existing issue</t>
  </si>
  <si>
    <t>Prabhu / Vaishnavi / Karthi</t>
  </si>
  <si>
    <t>OP-2434</t>
  </si>
  <si>
    <t>Implement ReCaptcha in DNN9</t>
  </si>
  <si>
    <t>https://greatergiving.visualstudio.com/Greater%20Giving/_git/OP/pullrequest/7510</t>
  </si>
  <si>
    <t>OB-3587</t>
  </si>
  <si>
    <t>Macroscope - Update swiper package</t>
  </si>
  <si>
    <t>https://greatergiving.visualstudio.com/Greater%20Giving/_git/OnlineBidding/pullrequest/7502</t>
  </si>
  <si>
    <t>Prabhu/Vaishnavi</t>
  </si>
  <si>
    <t>OB-3611</t>
  </si>
  <si>
    <t>Investigate OB Queue issues re: Weekend Event Outages</t>
  </si>
  <si>
    <t>Investigated and Inputs shared to client.</t>
  </si>
  <si>
    <t>OP-2480 1.OP-2490
[STRETCH]</t>
  </si>
  <si>
    <t>[Stretch] [Defect] Drop Downs overlap interface when adding a page in OP and cannot have options selected from the drop down</t>
  </si>
  <si>
    <t>Development completed, Unit testing is pending</t>
  </si>
  <si>
    <t>Higher Bid More Values UI Issue [Stretch]</t>
  </si>
  <si>
    <t>https://greatergiving.visualstudio.com/Greater%20Giving/_git/OnlineBidding/pullrequest/7536</t>
  </si>
  <si>
    <t>Prabhu/ Karthi</t>
  </si>
  <si>
    <t>OP-2480 2.OP-2484</t>
  </si>
  <si>
    <t>Sponsor logos not displaying in OP pages</t>
  </si>
  <si>
    <t>OP-2480 3.OP-2484</t>
  </si>
  <si>
    <t>File/Resource Manager Appears Empty</t>
  </si>
  <si>
    <t>Investigated and updated setting on application level.</t>
  </si>
  <si>
    <t>Development completed,TST testing is pending</t>
  </si>
  <si>
    <t>OB 7.12.0 Sprint 3</t>
  </si>
  <si>
    <t xml:space="preserve">Vaishnavi / Karthi/Prabhu </t>
  </si>
  <si>
    <t>OB-3595</t>
  </si>
  <si>
    <t>OB Page Will Not Display Packages in Numerical Order</t>
  </si>
  <si>
    <t>https://greatergiving.visualstudio.com/Greater%20Giving/_git/OnlineBidding/pullrequest/7431</t>
  </si>
  <si>
    <t>https://greatergiving.visualstudio.com/Greater%20Giving/_git/OP/pullrequest/7503</t>
  </si>
  <si>
    <t>OB 7.12.0 Sprint 3 [Stretch]</t>
  </si>
  <si>
    <t>[Stretch] Macroscope - Update swiper package</t>
  </si>
  <si>
    <t>Development completed, testing is pending</t>
  </si>
  <si>
    <t>No defects reported for this sprint</t>
  </si>
  <si>
    <t>OB 7.12.0 Sprint 2</t>
  </si>
  <si>
    <t>OP-2440</t>
  </si>
  <si>
    <t>Update Hard Hat Template for AHA</t>
  </si>
  <si>
    <t>https://greatergiving.visualstudio.com/Greater%20Giving/_git/OP/pullrequest/7450</t>
  </si>
  <si>
    <t>OP-2438</t>
  </si>
  <si>
    <t>Update Generic Template for AHA</t>
  </si>
  <si>
    <t>https://greatergiving.visualstudio.com/Greater%20Giving/_git/OP/pullrequest/7451</t>
  </si>
  <si>
    <t>OP-2442</t>
  </si>
  <si>
    <t>Update Golf Template for AHA</t>
  </si>
  <si>
    <t>Golf Template unavailable to test in TST.</t>
  </si>
  <si>
    <t>OB 7.12.0 Sprint 2
[Stretch]</t>
  </si>
  <si>
    <t>Vaishnavi/Karthi/Prabhu</t>
  </si>
  <si>
    <t>OP-2441</t>
  </si>
  <si>
    <t>HTML Update to AHA Templates (Heart Ball)</t>
  </si>
  <si>
    <t>Development completed, AHA stories are kept on hold for now.</t>
  </si>
  <si>
    <t>OB 7.12.0 Sprint 1</t>
  </si>
  <si>
    <t>OB-3584</t>
  </si>
  <si>
    <t>Macroscope - Correct bad MVC practice</t>
  </si>
  <si>
    <t>https://greatergiving.visualstudio.com/Greater%20Giving/_git/OnlineBidding/pullrequest/7396</t>
  </si>
  <si>
    <t>OB-3585</t>
  </si>
  <si>
    <t>Macroscope - Resolve vulnerability with System.Data.SqlClient</t>
  </si>
  <si>
    <t>https://greatergiving.visualstudio.com/Greater%20Giving/_git/OnlineBidding/pullrequest/7400</t>
  </si>
  <si>
    <t>karthi/Vaishnavi/Prabhu</t>
  </si>
  <si>
    <t>OP-2456</t>
  </si>
  <si>
    <t>Provide PoC and Info regarding templates</t>
  </si>
  <si>
    <t>Vaishnavi/Karthi/</t>
  </si>
  <si>
    <t>Showed demo to client and story is closed now</t>
  </si>
  <si>
    <t>Vaishnavi/Karthi</t>
  </si>
  <si>
    <t>Moved to backlog.</t>
  </si>
  <si>
    <t>OB/OP 7.11.0 Sprint 4 [1Mar to 14Mar]</t>
  </si>
  <si>
    <t>OP-2437</t>
  </si>
  <si>
    <t>Investigate AHA Templates and updates to them</t>
  </si>
  <si>
    <t>Its DNN-7 Investigate story, so updated documents in jira .</t>
  </si>
  <si>
    <t>Karthi/vaishnavi/Prabhu</t>
  </si>
  <si>
    <t>OB-3582</t>
  </si>
  <si>
    <t>Load the Send Message Recipient types from DB rather than Hardcoded backend code</t>
  </si>
  <si>
    <t>karthi/vaishnavi</t>
  </si>
  <si>
    <t>No comments</t>
  </si>
  <si>
    <t>https://greatergiving.visualstudio.com/Greater%20Giving/_git/OnlineBidding/pullrequest/7367</t>
  </si>
  <si>
    <t>RajeshKannan</t>
  </si>
  <si>
    <t>OP-2439</t>
  </si>
  <si>
    <t>Update Go Red Template for AHA</t>
  </si>
  <si>
    <t>Inputs shared to client and story  moved to backlog</t>
  </si>
  <si>
    <t>Update Heart Ball Template for AHA</t>
  </si>
  <si>
    <t>Inputs shared to client and  story  moved to backlog</t>
  </si>
  <si>
    <t>OB-3578</t>
  </si>
  <si>
    <t>Filter issue in "Table" grid</t>
  </si>
  <si>
    <t>https://greatergiving.visualstudio.com/Greater%20Giving/_git/OnlineBidding/pullrequest/7353</t>
  </si>
  <si>
    <t>OB/OP 7.11.0 Sprint 3 [16 Feb to 29 Feb]</t>
  </si>
  <si>
    <t>OB-3534</t>
  </si>
  <si>
    <t>Fix send message grid filters</t>
  </si>
  <si>
    <t>Yes</t>
  </si>
  <si>
    <t>Not applicable</t>
  </si>
  <si>
    <t>https://greatergiving.visualstudio.com/Greater%20Giving/_git/OnlineBidding/pullrequest/7329</t>
  </si>
  <si>
    <t xml:space="preserve">
Joe Mccarty</t>
  </si>
  <si>
    <t>OP-2428</t>
  </si>
  <si>
    <t>ReCaptcha - Implement v3 and Fallback</t>
  </si>
  <si>
    <t>OP-2427</t>
  </si>
  <si>
    <t>Check dnn_JavaScriptLibraries entries for DNN9 (Spike story)</t>
  </si>
  <si>
    <t>Analysis document attacted in the Story</t>
  </si>
  <si>
    <t>OB-3552</t>
  </si>
  <si>
    <t>OB Admin - Enhance Element &lt;table&gt; on home page</t>
  </si>
  <si>
    <t>https://greatergiving.visualstudio.com/Greater%20Giving/_git/OnlineBidding/pullrequest/7322</t>
  </si>
  <si>
    <t>OB-3547</t>
  </si>
  <si>
    <t>OB Admin - Provide way to quickly navigate to main content</t>
  </si>
  <si>
    <t>https://greatergiving.visualstudio.com/Greater%20Giving/_git/OnlineBidding/pullrequest/7331</t>
  </si>
  <si>
    <t>7.11.0 4</t>
  </si>
  <si>
    <t>Code Review Comments received from Client for 2.5 Sprint</t>
  </si>
  <si>
    <t>S No</t>
  </si>
  <si>
    <t>Execution Steps</t>
  </si>
  <si>
    <t>index.tsx
/AugustWeb/Features/ContactMaintenance/Components/index.tsx
Search doesn't work on the details page. Please remove the search component from the header.</t>
  </si>
  <si>
    <t>Code conflict</t>
  </si>
  <si>
    <t>ParentApiRegistrationController.cs
/AugustWeb/Features/ParentAPI/ParentApiRegistrationController.cs
If the admin doesn't set up any of the new options, then the system rejects every registration.</t>
  </si>
  <si>
    <t>Coding Standard</t>
  </si>
  <si>
    <t>PickEnrollmentPlanView.tsx
/ParentWeb/ClientApp/src/pages/Registration/PickEnrollmentPlanView.tsx
This should be filtered before this ternary statement so the "No enrollment plans" message could be shown if all plans are at capacity and closed.</t>
  </si>
  <si>
    <t>Existing Functionality</t>
  </si>
  <si>
    <t>ParentApiRegistrationController.cs
/AugustWeb/Features/ParentAPI/ParentApiRegistrationController.cs
Could we add a TermEnrollmentPlanId query parameter and query for it directly instead of pulling all the plans for the term?</t>
  </si>
  <si>
    <t>Acceptance Criteria coverage</t>
  </si>
  <si>
    <t>Code execute</t>
  </si>
  <si>
    <t>Code Performance</t>
  </si>
  <si>
    <t>Code cleanup</t>
  </si>
  <si>
    <t>Understandable code comments</t>
  </si>
  <si>
    <t>Root Cause category</t>
  </si>
  <si>
    <t>QA</t>
  </si>
  <si>
    <t>Design</t>
  </si>
  <si>
    <t>Documentation</t>
  </si>
  <si>
    <t>Project_Management</t>
  </si>
  <si>
    <t>OB/OP 7.11.0 Sprint 1 [19 Jan to 15 Feb]</t>
  </si>
  <si>
    <t>OP-1988</t>
  </si>
  <si>
    <t>Add Class Headers to the Bidding Site</t>
  </si>
  <si>
    <t>yes</t>
  </si>
  <si>
    <t>https://greatergiving.visualstudio.com/Greater%20Giving/_git/OnlineBidding/pullrequest/7230</t>
  </si>
  <si>
    <t>Karthi Rajendran/Vaishnavi</t>
  </si>
  <si>
    <t>OB-3540</t>
  </si>
  <si>
    <t>Update Schedule Message Logic</t>
  </si>
  <si>
    <t>https://greatergiving.visualstudio.com/Greater%20Giving/_git/OnlineBidding/pullrequest/7238</t>
  </si>
  <si>
    <t>joe Mccarty</t>
  </si>
  <si>
    <t>karthi Rajendran</t>
  </si>
  <si>
    <t>OB-3550</t>
  </si>
  <si>
    <t>OB Admin - Form Control "button" as no associated label</t>
  </si>
  <si>
    <t xml:space="preserve"> Vaishnavi</t>
  </si>
  <si>
    <t>https://greatergiving.visualstudio.com/Greater%20Giving/_git/OnlineBidding/pullrequest/7296</t>
  </si>
  <si>
    <t>OB-3551</t>
  </si>
  <si>
    <t>Admin - Graphs have deprecated HTML attributes</t>
  </si>
  <si>
    <t>When you naming a function, camelcase is recommended.</t>
  </si>
  <si>
    <t>https://greatergiving.visualstudio.com/Greater%20Giving/_git/OnlineBidding/pullrequest/7311</t>
  </si>
  <si>
    <t>OB-3557</t>
  </si>
  <si>
    <t>Auction display board visual bug</t>
  </si>
  <si>
    <t>https://greatergiving.visualstudio.com/Greater%20Giving/_git/OnlineBidding/pullrequest/7303</t>
  </si>
  <si>
    <t>OP-2426</t>
  </si>
  <si>
    <t>Donation Page becoming unresponsive, seems to be CAPTCHA issue</t>
  </si>
  <si>
    <t>Need to Implement the code optimize for Performance</t>
  </si>
  <si>
    <t>ReCaptcha-Implement v3 and Fallback</t>
  </si>
  <si>
    <t>Facing some challenges while  implementing V3 and added new requirements.</t>
  </si>
  <si>
    <t>OB/OP 7.10.0 Sprint 4 [05-Jan to 18-Jan]</t>
  </si>
  <si>
    <t>Karthi Rajendran/ Vaishnavi</t>
  </si>
  <si>
    <t xml:space="preserve">OB-3471 </t>
  </si>
  <si>
    <t>Update Entry Box to a Rich Text Editor</t>
  </si>
  <si>
    <t xml:space="preserve"> Prabhu</t>
  </si>
  <si>
    <t>https://greatergiving.visualstudio.com/Greater%20Giving/_git/OnlineBidding/pullrequest/7227</t>
  </si>
  <si>
    <t>OB-3529</t>
  </si>
  <si>
    <t>When selecting a filter in Send Messages, 
automatically select all Bidders</t>
  </si>
  <si>
    <t>https://greatergiving.visualstudio.com/Greater%20Giving/_git/OnlineBidding/pullrequest/7149</t>
  </si>
  <si>
    <t>OB-3405</t>
  </si>
  <si>
    <t>Add "Group" as an option on OB Messages page</t>
  </si>
  <si>
    <t>https://greatergiving.visualstudio.com/Greater%20Giving/_git/OnlineBidding/pullrequest/7144</t>
  </si>
  <si>
    <t xml:space="preserve">OB-1998 </t>
  </si>
  <si>
    <t>OB-3466</t>
  </si>
  <si>
    <t>Release OB 7.10.0 to CRT</t>
  </si>
  <si>
    <t>https://greatergiving.visualstudio.com/Greater%20Giving/_git/OnlineBidding/pullrequest/7228</t>
  </si>
  <si>
    <r>
      <rPr>
        <b/>
        <sz val="10"/>
        <color theme="1"/>
        <rFont val="Arial"/>
      </rPr>
      <t>OB-3466</t>
    </r>
    <r>
      <rPr>
        <sz val="10"/>
        <color theme="1"/>
        <rFont val="Arial"/>
      </rPr>
      <t xml:space="preserve">
1.OB-3535</t>
    </r>
  </si>
  <si>
    <t>Hide supporter grid send message functionality and revert to previous filter select logic.</t>
  </si>
  <si>
    <t>https://greatergiving.visualstudio.com/Greater%20Giving/_git/OnlineBidding/pullrequest/7226</t>
  </si>
  <si>
    <t>Prabhu/Karthi Rajendran</t>
  </si>
  <si>
    <r>
      <rPr>
        <b/>
        <sz val="10"/>
        <color theme="1"/>
        <rFont val="Arial"/>
      </rPr>
      <t>OB-3466</t>
    </r>
    <r>
      <rPr>
        <sz val="10"/>
        <color theme="1"/>
        <rFont val="Arial"/>
      </rPr>
      <t xml:space="preserve">
2. OB-3543</t>
    </r>
  </si>
  <si>
    <t>Console Error appearing on Send Message Page</t>
  </si>
  <si>
    <t>https://greatergiving.visualstudio.com/Greater%20Giving/_git/OnlineBidding/pullrequest/7235</t>
  </si>
  <si>
    <t>OB/OP 7.10.0 Sprint 4</t>
  </si>
  <si>
    <t>OB-3533</t>
  </si>
  <si>
    <t>Scheduled messages not going out for Groups</t>
  </si>
  <si>
    <t>Ready</t>
  </si>
  <si>
    <t>OB-OP 8.1 Sprint 1 - [Stretch]</t>
  </si>
  <si>
    <t>OB-OP 8.1 Sprint 2 - [Stretch]</t>
  </si>
  <si>
    <t>OB-OP 8.1 Sprint 3 - [Stretch]</t>
  </si>
  <si>
    <t>1. Purchase History is missing
2. Disable + when max quantity is exceeded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</si>
</sst>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yy"/>
    <numFmt numFmtId="165" formatCode="[$-409]d\-mmm\-yyyy;@"/>
  </numFmts>
  <fonts count="44">
    <font>
      <sz val="10"/>
      <color rgb="FF000000"/>
      <name val="Arial"/>
      <scheme val="minor"/>
    </font>
    <font>
      <b/>
      <sz val="10"/>
      <color rgb="FFFFFFFF"/>
      <name val="Calibri"/>
    </font>
    <font>
      <sz val="10"/>
      <color rgb="FF000000"/>
      <name val="Arial"/>
    </font>
    <font>
      <sz val="10"/>
      <color theme="1"/>
      <name val="Arial"/>
      <scheme val="minor"/>
    </font>
    <font>
      <sz val="10"/>
      <color theme="1"/>
      <name val="Arial"/>
    </font>
    <font>
      <sz val="9"/>
      <color rgb="FF1F1F1F"/>
      <name val="Arial"/>
    </font>
    <font>
      <u/>
      <sz val="10"/>
      <color rgb="FF0000FF"/>
      <name val="Arial"/>
    </font>
    <font>
      <sz val="10"/>
      <name val="Arial"/>
    </font>
    <font>
      <sz val="11"/>
      <color theme="1"/>
      <name val="Arial"/>
    </font>
    <font>
      <sz val="11"/>
      <color rgb="FF172B4D"/>
      <name val="Arial"/>
    </font>
    <font>
      <sz val="9"/>
      <color rgb="FF1F1F1F"/>
      <name val="&quot;Google Sans&quot;"/>
    </font>
    <font>
      <b/>
      <sz val="10"/>
      <color theme="1"/>
      <name val="Arial"/>
    </font>
    <font>
      <u/>
      <sz val="10"/>
      <color rgb="FF000000"/>
      <name val="Arial"/>
    </font>
    <font>
      <b/>
      <sz val="9"/>
      <color rgb="FFFFFFFF"/>
      <name val="Proxima Nova"/>
    </font>
    <font>
      <sz val="10"/>
      <color theme="1"/>
      <name val="Proxima Nova"/>
    </font>
    <font>
      <u/>
      <sz val="10"/>
      <color theme="10"/>
      <name val="Arial"/>
      <scheme val="minor"/>
    </font>
    <font>
      <sz val="10"/>
      <color rgb="FF000000"/>
      <name val="Arial"/>
      <charset val="1"/>
    </font>
    <font>
      <sz val="11"/>
      <color rgb="FF000000"/>
      <name val="Segoe UI"/>
      <charset val="1"/>
    </font>
    <font>
      <sz val="10"/>
      <color theme="1"/>
      <name val="Arial"/>
      <scheme val="major"/>
    </font>
    <font>
      <b/>
      <sz val="10"/>
      <color rgb="FFFFFFFF"/>
      <name val="Arial"/>
      <scheme val="minor"/>
    </font>
    <font>
      <sz val="10"/>
      <color rgb="FF1C2933"/>
      <name val="Arial"/>
      <scheme val="minor"/>
    </font>
    <font>
      <sz val="11"/>
      <color rgb="FF000000"/>
      <name val="Arial"/>
      <scheme val="minor"/>
    </font>
    <font>
      <u/>
      <sz val="10"/>
      <color rgb="FF1155CC"/>
      <name val="Arial"/>
      <scheme val="minor"/>
    </font>
    <font>
      <sz val="10"/>
      <color rgb="FF1F1F1F"/>
      <name val="Arial"/>
      <scheme val="minor"/>
    </font>
    <font>
      <sz val="10"/>
      <color rgb="FF191C20"/>
      <name val="Arial"/>
      <scheme val="minor"/>
    </font>
    <font>
      <sz val="11"/>
      <color rgb="FF000000"/>
      <name val="Aptos Narrow"/>
      <charset val="1"/>
    </font>
    <font>
      <sz val="9"/>
      <color rgb="FF1F1F1F"/>
      <name val="Arial"/>
      <charset val="1"/>
    </font>
    <font>
      <sz val="11"/>
      <color rgb="FF1D1C1D"/>
      <name val="Slack-Lato"/>
      <charset val="1"/>
    </font>
    <font>
      <sz val="11"/>
      <color rgb="FF242424"/>
      <name val="Aptos Narrow"/>
      <charset val="1"/>
    </font>
    <font>
      <b/>
      <sz val="10"/>
      <color rgb="FF000000"/>
      <name val="Arial"/>
      <scheme val="minor"/>
    </font>
    <font>
      <u/>
      <sz val="10"/>
      <color rgb="FF1155CC"/>
      <name val="Arial"/>
      <charset val="1"/>
    </font>
    <font>
      <sz val="11"/>
      <color theme="1"/>
      <name val="Segoe UI"/>
      <charset val="1"/>
    </font>
    <font>
      <sz val="11"/>
      <color rgb="FF444444"/>
      <name val="Aptos Narrow"/>
      <charset val="1"/>
    </font>
    <font>
      <sz val="10"/>
      <color rgb="FF000000"/>
      <name val="Arial"/>
      <scheme val="major"/>
    </font>
    <font>
      <sz val="9"/>
      <color rgb="FF1F1F1F"/>
      <name val="Arial"/>
      <scheme val="major"/>
    </font>
    <font>
      <sz val="10"/>
      <color rgb="FF1D1C1D"/>
      <name val="Arial"/>
      <scheme val="minor"/>
    </font>
    <font>
      <sz val="9"/>
      <color rgb="FF000000"/>
      <name val="Arial"/>
      <scheme val="major"/>
    </font>
    <font>
      <b/>
      <sz val="10"/>
      <color theme="1"/>
      <name val="Calibri"/>
    </font>
    <font>
      <sz val="8"/>
      <color theme="1"/>
      <name val="Arial"/>
      <scheme val="major"/>
    </font>
    <font>
      <sz val="11"/>
      <color rgb="FF000000"/>
      <name val="Aptos Narrow"/>
    </font>
    <font>
      <sz val="11"/>
      <color rgb="FF000000"/>
      <name val="Segoe UI VSS (Regular)"/>
      <charset val="1"/>
    </font>
    <font>
      <sz val="8"/>
      <color rgb="FF000000"/>
      <name val="Segoe UI"/>
      <charset val="1"/>
    </font>
    <font>
      <b/>
      <sz val="10"/>
      <color rgb="FF000000"/>
      <name val="Arial"/>
    </font>
    <font>
      <b/>
      <sz val="10"/>
      <color rgb="FFFFFFFF"/>
      <name val="Arial"/>
    </font>
  </fonts>
  <fills count="17">
    <fill>
      <patternFill patternType="none"/>
    </fill>
    <fill>
      <patternFill patternType="gray125"/>
    </fill>
    <fill>
      <patternFill patternType="solid">
        <fgColor rgb="FF27235C"/>
        <bgColor rgb="FF27235C"/>
      </patternFill>
    </fill>
    <fill>
      <patternFill patternType="solid">
        <fgColor rgb="FFFFFFFF"/>
        <bgColor rgb="FFFFFFFF"/>
      </patternFill>
    </fill>
    <fill>
      <patternFill patternType="solid">
        <fgColor rgb="FFE01950"/>
        <bgColor rgb="FFE01950"/>
      </patternFill>
    </fill>
    <fill>
      <patternFill patternType="solid">
        <fgColor rgb="FFF7F8F9"/>
        <bgColor rgb="FFF7F8F9"/>
      </patternFill>
    </fill>
    <fill>
      <patternFill patternType="solid">
        <fgColor rgb="FF97247E"/>
        <bgColor rgb="FF97247E"/>
      </patternFill>
    </fill>
    <fill>
      <patternFill patternType="solid">
        <fgColor rgb="FFD9D9D9"/>
        <bgColor rgb="FFD9D9D9"/>
      </patternFill>
    </fill>
    <fill>
      <patternFill patternType="solid">
        <fgColor theme="0"/>
        <bgColor indexed="64"/>
      </patternFill>
    </fill>
    <fill>
      <patternFill patternType="solid">
        <fgColor theme="4" tint="0.59999389629810485"/>
        <bgColor indexed="64"/>
      </patternFill>
    </fill>
    <fill>
      <patternFill patternType="solid">
        <fgColor rgb="FFFFFF00"/>
        <bgColor indexed="64"/>
      </patternFill>
    </fill>
    <fill>
      <patternFill patternType="solid">
        <fgColor theme="5" tint="0.79998168889431442"/>
        <bgColor indexed="64"/>
      </patternFill>
    </fill>
    <fill>
      <patternFill patternType="solid">
        <fgColor theme="6"/>
        <bgColor indexed="64"/>
      </patternFill>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rgb="FF093D93"/>
        <bgColor rgb="FF000000"/>
      </patternFill>
    </fill>
    <fill>
      <patternFill patternType="solid">
        <fgColor rgb="FFFEA767"/>
        <bgColor rgb="FF000000"/>
      </patternFill>
    </fill>
  </fills>
  <borders count="2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
      <left style="thin">
        <color rgb="FF000000"/>
      </left>
      <right style="thin">
        <color rgb="FF000000"/>
      </right>
      <top/>
      <bottom/>
      <diagonal/>
    </border>
    <border>
      <left/>
      <right style="thin">
        <color rgb="FF000000"/>
      </right>
      <top/>
      <bottom/>
      <diagonal/>
    </border>
    <border>
      <left style="thin">
        <color rgb="FF000000"/>
      </left>
      <right/>
      <top/>
      <bottom/>
      <diagonal/>
    </border>
    <border>
      <left/>
      <right style="thin">
        <color rgb="FF000000"/>
      </right>
      <top style="thin">
        <color rgb="FF000000"/>
      </top>
      <bottom style="thin">
        <color theme="4" tint="0.39997558519241921"/>
      </bottom>
      <diagonal/>
    </border>
    <border>
      <left/>
      <right style="thin">
        <color rgb="FF000000"/>
      </right>
      <top style="thin">
        <color theme="4" tint="0.39997558519241921"/>
      </top>
      <bottom style="thin">
        <color rgb="FF000000"/>
      </bottom>
      <diagonal/>
    </border>
    <border>
      <left/>
      <right style="thin">
        <color rgb="FF000000"/>
      </right>
      <top style="thin">
        <color theme="4" tint="0.39997558519241921"/>
      </top>
      <bottom/>
      <diagonal/>
    </border>
    <border>
      <left style="thin">
        <color rgb="FF000000"/>
      </left>
      <right style="thin">
        <color rgb="FF000000"/>
      </right>
      <top style="thin">
        <color rgb="FF000000"/>
      </top>
      <bottom style="medium">
        <color rgb="FF000000"/>
      </bottom>
      <diagonal/>
    </border>
    <border>
      <left/>
      <right/>
      <top/>
      <bottom style="thin">
        <color rgb="FF000000"/>
      </bottom>
      <diagonal/>
    </border>
  </borders>
  <cellStyleXfs count="2">
    <xf numFmtId="0" fontId="0" fillId="0" borderId="0"/>
    <xf numFmtId="0" fontId="15" fillId="0" borderId="0" applyNumberFormat="0" applyFill="0" applyBorder="0" applyAlignment="0" applyProtection="0"/>
  </cellStyleXfs>
  <cellXfs count="579">
    <xf numFmtId="0" fontId="0" fillId="0" borderId="0" xfId="0"/>
    <xf numFmtId="0" fontId="1" fillId="2" borderId="1" xfId="0" applyFont="1" applyFill="1" applyBorder="1" applyAlignment="1">
      <alignment horizontal="center" wrapText="1"/>
    </xf>
    <xf numFmtId="0" fontId="3" fillId="0" borderId="0" xfId="0" applyFont="1"/>
    <xf numFmtId="0" fontId="4" fillId="0" borderId="0" xfId="0" applyFont="1" applyAlignment="1">
      <alignment horizontal="center"/>
    </xf>
    <xf numFmtId="0" fontId="1" fillId="2" borderId="0" xfId="0" applyFont="1" applyFill="1" applyAlignment="1">
      <alignment horizontal="center" wrapText="1"/>
    </xf>
    <xf numFmtId="0" fontId="1" fillId="2" borderId="0" xfId="0" applyFont="1" applyFill="1" applyAlignment="1">
      <alignment horizontal="left" wrapText="1"/>
    </xf>
    <xf numFmtId="0" fontId="1" fillId="4" borderId="0" xfId="0" applyFont="1" applyFill="1" applyAlignment="1">
      <alignment horizontal="center" wrapText="1"/>
    </xf>
    <xf numFmtId="0" fontId="1" fillId="2" borderId="1" xfId="0" applyFont="1" applyFill="1" applyBorder="1" applyAlignment="1">
      <alignment horizontal="left" wrapText="1"/>
    </xf>
    <xf numFmtId="0" fontId="1" fillId="4" borderId="1" xfId="0" applyFont="1" applyFill="1" applyBorder="1" applyAlignment="1">
      <alignment horizontal="center" wrapText="1"/>
    </xf>
    <xf numFmtId="0" fontId="4" fillId="0" borderId="1" xfId="0" applyFont="1" applyBorder="1" applyAlignment="1">
      <alignment horizontal="right"/>
    </xf>
    <xf numFmtId="0" fontId="4" fillId="0" borderId="1" xfId="0" applyFont="1" applyBorder="1" applyAlignment="1">
      <alignment horizontal="center" wrapText="1"/>
    </xf>
    <xf numFmtId="0" fontId="4" fillId="0" borderId="1" xfId="0" applyFont="1" applyBorder="1" applyAlignment="1">
      <alignment vertical="center" wrapText="1"/>
    </xf>
    <xf numFmtId="0" fontId="4" fillId="0" borderId="1" xfId="0" applyFont="1" applyBorder="1" applyAlignment="1">
      <alignment horizontal="left"/>
    </xf>
    <xf numFmtId="0" fontId="2" fillId="3" borderId="1" xfId="0" applyFont="1" applyFill="1" applyBorder="1" applyAlignment="1">
      <alignment horizontal="center" wrapText="1"/>
    </xf>
    <xf numFmtId="0" fontId="4" fillId="0" borderId="1" xfId="0" applyFont="1" applyBorder="1" applyAlignment="1">
      <alignment horizontal="center"/>
    </xf>
    <xf numFmtId="0" fontId="6" fillId="0" borderId="1" xfId="0" applyFont="1" applyBorder="1" applyAlignment="1">
      <alignment horizontal="center" wrapText="1"/>
    </xf>
    <xf numFmtId="164" fontId="4" fillId="0" borderId="1" xfId="0" applyNumberFormat="1" applyFont="1" applyBorder="1" applyAlignment="1">
      <alignment horizontal="center"/>
    </xf>
    <xf numFmtId="0" fontId="4" fillId="0" borderId="1" xfId="0" applyFont="1" applyBorder="1" applyAlignment="1">
      <alignment horizontal="center" vertical="center" wrapText="1"/>
    </xf>
    <xf numFmtId="0" fontId="4" fillId="0" borderId="1" xfId="0" applyFont="1" applyBorder="1" applyAlignment="1">
      <alignment wrapText="1"/>
    </xf>
    <xf numFmtId="0" fontId="4" fillId="0" borderId="1" xfId="0" applyFont="1" applyBorder="1"/>
    <xf numFmtId="0" fontId="2" fillId="3" borderId="1" xfId="0" applyFont="1" applyFill="1" applyBorder="1" applyAlignment="1">
      <alignment horizontal="center"/>
    </xf>
    <xf numFmtId="164" fontId="2" fillId="3" borderId="1" xfId="0" applyNumberFormat="1" applyFont="1" applyFill="1" applyBorder="1" applyAlignment="1">
      <alignment horizontal="center"/>
    </xf>
    <xf numFmtId="0" fontId="2" fillId="3" borderId="1" xfId="0" applyFont="1" applyFill="1" applyBorder="1" applyAlignment="1">
      <alignment horizontal="left"/>
    </xf>
    <xf numFmtId="0" fontId="12" fillId="0" borderId="1" xfId="0" applyFont="1" applyBorder="1" applyAlignment="1">
      <alignment horizontal="center" vertical="center" wrapText="1"/>
    </xf>
    <xf numFmtId="0" fontId="4" fillId="0" borderId="3" xfId="0" applyFont="1" applyBorder="1" applyAlignment="1">
      <alignment horizontal="right"/>
    </xf>
    <xf numFmtId="0" fontId="4" fillId="0" borderId="4" xfId="0" applyFont="1" applyBorder="1" applyAlignment="1">
      <alignment horizontal="center"/>
    </xf>
    <xf numFmtId="0" fontId="4" fillId="0" borderId="4" xfId="0" applyFont="1" applyBorder="1"/>
    <xf numFmtId="0" fontId="4" fillId="0" borderId="4" xfId="0" applyFont="1" applyBorder="1" applyAlignment="1">
      <alignment wrapText="1"/>
    </xf>
    <xf numFmtId="0" fontId="4" fillId="0" borderId="0" xfId="0" applyFont="1" applyAlignment="1">
      <alignment wrapText="1"/>
    </xf>
    <xf numFmtId="0" fontId="3" fillId="0" borderId="0" xfId="0" applyFont="1" applyAlignment="1">
      <alignment horizontal="left"/>
    </xf>
    <xf numFmtId="0" fontId="3" fillId="0" borderId="1" xfId="0" applyFont="1" applyBorder="1"/>
    <xf numFmtId="0" fontId="1" fillId="2" borderId="5" xfId="0" applyFont="1" applyFill="1" applyBorder="1" applyAlignment="1">
      <alignment horizontal="center" wrapText="1"/>
    </xf>
    <xf numFmtId="0" fontId="1" fillId="2" borderId="5" xfId="0" applyFont="1" applyFill="1" applyBorder="1" applyAlignment="1">
      <alignment wrapText="1"/>
    </xf>
    <xf numFmtId="0" fontId="1" fillId="6" borderId="5" xfId="0" applyFont="1" applyFill="1" applyBorder="1" applyAlignment="1">
      <alignment horizontal="center" wrapText="1"/>
    </xf>
    <xf numFmtId="0" fontId="1" fillId="4" borderId="5" xfId="0" applyFont="1" applyFill="1" applyBorder="1" applyAlignment="1">
      <alignment horizontal="center" wrapText="1"/>
    </xf>
    <xf numFmtId="0" fontId="4" fillId="0" borderId="0" xfId="0" applyFont="1"/>
    <xf numFmtId="0" fontId="11" fillId="7" borderId="1" xfId="0" applyFont="1" applyFill="1" applyBorder="1"/>
    <xf numFmtId="0" fontId="13" fillId="6" borderId="1" xfId="0" applyFont="1" applyFill="1" applyBorder="1" applyAlignment="1">
      <alignment horizontal="center"/>
    </xf>
    <xf numFmtId="0" fontId="14" fillId="3" borderId="3" xfId="0" applyFont="1" applyFill="1" applyBorder="1" applyAlignment="1">
      <alignment horizontal="center"/>
    </xf>
    <xf numFmtId="0" fontId="4" fillId="0" borderId="1" xfId="0" applyFont="1" applyBorder="1" applyAlignment="1">
      <alignment vertical="top"/>
    </xf>
    <xf numFmtId="0" fontId="15" fillId="0" borderId="1" xfId="1" applyBorder="1" applyAlignment="1">
      <alignment horizontal="center" wrapText="1"/>
    </xf>
    <xf numFmtId="0" fontId="4" fillId="0" borderId="1" xfId="0" applyFont="1" applyBorder="1" applyAlignment="1">
      <alignment vertical="center"/>
    </xf>
    <xf numFmtId="0" fontId="2" fillId="0" borderId="1" xfId="0" applyFont="1" applyBorder="1" applyAlignment="1">
      <alignment horizontal="left"/>
    </xf>
    <xf numFmtId="0" fontId="8" fillId="5" borderId="1" xfId="0" applyFont="1" applyFill="1" applyBorder="1" applyAlignment="1">
      <alignment horizontal="left"/>
    </xf>
    <xf numFmtId="0" fontId="11" fillId="0" borderId="1" xfId="0" applyFont="1" applyBorder="1" applyAlignment="1">
      <alignment horizontal="left" wrapText="1"/>
    </xf>
    <xf numFmtId="0" fontId="4" fillId="0" borderId="1" xfId="0" applyFont="1" applyBorder="1" applyAlignment="1">
      <alignment horizontal="left" wrapText="1"/>
    </xf>
    <xf numFmtId="0" fontId="4" fillId="0" borderId="1" xfId="0" applyFont="1" applyBorder="1" applyAlignment="1">
      <alignment horizontal="left" vertical="center"/>
    </xf>
    <xf numFmtId="0" fontId="0" fillId="0" borderId="0" xfId="0" applyAlignment="1">
      <alignment horizontal="left"/>
    </xf>
    <xf numFmtId="0" fontId="1" fillId="2" borderId="0" xfId="0" applyFont="1" applyFill="1" applyAlignment="1">
      <alignment horizontal="right" wrapText="1"/>
    </xf>
    <xf numFmtId="0" fontId="1" fillId="2" borderId="1" xfId="0" applyFont="1" applyFill="1" applyBorder="1" applyAlignment="1">
      <alignment horizontal="right" wrapText="1"/>
    </xf>
    <xf numFmtId="164" fontId="4" fillId="0" borderId="1" xfId="0" applyNumberFormat="1" applyFont="1" applyBorder="1" applyAlignment="1">
      <alignment horizontal="right"/>
    </xf>
    <xf numFmtId="164" fontId="2" fillId="3" borderId="1" xfId="0" applyNumberFormat="1" applyFont="1" applyFill="1" applyBorder="1" applyAlignment="1">
      <alignment horizontal="right"/>
    </xf>
    <xf numFmtId="0" fontId="4" fillId="0" borderId="0" xfId="0" applyFont="1" applyAlignment="1">
      <alignment horizontal="right"/>
    </xf>
    <xf numFmtId="0" fontId="0" fillId="0" borderId="0" xfId="0" applyAlignment="1">
      <alignment horizontal="right"/>
    </xf>
    <xf numFmtId="0" fontId="1" fillId="2" borderId="0" xfId="0" applyFont="1" applyFill="1" applyAlignment="1">
      <alignment horizontal="center"/>
    </xf>
    <xf numFmtId="0" fontId="1" fillId="2" borderId="1" xfId="0" applyFont="1" applyFill="1" applyBorder="1" applyAlignment="1">
      <alignment horizontal="center"/>
    </xf>
    <xf numFmtId="0" fontId="9" fillId="5" borderId="1" xfId="0" applyFont="1" applyFill="1" applyBorder="1" applyAlignment="1">
      <alignment horizontal="left"/>
    </xf>
    <xf numFmtId="0" fontId="9" fillId="3" borderId="1" xfId="0" applyFont="1" applyFill="1" applyBorder="1" applyAlignment="1">
      <alignment horizontal="left"/>
    </xf>
    <xf numFmtId="0" fontId="0" fillId="0" borderId="1" xfId="0" applyBorder="1"/>
    <xf numFmtId="0" fontId="1" fillId="2" borderId="2" xfId="0" applyFont="1" applyFill="1" applyBorder="1" applyAlignment="1">
      <alignment horizontal="center" wrapText="1"/>
    </xf>
    <xf numFmtId="0" fontId="4" fillId="0" borderId="6" xfId="0" applyFont="1" applyBorder="1" applyAlignment="1">
      <alignment wrapText="1"/>
    </xf>
    <xf numFmtId="0" fontId="0" fillId="0" borderId="1" xfId="0" applyBorder="1" applyAlignment="1">
      <alignment horizontal="left"/>
    </xf>
    <xf numFmtId="0" fontId="0" fillId="0" borderId="1" xfId="0" applyBorder="1" applyAlignment="1">
      <alignment horizontal="left" vertical="center"/>
    </xf>
    <xf numFmtId="0" fontId="4" fillId="0" borderId="3" xfId="0" applyFont="1" applyBorder="1" applyAlignment="1">
      <alignment horizontal="center"/>
    </xf>
    <xf numFmtId="0" fontId="16" fillId="0" borderId="1" xfId="0" applyFont="1" applyBorder="1"/>
    <xf numFmtId="14" fontId="16" fillId="0" borderId="1" xfId="0" applyNumberFormat="1" applyFont="1" applyBorder="1"/>
    <xf numFmtId="14" fontId="16" fillId="0" borderId="1" xfId="0" applyNumberFormat="1" applyFont="1" applyBorder="1" applyAlignment="1">
      <alignment horizontal="right"/>
    </xf>
    <xf numFmtId="0" fontId="17" fillId="0" borderId="1" xfId="0" applyFont="1" applyBorder="1" applyAlignment="1">
      <alignment wrapText="1"/>
    </xf>
    <xf numFmtId="0" fontId="19" fillId="2" borderId="2" xfId="0" applyFont="1" applyFill="1" applyBorder="1" applyAlignment="1">
      <alignment horizontal="left" wrapText="1"/>
    </xf>
    <xf numFmtId="0" fontId="19" fillId="2" borderId="2" xfId="0" applyFont="1" applyFill="1" applyBorder="1" applyAlignment="1">
      <alignment horizontal="center"/>
    </xf>
    <xf numFmtId="0" fontId="19" fillId="2" borderId="2" xfId="0" applyFont="1" applyFill="1" applyBorder="1" applyAlignment="1">
      <alignment horizontal="center" wrapText="1"/>
    </xf>
    <xf numFmtId="0" fontId="19" fillId="2" borderId="2" xfId="0" applyFont="1" applyFill="1" applyBorder="1" applyAlignment="1">
      <alignment horizontal="right" wrapText="1"/>
    </xf>
    <xf numFmtId="0" fontId="19" fillId="4" borderId="2" xfId="0" applyFont="1" applyFill="1" applyBorder="1" applyAlignment="1">
      <alignment horizontal="center" wrapText="1"/>
    </xf>
    <xf numFmtId="0" fontId="3" fillId="0" borderId="1" xfId="0" applyFont="1" applyBorder="1" applyAlignment="1">
      <alignment horizontal="left"/>
    </xf>
    <xf numFmtId="0" fontId="20" fillId="3" borderId="1" xfId="0" applyFont="1" applyFill="1" applyBorder="1" applyAlignment="1">
      <alignment vertical="center"/>
    </xf>
    <xf numFmtId="0" fontId="20" fillId="3" borderId="1" xfId="0" applyFont="1" applyFill="1" applyBorder="1" applyAlignment="1">
      <alignment horizontal="center" vertical="center" wrapText="1"/>
    </xf>
    <xf numFmtId="0" fontId="20" fillId="3" borderId="1" xfId="0" applyFont="1" applyFill="1" applyBorder="1" applyAlignment="1">
      <alignment horizontal="center" vertical="top" wrapText="1"/>
    </xf>
    <xf numFmtId="0" fontId="3" fillId="0" borderId="1" xfId="0" applyFont="1" applyBorder="1" applyAlignment="1">
      <alignment horizontal="center" vertical="center"/>
    </xf>
    <xf numFmtId="0" fontId="3" fillId="0" borderId="1" xfId="0" applyFont="1" applyBorder="1" applyAlignment="1">
      <alignment horizontal="center"/>
    </xf>
    <xf numFmtId="15" fontId="3" fillId="0" borderId="1" xfId="0" applyNumberFormat="1" applyFont="1" applyBorder="1" applyAlignment="1">
      <alignment horizontal="right"/>
    </xf>
    <xf numFmtId="0" fontId="3" fillId="0" borderId="1" xfId="0" applyFont="1" applyBorder="1" applyAlignment="1">
      <alignment horizontal="center" wrapText="1"/>
    </xf>
    <xf numFmtId="0" fontId="3" fillId="0" borderId="1" xfId="0" applyFont="1" applyBorder="1" applyAlignment="1">
      <alignment wrapText="1"/>
    </xf>
    <xf numFmtId="15" fontId="3" fillId="0" borderId="1" xfId="0" applyNumberFormat="1" applyFont="1" applyBorder="1" applyAlignment="1">
      <alignment wrapText="1"/>
    </xf>
    <xf numFmtId="0" fontId="3" fillId="0" borderId="1" xfId="0" applyFont="1" applyBorder="1" applyAlignment="1">
      <alignment vertical="center"/>
    </xf>
    <xf numFmtId="0" fontId="3" fillId="0" borderId="1" xfId="0" applyFont="1" applyBorder="1" applyAlignment="1">
      <alignment horizontal="center" vertical="center" wrapText="1"/>
    </xf>
    <xf numFmtId="14" fontId="3" fillId="0" borderId="1" xfId="0" applyNumberFormat="1" applyFont="1" applyBorder="1" applyAlignment="1">
      <alignment horizontal="right"/>
    </xf>
    <xf numFmtId="0" fontId="21" fillId="3" borderId="1" xfId="0" applyFont="1" applyFill="1" applyBorder="1"/>
    <xf numFmtId="0" fontId="3" fillId="0" borderId="1" xfId="0" applyFont="1" applyBorder="1" applyAlignment="1">
      <alignment horizontal="left" vertical="center"/>
    </xf>
    <xf numFmtId="0" fontId="22" fillId="0" borderId="0" xfId="0" applyFont="1"/>
    <xf numFmtId="0" fontId="21" fillId="0" borderId="1" xfId="0" applyFont="1" applyBorder="1"/>
    <xf numFmtId="0" fontId="0" fillId="0" borderId="1" xfId="0" applyBorder="1" applyAlignment="1">
      <alignment horizontal="left" vertical="center" wrapText="1"/>
    </xf>
    <xf numFmtId="0" fontId="0" fillId="0" borderId="1" xfId="0" applyBorder="1" applyAlignment="1">
      <alignment horizontal="center"/>
    </xf>
    <xf numFmtId="14" fontId="0" fillId="0" borderId="1" xfId="0" applyNumberFormat="1" applyBorder="1" applyAlignment="1">
      <alignment horizontal="right"/>
    </xf>
    <xf numFmtId="14" fontId="0" fillId="0" borderId="1" xfId="0" applyNumberFormat="1" applyBorder="1"/>
    <xf numFmtId="14" fontId="0" fillId="0" borderId="0" xfId="0" applyNumberFormat="1" applyAlignment="1">
      <alignment horizontal="right"/>
    </xf>
    <xf numFmtId="14" fontId="0" fillId="0" borderId="0" xfId="0" applyNumberFormat="1"/>
    <xf numFmtId="0" fontId="3" fillId="0" borderId="1" xfId="0" applyFont="1" applyBorder="1" applyAlignment="1">
      <alignment horizontal="left" wrapText="1"/>
    </xf>
    <xf numFmtId="0" fontId="5" fillId="3" borderId="1" xfId="0" applyFont="1" applyFill="1" applyBorder="1" applyAlignment="1">
      <alignment vertical="center"/>
    </xf>
    <xf numFmtId="0" fontId="4" fillId="0" borderId="8" xfId="0" applyFont="1" applyBorder="1" applyAlignment="1">
      <alignment horizontal="right"/>
    </xf>
    <xf numFmtId="0" fontId="4" fillId="0" borderId="6" xfId="0" applyFont="1" applyBorder="1"/>
    <xf numFmtId="0" fontId="18" fillId="0" borderId="5" xfId="0" applyFont="1" applyBorder="1" applyAlignment="1">
      <alignment horizontal="center"/>
    </xf>
    <xf numFmtId="0" fontId="18" fillId="0" borderId="5" xfId="0" applyFont="1" applyBorder="1" applyAlignment="1">
      <alignment horizontal="center" wrapText="1"/>
    </xf>
    <xf numFmtId="0" fontId="4" fillId="0" borderId="5" xfId="0" applyFont="1" applyBorder="1" applyAlignment="1">
      <alignment horizontal="center"/>
    </xf>
    <xf numFmtId="0" fontId="4" fillId="0" borderId="5" xfId="0" applyFont="1" applyBorder="1" applyAlignment="1">
      <alignment horizontal="center" wrapText="1"/>
    </xf>
    <xf numFmtId="0" fontId="4" fillId="0" borderId="8" xfId="0" applyFont="1" applyBorder="1" applyAlignment="1">
      <alignment wrapText="1"/>
    </xf>
    <xf numFmtId="0" fontId="16" fillId="0" borderId="1" xfId="0" applyFont="1" applyBorder="1" applyAlignment="1">
      <alignment horizontal="left" vertical="center" wrapText="1"/>
    </xf>
    <xf numFmtId="14" fontId="4" fillId="0" borderId="1" xfId="0" applyNumberFormat="1" applyFont="1" applyBorder="1" applyAlignment="1">
      <alignment horizontal="right"/>
    </xf>
    <xf numFmtId="0" fontId="4" fillId="0" borderId="3" xfId="0" applyFont="1" applyBorder="1"/>
    <xf numFmtId="0" fontId="4" fillId="0" borderId="3" xfId="0" applyFont="1" applyBorder="1" applyAlignment="1">
      <alignment wrapText="1"/>
    </xf>
    <xf numFmtId="0" fontId="4" fillId="0" borderId="3" xfId="0" applyFont="1" applyBorder="1" applyAlignment="1">
      <alignment horizontal="left"/>
    </xf>
    <xf numFmtId="0" fontId="25" fillId="0" borderId="1" xfId="0" applyFont="1" applyBorder="1"/>
    <xf numFmtId="0" fontId="4" fillId="0" borderId="5" xfId="0" applyFont="1" applyBorder="1"/>
    <xf numFmtId="0" fontId="16" fillId="0" borderId="5" xfId="0" applyFont="1" applyBorder="1"/>
    <xf numFmtId="14" fontId="16" fillId="0" borderId="6" xfId="0" applyNumberFormat="1" applyFont="1" applyBorder="1"/>
    <xf numFmtId="14" fontId="4" fillId="0" borderId="6" xfId="0" applyNumberFormat="1" applyFont="1" applyBorder="1" applyAlignment="1">
      <alignment wrapText="1"/>
    </xf>
    <xf numFmtId="0" fontId="4" fillId="0" borderId="7" xfId="0" applyFont="1" applyBorder="1" applyAlignment="1">
      <alignment wrapText="1"/>
    </xf>
    <xf numFmtId="0" fontId="4" fillId="0" borderId="6" xfId="0" applyFont="1" applyBorder="1" applyAlignment="1">
      <alignment horizontal="center"/>
    </xf>
    <xf numFmtId="0" fontId="4" fillId="0" borderId="2" xfId="0" applyFont="1" applyBorder="1" applyAlignment="1">
      <alignment horizontal="center"/>
    </xf>
    <xf numFmtId="0" fontId="15" fillId="0" borderId="5" xfId="1" applyBorder="1" applyAlignment="1">
      <alignment horizontal="center" wrapText="1"/>
    </xf>
    <xf numFmtId="0" fontId="17" fillId="0" borderId="1" xfId="0" applyFont="1" applyBorder="1" applyAlignment="1">
      <alignment horizontal="center"/>
    </xf>
    <xf numFmtId="0" fontId="17" fillId="0" borderId="1" xfId="0" applyFont="1" applyBorder="1" applyAlignment="1">
      <alignment horizontal="center" wrapText="1"/>
    </xf>
    <xf numFmtId="0" fontId="16" fillId="0" borderId="6" xfId="0" applyFont="1" applyBorder="1" applyAlignment="1">
      <alignment horizontal="center"/>
    </xf>
    <xf numFmtId="0" fontId="0" fillId="0" borderId="0" xfId="0" applyAlignment="1">
      <alignment horizontal="center"/>
    </xf>
    <xf numFmtId="164" fontId="4" fillId="0" borderId="1" xfId="0" applyNumberFormat="1" applyFont="1" applyBorder="1" applyAlignment="1">
      <alignment horizontal="right" wrapText="1"/>
    </xf>
    <xf numFmtId="164" fontId="10" fillId="3" borderId="1" xfId="0" applyNumberFormat="1" applyFont="1" applyFill="1" applyBorder="1" applyAlignment="1">
      <alignment horizontal="right"/>
    </xf>
    <xf numFmtId="0" fontId="4" fillId="0" borderId="1" xfId="0" applyFont="1" applyBorder="1" applyAlignment="1">
      <alignment horizontal="right" wrapText="1"/>
    </xf>
    <xf numFmtId="0" fontId="4" fillId="0" borderId="2" xfId="0" applyFont="1" applyBorder="1" applyAlignment="1">
      <alignment vertical="center"/>
    </xf>
    <xf numFmtId="0" fontId="5" fillId="3" borderId="2" xfId="0" applyFont="1" applyFill="1" applyBorder="1" applyAlignment="1">
      <alignment vertical="center"/>
    </xf>
    <xf numFmtId="0" fontId="5" fillId="3" borderId="3" xfId="0" applyFont="1" applyFill="1" applyBorder="1" applyAlignment="1">
      <alignment vertical="center"/>
    </xf>
    <xf numFmtId="0" fontId="15" fillId="0" borderId="1" xfId="1" applyBorder="1" applyAlignment="1">
      <alignment horizontal="left" wrapText="1"/>
    </xf>
    <xf numFmtId="0" fontId="3" fillId="0" borderId="1" xfId="0" applyFont="1" applyBorder="1" applyAlignment="1">
      <alignment horizontal="left" vertical="center" wrapText="1"/>
    </xf>
    <xf numFmtId="0" fontId="4" fillId="0" borderId="8" xfId="0" applyFont="1" applyBorder="1" applyAlignment="1">
      <alignment horizontal="right" vertical="center"/>
    </xf>
    <xf numFmtId="0" fontId="26" fillId="0" borderId="1" xfId="0" applyFont="1" applyBorder="1" applyAlignment="1">
      <alignment vertical="center"/>
    </xf>
    <xf numFmtId="0" fontId="18" fillId="0" borderId="5" xfId="0" applyFont="1" applyBorder="1" applyAlignment="1">
      <alignment horizontal="center" vertical="center"/>
    </xf>
    <xf numFmtId="15" fontId="3" fillId="0" borderId="1" xfId="0" applyNumberFormat="1" applyFont="1" applyBorder="1" applyAlignment="1">
      <alignment horizontal="right" vertical="center"/>
    </xf>
    <xf numFmtId="15" fontId="3" fillId="0" borderId="1" xfId="0" applyNumberFormat="1" applyFont="1" applyBorder="1" applyAlignment="1">
      <alignment vertical="center" wrapText="1"/>
    </xf>
    <xf numFmtId="0" fontId="3" fillId="0" borderId="1" xfId="0" applyFont="1" applyBorder="1" applyAlignment="1">
      <alignment vertical="center" wrapText="1"/>
    </xf>
    <xf numFmtId="0" fontId="0" fillId="0" borderId="0" xfId="0" applyAlignment="1">
      <alignment vertical="center"/>
    </xf>
    <xf numFmtId="0" fontId="16" fillId="0" borderId="0" xfId="0" applyFont="1"/>
    <xf numFmtId="0" fontId="3" fillId="8" borderId="1" xfId="0" applyFont="1" applyFill="1" applyBorder="1" applyAlignment="1">
      <alignment vertical="center"/>
    </xf>
    <xf numFmtId="14" fontId="3" fillId="0" borderId="1" xfId="0" applyNumberFormat="1" applyFont="1" applyBorder="1" applyAlignment="1">
      <alignment horizontal="center" vertical="center"/>
    </xf>
    <xf numFmtId="15" fontId="3" fillId="0" borderId="1" xfId="0" applyNumberFormat="1" applyFont="1" applyBorder="1" applyAlignment="1">
      <alignment horizontal="center" vertical="center"/>
    </xf>
    <xf numFmtId="0" fontId="20" fillId="3" borderId="1" xfId="0" applyFont="1" applyFill="1" applyBorder="1" applyAlignment="1">
      <alignment vertical="center" wrapText="1"/>
    </xf>
    <xf numFmtId="0" fontId="3" fillId="0" borderId="0" xfId="0" applyFont="1" applyAlignment="1">
      <alignment wrapText="1"/>
    </xf>
    <xf numFmtId="0" fontId="0" fillId="0" borderId="0" xfId="0" applyAlignment="1">
      <alignment wrapText="1"/>
    </xf>
    <xf numFmtId="0" fontId="18" fillId="0" borderId="4" xfId="0" applyFont="1" applyBorder="1" applyAlignment="1">
      <alignment horizontal="center" wrapText="1"/>
    </xf>
    <xf numFmtId="0" fontId="0" fillId="0" borderId="5" xfId="0" applyBorder="1" applyAlignment="1">
      <alignment horizontal="left" vertical="center" wrapText="1"/>
    </xf>
    <xf numFmtId="0" fontId="18" fillId="0" borderId="9" xfId="0" applyFont="1" applyBorder="1" applyAlignment="1">
      <alignment horizontal="center" vertical="center"/>
    </xf>
    <xf numFmtId="0" fontId="26" fillId="0" borderId="1" xfId="0" applyFont="1" applyBorder="1"/>
    <xf numFmtId="0" fontId="26" fillId="0" borderId="2" xfId="0" applyFont="1" applyBorder="1" applyAlignment="1">
      <alignment vertical="center"/>
    </xf>
    <xf numFmtId="0" fontId="16" fillId="0" borderId="0" xfId="0" applyFont="1" applyAlignment="1">
      <alignment horizontal="center" vertical="center"/>
    </xf>
    <xf numFmtId="0" fontId="0" fillId="0" borderId="2" xfId="0" applyBorder="1" applyAlignment="1">
      <alignment horizontal="left" wrapText="1"/>
    </xf>
    <xf numFmtId="0" fontId="15" fillId="0" borderId="1" xfId="1" applyBorder="1" applyAlignment="1">
      <alignment horizontal="center" vertical="center" wrapText="1"/>
    </xf>
    <xf numFmtId="0" fontId="25" fillId="0" borderId="0" xfId="0" applyFont="1"/>
    <xf numFmtId="0" fontId="1" fillId="2" borderId="9" xfId="0" applyFont="1" applyFill="1" applyBorder="1" applyAlignment="1">
      <alignment horizontal="center" wrapText="1"/>
    </xf>
    <xf numFmtId="0" fontId="1" fillId="2" borderId="9" xfId="0" applyFont="1" applyFill="1" applyBorder="1" applyAlignment="1">
      <alignment wrapText="1"/>
    </xf>
    <xf numFmtId="0" fontId="1" fillId="6" borderId="9" xfId="0" applyFont="1" applyFill="1" applyBorder="1" applyAlignment="1">
      <alignment horizontal="center" wrapText="1"/>
    </xf>
    <xf numFmtId="0" fontId="1" fillId="4" borderId="9" xfId="0" applyFont="1" applyFill="1" applyBorder="1" applyAlignment="1">
      <alignment horizontal="center" wrapText="1"/>
    </xf>
    <xf numFmtId="0" fontId="4" fillId="0" borderId="8" xfId="0" applyFont="1" applyBorder="1" applyAlignment="1">
      <alignment horizontal="left" vertical="center"/>
    </xf>
    <xf numFmtId="0" fontId="5" fillId="3" borderId="2" xfId="0" applyFont="1" applyFill="1" applyBorder="1" applyAlignment="1">
      <alignment horizontal="left" vertical="center"/>
    </xf>
    <xf numFmtId="0" fontId="18" fillId="0" borderId="5" xfId="0" applyFont="1" applyBorder="1" applyAlignment="1">
      <alignment horizontal="left" vertical="center"/>
    </xf>
    <xf numFmtId="0" fontId="20" fillId="3" borderId="1" xfId="0" applyFont="1" applyFill="1" applyBorder="1" applyAlignment="1">
      <alignment horizontal="left" vertical="center" wrapText="1"/>
    </xf>
    <xf numFmtId="14" fontId="3" fillId="0" borderId="1" xfId="0" applyNumberFormat="1" applyFont="1" applyBorder="1" applyAlignment="1">
      <alignment horizontal="left" vertical="center"/>
    </xf>
    <xf numFmtId="14" fontId="3" fillId="0" borderId="6" xfId="0" applyNumberFormat="1" applyFont="1" applyBorder="1" applyAlignment="1">
      <alignment horizontal="left" vertical="center"/>
    </xf>
    <xf numFmtId="0" fontId="28" fillId="0" borderId="1" xfId="0" applyFont="1" applyBorder="1" applyAlignment="1">
      <alignment horizontal="left"/>
    </xf>
    <xf numFmtId="0" fontId="3" fillId="8" borderId="1" xfId="0" applyFont="1" applyFill="1" applyBorder="1" applyAlignment="1">
      <alignment horizontal="left" vertical="center"/>
    </xf>
    <xf numFmtId="0" fontId="18" fillId="0" borderId="9" xfId="0" applyFont="1" applyBorder="1" applyAlignment="1">
      <alignment horizontal="left" vertical="center"/>
    </xf>
    <xf numFmtId="15" fontId="3" fillId="0" borderId="1" xfId="0" applyNumberFormat="1" applyFont="1" applyBorder="1" applyAlignment="1">
      <alignment horizontal="left" vertical="center"/>
    </xf>
    <xf numFmtId="0" fontId="28" fillId="0" borderId="0" xfId="0" applyFont="1" applyAlignment="1">
      <alignment horizontal="left"/>
    </xf>
    <xf numFmtId="15" fontId="3" fillId="0" borderId="1" xfId="0" applyNumberFormat="1" applyFont="1" applyBorder="1" applyAlignment="1">
      <alignment horizontal="left" vertical="center" wrapText="1"/>
    </xf>
    <xf numFmtId="0" fontId="3" fillId="0" borderId="2" xfId="0" applyFont="1" applyBorder="1" applyAlignment="1">
      <alignment horizontal="left" vertical="center"/>
    </xf>
    <xf numFmtId="0" fontId="4" fillId="0" borderId="8" xfId="0" applyFont="1" applyBorder="1" applyAlignment="1">
      <alignment horizontal="left"/>
    </xf>
    <xf numFmtId="0" fontId="15" fillId="0" borderId="0" xfId="1" applyAlignment="1">
      <alignment horizontal="left" wrapText="1"/>
    </xf>
    <xf numFmtId="0" fontId="3" fillId="8" borderId="6" xfId="0" applyFont="1" applyFill="1" applyBorder="1" applyAlignment="1">
      <alignment horizontal="left" vertical="center"/>
    </xf>
    <xf numFmtId="0" fontId="27" fillId="0" borderId="1" xfId="0" applyFont="1" applyBorder="1" applyAlignment="1">
      <alignment horizontal="left" wrapText="1"/>
    </xf>
    <xf numFmtId="0" fontId="5" fillId="3" borderId="2" xfId="0" applyFont="1" applyFill="1" applyBorder="1" applyAlignment="1">
      <alignment horizontal="left" vertical="center" wrapText="1"/>
    </xf>
    <xf numFmtId="0" fontId="15" fillId="0" borderId="1" xfId="1" applyBorder="1" applyAlignment="1">
      <alignment horizontal="left" vertical="center" wrapText="1"/>
    </xf>
    <xf numFmtId="0" fontId="27" fillId="0" borderId="0" xfId="0" applyFont="1" applyAlignment="1">
      <alignment horizontal="left" wrapText="1"/>
    </xf>
    <xf numFmtId="0" fontId="28" fillId="0" borderId="0" xfId="0" applyFont="1"/>
    <xf numFmtId="0" fontId="3" fillId="0" borderId="1" xfId="0" applyFont="1" applyBorder="1" applyAlignment="1">
      <alignment horizontal="left" vertical="top" wrapText="1"/>
    </xf>
    <xf numFmtId="0" fontId="5" fillId="3" borderId="1" xfId="0" applyFont="1" applyFill="1" applyBorder="1" applyAlignment="1">
      <alignment horizontal="center" vertical="center"/>
    </xf>
    <xf numFmtId="0" fontId="0" fillId="0" borderId="0" xfId="0" applyAlignment="1">
      <alignment horizontal="center" vertical="center"/>
    </xf>
    <xf numFmtId="0" fontId="2" fillId="0" borderId="1" xfId="0" applyFont="1" applyBorder="1" applyAlignment="1">
      <alignment wrapText="1"/>
    </xf>
    <xf numFmtId="0" fontId="0" fillId="0" borderId="1" xfId="0" applyBorder="1" applyAlignment="1">
      <alignment horizontal="left" vertical="top" wrapText="1"/>
    </xf>
    <xf numFmtId="0" fontId="1" fillId="2" borderId="0" xfId="0" applyFont="1" applyFill="1" applyAlignment="1">
      <alignment horizontal="center" vertical="center" wrapText="1"/>
    </xf>
    <xf numFmtId="0" fontId="4" fillId="0" borderId="1" xfId="0" applyFont="1" applyBorder="1" applyAlignment="1">
      <alignment horizontal="center" vertical="center"/>
    </xf>
    <xf numFmtId="0" fontId="0" fillId="0" borderId="1" xfId="0" applyBorder="1" applyAlignment="1">
      <alignment horizontal="left" wrapText="1"/>
    </xf>
    <xf numFmtId="0" fontId="16" fillId="0" borderId="1" xfId="0" applyFont="1" applyBorder="1" applyAlignment="1">
      <alignment vertical="center"/>
    </xf>
    <xf numFmtId="0" fontId="1" fillId="2" borderId="0" xfId="0" applyFont="1" applyFill="1" applyAlignment="1">
      <alignment vertical="center" wrapText="1"/>
    </xf>
    <xf numFmtId="0" fontId="19" fillId="2" borderId="2" xfId="0" applyFont="1" applyFill="1" applyBorder="1" applyAlignment="1">
      <alignment vertical="center" wrapText="1"/>
    </xf>
    <xf numFmtId="0" fontId="5" fillId="3" borderId="1" xfId="0" applyFont="1" applyFill="1" applyBorder="1" applyAlignment="1">
      <alignment horizontal="left" vertical="center"/>
    </xf>
    <xf numFmtId="0" fontId="18" fillId="0" borderId="1" xfId="0" applyFont="1" applyBorder="1" applyAlignment="1">
      <alignment horizontal="left" vertical="center"/>
    </xf>
    <xf numFmtId="0" fontId="18" fillId="0" borderId="1" xfId="0" applyFont="1" applyBorder="1" applyAlignment="1">
      <alignment horizontal="left" vertical="center" wrapText="1"/>
    </xf>
    <xf numFmtId="0" fontId="1" fillId="2" borderId="2" xfId="0" applyFont="1" applyFill="1" applyBorder="1" applyAlignment="1">
      <alignment horizontal="center" vertical="center" wrapText="1"/>
    </xf>
    <xf numFmtId="0" fontId="4" fillId="0" borderId="3" xfId="0" applyFont="1" applyBorder="1" applyAlignment="1">
      <alignment horizontal="center" vertical="center"/>
    </xf>
    <xf numFmtId="0" fontId="1" fillId="2" borderId="2" xfId="0" applyFont="1" applyFill="1" applyBorder="1" applyAlignment="1">
      <alignment horizontal="left" wrapText="1"/>
    </xf>
    <xf numFmtId="0" fontId="4" fillId="0" borderId="0" xfId="0" applyFont="1" applyAlignment="1">
      <alignment horizontal="left"/>
    </xf>
    <xf numFmtId="0" fontId="1" fillId="2" borderId="0" xfId="0" applyFont="1" applyFill="1" applyAlignment="1">
      <alignment wrapText="1"/>
    </xf>
    <xf numFmtId="0" fontId="1" fillId="2" borderId="1" xfId="0" applyFont="1" applyFill="1" applyBorder="1" applyAlignment="1">
      <alignment wrapText="1"/>
    </xf>
    <xf numFmtId="0" fontId="19" fillId="2" borderId="2" xfId="0" applyFont="1" applyFill="1" applyBorder="1" applyAlignment="1">
      <alignment wrapText="1"/>
    </xf>
    <xf numFmtId="0" fontId="15" fillId="0" borderId="1" xfId="1" applyBorder="1" applyAlignment="1">
      <alignment wrapText="1"/>
    </xf>
    <xf numFmtId="15" fontId="3" fillId="0" borderId="1" xfId="0" applyNumberFormat="1" applyFont="1" applyBorder="1" applyAlignment="1">
      <alignment vertical="center"/>
    </xf>
    <xf numFmtId="0" fontId="28" fillId="0" borderId="1" xfId="0" applyFont="1" applyBorder="1"/>
    <xf numFmtId="0" fontId="0" fillId="0" borderId="1" xfId="0" applyBorder="1" applyAlignment="1">
      <alignment vertical="center"/>
    </xf>
    <xf numFmtId="0" fontId="21" fillId="0" borderId="1" xfId="0" applyFont="1" applyBorder="1" applyAlignment="1">
      <alignment vertical="center"/>
    </xf>
    <xf numFmtId="0" fontId="15" fillId="0" borderId="1" xfId="1" applyBorder="1" applyAlignment="1">
      <alignment vertical="center" wrapText="1"/>
    </xf>
    <xf numFmtId="14" fontId="0" fillId="0" borderId="1" xfId="0" applyNumberFormat="1" applyBorder="1" applyAlignment="1">
      <alignment vertical="center"/>
    </xf>
    <xf numFmtId="14" fontId="3" fillId="0" borderId="1" xfId="0" applyNumberFormat="1" applyFont="1" applyBorder="1" applyAlignment="1">
      <alignment vertical="center"/>
    </xf>
    <xf numFmtId="0" fontId="4" fillId="0" borderId="3" xfId="0" applyFont="1" applyBorder="1" applyAlignment="1">
      <alignment vertical="center"/>
    </xf>
    <xf numFmtId="0" fontId="1" fillId="4" borderId="0" xfId="0" applyFont="1" applyFill="1" applyAlignment="1">
      <alignment wrapText="1"/>
    </xf>
    <xf numFmtId="0" fontId="19" fillId="4" borderId="2" xfId="0" applyFont="1" applyFill="1" applyBorder="1" applyAlignment="1">
      <alignment wrapText="1"/>
    </xf>
    <xf numFmtId="0" fontId="27" fillId="0" borderId="1" xfId="0" applyFont="1" applyBorder="1" applyAlignment="1">
      <alignment wrapText="1"/>
    </xf>
    <xf numFmtId="0" fontId="20" fillId="3" borderId="1" xfId="0" applyFont="1" applyFill="1" applyBorder="1" applyAlignment="1">
      <alignment horizontal="right" wrapText="1"/>
    </xf>
    <xf numFmtId="0" fontId="3" fillId="0" borderId="1" xfId="0" applyFont="1" applyBorder="1" applyAlignment="1">
      <alignment horizontal="right" wrapText="1"/>
    </xf>
    <xf numFmtId="0" fontId="4" fillId="0" borderId="3" xfId="0" applyFont="1" applyBorder="1" applyAlignment="1">
      <alignment horizontal="right" wrapText="1"/>
    </xf>
    <xf numFmtId="0" fontId="4" fillId="0" borderId="0" xfId="0" applyFont="1" applyAlignment="1">
      <alignment horizontal="right" wrapText="1"/>
    </xf>
    <xf numFmtId="0" fontId="0" fillId="0" borderId="1" xfId="0" applyBorder="1" applyAlignment="1">
      <alignment wrapText="1"/>
    </xf>
    <xf numFmtId="0" fontId="0" fillId="0" borderId="2" xfId="0" applyBorder="1" applyAlignment="1">
      <alignment horizontal="left"/>
    </xf>
    <xf numFmtId="0" fontId="0" fillId="0" borderId="2" xfId="0" applyBorder="1"/>
    <xf numFmtId="0" fontId="4" fillId="0" borderId="2" xfId="0" applyFont="1" applyBorder="1"/>
    <xf numFmtId="0" fontId="4" fillId="0" borderId="2" xfId="0" applyFont="1" applyBorder="1" applyAlignment="1">
      <alignment horizontal="left"/>
    </xf>
    <xf numFmtId="0" fontId="4" fillId="0" borderId="2" xfId="0" applyFont="1" applyBorder="1" applyAlignment="1">
      <alignment horizontal="center" vertical="center"/>
    </xf>
    <xf numFmtId="0" fontId="4" fillId="0" borderId="11" xfId="0" applyFont="1" applyBorder="1" applyAlignment="1">
      <alignment wrapText="1"/>
    </xf>
    <xf numFmtId="0" fontId="4" fillId="0" borderId="2" xfId="0" applyFont="1" applyBorder="1" applyAlignment="1">
      <alignment wrapText="1"/>
    </xf>
    <xf numFmtId="0" fontId="4" fillId="0" borderId="2" xfId="0" applyFont="1" applyBorder="1" applyAlignment="1">
      <alignment horizontal="right" wrapText="1"/>
    </xf>
    <xf numFmtId="0" fontId="4" fillId="0" borderId="1" xfId="0" applyFont="1" applyBorder="1" applyAlignment="1">
      <alignment horizontal="left" vertical="center" wrapText="1"/>
    </xf>
    <xf numFmtId="0" fontId="0" fillId="0" borderId="3" xfId="0" applyBorder="1"/>
    <xf numFmtId="0" fontId="0" fillId="0" borderId="5" xfId="0" applyBorder="1"/>
    <xf numFmtId="0" fontId="0" fillId="0" borderId="1" xfId="0" applyBorder="1" applyAlignment="1">
      <alignment horizontal="center" vertical="center"/>
    </xf>
    <xf numFmtId="0" fontId="0" fillId="0" borderId="2" xfId="0" applyBorder="1" applyAlignment="1">
      <alignment vertical="center"/>
    </xf>
    <xf numFmtId="0" fontId="4" fillId="0" borderId="1" xfId="0" applyFont="1" applyBorder="1" applyAlignment="1">
      <alignment horizontal="right" vertical="center" wrapText="1"/>
    </xf>
    <xf numFmtId="0" fontId="15" fillId="0" borderId="1" xfId="1" applyBorder="1" applyAlignment="1">
      <alignment vertical="top" wrapText="1"/>
    </xf>
    <xf numFmtId="14" fontId="4" fillId="0" borderId="1" xfId="0" applyNumberFormat="1" applyFont="1" applyBorder="1" applyAlignment="1">
      <alignment vertical="center"/>
    </xf>
    <xf numFmtId="14" fontId="16" fillId="0" borderId="1" xfId="0" applyNumberFormat="1" applyFont="1" applyBorder="1" applyAlignment="1">
      <alignment vertical="center"/>
    </xf>
    <xf numFmtId="0" fontId="1" fillId="2" borderId="1" xfId="0" applyFont="1" applyFill="1" applyBorder="1" applyAlignment="1">
      <alignment horizontal="center" vertical="center" wrapText="1"/>
    </xf>
    <xf numFmtId="0" fontId="19" fillId="2" borderId="1" xfId="0" applyFont="1" applyFill="1" applyBorder="1" applyAlignment="1">
      <alignment horizontal="left" wrapText="1"/>
    </xf>
    <xf numFmtId="0" fontId="19" fillId="2" borderId="1" xfId="0" applyFont="1" applyFill="1" applyBorder="1" applyAlignment="1">
      <alignment horizontal="center" wrapText="1"/>
    </xf>
    <xf numFmtId="0" fontId="19" fillId="2" borderId="1" xfId="0" applyFont="1" applyFill="1" applyBorder="1" applyAlignment="1">
      <alignment horizontal="right" wrapText="1"/>
    </xf>
    <xf numFmtId="0" fontId="19" fillId="2" borderId="1" xfId="0" applyFont="1" applyFill="1" applyBorder="1" applyAlignment="1">
      <alignment wrapText="1"/>
    </xf>
    <xf numFmtId="0" fontId="19" fillId="2" borderId="1" xfId="0" applyFont="1" applyFill="1" applyBorder="1" applyAlignment="1">
      <alignment vertical="center" wrapText="1"/>
    </xf>
    <xf numFmtId="0" fontId="19" fillId="4" borderId="1" xfId="0" applyFont="1" applyFill="1" applyBorder="1" applyAlignment="1">
      <alignment wrapText="1"/>
    </xf>
    <xf numFmtId="0" fontId="16" fillId="0" borderId="1" xfId="0" applyFont="1" applyBorder="1" applyAlignment="1">
      <alignment wrapText="1"/>
    </xf>
    <xf numFmtId="0" fontId="0" fillId="0" borderId="9" xfId="0" applyBorder="1"/>
    <xf numFmtId="0" fontId="1" fillId="2" borderId="2" xfId="0" applyFont="1" applyFill="1" applyBorder="1" applyAlignment="1">
      <alignment wrapText="1"/>
    </xf>
    <xf numFmtId="0" fontId="4" fillId="0" borderId="0" xfId="0" applyFont="1" applyAlignment="1">
      <alignment vertical="center"/>
    </xf>
    <xf numFmtId="0" fontId="0" fillId="0" borderId="6" xfId="0" applyBorder="1"/>
    <xf numFmtId="0" fontId="0" fillId="0" borderId="6" xfId="0" applyBorder="1" applyAlignment="1">
      <alignment vertical="center"/>
    </xf>
    <xf numFmtId="0" fontId="0" fillId="0" borderId="9" xfId="0" applyBorder="1" applyAlignment="1">
      <alignment vertical="center"/>
    </xf>
    <xf numFmtId="0" fontId="0" fillId="0" borderId="5" xfId="0" applyBorder="1" applyAlignment="1">
      <alignment vertical="center"/>
    </xf>
    <xf numFmtId="0" fontId="0" fillId="0" borderId="11" xfId="0" applyBorder="1"/>
    <xf numFmtId="0" fontId="0" fillId="0" borderId="11" xfId="0" applyBorder="1" applyAlignment="1">
      <alignment vertical="center"/>
    </xf>
    <xf numFmtId="0" fontId="4" fillId="8" borderId="1" xfId="0" applyFont="1" applyFill="1" applyBorder="1" applyAlignment="1">
      <alignment horizontal="right" wrapText="1"/>
    </xf>
    <xf numFmtId="0" fontId="4" fillId="8" borderId="1" xfId="0" applyFont="1" applyFill="1" applyBorder="1" applyAlignment="1">
      <alignment horizontal="right" vertical="center" wrapText="1"/>
    </xf>
    <xf numFmtId="0" fontId="4" fillId="9" borderId="1" xfId="0" applyFont="1" applyFill="1" applyBorder="1" applyAlignment="1">
      <alignment horizontal="right" wrapText="1"/>
    </xf>
    <xf numFmtId="14" fontId="4" fillId="0" borderId="1" xfId="0" applyNumberFormat="1" applyFont="1" applyBorder="1"/>
    <xf numFmtId="0" fontId="30" fillId="0" borderId="0" xfId="0" applyFont="1" applyAlignment="1">
      <alignment vertical="top" wrapText="1"/>
    </xf>
    <xf numFmtId="0" fontId="0" fillId="0" borderId="0" xfId="0" applyAlignment="1">
      <alignment horizontal="left" vertical="center"/>
    </xf>
    <xf numFmtId="0" fontId="0" fillId="0" borderId="2" xfId="0" applyBorder="1" applyAlignment="1">
      <alignment horizontal="left" vertical="center"/>
    </xf>
    <xf numFmtId="0" fontId="16" fillId="0" borderId="2" xfId="0" applyFont="1" applyBorder="1" applyAlignment="1">
      <alignment horizontal="left" vertical="center"/>
    </xf>
    <xf numFmtId="0" fontId="4" fillId="0" borderId="2" xfId="0" applyFont="1" applyBorder="1" applyAlignment="1">
      <alignment horizontal="left" vertical="center" wrapText="1"/>
    </xf>
    <xf numFmtId="0" fontId="0" fillId="0" borderId="3" xfId="0" applyBorder="1" applyAlignment="1">
      <alignment horizontal="left" vertical="center"/>
    </xf>
    <xf numFmtId="0" fontId="5" fillId="3" borderId="3" xfId="0" applyFont="1" applyFill="1" applyBorder="1" applyAlignment="1">
      <alignment horizontal="left" vertical="center"/>
    </xf>
    <xf numFmtId="0" fontId="4" fillId="0" borderId="3" xfId="0" applyFont="1" applyBorder="1" applyAlignment="1">
      <alignment horizontal="left" vertical="center"/>
    </xf>
    <xf numFmtId="0" fontId="2" fillId="0" borderId="3" xfId="0" applyFont="1" applyBorder="1" applyAlignment="1">
      <alignment horizontal="left" vertical="center" wrapText="1"/>
    </xf>
    <xf numFmtId="0" fontId="4" fillId="0" borderId="3" xfId="0" applyFont="1" applyBorder="1" applyAlignment="1">
      <alignment horizontal="left" vertical="center" wrapText="1"/>
    </xf>
    <xf numFmtId="0" fontId="3" fillId="0" borderId="3" xfId="0" applyFont="1" applyBorder="1" applyAlignment="1">
      <alignment horizontal="left" vertical="center"/>
    </xf>
    <xf numFmtId="14" fontId="4" fillId="0" borderId="3" xfId="0" applyNumberFormat="1" applyFont="1" applyBorder="1"/>
    <xf numFmtId="14" fontId="0" fillId="0" borderId="3" xfId="0" applyNumberFormat="1" applyBorder="1"/>
    <xf numFmtId="0" fontId="0" fillId="0" borderId="3" xfId="0" applyBorder="1" applyAlignment="1">
      <alignment vertical="center"/>
    </xf>
    <xf numFmtId="15" fontId="31" fillId="8" borderId="1" xfId="0" applyNumberFormat="1" applyFont="1" applyFill="1" applyBorder="1" applyAlignment="1">
      <alignment vertical="center"/>
    </xf>
    <xf numFmtId="0" fontId="4" fillId="0" borderId="2" xfId="0" applyFont="1" applyBorder="1" applyAlignment="1">
      <alignment horizontal="left" vertical="center"/>
    </xf>
    <xf numFmtId="0" fontId="15" fillId="0" borderId="2" xfId="1" applyBorder="1" applyAlignment="1">
      <alignment wrapText="1"/>
    </xf>
    <xf numFmtId="0" fontId="16" fillId="0" borderId="6" xfId="0" applyFont="1" applyBorder="1"/>
    <xf numFmtId="0" fontId="0" fillId="0" borderId="12" xfId="0" applyBorder="1"/>
    <xf numFmtId="0" fontId="32" fillId="0" borderId="1" xfId="0" applyFont="1" applyBorder="1"/>
    <xf numFmtId="0" fontId="33" fillId="0" borderId="1" xfId="0" applyFont="1" applyBorder="1" applyAlignment="1">
      <alignment horizontal="left" vertical="center"/>
    </xf>
    <xf numFmtId="0" fontId="34" fillId="3" borderId="1" xfId="0" applyFont="1" applyFill="1" applyBorder="1" applyAlignment="1">
      <alignment horizontal="left" vertical="center"/>
    </xf>
    <xf numFmtId="0" fontId="18" fillId="0" borderId="1" xfId="0" applyFont="1" applyBorder="1"/>
    <xf numFmtId="0" fontId="33" fillId="0" borderId="1" xfId="0" applyFont="1" applyBorder="1" applyAlignment="1">
      <alignment vertical="center"/>
    </xf>
    <xf numFmtId="0" fontId="15" fillId="0" borderId="1" xfId="1" applyBorder="1" applyAlignment="1">
      <alignment horizontal="left" vertical="top" wrapText="1"/>
    </xf>
    <xf numFmtId="0" fontId="4" fillId="0" borderId="1" xfId="0" applyFont="1" applyBorder="1" applyAlignment="1">
      <alignment vertical="top" wrapText="1"/>
    </xf>
    <xf numFmtId="0" fontId="18" fillId="0" borderId="1" xfId="0" applyFont="1" applyBorder="1" applyAlignment="1">
      <alignment vertical="top" wrapText="1"/>
    </xf>
    <xf numFmtId="14" fontId="18" fillId="0" borderId="1" xfId="0" applyNumberFormat="1" applyFont="1" applyBorder="1" applyAlignment="1">
      <alignment horizontal="left" vertical="center"/>
    </xf>
    <xf numFmtId="0" fontId="16" fillId="0" borderId="1" xfId="0" applyFont="1" applyBorder="1" applyAlignment="1">
      <alignment horizontal="left" vertical="center"/>
    </xf>
    <xf numFmtId="14" fontId="4" fillId="0" borderId="1" xfId="0" applyNumberFormat="1" applyFont="1" applyBorder="1" applyAlignment="1">
      <alignment horizontal="left" vertical="center"/>
    </xf>
    <xf numFmtId="16" fontId="4" fillId="0" borderId="1" xfId="0" applyNumberFormat="1" applyFont="1" applyBorder="1" applyAlignment="1">
      <alignment horizontal="left" vertical="center"/>
    </xf>
    <xf numFmtId="0" fontId="33" fillId="0" borderId="0" xfId="0" applyFont="1"/>
    <xf numFmtId="0" fontId="33" fillId="0" borderId="0" xfId="0" applyFont="1" applyAlignment="1">
      <alignment vertical="center"/>
    </xf>
    <xf numFmtId="0" fontId="18" fillId="0" borderId="0" xfId="0" applyFont="1" applyAlignment="1">
      <alignment vertical="center"/>
    </xf>
    <xf numFmtId="49" fontId="3" fillId="0" borderId="6" xfId="0" applyNumberFormat="1" applyFont="1" applyBorder="1" applyAlignment="1">
      <alignment horizontal="center" vertical="center"/>
    </xf>
    <xf numFmtId="49" fontId="3" fillId="0" borderId="1" xfId="0" applyNumberFormat="1" applyFont="1" applyBorder="1" applyAlignment="1">
      <alignment horizontal="center" vertical="center"/>
    </xf>
    <xf numFmtId="0" fontId="33" fillId="0" borderId="1" xfId="0" applyFont="1" applyBorder="1" applyAlignment="1">
      <alignment horizontal="left" vertical="center" wrapText="1"/>
    </xf>
    <xf numFmtId="0" fontId="0" fillId="3" borderId="1" xfId="0" applyFill="1" applyBorder="1" applyAlignment="1">
      <alignment horizontal="left" vertical="center" wrapText="1"/>
    </xf>
    <xf numFmtId="164" fontId="3" fillId="0" borderId="1" xfId="0" applyNumberFormat="1" applyFont="1" applyBorder="1" applyAlignment="1">
      <alignment horizontal="left" vertical="center"/>
    </xf>
    <xf numFmtId="0" fontId="23" fillId="3" borderId="1" xfId="0" applyFont="1" applyFill="1" applyBorder="1" applyAlignment="1">
      <alignment horizontal="left" vertical="center" wrapText="1"/>
    </xf>
    <xf numFmtId="16" fontId="0" fillId="0" borderId="1" xfId="0" applyNumberFormat="1" applyBorder="1" applyAlignment="1">
      <alignment horizontal="left" vertical="center"/>
    </xf>
    <xf numFmtId="16" fontId="24" fillId="0" borderId="1" xfId="0" applyNumberFormat="1" applyFont="1" applyBorder="1" applyAlignment="1">
      <alignment horizontal="left" vertical="center"/>
    </xf>
    <xf numFmtId="16" fontId="25" fillId="0" borderId="1" xfId="0" applyNumberFormat="1" applyFont="1" applyBorder="1" applyAlignment="1">
      <alignment horizontal="left" vertical="center"/>
    </xf>
    <xf numFmtId="0" fontId="36" fillId="0" borderId="1" xfId="0" applyFont="1" applyBorder="1" applyAlignment="1">
      <alignment vertical="center"/>
    </xf>
    <xf numFmtId="0" fontId="2" fillId="0" borderId="1" xfId="0" applyFont="1" applyBorder="1" applyAlignment="1">
      <alignment horizontal="left" vertical="center" wrapText="1"/>
    </xf>
    <xf numFmtId="0" fontId="34" fillId="3" borderId="1" xfId="0" applyFont="1" applyFill="1" applyBorder="1" applyAlignment="1">
      <alignment horizontal="left" vertical="center" wrapText="1"/>
    </xf>
    <xf numFmtId="14" fontId="16" fillId="0" borderId="1" xfId="0" applyNumberFormat="1" applyFont="1" applyBorder="1" applyAlignment="1">
      <alignment horizontal="left" vertical="center"/>
    </xf>
    <xf numFmtId="0" fontId="33" fillId="0" borderId="1" xfId="0" applyFont="1" applyBorder="1" applyAlignment="1">
      <alignment horizontal="center" vertical="center"/>
    </xf>
    <xf numFmtId="0" fontId="36" fillId="0" borderId="2" xfId="0" applyFont="1" applyBorder="1" applyAlignment="1">
      <alignment vertical="center"/>
    </xf>
    <xf numFmtId="0" fontId="18" fillId="0" borderId="1" xfId="0" applyFont="1" applyBorder="1" applyAlignment="1">
      <alignment vertical="center"/>
    </xf>
    <xf numFmtId="0" fontId="0" fillId="0" borderId="2" xfId="0" applyBorder="1" applyAlignment="1">
      <alignment horizontal="left" vertical="center" wrapText="1"/>
    </xf>
    <xf numFmtId="14" fontId="4" fillId="0" borderId="2" xfId="0" applyNumberFormat="1" applyFont="1" applyBorder="1" applyAlignment="1">
      <alignment vertical="center"/>
    </xf>
    <xf numFmtId="14" fontId="0" fillId="0" borderId="2" xfId="0" applyNumberFormat="1" applyBorder="1" applyAlignment="1">
      <alignment vertical="center"/>
    </xf>
    <xf numFmtId="14" fontId="4" fillId="0" borderId="2" xfId="0" applyNumberFormat="1" applyFont="1" applyBorder="1" applyAlignment="1">
      <alignment horizontal="left" vertical="center"/>
    </xf>
    <xf numFmtId="0" fontId="18" fillId="0" borderId="2" xfId="0" applyFont="1" applyBorder="1" applyAlignment="1">
      <alignment vertical="center"/>
    </xf>
    <xf numFmtId="0" fontId="4" fillId="0" borderId="2" xfId="0" applyFont="1" applyBorder="1" applyAlignment="1">
      <alignment horizontal="center" vertical="center" wrapText="1"/>
    </xf>
    <xf numFmtId="0" fontId="15" fillId="0" borderId="6" xfId="1" applyBorder="1" applyAlignment="1">
      <alignment vertical="top" wrapText="1"/>
    </xf>
    <xf numFmtId="0" fontId="15" fillId="0" borderId="11" xfId="1" applyBorder="1" applyAlignment="1">
      <alignment vertical="top" wrapText="1"/>
    </xf>
    <xf numFmtId="0" fontId="3" fillId="0" borderId="2" xfId="0" applyFont="1" applyBorder="1" applyAlignment="1">
      <alignment vertical="center"/>
    </xf>
    <xf numFmtId="0" fontId="4" fillId="0" borderId="2" xfId="0" applyFont="1" applyBorder="1" applyAlignment="1">
      <alignment vertical="center" wrapText="1"/>
    </xf>
    <xf numFmtId="14" fontId="18" fillId="0" borderId="2" xfId="0" applyNumberFormat="1" applyFont="1" applyBorder="1" applyAlignment="1">
      <alignment horizontal="left" vertical="center"/>
    </xf>
    <xf numFmtId="0" fontId="0" fillId="0" borderId="1" xfId="0" applyBorder="1" applyAlignment="1">
      <alignment vertical="center" wrapText="1"/>
    </xf>
    <xf numFmtId="0" fontId="33" fillId="0" borderId="2" xfId="0" applyFont="1" applyBorder="1" applyAlignment="1">
      <alignment horizontal="center" vertical="center"/>
    </xf>
    <xf numFmtId="0" fontId="4" fillId="0" borderId="0" xfId="0" applyFont="1" applyAlignment="1">
      <alignment horizontal="left" vertical="center"/>
    </xf>
    <xf numFmtId="0" fontId="36" fillId="0" borderId="0" xfId="0" applyFont="1" applyAlignment="1">
      <alignment vertical="center"/>
    </xf>
    <xf numFmtId="0" fontId="4" fillId="0" borderId="0" xfId="0" applyFont="1" applyAlignment="1">
      <alignment vertical="center" wrapText="1"/>
    </xf>
    <xf numFmtId="0" fontId="0" fillId="0" borderId="0" xfId="0" applyAlignment="1">
      <alignment vertical="center" wrapText="1"/>
    </xf>
    <xf numFmtId="0" fontId="1" fillId="2" borderId="1" xfId="0" applyFont="1" applyFill="1" applyBorder="1" applyAlignment="1">
      <alignment vertical="center" wrapText="1"/>
    </xf>
    <xf numFmtId="0" fontId="1" fillId="4" borderId="1" xfId="0" applyFont="1" applyFill="1" applyBorder="1" applyAlignment="1">
      <alignment wrapText="1"/>
    </xf>
    <xf numFmtId="165" fontId="3" fillId="0" borderId="1" xfId="0" applyNumberFormat="1" applyFont="1" applyBorder="1" applyAlignment="1">
      <alignment vertical="center"/>
    </xf>
    <xf numFmtId="14" fontId="18" fillId="0" borderId="6" xfId="0" applyNumberFormat="1" applyFont="1" applyBorder="1" applyAlignment="1">
      <alignment horizontal="left" vertical="center"/>
    </xf>
    <xf numFmtId="0" fontId="0" fillId="0" borderId="5" xfId="0" applyBorder="1" applyAlignment="1">
      <alignment wrapText="1"/>
    </xf>
    <xf numFmtId="0" fontId="0" fillId="0" borderId="2" xfId="0" applyBorder="1" applyAlignment="1">
      <alignment horizontal="center" vertical="center"/>
    </xf>
    <xf numFmtId="0" fontId="2" fillId="0" borderId="1" xfId="0" applyFont="1" applyBorder="1" applyAlignment="1">
      <alignment vertical="center" wrapText="1"/>
    </xf>
    <xf numFmtId="0" fontId="0" fillId="0" borderId="2" xfId="0" applyBorder="1" applyAlignment="1">
      <alignment vertical="center" wrapText="1"/>
    </xf>
    <xf numFmtId="0" fontId="15" fillId="0" borderId="2" xfId="1" applyBorder="1" applyAlignment="1">
      <alignment vertical="top" wrapText="1"/>
    </xf>
    <xf numFmtId="0" fontId="2" fillId="0" borderId="2" xfId="0" applyFont="1" applyBorder="1" applyAlignment="1">
      <alignment horizontal="left" vertical="center" wrapText="1"/>
    </xf>
    <xf numFmtId="14" fontId="38" fillId="0" borderId="2" xfId="0" applyNumberFormat="1" applyFont="1" applyBorder="1" applyAlignment="1">
      <alignment horizontal="left" vertical="top" wrapText="1"/>
    </xf>
    <xf numFmtId="0" fontId="0" fillId="0" borderId="2" xfId="0" applyBorder="1" applyAlignment="1">
      <alignment wrapText="1"/>
    </xf>
    <xf numFmtId="0" fontId="33" fillId="0" borderId="2" xfId="0" applyFont="1" applyBorder="1" applyAlignment="1">
      <alignment vertical="center"/>
    </xf>
    <xf numFmtId="0" fontId="16" fillId="0" borderId="0" xfId="0" applyFont="1" applyAlignment="1">
      <alignment vertical="center"/>
    </xf>
    <xf numFmtId="14" fontId="4" fillId="0" borderId="6" xfId="0" applyNumberFormat="1" applyFont="1" applyBorder="1" applyAlignment="1">
      <alignment vertical="center"/>
    </xf>
    <xf numFmtId="14" fontId="18" fillId="0" borderId="5" xfId="0" applyNumberFormat="1" applyFont="1" applyBorder="1" applyAlignment="1">
      <alignment horizontal="left" vertical="center"/>
    </xf>
    <xf numFmtId="16" fontId="25" fillId="0" borderId="2" xfId="0" applyNumberFormat="1" applyFont="1" applyBorder="1" applyAlignment="1">
      <alignment horizontal="left" vertical="center"/>
    </xf>
    <xf numFmtId="49" fontId="3" fillId="0" borderId="2" xfId="0" applyNumberFormat="1" applyFont="1" applyBorder="1" applyAlignment="1">
      <alignment horizontal="center" vertical="center"/>
    </xf>
    <xf numFmtId="0" fontId="3" fillId="0" borderId="2" xfId="0" applyFont="1" applyBorder="1" applyAlignment="1">
      <alignment vertical="center" wrapText="1"/>
    </xf>
    <xf numFmtId="165" fontId="3" fillId="0" borderId="2" xfId="0" applyNumberFormat="1" applyFont="1" applyBorder="1" applyAlignment="1">
      <alignment vertical="center"/>
    </xf>
    <xf numFmtId="14" fontId="38" fillId="0" borderId="1" xfId="0" applyNumberFormat="1" applyFont="1" applyBorder="1" applyAlignment="1">
      <alignment horizontal="left" vertical="top" wrapText="1"/>
    </xf>
    <xf numFmtId="0" fontId="40" fillId="0" borderId="1" xfId="0" applyFont="1" applyBorder="1" applyAlignment="1">
      <alignment wrapText="1"/>
    </xf>
    <xf numFmtId="0" fontId="1" fillId="2" borderId="6" xfId="0" applyFont="1" applyFill="1" applyBorder="1" applyAlignment="1">
      <alignment horizontal="center" vertical="center" wrapText="1"/>
    </xf>
    <xf numFmtId="0" fontId="33" fillId="0" borderId="11" xfId="0" applyFont="1" applyBorder="1" applyAlignment="1">
      <alignment horizontal="center" vertical="center"/>
    </xf>
    <xf numFmtId="0" fontId="1" fillId="2" borderId="2" xfId="0" applyFont="1" applyFill="1" applyBorder="1" applyAlignment="1">
      <alignment horizontal="right" wrapText="1"/>
    </xf>
    <xf numFmtId="0" fontId="1" fillId="2" borderId="2" xfId="0" applyFont="1" applyFill="1" applyBorder="1" applyAlignment="1">
      <alignment vertical="center" wrapText="1"/>
    </xf>
    <xf numFmtId="0" fontId="1" fillId="4" borderId="2" xfId="0" applyFont="1" applyFill="1" applyBorder="1" applyAlignment="1">
      <alignment wrapText="1"/>
    </xf>
    <xf numFmtId="14" fontId="0" fillId="0" borderId="2" xfId="0" applyNumberFormat="1" applyBorder="1"/>
    <xf numFmtId="0" fontId="0" fillId="0" borderId="1" xfId="0" applyBorder="1" applyAlignment="1">
      <alignment vertical="top" wrapText="1"/>
    </xf>
    <xf numFmtId="0" fontId="0" fillId="0" borderId="7" xfId="0" applyBorder="1" applyAlignment="1">
      <alignment vertical="center"/>
    </xf>
    <xf numFmtId="0" fontId="0" fillId="0" borderId="1" xfId="0" applyBorder="1" applyAlignment="1">
      <alignment horizontal="center" vertical="center" wrapText="1"/>
    </xf>
    <xf numFmtId="0" fontId="4" fillId="0" borderId="1" xfId="0" applyFont="1" applyBorder="1" applyAlignment="1">
      <alignment horizontal="left" vertical="center" wrapText="1" indent="1"/>
    </xf>
    <xf numFmtId="0" fontId="0" fillId="0" borderId="2" xfId="0" applyBorder="1" applyAlignment="1">
      <alignment vertical="top" wrapText="1"/>
    </xf>
    <xf numFmtId="0" fontId="3" fillId="0" borderId="2" xfId="0" applyFont="1" applyBorder="1" applyAlignment="1">
      <alignment horizontal="center" vertical="center"/>
    </xf>
    <xf numFmtId="0" fontId="15" fillId="0" borderId="0" xfId="1" applyAlignment="1">
      <alignment horizontal="left" vertical="top" wrapText="1"/>
    </xf>
    <xf numFmtId="0" fontId="0" fillId="0" borderId="5" xfId="0" applyBorder="1" applyAlignment="1">
      <alignment horizontal="center" vertical="center"/>
    </xf>
    <xf numFmtId="0" fontId="15" fillId="0" borderId="0" xfId="1" applyAlignment="1">
      <alignment wrapText="1"/>
    </xf>
    <xf numFmtId="14" fontId="0" fillId="0" borderId="1" xfId="0" applyNumberFormat="1" applyBorder="1" applyAlignment="1">
      <alignment horizontal="left" vertical="center"/>
    </xf>
    <xf numFmtId="14" fontId="0" fillId="0" borderId="1" xfId="0" applyNumberFormat="1" applyBorder="1" applyAlignment="1">
      <alignment horizontal="center" vertical="center"/>
    </xf>
    <xf numFmtId="0" fontId="15" fillId="0" borderId="1" xfId="1" applyBorder="1" applyAlignment="1">
      <alignment horizontal="center" vertical="top" wrapText="1"/>
    </xf>
    <xf numFmtId="0" fontId="0" fillId="0" borderId="6" xfId="0" applyBorder="1" applyAlignment="1">
      <alignment horizontal="center" vertical="center"/>
    </xf>
    <xf numFmtId="0" fontId="16" fillId="0" borderId="1" xfId="0" applyFont="1" applyBorder="1" applyAlignment="1">
      <alignment horizontal="center" vertical="center"/>
    </xf>
    <xf numFmtId="0" fontId="15" fillId="0" borderId="0" xfId="1"/>
    <xf numFmtId="0" fontId="0" fillId="0" borderId="6" xfId="0" applyBorder="1" applyAlignment="1">
      <alignment horizontal="left" vertical="center"/>
    </xf>
    <xf numFmtId="14" fontId="0" fillId="0" borderId="5" xfId="0" applyNumberFormat="1" applyBorder="1"/>
    <xf numFmtId="16" fontId="0" fillId="0" borderId="2" xfId="0" applyNumberFormat="1" applyBorder="1" applyAlignment="1">
      <alignment horizontal="left" vertical="center"/>
    </xf>
    <xf numFmtId="49" fontId="3" fillId="0" borderId="3" xfId="0" applyNumberFormat="1" applyFont="1" applyBorder="1" applyAlignment="1">
      <alignment horizontal="center" vertical="center"/>
    </xf>
    <xf numFmtId="0" fontId="0" fillId="0" borderId="9" xfId="0" applyBorder="1" applyAlignment="1">
      <alignment horizontal="center" vertical="center"/>
    </xf>
    <xf numFmtId="0" fontId="0" fillId="0" borderId="2" xfId="0" applyBorder="1" applyAlignment="1">
      <alignment horizontal="center" vertical="center" wrapText="1"/>
    </xf>
    <xf numFmtId="0" fontId="41" fillId="0" borderId="0" xfId="0" applyFont="1" applyAlignment="1">
      <alignment vertical="top" wrapText="1"/>
    </xf>
    <xf numFmtId="14" fontId="0" fillId="0" borderId="9" xfId="0" applyNumberFormat="1" applyBorder="1" applyAlignment="1">
      <alignment horizontal="center" vertical="center"/>
    </xf>
    <xf numFmtId="14" fontId="0" fillId="0" borderId="2" xfId="0" applyNumberFormat="1" applyBorder="1" applyAlignment="1">
      <alignment horizontal="center" vertical="center"/>
    </xf>
    <xf numFmtId="0" fontId="0" fillId="0" borderId="11" xfId="0" applyBorder="1" applyAlignment="1">
      <alignment horizontal="center" vertical="center"/>
    </xf>
    <xf numFmtId="0" fontId="17" fillId="0" borderId="0" xfId="0" applyFont="1" applyAlignment="1">
      <alignment horizontal="center" vertical="center" wrapText="1"/>
    </xf>
    <xf numFmtId="0" fontId="0" fillId="0" borderId="6" xfId="0" applyBorder="1" applyAlignment="1">
      <alignment horizontal="left" vertical="center" wrapText="1"/>
    </xf>
    <xf numFmtId="0" fontId="0" fillId="0" borderId="6" xfId="0" applyBorder="1" applyAlignment="1">
      <alignment vertical="center" wrapText="1"/>
    </xf>
    <xf numFmtId="0" fontId="0" fillId="0" borderId="6" xfId="0" applyBorder="1" applyAlignment="1">
      <alignment wrapText="1"/>
    </xf>
    <xf numFmtId="0" fontId="1" fillId="2" borderId="13" xfId="0" applyFont="1" applyFill="1" applyBorder="1" applyAlignment="1">
      <alignment horizontal="center" vertical="center" wrapText="1"/>
    </xf>
    <xf numFmtId="0" fontId="1" fillId="2" borderId="12" xfId="0" applyFont="1" applyFill="1" applyBorder="1" applyAlignment="1">
      <alignment horizontal="center" wrapText="1"/>
    </xf>
    <xf numFmtId="0" fontId="1" fillId="2" borderId="12" xfId="0" applyFont="1" applyFill="1" applyBorder="1" applyAlignment="1">
      <alignment horizontal="left" wrapText="1"/>
    </xf>
    <xf numFmtId="0" fontId="19" fillId="2" borderId="12" xfId="0" applyFont="1" applyFill="1" applyBorder="1" applyAlignment="1">
      <alignment horizontal="left" wrapText="1"/>
    </xf>
    <xf numFmtId="0" fontId="19" fillId="2" borderId="12" xfId="0" applyFont="1" applyFill="1" applyBorder="1" applyAlignment="1">
      <alignment vertical="center" wrapText="1"/>
    </xf>
    <xf numFmtId="0" fontId="19" fillId="2" borderId="12" xfId="0" applyFont="1" applyFill="1" applyBorder="1" applyAlignment="1">
      <alignment horizontal="right" wrapText="1"/>
    </xf>
    <xf numFmtId="0" fontId="19" fillId="2" borderId="12" xfId="0" applyFont="1" applyFill="1" applyBorder="1" applyAlignment="1">
      <alignment wrapText="1"/>
    </xf>
    <xf numFmtId="0" fontId="19" fillId="4" borderId="14" xfId="0" applyFont="1" applyFill="1" applyBorder="1" applyAlignment="1">
      <alignment wrapText="1"/>
    </xf>
    <xf numFmtId="0" fontId="0" fillId="0" borderId="9" xfId="0" applyBorder="1" applyAlignment="1">
      <alignment horizontal="center"/>
    </xf>
    <xf numFmtId="0" fontId="0" fillId="0" borderId="11" xfId="0" applyBorder="1" applyAlignment="1">
      <alignment wrapText="1"/>
    </xf>
    <xf numFmtId="16" fontId="0" fillId="0" borderId="9" xfId="0" applyNumberFormat="1" applyBorder="1" applyAlignment="1">
      <alignment horizontal="left" vertical="center"/>
    </xf>
    <xf numFmtId="0" fontId="0" fillId="0" borderId="11" xfId="0" applyBorder="1" applyAlignment="1">
      <alignment horizontal="left" vertical="center" wrapText="1"/>
    </xf>
    <xf numFmtId="0" fontId="0" fillId="0" borderId="5" xfId="0" applyBorder="1" applyAlignment="1">
      <alignment horizontal="center" vertical="center" wrapText="1"/>
    </xf>
    <xf numFmtId="0" fontId="15" fillId="0" borderId="0" xfId="1" applyAlignment="1">
      <alignment vertical="top" wrapText="1"/>
    </xf>
    <xf numFmtId="0" fontId="17" fillId="0" borderId="0" xfId="0" applyFont="1" applyAlignment="1">
      <alignment wrapText="1"/>
    </xf>
    <xf numFmtId="0" fontId="0" fillId="8" borderId="2" xfId="0" applyFill="1" applyBorder="1" applyAlignment="1">
      <alignment horizontal="left" vertical="center"/>
    </xf>
    <xf numFmtId="16" fontId="25" fillId="8" borderId="2" xfId="0" applyNumberFormat="1" applyFont="1" applyFill="1" applyBorder="1" applyAlignment="1">
      <alignment horizontal="left" vertical="center"/>
    </xf>
    <xf numFmtId="0" fontId="0" fillId="8" borderId="2" xfId="0" applyFill="1" applyBorder="1" applyAlignment="1">
      <alignment horizontal="center" vertical="center"/>
    </xf>
    <xf numFmtId="49" fontId="3" fillId="8" borderId="2" xfId="0" applyNumberFormat="1" applyFont="1" applyFill="1" applyBorder="1" applyAlignment="1">
      <alignment horizontal="center" vertical="center"/>
    </xf>
    <xf numFmtId="0" fontId="3" fillId="8" borderId="2" xfId="0" applyFont="1" applyFill="1" applyBorder="1" applyAlignment="1">
      <alignment vertical="center" wrapText="1"/>
    </xf>
    <xf numFmtId="0" fontId="3" fillId="8" borderId="11" xfId="0" applyFont="1" applyFill="1" applyBorder="1" applyAlignment="1">
      <alignment vertical="center"/>
    </xf>
    <xf numFmtId="165" fontId="3" fillId="8" borderId="2" xfId="0" applyNumberFormat="1" applyFont="1" applyFill="1" applyBorder="1" applyAlignment="1">
      <alignment vertical="center"/>
    </xf>
    <xf numFmtId="0" fontId="0" fillId="0" borderId="3" xfId="0" applyBorder="1" applyAlignment="1">
      <alignment horizontal="center" vertical="center" wrapText="1"/>
    </xf>
    <xf numFmtId="0" fontId="17" fillId="0" borderId="1" xfId="0" applyFont="1" applyBorder="1" applyAlignment="1">
      <alignment horizontal="center" vertical="center" wrapText="1"/>
    </xf>
    <xf numFmtId="0" fontId="0" fillId="0" borderId="10" xfId="0" applyBorder="1" applyAlignment="1">
      <alignment horizontal="center" vertical="center" wrapText="1"/>
    </xf>
    <xf numFmtId="0" fontId="1" fillId="2" borderId="15" xfId="0" applyFont="1" applyFill="1" applyBorder="1" applyAlignment="1">
      <alignment horizontal="center" vertical="center" wrapText="1"/>
    </xf>
    <xf numFmtId="0" fontId="3" fillId="13" borderId="16" xfId="0" applyFont="1" applyFill="1" applyBorder="1" applyAlignment="1">
      <alignment horizontal="center" vertical="center"/>
    </xf>
    <xf numFmtId="14" fontId="3" fillId="13" borderId="16" xfId="0" applyNumberFormat="1" applyFont="1" applyFill="1" applyBorder="1" applyAlignment="1">
      <alignment horizontal="center" vertical="center"/>
    </xf>
    <xf numFmtId="14" fontId="0" fillId="0" borderId="5" xfId="0" applyNumberFormat="1" applyBorder="1" applyAlignment="1">
      <alignment horizontal="center" vertical="center"/>
    </xf>
    <xf numFmtId="0" fontId="0" fillId="11" borderId="0" xfId="0" applyFill="1" applyAlignment="1">
      <alignment vertical="center"/>
    </xf>
    <xf numFmtId="14" fontId="0" fillId="0" borderId="0" xfId="0" applyNumberFormat="1" applyAlignment="1">
      <alignment vertical="center"/>
    </xf>
    <xf numFmtId="0" fontId="0" fillId="12" borderId="0" xfId="0" applyFill="1" applyAlignment="1">
      <alignment vertical="center"/>
    </xf>
    <xf numFmtId="0" fontId="37" fillId="10" borderId="1" xfId="0" applyFont="1" applyFill="1" applyBorder="1" applyAlignment="1">
      <alignment horizontal="center" vertical="center" wrapText="1"/>
    </xf>
    <xf numFmtId="0" fontId="0" fillId="8" borderId="1" xfId="0" applyFill="1" applyBorder="1" applyAlignment="1">
      <alignment horizontal="left" vertical="center" wrapText="1"/>
    </xf>
    <xf numFmtId="0" fontId="35" fillId="0" borderId="1" xfId="0" applyFont="1" applyBorder="1" applyAlignment="1">
      <alignment horizontal="left" vertical="center" wrapText="1"/>
    </xf>
    <xf numFmtId="0" fontId="35" fillId="8" borderId="3" xfId="0" applyFont="1" applyFill="1" applyBorder="1" applyAlignment="1">
      <alignment horizontal="left" vertical="center" wrapText="1"/>
    </xf>
    <xf numFmtId="0" fontId="35" fillId="8" borderId="1" xfId="0" applyFont="1" applyFill="1" applyBorder="1" applyAlignment="1">
      <alignment horizontal="left" vertical="center" wrapText="1"/>
    </xf>
    <xf numFmtId="0" fontId="35" fillId="0" borderId="2" xfId="0" applyFont="1" applyBorder="1" applyAlignment="1">
      <alignment horizontal="left" vertical="center" wrapText="1"/>
    </xf>
    <xf numFmtId="0" fontId="39" fillId="0" borderId="2" xfId="0" applyFont="1" applyBorder="1" applyAlignment="1">
      <alignment vertical="center"/>
    </xf>
    <xf numFmtId="16" fontId="39" fillId="0" borderId="2" xfId="0" applyNumberFormat="1" applyFont="1" applyBorder="1" applyAlignment="1">
      <alignment horizontal="left" vertical="center"/>
    </xf>
    <xf numFmtId="0" fontId="39" fillId="0" borderId="2" xfId="0" applyFont="1" applyBorder="1" applyAlignment="1">
      <alignment horizontal="center" vertical="center"/>
    </xf>
    <xf numFmtId="0" fontId="39" fillId="0" borderId="2" xfId="0" applyFont="1" applyBorder="1" applyAlignment="1">
      <alignment vertical="center" wrapText="1"/>
    </xf>
    <xf numFmtId="0" fontId="39" fillId="0" borderId="11" xfId="0" applyFont="1" applyBorder="1" applyAlignment="1">
      <alignment vertical="center"/>
    </xf>
    <xf numFmtId="0" fontId="39" fillId="0" borderId="1" xfId="0" applyFont="1" applyBorder="1" applyAlignment="1">
      <alignment vertical="center"/>
    </xf>
    <xf numFmtId="0" fontId="39" fillId="0" borderId="0" xfId="0" applyFont="1" applyAlignment="1">
      <alignment vertical="center"/>
    </xf>
    <xf numFmtId="0" fontId="39" fillId="0" borderId="5" xfId="0" applyFont="1" applyBorder="1" applyAlignment="1">
      <alignment vertical="center"/>
    </xf>
    <xf numFmtId="0" fontId="35" fillId="8" borderId="2" xfId="0" applyFont="1" applyFill="1" applyBorder="1" applyAlignment="1">
      <alignment horizontal="left" vertical="center" wrapText="1"/>
    </xf>
    <xf numFmtId="0" fontId="0" fillId="8" borderId="0" xfId="0" applyFill="1" applyAlignment="1">
      <alignment vertical="center"/>
    </xf>
    <xf numFmtId="16" fontId="0" fillId="0" borderId="2" xfId="0" applyNumberFormat="1" applyBorder="1" applyAlignment="1">
      <alignment vertical="center"/>
    </xf>
    <xf numFmtId="16" fontId="0" fillId="0" borderId="1" xfId="0" applyNumberFormat="1" applyBorder="1" applyAlignment="1">
      <alignment vertical="center"/>
    </xf>
    <xf numFmtId="0" fontId="0" fillId="12" borderId="0" xfId="0" applyFill="1"/>
    <xf numFmtId="14" fontId="0" fillId="0" borderId="10" xfId="0" applyNumberFormat="1" applyBorder="1" applyAlignment="1">
      <alignment horizontal="center" vertical="center"/>
    </xf>
    <xf numFmtId="0" fontId="0" fillId="0" borderId="10" xfId="0" applyBorder="1" applyAlignment="1">
      <alignment vertical="center"/>
    </xf>
    <xf numFmtId="0" fontId="15" fillId="0" borderId="0" xfId="1" applyBorder="1" applyAlignment="1">
      <alignment wrapText="1"/>
    </xf>
    <xf numFmtId="0" fontId="4" fillId="13" borderId="1" xfId="0" applyFont="1" applyFill="1" applyBorder="1"/>
    <xf numFmtId="0" fontId="1" fillId="2" borderId="6" xfId="0" applyFont="1" applyFill="1" applyBorder="1" applyAlignment="1">
      <alignment horizontal="center" wrapText="1"/>
    </xf>
    <xf numFmtId="0" fontId="1" fillId="6" borderId="1" xfId="0" applyFont="1" applyFill="1" applyBorder="1" applyAlignment="1">
      <alignment horizontal="center" wrapText="1"/>
    </xf>
    <xf numFmtId="0" fontId="15" fillId="0" borderId="1" xfId="1" applyBorder="1"/>
    <xf numFmtId="0" fontId="15" fillId="10" borderId="1" xfId="1" applyFill="1" applyBorder="1"/>
    <xf numFmtId="0" fontId="4" fillId="10" borderId="1" xfId="0" applyFont="1" applyFill="1" applyBorder="1"/>
    <xf numFmtId="0" fontId="4" fillId="13" borderId="2" xfId="0" applyFont="1" applyFill="1" applyBorder="1" applyAlignment="1">
      <alignment horizontal="center" vertical="center"/>
    </xf>
    <xf numFmtId="0" fontId="15" fillId="0" borderId="2" xfId="1" applyBorder="1" applyAlignment="1">
      <alignment horizontal="left" vertical="top" wrapText="1"/>
    </xf>
    <xf numFmtId="14" fontId="0" fillId="0" borderId="2" xfId="0" applyNumberFormat="1" applyBorder="1" applyAlignment="1">
      <alignment horizontal="left" vertical="center"/>
    </xf>
    <xf numFmtId="0" fontId="3" fillId="13" borderId="9" xfId="0" applyFont="1" applyFill="1" applyBorder="1" applyAlignment="1">
      <alignment horizontal="center" vertical="center"/>
    </xf>
    <xf numFmtId="14" fontId="3" fillId="13" borderId="9" xfId="0" applyNumberFormat="1" applyFont="1" applyFill="1" applyBorder="1" applyAlignment="1">
      <alignment horizontal="center" vertical="center"/>
    </xf>
    <xf numFmtId="0" fontId="3" fillId="13" borderId="17" xfId="0" applyFont="1" applyFill="1" applyBorder="1" applyAlignment="1">
      <alignment horizontal="center" vertical="center"/>
    </xf>
    <xf numFmtId="14" fontId="3" fillId="13" borderId="17" xfId="0" applyNumberFormat="1" applyFont="1" applyFill="1" applyBorder="1" applyAlignment="1">
      <alignment horizontal="center" vertical="center"/>
    </xf>
    <xf numFmtId="0" fontId="4" fillId="13" borderId="2" xfId="0" applyFont="1" applyFill="1" applyBorder="1" applyAlignment="1">
      <alignment vertical="center"/>
    </xf>
    <xf numFmtId="49" fontId="0" fillId="12" borderId="0" xfId="0" applyNumberFormat="1" applyFill="1" applyAlignment="1">
      <alignment vertical="center"/>
    </xf>
    <xf numFmtId="49" fontId="1" fillId="2" borderId="2" xfId="0" applyNumberFormat="1" applyFont="1" applyFill="1" applyBorder="1" applyAlignment="1">
      <alignment horizontal="center" vertical="center" wrapText="1"/>
    </xf>
    <xf numFmtId="49" fontId="0" fillId="0" borderId="1" xfId="0" applyNumberFormat="1" applyBorder="1" applyAlignment="1">
      <alignment horizontal="center" vertical="center"/>
    </xf>
    <xf numFmtId="49" fontId="0" fillId="0" borderId="2" xfId="0" applyNumberFormat="1" applyBorder="1" applyAlignment="1">
      <alignment horizontal="center" vertical="center"/>
    </xf>
    <xf numFmtId="49" fontId="0" fillId="0" borderId="0" xfId="0" applyNumberFormat="1" applyAlignment="1">
      <alignment vertical="center"/>
    </xf>
    <xf numFmtId="0" fontId="0" fillId="0" borderId="2" xfId="0" applyBorder="1" applyAlignment="1">
      <alignment horizontal="center" vertical="top" wrapText="1"/>
    </xf>
    <xf numFmtId="0" fontId="4" fillId="10" borderId="1" xfId="0" applyFont="1" applyFill="1" applyBorder="1" applyAlignment="1">
      <alignment horizontal="center" vertical="center"/>
    </xf>
    <xf numFmtId="0" fontId="4" fillId="10" borderId="1" xfId="0" applyFont="1" applyFill="1" applyBorder="1" applyAlignment="1">
      <alignment vertical="center"/>
    </xf>
    <xf numFmtId="0" fontId="15" fillId="0" borderId="1" xfId="1" applyBorder="1" applyAlignment="1">
      <alignment vertical="center"/>
    </xf>
    <xf numFmtId="0" fontId="15" fillId="10" borderId="1" xfId="1" applyFill="1" applyBorder="1" applyAlignment="1">
      <alignment vertical="center"/>
    </xf>
    <xf numFmtId="0" fontId="3" fillId="0" borderId="18" xfId="0" applyFont="1" applyBorder="1" applyAlignment="1">
      <alignment vertical="center"/>
    </xf>
    <xf numFmtId="0" fontId="0" fillId="0" borderId="18" xfId="0" applyBorder="1" applyAlignment="1">
      <alignment vertical="center"/>
    </xf>
    <xf numFmtId="16" fontId="0" fillId="0" borderId="18" xfId="0" applyNumberFormat="1" applyBorder="1" applyAlignment="1">
      <alignment vertical="center"/>
    </xf>
    <xf numFmtId="0" fontId="0" fillId="0" borderId="18" xfId="0" applyBorder="1" applyAlignment="1">
      <alignment horizontal="center" vertical="center"/>
    </xf>
    <xf numFmtId="49" fontId="0" fillId="0" borderId="18" xfId="0" applyNumberFormat="1" applyBorder="1" applyAlignment="1">
      <alignment horizontal="center" vertical="center"/>
    </xf>
    <xf numFmtId="0" fontId="0" fillId="0" borderId="18" xfId="0" applyBorder="1" applyAlignment="1">
      <alignment vertical="center" wrapText="1"/>
    </xf>
    <xf numFmtId="0" fontId="0" fillId="0" borderId="18" xfId="0" applyBorder="1" applyAlignment="1">
      <alignment horizontal="left" vertical="center" wrapText="1"/>
    </xf>
    <xf numFmtId="0" fontId="3" fillId="0" borderId="6" xfId="0" applyFont="1" applyBorder="1" applyAlignment="1">
      <alignment wrapText="1"/>
    </xf>
    <xf numFmtId="0" fontId="0" fillId="0" borderId="0" xfId="0" applyAlignment="1">
      <alignment horizontal="left" vertical="center" wrapText="1"/>
    </xf>
    <xf numFmtId="0" fontId="0" fillId="0" borderId="0" xfId="0" applyAlignment="1">
      <alignment horizontal="center" vertical="center" wrapText="1"/>
    </xf>
    <xf numFmtId="0" fontId="4" fillId="13" borderId="0" xfId="0" applyFont="1" applyFill="1" applyAlignment="1">
      <alignment horizontal="center" vertical="center"/>
    </xf>
    <xf numFmtId="14" fontId="3" fillId="13" borderId="10" xfId="0" applyNumberFormat="1" applyFont="1" applyFill="1" applyBorder="1" applyAlignment="1">
      <alignment horizontal="center" vertical="center"/>
    </xf>
    <xf numFmtId="0" fontId="0" fillId="0" borderId="11" xfId="0" applyBorder="1" applyAlignment="1">
      <alignment horizontal="left" vertical="center"/>
    </xf>
    <xf numFmtId="0" fontId="4" fillId="13" borderId="11" xfId="0" applyFont="1" applyFill="1" applyBorder="1" applyAlignment="1">
      <alignment horizontal="center" vertical="center"/>
    </xf>
    <xf numFmtId="0" fontId="4" fillId="13" borderId="1" xfId="0" applyFont="1" applyFill="1" applyBorder="1" applyAlignment="1">
      <alignment horizontal="center" vertical="center"/>
    </xf>
    <xf numFmtId="0" fontId="0" fillId="0" borderId="3" xfId="0" applyBorder="1" applyAlignment="1">
      <alignment horizontal="left" vertical="center" wrapText="1"/>
    </xf>
    <xf numFmtId="0" fontId="0" fillId="0" borderId="3" xfId="0" applyBorder="1" applyAlignment="1">
      <alignment horizontal="center" vertical="center"/>
    </xf>
    <xf numFmtId="0" fontId="15" fillId="0" borderId="3" xfId="1" applyBorder="1" applyAlignment="1">
      <alignment wrapText="1"/>
    </xf>
    <xf numFmtId="14" fontId="0" fillId="0" borderId="13" xfId="0" applyNumberFormat="1" applyBorder="1" applyAlignment="1">
      <alignment horizontal="center" vertical="center"/>
    </xf>
    <xf numFmtId="14" fontId="0" fillId="0" borderId="12" xfId="0" applyNumberFormat="1" applyBorder="1" applyAlignment="1">
      <alignment horizontal="center" vertical="center"/>
    </xf>
    <xf numFmtId="0" fontId="0" fillId="0" borderId="19" xfId="0" applyBorder="1" applyAlignment="1">
      <alignment horizontal="left" vertical="center" wrapText="1"/>
    </xf>
    <xf numFmtId="0" fontId="4" fillId="13" borderId="9" xfId="0" applyFont="1" applyFill="1" applyBorder="1" applyAlignment="1">
      <alignment horizontal="center" vertical="center"/>
    </xf>
    <xf numFmtId="0" fontId="15" fillId="0" borderId="1" xfId="1" applyFill="1" applyBorder="1" applyAlignment="1">
      <alignment vertical="center"/>
    </xf>
    <xf numFmtId="0" fontId="4" fillId="13" borderId="10" xfId="0" applyFont="1" applyFill="1" applyBorder="1" applyAlignment="1">
      <alignment horizontal="center" vertical="center"/>
    </xf>
    <xf numFmtId="0" fontId="15" fillId="0" borderId="2" xfId="1" applyBorder="1" applyAlignment="1">
      <alignment vertical="center"/>
    </xf>
    <xf numFmtId="0" fontId="0" fillId="0" borderId="12" xfId="0" applyBorder="1" applyAlignment="1">
      <alignment horizontal="left" vertical="center" wrapText="1"/>
    </xf>
    <xf numFmtId="0" fontId="0" fillId="0" borderId="2" xfId="0" applyBorder="1" applyAlignment="1">
      <alignment horizontal="left" vertical="top" wrapText="1"/>
    </xf>
    <xf numFmtId="0" fontId="0" fillId="0" borderId="12" xfId="0" applyBorder="1" applyAlignment="1">
      <alignment horizontal="center" vertical="center" wrapText="1"/>
    </xf>
    <xf numFmtId="0" fontId="15" fillId="0" borderId="2" xfId="1" applyBorder="1" applyAlignment="1">
      <alignment horizontal="center" vertical="center" wrapText="1"/>
    </xf>
    <xf numFmtId="0" fontId="0" fillId="0" borderId="12" xfId="0" applyBorder="1" applyAlignment="1">
      <alignment horizontal="center" vertical="center"/>
    </xf>
    <xf numFmtId="0" fontId="1" fillId="4" borderId="2" xfId="0" applyFont="1" applyFill="1" applyBorder="1" applyAlignment="1">
      <alignment horizontal="center" wrapText="1"/>
    </xf>
    <xf numFmtId="0" fontId="0" fillId="0" borderId="11" xfId="0" applyBorder="1" applyAlignment="1">
      <alignment horizontal="center"/>
    </xf>
    <xf numFmtId="0" fontId="4" fillId="0" borderId="5" xfId="0" applyFont="1" applyBorder="1" applyAlignment="1">
      <alignment horizontal="center" vertical="center"/>
    </xf>
    <xf numFmtId="0" fontId="0" fillId="0" borderId="11" xfId="0" applyBorder="1" applyAlignment="1">
      <alignment vertical="center" wrapText="1"/>
    </xf>
    <xf numFmtId="0" fontId="0" fillId="0" borderId="13" xfId="0" applyBorder="1" applyAlignment="1">
      <alignment horizontal="center" vertical="center"/>
    </xf>
    <xf numFmtId="0" fontId="3" fillId="13" borderId="13" xfId="0" applyFont="1" applyFill="1" applyBorder="1" applyAlignment="1">
      <alignment horizontal="center" vertical="center"/>
    </xf>
    <xf numFmtId="14" fontId="3" fillId="13" borderId="13" xfId="0" applyNumberFormat="1" applyFont="1" applyFill="1" applyBorder="1" applyAlignment="1">
      <alignment horizontal="center" vertical="center"/>
    </xf>
    <xf numFmtId="14" fontId="3" fillId="13" borderId="0" xfId="0" applyNumberFormat="1" applyFont="1" applyFill="1" applyAlignment="1">
      <alignment horizontal="center" vertical="center"/>
    </xf>
    <xf numFmtId="0" fontId="0" fillId="0" borderId="14" xfId="0" applyBorder="1" applyAlignment="1">
      <alignment horizontal="left" vertical="center"/>
    </xf>
    <xf numFmtId="0" fontId="0" fillId="0" borderId="12" xfId="0" applyBorder="1" applyAlignment="1">
      <alignment vertical="center"/>
    </xf>
    <xf numFmtId="0" fontId="0" fillId="0" borderId="12" xfId="0" applyBorder="1" applyAlignment="1">
      <alignment vertical="center" wrapText="1"/>
    </xf>
    <xf numFmtId="0" fontId="0" fillId="0" borderId="14" xfId="0" applyBorder="1" applyAlignment="1">
      <alignment vertical="center"/>
    </xf>
    <xf numFmtId="0" fontId="0" fillId="0" borderId="14" xfId="0" applyBorder="1" applyAlignment="1">
      <alignment horizontal="left" vertical="center" wrapText="1"/>
    </xf>
    <xf numFmtId="0" fontId="3" fillId="13" borderId="1" xfId="0" applyFont="1" applyFill="1" applyBorder="1" applyAlignment="1">
      <alignment horizontal="center" vertical="center"/>
    </xf>
    <xf numFmtId="14" fontId="3" fillId="13" borderId="1" xfId="0" applyNumberFormat="1" applyFont="1" applyFill="1" applyBorder="1" applyAlignment="1">
      <alignment horizontal="center" vertical="center"/>
    </xf>
    <xf numFmtId="0" fontId="0" fillId="8" borderId="1" xfId="0" applyFill="1" applyBorder="1" applyAlignment="1">
      <alignment vertical="center"/>
    </xf>
    <xf numFmtId="0" fontId="0" fillId="0" borderId="14" xfId="0" applyBorder="1" applyAlignment="1">
      <alignment horizontal="center" vertical="center"/>
    </xf>
    <xf numFmtId="0" fontId="15" fillId="0" borderId="12" xfId="1" applyBorder="1" applyAlignment="1">
      <alignment wrapText="1"/>
    </xf>
    <xf numFmtId="0" fontId="0" fillId="8" borderId="12" xfId="0" applyFill="1" applyBorder="1" applyAlignment="1">
      <alignment vertical="center"/>
    </xf>
    <xf numFmtId="0" fontId="0" fillId="0" borderId="10" xfId="0" applyBorder="1" applyAlignment="1">
      <alignment horizontal="center" vertical="center"/>
    </xf>
    <xf numFmtId="0" fontId="0" fillId="10" borderId="0" xfId="0" applyFill="1" applyAlignment="1">
      <alignment horizontal="center" vertical="center"/>
    </xf>
    <xf numFmtId="0" fontId="0" fillId="10" borderId="10" xfId="0" applyFill="1" applyBorder="1" applyAlignment="1">
      <alignment horizontal="center" vertical="center"/>
    </xf>
    <xf numFmtId="14" fontId="0" fillId="0" borderId="11" xfId="0" applyNumberFormat="1" applyBorder="1" applyAlignment="1">
      <alignment wrapText="1"/>
    </xf>
    <xf numFmtId="0" fontId="29" fillId="0" borderId="1" xfId="0" applyFont="1" applyBorder="1" applyAlignment="1">
      <alignment vertical="top" wrapText="1"/>
    </xf>
    <xf numFmtId="14" fontId="0" fillId="0" borderId="9" xfId="0" applyNumberFormat="1" applyBorder="1" applyAlignment="1">
      <alignment horizontal="center" vertical="center" wrapText="1"/>
    </xf>
    <xf numFmtId="14" fontId="16" fillId="0" borderId="1" xfId="0" applyNumberFormat="1" applyFont="1" applyBorder="1" applyAlignment="1">
      <alignment horizontal="center" vertical="center"/>
    </xf>
    <xf numFmtId="0" fontId="0" fillId="0" borderId="19" xfId="0" applyBorder="1" applyAlignment="1">
      <alignment vertical="center" wrapText="1"/>
    </xf>
    <xf numFmtId="0" fontId="0" fillId="0" borderId="14" xfId="0" applyBorder="1" applyAlignment="1">
      <alignment vertical="center" wrapText="1"/>
    </xf>
    <xf numFmtId="0" fontId="0" fillId="14" borderId="12" xfId="0" applyFill="1" applyBorder="1" applyAlignment="1">
      <alignment vertical="center"/>
    </xf>
    <xf numFmtId="0" fontId="0" fillId="14" borderId="1" xfId="0" applyFill="1" applyBorder="1" applyAlignment="1">
      <alignment vertical="center"/>
    </xf>
    <xf numFmtId="0" fontId="0" fillId="0" borderId="19" xfId="0" applyBorder="1" applyAlignment="1">
      <alignment vertical="center"/>
    </xf>
    <xf numFmtId="0" fontId="19" fillId="2" borderId="12" xfId="0" applyFont="1" applyFill="1" applyBorder="1" applyAlignment="1">
      <alignment horizontal="center" wrapText="1"/>
    </xf>
    <xf numFmtId="0" fontId="16" fillId="0" borderId="2" xfId="0" applyFont="1" applyBorder="1" applyAlignment="1">
      <alignment vertical="center"/>
    </xf>
    <xf numFmtId="14" fontId="0" fillId="0" borderId="2" xfId="0" applyNumberFormat="1" applyBorder="1" applyAlignment="1">
      <alignment horizontal="center" vertical="center" wrapText="1"/>
    </xf>
    <xf numFmtId="0" fontId="28" fillId="0" borderId="1" xfId="0" applyFont="1" applyBorder="1" applyAlignment="1">
      <alignment wrapText="1"/>
    </xf>
    <xf numFmtId="0" fontId="4" fillId="0" borderId="6" xfId="0" applyFont="1" applyBorder="1" applyAlignment="1">
      <alignment vertical="center"/>
    </xf>
    <xf numFmtId="0" fontId="1" fillId="6" borderId="2" xfId="0" applyFont="1" applyFill="1" applyBorder="1" applyAlignment="1">
      <alignment horizontal="center" wrapText="1"/>
    </xf>
    <xf numFmtId="0" fontId="16" fillId="0" borderId="1" xfId="0" applyFont="1" applyBorder="1" applyAlignment="1">
      <alignment vertical="center" wrapText="1"/>
    </xf>
    <xf numFmtId="0" fontId="19" fillId="2" borderId="12" xfId="0" applyFont="1" applyFill="1" applyBorder="1" applyAlignment="1">
      <alignment horizontal="center" vertical="center" wrapText="1"/>
    </xf>
    <xf numFmtId="0" fontId="19" fillId="2" borderId="14" xfId="0" applyFont="1" applyFill="1" applyBorder="1" applyAlignment="1">
      <alignment wrapText="1"/>
    </xf>
    <xf numFmtId="0" fontId="1" fillId="2" borderId="12" xfId="0" applyFont="1" applyFill="1" applyBorder="1" applyAlignment="1">
      <alignment vertical="center" wrapText="1"/>
    </xf>
    <xf numFmtId="0" fontId="4" fillId="0" borderId="0" xfId="0" applyFont="1" applyAlignment="1">
      <alignment horizontal="center" vertical="center"/>
    </xf>
    <xf numFmtId="0" fontId="4" fillId="0" borderId="11" xfId="0" applyFont="1" applyBorder="1" applyAlignment="1">
      <alignment vertical="center"/>
    </xf>
    <xf numFmtId="0" fontId="28" fillId="0" borderId="2" xfId="0" applyFont="1" applyBorder="1" applyAlignment="1">
      <alignment wrapText="1"/>
    </xf>
    <xf numFmtId="0" fontId="0" fillId="0" borderId="2" xfId="0" applyBorder="1" applyAlignment="1">
      <alignment horizontal="center"/>
    </xf>
    <xf numFmtId="0" fontId="16" fillId="0" borderId="2" xfId="0" applyFont="1" applyBorder="1"/>
    <xf numFmtId="0" fontId="0" fillId="0" borderId="11" xfId="0" applyBorder="1" applyAlignment="1">
      <alignment horizontal="center" vertical="center" wrapText="1"/>
    </xf>
    <xf numFmtId="0" fontId="0" fillId="0" borderId="9" xfId="0" applyBorder="1" applyAlignment="1">
      <alignment wrapText="1"/>
    </xf>
    <xf numFmtId="14" fontId="3" fillId="13" borderId="2" xfId="0" applyNumberFormat="1" applyFont="1" applyFill="1" applyBorder="1" applyAlignment="1">
      <alignment horizontal="center" vertical="center"/>
    </xf>
    <xf numFmtId="0" fontId="1" fillId="2" borderId="11" xfId="0" applyFont="1" applyFill="1" applyBorder="1" applyAlignment="1">
      <alignment horizontal="center" wrapText="1"/>
    </xf>
    <xf numFmtId="0" fontId="2" fillId="0" borderId="1" xfId="0" applyFont="1" applyBorder="1"/>
    <xf numFmtId="0" fontId="42" fillId="0" borderId="3" xfId="0" applyFont="1" applyBorder="1"/>
    <xf numFmtId="0" fontId="0" fillId="0" borderId="0" xfId="0" applyAlignment="1">
      <alignment horizontal="left" vertical="top" wrapText="1"/>
    </xf>
    <xf numFmtId="0" fontId="16" fillId="0" borderId="0" xfId="0" applyFont="1" applyAlignment="1">
      <alignment vertical="center" wrapText="1"/>
    </xf>
    <xf numFmtId="0" fontId="4" fillId="0" borderId="6" xfId="0" applyFont="1" applyBorder="1" applyAlignment="1">
      <alignment horizontal="left" vertical="center"/>
    </xf>
    <xf numFmtId="0" fontId="0" fillId="0" borderId="5" xfId="0" applyBorder="1" applyAlignment="1">
      <alignment horizontal="left" vertical="center"/>
    </xf>
    <xf numFmtId="0" fontId="0" fillId="0" borderId="0" xfId="0" applyAlignment="1">
      <alignment vertical="top"/>
    </xf>
    <xf numFmtId="0" fontId="42" fillId="0" borderId="7" xfId="0" applyFont="1" applyBorder="1"/>
    <xf numFmtId="0" fontId="42" fillId="16" borderId="2" xfId="0" applyFont="1" applyFill="1" applyBorder="1"/>
    <xf numFmtId="0" fontId="43" fillId="15" borderId="2" xfId="0" applyFont="1" applyFill="1" applyBorder="1"/>
    <xf numFmtId="0" fontId="0" fillId="0" borderId="1" xfId="0" applyBorder="1" applyAlignment="1">
      <alignment horizontal="left" vertical="top"/>
    </xf>
    <xf numFmtId="0" fontId="0" fillId="0" borderId="11" xfId="0" applyBorder="1" applyAlignment="1">
      <alignment vertical="top"/>
    </xf>
    <xf numFmtId="0" fontId="16" fillId="0" borderId="0" xfId="0" applyFont="1" applyAlignment="1">
      <alignment wrapText="1"/>
    </xf>
    <xf numFmtId="0" fontId="0" fillId="0" borderId="9" xfId="0" applyBorder="1" applyAlignment="1">
      <alignment vertical="center" wrapText="1"/>
    </xf>
    <xf numFmtId="14" fontId="16" fillId="0" borderId="1" xfId="0" applyNumberFormat="1" applyFont="1" applyBorder="1" applyAlignment="1">
      <alignment horizontal="center" vertical="center" wrapText="1"/>
    </xf>
    <xf numFmtId="49" fontId="1" fillId="2" borderId="6" xfId="0" applyNumberFormat="1" applyFont="1" applyFill="1" applyBorder="1" applyAlignment="1">
      <alignment horizontal="center" vertical="center" wrapText="1"/>
    </xf>
    <xf numFmtId="0" fontId="4" fillId="0" borderId="12" xfId="0" applyFont="1" applyBorder="1" applyAlignment="1">
      <alignment vertical="center"/>
    </xf>
    <xf numFmtId="0" fontId="42" fillId="0" borderId="1" xfId="0" applyFont="1" applyBorder="1" applyAlignment="1">
      <alignment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left" vertical="center"/>
    </xf>
    <xf numFmtId="0" fontId="0" fillId="0" borderId="3" xfId="0" applyBorder="1" applyAlignment="1">
      <alignment horizontal="left" vertical="center"/>
    </xf>
    <xf numFmtId="0" fontId="4" fillId="0" borderId="12" xfId="0" applyFont="1" applyBorder="1" applyAlignment="1">
      <alignment horizontal="center" vertical="center" wrapText="1"/>
    </xf>
    <xf numFmtId="0" fontId="36" fillId="0" borderId="1" xfId="0" applyFont="1" applyBorder="1" applyAlignment="1">
      <alignment horizontal="left" vertical="center"/>
    </xf>
    <xf numFmtId="0" fontId="4" fillId="0" borderId="1" xfId="0" applyFont="1" applyBorder="1" applyAlignment="1">
      <alignment horizontal="left" vertical="center"/>
    </xf>
    <xf numFmtId="0" fontId="33" fillId="0" borderId="1" xfId="0" applyFont="1" applyBorder="1" applyAlignment="1">
      <alignment horizontal="center" vertical="center"/>
    </xf>
    <xf numFmtId="0" fontId="0" fillId="0" borderId="1" xfId="0" applyBorder="1" applyAlignment="1">
      <alignment horizontal="left" vertical="center"/>
    </xf>
    <xf numFmtId="0" fontId="4" fillId="0" borderId="1" xfId="0" applyFont="1" applyBorder="1" applyAlignment="1">
      <alignment horizontal="left" vertical="center" wrapText="1"/>
    </xf>
    <xf numFmtId="0" fontId="4" fillId="0" borderId="1" xfId="0" applyFont="1" applyBorder="1" applyAlignment="1">
      <alignment horizontal="center" vertical="center" wrapText="1"/>
    </xf>
    <xf numFmtId="0" fontId="18" fillId="0" borderId="2" xfId="0" applyFont="1" applyBorder="1" applyAlignment="1">
      <alignment horizontal="center" vertical="center" wrapText="1"/>
    </xf>
    <xf numFmtId="0" fontId="18" fillId="0" borderId="12" xfId="0" applyFont="1" applyBorder="1" applyAlignment="1">
      <alignment horizontal="center" vertical="center" wrapText="1"/>
    </xf>
    <xf numFmtId="0" fontId="18" fillId="0" borderId="3" xfId="0" applyFont="1" applyBorder="1" applyAlignment="1">
      <alignment horizontal="center" vertical="center" wrapText="1"/>
    </xf>
    <xf numFmtId="0" fontId="0" fillId="0" borderId="10" xfId="0" applyBorder="1" applyAlignment="1">
      <alignment horizontal="center"/>
    </xf>
    <xf numFmtId="0" fontId="4" fillId="0" borderId="6" xfId="0" applyFont="1" applyBorder="1" applyAlignment="1">
      <alignment wrapText="1"/>
    </xf>
    <xf numFmtId="0" fontId="42" fillId="0" borderId="8" xfId="0" applyFont="1" applyBorder="1" applyAlignment="1"/>
    <xf numFmtId="0" fontId="42" fillId="0" borderId="7" xfId="0" applyFont="1" applyBorder="1" applyAlignment="1"/>
    <xf numFmtId="0" fontId="11" fillId="7" borderId="0" xfId="0" applyFont="1" applyFill="1" applyAlignment="1"/>
    <xf numFmtId="0" fontId="0" fillId="0" borderId="0" xfId="0" applyAlignment="1"/>
    <xf numFmtId="0" fontId="7" fillId="0" borderId="7" xfId="0" applyFont="1" applyBorder="1" applyAlignment="1"/>
    <xf numFmtId="0" fontId="7" fillId="0" borderId="5" xfId="0" applyFont="1" applyBorder="1" applyAlignment="1"/>
  </cellXfs>
  <cellStyles count="2">
    <cellStyle name="Hyperlink" xfId="1" builtinId="8"/>
    <cellStyle name="Normal" xfId="0" builtinId="0"/>
  </cellStyles>
  <dxfs count="1090">
    <dxf>
      <border diagonalUp="0" diagonalDown="0">
        <left style="thin">
          <color rgb="FF000000"/>
        </left>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1" indent="0" justifyLastLine="0" shrinkToFit="0" readingOrder="0"/>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alignment horizontal="center" vertical="center" textRotation="0" wrapText="0"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bottom" textRotation="0" wrapText="1" indent="0" justifyLastLine="0" shrinkToFit="0" readingOrder="0"/>
      <border diagonalUp="0" diagonalDown="0" outline="0">
        <left style="thin">
          <color rgb="FF000000"/>
        </left>
        <right style="thin">
          <color rgb="FF000000"/>
        </right>
        <top/>
        <bottom/>
      </border>
    </dxf>
    <dxf>
      <border diagonalUp="0" diagonalDown="0">
        <left style="thin">
          <color rgb="FF000000"/>
        </left>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1" indent="0" justifyLastLine="0" shrinkToFit="0" readingOrder="0"/>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alignment horizontal="center" vertical="center" textRotation="0" wrapText="0"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bottom" textRotation="0" wrapText="1" indent="0" justifyLastLine="0" shrinkToFit="0" readingOrder="0"/>
      <border diagonalUp="0" diagonalDown="0" outline="0">
        <left style="thin">
          <color rgb="FF000000"/>
        </left>
        <right style="thin">
          <color rgb="FF000000"/>
        </right>
        <top/>
        <bottom/>
      </border>
    </dxf>
    <dxf>
      <border diagonalUp="0" diagonalDown="0">
        <left style="thin">
          <color rgb="FF000000"/>
        </left>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1" indent="0" justifyLastLine="0" shrinkToFit="0" readingOrder="0"/>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0" formatCode="General"/>
      <alignment horizontal="center" vertical="center" textRotation="0" wrapText="0" indent="0" justifyLastLine="0" shrinkToFit="0" readingOrder="0"/>
      <border diagonalUp="0" diagonalDown="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alignment horizontal="center" vertical="center" textRotation="0" wrapText="0"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bottom" textRotation="0" wrapText="1" indent="0" justifyLastLine="0" shrinkToFit="0" readingOrder="0"/>
      <border diagonalUp="0" diagonalDown="0" outline="0">
        <left style="thin">
          <color rgb="FF000000"/>
        </left>
        <right style="thin">
          <color rgb="FF000000"/>
        </right>
        <top/>
        <bottom/>
      </border>
    </dxf>
    <dxf>
      <border diagonalUp="0" diagonalDown="0">
        <left style="thin">
          <color rgb="FF000000"/>
        </left>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1" indent="0" justifyLastLine="0" shrinkToFit="0" readingOrder="0"/>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0" formatCode="General"/>
      <alignment horizontal="center" vertical="center" textRotation="0" wrapText="0" indent="0" justifyLastLine="0" shrinkToFit="0" readingOrder="0"/>
      <border diagonalUp="0" diagonalDown="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alignment horizontal="center" vertical="center" textRotation="0" wrapText="0"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bottom" textRotation="0" wrapText="1" indent="0" justifyLastLine="0" shrinkToFit="0" readingOrder="0"/>
      <border diagonalUp="0" diagonalDown="0" outline="0">
        <left style="thin">
          <color rgb="FF000000"/>
        </left>
        <right style="thin">
          <color rgb="FF000000"/>
        </right>
        <top/>
        <bottom/>
      </border>
    </dxf>
    <dxf>
      <border diagonalUp="0" diagonalDown="0">
        <left style="thin">
          <color rgb="FF000000"/>
        </left>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1" indent="0" justifyLastLine="0" shrinkToFit="0" readingOrder="0"/>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0" formatCode="General"/>
      <alignment horizontal="center" vertical="center" textRotation="0" wrapText="0" indent="0" justifyLastLine="0" shrinkToFit="0" readingOrder="0"/>
      <border diagonalUp="0" diagonalDown="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alignment horizontal="center" vertical="center" textRotation="0" wrapText="0"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bottom" textRotation="0" wrapText="1" indent="0" justifyLastLine="0" shrinkToFit="0" readingOrder="0"/>
      <border diagonalUp="0" diagonalDown="0" outline="0">
        <left style="thin">
          <color rgb="FF000000"/>
        </left>
        <right style="thin">
          <color rgb="FF000000"/>
        </right>
        <top/>
        <bottom/>
      </border>
    </dxf>
    <dxf>
      <border diagonalUp="0" diagonalDown="0">
        <left style="thin">
          <color rgb="FF000000"/>
        </left>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1" indent="0" justifyLastLine="0" shrinkToFit="0" readingOrder="0"/>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0" formatCode="General"/>
      <alignment horizontal="center" vertical="center" textRotation="0" wrapText="0" indent="0" justifyLastLine="0" shrinkToFit="0" readingOrder="0"/>
      <border diagonalUp="0" diagonalDown="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alignment horizontal="center" vertical="center" textRotation="0" wrapText="0"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bottom" textRotation="0" wrapText="1" indent="0" justifyLastLine="0" shrinkToFit="0" readingOrder="0"/>
      <border diagonalUp="0" diagonalDown="0" outline="0">
        <left style="thin">
          <color rgb="FF000000"/>
        </left>
        <right style="thin">
          <color rgb="FF000000"/>
        </right>
        <top/>
        <bottom/>
      </border>
    </dxf>
    <dxf>
      <border diagonalUp="0" diagonalDown="0">
        <left style="thin">
          <color rgb="FF000000"/>
        </left>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1" indent="0" justifyLastLine="0" shrinkToFit="0" readingOrder="0"/>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0" formatCode="General"/>
      <alignment horizontal="center" vertical="center" textRotation="0" wrapText="0" indent="0" justifyLastLine="0" shrinkToFit="0" readingOrder="0"/>
      <border diagonalUp="0" diagonalDown="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alignment horizontal="center" vertical="center" textRotation="0" wrapText="0"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bottom" textRotation="0" wrapText="1" indent="0" justifyLastLine="0" shrinkToFit="0" readingOrder="0"/>
      <border diagonalUp="0" diagonalDown="0" outline="0">
        <left style="thin">
          <color rgb="FF000000"/>
        </left>
        <right style="thin">
          <color rgb="FF000000"/>
        </right>
        <top/>
        <bottom/>
      </border>
    </dxf>
    <dxf>
      <border diagonalUp="0" diagonalDown="0">
        <left style="thin">
          <color rgb="FF000000"/>
        </left>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1" indent="0" justifyLastLine="0" shrinkToFit="0" readingOrder="0"/>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0" formatCode="General"/>
      <alignment horizontal="center" vertical="center" textRotation="0" wrapText="0" indent="0" justifyLastLine="0" shrinkToFit="0" readingOrder="0"/>
      <border diagonalUp="0" diagonalDown="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alignment horizontal="center" vertical="center" textRotation="0" wrapText="0"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bottom" textRotation="0" wrapText="1" indent="0" justifyLastLine="0" shrinkToFit="0" readingOrder="0"/>
      <border diagonalUp="0" diagonalDown="0" outline="0">
        <left style="thin">
          <color rgb="FF000000"/>
        </left>
        <right style="thin">
          <color rgb="FF000000"/>
        </right>
        <top/>
        <bottom/>
      </border>
    </dxf>
    <dxf>
      <border diagonalUp="0" diagonalDown="0">
        <left style="thin">
          <color rgb="FF000000"/>
        </left>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1" indent="0" justifyLastLine="0" shrinkToFit="0" readingOrder="0"/>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0" formatCode="General"/>
      <alignment horizontal="center" vertical="center" textRotation="0" wrapText="0" indent="0" justifyLastLine="0" shrinkToFit="0" readingOrder="0"/>
      <border diagonalUp="0" diagonalDown="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alignment horizontal="center" vertical="center" textRotation="0" wrapText="0"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bottom" textRotation="0" wrapText="1" indent="0" justifyLastLine="0" shrinkToFit="0" readingOrder="0"/>
      <border diagonalUp="0" diagonalDown="0" outline="0">
        <left style="thin">
          <color rgb="FF000000"/>
        </left>
        <right style="thin">
          <color rgb="FF000000"/>
        </right>
        <top/>
        <bottom/>
      </border>
    </dxf>
    <dxf>
      <border diagonalUp="0" diagonalDown="0">
        <left style="thin">
          <color rgb="FF000000"/>
        </left>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1" indent="0" justifyLastLine="0" shrinkToFit="0" readingOrder="0"/>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0" formatCode="General"/>
      <alignment horizontal="center" vertical="center" textRotation="0" wrapText="0" indent="0" justifyLastLine="0" shrinkToFit="0" readingOrder="0"/>
      <border diagonalUp="0" diagonalDown="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alignment horizontal="center" vertical="center" textRotation="0" wrapText="0"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bottom" textRotation="0" wrapText="1" indent="0" justifyLastLine="0" shrinkToFit="0" readingOrder="0"/>
      <border diagonalUp="0" diagonalDown="0" outline="0">
        <left style="thin">
          <color rgb="FF000000"/>
        </left>
        <right style="thin">
          <color rgb="FF000000"/>
        </right>
        <top/>
        <bottom/>
      </border>
    </dxf>
    <dxf>
      <border diagonalUp="0" diagonalDown="0">
        <left style="thin">
          <color rgb="FF000000"/>
        </left>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1" indent="0" justifyLastLine="0" shrinkToFit="0" readingOrder="0"/>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0" formatCode="General"/>
      <alignment horizontal="center" vertical="center" textRotation="0" wrapText="0" indent="0" justifyLastLine="0" shrinkToFit="0" readingOrder="0"/>
      <border diagonalUp="0" diagonalDown="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alignment horizontal="center" vertical="center" textRotation="0" wrapText="0"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bottom" textRotation="0" wrapText="1" indent="0" justifyLastLine="0" shrinkToFit="0" readingOrder="0"/>
      <border diagonalUp="0" diagonalDown="0" outline="0">
        <left style="thin">
          <color rgb="FF000000"/>
        </left>
        <right style="thin">
          <color rgb="FF000000"/>
        </right>
        <top/>
        <bottom/>
      </border>
    </dxf>
    <dxf>
      <border diagonalUp="0" diagonalDown="0">
        <left style="thin">
          <color rgb="FF000000"/>
        </left>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1" indent="0" justifyLastLine="0" shrinkToFit="0" readingOrder="0"/>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0" formatCode="General"/>
      <alignment horizontal="center" vertical="center" textRotation="0" wrapText="0" indent="0" justifyLastLine="0" shrinkToFit="0" readingOrder="0"/>
      <border diagonalUp="0" diagonalDown="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alignment horizontal="center" vertical="center" textRotation="0" wrapText="0"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bottom" textRotation="0" wrapText="1" indent="0" justifyLastLine="0" shrinkToFit="0" readingOrder="0"/>
      <border diagonalUp="0" diagonalDown="0" outline="0">
        <left style="thin">
          <color rgb="FF000000"/>
        </left>
        <right style="thin">
          <color rgb="FF000000"/>
        </right>
        <top/>
        <bottom/>
      </border>
    </dxf>
    <dxf>
      <border diagonalUp="0" diagonalDown="0">
        <left style="thin">
          <color rgb="FF000000"/>
        </left>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1" indent="0" justifyLastLine="0" shrinkToFit="0" readingOrder="0"/>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0" formatCode="General"/>
      <alignment horizontal="center" vertical="center" textRotation="0" wrapText="0" indent="0" justifyLastLine="0" shrinkToFit="0" readingOrder="0"/>
      <border diagonalUp="0" diagonalDown="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alignment horizontal="center" vertical="center" textRotation="0" wrapText="0"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bottom" textRotation="0" wrapText="1" indent="0" justifyLastLine="0" shrinkToFit="0" readingOrder="0"/>
      <border diagonalUp="0" diagonalDown="0" outline="0">
        <left style="thin">
          <color rgb="FF000000"/>
        </left>
        <right style="thin">
          <color rgb="FF000000"/>
        </right>
        <top/>
        <bottom/>
      </border>
    </dxf>
    <dxf>
      <border diagonalUp="0" diagonalDown="0">
        <left style="thin">
          <color rgb="FF000000"/>
        </left>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1" indent="0" justifyLastLine="0" shrinkToFit="0" readingOrder="0"/>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0" formatCode="General"/>
      <alignment horizontal="center" vertical="center" textRotation="0" wrapText="0" indent="0" justifyLastLine="0" shrinkToFit="0" readingOrder="0"/>
      <border diagonalUp="0" diagonalDown="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alignment horizontal="center" vertical="center" textRotation="0" wrapText="0"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bottom" textRotation="0" wrapText="1" indent="0" justifyLastLine="0" shrinkToFit="0" readingOrder="0"/>
      <border diagonalUp="0" diagonalDown="0" outline="0">
        <left style="thin">
          <color rgb="FF000000"/>
        </left>
        <right style="thin">
          <color rgb="FF000000"/>
        </right>
        <top/>
        <bottom/>
      </border>
    </dxf>
    <dxf>
      <border diagonalUp="0" diagonalDown="0">
        <left style="thin">
          <color rgb="FF000000"/>
        </left>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1" indent="0" justifyLastLine="0" shrinkToFit="0" readingOrder="0"/>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0" formatCode="General"/>
      <alignment horizontal="center" vertical="center" textRotation="0" wrapText="0" indent="0" justifyLastLine="0" shrinkToFit="0" readingOrder="0"/>
      <border diagonalUp="0" diagonalDown="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alignment horizontal="center" vertical="center" textRotation="0" wrapText="0"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bottom" textRotation="0" wrapText="1" indent="0" justifyLastLine="0" shrinkToFit="0" readingOrder="0"/>
      <border diagonalUp="0" diagonalDown="0" outline="0">
        <left style="thin">
          <color rgb="FF000000"/>
        </left>
        <right style="thin">
          <color rgb="FF000000"/>
        </right>
        <top/>
        <bottom/>
      </border>
    </dxf>
    <dxf>
      <border diagonalUp="0" diagonalDown="0">
        <left style="thin">
          <color rgb="FF000000"/>
        </left>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1" indent="0" justifyLastLine="0" shrinkToFit="0" readingOrder="0"/>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0" formatCode="General"/>
      <alignment horizontal="center" vertical="center" textRotation="0" wrapText="0" indent="0" justifyLastLine="0" shrinkToFit="0" readingOrder="0"/>
      <border diagonalUp="0" diagonalDown="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alignment horizontal="center" vertical="center" textRotation="0" wrapText="0"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bottom" textRotation="0" wrapText="1" indent="0" justifyLastLine="0" shrinkToFit="0" readingOrder="0"/>
      <border diagonalUp="0" diagonalDown="0" outline="0">
        <left style="thin">
          <color rgb="FF000000"/>
        </left>
        <right style="thin">
          <color rgb="FF000000"/>
        </right>
        <top/>
        <bottom/>
      </border>
    </dxf>
    <dxf>
      <border diagonalUp="0" diagonalDown="0">
        <left style="thin">
          <color rgb="FF000000"/>
        </left>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1" indent="0" justifyLastLine="0" shrinkToFit="0" readingOrder="0"/>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0" formatCode="General"/>
      <alignment horizontal="center" vertical="center" textRotation="0" wrapText="0" indent="0" justifyLastLine="0" shrinkToFit="0" readingOrder="0"/>
      <border diagonalUp="0" diagonalDown="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alignment horizontal="center" vertical="center" textRotation="0" wrapText="0"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bottom" textRotation="0" wrapText="1" indent="0" justifyLastLine="0" shrinkToFit="0" readingOrder="0"/>
      <border diagonalUp="0" diagonalDown="0" outline="0">
        <left style="thin">
          <color rgb="FF000000"/>
        </left>
        <right style="thin">
          <color rgb="FF000000"/>
        </right>
        <top/>
        <bottom/>
      </border>
    </dxf>
    <dxf>
      <border diagonalUp="0" diagonalDown="0">
        <left style="thin">
          <color rgb="FF000000"/>
        </left>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1" indent="0" justifyLastLine="0" shrinkToFit="0" readingOrder="0"/>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0" formatCode="General"/>
      <alignment horizontal="center" vertical="center" textRotation="0" wrapText="0" indent="0" justifyLastLine="0" shrinkToFit="0" readingOrder="0"/>
      <border diagonalUp="0" diagonalDown="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alignment horizontal="center" vertical="center" textRotation="0" wrapText="0"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bottom" textRotation="0" wrapText="1" indent="0" justifyLastLine="0" shrinkToFit="0" readingOrder="0"/>
      <border diagonalUp="0" diagonalDown="0" outline="0">
        <left style="thin">
          <color rgb="FF000000"/>
        </left>
        <right style="thin">
          <color rgb="FF000000"/>
        </right>
        <top/>
        <bottom/>
      </border>
    </dxf>
    <dxf>
      <border diagonalUp="0" diagonalDown="0">
        <left style="thin">
          <color rgb="FF000000"/>
        </left>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1" indent="0" justifyLastLine="0" shrinkToFit="0" readingOrder="0"/>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0" formatCode="General"/>
      <alignment horizontal="center" vertical="center" textRotation="0" wrapText="0" indent="0" justifyLastLine="0" shrinkToFit="0" readingOrder="0"/>
      <border diagonalUp="0" diagonalDown="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alignment horizontal="center" vertical="center" textRotation="0" wrapText="0"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bottom" textRotation="0" wrapText="1" indent="0" justifyLastLine="0" shrinkToFit="0" readingOrder="0"/>
      <border diagonalUp="0" diagonalDown="0" outline="0">
        <left style="thin">
          <color rgb="FF000000"/>
        </left>
        <right style="thin">
          <color rgb="FF000000"/>
        </right>
        <top/>
        <bottom/>
      </border>
    </dxf>
    <dxf>
      <border diagonalUp="0" diagonalDown="0">
        <left style="thin">
          <color rgb="FF000000"/>
        </left>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1" indent="0" justifyLastLine="0" shrinkToFit="0" readingOrder="0"/>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0" formatCode="General"/>
      <alignment horizontal="center" vertical="center" textRotation="0" wrapText="0" indent="0" justifyLastLine="0" shrinkToFit="0" readingOrder="0"/>
      <border diagonalUp="0" diagonalDown="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alignment horizontal="center" vertical="center" textRotation="0" wrapText="0"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bottom" textRotation="0" wrapText="1" indent="0" justifyLastLine="0" shrinkToFit="0" readingOrder="0"/>
      <border diagonalUp="0" diagonalDown="0" outline="0">
        <left style="thin">
          <color rgb="FF000000"/>
        </left>
        <right style="thin">
          <color rgb="FF000000"/>
        </right>
        <top/>
        <bottom/>
      </border>
    </dxf>
    <dxf>
      <border diagonalUp="0" diagonalDown="0">
        <left style="thin">
          <color rgb="FF000000"/>
        </left>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1" indent="0" justifyLastLine="0" shrinkToFit="0" readingOrder="0"/>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0" formatCode="General"/>
      <alignment horizontal="center" vertical="center" textRotation="0" wrapText="0" indent="0" justifyLastLine="0" shrinkToFit="0" readingOrder="0"/>
      <border diagonalUp="0" diagonalDown="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alignment horizontal="center" vertical="center" textRotation="0" wrapText="0"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bottom" textRotation="0" wrapText="1" indent="0" justifyLastLine="0" shrinkToFit="0" readingOrder="0"/>
      <border diagonalUp="0" diagonalDown="0" outline="0">
        <left style="thin">
          <color rgb="FF000000"/>
        </left>
        <right style="thin">
          <color rgb="FF000000"/>
        </right>
        <top/>
        <bottom/>
      </border>
    </dxf>
    <dxf>
      <border diagonalUp="0" diagonalDown="0">
        <left style="thin">
          <color rgb="FF000000"/>
        </left>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1" indent="0" justifyLastLine="0" shrinkToFit="0" readingOrder="0"/>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0" formatCode="General"/>
      <alignment horizontal="center" vertical="center" textRotation="0" wrapText="0" indent="0" justifyLastLine="0" shrinkToFit="0" readingOrder="0"/>
      <border diagonalUp="0" diagonalDown="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alignment horizontal="center" vertical="center" textRotation="0" wrapText="0"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bottom" textRotation="0" wrapText="1" indent="0" justifyLastLine="0" shrinkToFit="0" readingOrder="0"/>
      <border diagonalUp="0" diagonalDown="0" outline="0">
        <left style="thin">
          <color rgb="FF000000"/>
        </left>
        <right style="thin">
          <color rgb="FF000000"/>
        </right>
        <top/>
        <bottom/>
      </border>
    </dxf>
    <dxf>
      <border diagonalUp="0" diagonalDown="0">
        <left style="thin">
          <color rgb="FF000000"/>
        </left>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1" indent="0" justifyLastLine="0" shrinkToFit="0" readingOrder="0"/>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0" formatCode="General"/>
      <alignment horizontal="center" vertical="center" textRotation="0" wrapText="0" indent="0" justifyLastLine="0" shrinkToFit="0" readingOrder="0"/>
      <border diagonalUp="0" diagonalDown="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alignment horizontal="center" vertical="center" textRotation="0" wrapText="0"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bottom" textRotation="0" wrapText="1" indent="0" justifyLastLine="0" shrinkToFit="0" readingOrder="0"/>
      <border diagonalUp="0" diagonalDown="0" outline="0">
        <left style="thin">
          <color rgb="FF000000"/>
        </left>
        <right style="thin">
          <color rgb="FF000000"/>
        </right>
        <top/>
        <bottom/>
      </border>
    </dxf>
    <dxf>
      <border diagonalUp="0" diagonalDown="0">
        <left style="thin">
          <color rgb="FF000000"/>
        </left>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1" indent="0" justifyLastLine="0" shrinkToFit="0" readingOrder="0"/>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0" formatCode="General"/>
      <alignment horizontal="center" vertical="center" textRotation="0" wrapText="0" indent="0" justifyLastLine="0" shrinkToFit="0" readingOrder="0"/>
      <border diagonalUp="0" diagonalDown="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alignment horizontal="center" vertical="center" textRotation="0" wrapText="0"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bottom" textRotation="0" wrapText="1" indent="0" justifyLastLine="0" shrinkToFit="0" readingOrder="0"/>
      <border diagonalUp="0" diagonalDown="0" outline="0">
        <left style="thin">
          <color rgb="FF000000"/>
        </left>
        <right style="thin">
          <color rgb="FF000000"/>
        </right>
        <top/>
        <bottom/>
      </border>
    </dxf>
    <dxf>
      <border diagonalUp="0" diagonalDown="0">
        <left style="thin">
          <color rgb="FF000000"/>
        </left>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1" indent="0" justifyLastLine="0" shrinkToFit="0" readingOrder="0"/>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0" formatCode="General"/>
      <alignment horizontal="center" vertical="center" textRotation="0" wrapText="0" indent="0" justifyLastLine="0" shrinkToFit="0" readingOrder="0"/>
      <border diagonalUp="0" diagonalDown="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alignment horizontal="center" vertical="center" textRotation="0" wrapText="0"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bottom" textRotation="0" wrapText="1" indent="0" justifyLastLine="0" shrinkToFit="0" readingOrder="0"/>
      <border diagonalUp="0" diagonalDown="0" outline="0">
        <left style="thin">
          <color rgb="FF000000"/>
        </left>
        <right style="thin">
          <color rgb="FF000000"/>
        </right>
        <top/>
        <bottom/>
      </border>
    </dxf>
    <dxf>
      <border diagonalUp="0" diagonalDown="0">
        <left style="thin">
          <color rgb="FF000000"/>
        </left>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1" indent="0" justifyLastLine="0" shrinkToFit="0" readingOrder="0"/>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0" formatCode="General"/>
      <alignment horizontal="center" vertical="center" textRotation="0" wrapText="0" indent="0" justifyLastLine="0" shrinkToFit="0" readingOrder="0"/>
      <border diagonalUp="0" diagonalDown="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alignment horizontal="center" vertical="center" textRotation="0" wrapText="0"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bottom" textRotation="0" wrapText="1" indent="0" justifyLastLine="0" shrinkToFit="0" readingOrder="0"/>
      <border diagonalUp="0" diagonalDown="0" outline="0">
        <left style="thin">
          <color rgb="FF000000"/>
        </left>
        <right style="thin">
          <color rgb="FF000000"/>
        </right>
        <top/>
        <bottom/>
      </border>
    </dxf>
    <dxf>
      <border diagonalUp="0" diagonalDown="0">
        <left style="thin">
          <color rgb="FF000000"/>
        </left>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1" indent="0" justifyLastLine="0" shrinkToFit="0" readingOrder="0"/>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0" formatCode="General"/>
      <alignment horizontal="center" vertical="center" textRotation="0" wrapText="0" indent="0" justifyLastLine="0" shrinkToFit="0" readingOrder="0"/>
      <border diagonalUp="0" diagonalDown="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alignment horizontal="center" vertical="center" textRotation="0" wrapText="0"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bottom" textRotation="0" wrapText="1" indent="0" justifyLastLine="0" shrinkToFit="0" readingOrder="0"/>
      <border diagonalUp="0" diagonalDown="0" outline="0">
        <left style="thin">
          <color rgb="FF000000"/>
        </left>
        <right style="thin">
          <color rgb="FF000000"/>
        </right>
        <top/>
        <bottom/>
      </border>
    </dxf>
    <dxf>
      <border diagonalUp="0" diagonalDown="0">
        <left style="thin">
          <color rgb="FF000000"/>
        </left>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1" indent="0" justifyLastLine="0" shrinkToFit="0" readingOrder="0"/>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0" formatCode="General"/>
      <alignment horizontal="center" vertical="center" textRotation="0" wrapText="0" indent="0" justifyLastLine="0" shrinkToFit="0" readingOrder="0"/>
      <border diagonalUp="0" diagonalDown="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alignment horizontal="center" vertical="center" textRotation="0" wrapText="0"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bottom" textRotation="0" wrapText="1" indent="0" justifyLastLine="0" shrinkToFit="0" readingOrder="0"/>
      <border diagonalUp="0" diagonalDown="0" outline="0">
        <left style="thin">
          <color rgb="FF000000"/>
        </left>
        <right style="thin">
          <color rgb="FF000000"/>
        </right>
        <top/>
        <bottom/>
      </border>
    </dxf>
    <dxf>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1" indent="0" justifyLastLine="0" shrinkToFit="0" readingOrder="0"/>
    </dxf>
    <dxf>
      <alignment horizontal="center" vertical="cent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0" formatCode="General"/>
      <alignment horizontal="center" vertical="center" textRotation="0" wrapText="0" indent="0" justifyLastLine="0" shrinkToFit="0" readingOrder="0"/>
      <border diagonalUp="0" diagonalDown="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alignment horizontal="center" vertical="center" textRotation="0" wrapText="0"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bottom" textRotation="0" wrapText="1" indent="0" justifyLastLine="0" shrinkToFit="0" readingOrder="0"/>
      <border diagonalUp="0" diagonalDown="0" outline="0">
        <left style="thin">
          <color rgb="FF000000"/>
        </left>
        <right style="thin">
          <color rgb="FF000000"/>
        </right>
        <top/>
        <bottom/>
      </border>
    </dxf>
    <dxf>
      <alignment horizontal="center" vertical="center" textRotation="0" wrapText="0" indent="0" justifyLastLine="0" shrinkToFit="0" readingOrder="0"/>
    </dxf>
    <dxf>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1" indent="0" justifyLastLine="0" shrinkToFit="0" readingOrder="0"/>
    </dxf>
    <dxf>
      <alignment horizontal="center" vertical="cent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0" formatCode="General"/>
      <alignment horizontal="center" vertical="center" textRotation="0" wrapText="0" indent="0" justifyLastLine="0" shrinkToFit="0" readingOrder="0"/>
      <border diagonalUp="0" diagonalDown="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alignment horizontal="center" vertical="center" textRotation="0" wrapText="0"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bottom" textRotation="0" wrapText="1" indent="0" justifyLastLine="0" shrinkToFit="0" readingOrder="0"/>
      <border diagonalUp="0" diagonalDown="0" outline="0">
        <left style="thin">
          <color rgb="FF000000"/>
        </left>
        <right style="thin">
          <color rgb="FF000000"/>
        </right>
        <top/>
        <bottom/>
      </border>
    </dxf>
    <dxf>
      <alignment horizontal="center" vertical="center" textRotation="0" wrapText="0" indent="0" justifyLastLine="0" shrinkToFit="0" readingOrder="0"/>
    </dxf>
    <dxf>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1" indent="0" justifyLastLine="0" shrinkToFit="0" readingOrder="0"/>
    </dxf>
    <dxf>
      <alignment horizontal="center" vertical="cent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0" formatCode="General"/>
      <alignment horizontal="center" vertical="center" textRotation="0" wrapText="0" indent="0" justifyLastLine="0" shrinkToFit="0" readingOrder="0"/>
      <border diagonalUp="0" diagonalDown="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alignment horizontal="center" vertical="center" textRotation="0" wrapText="0"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bottom" textRotation="0" wrapText="1" indent="0" justifyLastLine="0" shrinkToFit="0" readingOrder="0"/>
      <border diagonalUp="0" diagonalDown="0" outline="0">
        <left style="thin">
          <color rgb="FF000000"/>
        </left>
        <right style="thin">
          <color rgb="FF000000"/>
        </right>
        <top/>
        <bottom/>
      </border>
    </dxf>
    <dxf>
      <alignment horizontal="center" vertical="center" textRotation="0" wrapText="0" indent="0" justifyLastLine="0" shrinkToFit="0" readingOrder="0"/>
    </dxf>
    <dxf>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1" indent="0" justifyLastLine="0" shrinkToFit="0" readingOrder="0"/>
    </dxf>
    <dxf>
      <alignment horizontal="center" vertical="cent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0" formatCode="General"/>
      <alignment horizontal="center" vertical="center" textRotation="0" wrapText="0" indent="0" justifyLastLine="0" shrinkToFit="0" readingOrder="0"/>
      <border diagonalUp="0" diagonalDown="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alignment horizontal="center" vertical="center" textRotation="0" wrapText="0"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bottom" textRotation="0" wrapText="1" indent="0" justifyLastLine="0" shrinkToFit="0" readingOrder="0"/>
      <border diagonalUp="0" diagonalDown="0" outline="0">
        <left style="thin">
          <color rgb="FF000000"/>
        </left>
        <right style="thin">
          <color rgb="FF000000"/>
        </right>
        <top/>
        <bottom/>
      </border>
    </dxf>
    <dxf>
      <alignment horizontal="center" vertical="center" textRotation="0" wrapText="0" indent="0" justifyLastLine="0" shrinkToFit="0" readingOrder="0"/>
    </dxf>
    <dxf>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1" indent="0" justifyLastLine="0" shrinkToFit="0" readingOrder="0"/>
    </dxf>
    <dxf>
      <alignment horizontal="center" vertical="cent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0" formatCode="General"/>
      <alignment horizontal="center" vertical="center" textRotation="0" wrapText="0" indent="0" justifyLastLine="0" shrinkToFit="0" readingOrder="0"/>
      <border diagonalUp="0" diagonalDown="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alignment horizontal="center" vertical="center" textRotation="0" wrapText="0"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bottom" textRotation="0" wrapText="1" indent="0" justifyLastLine="0" shrinkToFit="0" readingOrder="0"/>
      <border diagonalUp="0" diagonalDown="0" outline="0">
        <left style="thin">
          <color rgb="FF000000"/>
        </left>
        <right style="thin">
          <color rgb="FF000000"/>
        </right>
        <top/>
        <bottom/>
      </border>
    </dxf>
    <dxf>
      <alignment horizontal="center" vertical="center" textRotation="0" wrapText="0" indent="0" justifyLastLine="0" shrinkToFit="0" readingOrder="0"/>
    </dxf>
    <dxf>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1" indent="0" justifyLastLine="0" shrinkToFit="0" readingOrder="0"/>
    </dxf>
    <dxf>
      <alignment horizontal="center" vertical="cent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0" formatCode="General"/>
      <alignment horizontal="center" vertical="center" textRotation="0" wrapText="0" indent="0" justifyLastLine="0" shrinkToFit="0" readingOrder="0"/>
      <border diagonalUp="0" diagonalDown="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alignment horizontal="center" vertical="center" textRotation="0" wrapText="0"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bottom" textRotation="0" wrapText="1" indent="0" justifyLastLine="0" shrinkToFit="0" readingOrder="0"/>
      <border diagonalUp="0" diagonalDown="0" outline="0">
        <left style="thin">
          <color rgb="FF000000"/>
        </left>
        <right style="thin">
          <color rgb="FF000000"/>
        </right>
        <top/>
        <bottom/>
      </border>
    </dxf>
    <dxf>
      <alignment horizontal="center" vertical="center" textRotation="0" wrapText="0" indent="0" justifyLastLine="0" shrinkToFit="0" readingOrder="0"/>
    </dxf>
    <dxf>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1" indent="0" justifyLastLine="0" shrinkToFit="0" readingOrder="0"/>
    </dxf>
    <dxf>
      <alignment horizontal="center" vertical="cent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0" formatCode="General"/>
      <alignment horizontal="center" vertical="center" textRotation="0" wrapText="0" indent="0" justifyLastLine="0" shrinkToFit="0" readingOrder="0"/>
      <border diagonalUp="0" diagonalDown="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alignment horizontal="center" vertical="center" textRotation="0" wrapText="0"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bottom" textRotation="0" wrapText="1" indent="0" justifyLastLine="0" shrinkToFit="0" readingOrder="0"/>
      <border diagonalUp="0" diagonalDown="0" outline="0">
        <left style="thin">
          <color rgb="FF000000"/>
        </left>
        <right style="thin">
          <color rgb="FF000000"/>
        </right>
        <top/>
        <bottom/>
      </border>
    </dxf>
    <dxf>
      <alignment horizontal="center" vertical="center" textRotation="0" wrapText="0" indent="0" justifyLastLine="0" shrinkToFit="0" readingOrder="0"/>
    </dxf>
    <dxf>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1" indent="0" justifyLastLine="0" shrinkToFit="0" readingOrder="0"/>
    </dxf>
    <dxf>
      <alignment horizontal="center" vertical="cent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0" formatCode="General"/>
      <alignment horizontal="center" vertical="center" textRotation="0" wrapText="0" indent="0" justifyLastLine="0" shrinkToFit="0" readingOrder="0"/>
      <border diagonalUp="0" diagonalDown="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alignment horizontal="center" vertical="center" textRotation="0" wrapText="0"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bottom" textRotation="0" wrapText="1" indent="0" justifyLastLine="0" shrinkToFit="0" readingOrder="0"/>
      <border diagonalUp="0" diagonalDown="0" outline="0">
        <left style="thin">
          <color rgb="FF000000"/>
        </left>
        <right style="thin">
          <color rgb="FF000000"/>
        </right>
        <top/>
        <bottom/>
      </border>
    </dxf>
    <dxf>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1" indent="0" justifyLastLine="0" shrinkToFit="0" readingOrder="0"/>
    </dxf>
    <dxf>
      <alignment horizontal="center" vertical="cent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0" formatCode="General"/>
      <alignment horizontal="center" vertical="center" textRotation="0" wrapText="0" indent="0" justifyLastLine="0" shrinkToFit="0" readingOrder="0"/>
      <border diagonalUp="0" diagonalDown="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alignment horizontal="center" vertical="center" textRotation="0" wrapText="0"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bottom" textRotation="0" wrapText="1" indent="0" justifyLastLine="0" shrinkToFit="0" readingOrder="0"/>
      <border diagonalUp="0" diagonalDown="0" outline="0">
        <left style="thin">
          <color rgb="FF000000"/>
        </left>
        <right style="thin">
          <color rgb="FF000000"/>
        </right>
        <top/>
        <bottom/>
      </border>
    </dxf>
    <dxf>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1" indent="0" justifyLastLine="0" shrinkToFit="0" readingOrder="0"/>
    </dxf>
    <dxf>
      <alignment horizontal="center" vertical="cent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0" formatCode="General"/>
      <alignment horizontal="center" vertical="center" textRotation="0" wrapText="0" indent="0" justifyLastLine="0" shrinkToFit="0" readingOrder="0"/>
      <border diagonalUp="0" diagonalDown="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alignment horizontal="center" vertical="center" textRotation="0" wrapText="0"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bottom" textRotation="0" wrapText="1" indent="0" justifyLastLine="0" shrinkToFit="0" readingOrder="0"/>
      <border diagonalUp="0" diagonalDown="0" outline="0">
        <left style="thin">
          <color rgb="FF000000"/>
        </left>
        <right style="thin">
          <color rgb="FF000000"/>
        </right>
        <top/>
        <bottom/>
      </border>
    </dxf>
  </dxfs>
  <tableStyles count="0" defaultTableStyle="TableStyleMedium2" defaultPivotStyle="PivotStyleLight16"/>
  <colors>
    <mruColors>
      <color rgb="FFF2FFF3"/>
      <color rgb="FFFAFE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worksheet" Target="worksheets/sheet112.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28" Type="http://schemas.openxmlformats.org/officeDocument/2006/relationships/styles" Target="styles.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worksheet" Target="worksheets/sheet124.xml"/><Relationship Id="rId129" Type="http://schemas.openxmlformats.org/officeDocument/2006/relationships/sharedStrings" Target="sharedStrings.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sheetMetadata" Target="metadata.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calcChain" Target="calcChain.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customschemas.google.com/relationships/workbookmetadata" Target="metadata"/><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theme" Target="theme/theme1.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45F30A8A-C667-4551-A462-E702C836754C}" name="Table14567810931213111415171819202116232224252627282930313233343536373839" displayName="Table14567810931213111415171819202116232224252627282930313233343536373839" ref="A1:AE11" totalsRowShown="0" headerRowDxfId="1089" dataDxfId="1088" tableBorderDxfId="1087">
  <autoFilter ref="A1:AE11" xr:uid="{9DC5C30B-A60C-4FFE-8316-8BFF998E3F7C}"/>
  <tableColumns count="31">
    <tableColumn id="1" xr3:uid="{92CAA3BF-6FFB-4326-877F-C9C6CEE46BE0}" name="S.No" dataDxfId="1086"/>
    <tableColumn id="25" xr3:uid="{8FABAAE7-FC40-4F74-B0B7-EE150730A9CD}" name="Application Name" dataDxfId="1085"/>
    <tableColumn id="27" xr3:uid="{5252D0A0-20B2-45A6-B994-2144BA64AFF0}" name="Sprint Start Date" dataDxfId="1084"/>
    <tableColumn id="26" xr3:uid="{AB2C6340-B368-4D00-8216-3DEA45379761}" name="Sprint End Date" dataDxfId="1083"/>
    <tableColumn id="2" xr3:uid="{C2253E4B-93D5-42C0-AA81-12C1FEE977AA}" name="Sprint " dataDxfId="1082"/>
    <tableColumn id="3" xr3:uid="{5538816D-060B-4827-9760-BB7732A90171}" name="Developer" dataDxfId="1081"/>
    <tableColumn id="4" xr3:uid="{E5D34777-382F-4CA5-A724-8D634094153E}" name="Story ID/Defect ID" dataDxfId="1080"/>
    <tableColumn id="5" xr3:uid="{818CC0F0-FF37-4FAF-BB17-D1DAD7816F18}" name="Description" dataDxfId="1079"/>
    <tableColumn id="23" xr3:uid="{31AB5C8D-35BE-44E7-8ACF-47F13CD7BBD0}" name="Status" dataDxfId="1078"/>
    <tableColumn id="6" xr3:uid="{46E7EFF8-142E-4747-898E-27AAB1E1F5D4}" name="Estimated(hrs/sp)" dataDxfId="1077"/>
    <tableColumn id="7" xr3:uid="{41A568FB-86FA-48C7-B4FA-0C119BAB385E}" name="Actual(hrs/sp)" dataDxfId="1076"/>
    <tableColumn id="28" xr3:uid="{66C8F96A-6043-4E6A-B45A-1FB839BDDFB6}" name="Actual Hours  Worklog" dataDxfId="1075"/>
    <tableColumn id="29" xr3:uid="{A8DB0155-8271-4052-BC61-A1FEB947DDA8}" name="Dev Start Date" dataDxfId="1074"/>
    <tableColumn id="30" xr3:uid="{DBFE7F6D-9705-42A8-929D-223B3CDBC7C3}" name="Dev End Date" dataDxfId="1073"/>
    <tableColumn id="8" xr3:uid="{B41CD87E-2199-4086-8B8E-5DC1B697CA87}" name="Unit testing" dataDxfId="1072"/>
    <tableColumn id="9" xr3:uid="{25719A97-176F-4A3D-A020-7E2EE5F5ADCC}" name="Peer Tested By" dataDxfId="1071"/>
    <tableColumn id="10" xr3:uid="{EF578277-97C4-46F3-A5B9-2B0140C576C2}" name="Peer Tested Defects, if any" dataDxfId="1070"/>
    <tableColumn id="11" xr3:uid="{EEAEF4C4-A6BE-4988-9DD7-CE1496EE76CC}" name="Peer Reviewed By" dataDxfId="1069"/>
    <tableColumn id="12" xr3:uid="{00A8016E-542D-4FC1-83B0-F02C0DAEE4B9}" name="Peer Code Review Comments, if any" dataDxfId="1068"/>
    <tableColumn id="13" xr3:uid="{83FD2215-A170-467B-BD48-FE7FFFD7B241}" name="PR Number/Link" dataDxfId="1067" dataCellStyle="Hyperlink"/>
    <tableColumn id="14" xr3:uid="{E808BCFC-EC2A-4E90-BC6C-A245FF3159CB}" name="PR Created Date" dataDxfId="1066"/>
    <tableColumn id="15" xr3:uid="{06F4ECCA-29C1-402D-979E-7A2D35BC57A8}" name="PR Approved Date" dataDxfId="1065"/>
    <tableColumn id="16" xr3:uid="{C8104CA2-0DE2-4ADF-B504-B014730A578F}" name="Onsite Lead Code Review" dataDxfId="1064"/>
    <tableColumn id="17" xr3:uid="{6CD8C763-FA24-4E53-B75E-DAD4378A2B3B}" name="Code Review Comments, if any" dataDxfId="1063"/>
    <tableColumn id="18" xr3:uid="{843415AD-A034-42A4-BEA3-E021ACF9E00D}" name="Client Code Review" dataDxfId="1062"/>
    <tableColumn id="19" xr3:uid="{6A9AAC95-D944-4B95-BFC9-0A629E79ED81}" name="Approved Date" dataDxfId="1061"/>
    <tableColumn id="20" xr3:uid="{83358191-95C0-4079-88BB-8DA87A9820C4}" name="Code Review Comments, if any2" dataDxfId="1060"/>
    <tableColumn id="21" xr3:uid="{E2FA5E98-3AE7-4FFF-B6DD-9F7EC185A8BA}" name="Internal PO -POV Comments" dataDxfId="1059"/>
    <tableColumn id="22" xr3:uid="{7813C7F3-7671-4FE3-BC3C-3577916B0EFD}" name="Client PO -POV Comments" dataDxfId="1058"/>
    <tableColumn id="24" xr3:uid="{ACE8455C-6BA8-4B71-BAE8-88D9BCC2B4C7}" name="Comments" dataDxfId="1057"/>
    <tableColumn id="31" xr3:uid="{74A9A884-5CFD-4419-A9D8-985E46963E0B}" name="QA Comments" dataDxfId="105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17785E46-AA87-4078-9073-689B1A659C1F}" name="Table145678109312131114151718192021162322242526272829303132333435363738" displayName="Table145678109312131114151718192021162322242526272829303132333435363738" ref="A1:AE11" totalsRowShown="0" headerRowDxfId="1055" dataDxfId="1054" tableBorderDxfId="1053">
  <autoFilter ref="A1:AE11" xr:uid="{9DC5C30B-A60C-4FFE-8316-8BFF998E3F7C}"/>
  <tableColumns count="31">
    <tableColumn id="1" xr3:uid="{A1728041-B9AD-43E6-A66A-92D53DDB30D4}" name="S.No" dataDxfId="1052"/>
    <tableColumn id="25" xr3:uid="{90655B16-E0C6-4ACA-A38C-F399998DD279}" name="Application Name" dataDxfId="1051"/>
    <tableColumn id="27" xr3:uid="{A3ADD467-A6B0-4E46-95AE-DFEF4FC6EA4E}" name="Sprint Start Date" dataDxfId="1050"/>
    <tableColumn id="26" xr3:uid="{4F0FD896-5FF7-4553-B30A-DC4690E84F03}" name="Sprint End Date" dataDxfId="1049"/>
    <tableColumn id="2" xr3:uid="{967DFD37-15A6-4C44-AD38-CF11E3259E89}" name="Sprint " dataDxfId="1048"/>
    <tableColumn id="3" xr3:uid="{BC4A856D-3EA0-4E98-A208-ADF679FFD4D4}" name="Developer" dataDxfId="1047"/>
    <tableColumn id="4" xr3:uid="{25DC1E2B-05F7-4AF7-822C-CA48E6BFB8CA}" name="Story ID/Defect ID" dataDxfId="1046"/>
    <tableColumn id="5" xr3:uid="{C31CB93A-E4F1-4DDC-8A48-E805C95DF00E}" name="Description" dataDxfId="1045"/>
    <tableColumn id="23" xr3:uid="{C7E04A51-E574-4AD1-9A44-2AF18A7AF3A1}" name="Status" dataDxfId="1044"/>
    <tableColumn id="6" xr3:uid="{EFB262B2-8953-4F28-AEDF-580A58E3A2EA}" name="Estimated(hrs/sp)" dataDxfId="1043"/>
    <tableColumn id="7" xr3:uid="{33F54886-CD09-4BB8-BD87-16BF6D4C0255}" name="Actual(hrs/sp)" dataDxfId="1042"/>
    <tableColumn id="28" xr3:uid="{80082A3B-37E7-456C-B263-47B0A42DDE95}" name="Actual Hours  Worklog" dataDxfId="1041"/>
    <tableColumn id="29" xr3:uid="{A9A7C033-D234-4054-B0A5-675285AC3354}" name="Dev Start Date" dataDxfId="1040"/>
    <tableColumn id="30" xr3:uid="{97DFBFF1-9E4E-444C-8F3C-8721A581BD25}" name="Dev End Date" dataDxfId="1039"/>
    <tableColumn id="8" xr3:uid="{E3118278-FAD6-4B43-B7B5-689667B80E39}" name="Unit testing" dataDxfId="1038"/>
    <tableColumn id="9" xr3:uid="{88E4D79C-6A32-4883-9FF6-9A828F0DB6E2}" name="Peer Tested By" dataDxfId="1037"/>
    <tableColumn id="10" xr3:uid="{C56B912D-609A-4A70-8054-B03EB1BC09A0}" name="Peer Tested Defects, if any" dataDxfId="1036"/>
    <tableColumn id="11" xr3:uid="{F8FAC3A6-3F43-40F5-9601-D48D5ECDAC83}" name="Peer Reviewed By" dataDxfId="1035"/>
    <tableColumn id="12" xr3:uid="{7DB465C5-AF07-4A6F-8F53-35D1A976378D}" name="Peer Code Review Comments, if any" dataDxfId="1034"/>
    <tableColumn id="13" xr3:uid="{6A73486C-A1DA-4FD3-A24A-534B06C8DFD3}" name="PR Number/Link" dataDxfId="1033" dataCellStyle="Hyperlink"/>
    <tableColumn id="14" xr3:uid="{64BFCF93-CB99-4501-A674-22220949C77E}" name="PR Created Date" dataDxfId="1032"/>
    <tableColumn id="15" xr3:uid="{4B9B59BB-6BCD-43DF-AAF3-D16945968061}" name="PR Approved Date" dataDxfId="1031"/>
    <tableColumn id="16" xr3:uid="{99DA5243-5B74-4EC8-8068-62F01B9FD3AC}" name="Onsite Lead Code Review" dataDxfId="1030"/>
    <tableColumn id="17" xr3:uid="{41F2007A-3464-42F8-9428-2EC1FF9E0EF2}" name="Code Review Comments, if any" dataDxfId="1029"/>
    <tableColumn id="18" xr3:uid="{45F348C6-AF8F-4936-A05A-64FBF60DD0C8}" name="Client Code Review" dataDxfId="1028"/>
    <tableColumn id="19" xr3:uid="{9CE36E85-90DF-4EE8-A504-08B52E3BB226}" name="Approved Date" dataDxfId="1027"/>
    <tableColumn id="20" xr3:uid="{2E1EB3CF-861F-4A34-A400-69E6735F739E}" name="Code Review Comments, if any2" dataDxfId="1026"/>
    <tableColumn id="21" xr3:uid="{1B7CE119-DB7C-454E-8DAD-176DF922E225}" name="Internal PO -POV Comments" dataDxfId="1025"/>
    <tableColumn id="22" xr3:uid="{3B05CADA-EC97-4447-8B4E-7EE0EDD72A0E}" name="Client PO -POV Comments" dataDxfId="1024"/>
    <tableColumn id="24" xr3:uid="{85689830-223F-480B-89C0-22C5E4AE51B3}" name="Comments" dataDxfId="1023"/>
    <tableColumn id="31" xr3:uid="{A71896BE-C1B2-4137-B704-5ED8C4969794}" name="QA Comments" dataDxfId="102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11D11C5C-4E28-47A5-AF62-2F31FED3FBE2}" name="Table1456781093121311141517181920211623222425262728293031323334353637" displayName="Table1456781093121311141517181920211623222425262728293031323334353637" ref="A1:AE8" totalsRowShown="0" headerRowDxfId="1021" dataDxfId="1020" tableBorderDxfId="1019">
  <autoFilter ref="A1:AE8" xr:uid="{9DC5C30B-A60C-4FFE-8316-8BFF998E3F7C}"/>
  <tableColumns count="31">
    <tableColumn id="1" xr3:uid="{5EA98528-FD86-4554-B6A2-A6C3EA8423DC}" name="S.No" dataDxfId="1018"/>
    <tableColumn id="25" xr3:uid="{84FFC362-2759-4636-A3E2-B95FF560F146}" name="Application Name" dataDxfId="1017"/>
    <tableColumn id="27" xr3:uid="{97F82D59-93FC-44B8-A4EA-3D1763B77BB0}" name="Sprint Start Date" dataDxfId="1016"/>
    <tableColumn id="26" xr3:uid="{6575D36D-5A71-4526-B549-074D3B7CA1DA}" name="Sprint End Date" dataDxfId="1015"/>
    <tableColumn id="2" xr3:uid="{C5D8D4A4-51F8-48BD-A943-96FC1C57489B}" name="Sprint " dataDxfId="1014"/>
    <tableColumn id="3" xr3:uid="{54B63869-D13D-4461-AD00-6084D7B46BFC}" name="Developer" dataDxfId="1013"/>
    <tableColumn id="4" xr3:uid="{C20AF0FF-22CC-4F6C-AD06-3D32D2758B86}" name="Story ID/Defect ID" dataDxfId="1012"/>
    <tableColumn id="5" xr3:uid="{793B86A3-29F9-4317-B1E4-657F9F6E1AAE}" name="Description" dataDxfId="1011"/>
    <tableColumn id="23" xr3:uid="{2EF7152A-B9B9-44CB-B5CA-7CBDCAC1E0BF}" name="Status" dataDxfId="1010"/>
    <tableColumn id="6" xr3:uid="{A23601C8-7A54-4DBB-8E9C-6C332D0DBB6B}" name="Estimated(hrs/sp)" dataDxfId="1009"/>
    <tableColumn id="7" xr3:uid="{0B624147-C16B-4D40-9609-CB36BBA3280A}" name="Actual(hrs/sp)" dataDxfId="1008"/>
    <tableColumn id="28" xr3:uid="{DA4A9CEA-4445-43CE-BC42-DC65F01A8A96}" name="Actual Hours  Worklog" dataDxfId="1007"/>
    <tableColumn id="29" xr3:uid="{FA6F6E5A-395F-4209-83BC-6B7CE79AF94F}" name="Dev Start Date" dataDxfId="1006"/>
    <tableColumn id="30" xr3:uid="{FB0ADB74-F8FC-474B-BDF7-C842ACEA76CA}" name="Dev End Date" dataDxfId="1005"/>
    <tableColumn id="8" xr3:uid="{F801A95C-A2B6-47B7-A553-B5092DACFA24}" name="Unit testing" dataDxfId="1004"/>
    <tableColumn id="9" xr3:uid="{458B39CA-C1FF-4C00-B067-5681EAAD637A}" name="Peer Tested By" dataDxfId="1003"/>
    <tableColumn id="10" xr3:uid="{12441111-A5C9-490F-B8C7-0BDEE5717C1E}" name="Peer Tested Defects, if any" dataDxfId="1002"/>
    <tableColumn id="11" xr3:uid="{8BB01A4B-B699-48E3-921C-17263C451FC9}" name="Peer Reviewed By" dataDxfId="1001"/>
    <tableColumn id="12" xr3:uid="{AD3948C7-CC3F-4F6D-9FDC-3EB9DE56327B}" name="Peer Code Review Comments, if any" dataDxfId="1000"/>
    <tableColumn id="13" xr3:uid="{686A4CAC-E3B4-41F4-ACFD-B011FDA61364}" name="PR Number/Link" dataDxfId="999" dataCellStyle="Hyperlink"/>
    <tableColumn id="14" xr3:uid="{CE70F87F-031F-49C8-BCB9-725C3D51C6ED}" name="PR Created Date" dataDxfId="998"/>
    <tableColumn id="15" xr3:uid="{48DF3F86-207B-4340-81D4-80FB8F827D47}" name="PR Approved Date" dataDxfId="997"/>
    <tableColumn id="16" xr3:uid="{19CE4839-4F56-4CB8-BB95-F1294D645380}" name="Onsite Lead Code Review" dataDxfId="996"/>
    <tableColumn id="17" xr3:uid="{36CA6A68-335C-4A74-B30D-E198A112603E}" name="Code Review Comments, if any" dataDxfId="995"/>
    <tableColumn id="18" xr3:uid="{906403DA-55D3-4543-B535-9C57DC41C266}" name="Client Code Review" dataDxfId="994"/>
    <tableColumn id="19" xr3:uid="{F27EBCE1-F1AF-427B-BEE3-F79431815383}" name="Approved Date" dataDxfId="993"/>
    <tableColumn id="20" xr3:uid="{E130CBDD-C552-4774-92E9-58E89D923473}" name="Code Review Comments, if any2" dataDxfId="992"/>
    <tableColumn id="21" xr3:uid="{55EF4C16-06E4-429D-8D3D-B41BA75BEC71}" name="Internal PO -POV Comments" dataDxfId="991"/>
    <tableColumn id="22" xr3:uid="{B09C4CA3-0675-4DFA-9777-3B89921AD632}" name="Client PO -POV Comments" dataDxfId="990"/>
    <tableColumn id="24" xr3:uid="{A302A09B-C076-4C51-9277-7667D71A311D}" name="Comments" dataDxfId="989"/>
    <tableColumn id="31" xr3:uid="{8732C9CB-13A6-4F0A-8A7C-4AAD6FBF385E}" name="QA Comments" dataDxfId="988"/>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BD2143A3-B5F5-4D48-8E25-0891D8142EF1}" name="Table14567810931213111415171819202116232224252627282930313233343536" displayName="Table14567810931213111415171819202116232224252627282930313233343536" ref="A1:AE6" totalsRowShown="0" headerRowDxfId="987" dataDxfId="986" tableBorderDxfId="985">
  <autoFilter ref="A1:AE6" xr:uid="{9DC5C30B-A60C-4FFE-8316-8BFF998E3F7C}"/>
  <tableColumns count="31">
    <tableColumn id="1" xr3:uid="{147F0A5C-5254-446D-A0A4-206D8A35BC1D}" name="S.No" dataDxfId="984"/>
    <tableColumn id="25" xr3:uid="{090DC0D5-BB3C-48C3-A1E0-1560D8BF4ACE}" name="Application Name" dataDxfId="983"/>
    <tableColumn id="27" xr3:uid="{05E26B9B-EF88-4D31-913C-339155958D4B}" name="Sprint Start Date" dataDxfId="982"/>
    <tableColumn id="26" xr3:uid="{6735CBF3-976E-4BCB-9734-9D7AFEE84771}" name="Sprint End Date" dataDxfId="981"/>
    <tableColumn id="2" xr3:uid="{C70955B8-760D-4D6D-B1FD-67A1772D07BB}" name="Sprint " dataDxfId="980"/>
    <tableColumn id="3" xr3:uid="{43AC89B0-5828-4CCB-9E48-6E0A38D48F27}" name="Developer" dataDxfId="979"/>
    <tableColumn id="4" xr3:uid="{C4EC88B6-1473-4768-BFAF-CD1A5C311FED}" name="Story ID/Defect ID" dataDxfId="978"/>
    <tableColumn id="5" xr3:uid="{99DA33CE-DB21-4746-AACD-67F694CB7FF7}" name="Description" dataDxfId="977"/>
    <tableColumn id="23" xr3:uid="{37C32530-8DBB-44DE-AF82-1EE334ADDDB2}" name="Status" dataDxfId="976"/>
    <tableColumn id="6" xr3:uid="{0E88ABC7-6E33-46FA-AC5C-ABEF8F7AD891}" name="Estimated(hrs/sp)" dataDxfId="975"/>
    <tableColumn id="7" xr3:uid="{F4F242B3-5A73-4C1D-9EDB-4CDA3F057F38}" name="Actual(hrs/sp)" dataDxfId="974"/>
    <tableColumn id="28" xr3:uid="{473C2677-8B7B-4E82-8C02-764951D7691E}" name="Actual Hours  Worklog" dataDxfId="973"/>
    <tableColumn id="29" xr3:uid="{DFECC7B1-CBF3-43F3-AE70-0C381B3FBF12}" name="Dev Start Date" dataDxfId="972"/>
    <tableColumn id="30" xr3:uid="{32404600-DA4A-4F79-90F7-59BD26D62607}" name="Dev End Date" dataDxfId="971"/>
    <tableColumn id="8" xr3:uid="{21C11D8F-D460-4459-8F62-86A10A797509}" name="Unit testing" dataDxfId="970"/>
    <tableColumn id="9" xr3:uid="{A0A27FF4-2889-4050-BAF8-1C2E5B78B198}" name="Peer Tested By" dataDxfId="969"/>
    <tableColumn id="10" xr3:uid="{46F4FF0C-3C77-44FF-BE62-23B8104785DD}" name="Peer Tested Defects, if any" dataDxfId="968"/>
    <tableColumn id="11" xr3:uid="{6AF14BC2-69FB-4DA6-9405-C10356482053}" name="Peer Reviewed By" dataDxfId="967"/>
    <tableColumn id="12" xr3:uid="{06E8177A-7EB5-47CA-89EA-BB044BCBBAA5}" name="Peer Code Review Comments, if any" dataDxfId="966"/>
    <tableColumn id="13" xr3:uid="{C1A6DF59-8385-4A40-BF2F-DE58B605F5E7}" name="PR Number/Link" dataDxfId="965" dataCellStyle="Hyperlink"/>
    <tableColumn id="14" xr3:uid="{50627662-849E-4AFB-91E4-B780EE30D5C4}" name="PR Created Date" dataDxfId="964"/>
    <tableColumn id="15" xr3:uid="{A7626DAC-583E-47C5-8357-CE0E1D16DFF2}" name="PR Approved Date" dataDxfId="963"/>
    <tableColumn id="16" xr3:uid="{5A332B9F-5B3A-4B3C-A40F-E501FF6AC121}" name="Onsite Lead Code Review" dataDxfId="962"/>
    <tableColumn id="17" xr3:uid="{5A71EF0C-8C8F-46EB-840F-BCCFBEAF4055}" name="Code Review Comments, if any" dataDxfId="961"/>
    <tableColumn id="18" xr3:uid="{2C386C95-9B3B-4FBE-B56F-4D6F28AA4727}" name="Client Code Review" dataDxfId="960"/>
    <tableColumn id="19" xr3:uid="{820A6342-CC8C-48DF-8A11-9B66EAA65E93}" name="Approved Date" dataDxfId="959"/>
    <tableColumn id="20" xr3:uid="{B75B1B58-C4EB-4AF6-8B2B-DC9354A1803D}" name="Code Review Comments, if any2" dataDxfId="958"/>
    <tableColumn id="21" xr3:uid="{7076F758-B781-43F1-8016-C7F16D4FB4A9}" name="Internal PO -POV Comments" dataDxfId="957"/>
    <tableColumn id="22" xr3:uid="{1AAF429F-E027-4235-99B9-30169822577F}" name="Client PO -POV Comments" dataDxfId="956"/>
    <tableColumn id="24" xr3:uid="{964F511C-01B2-417E-9723-F3A5FC57EBE0}" name="Comments" dataDxfId="955"/>
    <tableColumn id="31" xr3:uid="{E26A1652-5D47-4367-9982-B58CA56BB392}" name="QA Comments" dataDxfId="954"/>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C5AA7739-A688-4E2E-8988-28763A283019}" name="Table145678109312131114151718192021162322242526272829303132333435" displayName="Table145678109312131114151718192021162322242526272829303132333435" ref="A1:AE11" totalsRowShown="0" headerRowDxfId="953" dataDxfId="952" tableBorderDxfId="951">
  <autoFilter ref="A1:AE11" xr:uid="{9DC5C30B-A60C-4FFE-8316-8BFF998E3F7C}"/>
  <tableColumns count="31">
    <tableColumn id="1" xr3:uid="{DE1801A3-E490-42A1-A25C-E3C1012EE28F}" name="S.No" dataDxfId="950"/>
    <tableColumn id="25" xr3:uid="{A1E5987B-B273-4EF3-BBC5-3B1F10A742B5}" name="Application Name" dataDxfId="949"/>
    <tableColumn id="27" xr3:uid="{6C7F4032-8676-4AEA-84C9-B4E6624D1066}" name="Sprint Start Date" dataDxfId="948"/>
    <tableColumn id="26" xr3:uid="{D633C39D-E15C-4ACA-8DF5-08571CE6B45E}" name="Sprint End Date" dataDxfId="947"/>
    <tableColumn id="2" xr3:uid="{8A1772B6-6DD6-4292-93BB-B3EDFF500324}" name="Sprint " dataDxfId="946"/>
    <tableColumn id="3" xr3:uid="{0F25B0EC-1654-4A14-9007-9A811CAB6142}" name="Developer" dataDxfId="945"/>
    <tableColumn id="4" xr3:uid="{F8485B23-795A-4D43-B9B6-3DE8096AE514}" name="Story ID/Defect ID" dataDxfId="944"/>
    <tableColumn id="5" xr3:uid="{CD2AE956-4008-4E82-9B37-4E430A6151BA}" name="Description" dataDxfId="943"/>
    <tableColumn id="23" xr3:uid="{AB32AE0E-0DDA-492E-81A3-84E23036E8C0}" name="Status" dataDxfId="942"/>
    <tableColumn id="6" xr3:uid="{61E124F2-B8E8-4C48-B10F-48948D91575B}" name="Estimated(hrs/sp)" dataDxfId="941"/>
    <tableColumn id="7" xr3:uid="{75B02BBC-D152-43B6-817D-58E6D6520000}" name="Actual(hrs/sp)" dataDxfId="940"/>
    <tableColumn id="28" xr3:uid="{D381F226-6692-4D02-B391-EA45B711555B}" name="Actual Hours  Worklog" dataDxfId="939"/>
    <tableColumn id="29" xr3:uid="{89D78357-225F-48D8-89DC-EB7B4BD671A3}" name="Dev Start Date" dataDxfId="938"/>
    <tableColumn id="30" xr3:uid="{05C7C0B0-05AA-4C11-8E36-9F7ECE929B15}" name="Dev End Date" dataDxfId="937"/>
    <tableColumn id="8" xr3:uid="{31643107-2A99-4FD3-BFF7-7D37610D2DFF}" name="Unit testing" dataDxfId="936"/>
    <tableColumn id="9" xr3:uid="{B3EBBA4B-754C-4067-AB12-AD95B145B4F6}" name="Peer Tested By" dataDxfId="935"/>
    <tableColumn id="10" xr3:uid="{03B00F58-622F-45BB-81E8-F7BA070D5E6D}" name="Peer Tested Defects, if any" dataDxfId="934"/>
    <tableColumn id="11" xr3:uid="{F185AD3F-B504-43CE-BF38-C8822EA4634A}" name="Peer Reviewed By" dataDxfId="933"/>
    <tableColumn id="12" xr3:uid="{FCBA01A6-4923-4F22-8C6D-6A7ECC19BA5A}" name="Peer Code Review Comments, if any" dataDxfId="932"/>
    <tableColumn id="13" xr3:uid="{BFE03F74-BE19-4BFA-954F-D8A4EE90F7A1}" name="PR Number/Link" dataDxfId="931" dataCellStyle="Hyperlink"/>
    <tableColumn id="14" xr3:uid="{BD463A73-2406-4075-8018-29B5310B7901}" name="PR Created Date" dataDxfId="930"/>
    <tableColumn id="15" xr3:uid="{C12444CA-87D5-4DE3-82A4-25A63B195B56}" name="PR Approved Date" dataDxfId="929"/>
    <tableColumn id="16" xr3:uid="{2A20922B-3C78-4957-9D62-4BCD32B9EE2D}" name="Onsite Lead Code Review" dataDxfId="928"/>
    <tableColumn id="17" xr3:uid="{6687F0D5-908A-4E86-80CC-0BE28198DB7F}" name="Code Review Comments, if any" dataDxfId="927"/>
    <tableColumn id="18" xr3:uid="{C94ACD3D-A694-4AC6-9153-DE6AF46BFB05}" name="Client Code Review" dataDxfId="926"/>
    <tableColumn id="19" xr3:uid="{48852C4C-85B0-461F-B3FB-A56A4C0BD29F}" name="Approved Date" dataDxfId="925"/>
    <tableColumn id="20" xr3:uid="{012A83E5-FAA1-4EB1-94B9-9E50A8B92733}" name="Code Review Comments, if any2" dataDxfId="924"/>
    <tableColumn id="21" xr3:uid="{7C4AD45D-4BBE-4287-B937-6F859E79F368}" name="Internal PO -POV Comments" dataDxfId="923"/>
    <tableColumn id="22" xr3:uid="{FDA3427C-7B74-4BFE-BBD9-83B525D4B2F1}" name="Client PO -POV Comments" dataDxfId="922"/>
    <tableColumn id="24" xr3:uid="{F1EE5B75-0FEA-4562-9C7E-5752B67B4220}" name="Comments" dataDxfId="921"/>
    <tableColumn id="31" xr3:uid="{0594CD1E-C73E-4244-A365-5278756BCCBB}" name="QA Comments" dataDxfId="920"/>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12D67EB8-8360-46EB-8462-5E1A2E965FEF}" name="Table1456781093121311141517181920211623222425262728293031323334" displayName="Table1456781093121311141517181920211623222425262728293031323334" ref="A1:AE10" totalsRowShown="0" headerRowDxfId="919" dataDxfId="918" tableBorderDxfId="917">
  <autoFilter ref="A1:AE10" xr:uid="{9DC5C30B-A60C-4FFE-8316-8BFF998E3F7C}"/>
  <tableColumns count="31">
    <tableColumn id="1" xr3:uid="{9AC39903-6DB9-437D-AC37-E5CF74474F7F}" name="S.No" dataDxfId="916"/>
    <tableColumn id="25" xr3:uid="{6F3D7A09-F57E-4D57-949C-A9B1985AC573}" name="Application Name" dataDxfId="915"/>
    <tableColumn id="27" xr3:uid="{AB4848C7-292B-45D5-AEE9-A70BF668956A}" name="Sprint Start Date" dataDxfId="914"/>
    <tableColumn id="26" xr3:uid="{87A596E9-565F-4C77-BD16-E4356D6ED559}" name="Sprint End Date" dataDxfId="913"/>
    <tableColumn id="2" xr3:uid="{FECFE482-89E2-4554-B463-1190104EFB70}" name="Sprint " dataDxfId="912"/>
    <tableColumn id="3" xr3:uid="{E49B98FF-C23D-444F-B6BB-CCF890B7F0CA}" name="Developer" dataDxfId="911"/>
    <tableColumn id="4" xr3:uid="{3D71C5F4-3AA1-4D69-9ED3-10C355577B63}" name="Story ID/Defect ID" dataDxfId="910"/>
    <tableColumn id="5" xr3:uid="{D599D35A-BB94-49DC-BB4C-C4A743C8885E}" name="Description" dataDxfId="909"/>
    <tableColumn id="23" xr3:uid="{D9743316-5CE7-4F09-9CA1-736D29883CA9}" name="Status" dataDxfId="908"/>
    <tableColumn id="6" xr3:uid="{7980F20C-FFB0-4929-8504-798F45F44CD7}" name="Estimated(hrs/sp)" dataDxfId="907"/>
    <tableColumn id="7" xr3:uid="{F2173A11-AFB0-4878-B5AB-6013C1655145}" name="Actual(hrs/sp)" dataDxfId="906"/>
    <tableColumn id="28" xr3:uid="{062404D9-E6D8-4D16-ABBB-1AAB2BCFED14}" name="Actual Hours  Worklog" dataDxfId="905"/>
    <tableColumn id="29" xr3:uid="{E4E0DD5F-44C5-4AF0-B4C5-963E08EB8C1A}" name="Dev Start Date" dataDxfId="904"/>
    <tableColumn id="30" xr3:uid="{06C3990B-F7EC-4DDD-8598-F513DE4FC069}" name="Dev End Date" dataDxfId="903"/>
    <tableColumn id="8" xr3:uid="{29A87CEE-F210-44DD-A953-A1FDA1C92C7B}" name="Unit testing" dataDxfId="902"/>
    <tableColumn id="9" xr3:uid="{5A91A61A-F927-4CFC-9369-9FF9FAE8F38A}" name="Peer Tested By" dataDxfId="901"/>
    <tableColumn id="10" xr3:uid="{90073BDC-F0AA-4375-B7B6-190CC700F6FC}" name="Peer Tested Defects, if any" dataDxfId="900"/>
    <tableColumn id="11" xr3:uid="{88F6088D-3271-4ADE-835D-8EEB146E42FC}" name="Peer Reviewed By" dataDxfId="899"/>
    <tableColumn id="12" xr3:uid="{A836B4D0-A723-461A-B69E-8F432C17DA4B}" name="Peer Code Review Comments, if any" dataDxfId="898"/>
    <tableColumn id="13" xr3:uid="{8A01C9DB-A32D-4316-980C-120A5044371B}" name="PR Number/Link" dataDxfId="897" dataCellStyle="Hyperlink"/>
    <tableColumn id="14" xr3:uid="{90B07F8F-DA0D-4978-B09F-661215A9F41F}" name="PR Created Date" dataDxfId="896"/>
    <tableColumn id="15" xr3:uid="{FCFD8ABD-64DF-49C1-84CE-D5D2F784E7A7}" name="PR Approved Date" dataDxfId="895"/>
    <tableColumn id="16" xr3:uid="{B85F1F24-2F9E-4729-9DB3-11A6EE71ECD8}" name="Onsite Lead Code Review" dataDxfId="894"/>
    <tableColumn id="17" xr3:uid="{F33EAB49-FE69-4361-8CEE-A58D63847745}" name="Code Review Comments, if any" dataDxfId="893"/>
    <tableColumn id="18" xr3:uid="{A05CC973-8263-42D5-9656-B95F46C3C0ED}" name="Client Code Review" dataDxfId="892"/>
    <tableColumn id="19" xr3:uid="{E34CB996-966A-4BFC-9ECA-20795A29A0DA}" name="Approved Date" dataDxfId="891"/>
    <tableColumn id="20" xr3:uid="{42B3AE5C-B86F-474D-8271-D016AC133635}" name="Code Review Comments, if any2" dataDxfId="890"/>
    <tableColumn id="21" xr3:uid="{C5696265-18A5-4A07-A34C-48894E4763B0}" name="Internal PO -POV Comments" dataDxfId="889"/>
    <tableColumn id="22" xr3:uid="{32E786E7-9E57-42C3-964A-FF49491101EF}" name="Client PO -POV Comments" dataDxfId="888"/>
    <tableColumn id="24" xr3:uid="{661252CC-34D6-462E-863D-EE1015321BED}" name="Comments" dataDxfId="887"/>
    <tableColumn id="31" xr3:uid="{7C5FAC86-F6D9-4C76-8C12-86C1A1E84D0F}" name="QA Comments" dataDxfId="886"/>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FA4D66F7-4DA0-49B8-8EAF-E0D4680ED3A9}" name="Table14567810931213111415171819202116232224252627282930313233" displayName="Table14567810931213111415171819202116232224252627282930313233" ref="A1:AE6" totalsRowShown="0" headerRowDxfId="885" dataDxfId="884" tableBorderDxfId="883">
  <autoFilter ref="A1:AE6" xr:uid="{9DC5C30B-A60C-4FFE-8316-8BFF998E3F7C}"/>
  <tableColumns count="31">
    <tableColumn id="1" xr3:uid="{33170A17-790D-431C-B62F-7E2BB1D1406E}" name="S.No" dataDxfId="882"/>
    <tableColumn id="25" xr3:uid="{AD7068D5-79D9-4F81-97E1-EA2A11BCE272}" name="Application Name" dataDxfId="881"/>
    <tableColumn id="27" xr3:uid="{7A1EAAF2-374E-40B4-942B-D5DBCA4C3C9F}" name="Sprint Start Date" dataDxfId="880"/>
    <tableColumn id="26" xr3:uid="{4183BEBC-7347-4065-A7DD-22EC2C6FADB8}" name="Sprint End Date" dataDxfId="879"/>
    <tableColumn id="2" xr3:uid="{1A769FEA-BF56-4522-AE67-9F95C75F85F3}" name="Sprint " dataDxfId="878"/>
    <tableColumn id="3" xr3:uid="{F1321800-16B5-4529-8841-97BA1A1D283C}" name="Developer" dataDxfId="877"/>
    <tableColumn id="4" xr3:uid="{63972703-3ED1-4D6D-9281-FD388427DE63}" name="Story ID/Defect ID" dataDxfId="876"/>
    <tableColumn id="5" xr3:uid="{216A6829-453E-4646-8CAC-0E90F6BD6B24}" name="Description" dataDxfId="875"/>
    <tableColumn id="23" xr3:uid="{0B2DE1E9-6694-472D-A700-D7F84672BA09}" name="Status" dataDxfId="874"/>
    <tableColumn id="6" xr3:uid="{8F5F4274-B9ED-400B-9C2C-521770AC01D4}" name="Estimated(hrs/sp)" dataDxfId="873"/>
    <tableColumn id="7" xr3:uid="{FAAA3A47-30FF-47E0-886A-430D2619E61C}" name="Actual(hrs/sp)" dataDxfId="872"/>
    <tableColumn id="28" xr3:uid="{96055642-CDFB-4869-A491-3A7A5C04FE87}" name="Actual Hours  Worklog" dataDxfId="871"/>
    <tableColumn id="29" xr3:uid="{B1C0D07D-326D-4553-A069-F1AB83378ABE}" name="Dev Start Date" dataDxfId="870"/>
    <tableColumn id="30" xr3:uid="{1E7E8360-4D3E-4813-85DD-8CD34DDCA673}" name="Dev End Date" dataDxfId="869"/>
    <tableColumn id="8" xr3:uid="{93FD2F98-CCDC-4553-A89D-154278496D83}" name="Unit testing" dataDxfId="868"/>
    <tableColumn id="9" xr3:uid="{D269444F-CD4E-4DCE-8347-93FB545626F3}" name="Peer Tested By" dataDxfId="867"/>
    <tableColumn id="10" xr3:uid="{90981733-9A10-4772-A082-931EF834BAB9}" name="Peer Tested Defects, if any" dataDxfId="866"/>
    <tableColumn id="11" xr3:uid="{BA3A05D9-FD26-42AA-9F12-8AFD032866B5}" name="Peer Reviewed By" dataDxfId="865"/>
    <tableColumn id="12" xr3:uid="{90CDCD04-353E-4947-9DDC-C5255A64E3B9}" name="Peer Code Review Comments, if any" dataDxfId="864"/>
    <tableColumn id="13" xr3:uid="{B2B98D1F-AE6A-4DDE-BFB3-5522F7AD2F29}" name="PR Number/Link" dataDxfId="863" dataCellStyle="Hyperlink"/>
    <tableColumn id="14" xr3:uid="{3C4871AF-E67C-4C0A-9273-A05DC1888D43}" name="PR Created Date" dataDxfId="862"/>
    <tableColumn id="15" xr3:uid="{6F11E2FD-4410-4EA1-958D-E36306BC0301}" name="PR Approved Date" dataDxfId="861"/>
    <tableColumn id="16" xr3:uid="{1774AF64-6226-47F8-BE0D-6FD5D552D271}" name="Onsite Lead Code Review" dataDxfId="860"/>
    <tableColumn id="17" xr3:uid="{F95AC702-D633-47DE-A718-88849D9DB70F}" name="Code Review Comments, if any" dataDxfId="859"/>
    <tableColumn id="18" xr3:uid="{CA99F81C-6760-4DB5-BA80-F0211BA38E4E}" name="Client Code Review" dataDxfId="858"/>
    <tableColumn id="19" xr3:uid="{15E07E08-AC87-461C-B768-B65991F4E450}" name="Approved Date" dataDxfId="857"/>
    <tableColumn id="20" xr3:uid="{7891D64E-BB41-40ED-9E0F-59619498A3E2}" name="Code Review Comments, if any2" dataDxfId="856"/>
    <tableColumn id="21" xr3:uid="{BEE27780-618E-40C1-86F9-DEFE7A936571}" name="Internal PO -POV Comments" dataDxfId="855"/>
    <tableColumn id="22" xr3:uid="{2BAAE714-6023-4D29-928E-59E2BD0D18F2}" name="Client PO -POV Comments" dataDxfId="854"/>
    <tableColumn id="24" xr3:uid="{8A5F1323-474C-4509-934F-AF4AEFB77161}" name="Comments" dataDxfId="853"/>
    <tableColumn id="31" xr3:uid="{2F05CF7A-F35C-4F6E-A42A-6546FFEBFB68}" name="QA Comments" dataDxfId="852"/>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75781DB5-4E88-4F27-9647-3BA893A7EB56}" name="Table145678109312131114151718192021162322242526272829303132" displayName="Table145678109312131114151718192021162322242526272829303132" ref="A1:AE16" totalsRowShown="0" headerRowDxfId="851" dataDxfId="850" tableBorderDxfId="849">
  <autoFilter ref="A1:AE16" xr:uid="{9DC5C30B-A60C-4FFE-8316-8BFF998E3F7C}"/>
  <tableColumns count="31">
    <tableColumn id="1" xr3:uid="{6EF7351E-2CF5-4DF5-AE7D-574FC9EC2281}" name="S.No" dataDxfId="848"/>
    <tableColumn id="25" xr3:uid="{CE9A96D5-CB6A-4778-84C3-0CD3308E4A38}" name="Application Name" dataDxfId="847"/>
    <tableColumn id="27" xr3:uid="{AFCCB762-FAA2-4973-8243-4804598E97A7}" name="Sprint Start Date" dataDxfId="846"/>
    <tableColumn id="26" xr3:uid="{1C6008A6-E7CF-4A79-952B-E4D7D0ADB72F}" name="Sprint End Date" dataDxfId="845"/>
    <tableColumn id="2" xr3:uid="{9E6259C9-DEF0-4CA2-8B99-251DAE32F8FF}" name="Sprint " dataDxfId="844"/>
    <tableColumn id="3" xr3:uid="{E342A3C8-EF9E-4476-A462-799DB47F86BE}" name="Developer" dataDxfId="843"/>
    <tableColumn id="4" xr3:uid="{7E83786C-9581-412C-80F0-87DCDE035BFF}" name="Story ID/Defect ID" dataDxfId="842"/>
    <tableColumn id="5" xr3:uid="{DC0581FF-6516-4A7D-A074-736709006D77}" name="Description" dataDxfId="841"/>
    <tableColumn id="23" xr3:uid="{4F79D38B-F84D-4F1E-9169-DA1109B73CE4}" name="Status" dataDxfId="840"/>
    <tableColumn id="6" xr3:uid="{DED8167C-8703-41F9-98BB-56EF0A113F5F}" name="Estimated(hrs/sp)" dataDxfId="839"/>
    <tableColumn id="7" xr3:uid="{6D0060E7-186D-4130-9512-C799E6D3D3E5}" name="Actual(hrs/sp)" dataDxfId="838"/>
    <tableColumn id="28" xr3:uid="{6E18152B-B3C7-4400-A2A9-4E68DE1CBB05}" name="Actual Hours  Worklog" dataDxfId="837"/>
    <tableColumn id="29" xr3:uid="{6619C621-CB24-4631-9160-E8262836304F}" name="Dev Start Date" dataDxfId="836"/>
    <tableColumn id="30" xr3:uid="{1C5D2EFE-309C-4C25-A5E1-5DA3A9EF7979}" name="Dev End Date" dataDxfId="835"/>
    <tableColumn id="8" xr3:uid="{B110A40A-448D-4C31-8DA5-759AD6F5CF6C}" name="Unit testing" dataDxfId="834"/>
    <tableColumn id="9" xr3:uid="{FB7FE691-1678-4DD2-9848-0768B6552EC7}" name="Peer Tested By" dataDxfId="833"/>
    <tableColumn id="10" xr3:uid="{E1981FFC-64D5-4CE2-BB04-40F7BC536065}" name="Peer Tested Defects, if any" dataDxfId="832"/>
    <tableColumn id="11" xr3:uid="{CDA6956A-FB2E-4388-B87A-48F67CF8E357}" name="Peer Reviewed By" dataDxfId="831"/>
    <tableColumn id="12" xr3:uid="{0E36DC4B-51E7-4866-BD77-D8B60B3D0DE1}" name="Peer Code Review Comments, if any" dataDxfId="830"/>
    <tableColumn id="13" xr3:uid="{E606CD04-5140-463F-8D1D-374A240E94F4}" name="PR Number/Link" dataDxfId="829" dataCellStyle="Hyperlink"/>
    <tableColumn id="14" xr3:uid="{73939DE9-CA11-4816-AFD9-42A199296612}" name="PR Created Date" dataDxfId="828"/>
    <tableColumn id="15" xr3:uid="{CE35615E-578C-4F5A-B84E-F20D27D20435}" name="PR Approved Date" dataDxfId="827"/>
    <tableColumn id="16" xr3:uid="{C96F64C9-6551-4730-B8EA-64E9512BA242}" name="Onsite Lead Code Review" dataDxfId="826"/>
    <tableColumn id="17" xr3:uid="{BB696AF4-0522-4E43-BDAE-2A77CC71CCB1}" name="Code Review Comments, if any" dataDxfId="825"/>
    <tableColumn id="18" xr3:uid="{4D4C7DFF-5A2B-4796-AAB7-42B13A781379}" name="Client Code Review" dataDxfId="824"/>
    <tableColumn id="19" xr3:uid="{034079B7-09C5-497F-B6A9-DB07654EC98D}" name="Approved Date" dataDxfId="823"/>
    <tableColumn id="20" xr3:uid="{E5624D2B-198F-4605-A42A-7F483F451F9D}" name="Code Review Comments, if any2" dataDxfId="822"/>
    <tableColumn id="21" xr3:uid="{8C5E8AD5-FF89-4FC5-A24F-249EA3C5DACF}" name="Internal PO -POV Comments" dataDxfId="821"/>
    <tableColumn id="22" xr3:uid="{D619E9D0-0D96-4BE7-912D-D0259C87824C}" name="Client PO -POV Comments" dataDxfId="820"/>
    <tableColumn id="24" xr3:uid="{54C89655-0DC6-4C59-A9AB-4501E031881F}" name="Comments" dataDxfId="819"/>
    <tableColumn id="31" xr3:uid="{885BBBA0-C7E2-46F8-9BC0-C661FE6ADC52}" name="QA Comments" dataDxfId="818"/>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C00FBCAB-C243-4A3E-A489-9336AF6794C2}" name="Table1456781093121311141517181920211623222425262728293031" displayName="Table1456781093121311141517181920211623222425262728293031" ref="A1:AE21" totalsRowShown="0" headerRowDxfId="817" dataDxfId="816" tableBorderDxfId="815">
  <autoFilter ref="A1:AE21" xr:uid="{9DC5C30B-A60C-4FFE-8316-8BFF998E3F7C}"/>
  <tableColumns count="31">
    <tableColumn id="1" xr3:uid="{B49E555E-1E98-4CEE-9AE5-15B72A0B5D90}" name="S.No" dataDxfId="814"/>
    <tableColumn id="25" xr3:uid="{2590B621-B87D-479D-8DAF-CF894E0A8D4E}" name="Application Name" dataDxfId="813"/>
    <tableColumn id="27" xr3:uid="{0A3F8BEE-FD78-411F-AAD6-32AB8A6193D3}" name="Sprint Start Date" dataDxfId="812"/>
    <tableColumn id="26" xr3:uid="{3743EF6D-C95A-41D4-B37D-4541798AA7F6}" name="Sprint End Date" dataDxfId="811"/>
    <tableColumn id="2" xr3:uid="{AE8EB28E-B25C-4330-B7D8-31802AE58AE7}" name="Sprint " dataDxfId="810"/>
    <tableColumn id="3" xr3:uid="{B30BD250-D712-4A5E-8C11-401856A2CA9F}" name="Developer" dataDxfId="809"/>
    <tableColumn id="4" xr3:uid="{4654D9EE-6482-4EEB-BB34-7F56370E7301}" name="Story ID/Defect ID" dataDxfId="808"/>
    <tableColumn id="5" xr3:uid="{E2C451E5-6CBB-45A3-B213-9D4623A2FD68}" name="Description" dataDxfId="807"/>
    <tableColumn id="23" xr3:uid="{B4027749-861F-44EB-B7D3-E98B688C98C1}" name="Status" dataDxfId="806"/>
    <tableColumn id="6" xr3:uid="{1BD73290-9E6E-447D-86B8-D1FF4485DB23}" name="Estimated(hrs/sp)" dataDxfId="805"/>
    <tableColumn id="7" xr3:uid="{959AACD7-F5A0-446E-98A3-443FE59B6BFD}" name="Actual(hrs/sp)" dataDxfId="804"/>
    <tableColumn id="28" xr3:uid="{D3AA81C3-76E8-4BD4-B812-5B4BCD62E53D}" name="Actual Hours  Worklog" dataDxfId="803"/>
    <tableColumn id="29" xr3:uid="{18A3C9F4-5646-46FE-A845-6C3B6261DB63}" name="Dev Start Date" dataDxfId="802"/>
    <tableColumn id="30" xr3:uid="{D6D146E5-805C-4CA0-81AE-CF10046DFB14}" name="Dev End Date" dataDxfId="801"/>
    <tableColumn id="8" xr3:uid="{443B3527-86C9-45DF-B129-0258CDB05C80}" name="Unit testing" dataDxfId="800"/>
    <tableColumn id="9" xr3:uid="{70E3C3CD-1593-4000-BADB-5305FD5CB6AC}" name="Peer Tested By" dataDxfId="799"/>
    <tableColumn id="10" xr3:uid="{406445FA-7B75-446C-B8B4-A8657EB8ECF2}" name="Peer Tested Defects, if any" dataDxfId="798"/>
    <tableColumn id="11" xr3:uid="{9AFA73C9-E9E0-4613-BEE5-9472868B8C91}" name="Peer Reviewed By" dataDxfId="797"/>
    <tableColumn id="12" xr3:uid="{544CAA41-5267-43A1-B564-501A41917A55}" name="Peer Code Review Comments, if any" dataDxfId="796"/>
    <tableColumn id="13" xr3:uid="{396306E9-6040-4764-97DD-D534D83538E2}" name="PR Number/Link" dataDxfId="795" dataCellStyle="Hyperlink"/>
    <tableColumn id="14" xr3:uid="{F82F76FA-A62E-46BC-8D49-680BA9BDDC1F}" name="PR Created Date" dataDxfId="794"/>
    <tableColumn id="15" xr3:uid="{6BD8876F-4878-4CCA-B422-676252F4697D}" name="PR Approved Date" dataDxfId="793"/>
    <tableColumn id="16" xr3:uid="{81459C46-230C-4148-B433-C716895ABF8E}" name="Onsite Lead Code Review" dataDxfId="792"/>
    <tableColumn id="17" xr3:uid="{35AAB0C2-BA6F-4045-8EDF-A72AE7393BC3}" name="Code Review Comments, if any" dataDxfId="791"/>
    <tableColumn id="18" xr3:uid="{98B49703-15A9-4E50-B563-49798E2297CD}" name="Client Code Review" dataDxfId="790"/>
    <tableColumn id="19" xr3:uid="{0CD430B3-7C73-4EA1-9463-40DA7B1A29C1}" name="Approved Date" dataDxfId="789"/>
    <tableColumn id="20" xr3:uid="{D23F6A14-6BDF-46DC-A53C-FAC6DD2559C6}" name="Code Review Comments, if any2" dataDxfId="788"/>
    <tableColumn id="21" xr3:uid="{768A3812-367D-4BA5-B3CF-0FA5D13CA4BB}" name="Internal PO -POV Comments" dataDxfId="787"/>
    <tableColumn id="22" xr3:uid="{C8BAB939-1685-44E7-B818-BAF18005F5A7}" name="Client PO -POV Comments" dataDxfId="786"/>
    <tableColumn id="24" xr3:uid="{8E666565-2125-4EAC-A30D-B62AA4027BCC}" name="Dev Comments" dataDxfId="785"/>
    <tableColumn id="31" xr3:uid="{F86D60AD-E54B-4DB8-8FA5-257018B7C68A}" name="QA Comments" dataDxfId="784"/>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DBFBE1DE-D696-406D-97A1-27DF4A721B6B}" name="Table14567810931213111415171819202116232224252627282930" displayName="Table14567810931213111415171819202116232224252627282930" ref="A1:AD16" totalsRowShown="0" headerRowDxfId="783" dataDxfId="782" tableBorderDxfId="781">
  <autoFilter ref="A1:AD16" xr:uid="{9DC5C30B-A60C-4FFE-8316-8BFF998E3F7C}"/>
  <tableColumns count="30">
    <tableColumn id="1" xr3:uid="{D696586D-93DB-4BC8-8DD3-664CB9E0560F}" name="S.No" dataDxfId="780"/>
    <tableColumn id="25" xr3:uid="{3D5DB1B8-762B-4CEC-BF34-B58EEB78818C}" name="Application Name" dataDxfId="779"/>
    <tableColumn id="27" xr3:uid="{640AD365-E0AB-4A98-91EA-A178F14D3AC7}" name="Sprint Start Date" dataDxfId="778"/>
    <tableColumn id="26" xr3:uid="{92348F37-4095-4A8A-9533-09233A2FBF56}" name="Sprint End Date" dataDxfId="777"/>
    <tableColumn id="2" xr3:uid="{8EBD8BE4-9F9C-4B9F-83EF-B1E8284B6254}" name="Sprint " dataDxfId="776"/>
    <tableColumn id="3" xr3:uid="{B85BFF50-534F-47DF-96D5-58CAFBA6043E}" name="Developer" dataDxfId="775"/>
    <tableColumn id="4" xr3:uid="{A6342432-6033-4709-8C92-516BF93A05EE}" name="Story ID/Defect ID" dataDxfId="774"/>
    <tableColumn id="5" xr3:uid="{BEEA732A-A237-4559-8FE9-B7E221EF8945}" name="Description" dataDxfId="773"/>
    <tableColumn id="23" xr3:uid="{EAE9C064-79F2-4D09-A283-9CFAA75AE69E}" name="Status" dataDxfId="772"/>
    <tableColumn id="6" xr3:uid="{D6FA9515-E3C3-4486-AB21-4B1AA4AE80AC}" name="Estimated(hrs/sp)" dataDxfId="771"/>
    <tableColumn id="7" xr3:uid="{9BCFD021-49E5-4141-85A7-8F8C9B741F3B}" name="Actual(hrs/sp)" dataDxfId="770"/>
    <tableColumn id="28" xr3:uid="{96F5B6F4-1222-4C7B-A8B2-3BEDA7718FF2}" name="Actual Hours  Worklog" dataDxfId="769"/>
    <tableColumn id="29" xr3:uid="{12D4AD8B-9A3D-41C7-9FEA-6F2D5A898F03}" name="Dev Start Date" dataDxfId="768"/>
    <tableColumn id="30" xr3:uid="{76F2D4AD-FD24-42D3-B49D-91458D98ADDF}" name="Dev End Date" dataDxfId="767"/>
    <tableColumn id="8" xr3:uid="{293E7DF4-D19D-4CAB-83A8-9534C96CD2D7}" name="Unit testing" dataDxfId="766"/>
    <tableColumn id="9" xr3:uid="{8D41DA2A-5CC2-463B-95A9-C2AF5F64CFFE}" name="Peer Tested By" dataDxfId="765"/>
    <tableColumn id="10" xr3:uid="{76A8C804-ED24-469E-A71D-680B329850B0}" name="Peer Tested Defects, if any" dataDxfId="764"/>
    <tableColumn id="11" xr3:uid="{1C7CBC52-48C4-4D15-B1CF-31B31DDC142F}" name="Peer Reviewed By" dataDxfId="763"/>
    <tableColumn id="12" xr3:uid="{60360F73-B5CE-4AF5-B467-06787587B11B}" name="Peer Code Review Comments, if any" dataDxfId="762"/>
    <tableColumn id="13" xr3:uid="{FCF73A2C-5205-44AD-9217-2481D8BB905A}" name="PR Number/Link" dataDxfId="761" dataCellStyle="Hyperlink"/>
    <tableColumn id="14" xr3:uid="{EFCBCB65-82B7-456B-87F4-2446B886A1B4}" name="PR Created Date" dataDxfId="760"/>
    <tableColumn id="15" xr3:uid="{7791B181-50A5-4797-9B2F-F2A517D9617A}" name="PR Approved Date" dataDxfId="759"/>
    <tableColumn id="16" xr3:uid="{20C93DE4-01BE-4EA0-A9EB-2D072BB55769}" name="Onsite Lead Code Review" dataDxfId="758"/>
    <tableColumn id="17" xr3:uid="{6822AC40-F8E8-4DBA-8475-8F2BCCC40DA9}" name="Code Review Comments, if any" dataDxfId="757"/>
    <tableColumn id="18" xr3:uid="{A802C527-538E-43F7-891C-DCC45FF83999}" name="Client Code Review" dataDxfId="756"/>
    <tableColumn id="19" xr3:uid="{1F8CD83F-CA60-44A7-B95B-4AB981A92729}" name="Approved Date" dataDxfId="755"/>
    <tableColumn id="20" xr3:uid="{12D7BC4A-BAE4-4723-B65C-8F3602E018E7}" name="Code Review Comments, if any2" dataDxfId="754"/>
    <tableColumn id="21" xr3:uid="{A329F24C-FBE6-4D2E-9B5F-7EC290436FB4}" name="Internal PO -POV Comments" dataDxfId="753"/>
    <tableColumn id="22" xr3:uid="{BB480F00-011D-4F56-9055-80BDE75248AC}" name="Client PO -POV Comments" dataDxfId="752"/>
    <tableColumn id="24" xr3:uid="{446D9758-684B-44C6-8C84-EAF2DA42F92A}" name="Comments" dataDxfId="751"/>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3C2EE5A9-65DC-4400-A1E3-AC881D58D718}" name="Table145678109312131114151718192021162322242526272829" displayName="Table145678109312131114151718192021162322242526272829" ref="A1:AD9" totalsRowShown="0" headerRowDxfId="750" dataDxfId="749" tableBorderDxfId="748">
  <autoFilter ref="A1:AD9" xr:uid="{9DC5C30B-A60C-4FFE-8316-8BFF998E3F7C}"/>
  <tableColumns count="30">
    <tableColumn id="1" xr3:uid="{EBE5C374-AA85-4873-827F-BCE1E6FDF18D}" name="S.No" dataDxfId="747"/>
    <tableColumn id="25" xr3:uid="{A3F728A9-47E6-439F-A25F-4D37E128B5EB}" name="Application Name" dataDxfId="746"/>
    <tableColumn id="27" xr3:uid="{F07DF1B0-E435-434D-97AC-71A82E01E2F7}" name="Sprint Start Date" dataDxfId="745"/>
    <tableColumn id="26" xr3:uid="{E21EB7D6-4900-4114-9956-B577067A4854}" name="Sprint End Date" dataDxfId="744"/>
    <tableColumn id="2" xr3:uid="{DA655D7C-AD7F-4E0B-92EA-D639ADB8D789}" name="Sprint " dataDxfId="743"/>
    <tableColumn id="3" xr3:uid="{11913E50-B9D0-4DA0-8C80-7A8E79E1327F}" name="Developer" dataDxfId="742"/>
    <tableColumn id="4" xr3:uid="{71068F9B-9F14-4D26-83CB-17AA404A81C2}" name="Story ID/Defect ID" dataDxfId="741"/>
    <tableColumn id="5" xr3:uid="{45B613D8-9B05-4C52-AA40-07EF2B822BD6}" name="Description" dataDxfId="740"/>
    <tableColumn id="23" xr3:uid="{5D9564A2-CA22-4521-8DCD-29157937FB35}" name="Status" dataDxfId="739"/>
    <tableColumn id="6" xr3:uid="{35868E33-FC32-4084-BAC7-49EC88BC3D38}" name="Estimated(hrs/sp)" dataDxfId="738"/>
    <tableColumn id="7" xr3:uid="{32BE0C55-71C6-42BD-9F29-4C1A51CA0652}" name="Actual(hrs/sp)" dataDxfId="737"/>
    <tableColumn id="28" xr3:uid="{D0415D66-71D1-4D9A-ACCF-2D4E2D861D65}" name="Actual Hours  Worklog" dataDxfId="736"/>
    <tableColumn id="29" xr3:uid="{D5BB1C33-3CC3-456B-BD44-B9134423AC67}" name="Dev Start Date" dataDxfId="735"/>
    <tableColumn id="30" xr3:uid="{84BAA507-9B9D-4A36-A539-C55F1429FA13}" name="Dev End Date" dataDxfId="734"/>
    <tableColumn id="8" xr3:uid="{6C3519D8-B11F-440C-A922-F06912503612}" name="Unit testing" dataDxfId="733"/>
    <tableColumn id="9" xr3:uid="{90A73C4E-60DF-403F-B9D6-853B642D9E73}" name="Peer Tested By" dataDxfId="732"/>
    <tableColumn id="10" xr3:uid="{33C30985-2DF9-4282-B772-0EE568563C29}" name="Peer Tested Defects, if any" dataDxfId="731"/>
    <tableColumn id="11" xr3:uid="{6907DA4D-91CB-4368-82DD-D4EA9FE0061B}" name="Peer Reviewed By" dataDxfId="730"/>
    <tableColumn id="12" xr3:uid="{2CA22809-F789-4E75-BD15-91A43A63540A}" name="Peer Code Review Comments, if any"/>
    <tableColumn id="13" xr3:uid="{5C1F7A98-A1AF-49C8-B5D5-AC9EF564EA96}" name="PR Number/Link" dataDxfId="729" dataCellStyle="Hyperlink"/>
    <tableColumn id="14" xr3:uid="{468EA5CA-9590-4729-8E59-B6D5F55607D6}" name="PR Created Date" dataDxfId="728"/>
    <tableColumn id="15" xr3:uid="{957A982B-350D-4099-AA42-B2C453DD1DBA}" name="PR Approved Date" dataDxfId="727"/>
    <tableColumn id="16" xr3:uid="{EB93AF06-4C82-448C-AC75-74E0028184DB}" name="Onsite Lead Code Review" dataDxfId="726"/>
    <tableColumn id="17" xr3:uid="{2D6093E3-B2CE-4F14-9CF6-B6DB3E7BDF24}" name="Code Review Comments, if any" dataDxfId="725"/>
    <tableColumn id="18" xr3:uid="{81E94582-47F3-473A-A4A9-15E86B286F56}" name="Client Code Review" dataDxfId="724"/>
    <tableColumn id="19" xr3:uid="{DAD42062-3302-49B6-903F-504513293CBF}" name="Approved Date" dataDxfId="723"/>
    <tableColumn id="20" xr3:uid="{AC674EA4-7FB5-4605-ABE5-C7AD905F2EBF}" name="Code Review Comments, if any2" dataDxfId="722"/>
    <tableColumn id="21" xr3:uid="{8452988D-C349-4F4B-8F8A-C82481D8EF9E}" name="Internal PO -POV Comments" dataDxfId="721"/>
    <tableColumn id="22" xr3:uid="{D3B8EAF3-4BFD-48AD-991C-75E5E21FF7E0}" name="Client PO -POV Comments" dataDxfId="720"/>
    <tableColumn id="24" xr3:uid="{48F485D2-562B-4E1C-9574-15C0AE4E273F}" name="Comments" dataDxfId="719"/>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85C14CBF-C9AE-457A-8B68-40E98D82F38A}" name="Table1456781093121311141517181920211623222425262728" displayName="Table1456781093121311141517181920211623222425262728" ref="A1:AD7" totalsRowShown="0" headerRowDxfId="718" dataDxfId="717" tableBorderDxfId="716">
  <autoFilter ref="A1:AD7" xr:uid="{9DC5C30B-A60C-4FFE-8316-8BFF998E3F7C}"/>
  <tableColumns count="30">
    <tableColumn id="1" xr3:uid="{928FD74D-129B-47E8-AD42-8E8F10D20CC7}" name="S.No" dataDxfId="715"/>
    <tableColumn id="25" xr3:uid="{EA03FDD2-049B-448A-9CBB-D3E17EECFE19}" name="Application Name" dataDxfId="714"/>
    <tableColumn id="27" xr3:uid="{7CB2C0CA-B064-4AF4-AF01-12D6425635AF}" name="Sprint Start Date" dataDxfId="713"/>
    <tableColumn id="26" xr3:uid="{F6684F74-A318-40E8-9964-0659AD4D0741}" name="Sprint End Date" dataDxfId="712"/>
    <tableColumn id="2" xr3:uid="{477D290A-43EB-4EDB-A350-B2DDD564D475}" name="Sprint " dataDxfId="711"/>
    <tableColumn id="3" xr3:uid="{1EE17D31-92AF-44F0-9312-3B886AF78C50}" name="Developer" dataDxfId="710"/>
    <tableColumn id="4" xr3:uid="{1FD8E4C7-2E6E-480E-A727-840429B00D23}" name="Story ID/Defect ID" dataDxfId="709"/>
    <tableColumn id="5" xr3:uid="{DD8A59AC-390B-4EDD-BB89-047C7BC044DA}" name="Description"/>
    <tableColumn id="23" xr3:uid="{038D42E5-2233-4AC2-9F52-FFA31AA6816B}" name="Status" dataDxfId="708"/>
    <tableColumn id="6" xr3:uid="{01860684-EFFD-4CA1-A97C-D3DC6F88C2D4}" name="Estimated(hrs/sp)" dataDxfId="707"/>
    <tableColumn id="7" xr3:uid="{8AA298D3-D670-4424-B741-A7B3FDC3FC03}" name="Actual(hrs/sp)" dataDxfId="706"/>
    <tableColumn id="28" xr3:uid="{BA89E998-3486-4296-B1AB-A7205F1ACA54}" name="Actual Hours  Worklog" dataDxfId="705"/>
    <tableColumn id="29" xr3:uid="{ED1355AA-F41B-4B82-AD5C-59CF65F3FABE}" name="Dev Start Date" dataDxfId="704"/>
    <tableColumn id="30" xr3:uid="{074C9729-246C-4C14-9F69-B7118D036A1E}" name="Dev End Date" dataDxfId="703"/>
    <tableColumn id="8" xr3:uid="{841FDF91-6561-45FA-B0C5-E116E841616A}" name="Unit testing" dataDxfId="702"/>
    <tableColumn id="9" xr3:uid="{630C3BE8-B1F4-4D9A-8AD4-23FBD3411478}" name="Peer Tested By" dataDxfId="701"/>
    <tableColumn id="10" xr3:uid="{F47BFFD9-4BF5-402A-8E90-06A90D4031FF}" name="Peer Tested Defects, if any" dataDxfId="700"/>
    <tableColumn id="11" xr3:uid="{7F85724F-01B6-4B19-B76F-F4278F3A4FFF}" name="Peer Reviewed By" dataDxfId="699"/>
    <tableColumn id="12" xr3:uid="{42A773E7-3F50-4C63-B23C-A7599B4D933E}" name="Peer Code Review Comments, if any"/>
    <tableColumn id="13" xr3:uid="{70301F01-EDD4-4A3C-99D2-EFF2CC9EAD6C}" name="PR Number/Link" dataDxfId="698" dataCellStyle="Hyperlink"/>
    <tableColumn id="14" xr3:uid="{447CD558-09E6-48F6-8C75-B03F431A0A78}" name="PR Created Date" dataDxfId="697"/>
    <tableColumn id="15" xr3:uid="{540F4F2D-11EC-42E7-9A42-043D226D3B98}" name="PR Approved Date" dataDxfId="696"/>
    <tableColumn id="16" xr3:uid="{05650CA5-2663-4DE0-9C6F-E2226E43D6A7}" name="Onsite Lead Code Review" dataDxfId="695"/>
    <tableColumn id="17" xr3:uid="{7D56A253-70D4-478F-9096-B2ADA6764708}" name="Code Review Comments, if any" dataDxfId="694"/>
    <tableColumn id="18" xr3:uid="{FD3B202A-471A-4289-B7AD-6CA46A764068}" name="Client Code Review" dataDxfId="693"/>
    <tableColumn id="19" xr3:uid="{516D51A6-3373-45C9-9437-4113AE645D35}" name="Approved Date" dataDxfId="692"/>
    <tableColumn id="20" xr3:uid="{952FB133-5F40-472A-A9C7-64E978743E7A}" name="Code Review Comments, if any2" dataDxfId="691"/>
    <tableColumn id="21" xr3:uid="{C737D390-6C97-402A-8E44-CDCB62EF454C}" name="Internal PO -POV Comments" dataDxfId="690"/>
    <tableColumn id="22" xr3:uid="{D934269C-84E7-4669-AE12-868494377A4C}" name="Client PO -POV Comments" dataDxfId="689"/>
    <tableColumn id="24" xr3:uid="{64E7B58D-47C2-4FE0-BD96-D939661CABE1}" name="Comments" dataDxfId="688"/>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1DF577C-B2B5-4BC9-BBF7-409D1B300778}" name="Table14567810931213111415171819202116232224252627" displayName="Table14567810931213111415171819202116232224252627" ref="A1:AD11" totalsRowShown="0" headerRowDxfId="687" dataDxfId="686" tableBorderDxfId="685">
  <autoFilter ref="A1:AD11" xr:uid="{9DC5C30B-A60C-4FFE-8316-8BFF998E3F7C}"/>
  <tableColumns count="30">
    <tableColumn id="1" xr3:uid="{F02CC728-20A8-4954-BAC8-46FBAA8B3665}" name="S.No" dataDxfId="684"/>
    <tableColumn id="25" xr3:uid="{B245CC69-EB63-4CBA-9731-E47F7DB5E679}" name="Application Name" dataDxfId="683"/>
    <tableColumn id="27" xr3:uid="{D763E5A4-58AC-4E47-8EAF-18AFCC02A29C}" name="Sprint Start Date" dataDxfId="682"/>
    <tableColumn id="26" xr3:uid="{83398EE6-F787-42E4-9147-E6AA8AF5DFBC}" name="Sprint End Date" dataDxfId="681"/>
    <tableColumn id="2" xr3:uid="{8FD73A49-A19C-4EA6-9506-9642B33DA03E}" name="Sprint "/>
    <tableColumn id="3" xr3:uid="{C7585D07-8CE0-4C4B-AEBA-DACC960BB6CA}" name="Developer"/>
    <tableColumn id="4" xr3:uid="{B320DDAD-E5F8-47CF-AC2C-559C5666F671}" name="Story ID/Defect ID" dataDxfId="680"/>
    <tableColumn id="5" xr3:uid="{20B48989-91E6-4610-8A3C-38A73BCFE4F3}" name="Description"/>
    <tableColumn id="23" xr3:uid="{48C2123E-D56D-4174-A8C2-016A1A68D90A}" name="Status" dataDxfId="679"/>
    <tableColumn id="6" xr3:uid="{61AD4193-E0D6-468C-917B-7158B52EFCF8}" name="Estimated(hrs/sp)"/>
    <tableColumn id="7" xr3:uid="{E63281BB-9468-45D6-B00B-C1A777FEC38F}" name="Actual(hrs/sp)" dataDxfId="678"/>
    <tableColumn id="28" xr3:uid="{2D73923D-EADB-4AB0-9BD7-47B57DF3D4BE}" name="Actual Hours  Worklog" dataDxfId="677"/>
    <tableColumn id="29" xr3:uid="{53B5A07D-CB30-4BAE-A232-0D62BBAF0C87}" name="Dev Start Date" dataDxfId="676"/>
    <tableColumn id="30" xr3:uid="{228F9FA9-6A17-43A0-BB5C-05915C31D6B5}" name="Dev End Date" dataDxfId="675"/>
    <tableColumn id="8" xr3:uid="{BD840716-FB96-434E-8524-8DD3FEF66EC3}" name="Unit testing" dataDxfId="674"/>
    <tableColumn id="9" xr3:uid="{1195EAE0-05F7-48EC-9344-B2CB85F1D8C4}" name="Peer Tested By" dataDxfId="673"/>
    <tableColumn id="10" xr3:uid="{B0CDAC1F-9D92-4B4C-9E13-447E90E5965C}" name="Peer Tested Defects, if any" dataDxfId="672"/>
    <tableColumn id="11" xr3:uid="{EEB5FB2D-5CE4-4611-B9FC-A24A52BEBA32}" name="Peer Reviewed By" dataDxfId="671"/>
    <tableColumn id="12" xr3:uid="{CABD34E8-1A20-4C3F-9330-0ACEE80D8E44}" name="Peer Code Review Comments, if any"/>
    <tableColumn id="13" xr3:uid="{D2C71BDC-3CF8-4E1C-972B-F34961081D64}" name="PR Number/Link" dataDxfId="670" dataCellStyle="Hyperlink"/>
    <tableColumn id="14" xr3:uid="{E84C3783-3861-4B00-900D-4991CBC8459B}" name="PR Created Date" dataDxfId="669"/>
    <tableColumn id="15" xr3:uid="{D956D6E8-1681-4CB1-8CAD-CC24DFFAF32F}" name="PR Approved Date" dataDxfId="668"/>
    <tableColumn id="16" xr3:uid="{DB226B89-B767-4B55-A306-20A34C449396}" name="Onsite Lead Code Review" dataDxfId="667"/>
    <tableColumn id="17" xr3:uid="{5F995F99-82C3-490A-A54A-2A6D1704A33A}" name="Code Review Comments, if any" dataDxfId="666"/>
    <tableColumn id="18" xr3:uid="{BBB01F9D-1FA5-428F-8B41-2D37AD7EAE96}" name="Client Code Review" dataDxfId="665"/>
    <tableColumn id="19" xr3:uid="{425F3018-1329-4A42-BBC5-206B550C0D30}" name="Approved Date" dataDxfId="664"/>
    <tableColumn id="20" xr3:uid="{403AD232-1EE2-4CE1-BC83-6B6D7DF028EF}" name="Code Review Comments, if any2" dataDxfId="663"/>
    <tableColumn id="21" xr3:uid="{A6DC075E-B3AF-4281-9A42-42D877D76DDE}" name="Internal PO -POV Comments" dataDxfId="662"/>
    <tableColumn id="22" xr3:uid="{95D52F9B-00FC-49F4-A579-5052C484C74D}" name="Client PO -POV Comments" dataDxfId="661"/>
    <tableColumn id="24" xr3:uid="{05207B99-9067-43E8-BA5F-C1338CA3C128}" name="Comments" dataDxfId="660"/>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40B1A9F-97F6-40B2-B29A-B340395CA125}" name="Table145678109312131114151718192021162322242526" displayName="Table145678109312131114151718192021162322242526" ref="A1:AD12" totalsRowShown="0" headerRowDxfId="659" dataDxfId="658" tableBorderDxfId="657">
  <autoFilter ref="A1:AD12" xr:uid="{9DC5C30B-A60C-4FFE-8316-8BFF998E3F7C}"/>
  <tableColumns count="30">
    <tableColumn id="1" xr3:uid="{3479CC2E-E758-4581-9B61-0345F9E201A4}" name="S.No" dataDxfId="656"/>
    <tableColumn id="25" xr3:uid="{8858664E-34FC-4D1F-8CAC-66512AA41253}" name="Application Name" dataDxfId="655"/>
    <tableColumn id="27" xr3:uid="{DDA24A92-A020-4140-81B5-DAB6CAD87896}" name="Sprint Start Date" dataDxfId="654"/>
    <tableColumn id="26" xr3:uid="{39242B62-0D34-4F1A-A12E-E522B3B232F1}" name="Sprint End Date" dataDxfId="653"/>
    <tableColumn id="2" xr3:uid="{8F67AA03-F319-4AEF-926F-AB3C631F2468}" name="Sprint "/>
    <tableColumn id="3" xr3:uid="{CFB2AD3F-08B6-4A70-A631-510F588E115B}" name="Developer"/>
    <tableColumn id="4" xr3:uid="{9AEBB5E9-D9A7-4E50-ABE5-E4213AD4E800}" name="Story ID/Defect ID" dataDxfId="652"/>
    <tableColumn id="5" xr3:uid="{8BB989D1-44D5-4DEE-8941-E5DE6615D187}" name="Description"/>
    <tableColumn id="23" xr3:uid="{31D1B5D0-BC99-4869-9644-3FB386825B8C}" name="Status" dataDxfId="651"/>
    <tableColumn id="6" xr3:uid="{E2E55F65-215A-4D42-B907-B8B9F654DDEC}" name="Estimated(hrs/sp)"/>
    <tableColumn id="7" xr3:uid="{8DA1D45E-4C25-47ED-B757-CA281D5CB726}" name="Actual(hrs/sp)" dataDxfId="650"/>
    <tableColumn id="28" xr3:uid="{02060525-9F85-4100-9ED9-AF1D284EFCF5}" name="Actual Hours  Worklog" dataDxfId="649"/>
    <tableColumn id="29" xr3:uid="{204F295F-24DB-4CC1-9E66-1B14BB19E01F}" name="Dev Start Date" dataDxfId="648"/>
    <tableColumn id="30" xr3:uid="{9BB7B827-6DD4-4E36-8FD5-D0DB35F3FB33}" name="Dev End Date" dataDxfId="647"/>
    <tableColumn id="8" xr3:uid="{4A437C14-783A-4069-AFA4-7F71340C09DE}" name="Unit testing" dataDxfId="646"/>
    <tableColumn id="9" xr3:uid="{E7B9AC8C-266C-4016-B7A1-A681297EEA6C}" name="Peer Tested By" dataDxfId="645"/>
    <tableColumn id="10" xr3:uid="{DD6725CF-F602-47F0-AB17-DA4A31DF3746}" name="Peer Tested Defects, if any" dataDxfId="644"/>
    <tableColumn id="11" xr3:uid="{AD970DCD-B50D-4A5A-8548-67E171B03302}" name="Peer Reviewed By" dataDxfId="643"/>
    <tableColumn id="12" xr3:uid="{3A07F535-4286-49F0-9E5F-962848CE5CC4}" name="Peer Code Review Comments, if any"/>
    <tableColumn id="13" xr3:uid="{F75D4F76-3503-4A15-B893-7BB22B10361C}" name="PR Number/Link" dataDxfId="642" dataCellStyle="Hyperlink"/>
    <tableColumn id="14" xr3:uid="{86B8A1B8-5C2F-4FE5-BCD8-C9B3B071668F}" name="PR Created Date" dataDxfId="641"/>
    <tableColumn id="15" xr3:uid="{08F20619-767E-4BF2-AEBD-C4BB8CE7E31C}" name="PR Approved Date" dataDxfId="640"/>
    <tableColumn id="16" xr3:uid="{9B94F10D-07FA-4F4C-AF6F-A3C71D4AF12D}" name="Onsite Lead Code Review" dataDxfId="639"/>
    <tableColumn id="17" xr3:uid="{4A1EEA1F-7514-47E2-BEA9-D45DEF23F5C8}" name="Code Review Comments, if any" dataDxfId="638"/>
    <tableColumn id="18" xr3:uid="{5361C190-6605-47B2-8F0A-AC8AF88623BD}" name="Client Code Review" dataDxfId="637"/>
    <tableColumn id="19" xr3:uid="{C3CABC40-B6DF-411A-9A40-4705F05AC481}" name="Approved Date" dataDxfId="636"/>
    <tableColumn id="20" xr3:uid="{728B01C2-7D26-4E20-B20A-885959F96450}" name="Code Review Comments, if any2" dataDxfId="635"/>
    <tableColumn id="21" xr3:uid="{1CD27178-373A-4DD5-8756-2D0180AD0F61}" name="Internal PO -POV Comments" dataDxfId="634"/>
    <tableColumn id="22" xr3:uid="{D4607CF2-C07B-4198-8B43-FA58C4B37440}" name="Client PO -POV Comments" dataDxfId="633"/>
    <tableColumn id="24" xr3:uid="{49D4D104-28B4-4EB4-BA88-36C03664C477}" name="Comments" dataDxfId="632"/>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8A1AC9D4-3162-4273-B320-53391717EC7E}" name="Table1456781093121311141517181920211623222425" displayName="Table1456781093121311141517181920211623222425" ref="A1:AD12" totalsRowShown="0" headerRowDxfId="631" dataDxfId="630" tableBorderDxfId="629">
  <autoFilter ref="A1:AD12" xr:uid="{9DC5C30B-A60C-4FFE-8316-8BFF998E3F7C}"/>
  <tableColumns count="30">
    <tableColumn id="1" xr3:uid="{0C93B2C3-B167-44D1-B059-EE47AAF83703}" name="S.No" dataDxfId="628"/>
    <tableColumn id="25" xr3:uid="{435B4474-E614-4CDA-AB48-B053E19340F9}" name="Application Name" dataDxfId="627"/>
    <tableColumn id="27" xr3:uid="{F62EFD96-0693-4D1C-8FC0-B1C6F2CBD313}" name="Sprint Start Date" dataDxfId="626"/>
    <tableColumn id="26" xr3:uid="{B9E063AD-3103-4F07-BA63-C5E70F5DA72F}" name="Sprint End Date" dataDxfId="625"/>
    <tableColumn id="2" xr3:uid="{303946B6-2CC0-4B29-BC6B-9564A1C3E5EF}" name="Sprint "/>
    <tableColumn id="3" xr3:uid="{C9605715-04E3-4055-A53F-37BC2E0B3726}" name="Developer"/>
    <tableColumn id="4" xr3:uid="{83B77D6A-ACBA-4695-B7F4-F4ADD40C7179}" name="Story ID/Defect ID" dataDxfId="624"/>
    <tableColumn id="5" xr3:uid="{F51E4EAC-D07C-47BC-8046-6C68549B3842}" name="Description"/>
    <tableColumn id="23" xr3:uid="{80F88411-AC65-47A4-96B0-A890E729674B}" name="Status" dataDxfId="623"/>
    <tableColumn id="6" xr3:uid="{12DFBFBA-92E8-42A8-A3D9-80FD58E7C8E4}" name="Estimated(hrs/sp)"/>
    <tableColumn id="7" xr3:uid="{3336B492-2FF6-4691-BC62-25DBAA09BE29}" name="Actual(hrs/sp)" dataDxfId="622"/>
    <tableColumn id="28" xr3:uid="{CF1B8891-DE88-43B5-B16D-B42D18991017}" name="Actual Hours  Worklog" dataDxfId="621"/>
    <tableColumn id="29" xr3:uid="{D022D2A4-AD1E-4F4C-B466-194875AAC31D}" name="Dev Start Date" dataDxfId="620"/>
    <tableColumn id="30" xr3:uid="{D1437501-13A7-4F53-9CEB-ABE6D4A4E8A7}" name="Dev End Date" dataDxfId="619"/>
    <tableColumn id="8" xr3:uid="{A19243E9-D018-4648-9272-8F7EACFDA1D6}" name="Unit testing" dataDxfId="618"/>
    <tableColumn id="9" xr3:uid="{537004B1-F70E-4638-A65C-E56AC9EA7A11}" name="Peer Tested By" dataDxfId="617"/>
    <tableColumn id="10" xr3:uid="{A2CB9B0B-26FB-4622-8B33-55AFDD1B09CD}" name="Peer Tested Defects, if any" dataDxfId="616"/>
    <tableColumn id="11" xr3:uid="{FEAB47BC-6251-4162-8F71-03DE827ADB3A}" name="Peer Reviewed By" dataDxfId="615"/>
    <tableColumn id="12" xr3:uid="{4AC85F4D-DE97-41FA-8C61-1A518B26A378}" name="Peer Code Review Comments, if any"/>
    <tableColumn id="13" xr3:uid="{B56C970A-B2F2-482C-8B9E-811DDE700E86}" name="PR Number/Link" dataDxfId="614" dataCellStyle="Hyperlink"/>
    <tableColumn id="14" xr3:uid="{D477DECF-6E80-4052-8982-0E9225C8AA1D}" name="PR Created Date" dataDxfId="613"/>
    <tableColumn id="15" xr3:uid="{34E3FD30-D04B-4482-921F-A3FD21D5D9EB}" name="PR Approved Date" dataDxfId="612"/>
    <tableColumn id="16" xr3:uid="{5A762B97-7681-4A75-A94A-040FD8394C7F}" name="Onsite Lead Code Review" dataDxfId="611"/>
    <tableColumn id="17" xr3:uid="{76CC6B68-01D1-45CF-A03A-63815D512913}" name="Code Review Comments, if any" dataDxfId="610"/>
    <tableColumn id="18" xr3:uid="{3C607B08-4427-4C15-8B18-869AD4E38F4C}" name="Client Code Review" dataDxfId="609"/>
    <tableColumn id="19" xr3:uid="{91AD0A9B-272B-41F8-84E4-BBFF2BC68D49}" name="Approved Date" dataDxfId="608"/>
    <tableColumn id="20" xr3:uid="{301345B8-43A5-4A42-876A-0D3BEFF5FFFC}" name="Code Review Comments, if any2" dataDxfId="607"/>
    <tableColumn id="21" xr3:uid="{77CB6C1A-3F9B-4907-92AE-3227CBCEEE1A}" name="Internal PO -POV Comments" dataDxfId="606"/>
    <tableColumn id="22" xr3:uid="{31019995-D619-4DFD-9200-9011AE067FC9}" name="Client PO -POV Comments" dataDxfId="605"/>
    <tableColumn id="24" xr3:uid="{52F8D9B7-7F4A-49D9-B75E-9C81A1A1F593}" name="Comments" dataDxfId="604"/>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9312542D-010C-4B75-8393-A05667980233}" name="Table14567810931213111415171819202116232224" displayName="Table14567810931213111415171819202116232224" ref="A1:AD12" totalsRowShown="0" headerRowDxfId="603" dataDxfId="602" tableBorderDxfId="601">
  <autoFilter ref="A1:AD12" xr:uid="{9DC5C30B-A60C-4FFE-8316-8BFF998E3F7C}"/>
  <tableColumns count="30">
    <tableColumn id="1" xr3:uid="{2115667F-8069-4E95-9524-74450E394AB1}" name="S.No" dataDxfId="600"/>
    <tableColumn id="25" xr3:uid="{CC835944-2C9D-40F0-963B-A8292A991A6E}" name="Application Name" dataDxfId="599"/>
    <tableColumn id="27" xr3:uid="{F610972E-1C78-4318-8074-1857E1A878E2}" name="Sprint Start Date" dataDxfId="598"/>
    <tableColumn id="26" xr3:uid="{CC29D255-2E89-4A2A-8D59-AEDE7A498C8E}" name="Sprint End Date" dataDxfId="597"/>
    <tableColumn id="2" xr3:uid="{2ADBDEC9-A69B-429E-8EE9-34787BF35AF8}" name="Sprint "/>
    <tableColumn id="3" xr3:uid="{192DB6C2-57A3-45AC-9501-D297BDBCC50B}" name="Developer"/>
    <tableColumn id="4" xr3:uid="{C877B9BF-7B27-405C-8520-BF78CDFCE47A}" name="Story ID/Defect ID" dataDxfId="596"/>
    <tableColumn id="5" xr3:uid="{5EF0FAAF-B393-4F26-BB1F-D24D15CA51D0}" name="Description"/>
    <tableColumn id="23" xr3:uid="{65003C20-5ABE-4655-8A95-71932471467D}" name="Status" dataDxfId="595"/>
    <tableColumn id="6" xr3:uid="{769723E8-302F-42B5-88E1-B12DC32AFC14}" name="Estimated(hrs/sp)"/>
    <tableColumn id="7" xr3:uid="{B38276B6-D3E0-431D-B2A7-F16ABD15092C}" name="Actual(hrs/sp)" dataDxfId="594"/>
    <tableColumn id="28" xr3:uid="{88F675A7-F643-46D3-8D6B-3D57B8CCACDB}" name="Actual Hours  Worklog" dataDxfId="593"/>
    <tableColumn id="29" xr3:uid="{30007FFA-1F01-4BBE-9F07-D2AAEB153EBF}" name="Dev Start Date" dataDxfId="592"/>
    <tableColumn id="30" xr3:uid="{2A7268C4-D7B0-433C-B59A-43E5B724BF64}" name="Dev End Date" dataDxfId="591"/>
    <tableColumn id="8" xr3:uid="{C7F0DCD6-F0C0-48B0-83BB-98F996AFA141}" name="Unit testing" dataDxfId="590"/>
    <tableColumn id="9" xr3:uid="{A322613D-8412-4615-AA8F-D2EC785ACC0F}" name="Peer Tested By" dataDxfId="589"/>
    <tableColumn id="10" xr3:uid="{277765A0-0E47-40D0-8361-4960E573968A}" name="Peer Tested Defects, if any" dataDxfId="588"/>
    <tableColumn id="11" xr3:uid="{177B9783-F201-4A0C-9A54-7BF798A12D05}" name="Peer Reviewed By" dataDxfId="587"/>
    <tableColumn id="12" xr3:uid="{385F1346-1780-443D-B2D1-F20266256DA3}" name="Peer Code Review Comments, if any"/>
    <tableColumn id="13" xr3:uid="{B5D89D37-0E9F-46A8-9B63-CE2FC9E523BC}" name="PR Number/Link" dataDxfId="586" dataCellStyle="Hyperlink"/>
    <tableColumn id="14" xr3:uid="{32C28B06-B0E3-4ADB-8764-69371EA12DF6}" name="PR Created Date" dataDxfId="585"/>
    <tableColumn id="15" xr3:uid="{F8C3EBE7-0823-4B4D-9EDE-D735CA47EE32}" name="PR Approved Date" dataDxfId="584"/>
    <tableColumn id="16" xr3:uid="{7E978114-17C5-4855-84D5-99EBA4718102}" name="Onsite Lead Code Review" dataDxfId="583"/>
    <tableColumn id="17" xr3:uid="{9A0EFC25-F13E-4647-9201-0C44E0198B7C}" name="Code Review Comments, if any" dataDxfId="582"/>
    <tableColumn id="18" xr3:uid="{2C05BC32-7961-4CF9-AEB3-9B78EC0C783D}" name="Client Code Review" dataDxfId="581"/>
    <tableColumn id="19" xr3:uid="{035F1A0C-5B7E-43AA-80E1-B2DAE3DD1BB0}" name="Approved Date" dataDxfId="580"/>
    <tableColumn id="20" xr3:uid="{586C6B98-DD2C-4FF7-82B2-98903EBD74BA}" name="Code Review Comments, if any2" dataDxfId="579"/>
    <tableColumn id="21" xr3:uid="{E8CAD258-C35B-40CB-B151-A138C3939385}" name="Internal PO -POV Comments" dataDxfId="578"/>
    <tableColumn id="22" xr3:uid="{6C49F459-5ED2-4BFD-AF3A-C82BA8BE72D6}" name="Client PO -POV Comments" dataDxfId="577"/>
    <tableColumn id="24" xr3:uid="{DFE293A3-F008-4B88-AB7A-27F6FCB0A8ED}" name="Comments" dataDxfId="576"/>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9EFDD63E-AA57-4354-9FFF-D1084FC26884}" name="Table145678109312131114151718192021162322" displayName="Table145678109312131114151718192021162322" ref="A1:AD12" totalsRowShown="0" headerRowDxfId="575" dataDxfId="574" tableBorderDxfId="573">
  <autoFilter ref="A1:AD12" xr:uid="{9DC5C30B-A60C-4FFE-8316-8BFF998E3F7C}"/>
  <tableColumns count="30">
    <tableColumn id="1" xr3:uid="{02BCAFC8-2FC0-4C44-8BF5-4EEF4495FB89}" name="S.No" dataDxfId="572"/>
    <tableColumn id="25" xr3:uid="{F96B2D0B-7C07-4E12-8659-1621168E39A2}" name="Application Name" dataDxfId="571"/>
    <tableColumn id="27" xr3:uid="{73F7DDDF-81A0-4047-97F6-9D528A928102}" name="Sprint Start Date" dataDxfId="570"/>
    <tableColumn id="26" xr3:uid="{DB706630-6075-4E27-B4A2-5A04C187368E}" name="Sprint End Date" dataDxfId="569"/>
    <tableColumn id="2" xr3:uid="{53893338-F7DE-4CB9-8D64-AB14A9CA3FA2}" name="Sprint "/>
    <tableColumn id="3" xr3:uid="{CED4DE9B-983F-4225-A26D-3093C747C310}" name="Developer"/>
    <tableColumn id="4" xr3:uid="{55C0BEF5-3EDC-4C1B-BD39-CBBA32BF29AD}" name="Story ID/Defect ID" dataDxfId="568"/>
    <tableColumn id="5" xr3:uid="{3D3DE4E5-BA42-43C1-95B4-179B808F0D8B}" name="Description"/>
    <tableColumn id="23" xr3:uid="{4E69D4F2-FF81-49D0-8C7C-8A75A00E2605}" name="Status" dataDxfId="567"/>
    <tableColumn id="6" xr3:uid="{D5EEFC5A-56B1-4EBB-8D63-B6DE4CFAE9B6}" name="Estimated(hrs/sp)"/>
    <tableColumn id="7" xr3:uid="{49F0519C-6058-477D-975C-91856DDBD626}" name="Actual(hrs/sp)" dataDxfId="566"/>
    <tableColumn id="28" xr3:uid="{B10ADE4F-BE67-459E-ACDF-1A219D67BAA9}" name="Actual Hours  Worklog" dataDxfId="565"/>
    <tableColumn id="29" xr3:uid="{591E0836-AFE8-4C62-A314-0FBCD98BA6A3}" name="Dev Start Date" dataDxfId="564"/>
    <tableColumn id="30" xr3:uid="{E9569D2E-D6CF-4CDD-AEFE-07F730B87081}" name="Dev End Date" dataDxfId="563"/>
    <tableColumn id="8" xr3:uid="{622015F9-E2C8-4FDF-8084-32677911FEB1}" name="Unit testing" dataDxfId="562"/>
    <tableColumn id="9" xr3:uid="{478673C9-DC2D-4423-9BF6-301EBD846F5F}" name="Peer Tested By" dataDxfId="561"/>
    <tableColumn id="10" xr3:uid="{4BF368A2-5CCF-4C4F-8420-24E21F785C65}" name="Peer Tested Defects, if any" dataDxfId="560"/>
    <tableColumn id="11" xr3:uid="{6A39019D-3D91-4700-AF9B-83328FE04834}" name="Peer Reviewed By" dataDxfId="559"/>
    <tableColumn id="12" xr3:uid="{816D40C4-9BB1-4726-AA0C-A67F5772992F}" name="Peer Code Review Comments, if any"/>
    <tableColumn id="13" xr3:uid="{C1C0A195-CC74-4E2F-BF10-B5705B0E88A8}" name="PR Number/Link" dataDxfId="558" dataCellStyle="Hyperlink"/>
    <tableColumn id="14" xr3:uid="{1BFB71C0-E00E-4039-B7FE-C4AF9D6FA636}" name="PR Created Date" dataDxfId="557"/>
    <tableColumn id="15" xr3:uid="{6C08E515-8FF0-4740-B792-534F1D836D99}" name="PR Approved Date" dataDxfId="556"/>
    <tableColumn id="16" xr3:uid="{14D4BDD3-6873-4D2B-9723-45B84E0EB392}" name="Onsite Lead Code Review" dataDxfId="555"/>
    <tableColumn id="17" xr3:uid="{785E8056-2FEE-4A55-9CA6-4EBBBCD711D3}" name="Code Review Comments, if any" dataDxfId="554"/>
    <tableColumn id="18" xr3:uid="{430C99B8-C1DA-4607-B59E-709B5D72491A}" name="Client Code Review" dataDxfId="553"/>
    <tableColumn id="19" xr3:uid="{FED083FB-7FB5-421B-BA19-1E448BD0C80F}" name="Approved Date" dataDxfId="552"/>
    <tableColumn id="20" xr3:uid="{BF49CA03-B728-4099-8592-D8A3D6DB9EB6}" name="Code Review Comments, if any2" dataDxfId="551"/>
    <tableColumn id="21" xr3:uid="{6B83BE6E-3C74-4ACB-B655-C2F79A114A09}" name="Internal PO -POV Comments" dataDxfId="550"/>
    <tableColumn id="22" xr3:uid="{FB935D00-C441-4188-86DB-C959E8914BE6}" name="Client PO -POV Comments" dataDxfId="549"/>
    <tableColumn id="24" xr3:uid="{331D75CA-DE6D-4FD0-BBC1-B5DC776129D7}" name="Comments" dataDxfId="548"/>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5F2B46BB-5DA9-45DA-8B0E-29B22C2CD612}" name="Table1456781093121311141517181920211623" displayName="Table1456781093121311141517181920211623" ref="A1:AD12" totalsRowShown="0" headerRowDxfId="547" dataDxfId="546" tableBorderDxfId="545">
  <autoFilter ref="A1:AD12" xr:uid="{9DC5C30B-A60C-4FFE-8316-8BFF998E3F7C}"/>
  <tableColumns count="30">
    <tableColumn id="1" xr3:uid="{476043DF-1121-43CD-B11F-9BEBC37E78FF}" name="S.No" dataDxfId="544"/>
    <tableColumn id="25" xr3:uid="{A98C53F7-45B0-49AE-9413-960F8208C5C0}" name="Application Name" dataDxfId="543"/>
    <tableColumn id="27" xr3:uid="{6B2CF555-6E84-4911-9770-53B306CBAB40}" name="Sprint Start Date" dataDxfId="542"/>
    <tableColumn id="26" xr3:uid="{78BF58C1-8CBD-4C91-A715-9FDD646C2A9E}" name="Sprint End Date" dataDxfId="541"/>
    <tableColumn id="2" xr3:uid="{96AEEB9F-7D2E-41D5-8014-DCD29E7A1F05}" name="Sprint "/>
    <tableColumn id="3" xr3:uid="{27ECE240-62CE-4544-B3A7-23E24A7BEED6}" name="Developer"/>
    <tableColumn id="4" xr3:uid="{88041CF8-FF34-440C-9189-8314998F116F}" name="Story ID/Defect ID" dataDxfId="540"/>
    <tableColumn id="5" xr3:uid="{1676A07D-B9EF-4C70-A840-9562D6468495}" name="Description"/>
    <tableColumn id="23" xr3:uid="{D83B8D12-532B-4CC1-A850-B1380C2854CE}" name="Status" dataDxfId="539"/>
    <tableColumn id="6" xr3:uid="{494380D8-275B-4657-89E2-2F91CE0870DD}" name="Estimated(hrs/sp)"/>
    <tableColumn id="7" xr3:uid="{7EFA5CF6-10C2-4DFB-B58B-D1179BBC7F37}" name="Actual(hrs/sp)" dataDxfId="538"/>
    <tableColumn id="28" xr3:uid="{EBD107B5-49F7-43CC-AE4C-D428CA3B3DA5}" name="Actual Hours  Worklog" dataDxfId="537"/>
    <tableColumn id="29" xr3:uid="{A776E94B-C674-4FC6-BD71-2BD2138E10EB}" name="Dev Start Date" dataDxfId="536"/>
    <tableColumn id="30" xr3:uid="{7F046267-F855-4540-BAA2-558AFDD57A32}" name="Dev End Date" dataDxfId="535"/>
    <tableColumn id="8" xr3:uid="{D9050C40-A6AB-4235-B159-8440B6915671}" name="Unit testing" dataDxfId="534"/>
    <tableColumn id="9" xr3:uid="{4856F008-805A-4DC0-8BEC-D5DEA3715AC3}" name="Peer Tested By" dataDxfId="533"/>
    <tableColumn id="10" xr3:uid="{19D810A2-4A68-4CF7-BAB0-A87D88AF9227}" name="Peer Tested Defects, if any" dataDxfId="532"/>
    <tableColumn id="11" xr3:uid="{65D4FBFD-DF9D-48C6-8BF7-D4DD1194D116}" name="Peer Reviewed By" dataDxfId="531"/>
    <tableColumn id="12" xr3:uid="{7199DD66-6005-485D-B9E8-0246ABDDF24E}" name="Peer Code Review Comments, if any"/>
    <tableColumn id="13" xr3:uid="{0F75B117-126B-486D-BF43-C4856F65BF92}" name="PR Number/Link" dataDxfId="530" dataCellStyle="Hyperlink"/>
    <tableColumn id="14" xr3:uid="{59974FA3-F16A-43D6-9AFF-AE79C32C27E2}" name="PR Created Date" dataDxfId="529"/>
    <tableColumn id="15" xr3:uid="{9B5E62F0-3C77-475E-B415-30D0FA336301}" name="PR Approved Date" dataDxfId="528"/>
    <tableColumn id="16" xr3:uid="{2E09FC57-BB09-4A15-82CB-5C78676762E9}" name="Onsite Lead Code Review" dataDxfId="527"/>
    <tableColumn id="17" xr3:uid="{63AC55F3-B9F7-42EB-B6E0-7F024B35AACE}" name="Code Review Comments, if any" dataDxfId="526"/>
    <tableColumn id="18" xr3:uid="{0A6803CD-CABA-46D6-BABA-29AADE3FB840}" name="Client Code Review" dataDxfId="525"/>
    <tableColumn id="19" xr3:uid="{046EA5DB-F0E7-44C6-994C-CCB33EF93263}" name="Approved Date" dataDxfId="524"/>
    <tableColumn id="20" xr3:uid="{2A3C298D-A6B5-4E7C-A666-1AF9E1E437DA}" name="Code Review Comments, if any2" dataDxfId="523"/>
    <tableColumn id="21" xr3:uid="{A7AE3B77-3E8F-44B3-B888-6102A1589F0A}" name="Internal PO -POV Comments" dataDxfId="522"/>
    <tableColumn id="22" xr3:uid="{3356382C-97D2-4BAF-8FB4-86C0FB8B5944}" name="Client PO -POV Comments" dataDxfId="521"/>
    <tableColumn id="24" xr3:uid="{A1781CCC-8FF2-4EAB-B19A-F2AF99336BF2}" name="Comments" dataDxfId="520"/>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723829EF-505E-426A-9C36-07F098661502}" name="Table14567810931213111415171819202116" displayName="Table14567810931213111415171819202116" ref="A1:AD12" totalsRowShown="0" headerRowDxfId="519" dataDxfId="518" tableBorderDxfId="517">
  <autoFilter ref="A1:AD12" xr:uid="{9DC5C30B-A60C-4FFE-8316-8BFF998E3F7C}"/>
  <tableColumns count="30">
    <tableColumn id="1" xr3:uid="{3D083330-ACCF-450A-B5B5-D7E423CC35F1}" name="S.No" dataDxfId="516"/>
    <tableColumn id="25" xr3:uid="{B5EDB433-4788-4477-B0FD-15B454CC657D}" name="Application Name" dataDxfId="515"/>
    <tableColumn id="27" xr3:uid="{F2EF78EA-E3C2-4EE7-AE8C-A92384003D57}" name="Sprint Start Date" dataDxfId="514"/>
    <tableColumn id="26" xr3:uid="{EB95B146-657F-4CB8-94C8-1B0A7B47DE5B}" name="Sprint End Date" dataDxfId="513"/>
    <tableColumn id="2" xr3:uid="{447F1C53-8923-48FB-ACFC-797ADB226BA2}" name="Sprint "/>
    <tableColumn id="3" xr3:uid="{422CCF7B-17A2-430D-8746-6A0E204789C2}" name="Developer"/>
    <tableColumn id="4" xr3:uid="{9C17DD9D-9412-4691-820C-D68DB1F4FD83}" name="Story ID/Defect ID" dataDxfId="512"/>
    <tableColumn id="5" xr3:uid="{8F67362D-77EE-4EC7-AD88-CC991FD9CEEB}" name="Description"/>
    <tableColumn id="23" xr3:uid="{664328FE-E584-4416-86DA-DDE499AA9677}" name="Status" dataDxfId="511"/>
    <tableColumn id="6" xr3:uid="{8DE333D2-AA02-4DA5-A560-2858312DA6B5}" name="Estimated(hrs/sp)"/>
    <tableColumn id="7" xr3:uid="{8D08BEC5-1386-480B-A5FF-A61C468152B4}" name="Actual(hrs/sp)" dataDxfId="510"/>
    <tableColumn id="28" xr3:uid="{50E0DAA6-BB90-4943-B622-43E0E8F5F92A}" name="Actual Hours  Worklog" dataDxfId="509"/>
    <tableColumn id="29" xr3:uid="{822C1A32-4034-4EA2-A6A3-F85DABB99157}" name="Dev Start Date" dataDxfId="508"/>
    <tableColumn id="30" xr3:uid="{BA065633-6830-49E9-ABD5-A6E8C1E6AC2E}" name="Dev End Date" dataDxfId="507"/>
    <tableColumn id="8" xr3:uid="{4838FF24-EC5C-4CD4-BCB0-D87AFC8D88B1}" name="Unit testing" dataDxfId="506"/>
    <tableColumn id="9" xr3:uid="{C7E6BE39-A608-43AC-BB0B-496CA6DC88A3}" name="Peer Tested By" dataDxfId="505"/>
    <tableColumn id="10" xr3:uid="{6DE3C5F8-03AF-4949-BD05-D531F3F64A91}" name="Peer Tested Defects, if any" dataDxfId="504"/>
    <tableColumn id="11" xr3:uid="{B749D2B9-EAEF-4584-A34E-9CC0BAA69814}" name="Peer Reviewed By" dataDxfId="503"/>
    <tableColumn id="12" xr3:uid="{E9CA52A2-F23C-4142-B9DD-2FBE68C07000}" name="Peer Code Review Comments, if any"/>
    <tableColumn id="13" xr3:uid="{C0F5AD06-A004-492A-B274-796E794208E1}" name="PR Number/Link" dataDxfId="502" dataCellStyle="Hyperlink"/>
    <tableColumn id="14" xr3:uid="{5C5E3CFC-9B15-4677-8324-1E460ADC84D3}" name="PR Created Date" dataDxfId="501"/>
    <tableColumn id="15" xr3:uid="{3D45EDEB-EAA5-405F-87D7-C521AD005F12}" name="PR Approved Date" dataDxfId="500"/>
    <tableColumn id="16" xr3:uid="{60A3A301-DF0E-4CF1-84C7-D98E03604E2A}" name="Onsite Lead Code Review" dataDxfId="499"/>
    <tableColumn id="17" xr3:uid="{354B8BB8-BADD-4BD5-9DDB-14D6394DE93C}" name="Code Review Comments, if any" dataDxfId="498"/>
    <tableColumn id="18" xr3:uid="{97AF9E68-AD14-4737-A5AE-D6400EFD9864}" name="Client Code Review" dataDxfId="497"/>
    <tableColumn id="19" xr3:uid="{0B11296A-1223-47B1-9CB8-C43191880126}" name="Approved Date" dataDxfId="496"/>
    <tableColumn id="20" xr3:uid="{75F9FCF4-2F8B-4533-A8D8-83315394E79F}" name="Code Review Comments, if any2" dataDxfId="495"/>
    <tableColumn id="21" xr3:uid="{A57CF00E-E92F-42C0-9052-F673311FE76C}" name="Internal PO -POV Comments" dataDxfId="494"/>
    <tableColumn id="22" xr3:uid="{E5E832E9-5626-403A-88A2-D064FEDF1286}" name="Client PO -POV Comments" dataDxfId="493"/>
    <tableColumn id="24" xr3:uid="{5D28FBB4-7393-4F8F-A803-F864B1013709}" name="Comments" dataDxfId="492"/>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B5AF162-0C5B-4818-9196-876D842EB568}" name="Table145678109312131114151718192021" displayName="Table145678109312131114151718192021" ref="A1:AD12" totalsRowShown="0" headerRowDxfId="491" dataDxfId="490" tableBorderDxfId="489">
  <autoFilter ref="A1:AD12" xr:uid="{9DC5C30B-A60C-4FFE-8316-8BFF998E3F7C}"/>
  <tableColumns count="30">
    <tableColumn id="1" xr3:uid="{43AB6441-FD96-4D8F-9481-BF601B44F7F5}" name="S.No" dataDxfId="488"/>
    <tableColumn id="25" xr3:uid="{8A13EE9A-7946-49F5-B859-E9816D7CA5D5}" name="Application Name" dataDxfId="487"/>
    <tableColumn id="27" xr3:uid="{3BC9A7A4-BBC4-4D61-BE2E-0EDE8A65F8AC}" name="Sprint Start Date" dataDxfId="486"/>
    <tableColumn id="26" xr3:uid="{97B3A970-9146-4904-B836-C07C5308A128}" name="Sprint End Date" dataDxfId="485"/>
    <tableColumn id="2" xr3:uid="{3E432608-2B03-4502-9584-85DB948E4E66}" name="Sprint "/>
    <tableColumn id="3" xr3:uid="{4C723133-2B28-4AFE-AA01-D3309E80A71E}" name="Developer"/>
    <tableColumn id="4" xr3:uid="{786F4850-D4B5-4984-B1E5-E75ED26E3260}" name="Story ID/Defect ID" dataDxfId="484"/>
    <tableColumn id="5" xr3:uid="{EDF72BB4-A503-48EB-BA6A-C7F627F7332B}" name="Description"/>
    <tableColumn id="23" xr3:uid="{13083C4C-3016-4617-9B77-28A9750D3763}" name="Status" dataDxfId="483"/>
    <tableColumn id="6" xr3:uid="{ABCC2B5F-2EE0-4695-BB27-48AB48D731D8}" name="Estimated(hrs/sp)"/>
    <tableColumn id="7" xr3:uid="{773DEC14-BC51-4EEE-81F3-A962F09EF76E}" name="Actual(hrs/sp)" dataDxfId="482"/>
    <tableColumn id="28" xr3:uid="{CDD847D6-36FE-4CA3-9BFD-BCD005029435}" name="Actual Hours  Worklog" dataDxfId="481"/>
    <tableColumn id="29" xr3:uid="{558C7926-ECD8-43AE-97C6-2D484FE1481C}" name="Dev Start Date" dataDxfId="480"/>
    <tableColumn id="30" xr3:uid="{D1182B69-7843-4A53-B3E5-CA2284BBDBE3}" name="Dev End Date" dataDxfId="479"/>
    <tableColumn id="8" xr3:uid="{6B99E266-B238-4CEE-B8F6-E31701EB301E}" name="Unit testing" dataDxfId="478"/>
    <tableColumn id="9" xr3:uid="{4185F10F-838E-4AF5-85F4-A3789A239110}" name="Peer Tested By" dataDxfId="477"/>
    <tableColumn id="10" xr3:uid="{15180922-F498-4BBE-8429-2A70F0A2CD48}" name="Peer Tested Defects, if any" dataDxfId="476"/>
    <tableColumn id="11" xr3:uid="{79500000-134C-4444-8026-A3C5FF60F502}" name="Peer Reviewed By" dataDxfId="475"/>
    <tableColumn id="12" xr3:uid="{2ADCA525-5B7F-40E5-9B66-E95124049236}" name="Peer Code Review Comments, if any"/>
    <tableColumn id="13" xr3:uid="{7F780E34-4D5D-4C2D-8272-68CC4825CF67}" name="PR Number/Link" dataDxfId="474" dataCellStyle="Hyperlink"/>
    <tableColumn id="14" xr3:uid="{EC9A29F6-B747-4CF7-BC34-4E7369C063E2}" name="PR Created Date" dataDxfId="473"/>
    <tableColumn id="15" xr3:uid="{FC3B2F9F-8D53-4D29-92B1-79C4B436B1B2}" name="PR Approved Date" dataDxfId="472"/>
    <tableColumn id="16" xr3:uid="{B3FB9EC1-EBEA-4B20-946C-75C9E4C568F9}" name="Onsite Lead Code Review" dataDxfId="471"/>
    <tableColumn id="17" xr3:uid="{14B637A6-C129-486F-8785-32190F2C9777}" name="Code Review Comments, if any" dataDxfId="470"/>
    <tableColumn id="18" xr3:uid="{ADB6403B-5477-4FFC-A188-97DF6DC10500}" name="Client Code Review" dataDxfId="469"/>
    <tableColumn id="19" xr3:uid="{A2568FEE-CC7F-4C50-AD51-693A660F944A}" name="Approved Date" dataDxfId="468"/>
    <tableColumn id="20" xr3:uid="{F59927AD-38AC-4A28-A5A1-CF8AF278E4A3}" name="Code Review Comments, if any2" dataDxfId="467"/>
    <tableColumn id="21" xr3:uid="{CF7DBF39-2B10-413A-8236-DF6B6B6D47C0}" name="Internal PO -POV Comments" dataDxfId="466"/>
    <tableColumn id="22" xr3:uid="{9EE6C420-EE56-4B03-9ACE-6F01D0A564E4}" name="Client PO -POV Comments" dataDxfId="465"/>
    <tableColumn id="24" xr3:uid="{6E63A50E-DD27-442E-8B39-132D7D39AD9D}" name="Comments" dataDxfId="464"/>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9A79ED57-0C0D-4206-AC5F-D292284F8D2C}" name="Table1456781093121311141517181920" displayName="Table1456781093121311141517181920" ref="A1:AD9" totalsRowShown="0" headerRowDxfId="463" dataDxfId="462" tableBorderDxfId="461">
  <autoFilter ref="A1:AD9" xr:uid="{9DC5C30B-A60C-4FFE-8316-8BFF998E3F7C}"/>
  <tableColumns count="30">
    <tableColumn id="1" xr3:uid="{2771008B-FD66-4141-A55C-901FDA7F9CA7}" name="S.No" dataDxfId="460"/>
    <tableColumn id="25" xr3:uid="{0200A01A-E732-4C1F-B23A-1CD05547FC6B}" name="Application Name" dataDxfId="459"/>
    <tableColumn id="27" xr3:uid="{6D751331-42C1-4680-81FF-86FBEB845DE2}" name="Sprint Start Date" dataDxfId="458"/>
    <tableColumn id="26" xr3:uid="{E0606C30-DE77-4611-BA6F-98110EB4AB49}" name="Sprint End Date" dataDxfId="457"/>
    <tableColumn id="2" xr3:uid="{F3C0E4B0-0338-4460-9804-927961DD0D3C}" name="Sprint "/>
    <tableColumn id="3" xr3:uid="{288481CB-82D1-4E90-B44C-E39158F25669}" name="Developer"/>
    <tableColumn id="4" xr3:uid="{C4CC6750-3A4E-4F6C-A2CB-EE52C197A239}" name="Story ID/Defect ID" dataDxfId="456"/>
    <tableColumn id="5" xr3:uid="{6D602866-12D8-439E-9ED5-CF3D01A4C581}" name="Description"/>
    <tableColumn id="23" xr3:uid="{E5E8065A-3381-4A70-A5A5-82659C9FA5B1}" name="Status" dataDxfId="455"/>
    <tableColumn id="6" xr3:uid="{5956DE86-8C19-4DC3-9645-CF417B7C0B26}" name="Estimated(hrs/sp)"/>
    <tableColumn id="7" xr3:uid="{F1DCB044-FE40-4411-A650-1AF30E926675}" name="Actual(hrs/sp)" dataDxfId="454"/>
    <tableColumn id="28" xr3:uid="{248AA676-F992-4F1A-99AE-6409C667DF47}" name="Actual Hours  Worklog" dataDxfId="453"/>
    <tableColumn id="29" xr3:uid="{3945E0D1-0A01-4065-BF5E-2AE1880EACF1}" name="Dev Start Date" dataDxfId="452"/>
    <tableColumn id="30" xr3:uid="{33D9B72A-30EB-4472-88C4-9AE970AD09BA}" name="Dev End Date" dataDxfId="451"/>
    <tableColumn id="8" xr3:uid="{60761E43-6DB8-4E95-821D-91D5F3C062DB}" name="Unit testing" dataDxfId="450"/>
    <tableColumn id="9" xr3:uid="{30BCE5ED-BC82-48C3-A4A4-5784AE475716}" name="Peer Tested By" dataDxfId="449"/>
    <tableColumn id="10" xr3:uid="{E00D6C23-7CC5-44ED-8CB9-11D4F46B683E}" name="Peer Tested Defects, if any" dataDxfId="448"/>
    <tableColumn id="11" xr3:uid="{A73DC260-BF4A-4F1D-9149-98496F88EC81}" name="Peer Reviewed By" dataDxfId="447"/>
    <tableColumn id="12" xr3:uid="{84207FB0-97DC-4009-AE71-A4B31E73BA9F}" name="Peer Code Review Comments, if any"/>
    <tableColumn id="13" xr3:uid="{B131F15B-C01C-4842-AEE9-629A03838451}" name="PR Number/Link" dataDxfId="446" dataCellStyle="Hyperlink"/>
    <tableColumn id="14" xr3:uid="{375D0950-E43B-4547-B44A-28038076E4E2}" name="PR Created Date" dataDxfId="445"/>
    <tableColumn id="15" xr3:uid="{BF68AC02-536B-4987-9E2A-9E0F2C979850}" name="PR Approved Date" dataDxfId="444"/>
    <tableColumn id="16" xr3:uid="{84CE016B-8CDC-42F7-90C7-7B11165A7CAE}" name="Onsite Lead Code Review" dataDxfId="443"/>
    <tableColumn id="17" xr3:uid="{F3F7205A-93FB-4E5F-BD28-ED4ADE257BC3}" name="Code Review Comments, if any" dataDxfId="442"/>
    <tableColumn id="18" xr3:uid="{B5F5E01D-99E9-4655-8477-173AA7004EC2}" name="Client Code Review" dataDxfId="441"/>
    <tableColumn id="19" xr3:uid="{97F77EA3-903C-4636-9A0E-0D61834F88F0}" name="Approved Date" dataDxfId="440"/>
    <tableColumn id="20" xr3:uid="{2E4E439C-5E1C-40C1-A9DA-458DC5159C28}" name="Code Review Comments, if any2" dataDxfId="439"/>
    <tableColumn id="21" xr3:uid="{2791E574-3B2A-4DD3-8AFA-F53D39E87B24}" name="Internal PO -POV Comments" dataDxfId="438"/>
    <tableColumn id="22" xr3:uid="{98B490BC-5ED8-4198-B44B-493F107813FE}" name="Client PO -POV Comments" dataDxfId="437"/>
    <tableColumn id="24" xr3:uid="{B5DD9ADA-B41D-4BCD-ABEF-65AA2BBF8DAE}" name="Comments" dataDxfId="436"/>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4A514C61-5164-4AE9-94B5-7F0FC7EDEF56}" name="Table14567810931213111415171819" displayName="Table14567810931213111415171819" ref="A1:AD9" totalsRowShown="0" headerRowDxfId="435" dataDxfId="434" tableBorderDxfId="433">
  <autoFilter ref="A1:AD9" xr:uid="{9DC5C30B-A60C-4FFE-8316-8BFF998E3F7C}"/>
  <tableColumns count="30">
    <tableColumn id="1" xr3:uid="{49BF3301-DB55-4B4E-86FE-A91790623D06}" name="S.No" dataDxfId="432"/>
    <tableColumn id="25" xr3:uid="{D9E44397-A407-48A5-932A-8023FF5A2664}" name="Application Name" dataDxfId="431"/>
    <tableColumn id="27" xr3:uid="{4BA71500-269E-4C00-8A81-303DAB1D7670}" name="Sprint Start Date" dataDxfId="430"/>
    <tableColumn id="26" xr3:uid="{9110EB0F-4E02-4DBE-9E00-418D175B135D}" name="Sprint End Date" dataDxfId="429"/>
    <tableColumn id="2" xr3:uid="{6FEE0FF5-4E9C-4469-8A3A-C55671894439}" name="Sprint "/>
    <tableColumn id="3" xr3:uid="{1071E299-371C-43D1-8579-7D912F95AD07}" name="Developer"/>
    <tableColumn id="4" xr3:uid="{D2214BFF-97D1-4865-8B9A-8FB692180CDA}" name="Story ID/Defect ID" dataDxfId="428"/>
    <tableColumn id="5" xr3:uid="{2FEC39D8-2077-46BA-85E1-BB194488104C}" name="Description"/>
    <tableColumn id="23" xr3:uid="{2AAF287F-4032-48DA-ABAB-D9C0989D912A}" name="Status" dataDxfId="427"/>
    <tableColumn id="6" xr3:uid="{0344ABB0-F3D9-441A-9C0F-9ADF71E3ED35}" name="Estimated(hrs/sp)"/>
    <tableColumn id="7" xr3:uid="{F320B69E-A062-4CE8-8416-37BE241925A0}" name="Actual(hrs/sp)" dataDxfId="426"/>
    <tableColumn id="28" xr3:uid="{BEA4DE75-76B7-46F8-A8CC-9AD0AE752A31}" name="Actual Hours  Worklog" dataDxfId="425"/>
    <tableColumn id="29" xr3:uid="{097E6E0A-4DC9-402E-96C0-F77589E50AAF}" name="Dev Start Date" dataDxfId="424"/>
    <tableColumn id="30" xr3:uid="{8AAFA3B0-0A09-45C8-BAD3-066BE621D6D8}" name="Dev End Date" dataDxfId="423"/>
    <tableColumn id="8" xr3:uid="{B853DF57-31E0-4AE1-8AFD-3C3A8F6DC603}" name="Unit testing" dataDxfId="422"/>
    <tableColumn id="9" xr3:uid="{5610FBAE-6B7C-4FC0-8423-26A11EF7B8C7}" name="Peer Tested By" dataDxfId="421"/>
    <tableColumn id="10" xr3:uid="{03B93D76-B4B3-4B4A-AE88-F2AC45114260}" name="Peer Tested Defects, if any" dataDxfId="420"/>
    <tableColumn id="11" xr3:uid="{B49C8265-9175-45D7-8EA9-0DA63FCAB0F7}" name="Peer Reviewed By" dataDxfId="419"/>
    <tableColumn id="12" xr3:uid="{234EBE04-9CA4-4046-93EE-F6B45B901C19}" name="Peer Code Review Comments, if any"/>
    <tableColumn id="13" xr3:uid="{74C2785A-C258-4EF1-ABFA-CC190B5D56F0}" name="PR Number/Link" dataDxfId="418" dataCellStyle="Hyperlink"/>
    <tableColumn id="14" xr3:uid="{699FE8ED-80EA-43EF-BE0E-B822342D49ED}" name="PR Created Date" dataDxfId="417"/>
    <tableColumn id="15" xr3:uid="{98C6C91A-B0CD-4B43-982A-74A934003B04}" name="PR Approved Date" dataDxfId="416"/>
    <tableColumn id="16" xr3:uid="{244BBC3C-5A4B-4BC1-BE38-A559019D3908}" name="Onsite Lead Code Review" dataDxfId="415"/>
    <tableColumn id="17" xr3:uid="{D155A792-41FE-4B57-AC5D-AF845E12C0C2}" name="Code Review Comments, if any" dataDxfId="414"/>
    <tableColumn id="18" xr3:uid="{DBCDEB50-E718-4484-869B-DC1412F8916A}" name="Client Code Review" dataDxfId="413"/>
    <tableColumn id="19" xr3:uid="{CCD7059A-D3EB-44CC-A3DB-47894D895D3C}" name="Approved Date" dataDxfId="412"/>
    <tableColumn id="20" xr3:uid="{B377ED67-4908-4A6E-8D07-02E368FBF87D}" name="Code Review Comments, if any2" dataDxfId="411"/>
    <tableColumn id="21" xr3:uid="{2FEFC995-914F-4C38-A7A0-C4F2EBA2EE2E}" name="Internal PO -POV Comments" dataDxfId="410"/>
    <tableColumn id="22" xr3:uid="{91B9FB76-7891-4394-B69B-C6B648DECA60}" name="Client PO -POV Comments" dataDxfId="409"/>
    <tableColumn id="24" xr3:uid="{D0C96742-9B0B-4D89-8DBD-A2C3175C1036}" name="Comments" dataDxfId="408"/>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273D2C9-B292-4035-9BA5-5CBEA36B3EA2}" name="Table145678109312131114151718" displayName="Table145678109312131114151718" ref="A1:AB9" totalsRowShown="0" headerRowDxfId="407" dataDxfId="406" tableBorderDxfId="405">
  <autoFilter ref="A1:AB9" xr:uid="{9DC5C30B-A60C-4FFE-8316-8BFF998E3F7C}"/>
  <tableColumns count="28">
    <tableColumn id="1" xr3:uid="{720C8DFB-8B33-4BD6-A5C6-19AB991AEF30}" name="S.No" dataDxfId="404"/>
    <tableColumn id="25" xr3:uid="{154D3098-79AB-4882-871A-C8193698031C}" name="Application Name" dataDxfId="403"/>
    <tableColumn id="27" xr3:uid="{4A4B5C73-12DC-45BE-87E8-1C73DED1D056}" name="Sprint Start Date" dataDxfId="402"/>
    <tableColumn id="26" xr3:uid="{BAF1E98E-DB45-4D1A-ACD9-605E8D0661AB}" name="Sprint End Date" dataDxfId="401"/>
    <tableColumn id="2" xr3:uid="{82120F5A-BECA-4821-BFA2-9DC059122442}" name="Sprint "/>
    <tableColumn id="3" xr3:uid="{61B390AB-EF47-4FA6-AA67-8C9CDCA8C6DE}" name="Developer"/>
    <tableColumn id="4" xr3:uid="{60A8CF18-EDA4-43DE-A753-E85B445CE308}" name="Story ID/Defect ID" dataDxfId="400"/>
    <tableColumn id="5" xr3:uid="{F83CDA1F-C048-4119-A8AE-9B5E67B6BE5F}" name="Description"/>
    <tableColumn id="23" xr3:uid="{2F74F395-3AFF-452D-9A78-F4A03008BB64}" name="Status" dataDxfId="399"/>
    <tableColumn id="6" xr3:uid="{B2991A63-07F6-4F53-B0FA-71D0E0B3A77A}" name="Estimated(hrs/sp)"/>
    <tableColumn id="7" xr3:uid="{CFEC55AF-5403-4869-943E-3D3866919669}" name="Actual(hrs/sp)" dataDxfId="398"/>
    <tableColumn id="28" xr3:uid="{7551A019-BEE2-4864-8648-E57ACF4A3380}" name="Actual Hours  Worklog" dataDxfId="397"/>
    <tableColumn id="8" xr3:uid="{94CB8AC0-7119-4626-BEA7-F4C9AC03510C}" name="Unit testing" dataDxfId="396"/>
    <tableColumn id="9" xr3:uid="{8BA1FCEA-D8C3-4F12-ABFF-A6C245A85337}" name="Peer Tested By" dataDxfId="395"/>
    <tableColumn id="10" xr3:uid="{0E0B3BE3-DE45-46A9-8245-05B64439FE5F}" name="Peer Tested Defects, if any" dataDxfId="394"/>
    <tableColumn id="11" xr3:uid="{21CB084A-36A0-4445-8E28-7CBE1298B4E1}" name="Peer Reviewed By" dataDxfId="393"/>
    <tableColumn id="12" xr3:uid="{1E2CEFBD-6871-4B30-A9CB-EC46824F5047}" name="Peer Code Review Comments, if any"/>
    <tableColumn id="13" xr3:uid="{BF433D24-D1DF-48BC-938E-E8AA8E4DAD74}" name="PR Number/Link" dataDxfId="392" dataCellStyle="Hyperlink"/>
    <tableColumn id="14" xr3:uid="{F598FDEE-13D2-4599-91C2-28C85C73FD9D}" name="PR Created Date" dataDxfId="391"/>
    <tableColumn id="15" xr3:uid="{014BDBE5-B31E-43C9-B8E5-02BA2ECC33F9}" name="PR Approved Date" dataDxfId="390"/>
    <tableColumn id="16" xr3:uid="{8E03105D-61C0-448A-8C97-1EE64600AAD0}" name="Onsite Lead Code Review" dataDxfId="389"/>
    <tableColumn id="17" xr3:uid="{AA658074-DF17-460A-8985-251C627EA9FB}" name="Code Review Comments, if any" dataDxfId="388"/>
    <tableColumn id="18" xr3:uid="{6E396DD3-CBDC-4149-A2D8-75146AF6329F}" name="Client Code Review" dataDxfId="387"/>
    <tableColumn id="19" xr3:uid="{073B244F-765D-4CF0-A950-7E6D3A1FC421}" name="Approved Date" dataDxfId="386"/>
    <tableColumn id="20" xr3:uid="{A8AD53EA-3ED7-474A-9B71-4D1A6A952CBB}" name="Code Review Comments, if any2" dataDxfId="385"/>
    <tableColumn id="21" xr3:uid="{7218ACF8-9779-4046-B95E-91D8D70D022C}" name="Internal PO -POV Comments" dataDxfId="384"/>
    <tableColumn id="22" xr3:uid="{B26398EB-4CAE-459F-B33D-704945D19F28}" name="Client PO -POV Comments" dataDxfId="383"/>
    <tableColumn id="24" xr3:uid="{0C9A9877-A75D-4887-8F89-3EE9580FF69C}" name="Comments" dataDxfId="382"/>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28AF95C7-F3EC-4BBB-85ED-8A8AFFA46240}" name="Table1456781093121311141517" displayName="Table1456781093121311141517" ref="A1:AB9" totalsRowShown="0" headerRowDxfId="381" dataDxfId="380" tableBorderDxfId="379">
  <autoFilter ref="A1:AB9" xr:uid="{9DC5C30B-A60C-4FFE-8316-8BFF998E3F7C}"/>
  <tableColumns count="28">
    <tableColumn id="1" xr3:uid="{E5815E86-F136-40BD-9D70-3FFD564C38E4}" name="S.No" dataDxfId="378"/>
    <tableColumn id="25" xr3:uid="{30CE1162-5965-4F59-8CD7-B7B6D80178F5}" name="Application Name" dataDxfId="377"/>
    <tableColumn id="27" xr3:uid="{DB92E2EE-C794-4ABD-B2E8-68E45C3DF0B1}" name="Sprint Start Date" dataDxfId="376"/>
    <tableColumn id="26" xr3:uid="{9F7C10CE-DF34-46FE-B1AC-A23EF5D83C39}" name="Sprint End Date" dataDxfId="375"/>
    <tableColumn id="2" xr3:uid="{CDCC6F6A-712B-4201-93D8-6D549E91CF44}" name="Sprint "/>
    <tableColumn id="3" xr3:uid="{CB44193A-5F8B-4A35-B2EE-424E6791536E}" name="Developer"/>
    <tableColumn id="4" xr3:uid="{388BB709-2A79-4C0F-A729-98E810A14827}" name="Story ID/Defect ID" dataDxfId="374"/>
    <tableColumn id="5" xr3:uid="{4546ACC5-6B5E-49F3-AC8C-121240323573}" name="Description"/>
    <tableColumn id="23" xr3:uid="{7298BEA5-DC2E-47FF-A819-139FD245BEA3}" name="Status" dataDxfId="373"/>
    <tableColumn id="6" xr3:uid="{F553E46C-F25D-4214-94F9-C0FAFE7E3947}" name="Estimated(hrs/sp)"/>
    <tableColumn id="7" xr3:uid="{96D2BEA8-BDEF-4588-A681-CADB3B3A5936}" name="Actual(hrs/sp)" dataDxfId="372"/>
    <tableColumn id="28" xr3:uid="{5F5EFF4D-0006-4570-8599-7FB891004792}" name="Actual Hours  Worklog" dataDxfId="371"/>
    <tableColumn id="8" xr3:uid="{7401CFD3-7AAA-4D8B-9DA7-8D9A71F977F8}" name="Unit testing" dataDxfId="370"/>
    <tableColumn id="9" xr3:uid="{8888616D-5042-4E4D-9393-119691B52AF6}" name="Peer Tested By" dataDxfId="369"/>
    <tableColumn id="10" xr3:uid="{483DDF33-D402-4A87-8C31-0FDB0F1A549D}" name="Peer Tested Defects, if any" dataDxfId="368"/>
    <tableColumn id="11" xr3:uid="{44524127-D596-4D86-9576-6D678932FE46}" name="Peer Reviewed By" dataDxfId="367"/>
    <tableColumn id="12" xr3:uid="{F6C0BF98-2F44-4375-A84B-B35A3F80280D}" name="Peer Code Review Comments, if any"/>
    <tableColumn id="13" xr3:uid="{58B9DB08-0537-4736-B5CB-5F4EAF282529}" name="PR Number/Link" dataDxfId="366" dataCellStyle="Hyperlink"/>
    <tableColumn id="14" xr3:uid="{3A56F881-799F-4D83-845F-C631A9B6D10F}" name="PR Created Date" dataDxfId="365"/>
    <tableColumn id="15" xr3:uid="{A1CB9C8E-6A77-4F45-A6FD-F68DBFA20A6A}" name="PR Approved Date" dataDxfId="364"/>
    <tableColumn id="16" xr3:uid="{AB1C7C74-37F5-4CDB-85E5-EF8ED571E1F8}" name="Onsite Lead Code Review" dataDxfId="363"/>
    <tableColumn id="17" xr3:uid="{E90D40D1-3CC6-474D-96B2-6F6BD9760C35}" name="Code Review Comments, if any" dataDxfId="362"/>
    <tableColumn id="18" xr3:uid="{ECEE7ABF-AEB3-4874-B57D-99B85ECC9EC8}" name="Client Code Review" dataDxfId="361"/>
    <tableColumn id="19" xr3:uid="{C80A5310-ACDD-484D-95E3-23EECC9FCB58}" name="Approved Date" dataDxfId="360"/>
    <tableColumn id="20" xr3:uid="{A86E3748-8ADC-4E6D-9736-48DB363628ED}" name="Code Review Comments, if any2" dataDxfId="359"/>
    <tableColumn id="21" xr3:uid="{FC4047C7-C348-4D39-AF18-289F66ADD204}" name="Internal PO -POV Comments" dataDxfId="358"/>
    <tableColumn id="22" xr3:uid="{88341C70-C7A4-4053-8794-DF1A5EB0D179}" name="Client PO -POV Comments" dataDxfId="357"/>
    <tableColumn id="24" xr3:uid="{FD82D3F0-85C8-4C90-B7E3-0D62C400D394}" name="Comments" dataDxfId="356"/>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E8F1187-C913-472E-B40C-1378CDACFC91}" name="Table14567810931213111415" displayName="Table14567810931213111415" ref="A1:AB9" totalsRowShown="0" headerRowDxfId="355" dataDxfId="354" tableBorderDxfId="353">
  <autoFilter ref="A1:AB9" xr:uid="{9DC5C30B-A60C-4FFE-8316-8BFF998E3F7C}"/>
  <tableColumns count="28">
    <tableColumn id="1" xr3:uid="{7DDB2802-3705-4442-8806-40BCF23359F5}" name="S.No" dataDxfId="352"/>
    <tableColumn id="25" xr3:uid="{2A3855FE-44C8-43C1-AE15-D1225B73B59B}" name="Application Name" dataDxfId="351"/>
    <tableColumn id="27" xr3:uid="{39947EFF-AC8D-4837-8E58-1E3A023B71EC}" name="Sprint Start Date" dataDxfId="350"/>
    <tableColumn id="26" xr3:uid="{169F7C64-EEDE-481F-A5A7-AEBF6AF8749A}" name="Sprint End Date" dataDxfId="349"/>
    <tableColumn id="2" xr3:uid="{A4A9036B-8590-41A4-9024-106D82036988}" name="Sprint "/>
    <tableColumn id="3" xr3:uid="{E1EB8831-DBC9-4578-9253-17CC506C1148}" name="Developer"/>
    <tableColumn id="4" xr3:uid="{3C0AC678-AB1D-489F-9C79-E4F6C719F29B}" name="Story ID/Defect ID" dataDxfId="348"/>
    <tableColumn id="5" xr3:uid="{847C6625-7761-497B-B859-E43265539A43}" name="Description"/>
    <tableColumn id="23" xr3:uid="{A9D82FC8-9559-416D-9EDD-2F71692C9658}" name="Status" dataDxfId="347"/>
    <tableColumn id="6" xr3:uid="{CADC27F8-9B7C-4A01-8D36-AEA35648781B}" name="Estimated(hrs/sp)"/>
    <tableColumn id="7" xr3:uid="{E4791426-9378-4D4D-B6CB-3E0296EF2503}" name="Actual(hrs/sp)" dataDxfId="346"/>
    <tableColumn id="28" xr3:uid="{62E4276A-2369-4749-9A5C-15BA20D3210C}" name="Actual Hours  Worklog" dataDxfId="345"/>
    <tableColumn id="8" xr3:uid="{8AFCED22-A600-4480-8636-8F0FED4455DF}" name="Unit testing" dataDxfId="344"/>
    <tableColumn id="9" xr3:uid="{CC8A3B8B-60D1-41D1-B936-66443E968B2B}" name="Peer Tested By" dataDxfId="343"/>
    <tableColumn id="10" xr3:uid="{DCBA8040-31C3-4722-87F0-E048E5567567}" name="Peer Tested Defects, if any" dataDxfId="342"/>
    <tableColumn id="11" xr3:uid="{705069D7-3022-40A2-BA5D-D2E486A8645E}" name="Peer Reviewed By" dataDxfId="341"/>
    <tableColumn id="12" xr3:uid="{6BAB705F-9257-40F1-AAD3-4D2844E948A3}" name="Peer Code Review Comments, if any"/>
    <tableColumn id="13" xr3:uid="{8329F82F-E5F4-4845-BC11-0592625E25A1}" name="PR Number/Link" dataDxfId="340" dataCellStyle="Hyperlink"/>
    <tableColumn id="14" xr3:uid="{88C35BE7-8347-4FB8-AAF8-A266DBCDE712}" name="PR Created Date" dataDxfId="339"/>
    <tableColumn id="15" xr3:uid="{24F4A59D-BADE-44B2-8278-FDDD119DE75F}" name="PR Approved Date" dataDxfId="338"/>
    <tableColumn id="16" xr3:uid="{2F8BA6FB-4EC7-4635-98E4-534439E94A20}" name="Onsite Lead Code Review" dataDxfId="337"/>
    <tableColumn id="17" xr3:uid="{6AD555DE-D456-4452-B5D6-C9A7E125E9B5}" name="Code Review Comments, if any" dataDxfId="336"/>
    <tableColumn id="18" xr3:uid="{28EAAFEE-3FA8-42C9-953D-5B5471334BD2}" name="Client Code Review" dataDxfId="335"/>
    <tableColumn id="19" xr3:uid="{CE4A5EAA-4383-4505-88EA-8D036A8C84ED}" name="Approved Date" dataDxfId="334"/>
    <tableColumn id="20" xr3:uid="{D7325653-3B7F-4190-912D-66448EB91267}" name="Code Review Comments, if any2" dataDxfId="333"/>
    <tableColumn id="21" xr3:uid="{4FDA6ADD-39D6-4463-A1D0-950EF1608221}" name="Internal PO -POV Comments" dataDxfId="332"/>
    <tableColumn id="22" xr3:uid="{8B96A08B-5F96-4998-AE34-958242C25CBD}" name="Client PO -POV Comments" dataDxfId="331"/>
    <tableColumn id="24" xr3:uid="{C65AFC28-D08F-44A6-AC37-5EFBB1DFB1DD}" name="Comments" dataDxfId="330"/>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E8FFBA2B-29D6-48E1-AFE2-28975A481460}" name="Table145678109312131114" displayName="Table145678109312131114" ref="A1:AB8" totalsRowShown="0" headerRowDxfId="329" dataDxfId="328" tableBorderDxfId="327">
  <autoFilter ref="A1:AB8" xr:uid="{9DC5C30B-A60C-4FFE-8316-8BFF998E3F7C}"/>
  <tableColumns count="28">
    <tableColumn id="1" xr3:uid="{7F862BB0-0A87-4250-878A-17892A760FA6}" name="S.No" dataDxfId="326"/>
    <tableColumn id="25" xr3:uid="{6987B334-1F02-4917-8F22-C3CAD55FFDCA}" name="Application Name" dataDxfId="325"/>
    <tableColumn id="27" xr3:uid="{F9B6D74B-409F-4007-A356-4DD01F1B81A6}" name="Sprint Start Date" dataDxfId="324"/>
    <tableColumn id="26" xr3:uid="{FFEF4C6D-FD7D-4101-B19F-DF0E847AE559}" name="Sprint End Date" dataDxfId="323"/>
    <tableColumn id="2" xr3:uid="{DD0679C5-04B5-4D8A-B325-434025F73F1D}" name="Sprint "/>
    <tableColumn id="3" xr3:uid="{559B9300-DB0F-4313-8697-F59E30FCF191}" name="Developer"/>
    <tableColumn id="4" xr3:uid="{000EBBFE-99F0-4D4B-ADC9-9A410BBF881C}" name="Story ID/Defect ID" dataDxfId="322"/>
    <tableColumn id="5" xr3:uid="{AE07260B-275D-49D0-9B41-F73A2601B595}" name="Description"/>
    <tableColumn id="23" xr3:uid="{341E1E1C-26F0-4316-8161-DF80E976F154}" name="Status" dataDxfId="321"/>
    <tableColumn id="6" xr3:uid="{42BA0377-B249-49B7-AB7D-64DF6601838B}" name="Estimated(hrs/sp)"/>
    <tableColumn id="7" xr3:uid="{B8060940-CBFF-49DF-B8EE-E2946DEC4C93}" name="Actual(hrs/sp)" dataDxfId="320"/>
    <tableColumn id="28" xr3:uid="{5467E57B-A669-4AB5-926B-043F24FC9FC9}" name="Actual Hours  Worklog" dataDxfId="319"/>
    <tableColumn id="8" xr3:uid="{64C8702E-1CD0-466B-8D9A-2480DA3601E0}" name="Unit testing" dataDxfId="318"/>
    <tableColumn id="9" xr3:uid="{B807C534-13F5-4BFB-840A-61F8E3C49B93}" name="Peer Tested By" dataDxfId="317"/>
    <tableColumn id="10" xr3:uid="{537ADB3D-A46D-438C-BEA7-701AF04FE9C4}" name="Peer Tested Defects, if any" dataDxfId="316"/>
    <tableColumn id="11" xr3:uid="{C878B667-0BEC-4A48-84EC-5458D088C8FA}" name="Peer Reviewed By" dataDxfId="315"/>
    <tableColumn id="12" xr3:uid="{6F25A1DF-57D2-4076-8687-242DACE2387C}" name="Peer Code Review Comments, if any"/>
    <tableColumn id="13" xr3:uid="{E4A61E5F-AF62-4334-B368-48A4D005D7D0}" name="PR Number/Link" dataDxfId="314" dataCellStyle="Hyperlink"/>
    <tableColumn id="14" xr3:uid="{243F003B-85F0-4351-8451-EAE5D34AD8F1}" name="PR Created Date" dataDxfId="313"/>
    <tableColumn id="15" xr3:uid="{1F947DDA-A64D-4D72-BA5F-049FB12480E4}" name="PR Approved Date" dataDxfId="312"/>
    <tableColumn id="16" xr3:uid="{3E3FDD1F-97AD-4BF6-A79E-090462CFBDB2}" name="Onsite Lead Code Review" dataDxfId="311"/>
    <tableColumn id="17" xr3:uid="{1D940C95-860F-4426-A4DC-AF59CCF70951}" name="Code Review Comments, if any" dataDxfId="310"/>
    <tableColumn id="18" xr3:uid="{C97246D7-C5A2-44E9-A377-02168DF64BA9}" name="Client Code Review" dataDxfId="309"/>
    <tableColumn id="19" xr3:uid="{450ED3F1-94C6-4C39-9D30-89C293B93F35}" name="Approved Date" dataDxfId="308"/>
    <tableColumn id="20" xr3:uid="{EA4DE49C-AC3F-4B20-ABB3-B8A0ECCD1AC8}" name="Code Review Comments, if any2" dataDxfId="307"/>
    <tableColumn id="21" xr3:uid="{53B052BA-2BF9-47E0-8463-9A24F3D701C6}" name="Internal PO -POV Comments" dataDxfId="306"/>
    <tableColumn id="22" xr3:uid="{1A3F90F7-A110-4CA9-A6D4-DBCC90D9277D}" name="Client PO -POV Comments" dataDxfId="305"/>
    <tableColumn id="24" xr3:uid="{6194A8CF-1008-4D1A-9AE5-DFC741D9D1A0}" name="Comments" dataDxfId="304"/>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B8349EA-C21F-4B61-9DF7-A6A8703BB90E}" name="Table1456781093121311" displayName="Table1456781093121311" ref="A1:AB7" totalsRowShown="0" headerRowDxfId="303" dataDxfId="302" tableBorderDxfId="301">
  <autoFilter ref="A1:AB7" xr:uid="{9DC5C30B-A60C-4FFE-8316-8BFF998E3F7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40667672-9D36-47E9-B77B-3372FD87B961}" name="S.No" dataDxfId="300"/>
    <tableColumn id="25" xr3:uid="{BDB8E77F-A703-48F1-966B-A1391B34E0A3}" name="Application Name" dataDxfId="299"/>
    <tableColumn id="27" xr3:uid="{BFD856DD-1846-4508-AA35-50E39DD713C8}" name="Sprint Start Date" dataDxfId="298"/>
    <tableColumn id="26" xr3:uid="{4A4DB143-C46D-47F6-AC29-E135E90088BF}" name="Sprint End Date" dataDxfId="297"/>
    <tableColumn id="2" xr3:uid="{AC7F979B-A27B-4876-9D37-0A75E06F2D68}" name="Sprint "/>
    <tableColumn id="3" xr3:uid="{28D2B1FE-3AC8-434C-B6B1-09C396631C50}" name="Developer"/>
    <tableColumn id="4" xr3:uid="{DF1138F9-0F80-476F-8745-96244AEA7D41}" name="Story ID/Defect ID" dataDxfId="296"/>
    <tableColumn id="5" xr3:uid="{F243B32E-2D59-426C-B3A6-1751013704F8}" name="Description"/>
    <tableColumn id="23" xr3:uid="{5C01CB60-8135-4788-8EB6-90ACCE1D25FC}" name="Status" dataDxfId="295"/>
    <tableColumn id="6" xr3:uid="{E37B6645-F333-46A4-A8D3-81CB0E6432C6}" name="Estimated(hrs/sp)"/>
    <tableColumn id="7" xr3:uid="{296BC513-FC9E-40D9-842D-333CBBA43A07}" name="Actual(hrs/sp)" dataDxfId="294"/>
    <tableColumn id="28" xr3:uid="{F62ACCAB-3131-4F33-869F-B3E9D48E6156}" name="Actual Hours  Worklog" dataDxfId="293"/>
    <tableColumn id="8" xr3:uid="{904C278A-07F6-4689-8177-96E48236553D}" name="Unit testing" dataDxfId="292"/>
    <tableColumn id="9" xr3:uid="{F339CB67-D205-474B-BA91-744F2EA87E3B}" name="Peer Tested By" dataDxfId="291"/>
    <tableColumn id="10" xr3:uid="{3BD8433D-ADAB-426D-88BE-264F2D5FF405}" name="Peer Tested Defects, if any" dataDxfId="290"/>
    <tableColumn id="11" xr3:uid="{CD8772D4-E569-4EC9-80AD-790274AE3D72}" name="Peer Reviewed By" dataDxfId="289"/>
    <tableColumn id="12" xr3:uid="{84B322F2-99FB-4585-A40D-D9319E589AA4}" name="Peer Code Review Comments, if any"/>
    <tableColumn id="13" xr3:uid="{DFE8C385-00E3-4CA2-9126-742203A60E55}" name="PR Number/Link" dataDxfId="288" dataCellStyle="Hyperlink"/>
    <tableColumn id="14" xr3:uid="{55AB02DD-6538-44C7-9BBF-D97FDC348726}" name="PR Created Date" dataDxfId="287"/>
    <tableColumn id="15" xr3:uid="{8F6A6C15-EF8A-47B2-A366-A7CA2F423018}" name="PR Approved Date" dataDxfId="286"/>
    <tableColumn id="16" xr3:uid="{9139AA64-0FBC-46DC-9EC7-8E6D06FBF496}" name="Onsite Lead Code Review" dataDxfId="285"/>
    <tableColumn id="17" xr3:uid="{A8016A93-4AC9-4180-8CBD-DE636AB416B8}" name="Code Review Comments, if any" dataDxfId="284"/>
    <tableColumn id="18" xr3:uid="{50495A08-25A5-4713-B644-5A94E90876B3}" name="Client Code Review" dataDxfId="283"/>
    <tableColumn id="19" xr3:uid="{1DBEFE85-3C87-4B1F-B19A-062B37F2A39F}" name="Approved Date" dataDxfId="282"/>
    <tableColumn id="20" xr3:uid="{89B5398F-B170-49CF-9371-EEFCC552F37F}" name="Code Review Comments, if any2" dataDxfId="281"/>
    <tableColumn id="21" xr3:uid="{2DB53B8B-E28E-4171-A097-3BB7F90F4E43}" name="Internal PO -POV Comments" dataDxfId="280"/>
    <tableColumn id="22" xr3:uid="{8CF4DC42-8E7C-4FD9-9A41-FADBBF68889C}" name="Client PO -POV Comments" dataDxfId="279"/>
    <tableColumn id="24" xr3:uid="{00968B9B-5D54-4327-ACC8-F7EBBB20B9DE}" name="Comments" dataDxfId="278"/>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2FB4F7E-FEC9-4304-923E-E927D5573C8C}" name="Table14567810931213" displayName="Table14567810931213" ref="A1:AB7" totalsRowShown="0" headerRowDxfId="277" dataDxfId="276" tableBorderDxfId="275">
  <autoFilter ref="A1:AB7" xr:uid="{9DC5C30B-A60C-4FFE-8316-8BFF998E3F7C}"/>
  <tableColumns count="28">
    <tableColumn id="1" xr3:uid="{28EA1A63-A1F5-4644-9F5B-70C210BB4FFD}" name="S.No" dataDxfId="274"/>
    <tableColumn id="25" xr3:uid="{F306C87D-B778-4BB5-88A8-EC093F421403}" name="Application Name" dataDxfId="273"/>
    <tableColumn id="27" xr3:uid="{643246FC-8B41-40B9-BB8A-849B32D14349}" name="Sprint Start Date" dataDxfId="272"/>
    <tableColumn id="26" xr3:uid="{D4687872-0AE5-4558-8EAB-1E26D62239B9}" name="Sprint End Date" dataDxfId="271"/>
    <tableColumn id="2" xr3:uid="{D57F7C59-060E-42A8-A8D5-52093DDB0572}" name="Sprint "/>
    <tableColumn id="3" xr3:uid="{8238FCFA-51DE-4177-A322-C8B650E5372B}" name="Developer"/>
    <tableColumn id="4" xr3:uid="{83496A1F-AC96-43A9-A899-ED1285DEB9C9}" name="Story ID/Defect ID" dataDxfId="270"/>
    <tableColumn id="5" xr3:uid="{0DA82058-FF2C-463C-9B35-CBC838D01881}" name="Description"/>
    <tableColumn id="23" xr3:uid="{A3DA3D60-0B2C-4511-9E15-C92B965EADF6}" name="Status" dataDxfId="269"/>
    <tableColumn id="6" xr3:uid="{3C7F1476-D8DD-4E4D-BC2F-12BA8121E115}" name="Estimated(hrs/sp)"/>
    <tableColumn id="7" xr3:uid="{1773D911-9584-4EA6-8025-9A7480F0BFFB}" name="Actual(hrs/sp)" dataDxfId="268"/>
    <tableColumn id="28" xr3:uid="{09A91D42-8767-47DF-835E-9DAF73AE95CB}" name="Actual Hours  Worklog" dataDxfId="267"/>
    <tableColumn id="8" xr3:uid="{AA6F7D90-07AD-4800-AD0A-C7101B74FF7A}" name="Unit testing" dataDxfId="266"/>
    <tableColumn id="9" xr3:uid="{68727E35-9387-406A-9DF9-841EB58FFEB0}" name="Peer Tested By" dataDxfId="265"/>
    <tableColumn id="10" xr3:uid="{5549774B-1689-4A7D-86CF-9705071FCE21}" name="Peer Tested Defects, if any" dataDxfId="264"/>
    <tableColumn id="11" xr3:uid="{0CF293C7-7789-483F-A83C-2871D525A38F}" name="Peer Reviewed By" dataDxfId="263"/>
    <tableColumn id="12" xr3:uid="{12C6219D-90BC-4635-83E0-A3A9E7F58EC9}" name="Peer Code Review Comments, if any"/>
    <tableColumn id="13" xr3:uid="{C6AC5CCF-FDDE-43C7-8661-35BE25F4DECA}" name="PR Number/Link" dataDxfId="262" dataCellStyle="Hyperlink"/>
    <tableColumn id="14" xr3:uid="{200D36CE-B2F0-4BA3-9FB1-5DF0B13C381E}" name="PR Created Date" dataDxfId="261"/>
    <tableColumn id="15" xr3:uid="{EE106DD3-B367-49B0-B034-4CF2D1806427}" name="PR Approved Date" dataDxfId="260"/>
    <tableColumn id="16" xr3:uid="{8425C721-D286-4A7F-8C92-9BB7C427BF06}" name="Onsite Lead Code Review" dataDxfId="259"/>
    <tableColumn id="17" xr3:uid="{5E55BB64-4AFC-4E91-88CA-020B575771D3}" name="Code Review Comments, if any" dataDxfId="258"/>
    <tableColumn id="18" xr3:uid="{0B94B2F8-9D17-4A6D-8CAA-F2322637A17B}" name="Client Code Review" dataDxfId="257"/>
    <tableColumn id="19" xr3:uid="{8D12D3A0-7ED9-4182-A93E-7411A0A3B0B6}" name="Approved Date" dataDxfId="256"/>
    <tableColumn id="20" xr3:uid="{C0E2D66E-5C46-41A8-A253-2C69F71F6B28}" name="Code Review Comments, if any2" dataDxfId="255"/>
    <tableColumn id="21" xr3:uid="{3A0F3F6A-CD47-46D0-A959-46CD3662CB4F}" name="Internal PO -POV Comments" dataDxfId="254"/>
    <tableColumn id="22" xr3:uid="{ED9E56CC-6888-4F0F-88A5-0C949A7523E1}" name="Client PO -POV Comments" dataDxfId="253"/>
    <tableColumn id="24" xr3:uid="{B53405BD-8B4B-4F41-9FE7-8203C93ED442}" name="Comments" dataDxfId="252"/>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D71EB15B-E801-4146-829F-4BFF79D1701A}" name="Table145678109312" displayName="Table145678109312" ref="A1:AB7" totalsRowShown="0" headerRowDxfId="251" dataDxfId="250" tableBorderDxfId="249">
  <autoFilter ref="A1:AB7" xr:uid="{9DC5C30B-A60C-4FFE-8316-8BFF998E3F7C}"/>
  <tableColumns count="28">
    <tableColumn id="1" xr3:uid="{30841824-42BB-4BD1-BD39-D263AB74DACD}" name="S.No" dataDxfId="248"/>
    <tableColumn id="25" xr3:uid="{2BCE0B56-2036-40ED-8693-14F26FE09AEA}" name="Application Name" dataDxfId="247">
      <calculatedColumnFormula>Dashboard!$J$1</calculatedColumnFormula>
    </tableColumn>
    <tableColumn id="27" xr3:uid="{389A32D0-CE14-42BB-AD8A-04B1A0C29B36}" name="Sprint Start Date" dataDxfId="246">
      <calculatedColumnFormula>Dashboard!$F$1</calculatedColumnFormula>
    </tableColumn>
    <tableColumn id="26" xr3:uid="{2C6186DF-D2A0-4260-8691-21CD2B8DAD0B}" name="Sprint End Date" dataDxfId="245">
      <calculatedColumnFormula>Dashboard!$H$1</calculatedColumnFormula>
    </tableColumn>
    <tableColumn id="2" xr3:uid="{A8D16C8A-6CE1-4A48-B2E6-A031B95EB6AC}" name="Sprint "/>
    <tableColumn id="3" xr3:uid="{69FE072F-0656-4C74-8E35-2F97EC6D0439}" name="Developer"/>
    <tableColumn id="4" xr3:uid="{741D5316-0063-4527-BD22-0B4000243D97}" name="Story ID/Defect ID" dataDxfId="244"/>
    <tableColumn id="5" xr3:uid="{8FA5FA4E-AAA0-4833-B9C9-896DC095AC05}" name="Description"/>
    <tableColumn id="23" xr3:uid="{C379B675-19DD-457C-94AE-EBBED014687B}" name="Status" dataDxfId="243"/>
    <tableColumn id="6" xr3:uid="{B8B45385-C0C3-4B78-A90C-2DDC44EAA2D5}" name="Estimated(hrs/sp)"/>
    <tableColumn id="7" xr3:uid="{18E1AABD-6B30-43C4-8BE8-E51AAC9CC9E3}" name="Actual(hrs/sp)" dataDxfId="242"/>
    <tableColumn id="28" xr3:uid="{229A0981-4C16-484A-B6D3-2927DC0E0594}" name="Actual Hours  Worklog" dataDxfId="241"/>
    <tableColumn id="8" xr3:uid="{A3D78C43-CCB3-4C16-9B1F-4DF43506A1FE}" name="Unit testing" dataDxfId="240"/>
    <tableColumn id="9" xr3:uid="{F77378E9-6E92-46C0-B028-D610C7DE2365}" name="Peer Tested By" dataDxfId="239"/>
    <tableColumn id="10" xr3:uid="{6D8DE736-1FC7-4FD7-BD63-0E5FE5BDD7E4}" name="Peer Tested Defects, if any" dataDxfId="238"/>
    <tableColumn id="11" xr3:uid="{889A8DA1-1D46-42A7-B66B-98286FDC1DF1}" name="Peer Reviewed By" dataDxfId="237"/>
    <tableColumn id="12" xr3:uid="{B80853D9-9E42-47A3-8E94-6301B68098DB}" name="Peer Code Review Comments, if any"/>
    <tableColumn id="13" xr3:uid="{251D089F-0D80-4CD5-958E-87A7307DE9B9}" name="PR Number/Link" dataDxfId="236" dataCellStyle="Hyperlink"/>
    <tableColumn id="14" xr3:uid="{EE14C456-5341-4472-B8F4-498DF9759E62}" name="PR Created Date" dataDxfId="235"/>
    <tableColumn id="15" xr3:uid="{CC00F97F-5373-42DF-A41F-924C359BD337}" name="PR Approved Date" dataDxfId="234"/>
    <tableColumn id="16" xr3:uid="{433033F5-1C61-45F8-80DC-17F530070A7B}" name="Onsite Lead Code Review" dataDxfId="233"/>
    <tableColumn id="17" xr3:uid="{40A89E02-51D8-4EC7-AD97-E6BFCAB81B11}" name="Code Review Comments, if any" dataDxfId="232"/>
    <tableColumn id="18" xr3:uid="{4A32AD3C-D16D-4096-B170-6997D96D60B7}" name="Client Code Review" dataDxfId="231"/>
    <tableColumn id="19" xr3:uid="{4E778708-3C3A-4A11-AE65-1EAAA79A7FD5}" name="Approved Date" dataDxfId="230"/>
    <tableColumn id="20" xr3:uid="{CFCEBC67-5D23-4BC8-913B-D429978FBEBB}" name="Code Review Comments, if any2" dataDxfId="229"/>
    <tableColumn id="21" xr3:uid="{C39C5855-F394-4C11-8E46-77DAAEBE9BBA}" name="Internal PO -POV Comments" dataDxfId="228"/>
    <tableColumn id="22" xr3:uid="{5D27B854-892E-4815-A4A3-2345937653C6}" name="Client PO -POV Comments" dataDxfId="227"/>
    <tableColumn id="24" xr3:uid="{A7F59749-8E70-4DA5-ADE2-76755403A434}" name="Comments" dataDxfId="226"/>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EE6C33D-FBA4-4800-9261-101F52B2FC6A}" name="Table1456781093" displayName="Table1456781093" ref="A1:AB9" totalsRowShown="0" headerRowDxfId="225" dataDxfId="224" tableBorderDxfId="223">
  <autoFilter ref="A1:AB9" xr:uid="{9DC5C30B-A60C-4FFE-8316-8BFF998E3F7C}"/>
  <tableColumns count="28">
    <tableColumn id="1" xr3:uid="{47C598C6-60F9-448C-8898-CA55A62DAA0D}" name="S.No" dataDxfId="222"/>
    <tableColumn id="25" xr3:uid="{E72F2B79-50D4-4F28-9540-40C1FEE33E66}" name="Application Name" dataDxfId="221">
      <calculatedColumnFormula>Dashboard!$J$1</calculatedColumnFormula>
    </tableColumn>
    <tableColumn id="27" xr3:uid="{89F7B61D-0CFD-4EF1-93C3-5DD1ECFBBC77}" name="Sprint Start Date" dataDxfId="220">
      <calculatedColumnFormula>Dashboard!$F$1</calculatedColumnFormula>
    </tableColumn>
    <tableColumn id="26" xr3:uid="{B36BD4B7-AC82-4190-96F4-5EA24A4CA176}" name="Sprint End Date" dataDxfId="219">
      <calculatedColumnFormula>Dashboard!$H$1</calculatedColumnFormula>
    </tableColumn>
    <tableColumn id="2" xr3:uid="{449A4CFB-1529-4F23-9A85-C95E74CFEF4D}" name="Sprint "/>
    <tableColumn id="3" xr3:uid="{1A54681A-2F2F-4162-8002-36BD667438CD}" name="Developer"/>
    <tableColumn id="4" xr3:uid="{21524B58-CCFC-43BC-82B0-5BF1A0F49CFB}" name="Story ID/Defect ID" dataDxfId="218"/>
    <tableColumn id="5" xr3:uid="{8034863F-0A11-44D8-921C-4A987D844A12}" name="Description"/>
    <tableColumn id="23" xr3:uid="{645AE09E-673A-4DE1-9E1A-2EE1DB84D5EB}" name="Status" dataDxfId="217"/>
    <tableColumn id="6" xr3:uid="{32213012-4097-46B8-A328-817F16D6BC5A}" name="Estimated(hrs/sp)"/>
    <tableColumn id="7" xr3:uid="{2BB74707-2DB7-45E4-A982-DAFE2E29D5F1}" name="Actual(hrs/sp)" dataDxfId="216"/>
    <tableColumn id="28" xr3:uid="{BC9A1083-15A4-4B24-B662-802B5C3FDC98}" name="Actual Hours  Worklog" dataDxfId="215"/>
    <tableColumn id="8" xr3:uid="{7042F7D1-D329-46C7-8D12-C35F7AA38F06}" name="Unit testing" dataDxfId="214"/>
    <tableColumn id="9" xr3:uid="{D0BBE8CF-2520-41B5-9AA0-C11A57748D66}" name="Peer Tested By" dataDxfId="213"/>
    <tableColumn id="10" xr3:uid="{0162C9F2-228A-466E-9C62-AF0C9D3FE50B}" name="Peer Tested Defects, if any" dataDxfId="212"/>
    <tableColumn id="11" xr3:uid="{6D337C78-9877-4991-A72B-7FB095BB7BEB}" name="Peer Reviewed By" dataDxfId="211"/>
    <tableColumn id="12" xr3:uid="{384E80E1-463C-49BE-92DE-B790472EBB5D}" name="Peer Code Review Comments, if any"/>
    <tableColumn id="13" xr3:uid="{0186261B-78EA-4914-B4B2-68673BC2ED64}" name="PR Number/Link" dataDxfId="210" dataCellStyle="Hyperlink"/>
    <tableColumn id="14" xr3:uid="{F4CEF42D-D67E-46F2-AC68-300D2443C93D}" name="PR Created Date" dataDxfId="209"/>
    <tableColumn id="15" xr3:uid="{20D5EB0C-E464-47D1-B8A2-E2EE8E574BD3}" name="PR Approved Date" dataDxfId="208"/>
    <tableColumn id="16" xr3:uid="{420A3694-8EC3-4D9F-AF7F-33A9A729E129}" name="Onsite Lead Code Review" dataDxfId="207"/>
    <tableColumn id="17" xr3:uid="{2341CB78-4060-4E89-B9FB-D568F7587AA1}" name="Code Review Comments, if any" dataDxfId="206"/>
    <tableColumn id="18" xr3:uid="{43439D80-7649-45FB-8920-F96861CEE3C3}" name="Client Code Review" dataDxfId="205"/>
    <tableColumn id="19" xr3:uid="{FD7C2AAC-BAEA-4F8B-9DCA-13FA3FC0943A}" name="Approved Date" dataDxfId="204"/>
    <tableColumn id="20" xr3:uid="{9DCDF547-0BD8-4519-BAE7-C67B8C7356C6}" name="Code Review Comments, if any2" dataDxfId="203"/>
    <tableColumn id="21" xr3:uid="{B7ADB479-DD05-4182-B38B-BBE6755F10FF}" name="Internal PO -POV Comments" dataDxfId="202"/>
    <tableColumn id="22" xr3:uid="{76357011-D955-439A-A402-092E2290D76D}" name="Client PO -POV Comments" dataDxfId="201"/>
    <tableColumn id="24" xr3:uid="{0258B2CA-A7C2-407C-87C6-E54E65A7CA97}" name="Comments" dataDxfId="200"/>
  </tableColumns>
  <tableStyleInfo name="TableStyleMedium2"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65A1998-CC4C-4498-B4A9-F9522919B9D3}" name="Table145678109" displayName="Table145678109" ref="A1:AB6" totalsRowShown="0" headerRowDxfId="199" dataDxfId="198" tableBorderDxfId="197">
  <autoFilter ref="A1:AB6" xr:uid="{9DC5C30B-A60C-4FFE-8316-8BFF998E3F7C}"/>
  <tableColumns count="28">
    <tableColumn id="1" xr3:uid="{F1AF197E-C4ED-4C27-A947-F08B69AE632F}" name="S.No" dataDxfId="196"/>
    <tableColumn id="25" xr3:uid="{B4E002DC-B7A4-4471-A4B4-BC9F3A388ED5}" name="Application Name" dataDxfId="195">
      <calculatedColumnFormula>Dashboard!$J$1</calculatedColumnFormula>
    </tableColumn>
    <tableColumn id="27" xr3:uid="{3DDD0233-90A7-45AF-9F36-84105DD85E84}" name="Sprint Start Date" dataDxfId="194">
      <calculatedColumnFormula>Dashboard!$F$1</calculatedColumnFormula>
    </tableColumn>
    <tableColumn id="26" xr3:uid="{84EC1220-986F-4E9C-9CE0-84F5C79B563F}" name="Sprint End Date" dataDxfId="193">
      <calculatedColumnFormula>Dashboard!$H$1</calculatedColumnFormula>
    </tableColumn>
    <tableColumn id="2" xr3:uid="{DE9775D4-4B94-489D-8C14-FDA8E7EAE265}" name="Sprint "/>
    <tableColumn id="3" xr3:uid="{0699AB5F-29AE-4400-8B8F-3EFB1A68A64F}" name="Developer"/>
    <tableColumn id="4" xr3:uid="{6487AC9D-219A-4DA8-B95B-E9CD5D5F11FC}" name="Story ID/Defect ID" dataDxfId="192"/>
    <tableColumn id="5" xr3:uid="{490EA141-F29A-44A3-A3D4-B44B3DEED1F4}" name="Description"/>
    <tableColumn id="23" xr3:uid="{C37FA818-D66F-4498-809C-3EBCAEC140CE}" name="Status" dataDxfId="191"/>
    <tableColumn id="6" xr3:uid="{05BA7616-67E5-432B-8464-A617CF66C8E0}" name="Estimated(hrs/sp)"/>
    <tableColumn id="7" xr3:uid="{913CB2EA-5E8D-43D9-B4C5-D0BC380D2D5C}" name="Actual(hrs/sp)" dataDxfId="190"/>
    <tableColumn id="28" xr3:uid="{1A02FF95-04AD-4361-ABBB-7C4E3987050F}" name="Actual Hours  Worklog" dataDxfId="189"/>
    <tableColumn id="8" xr3:uid="{B8CF5FDC-14E6-4B6E-9905-63B420DB1CA5}" name="Unit testing" dataDxfId="188"/>
    <tableColumn id="9" xr3:uid="{62FED323-5D1D-4CAD-A6CD-306AB8C2B773}" name="Peer Tested By" dataDxfId="187"/>
    <tableColumn id="10" xr3:uid="{08000D7A-BEAA-41F0-BD0A-E19592639974}" name="Peer Tested Defects, if any" dataDxfId="186"/>
    <tableColumn id="11" xr3:uid="{FF7A0E32-EC18-41DA-98C5-724876BD0D53}" name="Peer Reviewed By" dataDxfId="185"/>
    <tableColumn id="12" xr3:uid="{BEEAD3E1-E263-44C5-B9AD-747CEA98E9B0}" name="Peer Code Review Comments, if any"/>
    <tableColumn id="13" xr3:uid="{2A6ED26D-1850-441F-BED6-17453186B487}" name="PR Number/Link" dataDxfId="184" dataCellStyle="Hyperlink"/>
    <tableColumn id="14" xr3:uid="{7293C3D1-2D9C-4EB2-AE56-792AB84BCAB1}" name="PR Created Date" dataDxfId="183"/>
    <tableColumn id="15" xr3:uid="{C775F5D8-3209-4BCD-8A38-6883904BC69C}" name="PR Approved Date" dataDxfId="182"/>
    <tableColumn id="16" xr3:uid="{1A033855-89F4-4B9A-A5F8-BA620AF53369}" name="Onsite Lead Code Review" dataDxfId="181"/>
    <tableColumn id="17" xr3:uid="{F212D3DD-7D74-4AF8-B5A7-4A16B17FB032}" name="Code Review Comments, if any" dataDxfId="180"/>
    <tableColumn id="18" xr3:uid="{A36824AC-1B8C-4867-997D-0DCA4685A579}" name="Client Code Review" dataDxfId="179"/>
    <tableColumn id="19" xr3:uid="{B69A6B4B-CA3C-4FE5-8404-39DE3A05BB5A}" name="Approved Date" dataDxfId="178"/>
    <tableColumn id="20" xr3:uid="{6ED2420A-73C1-4B11-8EF8-27C3BA7DC0C1}" name="Code Review Comments, if any2" dataDxfId="177"/>
    <tableColumn id="21" xr3:uid="{C773C3E0-EC66-48FF-A525-4BE33CC48620}" name="Internal PO -POV Comments" dataDxfId="176"/>
    <tableColumn id="22" xr3:uid="{225678A0-6B20-4B5A-BC67-EDDAA5C29871}" name="Client PO -POV Comments" dataDxfId="175"/>
    <tableColumn id="24" xr3:uid="{44626FCB-CA47-44DA-BFCA-81A3CFF4650F}" name="Comments" dataDxfId="174"/>
  </tableColumns>
  <tableStyleInfo name="TableStyleMedium2"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925389D-9C87-482F-B19E-B9EA2D566DEC}" name="Table14567810" displayName="Table14567810" ref="A1:AB9" totalsRowShown="0" headerRowDxfId="173" dataDxfId="172" tableBorderDxfId="171">
  <autoFilter ref="A1:AB9" xr:uid="{9DC5C30B-A60C-4FFE-8316-8BFF998E3F7C}"/>
  <tableColumns count="28">
    <tableColumn id="1" xr3:uid="{33639E65-98AD-40CC-B81E-4A6CB8DF29E7}" name="S.No" dataDxfId="170"/>
    <tableColumn id="25" xr3:uid="{26A80204-2DFD-4964-BD13-39724F7C8412}" name="Application Name" dataDxfId="169">
      <calculatedColumnFormula>Dashboard!$J$1</calculatedColumnFormula>
    </tableColumn>
    <tableColumn id="27" xr3:uid="{AB136B67-EFB3-454B-970E-1D9D08A8A06B}" name="Sprint Start Date" dataDxfId="168">
      <calculatedColumnFormula>Dashboard!$F$1</calculatedColumnFormula>
    </tableColumn>
    <tableColumn id="26" xr3:uid="{7EC762FD-6EB0-4363-928E-E009C9C88E43}" name="Sprint End Date" dataDxfId="167">
      <calculatedColumnFormula>Dashboard!$H$1</calculatedColumnFormula>
    </tableColumn>
    <tableColumn id="2" xr3:uid="{796D6B45-E8AE-4A29-920E-9E107E681920}" name="Sprint "/>
    <tableColumn id="3" xr3:uid="{F02D1F3C-348F-4931-A690-F34DB9109EAD}" name="Developer"/>
    <tableColumn id="4" xr3:uid="{4336C792-A777-4F6F-B155-2362E7FEAC9B}" name="Story ID/Defect ID" dataDxfId="166"/>
    <tableColumn id="5" xr3:uid="{AC6DDF34-F4E5-45A9-9CF7-6FB629377005}" name="Description"/>
    <tableColumn id="23" xr3:uid="{448A6010-42E7-4B9A-981B-57D53C99D753}" name="Status" dataDxfId="165"/>
    <tableColumn id="6" xr3:uid="{EB24D0FA-AEE8-4FD4-91D9-99FAC26A9406}" name="Estimated(hrs/sp)"/>
    <tableColumn id="7" xr3:uid="{72A2732B-0983-4997-AA9F-29E95A7A6B58}" name="Actual(hrs/sp)" dataDxfId="164"/>
    <tableColumn id="28" xr3:uid="{4E188512-26BF-4E93-BCAA-75CFBA3DA91B}" name="Actual Hours  Worklog" dataDxfId="163"/>
    <tableColumn id="8" xr3:uid="{78D13EBC-1E89-42D5-B9A5-2CF1F73F94B9}" name="Unit testing" dataDxfId="162"/>
    <tableColumn id="9" xr3:uid="{3499F054-783E-4148-9008-29631F50743D}" name="Peer Tested By" dataDxfId="161"/>
    <tableColumn id="10" xr3:uid="{05F5CEC4-A1EA-40C0-BF72-E3F54D98F044}" name="Peer Tested Defects, if any" dataDxfId="160"/>
    <tableColumn id="11" xr3:uid="{1A8073F5-B93C-40FA-AF52-74A824D93636}" name="Peer Reviewed By" dataDxfId="159"/>
    <tableColumn id="12" xr3:uid="{2CBFE8D7-42ED-4291-98F3-9DF083163C72}" name="Peer Code Review Comments, if any"/>
    <tableColumn id="13" xr3:uid="{AA2A3297-C201-4574-865F-634A6DD533FC}" name="PR Number/Link" dataDxfId="158" dataCellStyle="Hyperlink"/>
    <tableColumn id="14" xr3:uid="{407E164B-AEAA-4543-9423-18A8E77D5EC9}" name="PR Created Date" dataDxfId="157"/>
    <tableColumn id="15" xr3:uid="{EC5ED69B-73B6-43DD-AA0C-E5C7E5FB9AC8}" name="PR Approved Date" dataDxfId="156"/>
    <tableColumn id="16" xr3:uid="{14FDA501-2760-4C3C-89F8-41454329F103}" name="Onsite Lead Code Review" dataDxfId="155"/>
    <tableColumn id="17" xr3:uid="{A5A95538-D46D-4B51-A2F1-27C3B4AA33C0}" name="Code Review Comments, if any" dataDxfId="154"/>
    <tableColumn id="18" xr3:uid="{BB5B5C8F-F369-4226-A0EB-254EB730A65C}" name="Client Code Review" dataDxfId="153"/>
    <tableColumn id="19" xr3:uid="{5E495242-646B-4340-AA94-F2CDCAD0B42A}" name="Approved Date" dataDxfId="152"/>
    <tableColumn id="20" xr3:uid="{8C7CB128-DCC0-455A-88A3-F28266529783}" name="Code Review Comments, if any2" dataDxfId="151"/>
    <tableColumn id="21" xr3:uid="{9EA08D97-D738-498F-ACB1-F857D3F1AA41}" name="Internal PO -POV Comments" dataDxfId="150"/>
    <tableColumn id="22" xr3:uid="{DD4260AD-14B4-4D9A-8AC9-9DD50550AD62}" name="Client PO -POV Comments" dataDxfId="149"/>
    <tableColumn id="24" xr3:uid="{45697236-31D1-476C-A0E2-167237A4BC62}" name="Comments" dataDxfId="148"/>
  </tableColumns>
  <tableStyleInfo name="TableStyleMedium2"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CE3C8D1-8775-41A7-9F1F-1BE7963FBFF2}" name="Table145678" displayName="Table145678" ref="A1:AB6" totalsRowShown="0" headerRowDxfId="147" dataDxfId="146" tableBorderDxfId="145">
  <autoFilter ref="A1:AB6" xr:uid="{9DC5C30B-A60C-4FFE-8316-8BFF998E3F7C}"/>
  <tableColumns count="28">
    <tableColumn id="1" xr3:uid="{DA1B0D55-5B47-4556-883E-056A1DDE9896}" name="S.No" dataDxfId="144"/>
    <tableColumn id="25" xr3:uid="{29F17EF3-2EA1-4EAC-901F-A8748A3AFC33}" name="Application Name" dataDxfId="143">
      <calculatedColumnFormula>Dashboard!$J$1</calculatedColumnFormula>
    </tableColumn>
    <tableColumn id="27" xr3:uid="{5D015D11-CA52-4320-90A1-E2318B3979DF}" name="Sprint Start Date" dataDxfId="142">
      <calculatedColumnFormula>Dashboard!$F$1</calculatedColumnFormula>
    </tableColumn>
    <tableColumn id="26" xr3:uid="{AF732236-22C5-4340-9095-6A455BFC433F}" name="Sprint End Date" dataDxfId="141">
      <calculatedColumnFormula>Dashboard!$H$1</calculatedColumnFormula>
    </tableColumn>
    <tableColumn id="2" xr3:uid="{B963D7A9-1DC1-4CC4-8B2D-E2DE10FF872C}" name="Sprint "/>
    <tableColumn id="3" xr3:uid="{1574A873-9174-4ED8-AA10-E09403C3FE03}" name="Developer"/>
    <tableColumn id="4" xr3:uid="{14BB32F2-9A1E-4A91-8FF4-767AC8F1C028}" name="Story ID/Defect ID" dataDxfId="140"/>
    <tableColumn id="5" xr3:uid="{0065CE5E-1176-4E65-8A8E-73B3C863E7C7}" name="Description"/>
    <tableColumn id="23" xr3:uid="{039E76BC-844F-438A-A481-45692F2DA02C}" name="Status" dataDxfId="139"/>
    <tableColumn id="6" xr3:uid="{ECC4D81C-3DA9-454A-ACE0-EA669D73CC08}" name="Estimated(hrs/sp)"/>
    <tableColumn id="7" xr3:uid="{325B0163-20D1-4E44-9414-9F244A9C8A05}" name="Actual(hrs/sp)" dataDxfId="138"/>
    <tableColumn id="28" xr3:uid="{72E7217B-3C81-4626-85D2-E67C269C30B6}" name="Actual Hours  Worklog" dataDxfId="137"/>
    <tableColumn id="8" xr3:uid="{C29F6693-A0AD-409C-B228-975954C908D9}" name="Unit testing" dataDxfId="136"/>
    <tableColumn id="9" xr3:uid="{15AA871C-096D-4384-BFBA-E24957D44AC3}" name="Peer Tested By" dataDxfId="135"/>
    <tableColumn id="10" xr3:uid="{B8B49417-CC83-422B-9889-54CF749DD58C}" name="Peer Tested Defects, if any" dataDxfId="134"/>
    <tableColumn id="11" xr3:uid="{B887C1ED-5B1A-416F-978C-03267CE8B25B}" name="Peer Reviewed By" dataDxfId="133"/>
    <tableColumn id="12" xr3:uid="{5949AA4D-7527-48A9-8AAA-03124EC0A475}" name="Peer Code Review Comments, if any"/>
    <tableColumn id="13" xr3:uid="{B596070D-6518-40D1-AA11-F24A7B1F62D4}" name="PR Number/Link" dataDxfId="132" dataCellStyle="Hyperlink"/>
    <tableColumn id="14" xr3:uid="{5B81CF15-9073-45E6-85F0-D6ADEA3F781F}" name="PR Created Date" dataDxfId="131"/>
    <tableColumn id="15" xr3:uid="{60A6018E-ECD7-4486-B25B-07734F430E42}" name="PR Approved Date" dataDxfId="130"/>
    <tableColumn id="16" xr3:uid="{DCC60E8D-D2AE-4E7E-ACC0-7B18B7D88605}" name="Onsite Lead Code Review" dataDxfId="129"/>
    <tableColumn id="17" xr3:uid="{305FF392-D922-46D1-B193-56AABC45DC7D}" name="Code Review Comments, if any" dataDxfId="128"/>
    <tableColumn id="18" xr3:uid="{3BC04728-1AC5-4938-AD00-B25E789172A4}" name="Client Code Review" dataDxfId="127"/>
    <tableColumn id="19" xr3:uid="{68B7DD43-FA7F-4622-8879-BA37D796AE76}" name="Approved Date" dataDxfId="126"/>
    <tableColumn id="20" xr3:uid="{CA2CD4DA-B132-46F7-A737-E96BAAB10DC8}" name="Code Review Comments, if any2" dataDxfId="125"/>
    <tableColumn id="21" xr3:uid="{F484EED6-16F3-4324-808B-162F675F9CA9}" name="Internal PO -POV Comments" dataDxfId="124"/>
    <tableColumn id="22" xr3:uid="{56179430-AF42-4099-9BEF-1F9AF8EF5508}" name="Client PO -POV Comments" dataDxfId="123"/>
    <tableColumn id="24" xr3:uid="{8E9EEB41-F354-45B7-8B74-56E541F6BE26}" name="Comments" dataDxfId="122"/>
  </tableColumns>
  <tableStyleInfo name="TableStyleMedium2"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0EE908A-E0D7-4279-B8DB-F23DF2046361}" name="Table14567" displayName="Table14567" ref="A1:AB8" totalsRowShown="0" headerRowDxfId="121" dataDxfId="120" tableBorderDxfId="119">
  <autoFilter ref="A1:AB8" xr:uid="{9DC5C30B-A60C-4FFE-8316-8BFF998E3F7C}"/>
  <tableColumns count="28">
    <tableColumn id="1" xr3:uid="{91335814-54E5-4F43-9E21-1EE3B327573E}" name="S.No" dataDxfId="118"/>
    <tableColumn id="25" xr3:uid="{656C668B-C202-41C6-A51D-7098BF7E0264}" name="Application Name" dataDxfId="117">
      <calculatedColumnFormula>Dashboard!$J$1</calculatedColumnFormula>
    </tableColumn>
    <tableColumn id="27" xr3:uid="{ABECB659-7CFC-488F-A65A-7679F4AFF662}" name="Sprint Start Date" dataDxfId="116">
      <calculatedColumnFormula>Dashboard!$F$1</calculatedColumnFormula>
    </tableColumn>
    <tableColumn id="26" xr3:uid="{6D302088-A116-4E05-BE68-0A5F91ECF1BB}" name="Sprint End Date" dataDxfId="115">
      <calculatedColumnFormula>Dashboard!$H$1</calculatedColumnFormula>
    </tableColumn>
    <tableColumn id="2" xr3:uid="{8A64DAB5-C022-42E2-9391-AF8CDB841DA4}" name="Sprint "/>
    <tableColumn id="3" xr3:uid="{9F1376E6-EE06-440A-A64C-C0B06F4FA51E}" name="Developer"/>
    <tableColumn id="4" xr3:uid="{3E105041-31F8-40DF-B6E6-7CB1B770DB23}" name="Story ID/Defect ID" dataDxfId="114"/>
    <tableColumn id="5" xr3:uid="{D5CDEDD8-498A-4253-B922-6858E00716A6}" name="Description"/>
    <tableColumn id="23" xr3:uid="{42783DCE-4541-4AE2-93CF-A16C5CBD027E}" name="Status" dataDxfId="113"/>
    <tableColumn id="6" xr3:uid="{E143B50E-70E0-4197-9999-6D806D5CB91A}" name="Estimated(hrs/sp)"/>
    <tableColumn id="7" xr3:uid="{2A55AAB0-0FCF-4A3C-8CF4-945BAD58DEE6}" name="Actual(hrs/sp)" dataDxfId="112"/>
    <tableColumn id="28" xr3:uid="{D0B3DB48-F067-4A35-A5B5-D99CC14C2EDF}" name="Column1" dataDxfId="111"/>
    <tableColumn id="8" xr3:uid="{CBAF2228-2A21-4A80-AFC8-4169D391B49E}" name="Unit testing" dataDxfId="110"/>
    <tableColumn id="9" xr3:uid="{342AA26E-9B14-4DE7-A4B6-AA010BE8E746}" name="Peer Tested By" dataDxfId="109"/>
    <tableColumn id="10" xr3:uid="{A7E6BE7C-0353-4AB5-ADE4-454A2DB20E57}" name="Peer Tested Defects, if any" dataDxfId="108"/>
    <tableColumn id="11" xr3:uid="{2BCD006F-EA41-46E2-95E6-05A8EFD90EF0}" name="Peer Reviewed By" dataDxfId="107"/>
    <tableColumn id="12" xr3:uid="{3335FEE8-AA75-4B7E-933D-2A8DD398FB59}" name="Peer Code Review Comments, if any"/>
    <tableColumn id="13" xr3:uid="{16351FE3-0C2C-410D-8D5D-6972AC7AED20}" name="PR Number/Link" dataDxfId="106" dataCellStyle="Hyperlink"/>
    <tableColumn id="14" xr3:uid="{E1881DCF-E43E-49FE-9070-3BCAF5BE03AE}" name="PR Created Date" dataDxfId="105"/>
    <tableColumn id="15" xr3:uid="{8F26169E-F4AB-4AA0-8EAF-39349D4166DC}" name="PR Approved Date" dataDxfId="104"/>
    <tableColumn id="16" xr3:uid="{CC431B94-4CFC-4AC1-A0F2-57605002B194}" name="Onsite Lead Code Review" dataDxfId="103"/>
    <tableColumn id="17" xr3:uid="{BC58917B-D5A1-40EC-A8FA-3BF6BB71CDDE}" name="Code Review Comments, if any" dataDxfId="102"/>
    <tableColumn id="18" xr3:uid="{FF49B3D1-88E4-4026-AC63-119B359939A8}" name="Client Code Review" dataDxfId="101"/>
    <tableColumn id="19" xr3:uid="{48D5832E-709B-4F4C-B4BA-AF3E2FDD82F8}" name="Approved Date" dataDxfId="100"/>
    <tableColumn id="20" xr3:uid="{49A6A1EF-CD00-4E20-A489-7F5727325EC9}" name="Code Review Comments, if any2" dataDxfId="99"/>
    <tableColumn id="21" xr3:uid="{A0B6DA99-1A61-42AB-BE4D-A528EF1156FB}" name="Internal PO -POV Comments" dataDxfId="98"/>
    <tableColumn id="22" xr3:uid="{79436136-FCE8-4583-B5AE-739B65829E40}" name="Client PO -POV Comments" dataDxfId="97"/>
    <tableColumn id="24" xr3:uid="{9FD0FF9A-550B-4036-A9F4-55F50A078FDA}" name="Comments" dataDxfId="96"/>
  </tableColumns>
  <tableStyleInfo name="TableStyleMedium2"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841CF82-843A-4DCC-AB85-E8A6F591465F}" name="Table1456" displayName="Table1456" ref="A1:AB9" totalsRowShown="0" headerRowDxfId="95" dataDxfId="94" tableBorderDxfId="93">
  <autoFilter ref="A1:AB9" xr:uid="{9DC5C30B-A60C-4FFE-8316-8BFF998E3F7C}"/>
  <tableColumns count="28">
    <tableColumn id="1" xr3:uid="{79B713A0-D21D-4BAE-928E-7F878F07510C}" name="S.No" dataDxfId="92"/>
    <tableColumn id="25" xr3:uid="{0C173650-4FE2-4974-B02D-76B1B1296651}" name="Application Name" dataDxfId="91">
      <calculatedColumnFormula>Dashboard!$J$1</calculatedColumnFormula>
    </tableColumn>
    <tableColumn id="27" xr3:uid="{8698A4D7-FF08-4C30-9585-33663987BC93}" name="Sprint Start Date" dataDxfId="90">
      <calculatedColumnFormula>Dashboard!$F$1</calculatedColumnFormula>
    </tableColumn>
    <tableColumn id="26" xr3:uid="{6F046B21-45CC-4B87-8FEA-AB96F6AA1595}" name="Sprint End Date" dataDxfId="89">
      <calculatedColumnFormula>Dashboard!$H$1</calculatedColumnFormula>
    </tableColumn>
    <tableColumn id="2" xr3:uid="{B877DDFC-B082-4655-8B81-5D2739B52794}" name="Sprint "/>
    <tableColumn id="3" xr3:uid="{03B91D03-6341-4A61-98FB-FB99E7EAF164}" name="Developer"/>
    <tableColumn id="4" xr3:uid="{D4121AE9-DBD1-468B-A247-9075F09BF182}" name="Story ID/Defect ID" dataDxfId="88"/>
    <tableColumn id="5" xr3:uid="{BE6FB71A-0661-4D37-B24C-9FD41D07D0D4}" name="Description"/>
    <tableColumn id="23" xr3:uid="{A35AB396-E937-4552-BA82-704852BED4CE}" name="Status" dataDxfId="87"/>
    <tableColumn id="6" xr3:uid="{16CBF516-D32D-4B84-9986-8FE04244075F}" name="Estimated(hrs/sp)"/>
    <tableColumn id="7" xr3:uid="{631AED85-7006-4C59-A539-2345F3E3786C}" name="Actual(hrs/sp)" dataDxfId="86"/>
    <tableColumn id="28" xr3:uid="{47EDA5CA-EEBE-4FD4-9C4B-C636B11205D3}" name="Column1" dataDxfId="85"/>
    <tableColumn id="8" xr3:uid="{70A3F452-9850-4202-94BF-C47E2CCAAE5F}" name="Unit testing" dataDxfId="84"/>
    <tableColumn id="9" xr3:uid="{6571C421-D1C0-4E77-B1F3-9F3C6F475D0D}" name="Peer Tested By" dataDxfId="83"/>
    <tableColumn id="10" xr3:uid="{F587D3CD-6448-4EF1-A855-037672582F9A}" name="Peer Tested Defects, if any" dataDxfId="82"/>
    <tableColumn id="11" xr3:uid="{06C988AD-8077-4F03-AF0E-0D7D602C9812}" name="Peer Reviewed By" dataDxfId="81"/>
    <tableColumn id="12" xr3:uid="{5E412220-49EA-4B92-BD5C-2BFBCD2022D3}" name="Peer Code Review Comments, if any"/>
    <tableColumn id="13" xr3:uid="{07DFF14E-178B-4B4B-8432-8A74682072E1}" name="PR Number/Link" dataDxfId="80" dataCellStyle="Hyperlink"/>
    <tableColumn id="14" xr3:uid="{5C1784D3-E49F-4C3A-A521-4423BC0AB7CE}" name="PR Created Date" dataDxfId="79"/>
    <tableColumn id="15" xr3:uid="{E46BA8B2-9FD8-4D66-A667-B0F4FAF38032}" name="PR Approved Date" dataDxfId="78"/>
    <tableColumn id="16" xr3:uid="{EA53C09B-64E8-46F0-AA72-62CA70C53643}" name="Onsite Lead Code Review" dataDxfId="77"/>
    <tableColumn id="17" xr3:uid="{2EE1C7B5-DD37-4C9D-B4C1-4C1692668026}" name="Code Review Comments, if any" dataDxfId="76"/>
    <tableColumn id="18" xr3:uid="{960EFA84-7FD6-4FEF-A96C-84EC7F872154}" name="Client Code Review" dataDxfId="75"/>
    <tableColumn id="19" xr3:uid="{8B1B3C72-9C86-45FC-AA63-1BADC14ABFFA}" name="Approved Date" dataDxfId="74"/>
    <tableColumn id="20" xr3:uid="{15BEE601-1ED8-4596-9C24-D34CAC378456}" name="Code Review Comments, if any2" dataDxfId="73"/>
    <tableColumn id="21" xr3:uid="{C038BFEF-1F45-45BD-B594-3D680495284C}" name="Internal PO -POV Comments" dataDxfId="72"/>
    <tableColumn id="22" xr3:uid="{9D5073F0-EF9B-4A56-82A4-7FF7836D7E89}" name="Client PO -POV Comments" dataDxfId="71"/>
    <tableColumn id="24" xr3:uid="{2811F490-CC11-44DE-9DCF-C662159B843A}" name="Comments" dataDxfId="70"/>
  </tableColumns>
  <tableStyleInfo name="TableStyleMedium2"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68FEA15-6266-4D06-8971-02EC94C679C4}" name="Table145" displayName="Table145" ref="A1:AB9" totalsRowShown="0" headerRowDxfId="69" dataDxfId="68" tableBorderDxfId="67">
  <autoFilter ref="A1:AB9" xr:uid="{9DC5C30B-A60C-4FFE-8316-8BFF998E3F7C}"/>
  <tableColumns count="28">
    <tableColumn id="1" xr3:uid="{60EBBDCE-63EA-45C9-8DB4-F91FF98052DF}" name="S.No" dataDxfId="66"/>
    <tableColumn id="25" xr3:uid="{0B9A48BB-DC85-48A5-B775-E2C12C3CCC07}" name="Application Name" dataDxfId="65">
      <calculatedColumnFormula>Dashboard!$J$1</calculatedColumnFormula>
    </tableColumn>
    <tableColumn id="27" xr3:uid="{D6B07962-A67A-47B0-AAF7-E5D82EBF8291}" name="Sprint Start Date" dataDxfId="64">
      <calculatedColumnFormula>Dashboard!$F$1</calculatedColumnFormula>
    </tableColumn>
    <tableColumn id="26" xr3:uid="{E04439AE-FED3-4A55-A7D7-08361C02DDA0}" name="Sprint End Date" dataDxfId="63">
      <calculatedColumnFormula>Dashboard!$H$1</calculatedColumnFormula>
    </tableColumn>
    <tableColumn id="2" xr3:uid="{624DED46-B0EB-4AD2-ADCD-942A67037A91}" name="Sprint "/>
    <tableColumn id="3" xr3:uid="{4C5EB361-E91A-4F84-99F8-E639F93D335A}" name="Developer"/>
    <tableColumn id="4" xr3:uid="{01265A4B-15D4-4FD3-AAB1-06FD5FA58003}" name="Story ID/Defect ID" dataDxfId="62"/>
    <tableColumn id="5" xr3:uid="{AB361DCD-60A3-4DCA-8FE7-2A314202A83B}" name="Description"/>
    <tableColumn id="23" xr3:uid="{27FCC87A-85BF-457B-9839-0B80F410E04C}" name="Status" dataDxfId="61"/>
    <tableColumn id="6" xr3:uid="{00D1306A-C651-4D3F-8E3B-1B6C57DB0705}" name="Estimated(hrs/sp)"/>
    <tableColumn id="7" xr3:uid="{62B04302-6412-4884-9DA8-0171FCA6F3F6}" name="Actual(hrs/sp)" dataDxfId="60"/>
    <tableColumn id="28" xr3:uid="{E9B5648F-4F7F-4F9C-829C-4E3C7F029DE9}" name="Column1" dataDxfId="59"/>
    <tableColumn id="8" xr3:uid="{5849EF51-53DA-4901-BC0B-C037F00EBABF}" name="Unit testing" dataDxfId="58"/>
    <tableColumn id="9" xr3:uid="{AF33507F-A759-48CA-8459-A79C209E857A}" name="Peer Tested By" dataDxfId="57"/>
    <tableColumn id="10" xr3:uid="{D2A30325-E963-495D-9FE9-C5738DF9DACC}" name="Peer Tested Defects, if any" dataDxfId="56"/>
    <tableColumn id="11" xr3:uid="{7E26862D-3B9B-4AEF-B977-1DA820BB3175}" name="Peer Reviewed By" dataDxfId="55"/>
    <tableColumn id="12" xr3:uid="{A9187B7E-A7E5-4DE4-B84D-0749039430AE}" name="Peer Code Review Comments, if any"/>
    <tableColumn id="13" xr3:uid="{77332DC0-41E3-45F5-A9F8-11E190112208}" name="PR Number/Link" dataDxfId="54" dataCellStyle="Hyperlink"/>
    <tableColumn id="14" xr3:uid="{7E33DFC7-AB65-43EF-BE17-01CC50D8658E}" name="PR Created Date" dataDxfId="53"/>
    <tableColumn id="15" xr3:uid="{44BB0099-46DC-4CCA-810B-C92246ECEDAA}" name="PR Approved Date" dataDxfId="52"/>
    <tableColumn id="16" xr3:uid="{2D4E7BCD-9AF3-4A2E-9658-E7135019CF14}" name="Onsite Lead Code Review" dataDxfId="51"/>
    <tableColumn id="17" xr3:uid="{0FAEB56B-6995-402D-8358-D107C6858EB8}" name="Code Review Comments, if any" dataDxfId="50"/>
    <tableColumn id="18" xr3:uid="{74090AE6-5BFC-482A-86C4-C494789BFC0C}" name="Client Code Review" dataDxfId="49"/>
    <tableColumn id="19" xr3:uid="{9FC87129-A5DC-4A5E-B2C0-4BF7B67D5C1B}" name="Approved Date" dataDxfId="48"/>
    <tableColumn id="20" xr3:uid="{2431606E-132A-4A6E-B7EE-F968B6A21517}" name="Code Review Comments, if any2" dataDxfId="47"/>
    <tableColumn id="21" xr3:uid="{472C7F02-7CC3-4802-BA38-2A081EEA17E7}" name="Internal PO -POV Comments" dataDxfId="46"/>
    <tableColumn id="22" xr3:uid="{6DF77971-D21C-41D6-A7B9-EEB66CF86182}" name="Client PO -POV Comments" dataDxfId="45"/>
    <tableColumn id="24" xr3:uid="{A6BDD949-43C3-45C8-A9BF-054AC4DFAFAE}" name="Comments" dataDxfId="44"/>
  </tableColumns>
  <tableStyleInfo name="TableStyleMedium2"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D199695-ADC1-4103-B301-A7E048E477BC}" name="Table14" displayName="Table14" ref="A1:X10" totalsRowShown="0" headerRowDxfId="43" dataDxfId="42" tableBorderDxfId="41">
  <autoFilter ref="A1:X10" xr:uid="{9DC5C30B-A60C-4FFE-8316-8BFF998E3F7C}"/>
  <tableColumns count="24">
    <tableColumn id="1" xr3:uid="{93DA1292-FC44-492E-BF8F-A7278DCBA34C}" name="S.No" dataDxfId="40"/>
    <tableColumn id="2" xr3:uid="{86FA8FB6-E245-4CA2-8A70-12D9C3B7382B}" name="Sprint "/>
    <tableColumn id="3" xr3:uid="{486B1C94-904B-41B2-833A-4A36D5C17442}" name="Developer"/>
    <tableColumn id="4" xr3:uid="{3AAAF654-2EB7-4BA7-A489-A2B78ECA4998}" name="Story ID/Defect ID" dataDxfId="39"/>
    <tableColumn id="5" xr3:uid="{DF7E940D-2AB8-4EA7-B199-C2B50A1D940E}" name="Description"/>
    <tableColumn id="23" xr3:uid="{8E7A9F0B-E5E8-427F-B6E7-C43EF0A54CFA}" name="Status" dataDxfId="38"/>
    <tableColumn id="6" xr3:uid="{24C70C6B-D330-4306-AC1C-E576E928C9E6}" name="Estimated(hrs/sp)"/>
    <tableColumn id="7" xr3:uid="{23B7EDC7-E3FF-41E9-9563-33DC20F2E6F5}" name="Actual(hrs/sp)" dataDxfId="37"/>
    <tableColumn id="8" xr3:uid="{891E1F51-232C-4A28-8858-82B0757C84F4}" name="Unit testing" dataDxfId="36"/>
    <tableColumn id="9" xr3:uid="{D3449774-9659-4EAA-987C-0CAE19466F8A}" name="Peer Tested By" dataDxfId="35"/>
    <tableColumn id="10" xr3:uid="{95B8B205-DF25-4BF9-B4A7-CC96EEE7C781}" name="Peer Tested Defects, if any" dataDxfId="34"/>
    <tableColumn id="11" xr3:uid="{BCA94E69-A600-4AF0-8BAB-BA4A7343C53E}" name="Peer Reviewed By" dataDxfId="33"/>
    <tableColumn id="12" xr3:uid="{C35BAA7A-2683-4AA8-B260-DB8F2BE8C5F3}" name="Peer Code Review Comments, if any"/>
    <tableColumn id="13" xr3:uid="{92AF984C-BD40-4AED-A9D2-46C569744221}" name="PR Number/Link" dataDxfId="32" dataCellStyle="Hyperlink"/>
    <tableColumn id="14" xr3:uid="{D2B06667-9E29-46EA-AA18-E010AC5FE9B2}" name="PR Created Date" dataDxfId="31"/>
    <tableColumn id="15" xr3:uid="{A22016D1-F339-4A85-8826-CFEB32B43A9B}" name="PR Approved Date" dataDxfId="30"/>
    <tableColumn id="16" xr3:uid="{812ED5C5-E35A-4CD3-93DC-209F58188F59}" name="Onsite Lead Code Review" dataDxfId="29"/>
    <tableColumn id="17" xr3:uid="{2C455049-FA9F-40D9-B868-D93CD077C84A}" name="Code Review Comments, if any" dataDxfId="28"/>
    <tableColumn id="18" xr3:uid="{F63A13A9-6646-463D-BFB5-7F477091F195}" name="Client Code Review" dataDxfId="27"/>
    <tableColumn id="19" xr3:uid="{342679BC-FE32-4213-BA8B-533A404C57D1}" name="Approved Date" dataDxfId="26"/>
    <tableColumn id="20" xr3:uid="{39E84A39-A7BA-4AA0-928A-E8F867D840E1}" name="Code Review Comments, if any2" dataDxfId="25"/>
    <tableColumn id="21" xr3:uid="{4FE95263-CD6B-4E6B-8357-CAF42C3A6B4C}" name="Internal PO -POV Comments" dataDxfId="24"/>
    <tableColumn id="22" xr3:uid="{3F79BB37-FB72-43E0-A9D1-1EC19BFD592B}" name="Client PO -POV Comments" dataDxfId="23"/>
    <tableColumn id="24" xr3:uid="{B8E81746-FA43-444C-94F9-9081969E7BE6}" name="Comments" dataDxfId="22"/>
  </tableColumns>
  <tableStyleInfo name="TableStyleMedium2"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DC5C30B-A60C-4FFE-8316-8BFF998E3F7C}" name="Table1" displayName="Table1" ref="A1:X8" totalsRowShown="0" headerRowDxfId="21" dataDxfId="20" tableBorderDxfId="19">
  <autoFilter ref="A1:X8" xr:uid="{9DC5C30B-A60C-4FFE-8316-8BFF998E3F7C}"/>
  <tableColumns count="24">
    <tableColumn id="1" xr3:uid="{2BEDC8A6-D0E4-4DB1-9D9D-50FCED0DF125}" name="S.No" dataDxfId="18"/>
    <tableColumn id="2" xr3:uid="{2A39201C-9C07-4059-8659-EEC2212DE51A}" name="Sprint "/>
    <tableColumn id="3" xr3:uid="{DEE5E85F-3D85-4EEA-8DD3-092318B85592}" name="Developer"/>
    <tableColumn id="4" xr3:uid="{F433BB44-3382-4C84-9D6F-7746F49AF207}" name="Story ID/Defect ID" dataDxfId="17"/>
    <tableColumn id="5" xr3:uid="{4F910DD5-453E-4617-B734-BF3A82FA1A2C}" name="Description"/>
    <tableColumn id="6" xr3:uid="{C9D4477B-E3E5-4B0D-B6C4-622769105A3F}" name="Estimated(hrs/sp)"/>
    <tableColumn id="7" xr3:uid="{6C1F0772-4D98-47AE-AE13-E1BE6C0AE54C}" name="Actual(hrs/sp)" dataDxfId="16"/>
    <tableColumn id="8" xr3:uid="{CFB8ACE3-44F2-47BB-A3D3-C6DA521D7E0B}" name="Unit testing" dataDxfId="15"/>
    <tableColumn id="9" xr3:uid="{8391A141-A622-488B-8BCD-79944A87CB9E}" name="Peer Tested By" dataDxfId="14"/>
    <tableColumn id="10" xr3:uid="{59C38926-D50E-4FE8-A98A-163219FE39F3}" name="Peer Tested Defects, if any" dataDxfId="13"/>
    <tableColumn id="11" xr3:uid="{4788C4B7-D997-4B5F-AF69-0DB5CD1430AA}" name="Peer Reviewed By" dataDxfId="12"/>
    <tableColumn id="12" xr3:uid="{44659DF7-595E-4C67-8EF5-91EE59626612}" name="Peer Code Review Comments, if any"/>
    <tableColumn id="13" xr3:uid="{448B82BF-02D9-4FCA-AC1E-BC5F9CFB4160}" name="PR Number/Link" dataDxfId="11" dataCellStyle="Hyperlink"/>
    <tableColumn id="14" xr3:uid="{0072BA20-4E6F-449C-9041-31293D96E158}" name="PR Created Date" dataDxfId="10"/>
    <tableColumn id="15" xr3:uid="{280085BE-52BF-44FC-9DC5-3CCDD471A940}" name="PR Approved Date" dataDxfId="9"/>
    <tableColumn id="16" xr3:uid="{24FBB5E8-5C5E-44CB-BB98-A478AD706CE1}" name="Onsite Lead Code Review" dataDxfId="8"/>
    <tableColumn id="17" xr3:uid="{F479AD09-DBDF-4B3A-A5EF-64C82CBA59AF}" name="Code Review Comments, if any" dataDxfId="7"/>
    <tableColumn id="18" xr3:uid="{9A18847D-3FEA-45F5-A104-DE3412BD2452}" name="Client Code Review" dataDxfId="6"/>
    <tableColumn id="19" xr3:uid="{F0B0F1CB-CB6E-4F66-B9A0-B25837E13410}" name="Approved Date" dataDxfId="5"/>
    <tableColumn id="20" xr3:uid="{CFEA7FFB-9954-4A4A-8A60-129790C0640A}" name="Code Review Comments, if any2" dataDxfId="4"/>
    <tableColumn id="21" xr3:uid="{6F9D35F8-0326-4F8F-932B-A5FB0AC7A522}" name="Internal PO -POV Comments" dataDxfId="3"/>
    <tableColumn id="22" xr3:uid="{18C6F79C-952B-48FB-8F67-99A9F5988F8C}" name="Client PO -POV Comments" dataDxfId="2"/>
    <tableColumn id="23" xr3:uid="{D0B7553F-61B3-4140-AF13-71FC2BC1C362}" name="Status" dataDxfId="1"/>
    <tableColumn id="24" xr3:uid="{BDA2CE8F-B570-4B57-B088-E25FB027E541}" name="Comments"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19:f86125062bb647689bca347bf687e022@thread.v2"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greatergiving.visualstudio.com/Greater%20Giving/_git/OP/pullrequest/9451" TargetMode="External"/><Relationship Id="rId2" Type="http://schemas.openxmlformats.org/officeDocument/2006/relationships/hyperlink" Target="https://greatergiving.visualstudio.com/Greater%20Giving/_git/OnlineBidding/pullrequest/9555" TargetMode="External"/><Relationship Id="rId1" Type="http://schemas.openxmlformats.org/officeDocument/2006/relationships/hyperlink" Target="https://greatergiving.visualstudio.com/Greater%20Giving/_git/OnlineBidding/pullrequest/9557" TargetMode="External"/><Relationship Id="rId4" Type="http://schemas.openxmlformats.org/officeDocument/2006/relationships/table" Target="../tables/table1.xml"/></Relationships>
</file>

<file path=xl/worksheets/_rels/sheet5.xml.rels><?xml version="1.0" encoding="UTF-8" standalone="yes"?>
<Relationships xmlns="http://schemas.openxmlformats.org/package/2006/relationships"><Relationship Id="rId8" Type="http://schemas.openxmlformats.org/officeDocument/2006/relationships/table" Target="../tables/table2.xml"/><Relationship Id="rId3" Type="http://schemas.openxmlformats.org/officeDocument/2006/relationships/hyperlink" Target="https://greatergiving.visualstudio.com/Greater%20Giving/_git/OP/pullrequest/9518" TargetMode="External"/><Relationship Id="rId7" Type="http://schemas.openxmlformats.org/officeDocument/2006/relationships/hyperlink" Target="https://greatergiving.visualstudio.com/Greater%20Giving/_git/OnlineBidding/pullrequest/9541" TargetMode="External"/><Relationship Id="rId2" Type="http://schemas.openxmlformats.org/officeDocument/2006/relationships/hyperlink" Target="https://greatergiving.visualstudio.com/Greater%20Giving/_git/OP/pullrequest/9497" TargetMode="External"/><Relationship Id="rId1" Type="http://schemas.openxmlformats.org/officeDocument/2006/relationships/hyperlink" Target="https://greatergiving.visualstudio.com/Greater%20Giving/_git/OnlineBidding/pullrequest/9506" TargetMode="External"/><Relationship Id="rId6" Type="http://schemas.openxmlformats.org/officeDocument/2006/relationships/hyperlink" Target="https://greatergiving.visualstudio.com/Greater%20Giving/_git/OnlineBidding/pullrequest/9528" TargetMode="External"/><Relationship Id="rId5" Type="http://schemas.openxmlformats.org/officeDocument/2006/relationships/hyperlink" Target="https://greatergiving.visualstudio.com/Greater%20Giving/_git/OnlineBidding/pullrequest/9523" TargetMode="External"/><Relationship Id="rId4" Type="http://schemas.openxmlformats.org/officeDocument/2006/relationships/hyperlink" Target="https://greatergiving.visualstudio.com/Greater%20Giving/_git/OnlineBidding/pullrequest/9511"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greatergiving.visualstudio.com/Greater%20Giving/_git/OnlineBidding/pullrequest/9484" TargetMode="External"/><Relationship Id="rId2" Type="http://schemas.openxmlformats.org/officeDocument/2006/relationships/hyperlink" Target="https://greatergiving.visualstudio.com/Greater%20Giving/_git/OnlineBidding/pullrequest/9468" TargetMode="External"/><Relationship Id="rId1" Type="http://schemas.openxmlformats.org/officeDocument/2006/relationships/hyperlink" Target="https://greatergiving.visualstudio.com/Greater%20Giving/_git/OnlineBidding/pullrequest/9458" TargetMode="External"/><Relationship Id="rId6" Type="http://schemas.openxmlformats.org/officeDocument/2006/relationships/table" Target="../tables/table3.xml"/><Relationship Id="rId5" Type="http://schemas.openxmlformats.org/officeDocument/2006/relationships/hyperlink" Target="https://dev.azure.com/greatergiving/Greater%20Giving/_git/OnlineBidding/pullrequest/9498" TargetMode="External"/><Relationship Id="rId4" Type="http://schemas.openxmlformats.org/officeDocument/2006/relationships/hyperlink" Target="https://greatergiving.visualstudio.com/Greater%20Giving/_git/OnlineBidding/pullrequest/9492"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greatergiving.visualstudio.com/Greater%20Giving/_git/OnlineBidding/pullrequest/9435" TargetMode="External"/><Relationship Id="rId2" Type="http://schemas.openxmlformats.org/officeDocument/2006/relationships/hyperlink" Target="https://greatergiving.visualstudio.com/Greater%20Giving/_git/OnlineBidding/pullrequest/9428" TargetMode="External"/><Relationship Id="rId1" Type="http://schemas.openxmlformats.org/officeDocument/2006/relationships/hyperlink" Target="https://greatergiving.visualstudio.com/Greater%20Giving/_git/OnlineBidding/pullrequest/9421" TargetMode="External"/><Relationship Id="rId4"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8" Type="http://schemas.openxmlformats.org/officeDocument/2006/relationships/table" Target="../tables/table5.xml"/><Relationship Id="rId3" Type="http://schemas.openxmlformats.org/officeDocument/2006/relationships/hyperlink" Target="https://greatergiving.visualstudio.com/Greater%20Giving/_git/OnlineBidding/pullrequest/9378" TargetMode="External"/><Relationship Id="rId7" Type="http://schemas.openxmlformats.org/officeDocument/2006/relationships/hyperlink" Target="https://greatergiving.visualstudio.com/Greater%20Giving/_git/OP/pullrequest/9346" TargetMode="External"/><Relationship Id="rId2" Type="http://schemas.openxmlformats.org/officeDocument/2006/relationships/hyperlink" Target="https://greatergiving.visualstudio.com/Greater%20Giving/_git/OnlineBidding/pullrequest/9378" TargetMode="External"/><Relationship Id="rId1" Type="http://schemas.openxmlformats.org/officeDocument/2006/relationships/hyperlink" Target="https://greatergiving.visualstudio.com/Greater%20Giving/_git/OnlineBidding/pullrequest/9386" TargetMode="External"/><Relationship Id="rId6" Type="http://schemas.openxmlformats.org/officeDocument/2006/relationships/hyperlink" Target="https://greatergiving.visualstudio.com/Greater%20Giving/_git/OP/pullrequest/9357" TargetMode="External"/><Relationship Id="rId5" Type="http://schemas.openxmlformats.org/officeDocument/2006/relationships/hyperlink" Target="https://greatergiving.visualstudio.com/Greater%20Giving/_git/OnlineBidding/pullrequest/9391" TargetMode="External"/><Relationship Id="rId4" Type="http://schemas.openxmlformats.org/officeDocument/2006/relationships/hyperlink" Target="https://greatergiving.visualstudio.com/Greater%20Giving/_git/OnlineBidding/pullrequest/9388"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s://greatergiving.visualstudio.com/Greater%20Giving/_git/OnlineBidding/pullrequest/9328" TargetMode="External"/><Relationship Id="rId2" Type="http://schemas.openxmlformats.org/officeDocument/2006/relationships/hyperlink" Target="https://greatergiving.visualstudio.com/Greater%20Giving/_git/OnlineBidding/pullrequest/9330" TargetMode="External"/><Relationship Id="rId1" Type="http://schemas.openxmlformats.org/officeDocument/2006/relationships/hyperlink" Target="https://greatergiving.visualstudio.com/Greater%20Giving/_git/OnlineBidding/pullrequest/9329" TargetMode="External"/><Relationship Id="rId6" Type="http://schemas.openxmlformats.org/officeDocument/2006/relationships/table" Target="../tables/table6.xml"/><Relationship Id="rId5" Type="http://schemas.openxmlformats.org/officeDocument/2006/relationships/hyperlink" Target="https://greatergiving.visualstudio.com/Greater%20Giving/_git/OnlineBidding/pullrequest/9336" TargetMode="External"/><Relationship Id="rId4" Type="http://schemas.openxmlformats.org/officeDocument/2006/relationships/hyperlink" Target="https://greatergiving.visualstudio.com/Greater%20Giving/_git/OnlineBidding/pullrequest/9328"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https://greatergiving.visualstudio.com/Greater%20Giving/_git/OnlineBidding/pullrequest/9287" TargetMode="External"/><Relationship Id="rId2" Type="http://schemas.openxmlformats.org/officeDocument/2006/relationships/hyperlink" Target="https://greatergiving.visualstudio.com/Greater%20Giving/_git/OnlineBidding/pullrequest/9276" TargetMode="External"/><Relationship Id="rId1" Type="http://schemas.openxmlformats.org/officeDocument/2006/relationships/hyperlink" Target="https://greatergiving.visualstudio.com/Greater%20Giving/_git/GGO/pullrequest/9283" TargetMode="External"/><Relationship Id="rId5" Type="http://schemas.openxmlformats.org/officeDocument/2006/relationships/table" Target="../tables/table7.xml"/><Relationship Id="rId4" Type="http://schemas.openxmlformats.org/officeDocument/2006/relationships/hyperlink" Target="https://greatergiving.visualstudio.com/Greater%20Giving/_git/OnlineBidding/pullrequest/9323" TargetMode="External"/></Relationships>
</file>

<file path=xl/worksheets/_rels/sheet17.xml.rels><?xml version="1.0" encoding="UTF-8" standalone="yes"?>
<Relationships xmlns="http://schemas.openxmlformats.org/package/2006/relationships"><Relationship Id="rId8" Type="http://schemas.openxmlformats.org/officeDocument/2006/relationships/hyperlink" Target="https://greatergiving.visualstudio.com/Greater%20Giving/_git/OnlineBidding/pullrequest/9267" TargetMode="External"/><Relationship Id="rId13" Type="http://schemas.openxmlformats.org/officeDocument/2006/relationships/hyperlink" Target="https://greatergiving.visualstudio.com/Greater%20Giving/_git/OnlineBidding/pullrequest/9277" TargetMode="External"/><Relationship Id="rId3" Type="http://schemas.openxmlformats.org/officeDocument/2006/relationships/hyperlink" Target="https://greatergiving.visualstudio.com/Greater%20Giving/_git/OnlineBidding/pullrequest/9240" TargetMode="External"/><Relationship Id="rId7" Type="http://schemas.openxmlformats.org/officeDocument/2006/relationships/hyperlink" Target="https://greatergiving.visualstudio.com/Greater%20Giving/_git/OnlineBidding/pullrequest/9252" TargetMode="External"/><Relationship Id="rId12" Type="http://schemas.openxmlformats.org/officeDocument/2006/relationships/hyperlink" Target="https://greatergiving.visualstudio.com/Greater%20Giving/_git/OnlineBidding/pullrequest/9276" TargetMode="External"/><Relationship Id="rId2" Type="http://schemas.openxmlformats.org/officeDocument/2006/relationships/hyperlink" Target="https://greatergiving.visualstudio.com/Greater%20Giving/_git/OnlineBidding/pullrequest/9238" TargetMode="External"/><Relationship Id="rId1" Type="http://schemas.openxmlformats.org/officeDocument/2006/relationships/hyperlink" Target="https://greatergiving.visualstudio.com/Greater%20Giving/_git/OnlineBidding/pullrequest/9237" TargetMode="External"/><Relationship Id="rId6" Type="http://schemas.openxmlformats.org/officeDocument/2006/relationships/hyperlink" Target="https://greatergiving.visualstudio.com/Greater%20Giving/_git/OnlineBidding/pullrequest/9251" TargetMode="External"/><Relationship Id="rId11" Type="http://schemas.openxmlformats.org/officeDocument/2006/relationships/hyperlink" Target="https://greatergiving.visualstudio.com/Greater%20Giving/_git/OnlineBidding/pullrequest/9268" TargetMode="External"/><Relationship Id="rId5" Type="http://schemas.openxmlformats.org/officeDocument/2006/relationships/hyperlink" Target="https://greatergiving.visualstudio.com/Greater%20Giving/_git/OnlineBidding/pullrequest/9250" TargetMode="External"/><Relationship Id="rId15" Type="http://schemas.openxmlformats.org/officeDocument/2006/relationships/table" Target="../tables/table8.xml"/><Relationship Id="rId10" Type="http://schemas.openxmlformats.org/officeDocument/2006/relationships/hyperlink" Target="https://greatergiving.visualstudio.com/Greater%20Giving/_git/OnlineBidding/pullrequest/9275" TargetMode="External"/><Relationship Id="rId4" Type="http://schemas.openxmlformats.org/officeDocument/2006/relationships/hyperlink" Target="https://greatergiving.visualstudio.com/Greater%20Giving/_git/OnlineBidding/pullrequest/9241" TargetMode="External"/><Relationship Id="rId9" Type="http://schemas.openxmlformats.org/officeDocument/2006/relationships/hyperlink" Target="https://greatergiving.visualstudio.com/Greater%20Giving/_git/OnlineBidding/pullrequest/9259" TargetMode="External"/><Relationship Id="rId14" Type="http://schemas.openxmlformats.org/officeDocument/2006/relationships/hyperlink" Target="https://greatergiving.visualstudio.com/Greater%20Giving/_git/GGO/pullrequest/9282" TargetMode="External"/></Relationships>
</file>

<file path=xl/worksheets/_rels/sheet19.xml.rels><?xml version="1.0" encoding="UTF-8" standalone="yes"?>
<Relationships xmlns="http://schemas.openxmlformats.org/package/2006/relationships"><Relationship Id="rId8" Type="http://schemas.openxmlformats.org/officeDocument/2006/relationships/hyperlink" Target="https://greatergiving.visualstudio.com/Greater%20Giving/_git/OnlineBidding/pullrequest/9203" TargetMode="External"/><Relationship Id="rId13" Type="http://schemas.openxmlformats.org/officeDocument/2006/relationships/hyperlink" Target="https://greatergiving.visualstudio.com/Greater%20Giving/_git/OnlineBidding/pullrequest/9225" TargetMode="External"/><Relationship Id="rId3" Type="http://schemas.openxmlformats.org/officeDocument/2006/relationships/hyperlink" Target="https://greatergiving.visualstudio.com/Greater%20Giving/_git/OnlineBidding/pullrequest/9181" TargetMode="External"/><Relationship Id="rId7" Type="http://schemas.openxmlformats.org/officeDocument/2006/relationships/hyperlink" Target="https://greatergiving.visualstudio.com/Greater%20Giving/_git/OnlineBidding/pullrequest/9189" TargetMode="External"/><Relationship Id="rId12" Type="http://schemas.openxmlformats.org/officeDocument/2006/relationships/hyperlink" Target="https://greatergiving.visualstudio.com/Greater%20Giving/_git/OnlineBidding/pullrequest/9224" TargetMode="External"/><Relationship Id="rId2" Type="http://schemas.openxmlformats.org/officeDocument/2006/relationships/hyperlink" Target="https://greatergiving.visualstudio.com/Greater%20Giving/_git/OnlineBidding/pullrequest/9165" TargetMode="External"/><Relationship Id="rId1" Type="http://schemas.openxmlformats.org/officeDocument/2006/relationships/hyperlink" Target="https://greatergiving.visualstudio.com/Greater%20Giving/_git/OnlineBidding/pullrequest/9118" TargetMode="External"/><Relationship Id="rId6" Type="http://schemas.openxmlformats.org/officeDocument/2006/relationships/hyperlink" Target="https://greatergiving.visualstudio.com/Greater%20Giving/_git/OnlineBidding/pullrequest/9186" TargetMode="External"/><Relationship Id="rId11" Type="http://schemas.openxmlformats.org/officeDocument/2006/relationships/hyperlink" Target="https://greatergiving.visualstudio.com/Greater%20Giving/_git/OnlineBidding/pullrequest/9230" TargetMode="External"/><Relationship Id="rId5" Type="http://schemas.openxmlformats.org/officeDocument/2006/relationships/hyperlink" Target="https://greatergiving.visualstudio.com/Greater%20Giving/_git/OnlineBidding/pullrequest/9185" TargetMode="External"/><Relationship Id="rId15" Type="http://schemas.openxmlformats.org/officeDocument/2006/relationships/table" Target="../tables/table9.xml"/><Relationship Id="rId10" Type="http://schemas.openxmlformats.org/officeDocument/2006/relationships/hyperlink" Target="https://greatergiving.visualstudio.com/Greater%20Giving/_git/OnlineBidding/pullrequest/9223" TargetMode="External"/><Relationship Id="rId4" Type="http://schemas.openxmlformats.org/officeDocument/2006/relationships/hyperlink" Target="https://greatergiving.visualstudio.com/Greater%20Giving/_git/OnlineBidding/pullrequest/9182" TargetMode="External"/><Relationship Id="rId9" Type="http://schemas.openxmlformats.org/officeDocument/2006/relationships/hyperlink" Target="https://greatergiving.visualstudio.com/Greater%20Giving/_git/OnlineBidding/pullrequest/9222" TargetMode="External"/><Relationship Id="rId14" Type="http://schemas.openxmlformats.org/officeDocument/2006/relationships/hyperlink" Target="https://greatergiving.visualstudio.com/Greater%20Giving/_git/OnlineBidding/pullrequest/9231" TargetMode="External"/></Relationships>
</file>

<file path=xl/worksheets/_rels/sheet21.xml.rels><?xml version="1.0" encoding="UTF-8" standalone="yes"?>
<Relationships xmlns="http://schemas.openxmlformats.org/package/2006/relationships"><Relationship Id="rId8" Type="http://schemas.openxmlformats.org/officeDocument/2006/relationships/hyperlink" Target="https://greatergiving.visualstudio.com/Greater%20Giving/_git/OnlineBidding/pullrequest/9138" TargetMode="External"/><Relationship Id="rId13" Type="http://schemas.openxmlformats.org/officeDocument/2006/relationships/hyperlink" Target="https://greatergiving.visualstudio.com/Greater%20Giving/_git/OnlineBidding/pullrequest/9165" TargetMode="External"/><Relationship Id="rId3" Type="http://schemas.openxmlformats.org/officeDocument/2006/relationships/hyperlink" Target="https://greatergiving.visualstudio.com/Greater%20Giving/_git/OnlineBidding/pullrequest/9119" TargetMode="External"/><Relationship Id="rId7" Type="http://schemas.openxmlformats.org/officeDocument/2006/relationships/hyperlink" Target="https://greatergiving.visualstudio.com/Greater%20Giving/_git/OnlineBidding/pullrequest/9138" TargetMode="External"/><Relationship Id="rId12" Type="http://schemas.openxmlformats.org/officeDocument/2006/relationships/hyperlink" Target="https://greatergiving.visualstudio.com/Greater%20Giving/_git/OnlineBidding/pullrequest/9164" TargetMode="External"/><Relationship Id="rId2" Type="http://schemas.openxmlformats.org/officeDocument/2006/relationships/hyperlink" Target="https://greatergiving.visualstudio.com/Greater%20Giving/_git/OnlineBidding/pullrequest/9118" TargetMode="External"/><Relationship Id="rId1" Type="http://schemas.openxmlformats.org/officeDocument/2006/relationships/hyperlink" Target="https://greatergiving.visualstudio.com/Greater%20Giving/_git/OnlineBidding/pullrequest/9120" TargetMode="External"/><Relationship Id="rId6" Type="http://schemas.openxmlformats.org/officeDocument/2006/relationships/hyperlink" Target="https://greatergiving.visualstudio.com/Greater%20Giving/_git/OnlineBidding/pullrequest/9139" TargetMode="External"/><Relationship Id="rId11" Type="http://schemas.openxmlformats.org/officeDocument/2006/relationships/hyperlink" Target="https://greatergiving.visualstudio.com/Greater%20Giving/_git/OnlineBidding/pullrequest/9163" TargetMode="External"/><Relationship Id="rId5" Type="http://schemas.openxmlformats.org/officeDocument/2006/relationships/hyperlink" Target="https://greatergiving.visualstudio.com/Greater%20Giving/_git/OnlineBidding/pullrequest/9130" TargetMode="External"/><Relationship Id="rId15" Type="http://schemas.openxmlformats.org/officeDocument/2006/relationships/table" Target="../tables/table10.xml"/><Relationship Id="rId10" Type="http://schemas.openxmlformats.org/officeDocument/2006/relationships/hyperlink" Target="https://greatergiving.visualstudio.com/Greater%20Giving/_git/OnlineBidding/pullrequest/9162" TargetMode="External"/><Relationship Id="rId4" Type="http://schemas.openxmlformats.org/officeDocument/2006/relationships/hyperlink" Target="https://greatergiving.visualstudio.com/Greater%20Giving/_git/OnlineBidding/pullrequest/9132" TargetMode="External"/><Relationship Id="rId9" Type="http://schemas.openxmlformats.org/officeDocument/2006/relationships/hyperlink" Target="https://greatergiving.visualstudio.com/Greater%20Giving/_git/OnlineBidding/pullrequest/9143" TargetMode="External"/><Relationship Id="rId14" Type="http://schemas.openxmlformats.org/officeDocument/2006/relationships/hyperlink" Target="https://greatergiving.visualstudio.com/Greater%20Giving/_git/OnlineBidding/pullrequest/9171" TargetMode="External"/></Relationships>
</file>

<file path=xl/worksheets/_rels/sheet23.xml.rels><?xml version="1.0" encoding="UTF-8" standalone="yes"?>
<Relationships xmlns="http://schemas.openxmlformats.org/package/2006/relationships"><Relationship Id="rId3" Type="http://schemas.openxmlformats.org/officeDocument/2006/relationships/hyperlink" Target="https://greatergiving.visualstudio.com/Greater%20Giving/_git/OnlineBidding/pullrequest/9081" TargetMode="External"/><Relationship Id="rId7" Type="http://schemas.openxmlformats.org/officeDocument/2006/relationships/table" Target="../tables/table11.xml"/><Relationship Id="rId2" Type="http://schemas.openxmlformats.org/officeDocument/2006/relationships/hyperlink" Target="https://greatergiving.visualstudio.com/Greater%20Giving/_git/OnlineBidding/pullrequest/9083" TargetMode="External"/><Relationship Id="rId1" Type="http://schemas.openxmlformats.org/officeDocument/2006/relationships/hyperlink" Target="https://greatergiving.visualstudio.com/Greater%20Giving/_git/OnlineBidding/pullrequest/9082" TargetMode="External"/><Relationship Id="rId6" Type="http://schemas.openxmlformats.org/officeDocument/2006/relationships/hyperlink" Target="https://greatergiving.visualstudio.com/Greater%20Giving/_git/OnlineBidding/pullrequest/9097" TargetMode="External"/><Relationship Id="rId5" Type="http://schemas.openxmlformats.org/officeDocument/2006/relationships/hyperlink" Target="https://greatergiving.visualstudio.com/Greater%20Giving/_git/OnlineBidding/pullrequest/9101" TargetMode="External"/><Relationship Id="rId4" Type="http://schemas.openxmlformats.org/officeDocument/2006/relationships/hyperlink" Target="https://greatergiving.visualstudio.com/Greater%20Giving/_git/OnlineBidding/pullrequest/9072" TargetMode="External"/></Relationships>
</file>

<file path=xl/worksheets/_rels/sheet25.xml.rels><?xml version="1.0" encoding="UTF-8" standalone="yes"?>
<Relationships xmlns="http://schemas.openxmlformats.org/package/2006/relationships"><Relationship Id="rId3" Type="http://schemas.openxmlformats.org/officeDocument/2006/relationships/hyperlink" Target="https://greatergiving.visualstudio.com/Greater%20Giving/_git/OnlineBidding/pullrequest/9057" TargetMode="External"/><Relationship Id="rId2" Type="http://schemas.openxmlformats.org/officeDocument/2006/relationships/hyperlink" Target="https://greatergiving.visualstudio.com/Greater%20Giving/_git/OnlineBidding/pullrequest/9059" TargetMode="External"/><Relationship Id="rId1" Type="http://schemas.openxmlformats.org/officeDocument/2006/relationships/hyperlink" Target="https://greatergiving.visualstudio.com/Greater%20Giving/_git/OnlineBidding/pullrequest/9061" TargetMode="External"/><Relationship Id="rId6" Type="http://schemas.openxmlformats.org/officeDocument/2006/relationships/table" Target="../tables/table12.xml"/><Relationship Id="rId5" Type="http://schemas.openxmlformats.org/officeDocument/2006/relationships/hyperlink" Target="https://greatergiving.visualstudio.com/Greater%20Giving/_git/OnlineBidding/pullrequest/9072" TargetMode="External"/><Relationship Id="rId4" Type="http://schemas.openxmlformats.org/officeDocument/2006/relationships/hyperlink" Target="https://greatergiving.visualstudio.com/Greater%20Giving/_git/OnlineBidding/pullrequest/9071" TargetMode="External"/></Relationships>
</file>

<file path=xl/worksheets/_rels/sheet27.xml.rels><?xml version="1.0" encoding="UTF-8" standalone="yes"?>
<Relationships xmlns="http://schemas.openxmlformats.org/package/2006/relationships"><Relationship Id="rId3" Type="http://schemas.openxmlformats.org/officeDocument/2006/relationships/hyperlink" Target="https://greatergiving.visualstudio.com/Greater%20Giving/_git/OnlineBidding/pullrequest/8991" TargetMode="External"/><Relationship Id="rId2" Type="http://schemas.openxmlformats.org/officeDocument/2006/relationships/hyperlink" Target="https://greatergiving.visualstudio.com/Greater%20Giving/_git/OnlineBidding/pullrequest/8997" TargetMode="External"/><Relationship Id="rId1" Type="http://schemas.openxmlformats.org/officeDocument/2006/relationships/hyperlink" Target="https://greatergiving.visualstudio.com/Greater%20Giving/_git/OnlineBidding/pullrequest/8992" TargetMode="External"/><Relationship Id="rId6" Type="http://schemas.openxmlformats.org/officeDocument/2006/relationships/table" Target="../tables/table13.xml"/><Relationship Id="rId5" Type="http://schemas.openxmlformats.org/officeDocument/2006/relationships/hyperlink" Target="https://greatergiving.visualstudio.com/Greater%20Giving/_git/OnlineBidding/pullrequest/9006" TargetMode="External"/><Relationship Id="rId4" Type="http://schemas.openxmlformats.org/officeDocument/2006/relationships/hyperlink" Target="https://greatergiving.visualstudio.com/Greater%20Giving/_git/OnlineBidding/pullrequest/9024" TargetMode="External"/></Relationships>
</file>

<file path=xl/worksheets/_rels/sheet29.xml.rels><?xml version="1.0" encoding="UTF-8" standalone="yes"?>
<Relationships xmlns="http://schemas.openxmlformats.org/package/2006/relationships"><Relationship Id="rId8" Type="http://schemas.openxmlformats.org/officeDocument/2006/relationships/table" Target="../tables/table14.xml"/><Relationship Id="rId3" Type="http://schemas.openxmlformats.org/officeDocument/2006/relationships/hyperlink" Target="https://greatergiving.visualstudio.com/Greater%20Giving/_git/OnlineBidding/pullrequest/8953" TargetMode="External"/><Relationship Id="rId7" Type="http://schemas.openxmlformats.org/officeDocument/2006/relationships/hyperlink" Target="https://greatergiving.visualstudio.com/Greater%20Giving/_git/OnlineBidding/pullrequest/8977" TargetMode="External"/><Relationship Id="rId2" Type="http://schemas.openxmlformats.org/officeDocument/2006/relationships/hyperlink" Target="https://greatergiving.visualstudio.com/Greater%20Giving/_git/OnlineBidding/pullrequest/8953" TargetMode="External"/><Relationship Id="rId1" Type="http://schemas.openxmlformats.org/officeDocument/2006/relationships/hyperlink" Target="https://greatergiving.visualstudio.com/Greater%20Giving/_git/OnlineBidding/pullrequest/8952" TargetMode="External"/><Relationship Id="rId6" Type="http://schemas.openxmlformats.org/officeDocument/2006/relationships/hyperlink" Target="https://greatergiving.visualstudio.com/Greater%20Giving/_git/OnlineBidding/pullrequest/8974" TargetMode="External"/><Relationship Id="rId5" Type="http://schemas.openxmlformats.org/officeDocument/2006/relationships/hyperlink" Target="https://greatergiving.visualstudio.com/Greater%20Giving/_git/OnlineBidding/pullrequest/8973" TargetMode="External"/><Relationship Id="rId4" Type="http://schemas.openxmlformats.org/officeDocument/2006/relationships/hyperlink" Target="https://greatergiving.visualstudio.com/Greater%20Giving/_git/OnlineBidding/pullrequest/8962" TargetMode="External"/></Relationships>
</file>

<file path=xl/worksheets/_rels/sheet31.xml.rels><?xml version="1.0" encoding="UTF-8" standalone="yes"?>
<Relationships xmlns="http://schemas.openxmlformats.org/package/2006/relationships"><Relationship Id="rId3" Type="http://schemas.openxmlformats.org/officeDocument/2006/relationships/hyperlink" Target="https://greatergiving.visualstudio.com/Greater%20Giving/_git/OnlineBidding/pullrequest/8930" TargetMode="External"/><Relationship Id="rId7" Type="http://schemas.openxmlformats.org/officeDocument/2006/relationships/table" Target="../tables/table15.xml"/><Relationship Id="rId2" Type="http://schemas.openxmlformats.org/officeDocument/2006/relationships/hyperlink" Target="https://greatergiving.visualstudio.com/Greater%20Giving/_git/OnlineBidding/pullrequest/8926" TargetMode="External"/><Relationship Id="rId1" Type="http://schemas.openxmlformats.org/officeDocument/2006/relationships/hyperlink" Target="https://greatergiving.visualstudio.com/Greater%20Giving/_git/OnlineBidding/pullrequest/8920" TargetMode="External"/><Relationship Id="rId6" Type="http://schemas.openxmlformats.org/officeDocument/2006/relationships/hyperlink" Target="https://greatergiving.visualstudio.com/Greater%20Giving/_git/OnlineBidding/pullrequest/8940" TargetMode="External"/><Relationship Id="rId5" Type="http://schemas.openxmlformats.org/officeDocument/2006/relationships/hyperlink" Target="https://greatergiving.visualstudio.com/Greater%20Giving/_git/OnlineBidding/pullrequest/8927" TargetMode="External"/><Relationship Id="rId4" Type="http://schemas.openxmlformats.org/officeDocument/2006/relationships/hyperlink" Target="https://greatergiving.visualstudio.com/Greater%20Giving/_git/OnlineBidding/pullrequest/8929" TargetMode="External"/></Relationships>
</file>

<file path=xl/worksheets/_rels/sheet33.xml.rels><?xml version="1.0" encoding="UTF-8" standalone="yes"?>
<Relationships xmlns="http://schemas.openxmlformats.org/package/2006/relationships"><Relationship Id="rId3" Type="http://schemas.openxmlformats.org/officeDocument/2006/relationships/hyperlink" Target="https://greatergiving.visualstudio.com/Greater%20Giving/_git/OnlineBidding/pullrequest/8886" TargetMode="External"/><Relationship Id="rId2" Type="http://schemas.openxmlformats.org/officeDocument/2006/relationships/hyperlink" Target="https://greatergiving.visualstudio.com/Greater%20Giving/_git/OnlineBidding/pullrequest/8884" TargetMode="External"/><Relationship Id="rId1" Type="http://schemas.openxmlformats.org/officeDocument/2006/relationships/hyperlink" Target="https://greatergiving.visualstudio.com/Greater%20Giving/_git/OnlineBidding/pullrequest/8877" TargetMode="External"/><Relationship Id="rId5" Type="http://schemas.openxmlformats.org/officeDocument/2006/relationships/table" Target="../tables/table16.xml"/><Relationship Id="rId4" Type="http://schemas.openxmlformats.org/officeDocument/2006/relationships/hyperlink" Target="https://greatergiving.visualstudio.com/Greater%20Giving/_git/OnlineBidding/pullrequest/8903" TargetMode="External"/></Relationships>
</file>

<file path=xl/worksheets/_rels/sheet35.xml.rels><?xml version="1.0" encoding="UTF-8" standalone="yes"?>
<Relationships xmlns="http://schemas.openxmlformats.org/package/2006/relationships"><Relationship Id="rId3" Type="http://schemas.openxmlformats.org/officeDocument/2006/relationships/hyperlink" Target="https://greatergiving.visualstudio.com/Greater%20Giving/_git/OnlineBidding/pullrequest/8847" TargetMode="External"/><Relationship Id="rId2" Type="http://schemas.openxmlformats.org/officeDocument/2006/relationships/hyperlink" Target="https://greatergiving.visualstudio.com/Greater%20Giving/_git/OnlineBidding/pullrequest/8843" TargetMode="External"/><Relationship Id="rId1" Type="http://schemas.openxmlformats.org/officeDocument/2006/relationships/hyperlink" Target="https://greatergiving.visualstudio.com/Greater%20Giving/_git/OnlineBidding/pullrequest/8837" TargetMode="External"/><Relationship Id="rId6" Type="http://schemas.openxmlformats.org/officeDocument/2006/relationships/table" Target="../tables/table17.xml"/><Relationship Id="rId5" Type="http://schemas.openxmlformats.org/officeDocument/2006/relationships/hyperlink" Target="https://greatergiving.visualstudio.com/Greater%20Giving/_git/OnlineBidding/pullrequest/8858" TargetMode="External"/><Relationship Id="rId4" Type="http://schemas.openxmlformats.org/officeDocument/2006/relationships/hyperlink" Target="https://greatergiving.visualstudio.com/Greater%20Giving/_git/OnlineBidding/pullrequest/8851" TargetMode="External"/></Relationships>
</file>

<file path=xl/worksheets/_rels/sheet37.xml.rels><?xml version="1.0" encoding="UTF-8" standalone="yes"?>
<Relationships xmlns="http://schemas.openxmlformats.org/package/2006/relationships"><Relationship Id="rId3" Type="http://schemas.openxmlformats.org/officeDocument/2006/relationships/hyperlink" Target="https://greatergiving.visualstudio.com/Greater%20Giving/_git/OnlineBidding/pullrequest/8794" TargetMode="External"/><Relationship Id="rId2" Type="http://schemas.openxmlformats.org/officeDocument/2006/relationships/hyperlink" Target="https://greatergiving.visualstudio.com/Greater%20Giving/_git/OnlineBidding/pullrequest/8816" TargetMode="External"/><Relationship Id="rId1" Type="http://schemas.openxmlformats.org/officeDocument/2006/relationships/hyperlink" Target="https://greatergiving.visualstudio.com/Greater%20Giving/_git/OnlineBidding/pullrequest/8785" TargetMode="External"/><Relationship Id="rId6" Type="http://schemas.openxmlformats.org/officeDocument/2006/relationships/table" Target="../tables/table18.xml"/><Relationship Id="rId5" Type="http://schemas.openxmlformats.org/officeDocument/2006/relationships/hyperlink" Target="https://greatergiving.visualstudio.com/Greater%20Giving/_git/OnlineBidding/pullrequest/8834" TargetMode="External"/><Relationship Id="rId4" Type="http://schemas.openxmlformats.org/officeDocument/2006/relationships/hyperlink" Target="https://greatergiving.visualstudio.com/Greater%20Giving/_git/OnlineBidding/pullrequest/8835" TargetMode="External"/></Relationships>
</file>

<file path=xl/worksheets/_rels/sheet39.xml.rels><?xml version="1.0" encoding="UTF-8" standalone="yes"?>
<Relationships xmlns="http://schemas.openxmlformats.org/package/2006/relationships"><Relationship Id="rId3" Type="http://schemas.openxmlformats.org/officeDocument/2006/relationships/hyperlink" Target="https://greatergiving.visualstudio.com/Greater%20Giving/_git/OnlineBidding/pullrequest/8764" TargetMode="External"/><Relationship Id="rId2" Type="http://schemas.openxmlformats.org/officeDocument/2006/relationships/hyperlink" Target="https://greatergiving.visualstudio.com/Greater%20Giving/_git/OnlineBidding/pullrequest/8755" TargetMode="External"/><Relationship Id="rId1" Type="http://schemas.openxmlformats.org/officeDocument/2006/relationships/hyperlink" Target="https://greatergiving.visualstudio.com/Greater%20Giving/_git/OnlineBidding/pullrequest/8750" TargetMode="External"/><Relationship Id="rId5" Type="http://schemas.openxmlformats.org/officeDocument/2006/relationships/table" Target="../tables/table19.xml"/><Relationship Id="rId4" Type="http://schemas.openxmlformats.org/officeDocument/2006/relationships/hyperlink" Target="https://greatergiving.visualstudio.com/Greater%20Giving/_git/OnlineBidding/pullrequest/8785" TargetMode="External"/></Relationships>
</file>

<file path=xl/worksheets/_rels/sheet41.xml.rels><?xml version="1.0" encoding="UTF-8" standalone="yes"?>
<Relationships xmlns="http://schemas.openxmlformats.org/package/2006/relationships"><Relationship Id="rId8" Type="http://schemas.openxmlformats.org/officeDocument/2006/relationships/hyperlink" Target="https://greatergiving.visualstudio.com/Greater%20Giving/_git/OnlineBidding/pullrequest/8737" TargetMode="External"/><Relationship Id="rId3" Type="http://schemas.openxmlformats.org/officeDocument/2006/relationships/hyperlink" Target="https://greatergiving.visualstudio.com/Greater%20Giving/_git/OnlineBidding/pullrequest/8703" TargetMode="External"/><Relationship Id="rId7" Type="http://schemas.openxmlformats.org/officeDocument/2006/relationships/hyperlink" Target="https://greatergiving.visualstudio.com/Greater%20Giving/_git/OnlineBidding/pullrequest/8720" TargetMode="External"/><Relationship Id="rId2" Type="http://schemas.openxmlformats.org/officeDocument/2006/relationships/hyperlink" Target="https://greatergiving.visualstudio.com/Greater%20Giving/_git/OnlineBidding/pullrequest/8689" TargetMode="External"/><Relationship Id="rId1" Type="http://schemas.openxmlformats.org/officeDocument/2006/relationships/hyperlink" Target="https://greatergiving.visualstudio.com/Greater%20Giving/_git/OnlineBidding/pullrequest/8684" TargetMode="External"/><Relationship Id="rId6" Type="http://schemas.openxmlformats.org/officeDocument/2006/relationships/hyperlink" Target="https://greatergiving.visualstudio.com/Greater%20Giving/_git/OnlineBidding/pullrequest/8709" TargetMode="External"/><Relationship Id="rId5" Type="http://schemas.openxmlformats.org/officeDocument/2006/relationships/hyperlink" Target="https://greatergiving.visualstudio.com/Greater%20Giving/_git/OnlineBidding/pullrequest/8711" TargetMode="External"/><Relationship Id="rId4" Type="http://schemas.openxmlformats.org/officeDocument/2006/relationships/hyperlink" Target="https://greatergiving.visualstudio.com/Greater%20Giving/_git/OnlineBidding/pullrequest/8710" TargetMode="External"/><Relationship Id="rId9" Type="http://schemas.openxmlformats.org/officeDocument/2006/relationships/table" Target="../tables/table20.xml"/></Relationships>
</file>

<file path=xl/worksheets/_rels/sheet43.xml.rels><?xml version="1.0" encoding="UTF-8" standalone="yes"?>
<Relationships xmlns="http://schemas.openxmlformats.org/package/2006/relationships"><Relationship Id="rId3" Type="http://schemas.openxmlformats.org/officeDocument/2006/relationships/hyperlink" Target="https://greatergiving.visualstudio.com/Greater%20Giving/_git/OnlineBidding/pullrequest/8689" TargetMode="External"/><Relationship Id="rId2" Type="http://schemas.openxmlformats.org/officeDocument/2006/relationships/hyperlink" Target="https://greatergiving.visualstudio.com/Greater%20Giving/_git/OnlineBidding/pullrequest/8684" TargetMode="External"/><Relationship Id="rId1" Type="http://schemas.openxmlformats.org/officeDocument/2006/relationships/hyperlink" Target="https://greatergiving.visualstudio.com/Greater%20Giving/_git/OnlineBidding/pullrequest/8647" TargetMode="External"/><Relationship Id="rId4" Type="http://schemas.openxmlformats.org/officeDocument/2006/relationships/table" Target="../tables/table21.xml"/></Relationships>
</file>

<file path=xl/worksheets/_rels/sheet45.xml.rels><?xml version="1.0" encoding="UTF-8" standalone="yes"?>
<Relationships xmlns="http://schemas.openxmlformats.org/package/2006/relationships"><Relationship Id="rId3" Type="http://schemas.openxmlformats.org/officeDocument/2006/relationships/hyperlink" Target="https://greatergiving.visualstudio.com/Greater%20Giving/_git/OnlineBidding/pullrequest/8638" TargetMode="External"/><Relationship Id="rId2" Type="http://schemas.openxmlformats.org/officeDocument/2006/relationships/hyperlink" Target="https://greatergiving.visualstudio.com/Greater%20Giving/_git/OnlineBidding/pullrequest/8624" TargetMode="External"/><Relationship Id="rId1" Type="http://schemas.openxmlformats.org/officeDocument/2006/relationships/hyperlink" Target="https://greatergiving.visualstudio.com/Greater%20Giving/_git/OnlineBidding/pullrequest/8625" TargetMode="External"/><Relationship Id="rId6" Type="http://schemas.openxmlformats.org/officeDocument/2006/relationships/table" Target="../tables/table22.xml"/><Relationship Id="rId5" Type="http://schemas.openxmlformats.org/officeDocument/2006/relationships/hyperlink" Target="https://greatergiving.visualstudio.com/Greater%20Giving/_git/OnlineBidding/pullrequest/8651" TargetMode="External"/><Relationship Id="rId4" Type="http://schemas.openxmlformats.org/officeDocument/2006/relationships/hyperlink" Target="https://greatergiving.visualstudio.com/Greater%20Giving/_git/OnlineBidding/pullrequest/8637" TargetMode="External"/></Relationships>
</file>

<file path=xl/worksheets/_rels/sheet47.xml.rels><?xml version="1.0" encoding="UTF-8" standalone="yes"?>
<Relationships xmlns="http://schemas.openxmlformats.org/package/2006/relationships"><Relationship Id="rId3" Type="http://schemas.openxmlformats.org/officeDocument/2006/relationships/table" Target="../tables/table23.xml"/><Relationship Id="rId2" Type="http://schemas.openxmlformats.org/officeDocument/2006/relationships/hyperlink" Target="https://greatergiving.visualstudio.com/Greater%20Giving/_git/OnlineBidding/pullrequest/8605" TargetMode="External"/><Relationship Id="rId1" Type="http://schemas.openxmlformats.org/officeDocument/2006/relationships/hyperlink" Target="https://greatergiving.visualstudio.com/Greater%20Giving/_git/OnlineBidding/pullrequest/8601" TargetMode="External"/></Relationships>
</file>

<file path=xl/worksheets/_rels/sheet49.xml.rels><?xml version="1.0" encoding="UTF-8" standalone="yes"?>
<Relationships xmlns="http://schemas.openxmlformats.org/package/2006/relationships"><Relationship Id="rId3" Type="http://schemas.openxmlformats.org/officeDocument/2006/relationships/hyperlink" Target="https://greatergiving.visualstudio.com/Greater%20Giving/_git/OnlineBidding/pullrequest/8588" TargetMode="External"/><Relationship Id="rId2" Type="http://schemas.openxmlformats.org/officeDocument/2006/relationships/hyperlink" Target="https://greatergiving.visualstudio.com/Greater%20Giving/_git/OnlineBidding/pullrequest/8574" TargetMode="External"/><Relationship Id="rId1" Type="http://schemas.openxmlformats.org/officeDocument/2006/relationships/hyperlink" Target="https://greatergiving.visualstudio.com/Greater%20Giving/_git/OnlineBidding/pullrequest/8560" TargetMode="External"/><Relationship Id="rId4" Type="http://schemas.openxmlformats.org/officeDocument/2006/relationships/table" Target="../tables/table24.xml"/></Relationships>
</file>

<file path=xl/worksheets/_rels/sheet51.xml.rels><?xml version="1.0" encoding="UTF-8" standalone="yes"?>
<Relationships xmlns="http://schemas.openxmlformats.org/package/2006/relationships"><Relationship Id="rId3" Type="http://schemas.openxmlformats.org/officeDocument/2006/relationships/table" Target="../tables/table25.xml"/><Relationship Id="rId2" Type="http://schemas.openxmlformats.org/officeDocument/2006/relationships/hyperlink" Target="https://greatergiving.visualstudio.com/Greater%20Giving/_git/OnlineBidding/pullrequest/8545" TargetMode="External"/><Relationship Id="rId1" Type="http://schemas.openxmlformats.org/officeDocument/2006/relationships/hyperlink" Target="https://greatergiving.visualstudio.com/Greater%20Giving/_git/OnlineBidding/pullrequest/8522" TargetMode="External"/></Relationships>
</file>

<file path=xl/worksheets/_rels/sheet53.xml.rels><?xml version="1.0" encoding="UTF-8" standalone="yes"?>
<Relationships xmlns="http://schemas.openxmlformats.org/package/2006/relationships"><Relationship Id="rId3" Type="http://schemas.openxmlformats.org/officeDocument/2006/relationships/hyperlink" Target="https://dev.azure.com/greatergiving/Greater%20Giving/_git/OP/pullrequest/8509" TargetMode="External"/><Relationship Id="rId2" Type="http://schemas.openxmlformats.org/officeDocument/2006/relationships/hyperlink" Target="https://dev.azure.com/greatergiving/Greater%20Giving/_git/OP/pullrequest/8501" TargetMode="External"/><Relationship Id="rId1" Type="http://schemas.openxmlformats.org/officeDocument/2006/relationships/hyperlink" Target="https://greatergiving.visualstudio.com/Greater%20Giving/_git/OnlineBidding/pullrequest/8480" TargetMode="External"/><Relationship Id="rId5" Type="http://schemas.openxmlformats.org/officeDocument/2006/relationships/table" Target="../tables/table26.xml"/><Relationship Id="rId4" Type="http://schemas.openxmlformats.org/officeDocument/2006/relationships/hyperlink" Target="https://dev.azure.com/greatergiving/Greater%20Giving/_git/OnlineBidding/pullrequest/8507" TargetMode="External"/></Relationships>
</file>

<file path=xl/worksheets/_rels/sheet55.xml.rels><?xml version="1.0" encoding="UTF-8" standalone="yes"?>
<Relationships xmlns="http://schemas.openxmlformats.org/package/2006/relationships"><Relationship Id="rId3" Type="http://schemas.openxmlformats.org/officeDocument/2006/relationships/hyperlink" Target="https://greatergiving.visualstudio.com/Greater%20Giving/_git/OnlineBidding/pullrequest/8471" TargetMode="External"/><Relationship Id="rId2" Type="http://schemas.openxmlformats.org/officeDocument/2006/relationships/hyperlink" Target="https://dev.azure.com/greatergiving/Greater%20Giving/_git/OnlineBidding/pullrequest/8467" TargetMode="External"/><Relationship Id="rId1" Type="http://schemas.openxmlformats.org/officeDocument/2006/relationships/hyperlink" Target="https://greatergiving.visualstudio.com/Greater%20Giving/_git/OnlineBidding/pullrequest/8439" TargetMode="External"/><Relationship Id="rId4" Type="http://schemas.openxmlformats.org/officeDocument/2006/relationships/table" Target="../tables/table27.xml"/></Relationships>
</file>

<file path=xl/worksheets/_rels/sheet57.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hyperlink" Target="https://greatergiving.visualstudio.com/Greater%20Giving/_git/OnlineBidding/pullrequest/8401" TargetMode="External"/><Relationship Id="rId1" Type="http://schemas.openxmlformats.org/officeDocument/2006/relationships/hyperlink" Target="https://dev.azure.com/greatergiving/Greater%20Giving/_git/OnlineBidding/pullrequest/8414" TargetMode="External"/></Relationships>
</file>

<file path=xl/worksheets/_rels/sheet59.xml.rels><?xml version="1.0" encoding="UTF-8" standalone="yes"?>
<Relationships xmlns="http://schemas.openxmlformats.org/package/2006/relationships"><Relationship Id="rId3" Type="http://schemas.openxmlformats.org/officeDocument/2006/relationships/hyperlink" Target="https://greatergiving.visualstudio.com/Greater%20Giving/_git/GGO/pullrequest/8384" TargetMode="External"/><Relationship Id="rId2" Type="http://schemas.openxmlformats.org/officeDocument/2006/relationships/hyperlink" Target="https://greatergiving.visualstudio.com/Greater%20Giving/_git/GGO/pullrequest/8381" TargetMode="External"/><Relationship Id="rId1" Type="http://schemas.openxmlformats.org/officeDocument/2006/relationships/hyperlink" Target="https://greatergiving.visualstudio.com/Greater%20Giving/_git/GGO/pullrequest/8378" TargetMode="External"/><Relationship Id="rId4" Type="http://schemas.openxmlformats.org/officeDocument/2006/relationships/table" Target="../tables/table29.xml"/></Relationships>
</file>

<file path=xl/worksheets/_rels/sheet61.xml.rels><?xml version="1.0" encoding="UTF-8" standalone="yes"?>
<Relationships xmlns="http://schemas.openxmlformats.org/package/2006/relationships"><Relationship Id="rId8" Type="http://schemas.openxmlformats.org/officeDocument/2006/relationships/table" Target="../tables/table30.xml"/><Relationship Id="rId3" Type="http://schemas.openxmlformats.org/officeDocument/2006/relationships/hyperlink" Target="https://greatergiving.visualstudio.com/Greater%20Giving/_git/GGO/pullrequest/8341" TargetMode="External"/><Relationship Id="rId7" Type="http://schemas.openxmlformats.org/officeDocument/2006/relationships/hyperlink" Target="https://greatergiving.visualstudio.com/Greater%20Giving/_git/OP/pullrequest/8310" TargetMode="External"/><Relationship Id="rId2" Type="http://schemas.openxmlformats.org/officeDocument/2006/relationships/hyperlink" Target="https://dev.azure.com/greatergiving/Greater%20Giving/_git/OnlineBidding/pullrequest/8346" TargetMode="External"/><Relationship Id="rId1" Type="http://schemas.openxmlformats.org/officeDocument/2006/relationships/hyperlink" Target="https://dev.azure.com/greatergiving/Greater%20Giving/_git/OP/pullrequest/8347" TargetMode="External"/><Relationship Id="rId6" Type="http://schemas.openxmlformats.org/officeDocument/2006/relationships/hyperlink" Target="https://greatergiving.visualstudio.com/Greater%20Giving/_git/GGO/pullrequest/8316" TargetMode="External"/><Relationship Id="rId5" Type="http://schemas.openxmlformats.org/officeDocument/2006/relationships/hyperlink" Target="https://dev.azure.com/greatergiving/Greater%20Giving/_git/GGO/pullrequest/8321" TargetMode="External"/><Relationship Id="rId4" Type="http://schemas.openxmlformats.org/officeDocument/2006/relationships/hyperlink" Target="https://greatergiving.visualstudio.com/Greater%20Giving/_git/GGO/pullrequest/8341" TargetMode="External"/></Relationships>
</file>

<file path=xl/worksheets/_rels/sheet63.xml.rels><?xml version="1.0" encoding="UTF-8" standalone="yes"?>
<Relationships xmlns="http://schemas.openxmlformats.org/package/2006/relationships"><Relationship Id="rId3" Type="http://schemas.openxmlformats.org/officeDocument/2006/relationships/table" Target="../tables/table31.xml"/><Relationship Id="rId2" Type="http://schemas.openxmlformats.org/officeDocument/2006/relationships/hyperlink" Target="https://greatergiving.visualstudio.com/Greater%20Giving/_git/OnlineBidding/pullrequest/8303" TargetMode="External"/><Relationship Id="rId1" Type="http://schemas.openxmlformats.org/officeDocument/2006/relationships/hyperlink" Target="https://greatergiving.visualstudio.com/Greater%20Giving/_git/OnlineBidding/pullrequest/8295" TargetMode="External"/></Relationships>
</file>

<file path=xl/worksheets/_rels/sheet65.xml.rels><?xml version="1.0" encoding="UTF-8" standalone="yes"?>
<Relationships xmlns="http://schemas.openxmlformats.org/package/2006/relationships"><Relationship Id="rId3" Type="http://schemas.openxmlformats.org/officeDocument/2006/relationships/hyperlink" Target="https://greatergiving.visualstudio.com/Greater%20Giving/_git/OP/pullrequest/8258" TargetMode="External"/><Relationship Id="rId2" Type="http://schemas.openxmlformats.org/officeDocument/2006/relationships/hyperlink" Target="https://greatergiving.visualstudio.com/Greater%20Giving/_git/OP/pullrequest/8245" TargetMode="External"/><Relationship Id="rId1" Type="http://schemas.openxmlformats.org/officeDocument/2006/relationships/hyperlink" Target="https://greatergiving.visualstudio.com/Greater%20Giving/_git/OP/pullrequest/8235" TargetMode="External"/><Relationship Id="rId4" Type="http://schemas.openxmlformats.org/officeDocument/2006/relationships/table" Target="../tables/table32.xml"/></Relationships>
</file>

<file path=xl/worksheets/_rels/sheet67.xml.rels><?xml version="1.0" encoding="UTF-8" standalone="yes"?>
<Relationships xmlns="http://schemas.openxmlformats.org/package/2006/relationships"><Relationship Id="rId3" Type="http://schemas.openxmlformats.org/officeDocument/2006/relationships/table" Target="../tables/table33.xml"/><Relationship Id="rId2" Type="http://schemas.openxmlformats.org/officeDocument/2006/relationships/hyperlink" Target="https://greatergiving.visualstudio.com/Greater%20Giving/_git/OP/pullrequest/8225" TargetMode="External"/><Relationship Id="rId1" Type="http://schemas.openxmlformats.org/officeDocument/2006/relationships/hyperlink" Target="https://greatergiving.visualstudio.com/Greater%20Giving/_git/OP/pullrequest/8213" TargetMode="External"/></Relationships>
</file>

<file path=xl/worksheets/_rels/sheet69.xml.rels><?xml version="1.0" encoding="UTF-8" standalone="yes"?>
<Relationships xmlns="http://schemas.openxmlformats.org/package/2006/relationships"><Relationship Id="rId1" Type="http://schemas.openxmlformats.org/officeDocument/2006/relationships/table" Target="../tables/table34.xml"/></Relationships>
</file>

<file path=xl/worksheets/_rels/sheet71.xml.rels><?xml version="1.0" encoding="UTF-8" standalone="yes"?>
<Relationships xmlns="http://schemas.openxmlformats.org/package/2006/relationships"><Relationship Id="rId3" Type="http://schemas.openxmlformats.org/officeDocument/2006/relationships/hyperlink" Target="https://greatergiving.visualstudio.com/Greater%20Giving/_git/OnlineBidding/pullrequest/8146" TargetMode="External"/><Relationship Id="rId2" Type="http://schemas.openxmlformats.org/officeDocument/2006/relationships/hyperlink" Target="https://greatergiving.visualstudio.com/Greater%20Giving/_git/OnlineBidding/pullrequest/8138" TargetMode="External"/><Relationship Id="rId1" Type="http://schemas.openxmlformats.org/officeDocument/2006/relationships/hyperlink" Target="https://greatergiving.visualstudio.com/Greater%20Giving/_git/OP/pullrequest/8122" TargetMode="External"/><Relationship Id="rId6" Type="http://schemas.openxmlformats.org/officeDocument/2006/relationships/table" Target="../tables/table35.xml"/><Relationship Id="rId5" Type="http://schemas.openxmlformats.org/officeDocument/2006/relationships/hyperlink" Target="https://greatergiving.visualstudio.com/Greater%20Giving/_git/OP/pullrequest/8139" TargetMode="External"/><Relationship Id="rId4" Type="http://schemas.openxmlformats.org/officeDocument/2006/relationships/hyperlink" Target="https://greatergiving.visualstudio.com/Greater%20Giving/_git/OnlineBidding/pullrequest/8140" TargetMode="External"/></Relationships>
</file>

<file path=xl/worksheets/_rels/sheet73.xml.rels><?xml version="1.0" encoding="UTF-8" standalone="yes"?>
<Relationships xmlns="http://schemas.openxmlformats.org/package/2006/relationships"><Relationship Id="rId8" Type="http://schemas.openxmlformats.org/officeDocument/2006/relationships/hyperlink" Target="https://dev.azure.com/greatergiving/Greater%20Giving/_git/OP/pullrequest/8069" TargetMode="External"/><Relationship Id="rId3" Type="http://schemas.openxmlformats.org/officeDocument/2006/relationships/hyperlink" Target="https://greatergiving.visualstudio.com/Greater%20Giving/_git/GGO/pullrequest/8067" TargetMode="External"/><Relationship Id="rId7" Type="http://schemas.openxmlformats.org/officeDocument/2006/relationships/hyperlink" Target="https://greatergiving.visualstudio.com/Greater%20Giving/_git/OP/pullrequest/8094" TargetMode="External"/><Relationship Id="rId2" Type="http://schemas.openxmlformats.org/officeDocument/2006/relationships/hyperlink" Target="https://greatergiving.visualstudio.com/Greater%20Giving/_git/OP/pullrequest/8061" TargetMode="External"/><Relationship Id="rId1" Type="http://schemas.openxmlformats.org/officeDocument/2006/relationships/hyperlink" Target="https://greatergiving.visualstudio.com/Greater%20Giving/_git/GGO/pullrequest/8066" TargetMode="External"/><Relationship Id="rId6" Type="http://schemas.openxmlformats.org/officeDocument/2006/relationships/hyperlink" Target="https://greatergiving.visualstudio.com/Greater%20Giving/_git/OP/pullrequest/8095" TargetMode="External"/><Relationship Id="rId5" Type="http://schemas.openxmlformats.org/officeDocument/2006/relationships/hyperlink" Target="https://greatergiving.visualstudio.com/Greater%20Giving/_git/OP/pullrequest/8081" TargetMode="External"/><Relationship Id="rId4" Type="http://schemas.openxmlformats.org/officeDocument/2006/relationships/hyperlink" Target="https://dev.azure.com/greatergiving/Greater%20Giving/_git/OP/pullrequest/8055" TargetMode="External"/><Relationship Id="rId9" Type="http://schemas.openxmlformats.org/officeDocument/2006/relationships/table" Target="../tables/table36.xml"/></Relationships>
</file>

<file path=xl/worksheets/_rels/sheet75.xml.rels><?xml version="1.0" encoding="UTF-8" standalone="yes"?>
<Relationships xmlns="http://schemas.openxmlformats.org/package/2006/relationships"><Relationship Id="rId8" Type="http://schemas.openxmlformats.org/officeDocument/2006/relationships/hyperlink" Target="https://greatergiving.visualstudio.com/Greater%20Giving/_git/GGO/pullrequest/8043" TargetMode="External"/><Relationship Id="rId3" Type="http://schemas.openxmlformats.org/officeDocument/2006/relationships/hyperlink" Target="https://greatergiving.visualstudio.com/Greater%20Giving/_git/GGO/pullrequest/8045" TargetMode="External"/><Relationship Id="rId7" Type="http://schemas.openxmlformats.org/officeDocument/2006/relationships/hyperlink" Target="https://greatergiving.visualstudio.com/Greater%20Giving/_git/GGO/pullrequest/8034" TargetMode="External"/><Relationship Id="rId2" Type="http://schemas.openxmlformats.org/officeDocument/2006/relationships/hyperlink" Target="https://greatergiving.visualstudio.com/Greater%20Giving/_git/GGO/pullrequest/8041" TargetMode="External"/><Relationship Id="rId1" Type="http://schemas.openxmlformats.org/officeDocument/2006/relationships/hyperlink" Target="https://greatergiving.visualstudio.com/Greater%20Giving/_git/OP/pullrequest/8029" TargetMode="External"/><Relationship Id="rId6" Type="http://schemas.openxmlformats.org/officeDocument/2006/relationships/hyperlink" Target="https://greatergiving.visualstudio.com/Greater%20Giving/_git/OP/commit/f39dbc0dd3abf9e863e476ef69e1fea07c8019ce?refName=refs/heads/OP/OP-2671-Macroscope-Critical-Insecure-Mail-Transport-Transmission(448262088" TargetMode="External"/><Relationship Id="rId5" Type="http://schemas.openxmlformats.org/officeDocument/2006/relationships/hyperlink" Target="https://greatergiving.visualstudio.com/Greater%20Giving/_git/OP/commit/f5b87b868381a64e6dca17e8bac2e0484d8c6b03?refName=refs/heads/OP/OP-2672-Macroscope-High-Model-with-Non-Nullable-Property(448262077" TargetMode="External"/><Relationship Id="rId4" Type="http://schemas.openxmlformats.org/officeDocument/2006/relationships/hyperlink" Target="https://greatergiving.visualstudio.com/Greater%20Giving/_git/GGO/pullrequest/8047" TargetMode="External"/><Relationship Id="rId9" Type="http://schemas.openxmlformats.org/officeDocument/2006/relationships/table" Target="../tables/table37.xml"/></Relationships>
</file>

<file path=xl/worksheets/_rels/sheet77.xml.rels><?xml version="1.0" encoding="UTF-8" standalone="yes"?>
<Relationships xmlns="http://schemas.openxmlformats.org/package/2006/relationships"><Relationship Id="rId3" Type="http://schemas.openxmlformats.org/officeDocument/2006/relationships/hyperlink" Target="https://greatergiving.visualstudio.com/Greater%20Giving/_git/OP/pullrequest/7975" TargetMode="External"/><Relationship Id="rId7" Type="http://schemas.openxmlformats.org/officeDocument/2006/relationships/table" Target="../tables/table38.xml"/><Relationship Id="rId2" Type="http://schemas.openxmlformats.org/officeDocument/2006/relationships/hyperlink" Target="https://greatergiving.visualstudio.com/Greater%20Giving/_git/GGO/pullrequest/7977" TargetMode="External"/><Relationship Id="rId1" Type="http://schemas.openxmlformats.org/officeDocument/2006/relationships/hyperlink" Target="https://greatergiving.visualstudio.com/Greater%20Giving/_git/OP/pullrequest/7974" TargetMode="External"/><Relationship Id="rId6" Type="http://schemas.openxmlformats.org/officeDocument/2006/relationships/hyperlink" Target="https://greatergiving.visualstudio.com/Greater%20Giving/_git/GGO/pullrequest/8006" TargetMode="External"/><Relationship Id="rId5" Type="http://schemas.openxmlformats.org/officeDocument/2006/relationships/hyperlink" Target="https://greatergiving.visualstudio.com/Greater%20Giving/_git/GGO/pullrequest/7982" TargetMode="External"/><Relationship Id="rId4" Type="http://schemas.openxmlformats.org/officeDocument/2006/relationships/hyperlink" Target="https://greatergiving.visualstudio.com/Greater%20Giving/_git/GGO/pullrequest/8001" TargetMode="External"/></Relationships>
</file>

<file path=xl/worksheets/_rels/sheet79.xml.rels><?xml version="1.0" encoding="UTF-8" standalone="yes"?>
<Relationships xmlns="http://schemas.openxmlformats.org/package/2006/relationships"><Relationship Id="rId3" Type="http://schemas.openxmlformats.org/officeDocument/2006/relationships/hyperlink" Target="https://greatergiving.visualstudio.com/Greater%20Giving/_git/OP/pullrequest/7965" TargetMode="External"/><Relationship Id="rId2" Type="http://schemas.openxmlformats.org/officeDocument/2006/relationships/hyperlink" Target="https://greatergiving.visualstudio.com/Greater%20Giving/_git/OP/pullrequest/7954" TargetMode="External"/><Relationship Id="rId1" Type="http://schemas.openxmlformats.org/officeDocument/2006/relationships/hyperlink" Target="https://greatergiving.visualstudio.com/Greater%20Giving/_git/OP/pullrequest/7932" TargetMode="External"/><Relationship Id="rId4" Type="http://schemas.openxmlformats.org/officeDocument/2006/relationships/hyperlink" Target="https://greatergiving.visualstudio.com/Greater%20Giving/_git/OnlineBidding/pullrequest/7960" TargetMode="External"/></Relationships>
</file>

<file path=xl/worksheets/_rels/sheet81.xml.rels><?xml version="1.0" encoding="UTF-8" standalone="yes"?>
<Relationships xmlns="http://schemas.openxmlformats.org/package/2006/relationships"><Relationship Id="rId3" Type="http://schemas.openxmlformats.org/officeDocument/2006/relationships/hyperlink" Target="https://greatergiving.visualstudio.com/Greater%20Giving/_git/OP/pullrequest/7904" TargetMode="External"/><Relationship Id="rId2" Type="http://schemas.openxmlformats.org/officeDocument/2006/relationships/hyperlink" Target="https://greatergiving.visualstudio.com/Greater%20Giving/_git/GGO/pullrequest/7898" TargetMode="External"/><Relationship Id="rId1" Type="http://schemas.openxmlformats.org/officeDocument/2006/relationships/hyperlink" Target="https://greatergiving.visualstudio.com/Greater%20Giving/_git/GGO/pullrequest/7895" TargetMode="External"/><Relationship Id="rId6" Type="http://schemas.openxmlformats.org/officeDocument/2006/relationships/hyperlink" Target="https://greatergiving.visualstudio.com/Greater%20Giving/_git/GGO/pullrequest/7912" TargetMode="External"/><Relationship Id="rId5" Type="http://schemas.openxmlformats.org/officeDocument/2006/relationships/hyperlink" Target="https://greatergiving.visualstudio.com/Greater%20Giving/_git/GGO/pullrequest/7914" TargetMode="External"/><Relationship Id="rId4" Type="http://schemas.openxmlformats.org/officeDocument/2006/relationships/hyperlink" Target="https://greatergiving.visualstudio.com/Greater%20Giving/_git/GGO/pullrequest/7905" TargetMode="External"/></Relationships>
</file>

<file path=xl/worksheets/_rels/sheet83.xml.rels><?xml version="1.0" encoding="UTF-8" standalone="yes"?>
<Relationships xmlns="http://schemas.openxmlformats.org/package/2006/relationships"><Relationship Id="rId3" Type="http://schemas.openxmlformats.org/officeDocument/2006/relationships/hyperlink" Target="https://greatergiving.visualstudio.com/Greater%20Giving/_git/GGO/pullrequest/7876" TargetMode="External"/><Relationship Id="rId2" Type="http://schemas.openxmlformats.org/officeDocument/2006/relationships/hyperlink" Target="https://greatergiving.visualstudio.com/Greater%20Giving/_git/OP/pullrequest/7875" TargetMode="External"/><Relationship Id="rId1" Type="http://schemas.openxmlformats.org/officeDocument/2006/relationships/hyperlink" Target="https://greatergiving.visualstudio.com/Greater%20Giving/_git/OP/pullrequest/7875" TargetMode="External"/><Relationship Id="rId5" Type="http://schemas.openxmlformats.org/officeDocument/2006/relationships/hyperlink" Target="https://greatergiving.visualstudio.com/Greater%20Giving/_git/GGO/pullrequest/7854" TargetMode="External"/><Relationship Id="rId4" Type="http://schemas.openxmlformats.org/officeDocument/2006/relationships/hyperlink" Target="https://greatergiving.visualstudio.com/Greater%20Giving/_git/GGO/pullrequest/7853" TargetMode="External"/></Relationships>
</file>

<file path=xl/worksheets/_rels/sheet85.xml.rels><?xml version="1.0" encoding="UTF-8" standalone="yes"?>
<Relationships xmlns="http://schemas.openxmlformats.org/package/2006/relationships"><Relationship Id="rId3" Type="http://schemas.openxmlformats.org/officeDocument/2006/relationships/hyperlink" Target="https://greatergiving.atlassian.net/browse/OP-2604" TargetMode="External"/><Relationship Id="rId2" Type="http://schemas.openxmlformats.org/officeDocument/2006/relationships/hyperlink" Target="https://greatergiving.visualstudio.com/Greater%20Giving/_git/GGO/pullrequest/7829" TargetMode="External"/><Relationship Id="rId1" Type="http://schemas.openxmlformats.org/officeDocument/2006/relationships/hyperlink" Target="https://greatergiving.visualstudio.com/Greater%20Giving/_git/GGO/pullrequest/7823" TargetMode="External"/><Relationship Id="rId5" Type="http://schemas.openxmlformats.org/officeDocument/2006/relationships/hyperlink" Target="https://greatergiving.visualstudio.com/Greater%20Giving/_git/GGO/pullrequest/7843" TargetMode="External"/><Relationship Id="rId4" Type="http://schemas.openxmlformats.org/officeDocument/2006/relationships/hyperlink" Target="https://greatergiving.visualstudio.com/Greater%20Giving/_git/GGO/pullrequest/7836" TargetMode="External"/></Relationships>
</file>

<file path=xl/worksheets/_rels/sheet87.xml.rels><?xml version="1.0" encoding="UTF-8" standalone="yes"?>
<Relationships xmlns="http://schemas.openxmlformats.org/package/2006/relationships"><Relationship Id="rId3" Type="http://schemas.openxmlformats.org/officeDocument/2006/relationships/hyperlink" Target="https://greatergiving.visualstudio.com/Greater%20Giving/_git/GGO/pullrequest/7797" TargetMode="External"/><Relationship Id="rId2" Type="http://schemas.openxmlformats.org/officeDocument/2006/relationships/hyperlink" Target="https://greatergiving.visualstudio.com/Greater%20Giving/_git/GGO/pullrequest/7792" TargetMode="External"/><Relationship Id="rId1" Type="http://schemas.openxmlformats.org/officeDocument/2006/relationships/hyperlink" Target="https://greatergiving.visualstudio.com/Greater%20Giving/_git/GGO/pullrequest/7790" TargetMode="External"/><Relationship Id="rId4" Type="http://schemas.openxmlformats.org/officeDocument/2006/relationships/hyperlink" Target="https://greatergiving.visualstudio.com/Greater%20Giving/_git/GGO/pullrequest/7803" TargetMode="External"/></Relationships>
</file>

<file path=xl/worksheets/_rels/sheet90.xml.rels><?xml version="1.0" encoding="UTF-8" standalone="yes"?>
<Relationships xmlns="http://schemas.openxmlformats.org/package/2006/relationships"><Relationship Id="rId3" Type="http://schemas.openxmlformats.org/officeDocument/2006/relationships/hyperlink" Target="https://greatergiving.visualstudio.com/Greater%20Giving/_git/OnlineBidding/pullrequest/7752?path=/GreaterGivingTokyo/OnlineBiddingDatabase/Programmable%20Objects/Stored%20Procedures/sp_GetBidders.sql" TargetMode="External"/><Relationship Id="rId2" Type="http://schemas.openxmlformats.org/officeDocument/2006/relationships/hyperlink" Target="https://greatergiving.visualstudio.com/Greater%20Giving/_git/OnlineBidding/pullrequest/7752?path=/GreaterGivingTokyo/OnlineBiddingDatabase/Programmable%20Objects/Stored%20Procedures/sp_GetBidders.sql" TargetMode="External"/><Relationship Id="rId1" Type="http://schemas.openxmlformats.org/officeDocument/2006/relationships/hyperlink" Target="https://greatergiving.visualstudio.com/Greater%20Giving/_git/OnlineBidding/pullrequest/7752?path=/GreaterGivingTokyo/OnlineBiddingDatabase/Programmable%20Objects/Stored%20Procedures/sp_GetBidders.sql" TargetMode="External"/></Relationships>
</file>

<file path=xl/worksheets/_rels/sheet91.xml.rels><?xml version="1.0" encoding="UTF-8" standalone="yes"?>
<Relationships xmlns="http://schemas.openxmlformats.org/package/2006/relationships"><Relationship Id="rId3" Type="http://schemas.openxmlformats.org/officeDocument/2006/relationships/hyperlink" Target="https://greatergiving.visualstudio.com/Greater%20Giving/_git/OnlineBidding/pullrequest/7772" TargetMode="External"/><Relationship Id="rId2" Type="http://schemas.openxmlformats.org/officeDocument/2006/relationships/hyperlink" Target="https://greatergiving.visualstudio.com/Greater%20Giving/_git/OnlineBidding/pullrequest/7751" TargetMode="External"/><Relationship Id="rId1" Type="http://schemas.openxmlformats.org/officeDocument/2006/relationships/hyperlink" Target="https://greatergiving.visualstudio.com/Greater%20Giving/_git/OnlineBidding/pullrequest/7752?path=/GreaterGivingTokyo/OnlineBiddingDatabase/Programmable%20Objects/Stored%20Procedures/sp_GetBidders.sql" TargetMode="External"/></Relationships>
</file>

<file path=xl/worksheets/_rels/sheet93.xml.rels><?xml version="1.0" encoding="UTF-8" standalone="yes"?>
<Relationships xmlns="http://schemas.openxmlformats.org/package/2006/relationships"><Relationship Id="rId3" Type="http://schemas.openxmlformats.org/officeDocument/2006/relationships/hyperlink" Target="https://greatergiving.visualstudio.com/Greater%20Giving/_git/OnlineBidding/pullrequest/7716" TargetMode="External"/><Relationship Id="rId7" Type="http://schemas.openxmlformats.org/officeDocument/2006/relationships/hyperlink" Target="https://greatergiving.visualstudio.com/Greater%20Giving/_git/OP/pullrequest/7731" TargetMode="External"/><Relationship Id="rId2" Type="http://schemas.openxmlformats.org/officeDocument/2006/relationships/hyperlink" Target="https://greatergiving.visualstudio.com/Greater%20Giving/_git/OnlineBidding/pullrequest/7713" TargetMode="External"/><Relationship Id="rId1" Type="http://schemas.openxmlformats.org/officeDocument/2006/relationships/hyperlink" Target="https://greatergiving.visualstudio.com/Greater%20Giving/_git/OnlineBidding/pullrequest/7713" TargetMode="External"/><Relationship Id="rId6" Type="http://schemas.openxmlformats.org/officeDocument/2006/relationships/hyperlink" Target="https://greatergiving.visualstudio.com/Greater%20Giving/_git/OP/pullrequest/7729" TargetMode="External"/><Relationship Id="rId5" Type="http://schemas.openxmlformats.org/officeDocument/2006/relationships/hyperlink" Target="https://greatergiving.visualstudio.com/Greater%20Giving/_git/OnlineBidding/pullrequest/7724" TargetMode="External"/><Relationship Id="rId4" Type="http://schemas.openxmlformats.org/officeDocument/2006/relationships/hyperlink" Target="https://greatergiving.visualstudio.com/Greater%20Giving/_git/OnlineBidding/pullrequest/7710" TargetMode="External"/></Relationships>
</file>

<file path=xl/worksheets/_rels/sheet95.xml.rels><?xml version="1.0" encoding="UTF-8" standalone="yes"?>
<Relationships xmlns="http://schemas.openxmlformats.org/package/2006/relationships"><Relationship Id="rId3" Type="http://schemas.openxmlformats.org/officeDocument/2006/relationships/hyperlink" Target="https://greatergiving.visualstudio.com/Greater%20Giving/_git/OnlineBidding/pullrequest/7690" TargetMode="External"/><Relationship Id="rId7" Type="http://schemas.openxmlformats.org/officeDocument/2006/relationships/hyperlink" Target="https://greatergiving.visualstudio.com/Greater%20Giving/_git/OP/pullrequest/7696" TargetMode="External"/><Relationship Id="rId2" Type="http://schemas.openxmlformats.org/officeDocument/2006/relationships/hyperlink" Target="https://greatergiving.visualstudio.com/Greater%20Giving/_git/OnlineBidding/pullrequest/7687" TargetMode="External"/><Relationship Id="rId1" Type="http://schemas.openxmlformats.org/officeDocument/2006/relationships/hyperlink" Target="https://greatergiving.visualstudio.com/Greater%20Giving/_git/OP/pullrequest/7666" TargetMode="External"/><Relationship Id="rId6" Type="http://schemas.openxmlformats.org/officeDocument/2006/relationships/hyperlink" Target="https://greatergiving.visualstudio.com/Greater%20Giving/_git/OnlineBidding/pullrequest/7699" TargetMode="External"/><Relationship Id="rId5" Type="http://schemas.openxmlformats.org/officeDocument/2006/relationships/hyperlink" Target="https://greatergiving.visualstudio.com/Greater%20Giving/_git/OnlineBidding/pullrequest/7703" TargetMode="External"/><Relationship Id="rId4" Type="http://schemas.openxmlformats.org/officeDocument/2006/relationships/hyperlink" Target="https://greatergiving.visualstudio.com/Greater%20Giving/_git/OnlineBidding/pullrequest/7693" TargetMode="External"/></Relationships>
</file>

<file path=xl/worksheets/_rels/sheet96.xml.rels><?xml version="1.0" encoding="UTF-8" standalone="yes"?>
<Relationships xmlns="http://schemas.openxmlformats.org/package/2006/relationships"><Relationship Id="rId2" Type="http://schemas.openxmlformats.org/officeDocument/2006/relationships/hyperlink" Target="https://greatergiving.visualstudio.com/Greater%20Giving/_git/OP/pullrequest/7666" TargetMode="External"/><Relationship Id="rId1" Type="http://schemas.openxmlformats.org/officeDocument/2006/relationships/hyperlink" Target="https://greatergiving.visualstudio.com/Greater%20Giving/_git/OP/pullrequest/7646" TargetMode="External"/></Relationships>
</file>

<file path=xl/worksheets/_rels/sheet99.xml.rels><?xml version="1.0" encoding="UTF-8" standalone="yes"?>
<Relationships xmlns="http://schemas.openxmlformats.org/package/2006/relationships"><Relationship Id="rId2" Type="http://schemas.openxmlformats.org/officeDocument/2006/relationships/hyperlink" Target="https://greatergiving.visualstudio.com/Greater%20Giving/_git/OP/pullrequest/7621" TargetMode="External"/><Relationship Id="rId1" Type="http://schemas.openxmlformats.org/officeDocument/2006/relationships/hyperlink" Target="https://greatergiving.visualstudio.com/Greater%20Giving/_git/OP/pullrequest/7618" TargetMode="External"/></Relationships>
</file>

<file path=xl/worksheets/_rels/sheet101.xml.rels><?xml version="1.0" encoding="UTF-8" standalone="yes"?>
<Relationships xmlns="http://schemas.openxmlformats.org/package/2006/relationships"><Relationship Id="rId3" Type="http://schemas.openxmlformats.org/officeDocument/2006/relationships/hyperlink" Target="https://greatergiving.visualstudio.com/Greater%20Giving/_git/OP/pullrequest/7591" TargetMode="External"/><Relationship Id="rId2" Type="http://schemas.openxmlformats.org/officeDocument/2006/relationships/hyperlink" Target="https://greatergiving.visualstudio.com/Greater%20Giving/_git/OP/pullrequest/7591" TargetMode="External"/><Relationship Id="rId1" Type="http://schemas.openxmlformats.org/officeDocument/2006/relationships/hyperlink" Target="https://greatergiving.visualstudio.com/Greater%20Giving/_git/OP/pullrequest/7597?_a=files" TargetMode="External"/></Relationships>
</file>

<file path=xl/worksheets/_rels/sheet103.xml.rels><?xml version="1.0" encoding="UTF-8" standalone="yes"?>
<Relationships xmlns="http://schemas.openxmlformats.org/package/2006/relationships"><Relationship Id="rId1" Type="http://schemas.openxmlformats.org/officeDocument/2006/relationships/hyperlink" Target="https://greatergiving.visualstudio.com/Greater%20Giving/_git/OP/pullrequest/7546" TargetMode="External"/></Relationships>
</file>

<file path=xl/worksheets/_rels/sheet106.xml.rels><?xml version="1.0" encoding="UTF-8" standalone="yes"?>
<Relationships xmlns="http://schemas.openxmlformats.org/package/2006/relationships"><Relationship Id="rId3" Type="http://schemas.openxmlformats.org/officeDocument/2006/relationships/hyperlink" Target="https://greatergiving.visualstudio.com/Greater%20Giving/_git/OnlineBidding/pullrequest/7536" TargetMode="External"/><Relationship Id="rId2" Type="http://schemas.openxmlformats.org/officeDocument/2006/relationships/hyperlink" Target="https://greatergiving.visualstudio.com/Greater%20Giving/_git/OnlineBidding/pullrequest/7502" TargetMode="External"/><Relationship Id="rId1" Type="http://schemas.openxmlformats.org/officeDocument/2006/relationships/hyperlink" Target="https://greatergiving.visualstudio.com/Greater%20Giving/_git/OP/pullrequest/7510" TargetMode="External"/></Relationships>
</file>

<file path=xl/worksheets/_rels/sheet107.xml.rels><?xml version="1.0" encoding="UTF-8" standalone="yes"?>
<Relationships xmlns="http://schemas.openxmlformats.org/package/2006/relationships"><Relationship Id="rId3" Type="http://schemas.openxmlformats.org/officeDocument/2006/relationships/hyperlink" Target="https://greatergiving.visualstudio.com/Greater%20Giving/_git/OnlineBidding/pullrequest/7502" TargetMode="External"/><Relationship Id="rId2" Type="http://schemas.openxmlformats.org/officeDocument/2006/relationships/hyperlink" Target="https://greatergiving.visualstudio.com/Greater%20Giving/_git/OP/pullrequest/7503" TargetMode="External"/><Relationship Id="rId1" Type="http://schemas.openxmlformats.org/officeDocument/2006/relationships/hyperlink" Target="https://greatergiving.visualstudio.com/Greater%20Giving/_git/OnlineBidding/pullrequest/7431" TargetMode="External"/></Relationships>
</file>

<file path=xl/worksheets/_rels/sheet110.xml.rels><?xml version="1.0" encoding="UTF-8" standalone="yes"?>
<Relationships xmlns="http://schemas.openxmlformats.org/package/2006/relationships"><Relationship Id="rId3" Type="http://schemas.openxmlformats.org/officeDocument/2006/relationships/hyperlink" Target="https://greatergiving.visualstudio.com/Greater%20Giving/_git/OP/pullrequest/7451" TargetMode="External"/><Relationship Id="rId2" Type="http://schemas.openxmlformats.org/officeDocument/2006/relationships/hyperlink" Target="https://greatergiving.visualstudio.com/Greater%20Giving/_git/OP/pullrequest/7450" TargetMode="External"/><Relationship Id="rId1" Type="http://schemas.openxmlformats.org/officeDocument/2006/relationships/hyperlink" Target="https://greatergiving.visualstudio.com/Greater%20Giving/_git/OP/pullrequest/7451" TargetMode="External"/></Relationships>
</file>

<file path=xl/worksheets/_rels/sheet112.xml.rels><?xml version="1.0" encoding="UTF-8" standalone="yes"?>
<Relationships xmlns="http://schemas.openxmlformats.org/package/2006/relationships"><Relationship Id="rId3" Type="http://schemas.openxmlformats.org/officeDocument/2006/relationships/hyperlink" Target="https://greatergiving.visualstudio.com/Greater%20Giving/_git/OnlineBidding/pullrequest/7431" TargetMode="External"/><Relationship Id="rId2" Type="http://schemas.openxmlformats.org/officeDocument/2006/relationships/hyperlink" Target="https://greatergiving.visualstudio.com/Greater%20Giving/_git/OnlineBidding/pullrequest/7400" TargetMode="External"/><Relationship Id="rId1" Type="http://schemas.openxmlformats.org/officeDocument/2006/relationships/hyperlink" Target="https://greatergiving.visualstudio.com/Greater%20Giving/_git/OnlineBidding/pullrequest/7396" TargetMode="External"/></Relationships>
</file>

<file path=xl/worksheets/_rels/sheet114.xml.rels><?xml version="1.0" encoding="UTF-8" standalone="yes"?>
<Relationships xmlns="http://schemas.openxmlformats.org/package/2006/relationships"><Relationship Id="rId2" Type="http://schemas.openxmlformats.org/officeDocument/2006/relationships/hyperlink" Target="https://greatergiving.visualstudio.com/Greater%20Giving/_git/OnlineBidding/pullrequest/7353" TargetMode="External"/><Relationship Id="rId1" Type="http://schemas.openxmlformats.org/officeDocument/2006/relationships/hyperlink" Target="https://greatergiving.visualstudio.com/Greater%20Giving/_git/OnlineBidding/pullrequest/7367" TargetMode="External"/></Relationships>
</file>

<file path=xl/worksheets/_rels/sheet115.xml.rels><?xml version="1.0" encoding="UTF-8" standalone="yes"?>
<Relationships xmlns="http://schemas.openxmlformats.org/package/2006/relationships"><Relationship Id="rId3" Type="http://schemas.openxmlformats.org/officeDocument/2006/relationships/hyperlink" Target="https://greatergiving.visualstudio.com/Greater%20Giving/_git/OnlineBidding/pullrequest/7322" TargetMode="External"/><Relationship Id="rId2" Type="http://schemas.openxmlformats.org/officeDocument/2006/relationships/hyperlink" Target="https://greatergiving.visualstudio.com/Greater%20Giving/_git/OnlineBidding/pullrequest/7331" TargetMode="External"/><Relationship Id="rId1" Type="http://schemas.openxmlformats.org/officeDocument/2006/relationships/hyperlink" Target="https://greatergiving.visualstudio.com/Greater%20Giving/_git/OnlineBidding/pullrequest/7329" TargetMode="External"/></Relationships>
</file>

<file path=xl/worksheets/_rels/sheet119.xml.rels><?xml version="1.0" encoding="UTF-8" standalone="yes"?>
<Relationships xmlns="http://schemas.openxmlformats.org/package/2006/relationships"><Relationship Id="rId3" Type="http://schemas.openxmlformats.org/officeDocument/2006/relationships/hyperlink" Target="https://greatergiving.visualstudio.com/Greater%20Giving/_git/OnlineBidding/pullrequest/7296" TargetMode="External"/><Relationship Id="rId2" Type="http://schemas.openxmlformats.org/officeDocument/2006/relationships/hyperlink" Target="https://greatergiving.visualstudio.com/Greater%20Giving/_git/OnlineBidding/pullrequest/7238" TargetMode="External"/><Relationship Id="rId1" Type="http://schemas.openxmlformats.org/officeDocument/2006/relationships/hyperlink" Target="https://greatergiving.visualstudio.com/Greater%20Giving/_git/OnlineBidding/pullrequest/7230" TargetMode="External"/><Relationship Id="rId5" Type="http://schemas.openxmlformats.org/officeDocument/2006/relationships/hyperlink" Target="https://greatergiving.visualstudio.com/Greater%20Giving/_git/OnlineBidding/pullrequest/7303" TargetMode="External"/><Relationship Id="rId4" Type="http://schemas.openxmlformats.org/officeDocument/2006/relationships/hyperlink" Target="https://greatergiving.visualstudio.com/Greater%20Giving/_git/OnlineBidding/pullrequest/7311" TargetMode="External"/></Relationships>
</file>

<file path=xl/worksheets/_rels/sheet122.xml.rels><?xml version="1.0" encoding="UTF-8" standalone="yes"?>
<Relationships xmlns="http://schemas.openxmlformats.org/package/2006/relationships"><Relationship Id="rId3" Type="http://schemas.openxmlformats.org/officeDocument/2006/relationships/hyperlink" Target="https://greatergiving.visualstudio.com/Greater%20Giving/_git/OnlineBidding/pullrequest/7144" TargetMode="External"/><Relationship Id="rId2" Type="http://schemas.openxmlformats.org/officeDocument/2006/relationships/hyperlink" Target="https://greatergiving.visualstudio.com/Greater%20Giving/_git/OnlineBidding/pullrequest/7149" TargetMode="External"/><Relationship Id="rId1" Type="http://schemas.openxmlformats.org/officeDocument/2006/relationships/hyperlink" Target="https://greatergiving.visualstudio.com/Greater%20Giving/_git/OnlineBidding/pullrequest/7227" TargetMode="External"/><Relationship Id="rId6" Type="http://schemas.openxmlformats.org/officeDocument/2006/relationships/hyperlink" Target="https://greatergiving.visualstudio.com/Greater%20Giving/_git/OnlineBidding/pullrequest/7235" TargetMode="External"/><Relationship Id="rId5" Type="http://schemas.openxmlformats.org/officeDocument/2006/relationships/hyperlink" Target="https://greatergiving.visualstudio.com/Greater%20Giving/_git/OnlineBidding/pullrequest/7226" TargetMode="External"/><Relationship Id="rId4" Type="http://schemas.openxmlformats.org/officeDocument/2006/relationships/hyperlink" Target="https://greatergiving.visualstudio.com/Greater%20Giving/_git/OnlineBidding/pullrequest/722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C1005"/>
  <sheetViews>
    <sheetView showGridLines="0" tabSelected="1" workbookViewId="0">
      <pane ySplit="2" topLeftCell="A60" activePane="bottomLeft" state="frozen"/>
      <selection pane="bottomLeft" activeCell="G61" sqref="G61"/>
    </sheetView>
  </sheetViews>
  <sheetFormatPr defaultColWidth="12.5703125" defaultRowHeight="15" customHeight="1"/>
  <cols>
    <col min="1" max="1" width="11.42578125" style="137" customWidth="1"/>
    <col min="2" max="2" width="20.42578125" style="137" customWidth="1"/>
    <col min="3" max="3" width="13" style="137" customWidth="1"/>
    <col min="4" max="4" width="21.140625" style="137" customWidth="1"/>
    <col min="5" max="5" width="16.42578125" style="137" customWidth="1"/>
    <col min="6" max="6" width="14" style="137" customWidth="1"/>
    <col min="7" max="7" width="13.7109375" style="451" customWidth="1"/>
    <col min="8" max="8" width="47.5703125" style="451" customWidth="1"/>
    <col min="9" max="9" width="108.42578125" style="137" customWidth="1"/>
    <col min="10" max="10" width="72.42578125" style="256" customWidth="1"/>
    <col min="11" max="11" width="58.5703125" style="137" customWidth="1"/>
    <col min="12" max="13" width="12.5703125" style="137"/>
    <col min="14" max="14" width="19.85546875" style="137" customWidth="1"/>
    <col min="15" max="15" width="18.85546875" style="137" customWidth="1"/>
    <col min="16" max="16384" width="12.5703125" style="137"/>
  </cols>
  <sheetData>
    <row r="1" spans="1:41" ht="12.75">
      <c r="A1" s="408" t="s">
        <v>0</v>
      </c>
      <c r="B1" s="137" t="str" cm="1">
        <f t="array" aca="1" ref="B1" ca="1">INDEX($B$2:$B$102,MATCH(1,(($D$2:$D$102 &gt;=TODAY())*($C$2:$C$102&lt;=TODAY())),0))</f>
        <v>OB-OP 8.6.0 Sprint 4</v>
      </c>
      <c r="C1" s="408" t="s">
        <v>1</v>
      </c>
      <c r="D1" s="409" t="str">
        <f ca="1">CONCATENATE(B1,"-Status")</f>
        <v>OB-OP 8.6.0 Sprint 4-Status</v>
      </c>
      <c r="E1" s="410" t="s">
        <v>2</v>
      </c>
      <c r="F1" s="409">
        <f ca="1">VLOOKUP($B$1,$B$1:$C$102,2)</f>
        <v>46149</v>
      </c>
      <c r="G1" s="447" t="s">
        <v>3</v>
      </c>
      <c r="H1" s="409">
        <f ca="1">VLOOKUP($B$1,$B$1:$D$102,3)</f>
        <v>46163</v>
      </c>
      <c r="I1" s="410" t="s">
        <v>4</v>
      </c>
      <c r="J1" s="137" t="s">
        <v>5</v>
      </c>
      <c r="K1" s="429" t="s">
        <v>6</v>
      </c>
      <c r="L1" s="364" t="s">
        <v>7</v>
      </c>
      <c r="M1" s="137" t="s">
        <v>8</v>
      </c>
      <c r="N1" s="364" t="s">
        <v>9</v>
      </c>
    </row>
    <row r="2" spans="1:41" ht="40.5">
      <c r="A2" s="193" t="s">
        <v>10</v>
      </c>
      <c r="B2" s="193" t="s">
        <v>11</v>
      </c>
      <c r="C2" s="193" t="s">
        <v>2</v>
      </c>
      <c r="D2" s="193" t="s">
        <v>3</v>
      </c>
      <c r="E2" s="193" t="s">
        <v>12</v>
      </c>
      <c r="F2" s="193" t="s">
        <v>13</v>
      </c>
      <c r="G2" s="448" t="s">
        <v>14</v>
      </c>
      <c r="H2" s="552" t="s">
        <v>15</v>
      </c>
      <c r="I2" s="234" t="s">
        <v>16</v>
      </c>
      <c r="J2" s="193" t="s">
        <v>17</v>
      </c>
      <c r="K2" s="234" t="s">
        <v>18</v>
      </c>
      <c r="L2" s="411" t="s">
        <v>19</v>
      </c>
      <c r="M2" s="411" t="s">
        <v>20</v>
      </c>
      <c r="N2" s="234" t="s">
        <v>21</v>
      </c>
      <c r="O2" s="234" t="s">
        <v>22</v>
      </c>
      <c r="P2" s="234" t="s">
        <v>23</v>
      </c>
    </row>
    <row r="3" spans="1:41" ht="24">
      <c r="A3" s="83" t="str">
        <f t="shared" ref="A3:A32" ca="1" si="0">IF(AND($D$1&gt;=C3,$D$1&lt;=D3),"CurrentSprint","NA")</f>
        <v>NA</v>
      </c>
      <c r="B3" s="292" t="s">
        <v>24</v>
      </c>
      <c r="C3" s="293">
        <v>45296</v>
      </c>
      <c r="D3" s="293">
        <v>45309</v>
      </c>
      <c r="E3" s="77">
        <v>12</v>
      </c>
      <c r="F3" s="77">
        <v>9</v>
      </c>
      <c r="G3" s="290" t="s">
        <v>25</v>
      </c>
      <c r="H3" s="77"/>
      <c r="I3" s="77"/>
      <c r="J3" s="130" t="s">
        <v>26</v>
      </c>
      <c r="K3" s="136" t="s">
        <v>27</v>
      </c>
      <c r="L3" s="83"/>
      <c r="M3" s="324"/>
    </row>
    <row r="4" spans="1:41" ht="33" customHeight="1">
      <c r="A4" s="83" t="str">
        <f t="shared" ca="1" si="0"/>
        <v>NA</v>
      </c>
      <c r="B4" s="294" t="s">
        <v>28</v>
      </c>
      <c r="C4" s="293">
        <v>45310</v>
      </c>
      <c r="D4" s="293">
        <v>45337</v>
      </c>
      <c r="E4" s="228">
        <v>25</v>
      </c>
      <c r="F4" s="228">
        <v>23</v>
      </c>
      <c r="G4" s="449" t="s">
        <v>29</v>
      </c>
      <c r="H4" s="228"/>
      <c r="I4" s="228"/>
      <c r="J4" s="412" t="s">
        <v>30</v>
      </c>
      <c r="K4" s="136" t="s">
        <v>27</v>
      </c>
      <c r="L4" s="83"/>
      <c r="M4" s="324"/>
    </row>
    <row r="5" spans="1:41" ht="12" customHeight="1">
      <c r="A5" s="83" t="str">
        <f t="shared" ca="1" si="0"/>
        <v>NA</v>
      </c>
      <c r="B5" s="62" t="s">
        <v>31</v>
      </c>
      <c r="C5" s="295">
        <v>45338</v>
      </c>
      <c r="D5" s="295">
        <v>45351</v>
      </c>
      <c r="E5" s="228">
        <v>13</v>
      </c>
      <c r="F5" s="228">
        <v>13</v>
      </c>
      <c r="G5" s="449">
        <v>0</v>
      </c>
      <c r="H5" s="228"/>
      <c r="I5" s="228"/>
      <c r="J5" s="90" t="s">
        <v>32</v>
      </c>
      <c r="K5" s="136" t="s">
        <v>27</v>
      </c>
      <c r="L5" s="83"/>
      <c r="M5" s="324"/>
    </row>
    <row r="6" spans="1:41" ht="24">
      <c r="A6" s="83" t="str">
        <f t="shared" ca="1" si="0"/>
        <v>NA</v>
      </c>
      <c r="B6" s="62" t="s">
        <v>33</v>
      </c>
      <c r="C6" s="296">
        <v>45352</v>
      </c>
      <c r="D6" s="295">
        <v>45365</v>
      </c>
      <c r="E6" s="228">
        <v>9</v>
      </c>
      <c r="F6" s="228">
        <v>9</v>
      </c>
      <c r="G6" s="449" t="s">
        <v>29</v>
      </c>
      <c r="H6" s="327"/>
      <c r="I6" s="327"/>
      <c r="J6" s="305" t="s">
        <v>34</v>
      </c>
      <c r="K6" s="136" t="s">
        <v>27</v>
      </c>
      <c r="L6" s="83"/>
      <c r="M6" s="324"/>
    </row>
    <row r="7" spans="1:41" s="203" customFormat="1" ht="15.75" customHeight="1">
      <c r="A7" s="83" t="str">
        <f t="shared" ca="1" si="0"/>
        <v>NA</v>
      </c>
      <c r="B7" s="62" t="s">
        <v>35</v>
      </c>
      <c r="C7" s="297">
        <v>45366</v>
      </c>
      <c r="D7" s="297">
        <v>45379</v>
      </c>
      <c r="E7" s="228">
        <v>11</v>
      </c>
      <c r="F7" s="228">
        <v>11</v>
      </c>
      <c r="G7" s="289" t="s">
        <v>36</v>
      </c>
      <c r="H7" s="289"/>
      <c r="I7" s="289"/>
      <c r="J7" s="413" t="s">
        <v>37</v>
      </c>
      <c r="K7" s="136" t="s">
        <v>27</v>
      </c>
      <c r="L7" s="83"/>
      <c r="M7" s="324"/>
      <c r="N7" s="137"/>
      <c r="O7" s="137"/>
      <c r="P7" s="137"/>
      <c r="Q7" s="137"/>
      <c r="R7" s="137"/>
      <c r="S7" s="137"/>
      <c r="T7" s="137"/>
      <c r="U7" s="137"/>
      <c r="V7" s="137"/>
      <c r="W7" s="137"/>
      <c r="X7" s="137"/>
      <c r="Y7" s="137"/>
      <c r="Z7" s="137"/>
      <c r="AA7" s="137"/>
      <c r="AB7" s="137"/>
      <c r="AC7" s="137"/>
      <c r="AD7" s="137"/>
      <c r="AE7" s="137"/>
      <c r="AF7" s="137"/>
      <c r="AG7" s="137"/>
      <c r="AH7" s="137"/>
      <c r="AI7" s="137"/>
      <c r="AJ7" s="137"/>
      <c r="AK7" s="137"/>
      <c r="AL7" s="137"/>
      <c r="AM7" s="137"/>
      <c r="AN7" s="137"/>
      <c r="AO7" s="248"/>
    </row>
    <row r="8" spans="1:41" ht="24">
      <c r="A8" s="83" t="str">
        <f t="shared" ca="1" si="0"/>
        <v>NA</v>
      </c>
      <c r="B8" s="62" t="s">
        <v>38</v>
      </c>
      <c r="C8" s="297">
        <v>45380</v>
      </c>
      <c r="D8" s="297">
        <v>45393</v>
      </c>
      <c r="E8" s="228">
        <v>13</v>
      </c>
      <c r="F8" s="228">
        <v>10</v>
      </c>
      <c r="G8" s="290" t="s">
        <v>25</v>
      </c>
      <c r="H8" s="368"/>
      <c r="I8" s="368"/>
      <c r="J8" s="414" t="s">
        <v>39</v>
      </c>
      <c r="K8" s="136" t="s">
        <v>27</v>
      </c>
      <c r="L8" s="83"/>
      <c r="M8" s="324"/>
    </row>
    <row r="9" spans="1:41" ht="14.25" customHeight="1">
      <c r="A9" s="83" t="str">
        <f t="shared" ca="1" si="0"/>
        <v>NA</v>
      </c>
      <c r="B9" s="62" t="s">
        <v>40</v>
      </c>
      <c r="C9" s="297">
        <v>45394</v>
      </c>
      <c r="D9" s="297">
        <v>45407</v>
      </c>
      <c r="E9" s="228">
        <v>7</v>
      </c>
      <c r="F9" s="228">
        <v>7</v>
      </c>
      <c r="G9" s="290" t="s">
        <v>29</v>
      </c>
      <c r="H9" s="290"/>
      <c r="I9" s="290"/>
      <c r="J9" s="415" t="s">
        <v>41</v>
      </c>
      <c r="K9" s="136" t="s">
        <v>27</v>
      </c>
      <c r="L9" s="83"/>
      <c r="M9" s="324"/>
    </row>
    <row r="10" spans="1:41" ht="15.75" customHeight="1">
      <c r="A10" s="83" t="str">
        <f t="shared" ca="1" si="0"/>
        <v>NA</v>
      </c>
      <c r="B10" s="62" t="s">
        <v>42</v>
      </c>
      <c r="C10" s="297">
        <v>45408</v>
      </c>
      <c r="D10" s="297">
        <v>45421</v>
      </c>
      <c r="E10" s="228">
        <v>15</v>
      </c>
      <c r="F10" s="228">
        <v>15</v>
      </c>
      <c r="G10" s="290" t="s">
        <v>43</v>
      </c>
      <c r="H10" s="290"/>
      <c r="I10" s="290"/>
      <c r="J10" s="90" t="s">
        <v>44</v>
      </c>
      <c r="K10" s="136" t="s">
        <v>27</v>
      </c>
      <c r="L10" s="83"/>
      <c r="M10" s="324"/>
    </row>
    <row r="11" spans="1:41" ht="24">
      <c r="A11" s="83" t="str">
        <f t="shared" ca="1" si="0"/>
        <v>NA</v>
      </c>
      <c r="B11" s="62" t="s">
        <v>45</v>
      </c>
      <c r="C11" s="297">
        <v>45422</v>
      </c>
      <c r="D11" s="297">
        <v>45435</v>
      </c>
      <c r="E11" s="228">
        <v>17</v>
      </c>
      <c r="F11" s="228">
        <v>17</v>
      </c>
      <c r="G11" s="290" t="s">
        <v>29</v>
      </c>
      <c r="H11" s="290"/>
      <c r="I11" s="290"/>
      <c r="J11" s="90" t="s">
        <v>46</v>
      </c>
      <c r="K11" s="136" t="s">
        <v>27</v>
      </c>
      <c r="L11" s="83"/>
      <c r="M11" s="324"/>
    </row>
    <row r="12" spans="1:41" ht="15.75" customHeight="1">
      <c r="A12" s="83" t="str">
        <f t="shared" ca="1" si="0"/>
        <v>NA</v>
      </c>
      <c r="B12" s="62" t="s">
        <v>47</v>
      </c>
      <c r="C12" s="297">
        <v>45436</v>
      </c>
      <c r="D12" s="297">
        <v>45449</v>
      </c>
      <c r="E12" s="228">
        <v>28</v>
      </c>
      <c r="F12" s="228">
        <v>23</v>
      </c>
      <c r="G12" s="290" t="s">
        <v>48</v>
      </c>
      <c r="H12" s="290"/>
      <c r="I12" s="290"/>
      <c r="J12" s="90" t="s">
        <v>49</v>
      </c>
      <c r="K12" s="136" t="s">
        <v>27</v>
      </c>
      <c r="L12" s="83"/>
      <c r="M12" s="324"/>
    </row>
    <row r="13" spans="1:41" ht="15.75" customHeight="1">
      <c r="A13" s="83" t="str">
        <f t="shared" ca="1" si="0"/>
        <v>NA</v>
      </c>
      <c r="B13" s="62" t="s">
        <v>50</v>
      </c>
      <c r="C13" s="297">
        <v>45450</v>
      </c>
      <c r="D13" s="297">
        <v>45463</v>
      </c>
      <c r="E13" s="228">
        <v>17</v>
      </c>
      <c r="F13" s="228">
        <v>16</v>
      </c>
      <c r="G13" s="290" t="s">
        <v>25</v>
      </c>
      <c r="H13" s="290"/>
      <c r="I13" s="290"/>
      <c r="J13" s="413" t="s">
        <v>51</v>
      </c>
      <c r="K13" s="136" t="s">
        <v>27</v>
      </c>
      <c r="L13" s="83"/>
      <c r="M13" s="324"/>
    </row>
    <row r="14" spans="1:41" ht="15.75" customHeight="1">
      <c r="A14" s="83" t="str">
        <f t="shared" ca="1" si="0"/>
        <v>NA</v>
      </c>
      <c r="B14" s="62" t="s">
        <v>52</v>
      </c>
      <c r="C14" s="297">
        <v>45464</v>
      </c>
      <c r="D14" s="297">
        <v>45476</v>
      </c>
      <c r="E14" s="228">
        <v>8</v>
      </c>
      <c r="F14" s="228">
        <v>8</v>
      </c>
      <c r="G14" s="290" t="s">
        <v>53</v>
      </c>
      <c r="H14" s="290"/>
      <c r="I14" s="290"/>
      <c r="J14" s="413" t="s">
        <v>54</v>
      </c>
      <c r="K14" s="136" t="s">
        <v>27</v>
      </c>
      <c r="L14" s="83"/>
      <c r="M14" s="324"/>
    </row>
    <row r="15" spans="1:41" ht="15.75" customHeight="1">
      <c r="A15" s="83" t="str">
        <f t="shared" ca="1" si="0"/>
        <v>NA</v>
      </c>
      <c r="B15" s="62" t="s">
        <v>55</v>
      </c>
      <c r="C15" s="297">
        <v>45477</v>
      </c>
      <c r="D15" s="297">
        <v>45491</v>
      </c>
      <c r="E15" s="228">
        <v>13</v>
      </c>
      <c r="F15" s="228">
        <v>13</v>
      </c>
      <c r="G15" s="290" t="s">
        <v>56</v>
      </c>
      <c r="H15" s="290"/>
      <c r="I15" s="290"/>
      <c r="J15" s="413" t="s">
        <v>57</v>
      </c>
      <c r="K15" s="136" t="s">
        <v>27</v>
      </c>
      <c r="L15" s="83"/>
      <c r="M15" s="324"/>
    </row>
    <row r="16" spans="1:41" ht="24.75" customHeight="1">
      <c r="A16" s="83" t="str">
        <f t="shared" ca="1" si="0"/>
        <v>NA</v>
      </c>
      <c r="B16" s="62" t="s">
        <v>58</v>
      </c>
      <c r="C16" s="297">
        <v>45492</v>
      </c>
      <c r="D16" s="297">
        <v>45505</v>
      </c>
      <c r="E16" s="228">
        <v>12</v>
      </c>
      <c r="F16" s="228">
        <v>12</v>
      </c>
      <c r="G16" s="290" t="s">
        <v>29</v>
      </c>
      <c r="H16" s="290"/>
      <c r="I16" s="290"/>
      <c r="J16" s="413" t="s">
        <v>59</v>
      </c>
      <c r="K16" s="136" t="s">
        <v>27</v>
      </c>
      <c r="L16" s="83"/>
      <c r="M16" s="324"/>
    </row>
    <row r="17" spans="1:159" ht="15.75" customHeight="1">
      <c r="A17" s="83" t="str">
        <f t="shared" ca="1" si="0"/>
        <v>NA</v>
      </c>
      <c r="B17" s="62" t="s">
        <v>60</v>
      </c>
      <c r="C17" s="297">
        <v>45506</v>
      </c>
      <c r="D17" s="297">
        <v>45519</v>
      </c>
      <c r="E17" s="228">
        <v>11</v>
      </c>
      <c r="F17" s="228">
        <v>8</v>
      </c>
      <c r="G17" s="290" t="s">
        <v>29</v>
      </c>
      <c r="H17" s="290"/>
      <c r="I17" s="290"/>
      <c r="J17" s="413" t="s">
        <v>61</v>
      </c>
      <c r="K17" s="136" t="s">
        <v>27</v>
      </c>
      <c r="L17" s="83"/>
      <c r="M17" s="324"/>
    </row>
    <row r="18" spans="1:159" ht="15.75" customHeight="1">
      <c r="A18" s="83" t="str">
        <f t="shared" ca="1" si="0"/>
        <v>NA</v>
      </c>
      <c r="B18" s="62" t="s">
        <v>62</v>
      </c>
      <c r="C18" s="297">
        <v>45520</v>
      </c>
      <c r="D18" s="297">
        <v>45533</v>
      </c>
      <c r="E18" s="228">
        <v>7</v>
      </c>
      <c r="F18" s="228">
        <v>7</v>
      </c>
      <c r="G18" s="290" t="s">
        <v>29</v>
      </c>
      <c r="H18" s="290"/>
      <c r="I18" s="290"/>
      <c r="J18" s="413" t="s">
        <v>63</v>
      </c>
      <c r="K18" s="136" t="s">
        <v>27</v>
      </c>
      <c r="L18" s="83"/>
      <c r="M18" s="324"/>
    </row>
    <row r="19" spans="1:159" ht="15.75" customHeight="1">
      <c r="A19" s="83" t="str">
        <f t="shared" ca="1" si="0"/>
        <v>NA</v>
      </c>
      <c r="B19" s="257" t="s">
        <v>64</v>
      </c>
      <c r="C19" s="338">
        <v>45534</v>
      </c>
      <c r="D19" s="338">
        <v>45547</v>
      </c>
      <c r="E19" s="327">
        <v>12</v>
      </c>
      <c r="F19" s="327">
        <v>12</v>
      </c>
      <c r="G19" s="339" t="s">
        <v>29</v>
      </c>
      <c r="H19" s="339"/>
      <c r="I19" s="339"/>
      <c r="J19" s="416" t="s">
        <v>65</v>
      </c>
      <c r="K19" s="340" t="s">
        <v>27</v>
      </c>
      <c r="L19" s="313"/>
      <c r="M19" s="341"/>
    </row>
    <row r="20" spans="1:159" s="422" customFormat="1" ht="87.75" customHeight="1">
      <c r="A20" s="83" t="str">
        <f t="shared" ca="1" si="0"/>
        <v>NA</v>
      </c>
      <c r="B20" s="417" t="s">
        <v>66</v>
      </c>
      <c r="C20" s="418">
        <v>45548</v>
      </c>
      <c r="D20" s="418">
        <v>45561</v>
      </c>
      <c r="E20" s="419">
        <v>20</v>
      </c>
      <c r="F20" s="419">
        <v>15</v>
      </c>
      <c r="G20" s="290" t="s">
        <v>25</v>
      </c>
      <c r="H20" s="339"/>
      <c r="I20" s="339"/>
      <c r="J20" s="305" t="s">
        <v>67</v>
      </c>
      <c r="K20" s="420" t="s">
        <v>27</v>
      </c>
      <c r="L20" s="421"/>
      <c r="N20" s="423"/>
      <c r="O20" s="423"/>
      <c r="P20" s="423"/>
      <c r="Q20" s="423"/>
      <c r="R20" s="423"/>
      <c r="S20" s="423"/>
      <c r="T20" s="423"/>
      <c r="U20" s="423"/>
      <c r="V20" s="423"/>
      <c r="W20" s="423"/>
      <c r="X20" s="423"/>
      <c r="Y20" s="423"/>
      <c r="Z20" s="423"/>
      <c r="AA20" s="423"/>
      <c r="AB20" s="423"/>
      <c r="AC20" s="423"/>
      <c r="AD20" s="423"/>
      <c r="AE20" s="423"/>
      <c r="AF20" s="423"/>
      <c r="AG20" s="423"/>
      <c r="AH20" s="423"/>
      <c r="AI20" s="423"/>
      <c r="AJ20" s="423"/>
      <c r="AK20" s="423"/>
      <c r="AL20" s="423"/>
      <c r="AM20" s="423"/>
      <c r="AN20" s="423"/>
      <c r="AO20" s="423"/>
      <c r="AP20" s="423"/>
      <c r="AQ20" s="423"/>
      <c r="AR20" s="423"/>
      <c r="AS20" s="423"/>
      <c r="AT20" s="423"/>
      <c r="AU20" s="423"/>
      <c r="AV20" s="423"/>
      <c r="AW20" s="423"/>
      <c r="AX20" s="423"/>
      <c r="AY20" s="423"/>
      <c r="AZ20" s="423"/>
      <c r="BA20" s="423"/>
      <c r="BB20" s="423"/>
      <c r="BC20" s="423"/>
      <c r="BD20" s="423"/>
      <c r="BE20" s="423"/>
      <c r="BF20" s="423"/>
      <c r="BG20" s="423"/>
      <c r="BH20" s="423"/>
      <c r="BI20" s="423"/>
      <c r="BJ20" s="423"/>
      <c r="BK20" s="423"/>
      <c r="BL20" s="423"/>
      <c r="BM20" s="423"/>
      <c r="BN20" s="423"/>
      <c r="BO20" s="423"/>
      <c r="BP20" s="423"/>
      <c r="BQ20" s="423"/>
      <c r="BR20" s="423"/>
      <c r="BS20" s="423"/>
      <c r="BT20" s="423"/>
      <c r="BU20" s="423"/>
      <c r="BV20" s="423"/>
      <c r="BW20" s="423"/>
      <c r="BX20" s="423"/>
      <c r="BY20" s="423"/>
      <c r="BZ20" s="423"/>
      <c r="CA20" s="423"/>
      <c r="CB20" s="423"/>
      <c r="CC20" s="423"/>
      <c r="CD20" s="423"/>
      <c r="CE20" s="423"/>
      <c r="CF20" s="423"/>
      <c r="CG20" s="423"/>
      <c r="CH20" s="423"/>
      <c r="CI20" s="423"/>
      <c r="CJ20" s="423"/>
      <c r="CK20" s="423"/>
      <c r="CL20" s="423"/>
      <c r="CM20" s="423"/>
      <c r="CN20" s="423"/>
      <c r="CO20" s="423"/>
      <c r="CP20" s="423"/>
      <c r="CQ20" s="423"/>
      <c r="CR20" s="423"/>
      <c r="CS20" s="423"/>
      <c r="CT20" s="423"/>
      <c r="CU20" s="423"/>
      <c r="CV20" s="423"/>
      <c r="CW20" s="423"/>
      <c r="CX20" s="423"/>
      <c r="CY20" s="423"/>
      <c r="CZ20" s="423"/>
      <c r="DA20" s="423"/>
      <c r="DB20" s="423"/>
      <c r="DC20" s="423"/>
      <c r="DD20" s="423"/>
      <c r="DE20" s="423"/>
      <c r="DF20" s="423"/>
      <c r="DG20" s="423"/>
      <c r="DH20" s="423"/>
      <c r="DI20" s="423"/>
      <c r="DJ20" s="423"/>
      <c r="DK20" s="423"/>
      <c r="DL20" s="423"/>
      <c r="DM20" s="423"/>
      <c r="DN20" s="423"/>
      <c r="DO20" s="423"/>
      <c r="DP20" s="423"/>
      <c r="DQ20" s="423"/>
      <c r="DR20" s="423"/>
      <c r="DS20" s="423"/>
      <c r="DT20" s="423"/>
      <c r="DU20" s="423"/>
      <c r="DV20" s="423"/>
      <c r="DW20" s="423"/>
      <c r="DX20" s="423"/>
      <c r="DY20" s="423"/>
      <c r="DZ20" s="423"/>
      <c r="EA20" s="423"/>
      <c r="EB20" s="423"/>
      <c r="EC20" s="423"/>
      <c r="ED20" s="423"/>
      <c r="EE20" s="423"/>
      <c r="EF20" s="423"/>
      <c r="EG20" s="423"/>
      <c r="EH20" s="423"/>
      <c r="EI20" s="423"/>
      <c r="EJ20" s="423"/>
      <c r="EK20" s="423"/>
      <c r="EL20" s="423"/>
      <c r="EM20" s="423"/>
      <c r="EN20" s="423"/>
      <c r="EO20" s="423"/>
      <c r="EP20" s="423"/>
      <c r="EQ20" s="423"/>
      <c r="ER20" s="423"/>
      <c r="ES20" s="423"/>
      <c r="ET20" s="423"/>
      <c r="EU20" s="423"/>
      <c r="EV20" s="423"/>
      <c r="EW20" s="423"/>
      <c r="EX20" s="423"/>
      <c r="EY20" s="423"/>
      <c r="EZ20" s="423"/>
      <c r="FA20" s="423"/>
      <c r="FB20" s="423"/>
      <c r="FC20" s="424"/>
    </row>
    <row r="21" spans="1:159" s="426" customFormat="1" ht="154.5">
      <c r="A21" s="139" t="str">
        <f t="shared" ca="1" si="0"/>
        <v>NA</v>
      </c>
      <c r="B21" s="394" t="s">
        <v>68</v>
      </c>
      <c r="C21" s="395">
        <v>45562</v>
      </c>
      <c r="D21" s="395">
        <v>45575</v>
      </c>
      <c r="E21" s="396">
        <v>20</v>
      </c>
      <c r="F21" s="396">
        <v>17</v>
      </c>
      <c r="G21" s="397" t="s">
        <v>69</v>
      </c>
      <c r="H21" s="397"/>
      <c r="I21" s="397"/>
      <c r="J21" s="425" t="s">
        <v>70</v>
      </c>
      <c r="K21" s="398" t="s">
        <v>27</v>
      </c>
      <c r="L21" s="399"/>
      <c r="M21" s="400"/>
    </row>
    <row r="22" spans="1:159" ht="120" customHeight="1">
      <c r="A22" s="83" t="str">
        <f t="shared" ca="1" si="0"/>
        <v>NA</v>
      </c>
      <c r="B22" s="257" t="s">
        <v>71</v>
      </c>
      <c r="C22" s="367">
        <v>45576</v>
      </c>
      <c r="D22" s="367">
        <v>45589</v>
      </c>
      <c r="E22" s="327">
        <v>17</v>
      </c>
      <c r="F22" s="327">
        <v>17</v>
      </c>
      <c r="G22" s="450" t="s">
        <v>29</v>
      </c>
      <c r="H22" s="305"/>
      <c r="I22" s="305" t="s">
        <v>72</v>
      </c>
      <c r="J22" s="305" t="s">
        <v>73</v>
      </c>
      <c r="K22" s="229"/>
      <c r="L22" s="229"/>
      <c r="M22" s="229"/>
    </row>
    <row r="23" spans="1:159" s="203" customFormat="1" ht="112.5" customHeight="1">
      <c r="A23" s="83" t="str">
        <f t="shared" ca="1" si="0"/>
        <v>NA</v>
      </c>
      <c r="B23" s="257" t="s">
        <v>74</v>
      </c>
      <c r="C23" s="367">
        <v>45590</v>
      </c>
      <c r="D23" s="367">
        <v>45603</v>
      </c>
      <c r="E23" s="327">
        <v>11</v>
      </c>
      <c r="F23" s="327">
        <v>8</v>
      </c>
      <c r="G23" s="450" t="s">
        <v>29</v>
      </c>
      <c r="H23" s="329"/>
      <c r="I23" s="329" t="s">
        <v>75</v>
      </c>
      <c r="J23" s="305" t="s">
        <v>76</v>
      </c>
      <c r="K23" s="229"/>
      <c r="L23" s="229"/>
      <c r="M23" s="229"/>
    </row>
    <row r="24" spans="1:159" ht="178.5" customHeight="1">
      <c r="A24" s="313" t="str">
        <f t="shared" ca="1" si="0"/>
        <v>NA</v>
      </c>
      <c r="B24" s="257" t="s">
        <v>77</v>
      </c>
      <c r="C24" s="389">
        <v>45604</v>
      </c>
      <c r="D24" s="367">
        <v>45617</v>
      </c>
      <c r="E24" s="327">
        <v>14</v>
      </c>
      <c r="F24" s="327">
        <v>14</v>
      </c>
      <c r="G24" s="339" t="s">
        <v>56</v>
      </c>
      <c r="H24" s="390"/>
      <c r="I24" s="390" t="s">
        <v>78</v>
      </c>
      <c r="J24" s="329" t="s">
        <v>79</v>
      </c>
      <c r="K24" s="247"/>
      <c r="L24" s="229"/>
      <c r="M24" s="229"/>
    </row>
    <row r="25" spans="1:159" s="229" customFormat="1" ht="225" customHeight="1">
      <c r="A25" s="313" t="str">
        <f t="shared" ca="1" si="0"/>
        <v>NA</v>
      </c>
      <c r="B25" s="247" t="s">
        <v>80</v>
      </c>
      <c r="C25" s="427">
        <v>45618</v>
      </c>
      <c r="D25" s="427">
        <v>45631</v>
      </c>
      <c r="E25" s="327">
        <v>21</v>
      </c>
      <c r="F25" s="327">
        <v>21</v>
      </c>
      <c r="G25" s="450" t="s">
        <v>81</v>
      </c>
      <c r="H25" s="329"/>
      <c r="I25" s="329" t="s">
        <v>82</v>
      </c>
      <c r="J25" s="305" t="s">
        <v>83</v>
      </c>
    </row>
    <row r="26" spans="1:159" s="203" customFormat="1" ht="170.25" customHeight="1">
      <c r="A26" s="313" t="str">
        <f t="shared" ca="1" si="0"/>
        <v>NA</v>
      </c>
      <c r="B26" s="203" t="s">
        <v>84</v>
      </c>
      <c r="C26" s="428">
        <v>45632</v>
      </c>
      <c r="D26" s="428">
        <v>45659</v>
      </c>
      <c r="E26" s="228">
        <v>11</v>
      </c>
      <c r="F26" s="228">
        <v>13</v>
      </c>
      <c r="G26" s="449" t="s">
        <v>85</v>
      </c>
      <c r="H26" s="316"/>
      <c r="I26" s="316" t="s">
        <v>86</v>
      </c>
      <c r="J26" s="90" t="s">
        <v>87</v>
      </c>
    </row>
    <row r="27" spans="1:159" ht="165.75" customHeight="1">
      <c r="A27" s="313" t="str">
        <f t="shared" ca="1" si="0"/>
        <v>NA</v>
      </c>
      <c r="B27" s="203" t="s">
        <v>88</v>
      </c>
      <c r="C27" s="428">
        <v>45660</v>
      </c>
      <c r="D27" s="428">
        <v>45673</v>
      </c>
      <c r="E27" s="228">
        <v>16</v>
      </c>
      <c r="F27" s="228">
        <v>13</v>
      </c>
      <c r="G27" s="449" t="s">
        <v>29</v>
      </c>
      <c r="H27" s="316"/>
      <c r="I27" s="316" t="s">
        <v>89</v>
      </c>
      <c r="J27" s="90" t="s">
        <v>90</v>
      </c>
      <c r="K27" s="203"/>
      <c r="L27" s="203"/>
      <c r="M27" s="203"/>
      <c r="N27" s="203"/>
      <c r="O27" s="203"/>
      <c r="P27" s="203"/>
      <c r="Q27" s="203"/>
      <c r="R27" s="203"/>
      <c r="S27" s="203"/>
      <c r="T27" s="203"/>
      <c r="U27" s="203"/>
      <c r="V27" s="203"/>
      <c r="W27" s="203"/>
      <c r="X27" s="203"/>
      <c r="Y27" s="203"/>
      <c r="Z27" s="203"/>
      <c r="AA27" s="203"/>
      <c r="AB27" s="203"/>
      <c r="AC27" s="203"/>
      <c r="AD27" s="203"/>
      <c r="AE27" s="203"/>
      <c r="AF27" s="203"/>
      <c r="AG27" s="203"/>
      <c r="AH27" s="203"/>
      <c r="AI27" s="203"/>
      <c r="AJ27" s="203"/>
      <c r="AK27" s="203"/>
      <c r="AL27" s="203"/>
      <c r="AM27" s="203"/>
      <c r="AN27" s="203"/>
      <c r="AO27" s="203"/>
      <c r="AP27" s="203"/>
      <c r="AQ27" s="203"/>
      <c r="AR27" s="203"/>
      <c r="AS27" s="203"/>
      <c r="AT27" s="203"/>
      <c r="AU27" s="203"/>
      <c r="AV27" s="203"/>
      <c r="AW27" s="203"/>
      <c r="AX27" s="203"/>
      <c r="AY27" s="203"/>
      <c r="AZ27" s="203"/>
      <c r="BA27" s="203"/>
      <c r="BB27" s="203"/>
      <c r="BC27" s="203"/>
      <c r="BD27" s="203"/>
      <c r="BE27" s="203"/>
      <c r="BF27" s="203"/>
      <c r="BG27" s="203"/>
      <c r="BH27" s="203"/>
      <c r="BI27" s="203"/>
      <c r="BJ27" s="203"/>
      <c r="BK27" s="203"/>
      <c r="BL27" s="203"/>
      <c r="BM27" s="203"/>
      <c r="BN27" s="203"/>
      <c r="BO27" s="203"/>
      <c r="BP27" s="203"/>
      <c r="BQ27" s="203"/>
      <c r="BR27" s="203"/>
      <c r="BS27" s="203"/>
      <c r="BT27" s="203"/>
      <c r="BU27" s="203"/>
      <c r="BV27" s="203"/>
      <c r="BW27" s="203"/>
      <c r="BX27" s="203"/>
      <c r="BY27" s="203"/>
      <c r="BZ27" s="203"/>
      <c r="CA27" s="203"/>
      <c r="CB27" s="203"/>
      <c r="CC27" s="203"/>
      <c r="CD27" s="203"/>
      <c r="CE27" s="203"/>
      <c r="CF27" s="203"/>
      <c r="CG27" s="203"/>
      <c r="CH27" s="203"/>
      <c r="CI27" s="203"/>
      <c r="CJ27" s="203"/>
      <c r="CK27" s="203"/>
      <c r="CL27" s="203"/>
      <c r="CM27" s="203"/>
      <c r="CN27" s="203"/>
      <c r="CO27" s="203"/>
      <c r="CP27" s="203"/>
      <c r="CQ27" s="203"/>
      <c r="CR27" s="203"/>
      <c r="CS27" s="203"/>
      <c r="CT27" s="203"/>
      <c r="CU27" s="203"/>
      <c r="CV27" s="203"/>
      <c r="CW27" s="203"/>
      <c r="CX27" s="203"/>
      <c r="CY27" s="203"/>
      <c r="CZ27" s="203"/>
      <c r="DA27" s="203"/>
      <c r="DB27" s="203"/>
      <c r="DC27" s="203"/>
      <c r="DD27" s="203"/>
      <c r="DE27" s="203"/>
      <c r="DF27" s="203"/>
      <c r="DG27" s="203"/>
      <c r="DH27" s="203"/>
      <c r="DI27" s="203"/>
      <c r="DJ27" s="203"/>
      <c r="DK27" s="203"/>
      <c r="DL27" s="203"/>
      <c r="DM27" s="203"/>
      <c r="DN27" s="203"/>
      <c r="DO27" s="203"/>
      <c r="DP27" s="203"/>
      <c r="DQ27" s="203"/>
      <c r="DR27" s="203"/>
      <c r="DS27" s="203"/>
      <c r="DT27" s="203"/>
      <c r="DU27" s="203"/>
      <c r="DV27" s="203"/>
      <c r="DW27" s="203"/>
      <c r="DX27" s="203"/>
      <c r="DY27" s="203"/>
      <c r="DZ27" s="203"/>
      <c r="EA27" s="203"/>
      <c r="EB27" s="203"/>
      <c r="EC27" s="203"/>
      <c r="ED27" s="203"/>
      <c r="EE27" s="203"/>
      <c r="EF27" s="203"/>
      <c r="EG27" s="203"/>
      <c r="EH27" s="203"/>
      <c r="EI27" s="203"/>
      <c r="EJ27" s="203"/>
      <c r="EK27" s="203"/>
      <c r="EL27" s="203"/>
      <c r="EM27" s="203"/>
      <c r="EN27" s="203"/>
      <c r="EO27" s="203"/>
      <c r="EP27" s="203"/>
      <c r="EQ27" s="203"/>
      <c r="ER27" s="203"/>
      <c r="ES27" s="203"/>
      <c r="ET27" s="203"/>
      <c r="EU27" s="203"/>
      <c r="EV27" s="203"/>
      <c r="EW27" s="203"/>
      <c r="EX27" s="203"/>
      <c r="EY27" s="203"/>
      <c r="EZ27" s="203"/>
      <c r="FA27" s="203"/>
      <c r="FB27" s="203"/>
      <c r="FC27" s="203"/>
    </row>
    <row r="28" spans="1:159" ht="138.75" customHeight="1">
      <c r="A28" s="313" t="str">
        <f t="shared" ref="A28" ca="1" si="1">IF(AND($D$1&gt;=C28,$D$1&lt;=D28),"CurrentSprint","NA")</f>
        <v>NA</v>
      </c>
      <c r="B28" s="203" t="s">
        <v>91</v>
      </c>
      <c r="C28" s="428">
        <v>45674</v>
      </c>
      <c r="D28" s="428">
        <v>45687</v>
      </c>
      <c r="E28" s="228">
        <v>16</v>
      </c>
      <c r="F28" s="228">
        <v>10</v>
      </c>
      <c r="G28" s="290" t="s">
        <v>25</v>
      </c>
      <c r="H28" s="316"/>
      <c r="I28" s="316" t="s">
        <v>92</v>
      </c>
      <c r="J28" s="90" t="s">
        <v>93</v>
      </c>
      <c r="K28" s="203"/>
      <c r="L28" s="203"/>
      <c r="M28" s="203"/>
      <c r="N28" s="203"/>
      <c r="O28" s="203"/>
      <c r="P28" s="203"/>
      <c r="Q28" s="203"/>
      <c r="R28" s="203"/>
      <c r="S28" s="203"/>
      <c r="T28" s="203"/>
      <c r="U28" s="203"/>
      <c r="V28" s="203"/>
      <c r="W28" s="203"/>
      <c r="X28" s="203"/>
      <c r="Y28" s="203"/>
      <c r="Z28" s="203"/>
      <c r="AA28" s="203"/>
      <c r="AB28" s="203"/>
      <c r="AC28" s="203"/>
      <c r="AD28" s="203"/>
      <c r="AE28" s="203"/>
      <c r="AF28" s="203"/>
      <c r="AG28" s="203"/>
      <c r="AH28" s="203"/>
      <c r="AI28" s="203"/>
      <c r="AJ28" s="203"/>
      <c r="AK28" s="203"/>
      <c r="AL28" s="203"/>
      <c r="AM28" s="203"/>
      <c r="AN28" s="203"/>
      <c r="AO28" s="203"/>
      <c r="AP28" s="203"/>
      <c r="AQ28" s="203"/>
      <c r="AR28" s="203"/>
      <c r="AS28" s="203"/>
      <c r="AT28" s="203"/>
      <c r="AU28" s="203"/>
      <c r="AV28" s="203"/>
      <c r="AW28" s="203"/>
      <c r="AX28" s="203"/>
      <c r="AY28" s="203"/>
      <c r="AZ28" s="203"/>
      <c r="BA28" s="203"/>
      <c r="BB28" s="203"/>
      <c r="BC28" s="203"/>
      <c r="BD28" s="203"/>
      <c r="BE28" s="203"/>
      <c r="BF28" s="203"/>
      <c r="BG28" s="203"/>
      <c r="BH28" s="203"/>
      <c r="BI28" s="203"/>
      <c r="BJ28" s="203"/>
      <c r="BK28" s="203"/>
      <c r="BL28" s="203"/>
      <c r="BM28" s="203"/>
      <c r="BN28" s="203"/>
      <c r="BO28" s="203"/>
      <c r="BP28" s="203"/>
      <c r="BQ28" s="203"/>
      <c r="BR28" s="203"/>
      <c r="BS28" s="203"/>
      <c r="BT28" s="203"/>
      <c r="BU28" s="203"/>
      <c r="BV28" s="203"/>
      <c r="BW28" s="203"/>
      <c r="BX28" s="203"/>
      <c r="BY28" s="203"/>
      <c r="BZ28" s="203"/>
      <c r="CA28" s="203"/>
      <c r="CB28" s="203"/>
      <c r="CC28" s="203"/>
      <c r="CD28" s="203"/>
      <c r="CE28" s="203"/>
      <c r="CF28" s="203"/>
      <c r="CG28" s="203"/>
      <c r="CH28" s="203"/>
      <c r="CI28" s="203"/>
      <c r="CJ28" s="203"/>
      <c r="CK28" s="203"/>
      <c r="CL28" s="203"/>
      <c r="CM28" s="203"/>
      <c r="CN28" s="203"/>
      <c r="CO28" s="203"/>
      <c r="CP28" s="203"/>
      <c r="CQ28" s="203"/>
      <c r="CR28" s="203"/>
      <c r="CS28" s="203"/>
      <c r="CT28" s="203"/>
      <c r="CU28" s="203"/>
      <c r="CV28" s="203"/>
      <c r="CW28" s="203"/>
      <c r="CX28" s="203"/>
      <c r="CY28" s="203"/>
      <c r="CZ28" s="203"/>
      <c r="DA28" s="203"/>
      <c r="DB28" s="203"/>
      <c r="DC28" s="203"/>
      <c r="DD28" s="203"/>
      <c r="DE28" s="203"/>
      <c r="DF28" s="203"/>
      <c r="DG28" s="203"/>
      <c r="DH28" s="203"/>
      <c r="DI28" s="203"/>
      <c r="DJ28" s="203"/>
      <c r="DK28" s="203"/>
      <c r="DL28" s="203"/>
      <c r="DM28" s="203"/>
      <c r="DN28" s="203"/>
      <c r="DO28" s="203"/>
      <c r="DP28" s="203"/>
      <c r="DQ28" s="203"/>
      <c r="DR28" s="203"/>
      <c r="DS28" s="203"/>
      <c r="DT28" s="203"/>
      <c r="DU28" s="203"/>
      <c r="DV28" s="203"/>
      <c r="DW28" s="203"/>
      <c r="DX28" s="203"/>
      <c r="DY28" s="203"/>
      <c r="DZ28" s="203"/>
      <c r="EA28" s="203"/>
      <c r="EB28" s="203"/>
      <c r="EC28" s="203"/>
      <c r="ED28" s="203"/>
      <c r="EE28" s="203"/>
      <c r="EF28" s="203"/>
      <c r="EG28" s="203"/>
      <c r="EH28" s="203"/>
      <c r="EI28" s="203"/>
      <c r="EJ28" s="203"/>
      <c r="EK28" s="203"/>
      <c r="EL28" s="203"/>
      <c r="EM28" s="203"/>
      <c r="EN28" s="203"/>
      <c r="EO28" s="203"/>
      <c r="EP28" s="203"/>
      <c r="EQ28" s="203"/>
      <c r="ER28" s="203"/>
      <c r="ES28" s="203"/>
      <c r="ET28" s="203"/>
      <c r="EU28" s="203"/>
      <c r="EV28" s="203"/>
      <c r="EW28" s="203"/>
      <c r="EX28" s="203"/>
      <c r="EY28" s="203"/>
      <c r="EZ28" s="203"/>
      <c r="FA28" s="203"/>
      <c r="FB28" s="203"/>
      <c r="FC28" s="203"/>
    </row>
    <row r="29" spans="1:159" ht="210" customHeight="1">
      <c r="A29" s="313" t="str">
        <f t="shared" ref="A29" ca="1" si="2">IF(AND($D$1&gt;=C29,$D$1&lt;=D29),"CurrentSprint","NA")</f>
        <v>NA</v>
      </c>
      <c r="B29" s="229" t="s">
        <v>94</v>
      </c>
      <c r="C29" s="427">
        <v>45688</v>
      </c>
      <c r="D29" s="427">
        <v>45701</v>
      </c>
      <c r="E29" s="327">
        <v>14</v>
      </c>
      <c r="F29" s="327">
        <v>12</v>
      </c>
      <c r="G29" s="450" t="s">
        <v>53</v>
      </c>
      <c r="H29" s="329"/>
      <c r="I29" s="329" t="s">
        <v>95</v>
      </c>
      <c r="J29" s="305" t="s">
        <v>96</v>
      </c>
      <c r="K29" s="229"/>
      <c r="L29" s="229"/>
      <c r="M29" s="229"/>
      <c r="N29" s="229"/>
      <c r="O29" s="229"/>
      <c r="P29" s="229"/>
      <c r="Q29" s="229"/>
      <c r="R29" s="229"/>
      <c r="S29" s="229"/>
      <c r="T29" s="229"/>
      <c r="U29" s="229"/>
      <c r="V29" s="229"/>
      <c r="W29" s="229"/>
      <c r="X29" s="229"/>
      <c r="Y29" s="229"/>
      <c r="Z29" s="229"/>
      <c r="AA29" s="229"/>
      <c r="AB29" s="229"/>
      <c r="AC29" s="229"/>
      <c r="AD29" s="229"/>
      <c r="AE29" s="229"/>
      <c r="AF29" s="229"/>
      <c r="AG29" s="229"/>
      <c r="AH29" s="229"/>
      <c r="AI29" s="229"/>
      <c r="AJ29" s="229"/>
      <c r="AK29" s="229"/>
      <c r="AL29" s="229"/>
      <c r="AM29" s="229"/>
      <c r="AN29" s="229"/>
      <c r="AO29" s="229"/>
      <c r="AP29" s="229"/>
      <c r="AQ29" s="229"/>
      <c r="AR29" s="229"/>
      <c r="AS29" s="229"/>
      <c r="AT29" s="229"/>
      <c r="AU29" s="229"/>
      <c r="AV29" s="229"/>
      <c r="AW29" s="229"/>
      <c r="AX29" s="229"/>
      <c r="AY29" s="229"/>
      <c r="AZ29" s="229"/>
      <c r="BA29" s="229"/>
      <c r="BB29" s="229"/>
      <c r="BC29" s="229"/>
      <c r="BD29" s="229"/>
      <c r="BE29" s="229"/>
      <c r="BF29" s="229"/>
      <c r="BG29" s="229"/>
      <c r="BH29" s="229"/>
      <c r="BI29" s="229"/>
      <c r="BJ29" s="229"/>
      <c r="BK29" s="229"/>
      <c r="BL29" s="229"/>
      <c r="BM29" s="229"/>
      <c r="BN29" s="229"/>
      <c r="BO29" s="229"/>
      <c r="BP29" s="229"/>
      <c r="BQ29" s="229"/>
      <c r="BR29" s="229"/>
      <c r="BS29" s="229"/>
      <c r="BT29" s="229"/>
      <c r="BU29" s="229"/>
      <c r="BV29" s="229"/>
      <c r="BW29" s="229"/>
      <c r="BX29" s="229"/>
      <c r="BY29" s="229"/>
      <c r="BZ29" s="229"/>
      <c r="CA29" s="229"/>
      <c r="CB29" s="229"/>
      <c r="CC29" s="229"/>
      <c r="CD29" s="229"/>
      <c r="CE29" s="229"/>
      <c r="CF29" s="229"/>
      <c r="CG29" s="229"/>
      <c r="CH29" s="229"/>
      <c r="CI29" s="229"/>
      <c r="CJ29" s="229"/>
      <c r="CK29" s="229"/>
      <c r="CL29" s="229"/>
      <c r="CM29" s="229"/>
      <c r="CN29" s="229"/>
      <c r="CO29" s="229"/>
      <c r="CP29" s="229"/>
      <c r="CQ29" s="229"/>
      <c r="CR29" s="229"/>
      <c r="CS29" s="229"/>
      <c r="CT29" s="229"/>
      <c r="CU29" s="229"/>
      <c r="CV29" s="229"/>
      <c r="CW29" s="229"/>
      <c r="CX29" s="229"/>
      <c r="CY29" s="229"/>
      <c r="CZ29" s="229"/>
      <c r="DA29" s="229"/>
      <c r="DB29" s="229"/>
      <c r="DC29" s="229"/>
      <c r="DD29" s="229"/>
      <c r="DE29" s="229"/>
      <c r="DF29" s="229"/>
      <c r="DG29" s="229"/>
      <c r="DH29" s="229"/>
      <c r="DI29" s="229"/>
      <c r="DJ29" s="229"/>
      <c r="DK29" s="229"/>
      <c r="DL29" s="229"/>
      <c r="DM29" s="229"/>
      <c r="DN29" s="229"/>
      <c r="DO29" s="229"/>
      <c r="DP29" s="229"/>
      <c r="DQ29" s="229"/>
      <c r="DR29" s="229"/>
      <c r="DS29" s="229"/>
      <c r="DT29" s="229"/>
      <c r="DU29" s="229"/>
      <c r="DV29" s="229"/>
      <c r="DW29" s="229"/>
      <c r="DX29" s="229"/>
      <c r="DY29" s="229"/>
      <c r="DZ29" s="229"/>
      <c r="EA29" s="229"/>
      <c r="EB29" s="229"/>
      <c r="EC29" s="229"/>
      <c r="ED29" s="229"/>
      <c r="EE29" s="229"/>
      <c r="EF29" s="229"/>
      <c r="EG29" s="229"/>
      <c r="EH29" s="229"/>
      <c r="EI29" s="229"/>
      <c r="EJ29" s="229"/>
      <c r="EK29" s="229"/>
      <c r="EL29" s="229"/>
      <c r="EM29" s="229"/>
      <c r="EN29" s="229"/>
      <c r="EO29" s="229"/>
      <c r="EP29" s="229"/>
      <c r="EQ29" s="229"/>
      <c r="ER29" s="229"/>
      <c r="ES29" s="229"/>
      <c r="ET29" s="229"/>
      <c r="EU29" s="229"/>
      <c r="EV29" s="229"/>
      <c r="EW29" s="229"/>
      <c r="EX29" s="229"/>
      <c r="EY29" s="229"/>
      <c r="EZ29" s="229"/>
      <c r="FA29" s="229"/>
      <c r="FB29" s="229"/>
      <c r="FC29" s="229"/>
    </row>
    <row r="30" spans="1:159" s="458" customFormat="1" ht="175.5" customHeight="1">
      <c r="A30" s="457" t="str">
        <f t="shared" ref="A30" ca="1" si="3">IF(AND($D$1&gt;=C30,$D$1&lt;=D30),"CurrentSprint","NA")</f>
        <v>NA</v>
      </c>
      <c r="B30" s="458" t="s">
        <v>97</v>
      </c>
      <c r="C30" s="459">
        <v>45702</v>
      </c>
      <c r="D30" s="459">
        <v>45715</v>
      </c>
      <c r="E30" s="460">
        <v>9</v>
      </c>
      <c r="F30" s="460">
        <v>9</v>
      </c>
      <c r="G30" s="461" t="s">
        <v>98</v>
      </c>
      <c r="H30" s="462"/>
      <c r="I30" s="462" t="s">
        <v>99</v>
      </c>
      <c r="J30" s="463" t="s">
        <v>100</v>
      </c>
    </row>
    <row r="31" spans="1:159" ht="204" customHeight="1">
      <c r="A31" s="457" t="str">
        <f t="shared" ref="A31" ca="1" si="4">IF(AND($D$1&gt;=C31,$D$1&lt;=D31),"CurrentSprint","NA")</f>
        <v>NA</v>
      </c>
      <c r="B31" s="458" t="s">
        <v>101</v>
      </c>
      <c r="C31" s="459">
        <v>45716</v>
      </c>
      <c r="D31" s="459">
        <v>45729</v>
      </c>
      <c r="E31" s="460">
        <v>14</v>
      </c>
      <c r="F31" s="460">
        <v>11</v>
      </c>
      <c r="G31" s="461" t="s">
        <v>29</v>
      </c>
      <c r="H31" s="465"/>
      <c r="I31" s="477" t="s">
        <v>102</v>
      </c>
      <c r="J31" s="463" t="s">
        <v>103</v>
      </c>
      <c r="K31" s="458"/>
      <c r="L31" s="458"/>
      <c r="M31" s="458"/>
      <c r="N31" s="458"/>
      <c r="O31" s="458"/>
      <c r="P31" s="458"/>
      <c r="Q31" s="458"/>
      <c r="R31" s="458"/>
      <c r="S31" s="458"/>
      <c r="T31" s="458"/>
      <c r="U31" s="458"/>
      <c r="V31" s="458"/>
      <c r="W31" s="458"/>
      <c r="X31" s="458"/>
      <c r="Y31" s="458"/>
      <c r="Z31" s="458"/>
      <c r="AA31" s="458"/>
      <c r="AB31" s="458"/>
      <c r="AC31" s="458"/>
      <c r="AD31" s="458"/>
      <c r="AE31" s="458"/>
      <c r="AF31" s="458"/>
      <c r="AG31" s="458"/>
      <c r="AH31" s="458"/>
      <c r="AI31" s="458"/>
      <c r="AJ31" s="458"/>
      <c r="AK31" s="458"/>
      <c r="AL31" s="458"/>
      <c r="AM31" s="458"/>
      <c r="AN31" s="458"/>
      <c r="AO31" s="458"/>
      <c r="AP31" s="458"/>
      <c r="AQ31" s="458"/>
      <c r="AR31" s="458"/>
      <c r="AS31" s="458"/>
      <c r="AT31" s="458"/>
      <c r="AU31" s="458"/>
      <c r="AV31" s="458"/>
      <c r="AW31" s="458"/>
      <c r="AX31" s="458"/>
      <c r="AY31" s="458"/>
      <c r="AZ31" s="458"/>
      <c r="BA31" s="458"/>
      <c r="BB31" s="458"/>
      <c r="BC31" s="458"/>
      <c r="BD31" s="458"/>
      <c r="BE31" s="458"/>
      <c r="BF31" s="458"/>
      <c r="BG31" s="458"/>
      <c r="BH31" s="458"/>
      <c r="BI31" s="458"/>
      <c r="BJ31" s="458"/>
      <c r="BK31" s="458"/>
      <c r="BL31" s="458"/>
      <c r="BM31" s="458"/>
      <c r="BN31" s="458"/>
      <c r="BO31" s="458"/>
      <c r="BP31" s="458"/>
      <c r="BQ31" s="458"/>
      <c r="BR31" s="458"/>
      <c r="BS31" s="458"/>
      <c r="BT31" s="458"/>
      <c r="BU31" s="458"/>
      <c r="BV31" s="458"/>
      <c r="BW31" s="458"/>
      <c r="BX31" s="458"/>
      <c r="BY31" s="458"/>
      <c r="BZ31" s="458"/>
      <c r="CA31" s="458"/>
      <c r="CB31" s="458"/>
      <c r="CC31" s="458"/>
      <c r="CD31" s="458"/>
      <c r="CE31" s="458"/>
      <c r="CF31" s="458"/>
      <c r="CG31" s="458"/>
      <c r="CH31" s="458"/>
      <c r="CI31" s="458"/>
      <c r="CJ31" s="458"/>
      <c r="CK31" s="458"/>
      <c r="CL31" s="458"/>
      <c r="CM31" s="458"/>
      <c r="CN31" s="458"/>
      <c r="CO31" s="458"/>
      <c r="CP31" s="458"/>
      <c r="CQ31" s="458"/>
      <c r="CR31" s="458"/>
      <c r="CS31" s="458"/>
      <c r="CT31" s="458"/>
      <c r="CU31" s="458"/>
      <c r="CV31" s="458"/>
      <c r="CW31" s="458"/>
      <c r="CX31" s="458"/>
      <c r="CY31" s="458"/>
      <c r="CZ31" s="458"/>
      <c r="DA31" s="458"/>
      <c r="DB31" s="458"/>
      <c r="DC31" s="458"/>
      <c r="DD31" s="458"/>
      <c r="DE31" s="458"/>
      <c r="DF31" s="458"/>
      <c r="DG31" s="458"/>
      <c r="DH31" s="458"/>
      <c r="DI31" s="458"/>
      <c r="DJ31" s="458"/>
      <c r="DK31" s="458"/>
      <c r="DL31" s="458"/>
      <c r="DM31" s="458"/>
      <c r="DN31" s="458"/>
      <c r="DO31" s="458"/>
      <c r="DP31" s="458"/>
      <c r="DQ31" s="458"/>
      <c r="DR31" s="458"/>
      <c r="DS31" s="458"/>
      <c r="DT31" s="458"/>
      <c r="DU31" s="458"/>
      <c r="DV31" s="458"/>
      <c r="DW31" s="458"/>
      <c r="DX31" s="458"/>
      <c r="DY31" s="458"/>
      <c r="DZ31" s="458"/>
      <c r="EA31" s="458"/>
      <c r="EB31" s="458"/>
      <c r="EC31" s="458"/>
      <c r="ED31" s="458"/>
      <c r="EE31" s="458"/>
      <c r="EF31" s="458"/>
      <c r="EG31" s="458"/>
      <c r="EH31" s="458"/>
      <c r="EI31" s="458"/>
      <c r="EJ31" s="458"/>
      <c r="EK31" s="458"/>
      <c r="EL31" s="458"/>
      <c r="EM31" s="458"/>
      <c r="EN31" s="458"/>
      <c r="EO31" s="458"/>
      <c r="EP31" s="458"/>
      <c r="EQ31" s="458"/>
      <c r="ER31" s="458"/>
      <c r="ES31" s="458"/>
      <c r="ET31" s="458"/>
      <c r="EU31" s="458"/>
      <c r="EV31" s="458"/>
      <c r="EW31" s="458"/>
      <c r="EX31" s="458"/>
      <c r="EY31" s="458"/>
      <c r="EZ31" s="458"/>
      <c r="FA31" s="458"/>
      <c r="FB31" s="458"/>
      <c r="FC31" s="458"/>
    </row>
    <row r="32" spans="1:159" ht="220.5" customHeight="1">
      <c r="A32" s="313" t="str">
        <f t="shared" ref="A32" ca="1" si="5">IF(AND($D$1&gt;=C32,$D$1&lt;=D32),"CurrentSprint","NA")</f>
        <v>NA</v>
      </c>
      <c r="B32" s="229" t="s">
        <v>104</v>
      </c>
      <c r="C32" s="427">
        <v>45729</v>
      </c>
      <c r="D32" s="427">
        <v>45743</v>
      </c>
      <c r="E32" s="327">
        <v>14</v>
      </c>
      <c r="F32" s="327">
        <v>19</v>
      </c>
      <c r="G32" s="450" t="s">
        <v>105</v>
      </c>
      <c r="H32" s="465"/>
      <c r="I32" s="465" t="s">
        <v>106</v>
      </c>
      <c r="J32" s="305" t="s">
        <v>107</v>
      </c>
      <c r="K32" s="203"/>
      <c r="L32" s="229"/>
      <c r="M32" s="229"/>
      <c r="N32" s="229"/>
      <c r="O32" s="229"/>
      <c r="P32" s="229"/>
      <c r="Q32" s="229"/>
      <c r="R32" s="229"/>
      <c r="S32" s="229"/>
      <c r="T32" s="229"/>
      <c r="U32" s="229"/>
      <c r="V32" s="229"/>
      <c r="W32" s="229"/>
      <c r="X32" s="229"/>
      <c r="Y32" s="229"/>
      <c r="Z32" s="229"/>
      <c r="AA32" s="229"/>
      <c r="AB32" s="229"/>
      <c r="AC32" s="229"/>
      <c r="AD32" s="229"/>
      <c r="AE32" s="229"/>
      <c r="AF32" s="229"/>
      <c r="AG32" s="229"/>
      <c r="AH32" s="229"/>
      <c r="AI32" s="229"/>
      <c r="AJ32" s="229"/>
      <c r="AK32" s="229"/>
      <c r="AL32" s="229"/>
      <c r="AM32" s="229"/>
      <c r="AN32" s="229"/>
      <c r="AO32" s="229"/>
      <c r="AP32" s="229"/>
      <c r="AQ32" s="229"/>
      <c r="AR32" s="229"/>
      <c r="AS32" s="229"/>
      <c r="AT32" s="229"/>
      <c r="AU32" s="229"/>
      <c r="AV32" s="229"/>
      <c r="AW32" s="229"/>
      <c r="AX32" s="229"/>
      <c r="AY32" s="229"/>
      <c r="AZ32" s="229"/>
      <c r="BA32" s="229"/>
      <c r="BB32" s="229"/>
      <c r="BC32" s="229"/>
      <c r="BD32" s="229"/>
      <c r="BE32" s="229"/>
      <c r="BF32" s="229"/>
      <c r="BG32" s="229"/>
      <c r="BH32" s="229"/>
      <c r="BI32" s="229"/>
      <c r="BJ32" s="229"/>
      <c r="BK32" s="229"/>
      <c r="BL32" s="229"/>
      <c r="BM32" s="229"/>
      <c r="BN32" s="229"/>
      <c r="BO32" s="229"/>
      <c r="BP32" s="229"/>
      <c r="BQ32" s="229"/>
      <c r="BR32" s="229"/>
      <c r="BS32" s="229"/>
      <c r="BT32" s="229"/>
      <c r="BU32" s="229"/>
      <c r="BV32" s="229"/>
      <c r="BW32" s="229"/>
      <c r="BX32" s="229"/>
      <c r="BY32" s="229"/>
      <c r="BZ32" s="229"/>
      <c r="CA32" s="229"/>
      <c r="CB32" s="229"/>
      <c r="CC32" s="229"/>
      <c r="CD32" s="229"/>
      <c r="CE32" s="229"/>
      <c r="CF32" s="229"/>
      <c r="CG32" s="229"/>
      <c r="CH32" s="229"/>
      <c r="CI32" s="229"/>
      <c r="CJ32" s="229"/>
      <c r="CK32" s="229"/>
      <c r="CL32" s="229"/>
      <c r="CM32" s="229"/>
      <c r="CN32" s="229"/>
      <c r="CO32" s="229"/>
      <c r="CP32" s="229"/>
      <c r="CQ32" s="229"/>
      <c r="CR32" s="229"/>
      <c r="CS32" s="229"/>
      <c r="CT32" s="229"/>
      <c r="CU32" s="229"/>
      <c r="CV32" s="229"/>
      <c r="CW32" s="229"/>
      <c r="CX32" s="229"/>
      <c r="CY32" s="229"/>
      <c r="CZ32" s="229"/>
      <c r="DA32" s="229"/>
      <c r="DB32" s="229"/>
      <c r="DC32" s="229"/>
      <c r="DD32" s="229"/>
      <c r="DE32" s="229"/>
      <c r="DF32" s="229"/>
      <c r="DG32" s="229"/>
      <c r="DH32" s="229"/>
      <c r="DI32" s="229"/>
      <c r="DJ32" s="229"/>
      <c r="DK32" s="229"/>
      <c r="DL32" s="229"/>
      <c r="DM32" s="229"/>
      <c r="DN32" s="229"/>
      <c r="DO32" s="229"/>
      <c r="DP32" s="229"/>
      <c r="DQ32" s="229"/>
      <c r="DR32" s="229"/>
      <c r="DS32" s="229"/>
      <c r="DT32" s="229"/>
      <c r="DU32" s="229"/>
      <c r="DV32" s="229"/>
      <c r="DW32" s="229"/>
      <c r="DX32" s="229"/>
      <c r="DY32" s="229"/>
      <c r="DZ32" s="229"/>
      <c r="EA32" s="229"/>
      <c r="EB32" s="229"/>
      <c r="EC32" s="229"/>
      <c r="ED32" s="229"/>
      <c r="EE32" s="229"/>
      <c r="EF32" s="229"/>
      <c r="EG32" s="229"/>
      <c r="EH32" s="229"/>
      <c r="EI32" s="229"/>
      <c r="EJ32" s="229"/>
      <c r="EK32" s="229"/>
      <c r="EL32" s="229"/>
      <c r="EM32" s="229"/>
      <c r="EN32" s="229"/>
      <c r="EO32" s="229"/>
      <c r="EP32" s="229"/>
      <c r="EQ32" s="229"/>
      <c r="ER32" s="229"/>
      <c r="ES32" s="229"/>
      <c r="ET32" s="229"/>
      <c r="EU32" s="229"/>
      <c r="EV32" s="229"/>
      <c r="EW32" s="229"/>
      <c r="EX32" s="229"/>
      <c r="EY32" s="229"/>
      <c r="EZ32" s="229"/>
      <c r="FA32" s="229"/>
      <c r="FB32" s="229"/>
      <c r="FC32" s="229"/>
    </row>
    <row r="33" spans="1:159" ht="256.5" customHeight="1">
      <c r="A33" s="83" t="str">
        <f t="shared" ref="A33:A35" ca="1" si="6">IF(AND($D$1&gt;=C33,$D$1&lt;=D33),"CurrentSprint","NA")</f>
        <v>NA</v>
      </c>
      <c r="B33" s="203" t="s">
        <v>108</v>
      </c>
      <c r="C33" s="428">
        <v>45743</v>
      </c>
      <c r="D33" s="428">
        <v>45757</v>
      </c>
      <c r="E33" s="228">
        <v>14</v>
      </c>
      <c r="F33" s="228">
        <v>11</v>
      </c>
      <c r="G33" s="449" t="s">
        <v>29</v>
      </c>
      <c r="H33" s="90"/>
      <c r="I33" s="90" t="s">
        <v>109</v>
      </c>
      <c r="J33" s="90" t="s">
        <v>110</v>
      </c>
      <c r="K33" s="321" t="s">
        <v>111</v>
      </c>
      <c r="L33" s="203"/>
      <c r="M33" s="203"/>
      <c r="N33" s="203"/>
      <c r="O33" s="203"/>
      <c r="P33" s="203"/>
      <c r="Q33" s="203"/>
      <c r="R33" s="203"/>
      <c r="S33" s="203"/>
      <c r="T33" s="203"/>
      <c r="U33" s="203"/>
      <c r="V33" s="203"/>
      <c r="W33" s="203"/>
      <c r="X33" s="203"/>
      <c r="Y33" s="203"/>
      <c r="Z33" s="203"/>
      <c r="AA33" s="203"/>
      <c r="AB33" s="203"/>
      <c r="AC33" s="203"/>
      <c r="AD33" s="203"/>
      <c r="AE33" s="203"/>
      <c r="AF33" s="203"/>
      <c r="AG33" s="203"/>
      <c r="AH33" s="203"/>
      <c r="AI33" s="203"/>
      <c r="AJ33" s="203"/>
      <c r="AK33" s="203"/>
      <c r="AL33" s="203"/>
      <c r="AM33" s="203"/>
      <c r="AN33" s="203"/>
      <c r="AO33" s="203"/>
      <c r="AP33" s="203"/>
      <c r="AQ33" s="203"/>
      <c r="AR33" s="203"/>
      <c r="AS33" s="203"/>
      <c r="AT33" s="203"/>
      <c r="AU33" s="203"/>
      <c r="AV33" s="203"/>
      <c r="AW33" s="203"/>
      <c r="AX33" s="203"/>
      <c r="AY33" s="203"/>
      <c r="AZ33" s="203"/>
      <c r="BA33" s="203"/>
      <c r="BB33" s="203"/>
      <c r="BC33" s="203"/>
      <c r="BD33" s="203"/>
      <c r="BE33" s="203"/>
      <c r="BF33" s="203"/>
      <c r="BG33" s="203"/>
      <c r="BH33" s="203"/>
      <c r="BI33" s="203"/>
      <c r="BJ33" s="203"/>
      <c r="BK33" s="203"/>
      <c r="BL33" s="203"/>
      <c r="BM33" s="203"/>
      <c r="BN33" s="203"/>
      <c r="BO33" s="203"/>
      <c r="BP33" s="203"/>
      <c r="BQ33" s="203"/>
      <c r="BR33" s="203"/>
      <c r="BS33" s="203"/>
      <c r="BT33" s="203"/>
      <c r="BU33" s="203"/>
      <c r="BV33" s="203"/>
      <c r="BW33" s="203"/>
      <c r="BX33" s="203"/>
      <c r="BY33" s="203"/>
      <c r="BZ33" s="203"/>
      <c r="CA33" s="203"/>
      <c r="CB33" s="203"/>
      <c r="CC33" s="203"/>
      <c r="CD33" s="203"/>
      <c r="CE33" s="203"/>
      <c r="CF33" s="203"/>
      <c r="CG33" s="203"/>
      <c r="CH33" s="203"/>
      <c r="CI33" s="203"/>
      <c r="CJ33" s="203"/>
      <c r="CK33" s="203"/>
      <c r="CL33" s="203"/>
      <c r="CM33" s="203"/>
      <c r="CN33" s="203"/>
      <c r="CO33" s="203"/>
      <c r="CP33" s="203"/>
      <c r="CQ33" s="203"/>
      <c r="CR33" s="203"/>
      <c r="CS33" s="203"/>
      <c r="CT33" s="203"/>
      <c r="CU33" s="203"/>
      <c r="CV33" s="203"/>
      <c r="CW33" s="203"/>
      <c r="CX33" s="203"/>
      <c r="CY33" s="203"/>
      <c r="CZ33" s="203"/>
      <c r="DA33" s="203"/>
      <c r="DB33" s="203"/>
      <c r="DC33" s="203"/>
      <c r="DD33" s="203"/>
      <c r="DE33" s="203"/>
      <c r="DF33" s="203"/>
      <c r="DG33" s="203"/>
      <c r="DH33" s="203"/>
      <c r="DI33" s="203"/>
      <c r="DJ33" s="203"/>
      <c r="DK33" s="203"/>
      <c r="DL33" s="203"/>
      <c r="DM33" s="203"/>
      <c r="DN33" s="203"/>
      <c r="DO33" s="203"/>
      <c r="DP33" s="203"/>
      <c r="DQ33" s="203"/>
      <c r="DR33" s="203"/>
      <c r="DS33" s="203"/>
      <c r="DT33" s="203"/>
      <c r="DU33" s="203"/>
      <c r="DV33" s="203"/>
      <c r="DW33" s="203"/>
      <c r="DX33" s="203"/>
      <c r="DY33" s="203"/>
      <c r="DZ33" s="203"/>
      <c r="EA33" s="203"/>
      <c r="EB33" s="203"/>
      <c r="EC33" s="203"/>
      <c r="ED33" s="203"/>
      <c r="EE33" s="203"/>
      <c r="EF33" s="203"/>
      <c r="EG33" s="203"/>
      <c r="EH33" s="203"/>
      <c r="EI33" s="203"/>
      <c r="EJ33" s="203"/>
      <c r="EK33" s="203"/>
      <c r="EL33" s="203"/>
      <c r="EM33" s="203"/>
      <c r="EN33" s="203"/>
      <c r="EO33" s="203"/>
      <c r="EP33" s="203"/>
      <c r="EQ33" s="203"/>
      <c r="ER33" s="203"/>
      <c r="ES33" s="203"/>
      <c r="ET33" s="203"/>
      <c r="EU33" s="203"/>
      <c r="EV33" s="203"/>
      <c r="EW33" s="203"/>
      <c r="EX33" s="203"/>
      <c r="EY33" s="203"/>
      <c r="EZ33" s="203"/>
      <c r="FA33" s="203"/>
      <c r="FB33" s="203"/>
      <c r="FC33" s="203"/>
    </row>
    <row r="34" spans="1:159" ht="240.75" customHeight="1">
      <c r="A34" s="83" t="str">
        <f t="shared" ca="1" si="6"/>
        <v>NA</v>
      </c>
      <c r="B34" s="203" t="s">
        <v>112</v>
      </c>
      <c r="C34" s="428">
        <v>45757</v>
      </c>
      <c r="D34" s="428">
        <v>45771</v>
      </c>
      <c r="E34" s="228">
        <v>11</v>
      </c>
      <c r="F34" s="228">
        <v>14</v>
      </c>
      <c r="G34" s="449" t="s">
        <v>25</v>
      </c>
      <c r="H34" s="90"/>
      <c r="I34" s="90" t="s">
        <v>113</v>
      </c>
      <c r="J34" s="183" t="s">
        <v>114</v>
      </c>
      <c r="K34" s="350" t="s">
        <v>115</v>
      </c>
      <c r="L34" s="203"/>
      <c r="M34" s="203"/>
      <c r="N34" s="203"/>
      <c r="O34" s="203"/>
      <c r="P34" s="203"/>
      <c r="Q34" s="203"/>
      <c r="R34" s="203"/>
      <c r="S34" s="203"/>
      <c r="T34" s="203"/>
      <c r="U34" s="203"/>
      <c r="V34" s="203"/>
      <c r="W34" s="203"/>
      <c r="X34" s="203"/>
      <c r="Y34" s="203"/>
      <c r="Z34" s="203"/>
      <c r="AA34" s="203"/>
      <c r="AB34" s="203"/>
      <c r="AC34" s="203"/>
      <c r="AD34" s="203"/>
      <c r="AE34" s="203"/>
      <c r="AF34" s="203"/>
      <c r="AG34" s="203"/>
      <c r="AH34" s="203"/>
      <c r="AI34" s="203"/>
      <c r="AJ34" s="203"/>
      <c r="AK34" s="203"/>
      <c r="AL34" s="203"/>
      <c r="AM34" s="203"/>
      <c r="AN34" s="203"/>
      <c r="AO34" s="203"/>
      <c r="AP34" s="203"/>
      <c r="AQ34" s="203"/>
      <c r="AR34" s="203"/>
      <c r="AS34" s="203"/>
      <c r="AT34" s="203"/>
      <c r="AU34" s="203"/>
      <c r="AV34" s="203"/>
      <c r="AW34" s="203"/>
      <c r="AX34" s="203"/>
      <c r="AY34" s="203"/>
      <c r="AZ34" s="203"/>
      <c r="BA34" s="203"/>
      <c r="BB34" s="203"/>
      <c r="BC34" s="203"/>
      <c r="BD34" s="203"/>
      <c r="BE34" s="203"/>
      <c r="BF34" s="203"/>
      <c r="BG34" s="203"/>
      <c r="BH34" s="203"/>
      <c r="BI34" s="203"/>
      <c r="BJ34" s="203"/>
      <c r="BK34" s="203"/>
      <c r="BL34" s="203"/>
      <c r="BM34" s="203"/>
      <c r="BN34" s="203"/>
      <c r="BO34" s="203"/>
      <c r="BP34" s="203"/>
      <c r="BQ34" s="203"/>
      <c r="BR34" s="203"/>
      <c r="BS34" s="203"/>
      <c r="BT34" s="203"/>
      <c r="BU34" s="203"/>
      <c r="BV34" s="203"/>
      <c r="BW34" s="203"/>
      <c r="BX34" s="203"/>
      <c r="BY34" s="203"/>
      <c r="BZ34" s="203"/>
      <c r="CA34" s="203"/>
      <c r="CB34" s="203"/>
      <c r="CC34" s="203"/>
      <c r="CD34" s="203"/>
      <c r="CE34" s="203"/>
      <c r="CF34" s="203"/>
      <c r="CG34" s="203"/>
      <c r="CH34" s="203"/>
      <c r="CI34" s="203"/>
      <c r="CJ34" s="203"/>
      <c r="CK34" s="203"/>
      <c r="CL34" s="203"/>
      <c r="CM34" s="203"/>
      <c r="CN34" s="203"/>
      <c r="CO34" s="203"/>
      <c r="CP34" s="203"/>
      <c r="CQ34" s="203"/>
      <c r="CR34" s="203"/>
      <c r="CS34" s="203"/>
      <c r="CT34" s="203"/>
      <c r="CU34" s="203"/>
      <c r="CV34" s="203"/>
      <c r="CW34" s="203"/>
      <c r="CX34" s="203"/>
      <c r="CY34" s="203"/>
      <c r="CZ34" s="203"/>
      <c r="DA34" s="203"/>
      <c r="DB34" s="203"/>
      <c r="DC34" s="203"/>
      <c r="DD34" s="203"/>
      <c r="DE34" s="203"/>
      <c r="DF34" s="203"/>
      <c r="DG34" s="203"/>
      <c r="DH34" s="203"/>
      <c r="DI34" s="203"/>
      <c r="DJ34" s="203"/>
      <c r="DK34" s="203"/>
      <c r="DL34" s="203"/>
      <c r="DM34" s="203"/>
      <c r="DN34" s="203"/>
      <c r="DO34" s="203"/>
      <c r="DP34" s="203"/>
      <c r="DQ34" s="203"/>
      <c r="DR34" s="203"/>
      <c r="DS34" s="203"/>
      <c r="DT34" s="203"/>
      <c r="DU34" s="203"/>
      <c r="DV34" s="203"/>
      <c r="DW34" s="203"/>
      <c r="DX34" s="203"/>
      <c r="DY34" s="203"/>
      <c r="DZ34" s="203"/>
      <c r="EA34" s="203"/>
      <c r="EB34" s="203"/>
      <c r="EC34" s="203"/>
      <c r="ED34" s="203"/>
      <c r="EE34" s="203"/>
      <c r="EF34" s="203"/>
      <c r="EG34" s="203"/>
      <c r="EH34" s="203"/>
      <c r="EI34" s="203"/>
      <c r="EJ34" s="203"/>
      <c r="EK34" s="203"/>
      <c r="EL34" s="203"/>
      <c r="EM34" s="203"/>
      <c r="EN34" s="203"/>
      <c r="EO34" s="203"/>
      <c r="EP34" s="203"/>
      <c r="EQ34" s="203"/>
      <c r="ER34" s="203"/>
      <c r="ES34" s="203"/>
      <c r="ET34" s="203"/>
      <c r="EU34" s="203"/>
      <c r="EV34" s="203"/>
      <c r="EW34" s="203"/>
      <c r="EX34" s="203"/>
      <c r="EY34" s="203"/>
      <c r="EZ34" s="203"/>
      <c r="FA34" s="203"/>
      <c r="FB34" s="203"/>
      <c r="FC34" s="203"/>
    </row>
    <row r="35" spans="1:159" ht="255" customHeight="1">
      <c r="A35" s="83" t="str">
        <f t="shared" ca="1" si="6"/>
        <v>NA</v>
      </c>
      <c r="B35" s="316" t="s">
        <v>116</v>
      </c>
      <c r="C35" s="428">
        <v>45771</v>
      </c>
      <c r="D35" s="428">
        <v>45785</v>
      </c>
      <c r="E35" s="228">
        <v>15</v>
      </c>
      <c r="F35" s="228">
        <v>11</v>
      </c>
      <c r="G35" s="449" t="s">
        <v>29</v>
      </c>
      <c r="H35" s="90"/>
      <c r="I35" s="90" t="s">
        <v>117</v>
      </c>
      <c r="J35" s="183" t="s">
        <v>118</v>
      </c>
      <c r="K35" s="350" t="s">
        <v>119</v>
      </c>
      <c r="L35" s="203"/>
      <c r="M35" s="203"/>
      <c r="N35" s="203"/>
      <c r="O35" s="203"/>
      <c r="P35" s="203"/>
      <c r="Q35" s="203"/>
      <c r="R35" s="203"/>
      <c r="S35" s="203"/>
      <c r="T35" s="203"/>
      <c r="U35" s="203"/>
      <c r="V35" s="203"/>
      <c r="W35" s="203"/>
      <c r="X35" s="203"/>
      <c r="Y35" s="203"/>
      <c r="Z35" s="203"/>
      <c r="AA35" s="203"/>
      <c r="AB35" s="203"/>
      <c r="AC35" s="203"/>
      <c r="AD35" s="203"/>
      <c r="AE35" s="203"/>
      <c r="AF35" s="203"/>
      <c r="AG35" s="203"/>
      <c r="AH35" s="203"/>
      <c r="AI35" s="203"/>
      <c r="AJ35" s="203"/>
      <c r="AK35" s="203"/>
      <c r="AL35" s="203"/>
      <c r="AM35" s="203"/>
      <c r="AN35" s="203"/>
      <c r="AO35" s="203"/>
      <c r="AP35" s="203"/>
      <c r="AQ35" s="203"/>
      <c r="AR35" s="203"/>
      <c r="AS35" s="203"/>
      <c r="AT35" s="203"/>
      <c r="AU35" s="203"/>
      <c r="AV35" s="203"/>
      <c r="AW35" s="203"/>
      <c r="AX35" s="203"/>
      <c r="AY35" s="203"/>
      <c r="AZ35" s="203"/>
      <c r="BA35" s="203"/>
      <c r="BB35" s="203"/>
      <c r="BC35" s="203"/>
      <c r="BD35" s="203"/>
      <c r="BE35" s="203"/>
      <c r="BF35" s="203"/>
      <c r="BG35" s="203"/>
      <c r="BH35" s="203"/>
      <c r="BI35" s="203"/>
      <c r="BJ35" s="203"/>
      <c r="BK35" s="203"/>
      <c r="BL35" s="203"/>
      <c r="BM35" s="203"/>
      <c r="BN35" s="203"/>
      <c r="BO35" s="203"/>
      <c r="BP35" s="203"/>
      <c r="BQ35" s="203"/>
      <c r="BR35" s="203"/>
      <c r="BS35" s="203"/>
      <c r="BT35" s="203"/>
      <c r="BU35" s="203"/>
      <c r="BV35" s="203"/>
      <c r="BW35" s="203"/>
      <c r="BX35" s="203"/>
      <c r="BY35" s="203"/>
      <c r="BZ35" s="203"/>
      <c r="CA35" s="203"/>
      <c r="CB35" s="203"/>
      <c r="CC35" s="203"/>
      <c r="CD35" s="203"/>
      <c r="CE35" s="203"/>
      <c r="CF35" s="203"/>
      <c r="CG35" s="203"/>
      <c r="CH35" s="203"/>
      <c r="CI35" s="203"/>
      <c r="CJ35" s="203"/>
      <c r="CK35" s="203"/>
      <c r="CL35" s="203"/>
      <c r="CM35" s="203"/>
      <c r="CN35" s="203"/>
      <c r="CO35" s="203"/>
      <c r="CP35" s="203"/>
      <c r="CQ35" s="203"/>
      <c r="CR35" s="203"/>
      <c r="CS35" s="203"/>
      <c r="CT35" s="203"/>
      <c r="CU35" s="203"/>
      <c r="CV35" s="203"/>
      <c r="CW35" s="203"/>
      <c r="CX35" s="203"/>
      <c r="CY35" s="203"/>
      <c r="CZ35" s="203"/>
      <c r="DA35" s="203"/>
      <c r="DB35" s="203"/>
      <c r="DC35" s="203"/>
      <c r="DD35" s="203"/>
      <c r="DE35" s="203"/>
      <c r="DF35" s="203"/>
      <c r="DG35" s="203"/>
      <c r="DH35" s="203"/>
      <c r="DI35" s="203"/>
      <c r="DJ35" s="203"/>
      <c r="DK35" s="203"/>
      <c r="DL35" s="203"/>
      <c r="DM35" s="203"/>
      <c r="DN35" s="203"/>
      <c r="DO35" s="203"/>
      <c r="DP35" s="203"/>
      <c r="DQ35" s="203"/>
      <c r="DR35" s="203"/>
      <c r="DS35" s="203"/>
      <c r="DT35" s="203"/>
      <c r="DU35" s="203"/>
      <c r="DV35" s="203"/>
      <c r="DW35" s="203"/>
      <c r="DX35" s="203"/>
      <c r="DY35" s="203"/>
      <c r="DZ35" s="203"/>
      <c r="EA35" s="203"/>
      <c r="EB35" s="203"/>
      <c r="EC35" s="203"/>
      <c r="ED35" s="203"/>
      <c r="EE35" s="203"/>
      <c r="EF35" s="203"/>
      <c r="EG35" s="203"/>
      <c r="EH35" s="203"/>
      <c r="EI35" s="203"/>
      <c r="EJ35" s="203"/>
      <c r="EK35" s="203"/>
      <c r="EL35" s="203"/>
      <c r="EM35" s="203"/>
      <c r="EN35" s="203"/>
      <c r="EO35" s="203"/>
      <c r="EP35" s="203"/>
      <c r="EQ35" s="203"/>
      <c r="ER35" s="203"/>
      <c r="ES35" s="203"/>
      <c r="ET35" s="203"/>
      <c r="EU35" s="203"/>
      <c r="EV35" s="203"/>
      <c r="EW35" s="203"/>
      <c r="EX35" s="203"/>
      <c r="EY35" s="203"/>
      <c r="EZ35" s="203"/>
      <c r="FA35" s="203"/>
      <c r="FB35" s="203"/>
      <c r="FC35" s="203"/>
    </row>
    <row r="36" spans="1:159" ht="150.75" customHeight="1">
      <c r="A36" s="83" t="str">
        <f t="shared" ref="A36" ca="1" si="7">IF(AND($D$1&gt;=C36,$D$1&lt;=D36),"CurrentSprint","NA")</f>
        <v>NA</v>
      </c>
      <c r="B36" s="316" t="s">
        <v>120</v>
      </c>
      <c r="C36" s="428">
        <v>45785</v>
      </c>
      <c r="D36" s="428">
        <v>45799</v>
      </c>
      <c r="E36" s="228">
        <v>15</v>
      </c>
      <c r="F36" s="228">
        <v>15</v>
      </c>
      <c r="G36" s="449" t="s">
        <v>29</v>
      </c>
      <c r="H36" s="90"/>
      <c r="I36" s="90" t="s">
        <v>121</v>
      </c>
      <c r="J36" s="183" t="s">
        <v>122</v>
      </c>
      <c r="K36" s="350" t="s">
        <v>123</v>
      </c>
      <c r="L36" s="203"/>
      <c r="M36" s="203"/>
      <c r="N36" s="203"/>
      <c r="O36" s="203"/>
      <c r="P36" s="203"/>
      <c r="Q36" s="203"/>
      <c r="R36" s="203"/>
      <c r="S36" s="203"/>
      <c r="T36" s="203"/>
      <c r="U36" s="203"/>
      <c r="V36" s="203"/>
      <c r="W36" s="203"/>
      <c r="X36" s="203"/>
      <c r="Y36" s="203"/>
      <c r="Z36" s="203"/>
      <c r="AA36" s="203"/>
      <c r="AB36" s="203"/>
      <c r="AC36" s="203"/>
      <c r="AD36" s="203"/>
      <c r="AE36" s="203"/>
      <c r="AF36" s="203"/>
      <c r="AG36" s="203"/>
      <c r="AH36" s="203"/>
      <c r="AI36" s="203"/>
      <c r="AJ36" s="203"/>
      <c r="AK36" s="203"/>
      <c r="AL36" s="203"/>
      <c r="AM36" s="203"/>
      <c r="AN36" s="203"/>
      <c r="AO36" s="203"/>
      <c r="AP36" s="203"/>
      <c r="AQ36" s="203"/>
      <c r="AR36" s="203"/>
      <c r="AS36" s="203"/>
      <c r="AT36" s="203"/>
      <c r="AU36" s="203"/>
      <c r="AV36" s="203"/>
      <c r="AW36" s="203"/>
      <c r="AX36" s="203"/>
      <c r="AY36" s="203"/>
      <c r="AZ36" s="203"/>
      <c r="BA36" s="203"/>
      <c r="BB36" s="203"/>
      <c r="BC36" s="203"/>
      <c r="BD36" s="203"/>
      <c r="BE36" s="203"/>
      <c r="BF36" s="203"/>
      <c r="BG36" s="203"/>
      <c r="BH36" s="203"/>
      <c r="BI36" s="203"/>
      <c r="BJ36" s="203"/>
      <c r="BK36" s="203"/>
      <c r="BL36" s="203"/>
      <c r="BM36" s="203"/>
      <c r="BN36" s="203"/>
      <c r="BO36" s="203"/>
      <c r="BP36" s="203"/>
      <c r="BQ36" s="203"/>
      <c r="BR36" s="203"/>
      <c r="BS36" s="203"/>
      <c r="BT36" s="203"/>
      <c r="BU36" s="203"/>
      <c r="BV36" s="203"/>
      <c r="BW36" s="203"/>
      <c r="BX36" s="203"/>
      <c r="BY36" s="203"/>
      <c r="BZ36" s="203"/>
      <c r="CA36" s="203"/>
      <c r="CB36" s="203"/>
      <c r="CC36" s="203"/>
      <c r="CD36" s="203"/>
      <c r="CE36" s="203"/>
      <c r="CF36" s="203"/>
      <c r="CG36" s="203"/>
      <c r="CH36" s="203"/>
      <c r="CI36" s="203"/>
      <c r="CJ36" s="203"/>
      <c r="CK36" s="203"/>
      <c r="CL36" s="203"/>
      <c r="CM36" s="203"/>
      <c r="CN36" s="203"/>
      <c r="CO36" s="203"/>
      <c r="CP36" s="203"/>
      <c r="CQ36" s="203"/>
      <c r="CR36" s="203"/>
      <c r="CS36" s="203"/>
      <c r="CT36" s="203"/>
      <c r="CU36" s="203"/>
      <c r="CV36" s="203"/>
      <c r="CW36" s="203"/>
      <c r="CX36" s="203"/>
      <c r="CY36" s="203"/>
      <c r="CZ36" s="203"/>
      <c r="DA36" s="203"/>
      <c r="DB36" s="203"/>
      <c r="DC36" s="203"/>
      <c r="DD36" s="203"/>
      <c r="DE36" s="203"/>
      <c r="DF36" s="203"/>
      <c r="DG36" s="203"/>
      <c r="DH36" s="203"/>
      <c r="DI36" s="203"/>
      <c r="DJ36" s="203"/>
      <c r="DK36" s="203"/>
      <c r="DL36" s="203"/>
      <c r="DM36" s="203"/>
      <c r="DN36" s="203"/>
      <c r="DO36" s="203"/>
      <c r="DP36" s="203"/>
      <c r="DQ36" s="203"/>
      <c r="DR36" s="203"/>
      <c r="DS36" s="203"/>
      <c r="DT36" s="203"/>
      <c r="DU36" s="203"/>
      <c r="DV36" s="203"/>
      <c r="DW36" s="203"/>
      <c r="DX36" s="203"/>
      <c r="DY36" s="203"/>
      <c r="DZ36" s="203"/>
      <c r="EA36" s="203"/>
      <c r="EB36" s="203"/>
      <c r="EC36" s="203"/>
      <c r="ED36" s="203"/>
      <c r="EE36" s="203"/>
      <c r="EF36" s="203"/>
      <c r="EG36" s="203"/>
      <c r="EH36" s="203"/>
      <c r="EI36" s="203"/>
      <c r="EJ36" s="203"/>
      <c r="EK36" s="203"/>
      <c r="EL36" s="203"/>
      <c r="EM36" s="203"/>
      <c r="EN36" s="203"/>
      <c r="EO36" s="203"/>
      <c r="EP36" s="203"/>
      <c r="EQ36" s="203"/>
      <c r="ER36" s="203"/>
      <c r="ES36" s="203"/>
      <c r="ET36" s="203"/>
      <c r="EU36" s="203"/>
      <c r="EV36" s="203"/>
      <c r="EW36" s="203"/>
      <c r="EX36" s="203"/>
      <c r="EY36" s="203"/>
      <c r="EZ36" s="203"/>
      <c r="FA36" s="203"/>
      <c r="FB36" s="203"/>
      <c r="FC36" s="203"/>
    </row>
    <row r="37" spans="1:159" ht="222.75" customHeight="1">
      <c r="A37" s="83" t="str">
        <f t="shared" ref="A37" ca="1" si="8">IF(AND($D$1&gt;=C37,$D$1&lt;=D37),"CurrentSprint","NA")</f>
        <v>NA</v>
      </c>
      <c r="B37" s="316" t="s">
        <v>124</v>
      </c>
      <c r="C37" s="428">
        <v>45800</v>
      </c>
      <c r="D37" s="428">
        <v>45814</v>
      </c>
      <c r="E37" s="228">
        <v>16</v>
      </c>
      <c r="F37" s="228">
        <v>14</v>
      </c>
      <c r="G37" s="449" t="s">
        <v>43</v>
      </c>
      <c r="H37" s="90"/>
      <c r="I37" s="90" t="s">
        <v>125</v>
      </c>
      <c r="J37" s="183" t="s">
        <v>126</v>
      </c>
      <c r="K37" s="350" t="s">
        <v>127</v>
      </c>
      <c r="L37" s="203"/>
      <c r="M37" s="203"/>
      <c r="N37" s="203"/>
      <c r="O37" s="203"/>
      <c r="P37" s="203"/>
      <c r="Q37" s="203"/>
      <c r="R37" s="203"/>
      <c r="S37" s="203"/>
      <c r="T37" s="203"/>
      <c r="U37" s="203"/>
      <c r="V37" s="203"/>
      <c r="W37" s="203"/>
      <c r="X37" s="203"/>
      <c r="Y37" s="203"/>
      <c r="Z37" s="203"/>
      <c r="AA37" s="203"/>
      <c r="AB37" s="203"/>
      <c r="AC37" s="203"/>
      <c r="AD37" s="203"/>
      <c r="AE37" s="203"/>
      <c r="AF37" s="203"/>
      <c r="AG37" s="203"/>
      <c r="AH37" s="203"/>
      <c r="AI37" s="203"/>
      <c r="AJ37" s="203"/>
      <c r="AK37" s="203"/>
      <c r="AL37" s="203"/>
      <c r="AM37" s="203"/>
      <c r="AN37" s="203"/>
      <c r="AO37" s="203"/>
      <c r="AP37" s="203"/>
      <c r="AQ37" s="203"/>
      <c r="AR37" s="203"/>
      <c r="AS37" s="203"/>
      <c r="AT37" s="203"/>
      <c r="AU37" s="203"/>
      <c r="AV37" s="203"/>
      <c r="AW37" s="203"/>
      <c r="AX37" s="203"/>
      <c r="AY37" s="203"/>
      <c r="AZ37" s="203"/>
      <c r="BA37" s="203"/>
      <c r="BB37" s="203"/>
      <c r="BC37" s="203"/>
      <c r="BD37" s="203"/>
      <c r="BE37" s="203"/>
      <c r="BF37" s="203"/>
      <c r="BG37" s="203"/>
      <c r="BH37" s="203"/>
      <c r="BI37" s="203"/>
      <c r="BJ37" s="203"/>
      <c r="BK37" s="203"/>
      <c r="BL37" s="203"/>
      <c r="BM37" s="203"/>
      <c r="BN37" s="203"/>
      <c r="BO37" s="203"/>
      <c r="BP37" s="203"/>
      <c r="BQ37" s="203"/>
      <c r="BR37" s="203"/>
      <c r="BS37" s="203"/>
      <c r="BT37" s="203"/>
      <c r="BU37" s="203"/>
      <c r="BV37" s="203"/>
      <c r="BW37" s="203"/>
      <c r="BX37" s="203"/>
      <c r="BY37" s="203"/>
      <c r="BZ37" s="203"/>
      <c r="CA37" s="203"/>
      <c r="CB37" s="203"/>
      <c r="CC37" s="203"/>
      <c r="CD37" s="203"/>
      <c r="CE37" s="203"/>
      <c r="CF37" s="203"/>
      <c r="CG37" s="203"/>
      <c r="CH37" s="203"/>
      <c r="CI37" s="203"/>
      <c r="CJ37" s="203"/>
      <c r="CK37" s="203"/>
      <c r="CL37" s="203"/>
      <c r="CM37" s="203"/>
      <c r="CN37" s="203"/>
      <c r="CO37" s="203"/>
      <c r="CP37" s="203"/>
      <c r="CQ37" s="203"/>
      <c r="CR37" s="203"/>
      <c r="CS37" s="203"/>
      <c r="CT37" s="203"/>
      <c r="CU37" s="203"/>
      <c r="CV37" s="203"/>
      <c r="CW37" s="203"/>
      <c r="CX37" s="203"/>
      <c r="CY37" s="203"/>
      <c r="CZ37" s="203"/>
      <c r="DA37" s="203"/>
      <c r="DB37" s="203"/>
      <c r="DC37" s="203"/>
      <c r="DD37" s="203"/>
      <c r="DE37" s="203"/>
      <c r="DF37" s="203"/>
      <c r="DG37" s="203"/>
      <c r="DH37" s="203"/>
      <c r="DI37" s="203"/>
      <c r="DJ37" s="203"/>
      <c r="DK37" s="203"/>
      <c r="DL37" s="203"/>
      <c r="DM37" s="203"/>
      <c r="DN37" s="203"/>
      <c r="DO37" s="203"/>
      <c r="DP37" s="203"/>
      <c r="DQ37" s="203"/>
      <c r="DR37" s="203"/>
      <c r="DS37" s="203"/>
      <c r="DT37" s="203"/>
      <c r="DU37" s="203"/>
      <c r="DV37" s="203"/>
      <c r="DW37" s="203"/>
      <c r="DX37" s="203"/>
      <c r="DY37" s="203"/>
      <c r="DZ37" s="203"/>
      <c r="EA37" s="203"/>
      <c r="EB37" s="203"/>
      <c r="EC37" s="203"/>
      <c r="ED37" s="203"/>
      <c r="EE37" s="203"/>
      <c r="EF37" s="203"/>
      <c r="EG37" s="203"/>
      <c r="EH37" s="203"/>
      <c r="EI37" s="203"/>
      <c r="EJ37" s="203"/>
      <c r="EK37" s="203"/>
      <c r="EL37" s="203"/>
      <c r="EM37" s="203"/>
      <c r="EN37" s="203"/>
      <c r="EO37" s="203"/>
      <c r="EP37" s="203"/>
      <c r="EQ37" s="203"/>
      <c r="ER37" s="203"/>
      <c r="ES37" s="203"/>
      <c r="ET37" s="203"/>
      <c r="EU37" s="203"/>
      <c r="EV37" s="203"/>
      <c r="EW37" s="203"/>
      <c r="EX37" s="203"/>
      <c r="EY37" s="203"/>
      <c r="EZ37" s="203"/>
      <c r="FA37" s="203"/>
      <c r="FB37" s="203"/>
      <c r="FC37" s="203"/>
    </row>
    <row r="38" spans="1:159" ht="246" customHeight="1">
      <c r="A38" s="83" t="str">
        <f t="shared" ref="A38" ca="1" si="9">IF(AND($D$1&gt;=C38,$D$1&lt;=D38),"CurrentSprint","NA")</f>
        <v>NA</v>
      </c>
      <c r="B38" s="316" t="s">
        <v>128</v>
      </c>
      <c r="C38" s="428">
        <v>45813</v>
      </c>
      <c r="D38" s="428">
        <v>45826</v>
      </c>
      <c r="E38" s="228">
        <v>20</v>
      </c>
      <c r="F38" s="228">
        <v>13</v>
      </c>
      <c r="G38" s="449" t="s">
        <v>53</v>
      </c>
      <c r="H38" s="90"/>
      <c r="I38" s="90" t="s">
        <v>129</v>
      </c>
      <c r="J38" s="183" t="s">
        <v>130</v>
      </c>
      <c r="K38" s="350" t="s">
        <v>131</v>
      </c>
      <c r="L38" s="203"/>
      <c r="M38" s="203"/>
      <c r="N38" s="203"/>
      <c r="O38" s="203"/>
      <c r="P38" s="203"/>
      <c r="Q38" s="203"/>
      <c r="R38" s="203"/>
      <c r="S38" s="203"/>
      <c r="T38" s="203"/>
      <c r="U38" s="203"/>
      <c r="V38" s="203"/>
      <c r="W38" s="203"/>
      <c r="X38" s="203"/>
      <c r="Y38" s="203"/>
      <c r="Z38" s="203"/>
      <c r="AA38" s="203"/>
      <c r="AB38" s="203"/>
      <c r="AC38" s="203"/>
      <c r="AD38" s="203"/>
      <c r="AE38" s="203"/>
      <c r="AF38" s="203"/>
      <c r="AG38" s="203"/>
      <c r="AH38" s="203"/>
      <c r="AI38" s="203"/>
      <c r="AJ38" s="203"/>
      <c r="AK38" s="203"/>
      <c r="AL38" s="203"/>
      <c r="AM38" s="203"/>
      <c r="AN38" s="203"/>
      <c r="AO38" s="203"/>
      <c r="AP38" s="203"/>
      <c r="AQ38" s="203"/>
      <c r="AR38" s="203"/>
      <c r="AS38" s="203"/>
      <c r="AT38" s="203"/>
      <c r="AU38" s="203"/>
      <c r="AV38" s="203"/>
      <c r="AW38" s="203"/>
      <c r="AX38" s="203"/>
      <c r="AY38" s="203"/>
      <c r="AZ38" s="203"/>
      <c r="BA38" s="203"/>
      <c r="BB38" s="203"/>
      <c r="BC38" s="203"/>
      <c r="BD38" s="203"/>
      <c r="BE38" s="203"/>
      <c r="BF38" s="203"/>
      <c r="BG38" s="203"/>
      <c r="BH38" s="203"/>
      <c r="BI38" s="203"/>
      <c r="BJ38" s="203"/>
      <c r="BK38" s="203"/>
      <c r="BL38" s="203"/>
      <c r="BM38" s="203"/>
      <c r="BN38" s="203"/>
      <c r="BO38" s="203"/>
      <c r="BP38" s="203"/>
      <c r="BQ38" s="203"/>
      <c r="BR38" s="203"/>
      <c r="BS38" s="203"/>
      <c r="BT38" s="203"/>
      <c r="BU38" s="203"/>
      <c r="BV38" s="203"/>
      <c r="BW38" s="203"/>
      <c r="BX38" s="203"/>
      <c r="BY38" s="203"/>
      <c r="BZ38" s="203"/>
      <c r="CA38" s="203"/>
      <c r="CB38" s="203"/>
      <c r="CC38" s="203"/>
      <c r="CD38" s="203"/>
      <c r="CE38" s="203"/>
      <c r="CF38" s="203"/>
      <c r="CG38" s="203"/>
      <c r="CH38" s="203"/>
      <c r="CI38" s="203"/>
      <c r="CJ38" s="203"/>
      <c r="CK38" s="203"/>
      <c r="CL38" s="203"/>
      <c r="CM38" s="203"/>
      <c r="CN38" s="203"/>
      <c r="CO38" s="203"/>
      <c r="CP38" s="203"/>
      <c r="CQ38" s="203"/>
      <c r="CR38" s="203"/>
      <c r="CS38" s="203"/>
      <c r="CT38" s="203"/>
      <c r="CU38" s="203"/>
      <c r="CV38" s="203"/>
      <c r="CW38" s="203"/>
      <c r="CX38" s="203"/>
      <c r="CY38" s="203"/>
      <c r="CZ38" s="203"/>
      <c r="DA38" s="203"/>
      <c r="DB38" s="203"/>
      <c r="DC38" s="203"/>
      <c r="DD38" s="203"/>
      <c r="DE38" s="203"/>
      <c r="DF38" s="203"/>
      <c r="DG38" s="203"/>
      <c r="DH38" s="203"/>
      <c r="DI38" s="203"/>
      <c r="DJ38" s="203"/>
      <c r="DK38" s="203"/>
      <c r="DL38" s="203"/>
      <c r="DM38" s="203"/>
      <c r="DN38" s="203"/>
      <c r="DO38" s="203"/>
      <c r="DP38" s="203"/>
      <c r="DQ38" s="203"/>
      <c r="DR38" s="203"/>
      <c r="DS38" s="203"/>
      <c r="DT38" s="203"/>
      <c r="DU38" s="203"/>
      <c r="DV38" s="203"/>
      <c r="DW38" s="203"/>
      <c r="DX38" s="203"/>
      <c r="DY38" s="203"/>
      <c r="DZ38" s="203"/>
      <c r="EA38" s="203"/>
      <c r="EB38" s="203"/>
      <c r="EC38" s="203"/>
      <c r="ED38" s="203"/>
      <c r="EE38" s="203"/>
      <c r="EF38" s="203"/>
      <c r="EG38" s="203"/>
      <c r="EH38" s="203"/>
      <c r="EI38" s="203"/>
      <c r="EJ38" s="203"/>
      <c r="EK38" s="203"/>
      <c r="EL38" s="203"/>
      <c r="EM38" s="203"/>
      <c r="EN38" s="203"/>
      <c r="EO38" s="203"/>
      <c r="EP38" s="203"/>
      <c r="EQ38" s="203"/>
      <c r="ER38" s="203"/>
      <c r="ES38" s="203"/>
      <c r="ET38" s="203"/>
      <c r="EU38" s="203"/>
      <c r="EV38" s="203"/>
      <c r="EW38" s="203"/>
      <c r="EX38" s="203"/>
      <c r="EY38" s="203"/>
      <c r="EZ38" s="203"/>
      <c r="FA38" s="203"/>
      <c r="FB38" s="203"/>
      <c r="FC38" s="203"/>
    </row>
    <row r="39" spans="1:159" ht="223.5" customHeight="1">
      <c r="A39" s="83" t="str">
        <f t="shared" ref="A39" ca="1" si="10">IF(AND($D$1&gt;=C39,$D$1&lt;=D39),"CurrentSprint","NA")</f>
        <v>NA</v>
      </c>
      <c r="B39" s="316" t="s">
        <v>132</v>
      </c>
      <c r="C39" s="428">
        <v>45826</v>
      </c>
      <c r="D39" s="428">
        <v>45841</v>
      </c>
      <c r="E39" s="228">
        <v>17</v>
      </c>
      <c r="F39" s="228">
        <v>17</v>
      </c>
      <c r="G39" s="449" t="s">
        <v>25</v>
      </c>
      <c r="H39" s="90"/>
      <c r="I39" s="90" t="s">
        <v>133</v>
      </c>
      <c r="J39" s="183" t="s">
        <v>134</v>
      </c>
      <c r="K39" s="350" t="s">
        <v>135</v>
      </c>
      <c r="L39" s="203"/>
      <c r="M39" s="203"/>
      <c r="N39" s="203"/>
      <c r="O39" s="203"/>
      <c r="P39" s="203"/>
      <c r="Q39" s="203"/>
      <c r="R39" s="203"/>
      <c r="S39" s="203"/>
      <c r="T39" s="203"/>
      <c r="U39" s="203"/>
      <c r="V39" s="203"/>
      <c r="W39" s="203"/>
      <c r="X39" s="203"/>
      <c r="Y39" s="203"/>
      <c r="Z39" s="203"/>
      <c r="AA39" s="203"/>
      <c r="AB39" s="203"/>
      <c r="AC39" s="203"/>
      <c r="AD39" s="203"/>
      <c r="AE39" s="203"/>
      <c r="AF39" s="203"/>
      <c r="AG39" s="203"/>
      <c r="AH39" s="203"/>
      <c r="AI39" s="203"/>
      <c r="AJ39" s="203"/>
      <c r="AK39" s="203"/>
      <c r="AL39" s="203"/>
      <c r="AM39" s="203"/>
      <c r="AN39" s="203"/>
      <c r="AO39" s="203"/>
      <c r="AP39" s="203"/>
      <c r="AQ39" s="203"/>
      <c r="AR39" s="203"/>
      <c r="AS39" s="203"/>
      <c r="AT39" s="203"/>
      <c r="AU39" s="203"/>
      <c r="AV39" s="203"/>
      <c r="AW39" s="203"/>
      <c r="AX39" s="203"/>
      <c r="AY39" s="203"/>
      <c r="AZ39" s="203"/>
      <c r="BA39" s="203"/>
      <c r="BB39" s="203"/>
      <c r="BC39" s="203"/>
      <c r="BD39" s="203"/>
      <c r="BE39" s="203"/>
      <c r="BF39" s="203"/>
      <c r="BG39" s="203"/>
      <c r="BH39" s="203"/>
      <c r="BI39" s="203"/>
      <c r="BJ39" s="203"/>
      <c r="BK39" s="203"/>
      <c r="BL39" s="203"/>
      <c r="BM39" s="203"/>
      <c r="BN39" s="203"/>
      <c r="BO39" s="203"/>
      <c r="BP39" s="203"/>
      <c r="BQ39" s="203"/>
      <c r="BR39" s="203"/>
      <c r="BS39" s="203"/>
      <c r="BT39" s="203"/>
      <c r="BU39" s="203"/>
      <c r="BV39" s="203"/>
      <c r="BW39" s="203"/>
      <c r="BX39" s="203"/>
      <c r="BY39" s="203"/>
      <c r="BZ39" s="203"/>
      <c r="CA39" s="203"/>
      <c r="CB39" s="203"/>
      <c r="CC39" s="203"/>
      <c r="CD39" s="203"/>
      <c r="CE39" s="203"/>
      <c r="CF39" s="203"/>
      <c r="CG39" s="203"/>
      <c r="CH39" s="203"/>
      <c r="CI39" s="203"/>
      <c r="CJ39" s="203"/>
      <c r="CK39" s="203"/>
      <c r="CL39" s="203"/>
      <c r="CM39" s="203"/>
      <c r="CN39" s="203"/>
      <c r="CO39" s="203"/>
      <c r="CP39" s="203"/>
      <c r="CQ39" s="203"/>
      <c r="CR39" s="203"/>
      <c r="CS39" s="203"/>
      <c r="CT39" s="203"/>
      <c r="CU39" s="203"/>
      <c r="CV39" s="203"/>
      <c r="CW39" s="203"/>
      <c r="CX39" s="203"/>
      <c r="CY39" s="203"/>
      <c r="CZ39" s="203"/>
      <c r="DA39" s="203"/>
      <c r="DB39" s="203"/>
      <c r="DC39" s="203"/>
      <c r="DD39" s="203"/>
      <c r="DE39" s="203"/>
      <c r="DF39" s="203"/>
      <c r="DG39" s="203"/>
      <c r="DH39" s="203"/>
      <c r="DI39" s="203"/>
      <c r="DJ39" s="203"/>
      <c r="DK39" s="203"/>
      <c r="DL39" s="203"/>
      <c r="DM39" s="203"/>
      <c r="DN39" s="203"/>
      <c r="DO39" s="203"/>
      <c r="DP39" s="203"/>
      <c r="DQ39" s="203"/>
      <c r="DR39" s="203"/>
      <c r="DS39" s="203"/>
      <c r="DT39" s="203"/>
      <c r="DU39" s="203"/>
      <c r="DV39" s="203"/>
      <c r="DW39" s="203"/>
      <c r="DX39" s="203"/>
      <c r="DY39" s="203"/>
      <c r="DZ39" s="203"/>
      <c r="EA39" s="203"/>
      <c r="EB39" s="203"/>
      <c r="EC39" s="203"/>
      <c r="ED39" s="203"/>
      <c r="EE39" s="203"/>
      <c r="EF39" s="203"/>
      <c r="EG39" s="203"/>
      <c r="EH39" s="203"/>
      <c r="EI39" s="203"/>
      <c r="EJ39" s="203"/>
      <c r="EK39" s="203"/>
      <c r="EL39" s="203"/>
      <c r="EM39" s="203"/>
      <c r="EN39" s="203"/>
      <c r="EO39" s="203"/>
      <c r="EP39" s="203"/>
      <c r="EQ39" s="203"/>
      <c r="ER39" s="203"/>
      <c r="ES39" s="203"/>
      <c r="ET39" s="203"/>
      <c r="EU39" s="203"/>
      <c r="EV39" s="203"/>
      <c r="EW39" s="203"/>
      <c r="EX39" s="203"/>
      <c r="EY39" s="203"/>
      <c r="EZ39" s="203"/>
      <c r="FA39" s="203"/>
      <c r="FB39" s="203"/>
      <c r="FC39" s="203"/>
    </row>
    <row r="40" spans="1:159" ht="207.75" customHeight="1">
      <c r="A40" s="83" t="str">
        <f ca="1">IF(AND($D$1&gt;=C40,$D$1&lt;=D40),"CurrentSprint","NA")</f>
        <v>NA</v>
      </c>
      <c r="B40" s="316" t="s">
        <v>136</v>
      </c>
      <c r="C40" s="428">
        <v>45841</v>
      </c>
      <c r="D40" s="428">
        <v>45855</v>
      </c>
      <c r="E40" s="228">
        <v>17</v>
      </c>
      <c r="F40" s="228">
        <v>16</v>
      </c>
      <c r="G40" s="449" t="s">
        <v>36</v>
      </c>
      <c r="H40" s="90"/>
      <c r="I40" s="90" t="s">
        <v>137</v>
      </c>
      <c r="J40" s="183" t="s">
        <v>138</v>
      </c>
      <c r="K40" s="350" t="s">
        <v>139</v>
      </c>
      <c r="L40" s="203"/>
      <c r="M40" s="203"/>
      <c r="N40" s="203"/>
      <c r="O40" s="203"/>
      <c r="P40" s="203"/>
      <c r="Q40" s="203"/>
      <c r="R40" s="203"/>
      <c r="S40" s="203"/>
      <c r="T40" s="203"/>
      <c r="U40" s="203"/>
      <c r="V40" s="203"/>
      <c r="W40" s="203"/>
      <c r="X40" s="203"/>
      <c r="Y40" s="203"/>
      <c r="Z40" s="203"/>
      <c r="AA40" s="203"/>
      <c r="AB40" s="203"/>
      <c r="AC40" s="203"/>
      <c r="AD40" s="203"/>
      <c r="AE40" s="203"/>
      <c r="AF40" s="203"/>
      <c r="AG40" s="203"/>
      <c r="AH40" s="203"/>
      <c r="AI40" s="203"/>
      <c r="AJ40" s="203"/>
      <c r="AK40" s="203"/>
      <c r="AL40" s="203"/>
      <c r="AM40" s="203"/>
      <c r="AN40" s="203"/>
      <c r="AO40" s="203"/>
      <c r="AP40" s="203"/>
      <c r="AQ40" s="203"/>
      <c r="AR40" s="203"/>
      <c r="AS40" s="203"/>
      <c r="AT40" s="203"/>
      <c r="AU40" s="203"/>
      <c r="AV40" s="203"/>
      <c r="AW40" s="203"/>
      <c r="AX40" s="203"/>
      <c r="AY40" s="203"/>
      <c r="AZ40" s="203"/>
      <c r="BA40" s="203"/>
      <c r="BB40" s="203"/>
      <c r="BC40" s="203"/>
      <c r="BD40" s="203"/>
      <c r="BE40" s="203"/>
      <c r="BF40" s="203"/>
      <c r="BG40" s="203"/>
      <c r="BH40" s="203"/>
      <c r="BI40" s="203"/>
      <c r="BJ40" s="203"/>
      <c r="BK40" s="203"/>
      <c r="BL40" s="203"/>
      <c r="BM40" s="203"/>
      <c r="BN40" s="203"/>
      <c r="BO40" s="203"/>
      <c r="BP40" s="203"/>
      <c r="BQ40" s="203"/>
      <c r="BR40" s="203"/>
      <c r="BS40" s="203"/>
      <c r="BT40" s="203"/>
      <c r="BU40" s="203"/>
      <c r="BV40" s="203"/>
      <c r="BW40" s="203"/>
      <c r="BX40" s="203"/>
      <c r="BY40" s="203"/>
      <c r="BZ40" s="203"/>
      <c r="CA40" s="203"/>
      <c r="CB40" s="203"/>
      <c r="CC40" s="203"/>
      <c r="CD40" s="203"/>
      <c r="CE40" s="203"/>
      <c r="CF40" s="203"/>
      <c r="CG40" s="203"/>
      <c r="CH40" s="203"/>
      <c r="CI40" s="203"/>
      <c r="CJ40" s="203"/>
      <c r="CK40" s="203"/>
      <c r="CL40" s="203"/>
      <c r="CM40" s="203"/>
      <c r="CN40" s="203"/>
      <c r="CO40" s="203"/>
      <c r="CP40" s="203"/>
      <c r="CQ40" s="203"/>
      <c r="CR40" s="203"/>
      <c r="CS40" s="203"/>
      <c r="CT40" s="203"/>
      <c r="CU40" s="203"/>
      <c r="CV40" s="203"/>
      <c r="CW40" s="203"/>
      <c r="CX40" s="203"/>
      <c r="CY40" s="203"/>
      <c r="CZ40" s="203"/>
      <c r="DA40" s="203"/>
      <c r="DB40" s="203"/>
      <c r="DC40" s="203"/>
      <c r="DD40" s="203"/>
      <c r="DE40" s="203"/>
      <c r="DF40" s="203"/>
      <c r="DG40" s="203"/>
      <c r="DH40" s="203"/>
      <c r="DI40" s="203"/>
      <c r="DJ40" s="203"/>
      <c r="DK40" s="203"/>
      <c r="DL40" s="203"/>
      <c r="DM40" s="203"/>
      <c r="DN40" s="203"/>
      <c r="DO40" s="203"/>
      <c r="DP40" s="203"/>
      <c r="DQ40" s="203"/>
      <c r="DR40" s="203"/>
      <c r="DS40" s="203"/>
      <c r="DT40" s="203"/>
      <c r="DU40" s="203"/>
      <c r="DV40" s="203"/>
      <c r="DW40" s="203"/>
      <c r="DX40" s="203"/>
      <c r="DY40" s="203"/>
      <c r="DZ40" s="203"/>
      <c r="EA40" s="203"/>
      <c r="EB40" s="203"/>
      <c r="EC40" s="203"/>
      <c r="ED40" s="203"/>
      <c r="EE40" s="203"/>
      <c r="EF40" s="203"/>
      <c r="EG40" s="203"/>
      <c r="EH40" s="203"/>
      <c r="EI40" s="203"/>
      <c r="EJ40" s="203"/>
      <c r="EK40" s="203"/>
      <c r="EL40" s="203"/>
      <c r="EM40" s="203"/>
      <c r="EN40" s="203"/>
      <c r="EO40" s="203"/>
      <c r="EP40" s="203"/>
      <c r="EQ40" s="203"/>
      <c r="ER40" s="203"/>
      <c r="ES40" s="203"/>
      <c r="ET40" s="203"/>
      <c r="EU40" s="203"/>
      <c r="EV40" s="203"/>
      <c r="EW40" s="203"/>
      <c r="EX40" s="203"/>
      <c r="EY40" s="203"/>
      <c r="EZ40" s="203"/>
      <c r="FA40" s="203"/>
      <c r="FB40" s="203"/>
      <c r="FC40" s="203"/>
    </row>
    <row r="41" spans="1:159" ht="245.25" customHeight="1">
      <c r="A41" s="83" t="str">
        <f ca="1">IF(AND($D$1&gt;=C41,$D$1&lt;=D41),"CurrentSprint","NA")</f>
        <v>NA</v>
      </c>
      <c r="B41" s="316" t="s">
        <v>140</v>
      </c>
      <c r="C41" s="428">
        <v>45855</v>
      </c>
      <c r="D41" s="428">
        <v>45869</v>
      </c>
      <c r="E41" s="228">
        <v>13</v>
      </c>
      <c r="F41" s="228">
        <v>3</v>
      </c>
      <c r="G41" s="449" t="s">
        <v>29</v>
      </c>
      <c r="H41" s="90"/>
      <c r="I41" s="90" t="s">
        <v>141</v>
      </c>
      <c r="J41" s="183" t="s">
        <v>142</v>
      </c>
      <c r="K41" s="510" t="s">
        <v>143</v>
      </c>
      <c r="L41" s="203"/>
      <c r="M41" s="203"/>
      <c r="N41" s="203"/>
      <c r="O41" s="203"/>
      <c r="P41" s="203"/>
      <c r="Q41" s="203"/>
      <c r="R41" s="203"/>
      <c r="S41" s="203"/>
      <c r="T41" s="203"/>
      <c r="U41" s="203"/>
      <c r="V41" s="203"/>
      <c r="W41" s="203"/>
      <c r="X41" s="203"/>
      <c r="Y41" s="203"/>
      <c r="Z41" s="203"/>
      <c r="AA41" s="203"/>
      <c r="AB41" s="203"/>
      <c r="AC41" s="203"/>
      <c r="AD41" s="203"/>
      <c r="AE41" s="203"/>
      <c r="AF41" s="203"/>
      <c r="AG41" s="203"/>
      <c r="AH41" s="203"/>
      <c r="AI41" s="203"/>
      <c r="AJ41" s="203"/>
      <c r="AK41" s="203"/>
      <c r="AL41" s="203"/>
      <c r="AM41" s="203"/>
      <c r="AN41" s="203"/>
      <c r="AO41" s="203"/>
      <c r="AP41" s="203"/>
      <c r="AQ41" s="203"/>
      <c r="AR41" s="203"/>
      <c r="AS41" s="203"/>
      <c r="AT41" s="203"/>
      <c r="AU41" s="203"/>
      <c r="AV41" s="203"/>
      <c r="AW41" s="203"/>
      <c r="AX41" s="203"/>
      <c r="AY41" s="203"/>
      <c r="AZ41" s="203"/>
      <c r="BA41" s="203"/>
      <c r="BB41" s="203"/>
      <c r="BC41" s="203"/>
      <c r="BD41" s="203"/>
      <c r="BE41" s="203"/>
      <c r="BF41" s="203"/>
      <c r="BG41" s="203"/>
      <c r="BH41" s="203"/>
      <c r="BI41" s="203"/>
      <c r="BJ41" s="203"/>
      <c r="BK41" s="203"/>
      <c r="BL41" s="203"/>
      <c r="BM41" s="203"/>
      <c r="BN41" s="203"/>
      <c r="BO41" s="203"/>
      <c r="BP41" s="203"/>
      <c r="BQ41" s="203"/>
      <c r="BR41" s="203"/>
      <c r="BS41" s="203"/>
      <c r="BT41" s="203"/>
      <c r="BU41" s="203"/>
      <c r="BV41" s="203"/>
      <c r="BW41" s="203"/>
      <c r="BX41" s="203"/>
      <c r="BY41" s="203"/>
      <c r="BZ41" s="203"/>
      <c r="CA41" s="203"/>
      <c r="CB41" s="203"/>
      <c r="CC41" s="203"/>
      <c r="CD41" s="203"/>
      <c r="CE41" s="203"/>
      <c r="CF41" s="203"/>
      <c r="CG41" s="203"/>
      <c r="CH41" s="203"/>
      <c r="CI41" s="203"/>
      <c r="CJ41" s="203"/>
      <c r="CK41" s="203"/>
      <c r="CL41" s="203"/>
      <c r="CM41" s="203"/>
      <c r="CN41" s="203"/>
      <c r="CO41" s="203"/>
      <c r="CP41" s="203"/>
      <c r="CQ41" s="203"/>
      <c r="CR41" s="203"/>
      <c r="CS41" s="203"/>
      <c r="CT41" s="203"/>
      <c r="CU41" s="203"/>
      <c r="CV41" s="203"/>
      <c r="CW41" s="203"/>
      <c r="CX41" s="203"/>
      <c r="CY41" s="203"/>
      <c r="CZ41" s="203"/>
      <c r="DA41" s="203"/>
      <c r="DB41" s="203"/>
      <c r="DC41" s="203"/>
      <c r="DD41" s="203"/>
      <c r="DE41" s="203"/>
      <c r="DF41" s="203"/>
      <c r="DG41" s="203"/>
      <c r="DH41" s="203"/>
      <c r="DI41" s="203"/>
      <c r="DJ41" s="203"/>
      <c r="DK41" s="203"/>
      <c r="DL41" s="203"/>
      <c r="DM41" s="203"/>
      <c r="DN41" s="203"/>
      <c r="DO41" s="203"/>
      <c r="DP41" s="203"/>
      <c r="DQ41" s="203"/>
      <c r="DR41" s="203"/>
      <c r="DS41" s="203"/>
      <c r="DT41" s="203"/>
      <c r="DU41" s="203"/>
      <c r="DV41" s="203"/>
      <c r="DW41" s="203"/>
      <c r="DX41" s="203"/>
      <c r="DY41" s="203"/>
      <c r="DZ41" s="203"/>
      <c r="EA41" s="203"/>
      <c r="EB41" s="203"/>
      <c r="EC41" s="203"/>
      <c r="ED41" s="203"/>
      <c r="EE41" s="203"/>
      <c r="EF41" s="203"/>
      <c r="EG41" s="203"/>
      <c r="EH41" s="203"/>
      <c r="EI41" s="203"/>
      <c r="EJ41" s="203"/>
      <c r="EK41" s="203"/>
      <c r="EL41" s="203"/>
      <c r="EM41" s="203"/>
      <c r="EN41" s="203"/>
      <c r="EO41" s="203"/>
      <c r="EP41" s="203"/>
      <c r="EQ41" s="203"/>
      <c r="ER41" s="203"/>
      <c r="ES41" s="203"/>
      <c r="ET41" s="203"/>
      <c r="EU41" s="203"/>
      <c r="EV41" s="203"/>
      <c r="EW41" s="203"/>
      <c r="EX41" s="203"/>
      <c r="EY41" s="203"/>
      <c r="EZ41" s="203"/>
      <c r="FA41" s="203"/>
      <c r="FB41" s="203"/>
      <c r="FC41" s="203"/>
    </row>
    <row r="42" spans="1:159" ht="282" customHeight="1">
      <c r="A42" s="83" t="str">
        <f ca="1">IF(AND($D$1&gt;=C42,$D$1&lt;=D42),"CurrentSprint","NA")</f>
        <v>NA</v>
      </c>
      <c r="B42" s="316" t="s">
        <v>144</v>
      </c>
      <c r="C42" s="428">
        <v>45869</v>
      </c>
      <c r="D42" s="428">
        <v>45883</v>
      </c>
      <c r="E42" s="228">
        <v>23</v>
      </c>
      <c r="F42" s="228">
        <v>20</v>
      </c>
      <c r="G42" s="449" t="s">
        <v>29</v>
      </c>
      <c r="H42" s="90"/>
      <c r="I42" s="90" t="s">
        <v>145</v>
      </c>
      <c r="J42" s="183" t="s">
        <v>146</v>
      </c>
      <c r="K42" s="510" t="s">
        <v>147</v>
      </c>
      <c r="L42" s="203"/>
      <c r="M42" s="203"/>
      <c r="N42" s="203"/>
      <c r="O42" s="203"/>
      <c r="P42" s="203"/>
      <c r="Q42" s="203"/>
      <c r="R42" s="203"/>
      <c r="S42" s="203"/>
      <c r="T42" s="203"/>
      <c r="U42" s="203"/>
      <c r="V42" s="203"/>
      <c r="W42" s="203"/>
      <c r="X42" s="203"/>
      <c r="Y42" s="203"/>
      <c r="Z42" s="203"/>
      <c r="AA42" s="203"/>
      <c r="AB42" s="203"/>
      <c r="AC42" s="203"/>
      <c r="AD42" s="203"/>
      <c r="AE42" s="203"/>
      <c r="AF42" s="203"/>
      <c r="AG42" s="203"/>
      <c r="AH42" s="203"/>
      <c r="AI42" s="203"/>
      <c r="AJ42" s="203"/>
      <c r="AK42" s="203"/>
      <c r="AL42" s="203"/>
      <c r="AM42" s="203"/>
      <c r="AN42" s="203"/>
      <c r="AO42" s="203"/>
      <c r="AP42" s="203"/>
      <c r="AQ42" s="203"/>
      <c r="AR42" s="203"/>
      <c r="AS42" s="203"/>
      <c r="AT42" s="203"/>
      <c r="AU42" s="203"/>
      <c r="AV42" s="203"/>
      <c r="AW42" s="203"/>
      <c r="AX42" s="203"/>
      <c r="AY42" s="203"/>
      <c r="AZ42" s="203"/>
      <c r="BA42" s="203"/>
      <c r="BB42" s="203"/>
      <c r="BC42" s="203"/>
      <c r="BD42" s="203"/>
      <c r="BE42" s="203"/>
      <c r="BF42" s="203"/>
      <c r="BG42" s="203"/>
      <c r="BH42" s="203"/>
      <c r="BI42" s="203"/>
      <c r="BJ42" s="203"/>
      <c r="BK42" s="203"/>
      <c r="BL42" s="203"/>
      <c r="BM42" s="203"/>
      <c r="BN42" s="203"/>
      <c r="BO42" s="203"/>
      <c r="BP42" s="203"/>
      <c r="BQ42" s="203"/>
      <c r="BR42" s="203"/>
      <c r="BS42" s="203"/>
      <c r="BT42" s="203"/>
      <c r="BU42" s="203"/>
      <c r="BV42" s="203"/>
      <c r="BW42" s="203"/>
      <c r="BX42" s="203"/>
      <c r="BY42" s="203"/>
      <c r="BZ42" s="203"/>
      <c r="CA42" s="203"/>
      <c r="CB42" s="203"/>
      <c r="CC42" s="203"/>
      <c r="CD42" s="203"/>
      <c r="CE42" s="203"/>
      <c r="CF42" s="203"/>
      <c r="CG42" s="203"/>
      <c r="CH42" s="203"/>
      <c r="CI42" s="203"/>
      <c r="CJ42" s="203"/>
      <c r="CK42" s="203"/>
      <c r="CL42" s="203"/>
      <c r="CM42" s="203"/>
      <c r="CN42" s="203"/>
      <c r="CO42" s="203"/>
      <c r="CP42" s="203"/>
      <c r="CQ42" s="203"/>
      <c r="CR42" s="203"/>
      <c r="CS42" s="203"/>
      <c r="CT42" s="203"/>
      <c r="CU42" s="203"/>
      <c r="CV42" s="203"/>
      <c r="CW42" s="203"/>
      <c r="CX42" s="203"/>
      <c r="CY42" s="203"/>
      <c r="CZ42" s="203"/>
      <c r="DA42" s="203"/>
      <c r="DB42" s="203"/>
      <c r="DC42" s="203"/>
      <c r="DD42" s="203"/>
      <c r="DE42" s="203"/>
      <c r="DF42" s="203"/>
      <c r="DG42" s="203"/>
      <c r="DH42" s="203"/>
      <c r="DI42" s="203"/>
      <c r="DJ42" s="203"/>
      <c r="DK42" s="203"/>
      <c r="DL42" s="203"/>
      <c r="DM42" s="203"/>
      <c r="DN42" s="203"/>
      <c r="DO42" s="203"/>
      <c r="DP42" s="203"/>
      <c r="DQ42" s="203"/>
      <c r="DR42" s="203"/>
      <c r="DS42" s="203"/>
      <c r="DT42" s="203"/>
      <c r="DU42" s="203"/>
      <c r="DV42" s="203"/>
      <c r="DW42" s="203"/>
      <c r="DX42" s="203"/>
      <c r="DY42" s="203"/>
      <c r="DZ42" s="203"/>
      <c r="EA42" s="203"/>
      <c r="EB42" s="203"/>
      <c r="EC42" s="203"/>
      <c r="ED42" s="203"/>
      <c r="EE42" s="203"/>
      <c r="EF42" s="203"/>
      <c r="EG42" s="203"/>
      <c r="EH42" s="203"/>
      <c r="EI42" s="203"/>
      <c r="EJ42" s="203"/>
      <c r="EK42" s="203"/>
      <c r="EL42" s="203"/>
      <c r="EM42" s="203"/>
      <c r="EN42" s="203"/>
      <c r="EO42" s="203"/>
      <c r="EP42" s="203"/>
      <c r="EQ42" s="203"/>
      <c r="ER42" s="203"/>
      <c r="ES42" s="203"/>
      <c r="ET42" s="203"/>
      <c r="EU42" s="203"/>
      <c r="EV42" s="203"/>
      <c r="EW42" s="203"/>
      <c r="EX42" s="203"/>
      <c r="EY42" s="203"/>
      <c r="EZ42" s="203"/>
      <c r="FA42" s="203"/>
      <c r="FB42" s="203"/>
      <c r="FC42" s="203"/>
    </row>
    <row r="43" spans="1:159" ht="206.25" customHeight="1">
      <c r="A43" s="83" t="str">
        <f ca="1">IF(AND($D$1&gt;=C42,$D$1&lt;=D42),"CurrentSprint","NA")</f>
        <v>NA</v>
      </c>
      <c r="B43" s="316" t="s">
        <v>148</v>
      </c>
      <c r="C43" s="428">
        <v>45883</v>
      </c>
      <c r="D43" s="428">
        <v>45897</v>
      </c>
      <c r="E43" s="228">
        <v>17</v>
      </c>
      <c r="F43" s="228">
        <v>17</v>
      </c>
      <c r="G43" s="449" t="s">
        <v>25</v>
      </c>
      <c r="H43" s="465"/>
      <c r="I43" s="90" t="s">
        <v>149</v>
      </c>
      <c r="J43" s="477" t="s">
        <v>150</v>
      </c>
      <c r="K43" s="350" t="s">
        <v>151</v>
      </c>
      <c r="L43" s="203"/>
      <c r="M43" s="203"/>
      <c r="N43" s="203"/>
      <c r="O43" s="203"/>
      <c r="P43" s="203"/>
      <c r="Q43" s="203"/>
      <c r="R43" s="203"/>
      <c r="S43" s="203"/>
      <c r="T43" s="203"/>
      <c r="U43" s="203"/>
      <c r="V43" s="203"/>
      <c r="W43" s="203"/>
      <c r="X43" s="203"/>
      <c r="Y43" s="203"/>
      <c r="Z43" s="203"/>
      <c r="AA43" s="203"/>
      <c r="AB43" s="203"/>
      <c r="AC43" s="203"/>
      <c r="AD43" s="203"/>
      <c r="AE43" s="203"/>
      <c r="AF43" s="203"/>
      <c r="AG43" s="203"/>
      <c r="AH43" s="203"/>
      <c r="AI43" s="203"/>
      <c r="AJ43" s="203"/>
      <c r="AK43" s="203"/>
      <c r="AL43" s="203"/>
      <c r="AM43" s="203"/>
      <c r="AN43" s="203"/>
      <c r="AO43" s="203"/>
      <c r="AP43" s="203"/>
      <c r="AQ43" s="203"/>
      <c r="AR43" s="203"/>
      <c r="AS43" s="203"/>
      <c r="AT43" s="203"/>
      <c r="AU43" s="203"/>
      <c r="AV43" s="203"/>
      <c r="AW43" s="203"/>
      <c r="AX43" s="203"/>
      <c r="AY43" s="203"/>
      <c r="AZ43" s="203"/>
      <c r="BA43" s="203"/>
      <c r="BB43" s="203"/>
      <c r="BC43" s="203"/>
      <c r="BD43" s="203"/>
      <c r="BE43" s="203"/>
      <c r="BF43" s="203"/>
      <c r="BG43" s="203"/>
      <c r="BH43" s="203"/>
      <c r="BI43" s="203"/>
      <c r="BJ43" s="203"/>
      <c r="BK43" s="203"/>
      <c r="BL43" s="203"/>
      <c r="BM43" s="203"/>
      <c r="BN43" s="203"/>
      <c r="BO43" s="203"/>
      <c r="BP43" s="203"/>
      <c r="BQ43" s="203"/>
      <c r="BR43" s="203"/>
      <c r="BS43" s="203"/>
      <c r="BT43" s="203"/>
      <c r="BU43" s="203"/>
      <c r="BV43" s="203"/>
      <c r="BW43" s="203"/>
      <c r="BX43" s="203"/>
      <c r="BY43" s="203"/>
      <c r="BZ43" s="203"/>
      <c r="CA43" s="203"/>
      <c r="CB43" s="203"/>
      <c r="CC43" s="203"/>
      <c r="CD43" s="203"/>
      <c r="CE43" s="203"/>
      <c r="CF43" s="203"/>
      <c r="CG43" s="203"/>
      <c r="CH43" s="203"/>
      <c r="CI43" s="203"/>
      <c r="CJ43" s="203"/>
      <c r="CK43" s="203"/>
      <c r="CL43" s="203"/>
      <c r="CM43" s="203"/>
      <c r="CN43" s="203"/>
      <c r="CO43" s="203"/>
      <c r="CP43" s="203"/>
      <c r="CQ43" s="203"/>
      <c r="CR43" s="203"/>
      <c r="CS43" s="203"/>
      <c r="CT43" s="203"/>
      <c r="CU43" s="203"/>
      <c r="CV43" s="203"/>
      <c r="CW43" s="203"/>
      <c r="CX43" s="203"/>
      <c r="CY43" s="203"/>
      <c r="CZ43" s="203"/>
      <c r="DA43" s="203"/>
      <c r="DB43" s="203"/>
      <c r="DC43" s="203"/>
      <c r="DD43" s="203"/>
      <c r="DE43" s="203"/>
      <c r="DF43" s="203"/>
      <c r="DG43" s="203"/>
      <c r="DH43" s="203"/>
      <c r="DI43" s="203"/>
      <c r="DJ43" s="203"/>
      <c r="DK43" s="203"/>
      <c r="DL43" s="203"/>
      <c r="DM43" s="203"/>
      <c r="DN43" s="203"/>
      <c r="DO43" s="203"/>
      <c r="DP43" s="203"/>
      <c r="DQ43" s="203"/>
      <c r="DR43" s="203"/>
      <c r="DS43" s="203"/>
      <c r="DT43" s="203"/>
      <c r="DU43" s="203"/>
      <c r="DV43" s="203"/>
      <c r="DW43" s="203"/>
      <c r="DX43" s="203"/>
      <c r="DY43" s="203"/>
      <c r="DZ43" s="203"/>
      <c r="EA43" s="203"/>
      <c r="EB43" s="203"/>
      <c r="EC43" s="203"/>
      <c r="ED43" s="203"/>
      <c r="EE43" s="203"/>
      <c r="EF43" s="203"/>
      <c r="EG43" s="203"/>
      <c r="EH43" s="203"/>
      <c r="EI43" s="203"/>
      <c r="EJ43" s="203"/>
      <c r="EK43" s="203"/>
      <c r="EL43" s="203"/>
      <c r="EM43" s="203"/>
      <c r="EN43" s="203"/>
      <c r="EO43" s="203"/>
      <c r="EP43" s="203"/>
      <c r="EQ43" s="203"/>
      <c r="ER43" s="203"/>
      <c r="ES43" s="203"/>
      <c r="ET43" s="203"/>
      <c r="EU43" s="203"/>
      <c r="EV43" s="203"/>
      <c r="EW43" s="203"/>
      <c r="EX43" s="203"/>
      <c r="EY43" s="203"/>
      <c r="EZ43" s="203"/>
      <c r="FA43" s="203"/>
      <c r="FB43" s="203"/>
      <c r="FC43" s="203"/>
    </row>
    <row r="44" spans="1:159" ht="345" customHeight="1">
      <c r="A44" s="83" t="str">
        <f ca="1">IF(AND($D$1&gt;=C43,$D$1&lt;=D43),"CurrentSprint","NA")</f>
        <v>NA</v>
      </c>
      <c r="B44" s="316" t="s">
        <v>152</v>
      </c>
      <c r="C44" s="428">
        <v>45897</v>
      </c>
      <c r="D44" s="428">
        <v>45911</v>
      </c>
      <c r="E44" s="228">
        <v>20</v>
      </c>
      <c r="F44" s="228">
        <v>17</v>
      </c>
      <c r="G44" s="449" t="s">
        <v>29</v>
      </c>
      <c r="H44" s="90"/>
      <c r="I44" s="376" t="s">
        <v>153</v>
      </c>
      <c r="J44" s="477" t="s">
        <v>154</v>
      </c>
      <c r="K44" s="350" t="s">
        <v>155</v>
      </c>
      <c r="L44" s="203"/>
      <c r="M44" s="203"/>
      <c r="N44" s="203"/>
      <c r="O44" s="203"/>
      <c r="P44" s="203"/>
      <c r="Q44" s="203"/>
      <c r="R44" s="203"/>
      <c r="S44" s="203"/>
      <c r="T44" s="203"/>
      <c r="U44" s="203"/>
      <c r="V44" s="203"/>
      <c r="W44" s="203"/>
      <c r="X44" s="203"/>
      <c r="Y44" s="203"/>
      <c r="Z44" s="203"/>
      <c r="AA44" s="203"/>
      <c r="AB44" s="203"/>
      <c r="AC44" s="203"/>
      <c r="AD44" s="203"/>
      <c r="AE44" s="203"/>
      <c r="AF44" s="203"/>
      <c r="AG44" s="203"/>
      <c r="AH44" s="203"/>
      <c r="AI44" s="203"/>
      <c r="AJ44" s="203"/>
      <c r="AK44" s="203"/>
      <c r="AL44" s="203"/>
      <c r="AM44" s="203"/>
      <c r="AN44" s="203"/>
      <c r="AO44" s="203"/>
      <c r="AP44" s="203"/>
      <c r="AQ44" s="203"/>
      <c r="AR44" s="203"/>
      <c r="AS44" s="203"/>
      <c r="AT44" s="203"/>
      <c r="AU44" s="203"/>
      <c r="AV44" s="203"/>
      <c r="AW44" s="203"/>
      <c r="AX44" s="203"/>
      <c r="AY44" s="203"/>
      <c r="AZ44" s="203"/>
      <c r="BA44" s="203"/>
      <c r="BB44" s="203"/>
      <c r="BC44" s="203"/>
      <c r="BD44" s="203"/>
      <c r="BE44" s="203"/>
      <c r="BF44" s="203"/>
      <c r="BG44" s="203"/>
      <c r="BH44" s="203"/>
      <c r="BI44" s="203"/>
      <c r="BJ44" s="203"/>
      <c r="BK44" s="203"/>
      <c r="BL44" s="203"/>
      <c r="BM44" s="203"/>
      <c r="BN44" s="203"/>
      <c r="BO44" s="203"/>
      <c r="BP44" s="203"/>
      <c r="BQ44" s="203"/>
      <c r="BR44" s="203"/>
      <c r="BS44" s="203"/>
      <c r="BT44" s="203"/>
      <c r="BU44" s="203"/>
      <c r="BV44" s="203"/>
      <c r="BW44" s="203"/>
      <c r="BX44" s="203"/>
      <c r="BY44" s="203"/>
      <c r="BZ44" s="203"/>
      <c r="CA44" s="203"/>
      <c r="CB44" s="203"/>
      <c r="CC44" s="203"/>
      <c r="CD44" s="203"/>
      <c r="CE44" s="203"/>
      <c r="CF44" s="203"/>
      <c r="CG44" s="203"/>
      <c r="CH44" s="203"/>
      <c r="CI44" s="203"/>
      <c r="CJ44" s="203"/>
      <c r="CK44" s="203"/>
      <c r="CL44" s="203"/>
      <c r="CM44" s="203"/>
      <c r="CN44" s="203"/>
      <c r="CO44" s="203"/>
      <c r="CP44" s="203"/>
      <c r="CQ44" s="203"/>
      <c r="CR44" s="203"/>
      <c r="CS44" s="203"/>
      <c r="CT44" s="203"/>
      <c r="CU44" s="203"/>
      <c r="CV44" s="203"/>
      <c r="CW44" s="203"/>
      <c r="CX44" s="203"/>
      <c r="CY44" s="203"/>
      <c r="CZ44" s="203"/>
      <c r="DA44" s="203"/>
      <c r="DB44" s="203"/>
      <c r="DC44" s="203"/>
      <c r="DD44" s="203"/>
      <c r="DE44" s="203"/>
      <c r="DF44" s="203"/>
      <c r="DG44" s="203"/>
      <c r="DH44" s="203"/>
      <c r="DI44" s="203"/>
      <c r="DJ44" s="203"/>
      <c r="DK44" s="203"/>
      <c r="DL44" s="203"/>
      <c r="DM44" s="203"/>
      <c r="DN44" s="203"/>
      <c r="DO44" s="203"/>
      <c r="DP44" s="203"/>
      <c r="DQ44" s="203"/>
      <c r="DR44" s="203"/>
      <c r="DS44" s="203"/>
      <c r="DT44" s="203"/>
      <c r="DU44" s="203"/>
      <c r="DV44" s="203"/>
      <c r="DW44" s="203"/>
      <c r="DX44" s="203"/>
      <c r="DY44" s="203"/>
      <c r="DZ44" s="203"/>
      <c r="EA44" s="203"/>
      <c r="EB44" s="203"/>
      <c r="EC44" s="203"/>
      <c r="ED44" s="203"/>
      <c r="EE44" s="203"/>
      <c r="EF44" s="203"/>
      <c r="EG44" s="203"/>
      <c r="EH44" s="203"/>
      <c r="EI44" s="203"/>
      <c r="EJ44" s="203"/>
      <c r="EK44" s="203"/>
      <c r="EL44" s="203"/>
      <c r="EM44" s="203"/>
      <c r="EN44" s="203"/>
      <c r="EO44" s="203"/>
      <c r="EP44" s="203"/>
      <c r="EQ44" s="203"/>
      <c r="ER44" s="203"/>
      <c r="ES44" s="203"/>
      <c r="ET44" s="203"/>
      <c r="EU44" s="203"/>
      <c r="EV44" s="203"/>
      <c r="EW44" s="203"/>
      <c r="EX44" s="203"/>
      <c r="EY44" s="203"/>
      <c r="EZ44" s="203"/>
      <c r="FA44" s="203"/>
      <c r="FB44" s="203"/>
      <c r="FC44" s="203"/>
    </row>
    <row r="45" spans="1:159" ht="248.25" customHeight="1">
      <c r="A45" s="83" t="str">
        <f ca="1">IF(AND($D$1&gt;=C44,$D$1&lt;=D44),"CurrentSprint","NA")</f>
        <v>NA</v>
      </c>
      <c r="B45" s="316" t="s">
        <v>156</v>
      </c>
      <c r="C45" s="428">
        <v>45911</v>
      </c>
      <c r="D45" s="428">
        <v>45925</v>
      </c>
      <c r="E45" s="228">
        <v>9</v>
      </c>
      <c r="F45" s="228">
        <v>17</v>
      </c>
      <c r="G45" s="449" t="s">
        <v>48</v>
      </c>
      <c r="H45" s="90"/>
      <c r="I45" s="376" t="s">
        <v>157</v>
      </c>
      <c r="J45" s="477" t="s">
        <v>158</v>
      </c>
      <c r="K45" s="350" t="s">
        <v>159</v>
      </c>
      <c r="L45" s="203"/>
      <c r="M45" s="203"/>
      <c r="N45" s="203"/>
      <c r="O45" s="203"/>
      <c r="P45" s="203"/>
      <c r="Q45" s="203"/>
      <c r="R45" s="203"/>
      <c r="S45" s="203"/>
      <c r="T45" s="203"/>
      <c r="U45" s="203"/>
      <c r="V45" s="203"/>
      <c r="W45" s="203"/>
      <c r="X45" s="203"/>
      <c r="Y45" s="203"/>
      <c r="Z45" s="203"/>
      <c r="AA45" s="203"/>
      <c r="AB45" s="203"/>
      <c r="AC45" s="203"/>
      <c r="AD45" s="203"/>
      <c r="AE45" s="203"/>
      <c r="AF45" s="203"/>
      <c r="AG45" s="203"/>
      <c r="AH45" s="203"/>
      <c r="AI45" s="203"/>
      <c r="AJ45" s="203"/>
      <c r="AK45" s="203"/>
      <c r="AL45" s="203"/>
      <c r="AM45" s="203"/>
      <c r="AN45" s="203"/>
      <c r="AO45" s="203"/>
      <c r="AP45" s="203"/>
      <c r="AQ45" s="203"/>
      <c r="AR45" s="203"/>
      <c r="AS45" s="203"/>
      <c r="AT45" s="203"/>
      <c r="AU45" s="203"/>
      <c r="AV45" s="203"/>
      <c r="AW45" s="203"/>
      <c r="AX45" s="203"/>
      <c r="AY45" s="203"/>
      <c r="AZ45" s="203"/>
      <c r="BA45" s="203"/>
      <c r="BB45" s="203"/>
      <c r="BC45" s="203"/>
      <c r="BD45" s="203"/>
      <c r="BE45" s="203"/>
      <c r="BF45" s="203"/>
      <c r="BG45" s="203"/>
      <c r="BH45" s="203"/>
      <c r="BI45" s="203"/>
      <c r="BJ45" s="203"/>
      <c r="BK45" s="203"/>
      <c r="BL45" s="203"/>
      <c r="BM45" s="203"/>
      <c r="BN45" s="203"/>
      <c r="BO45" s="203"/>
      <c r="BP45" s="203"/>
      <c r="BQ45" s="203"/>
      <c r="BR45" s="203"/>
      <c r="BS45" s="203"/>
      <c r="BT45" s="203"/>
      <c r="BU45" s="203"/>
      <c r="BV45" s="203"/>
      <c r="BW45" s="203"/>
      <c r="BX45" s="203"/>
      <c r="BY45" s="203"/>
      <c r="BZ45" s="203"/>
      <c r="CA45" s="203"/>
      <c r="CB45" s="203"/>
      <c r="CC45" s="203"/>
      <c r="CD45" s="203"/>
      <c r="CE45" s="203"/>
      <c r="CF45" s="203"/>
      <c r="CG45" s="203"/>
      <c r="CH45" s="203"/>
      <c r="CI45" s="203"/>
      <c r="CJ45" s="203"/>
      <c r="CK45" s="203"/>
      <c r="CL45" s="203"/>
      <c r="CM45" s="203"/>
      <c r="CN45" s="203"/>
      <c r="CO45" s="203"/>
      <c r="CP45" s="203"/>
      <c r="CQ45" s="203"/>
      <c r="CR45" s="203"/>
      <c r="CS45" s="203"/>
      <c r="CT45" s="203"/>
      <c r="CU45" s="203"/>
      <c r="CV45" s="203"/>
      <c r="CW45" s="203"/>
      <c r="CX45" s="203"/>
      <c r="CY45" s="203"/>
      <c r="CZ45" s="203"/>
      <c r="DA45" s="203"/>
      <c r="DB45" s="203"/>
      <c r="DC45" s="203"/>
      <c r="DD45" s="203"/>
      <c r="DE45" s="203"/>
      <c r="DF45" s="203"/>
      <c r="DG45" s="203"/>
      <c r="DH45" s="203"/>
      <c r="DI45" s="203"/>
      <c r="DJ45" s="203"/>
      <c r="DK45" s="203"/>
      <c r="DL45" s="203"/>
      <c r="DM45" s="203"/>
      <c r="DN45" s="203"/>
      <c r="DO45" s="203"/>
      <c r="DP45" s="203"/>
      <c r="DQ45" s="203"/>
      <c r="DR45" s="203"/>
      <c r="DS45" s="203"/>
      <c r="DT45" s="203"/>
      <c r="DU45" s="203"/>
      <c r="DV45" s="203"/>
      <c r="DW45" s="203"/>
      <c r="DX45" s="203"/>
      <c r="DY45" s="203"/>
      <c r="DZ45" s="203"/>
      <c r="EA45" s="203"/>
      <c r="EB45" s="203"/>
      <c r="EC45" s="203"/>
      <c r="ED45" s="203"/>
      <c r="EE45" s="203"/>
      <c r="EF45" s="203"/>
      <c r="EG45" s="203"/>
      <c r="EH45" s="203"/>
      <c r="EI45" s="203"/>
      <c r="EJ45" s="203"/>
      <c r="EK45" s="203"/>
      <c r="EL45" s="203"/>
      <c r="EM45" s="203"/>
      <c r="EN45" s="203"/>
      <c r="EO45" s="203"/>
      <c r="EP45" s="203"/>
      <c r="EQ45" s="203"/>
      <c r="ER45" s="203"/>
      <c r="ES45" s="203"/>
      <c r="ET45" s="203"/>
      <c r="EU45" s="203"/>
      <c r="EV45" s="203"/>
      <c r="EW45" s="203"/>
      <c r="EX45" s="203"/>
      <c r="EY45" s="203"/>
      <c r="EZ45" s="203"/>
      <c r="FA45" s="203"/>
      <c r="FB45" s="203"/>
      <c r="FC45" s="203"/>
    </row>
    <row r="46" spans="1:159" ht="171" customHeight="1">
      <c r="A46" s="83" t="str">
        <f ca="1">IF(AND($D$1&gt;=C45,$D$1&lt;=D45),"CurrentSprint","NA")</f>
        <v>NA</v>
      </c>
      <c r="B46" s="316" t="s">
        <v>160</v>
      </c>
      <c r="C46" s="428">
        <v>45925</v>
      </c>
      <c r="D46" s="428">
        <v>45939</v>
      </c>
      <c r="E46" s="228">
        <v>16</v>
      </c>
      <c r="F46" s="228">
        <v>16</v>
      </c>
      <c r="G46" s="449" t="s">
        <v>29</v>
      </c>
      <c r="H46" s="90"/>
      <c r="I46" s="376" t="s">
        <v>161</v>
      </c>
      <c r="J46" s="477" t="s">
        <v>162</v>
      </c>
      <c r="K46" s="350" t="s">
        <v>163</v>
      </c>
      <c r="L46" s="203"/>
      <c r="M46" s="203"/>
      <c r="N46" s="203"/>
      <c r="O46" s="203"/>
      <c r="P46" s="203"/>
      <c r="Q46" s="203"/>
      <c r="R46" s="203"/>
      <c r="S46" s="203"/>
      <c r="T46" s="203"/>
      <c r="U46" s="203"/>
      <c r="V46" s="203"/>
      <c r="W46" s="203"/>
      <c r="X46" s="203"/>
      <c r="Y46" s="203"/>
      <c r="Z46" s="203"/>
      <c r="AA46" s="203"/>
      <c r="AB46" s="203"/>
      <c r="AC46" s="203"/>
      <c r="AD46" s="203"/>
      <c r="AE46" s="203"/>
      <c r="AF46" s="203"/>
      <c r="AG46" s="203"/>
      <c r="AH46" s="203"/>
      <c r="AI46" s="203"/>
      <c r="AJ46" s="203"/>
      <c r="AK46" s="203"/>
      <c r="AL46" s="203"/>
      <c r="AM46" s="203"/>
      <c r="AN46" s="203"/>
      <c r="AO46" s="203"/>
      <c r="AP46" s="203"/>
      <c r="AQ46" s="203"/>
      <c r="AR46" s="203"/>
      <c r="AS46" s="203"/>
      <c r="AT46" s="203"/>
      <c r="AU46" s="203"/>
      <c r="AV46" s="203"/>
      <c r="AW46" s="203"/>
      <c r="AX46" s="203"/>
      <c r="AY46" s="203"/>
      <c r="AZ46" s="203"/>
      <c r="BA46" s="203"/>
      <c r="BB46" s="203"/>
      <c r="BC46" s="203"/>
      <c r="BD46" s="203"/>
      <c r="BE46" s="203"/>
      <c r="BF46" s="203"/>
      <c r="BG46" s="203"/>
      <c r="BH46" s="203"/>
      <c r="BI46" s="203"/>
      <c r="BJ46" s="203"/>
      <c r="BK46" s="203"/>
      <c r="BL46" s="203"/>
      <c r="BM46" s="203"/>
      <c r="BN46" s="203"/>
      <c r="BO46" s="203"/>
      <c r="BP46" s="203"/>
      <c r="BQ46" s="203"/>
      <c r="BR46" s="203"/>
      <c r="BS46" s="203"/>
      <c r="BT46" s="203"/>
      <c r="BU46" s="203"/>
      <c r="BV46" s="203"/>
      <c r="BW46" s="203"/>
      <c r="BX46" s="203"/>
      <c r="BY46" s="203"/>
      <c r="BZ46" s="203"/>
      <c r="CA46" s="203"/>
      <c r="CB46" s="203"/>
      <c r="CC46" s="203"/>
      <c r="CD46" s="203"/>
      <c r="CE46" s="203"/>
      <c r="CF46" s="203"/>
      <c r="CG46" s="203"/>
      <c r="CH46" s="203"/>
      <c r="CI46" s="203"/>
      <c r="CJ46" s="203"/>
      <c r="CK46" s="203"/>
      <c r="CL46" s="203"/>
      <c r="CM46" s="203"/>
      <c r="CN46" s="203"/>
      <c r="CO46" s="203"/>
      <c r="CP46" s="203"/>
      <c r="CQ46" s="203"/>
      <c r="CR46" s="203"/>
      <c r="CS46" s="203"/>
      <c r="CT46" s="203"/>
      <c r="CU46" s="203"/>
      <c r="CV46" s="203"/>
      <c r="CW46" s="203"/>
      <c r="CX46" s="203"/>
      <c r="CY46" s="203"/>
      <c r="CZ46" s="203"/>
      <c r="DA46" s="203"/>
      <c r="DB46" s="203"/>
      <c r="DC46" s="203"/>
      <c r="DD46" s="203"/>
      <c r="DE46" s="203"/>
      <c r="DF46" s="203"/>
      <c r="DG46" s="203"/>
      <c r="DH46" s="203"/>
      <c r="DI46" s="203"/>
      <c r="DJ46" s="203"/>
      <c r="DK46" s="203"/>
      <c r="DL46" s="203"/>
      <c r="DM46" s="203"/>
      <c r="DN46" s="203"/>
      <c r="DO46" s="203"/>
      <c r="DP46" s="203"/>
      <c r="DQ46" s="203"/>
      <c r="DR46" s="203"/>
      <c r="DS46" s="203"/>
      <c r="DT46" s="203"/>
      <c r="DU46" s="203"/>
      <c r="DV46" s="203"/>
      <c r="DW46" s="203"/>
      <c r="DX46" s="203"/>
      <c r="DY46" s="203"/>
      <c r="DZ46" s="203"/>
      <c r="EA46" s="203"/>
      <c r="EB46" s="203"/>
      <c r="EC46" s="203"/>
      <c r="ED46" s="203"/>
      <c r="EE46" s="203"/>
      <c r="EF46" s="203"/>
      <c r="EG46" s="203"/>
      <c r="EH46" s="203"/>
      <c r="EI46" s="203"/>
      <c r="EJ46" s="203"/>
      <c r="EK46" s="203"/>
      <c r="EL46" s="203"/>
      <c r="EM46" s="203"/>
      <c r="EN46" s="203"/>
      <c r="EO46" s="203"/>
      <c r="EP46" s="203"/>
      <c r="EQ46" s="203"/>
      <c r="ER46" s="203"/>
      <c r="ES46" s="203"/>
      <c r="ET46" s="203"/>
      <c r="EU46" s="203"/>
      <c r="EV46" s="203"/>
      <c r="EW46" s="203"/>
      <c r="EX46" s="203"/>
      <c r="EY46" s="203"/>
      <c r="EZ46" s="203"/>
      <c r="FA46" s="203"/>
      <c r="FB46" s="203"/>
      <c r="FC46" s="203"/>
    </row>
    <row r="47" spans="1:159" ht="253.5" customHeight="1">
      <c r="A47" s="83" t="str">
        <f ca="1">IF(AND($D$1&gt;=C46,$D$1&lt;=D46),"CurrentSprint","NA")</f>
        <v>NA</v>
      </c>
      <c r="B47" s="316" t="s">
        <v>164</v>
      </c>
      <c r="C47" s="428">
        <v>45939</v>
      </c>
      <c r="D47" s="428">
        <v>45953</v>
      </c>
      <c r="E47" s="228">
        <v>17</v>
      </c>
      <c r="F47" s="228">
        <v>19</v>
      </c>
      <c r="G47" s="449" t="s">
        <v>165</v>
      </c>
      <c r="H47" s="90"/>
      <c r="I47" s="376" t="s">
        <v>166</v>
      </c>
      <c r="J47" s="477" t="s">
        <v>167</v>
      </c>
      <c r="K47" s="350" t="s">
        <v>168</v>
      </c>
      <c r="L47" s="203"/>
      <c r="M47" s="203"/>
      <c r="N47" s="203"/>
      <c r="O47" s="203"/>
      <c r="P47" s="203"/>
      <c r="Q47" s="203"/>
      <c r="R47" s="203"/>
      <c r="S47" s="203"/>
      <c r="T47" s="203"/>
      <c r="U47" s="203"/>
      <c r="V47" s="203"/>
      <c r="W47" s="203"/>
      <c r="X47" s="203"/>
      <c r="Y47" s="203"/>
      <c r="Z47" s="203"/>
      <c r="AA47" s="203"/>
      <c r="AB47" s="203"/>
      <c r="AC47" s="203"/>
      <c r="AD47" s="203"/>
      <c r="AE47" s="203"/>
      <c r="AF47" s="203"/>
      <c r="AG47" s="203"/>
      <c r="AH47" s="203"/>
      <c r="AI47" s="203"/>
      <c r="AJ47" s="203"/>
      <c r="AK47" s="203"/>
      <c r="AL47" s="203"/>
      <c r="AM47" s="203"/>
      <c r="AN47" s="203"/>
      <c r="AO47" s="203"/>
      <c r="AP47" s="203"/>
      <c r="AQ47" s="203"/>
      <c r="AR47" s="203"/>
      <c r="AS47" s="203"/>
      <c r="AT47" s="203"/>
      <c r="AU47" s="203"/>
      <c r="AV47" s="203"/>
      <c r="AW47" s="203"/>
      <c r="AX47" s="203"/>
      <c r="AY47" s="203"/>
      <c r="AZ47" s="203"/>
      <c r="BA47" s="203"/>
      <c r="BB47" s="203"/>
      <c r="BC47" s="203"/>
      <c r="BD47" s="203"/>
      <c r="BE47" s="203"/>
      <c r="BF47" s="203"/>
      <c r="BG47" s="203"/>
      <c r="BH47" s="203"/>
      <c r="BI47" s="203"/>
      <c r="BJ47" s="203"/>
      <c r="BK47" s="203"/>
      <c r="BL47" s="203"/>
      <c r="BM47" s="203"/>
      <c r="BN47" s="203"/>
      <c r="BO47" s="203"/>
      <c r="BP47" s="203"/>
      <c r="BQ47" s="203"/>
      <c r="BR47" s="203"/>
      <c r="BS47" s="203"/>
      <c r="BT47" s="203"/>
      <c r="BU47" s="203"/>
      <c r="BV47" s="203"/>
      <c r="BW47" s="203"/>
      <c r="BX47" s="203"/>
      <c r="BY47" s="203"/>
      <c r="BZ47" s="203"/>
      <c r="CA47" s="203"/>
      <c r="CB47" s="203"/>
      <c r="CC47" s="203"/>
      <c r="CD47" s="203"/>
      <c r="CE47" s="203"/>
      <c r="CF47" s="203"/>
      <c r="CG47" s="203"/>
      <c r="CH47" s="203"/>
      <c r="CI47" s="203"/>
      <c r="CJ47" s="203"/>
      <c r="CK47" s="203"/>
      <c r="CL47" s="203"/>
      <c r="CM47" s="203"/>
      <c r="CN47" s="203"/>
      <c r="CO47" s="203"/>
      <c r="CP47" s="203"/>
      <c r="CQ47" s="203"/>
      <c r="CR47" s="203"/>
      <c r="CS47" s="203"/>
      <c r="CT47" s="203"/>
      <c r="CU47" s="203"/>
      <c r="CV47" s="203"/>
      <c r="CW47" s="203"/>
      <c r="CX47" s="203"/>
      <c r="CY47" s="203"/>
      <c r="CZ47" s="203"/>
      <c r="DA47" s="203"/>
      <c r="DB47" s="203"/>
      <c r="DC47" s="203"/>
      <c r="DD47" s="203"/>
      <c r="DE47" s="203"/>
      <c r="DF47" s="203"/>
      <c r="DG47" s="203"/>
      <c r="DH47" s="203"/>
      <c r="DI47" s="203"/>
      <c r="DJ47" s="203"/>
      <c r="DK47" s="203"/>
      <c r="DL47" s="203"/>
      <c r="DM47" s="203"/>
      <c r="DN47" s="203"/>
      <c r="DO47" s="203"/>
      <c r="DP47" s="203"/>
      <c r="DQ47" s="203"/>
      <c r="DR47" s="203"/>
      <c r="DS47" s="203"/>
      <c r="DT47" s="203"/>
      <c r="DU47" s="203"/>
      <c r="DV47" s="203"/>
      <c r="DW47" s="203"/>
      <c r="DX47" s="203"/>
      <c r="DY47" s="203"/>
      <c r="DZ47" s="203"/>
      <c r="EA47" s="203"/>
      <c r="EB47" s="203"/>
      <c r="EC47" s="203"/>
      <c r="ED47" s="203"/>
      <c r="EE47" s="203"/>
      <c r="EF47" s="203"/>
      <c r="EG47" s="203"/>
      <c r="EH47" s="203"/>
      <c r="EI47" s="203"/>
      <c r="EJ47" s="203"/>
      <c r="EK47" s="203"/>
      <c r="EL47" s="203"/>
      <c r="EM47" s="203"/>
      <c r="EN47" s="203"/>
      <c r="EO47" s="203"/>
      <c r="EP47" s="203"/>
      <c r="EQ47" s="203"/>
      <c r="ER47" s="203"/>
      <c r="ES47" s="203"/>
      <c r="ET47" s="203"/>
      <c r="EU47" s="203"/>
      <c r="EV47" s="203"/>
      <c r="EW47" s="203"/>
      <c r="EX47" s="203"/>
      <c r="EY47" s="203"/>
      <c r="EZ47" s="203"/>
      <c r="FA47" s="203"/>
      <c r="FB47" s="203"/>
      <c r="FC47" s="203"/>
    </row>
    <row r="48" spans="1:159" ht="371.25" customHeight="1">
      <c r="A48" s="83" t="str">
        <f ca="1">IF(AND($D$1&gt;=C47,$D$1&lt;=D47),"CurrentSprint","NA")</f>
        <v>NA</v>
      </c>
      <c r="B48" s="316" t="s">
        <v>169</v>
      </c>
      <c r="C48" s="428">
        <v>45953</v>
      </c>
      <c r="D48" s="428">
        <v>45967</v>
      </c>
      <c r="E48" s="228">
        <v>13</v>
      </c>
      <c r="F48" s="228">
        <v>16</v>
      </c>
      <c r="G48" s="449" t="s">
        <v>56</v>
      </c>
      <c r="H48" s="90"/>
      <c r="I48" s="376" t="s">
        <v>170</v>
      </c>
      <c r="J48" s="477" t="s">
        <v>171</v>
      </c>
      <c r="K48" s="350" t="s">
        <v>172</v>
      </c>
      <c r="L48" s="203"/>
      <c r="M48" s="203"/>
      <c r="N48" s="203"/>
      <c r="O48" s="203"/>
      <c r="P48" s="203"/>
      <c r="Q48" s="203"/>
      <c r="R48" s="203"/>
      <c r="S48" s="203"/>
      <c r="T48" s="203"/>
      <c r="U48" s="203"/>
      <c r="V48" s="203"/>
      <c r="W48" s="203"/>
      <c r="X48" s="203"/>
      <c r="Y48" s="203"/>
      <c r="Z48" s="203"/>
      <c r="AA48" s="203"/>
      <c r="AB48" s="203"/>
      <c r="AC48" s="203"/>
      <c r="AD48" s="203"/>
      <c r="AE48" s="203"/>
      <c r="AF48" s="203"/>
      <c r="AG48" s="203"/>
      <c r="AH48" s="203"/>
      <c r="AI48" s="203"/>
      <c r="AJ48" s="203"/>
      <c r="AK48" s="203"/>
      <c r="AL48" s="203"/>
      <c r="AM48" s="203"/>
      <c r="AN48" s="203"/>
      <c r="AO48" s="203"/>
      <c r="AP48" s="203"/>
      <c r="AQ48" s="203"/>
      <c r="AR48" s="203"/>
      <c r="AS48" s="203"/>
      <c r="AT48" s="203"/>
      <c r="AU48" s="203"/>
      <c r="AV48" s="203"/>
      <c r="AW48" s="203"/>
      <c r="AX48" s="203"/>
      <c r="AY48" s="203"/>
      <c r="AZ48" s="203"/>
      <c r="BA48" s="203"/>
      <c r="BB48" s="203"/>
      <c r="BC48" s="203"/>
      <c r="BD48" s="203"/>
      <c r="BE48" s="203"/>
      <c r="BF48" s="203"/>
      <c r="BG48" s="203"/>
      <c r="BH48" s="203"/>
      <c r="BI48" s="203"/>
      <c r="BJ48" s="203"/>
      <c r="BK48" s="203"/>
      <c r="BL48" s="203"/>
      <c r="BM48" s="203"/>
      <c r="BN48" s="203"/>
      <c r="BO48" s="203"/>
      <c r="BP48" s="203"/>
      <c r="BQ48" s="203"/>
      <c r="BR48" s="203"/>
      <c r="BS48" s="203"/>
      <c r="BT48" s="203"/>
      <c r="BU48" s="203"/>
      <c r="BV48" s="203"/>
      <c r="BW48" s="203"/>
      <c r="BX48" s="203"/>
      <c r="BY48" s="203"/>
      <c r="BZ48" s="203"/>
      <c r="CA48" s="203"/>
      <c r="CB48" s="203"/>
      <c r="CC48" s="203"/>
      <c r="CD48" s="203"/>
      <c r="CE48" s="203"/>
      <c r="CF48" s="203"/>
      <c r="CG48" s="203"/>
      <c r="CH48" s="203"/>
      <c r="CI48" s="203"/>
      <c r="CJ48" s="203"/>
      <c r="CK48" s="203"/>
      <c r="CL48" s="203"/>
      <c r="CM48" s="203"/>
      <c r="CN48" s="203"/>
      <c r="CO48" s="203"/>
      <c r="CP48" s="203"/>
      <c r="CQ48" s="203"/>
      <c r="CR48" s="203"/>
      <c r="CS48" s="203"/>
      <c r="CT48" s="203"/>
      <c r="CU48" s="203"/>
      <c r="CV48" s="203"/>
      <c r="CW48" s="203"/>
      <c r="CX48" s="203"/>
      <c r="CY48" s="203"/>
      <c r="CZ48" s="203"/>
      <c r="DA48" s="203"/>
      <c r="DB48" s="203"/>
      <c r="DC48" s="203"/>
      <c r="DD48" s="203"/>
      <c r="DE48" s="203"/>
      <c r="DF48" s="203"/>
      <c r="DG48" s="203"/>
      <c r="DH48" s="203"/>
      <c r="DI48" s="203"/>
      <c r="DJ48" s="203"/>
      <c r="DK48" s="203"/>
      <c r="DL48" s="203"/>
      <c r="DM48" s="203"/>
      <c r="DN48" s="203"/>
      <c r="DO48" s="203"/>
      <c r="DP48" s="203"/>
      <c r="DQ48" s="203"/>
      <c r="DR48" s="203"/>
      <c r="DS48" s="203"/>
      <c r="DT48" s="203"/>
      <c r="DU48" s="203"/>
      <c r="DV48" s="203"/>
      <c r="DW48" s="203"/>
      <c r="DX48" s="203"/>
      <c r="DY48" s="203"/>
      <c r="DZ48" s="203"/>
      <c r="EA48" s="203"/>
      <c r="EB48" s="203"/>
      <c r="EC48" s="203"/>
      <c r="ED48" s="203"/>
      <c r="EE48" s="203"/>
      <c r="EF48" s="203"/>
      <c r="EG48" s="203"/>
      <c r="EH48" s="203"/>
      <c r="EI48" s="203"/>
      <c r="EJ48" s="203"/>
      <c r="EK48" s="203"/>
      <c r="EL48" s="203"/>
      <c r="EM48" s="203"/>
      <c r="EN48" s="203"/>
      <c r="EO48" s="203"/>
      <c r="EP48" s="203"/>
      <c r="EQ48" s="203"/>
      <c r="ER48" s="203"/>
      <c r="ES48" s="203"/>
      <c r="ET48" s="203"/>
      <c r="EU48" s="203"/>
      <c r="EV48" s="203"/>
      <c r="EW48" s="203"/>
      <c r="EX48" s="203"/>
      <c r="EY48" s="203"/>
      <c r="EZ48" s="203"/>
      <c r="FA48" s="203"/>
      <c r="FB48" s="203"/>
      <c r="FC48" s="203"/>
    </row>
    <row r="49" spans="1:159" ht="288" customHeight="1">
      <c r="A49" s="83" t="str">
        <f ca="1">IF(AND($D$1&gt;=C48,$D$1&lt;=D48),"CurrentSprint","NA")</f>
        <v>NA</v>
      </c>
      <c r="B49" s="316" t="s">
        <v>173</v>
      </c>
      <c r="C49" s="428">
        <v>45967</v>
      </c>
      <c r="D49" s="428">
        <v>45981</v>
      </c>
      <c r="E49" s="228">
        <v>17</v>
      </c>
      <c r="F49" s="228">
        <v>13</v>
      </c>
      <c r="G49" s="449" t="s">
        <v>29</v>
      </c>
      <c r="H49" s="90"/>
      <c r="I49" s="376" t="s">
        <v>174</v>
      </c>
      <c r="J49" s="477" t="s">
        <v>175</v>
      </c>
      <c r="K49" s="350" t="s">
        <v>176</v>
      </c>
      <c r="L49" s="203"/>
      <c r="M49" s="203"/>
      <c r="N49" s="203"/>
      <c r="O49" s="203"/>
      <c r="P49" s="203"/>
      <c r="Q49" s="203"/>
      <c r="R49" s="203"/>
      <c r="S49" s="203"/>
      <c r="T49" s="203"/>
      <c r="U49" s="203"/>
      <c r="V49" s="203"/>
      <c r="W49" s="203"/>
      <c r="X49" s="203"/>
      <c r="Y49" s="203"/>
      <c r="Z49" s="203"/>
      <c r="AA49" s="203"/>
      <c r="AB49" s="203"/>
      <c r="AC49" s="203"/>
      <c r="AD49" s="203"/>
      <c r="AE49" s="203"/>
      <c r="AF49" s="203"/>
      <c r="AG49" s="203"/>
      <c r="AH49" s="203"/>
      <c r="AI49" s="203"/>
      <c r="AJ49" s="203"/>
      <c r="AK49" s="203"/>
      <c r="AL49" s="203"/>
      <c r="AM49" s="203"/>
      <c r="AN49" s="203"/>
      <c r="AO49" s="203"/>
      <c r="AP49" s="203"/>
      <c r="AQ49" s="203"/>
      <c r="AR49" s="203"/>
      <c r="AS49" s="203"/>
      <c r="AT49" s="203"/>
      <c r="AU49" s="203"/>
      <c r="AV49" s="203"/>
      <c r="AW49" s="203"/>
      <c r="AX49" s="203"/>
      <c r="AY49" s="203"/>
      <c r="AZ49" s="203"/>
      <c r="BA49" s="203"/>
      <c r="BB49" s="203"/>
      <c r="BC49" s="203"/>
      <c r="BD49" s="203"/>
      <c r="BE49" s="203"/>
      <c r="BF49" s="203"/>
      <c r="BG49" s="203"/>
      <c r="BH49" s="203"/>
      <c r="BI49" s="203"/>
      <c r="BJ49" s="203"/>
      <c r="BK49" s="203"/>
      <c r="BL49" s="203"/>
      <c r="BM49" s="203"/>
      <c r="BN49" s="203"/>
      <c r="BO49" s="203"/>
      <c r="BP49" s="203"/>
      <c r="BQ49" s="203"/>
      <c r="BR49" s="203"/>
      <c r="BS49" s="203"/>
      <c r="BT49" s="203"/>
      <c r="BU49" s="203"/>
      <c r="BV49" s="203"/>
      <c r="BW49" s="203"/>
      <c r="BX49" s="203"/>
      <c r="BY49" s="203"/>
      <c r="BZ49" s="203"/>
      <c r="CA49" s="203"/>
      <c r="CB49" s="203"/>
      <c r="CC49" s="203"/>
      <c r="CD49" s="203"/>
      <c r="CE49" s="203"/>
      <c r="CF49" s="203"/>
      <c r="CG49" s="203"/>
      <c r="CH49" s="203"/>
      <c r="CI49" s="203"/>
      <c r="CJ49" s="203"/>
      <c r="CK49" s="203"/>
      <c r="CL49" s="203"/>
      <c r="CM49" s="203"/>
      <c r="CN49" s="203"/>
      <c r="CO49" s="203"/>
      <c r="CP49" s="203"/>
      <c r="CQ49" s="203"/>
      <c r="CR49" s="203"/>
      <c r="CS49" s="203"/>
      <c r="CT49" s="203"/>
      <c r="CU49" s="203"/>
      <c r="CV49" s="203"/>
      <c r="CW49" s="203"/>
      <c r="CX49" s="203"/>
      <c r="CY49" s="203"/>
      <c r="CZ49" s="203"/>
      <c r="DA49" s="203"/>
      <c r="DB49" s="203"/>
      <c r="DC49" s="203"/>
      <c r="DD49" s="203"/>
      <c r="DE49" s="203"/>
      <c r="DF49" s="203"/>
      <c r="DG49" s="203"/>
      <c r="DH49" s="203"/>
      <c r="DI49" s="203"/>
      <c r="DJ49" s="203"/>
      <c r="DK49" s="203"/>
      <c r="DL49" s="203"/>
      <c r="DM49" s="203"/>
      <c r="DN49" s="203"/>
      <c r="DO49" s="203"/>
      <c r="DP49" s="203"/>
      <c r="DQ49" s="203"/>
      <c r="DR49" s="203"/>
      <c r="DS49" s="203"/>
      <c r="DT49" s="203"/>
      <c r="DU49" s="203"/>
      <c r="DV49" s="203"/>
      <c r="DW49" s="203"/>
      <c r="DX49" s="203"/>
      <c r="DY49" s="203"/>
      <c r="DZ49" s="203"/>
      <c r="EA49" s="203"/>
      <c r="EB49" s="203"/>
      <c r="EC49" s="203"/>
      <c r="ED49" s="203"/>
      <c r="EE49" s="203"/>
      <c r="EF49" s="203"/>
      <c r="EG49" s="203"/>
      <c r="EH49" s="203"/>
      <c r="EI49" s="203"/>
      <c r="EJ49" s="203"/>
      <c r="EK49" s="203"/>
      <c r="EL49" s="203"/>
      <c r="EM49" s="203"/>
      <c r="EN49" s="203"/>
      <c r="EO49" s="203"/>
      <c r="EP49" s="203"/>
      <c r="EQ49" s="203"/>
      <c r="ER49" s="203"/>
      <c r="ES49" s="203"/>
      <c r="ET49" s="203"/>
      <c r="EU49" s="203"/>
      <c r="EV49" s="203"/>
      <c r="EW49" s="203"/>
      <c r="EX49" s="203"/>
      <c r="EY49" s="203"/>
      <c r="EZ49" s="203"/>
      <c r="FA49" s="203"/>
      <c r="FB49" s="203"/>
      <c r="FC49" s="203"/>
    </row>
    <row r="50" spans="1:159" ht="306" customHeight="1">
      <c r="A50" s="83" t="str">
        <f ca="1">IF(AND($D$1&gt;=C49,$D$1&lt;=D49),"CurrentSprint","NA")</f>
        <v>NA</v>
      </c>
      <c r="B50" s="316" t="s">
        <v>177</v>
      </c>
      <c r="C50" s="428">
        <v>45981</v>
      </c>
      <c r="D50" s="428">
        <v>45995</v>
      </c>
      <c r="E50" s="228">
        <v>13</v>
      </c>
      <c r="F50" s="228">
        <v>10</v>
      </c>
      <c r="G50" s="449" t="s">
        <v>36</v>
      </c>
      <c r="H50" s="90"/>
      <c r="I50" s="376" t="s">
        <v>178</v>
      </c>
      <c r="J50" s="477" t="s">
        <v>179</v>
      </c>
      <c r="K50" s="350" t="s">
        <v>180</v>
      </c>
      <c r="L50" s="203"/>
      <c r="M50" s="203"/>
      <c r="N50" s="203"/>
      <c r="O50" s="203"/>
      <c r="P50" s="203"/>
      <c r="Q50" s="203"/>
      <c r="R50" s="203"/>
      <c r="S50" s="203"/>
      <c r="T50" s="203"/>
      <c r="U50" s="203"/>
      <c r="V50" s="203"/>
      <c r="W50" s="203"/>
      <c r="X50" s="203"/>
      <c r="Y50" s="203"/>
      <c r="Z50" s="203"/>
      <c r="AA50" s="203"/>
      <c r="AB50" s="203"/>
      <c r="AC50" s="203"/>
      <c r="AD50" s="203"/>
      <c r="AE50" s="203"/>
      <c r="AF50" s="203"/>
      <c r="AG50" s="203"/>
      <c r="AH50" s="203"/>
      <c r="AI50" s="203"/>
      <c r="AJ50" s="203"/>
      <c r="AK50" s="203"/>
      <c r="AL50" s="203"/>
      <c r="AM50" s="203"/>
      <c r="AN50" s="203"/>
      <c r="AO50" s="203"/>
      <c r="AP50" s="203"/>
      <c r="AQ50" s="203"/>
      <c r="AR50" s="203"/>
      <c r="AS50" s="203"/>
      <c r="AT50" s="203"/>
      <c r="AU50" s="203"/>
      <c r="AV50" s="203"/>
      <c r="AW50" s="203"/>
      <c r="AX50" s="203"/>
      <c r="AY50" s="203"/>
      <c r="AZ50" s="203"/>
      <c r="BA50" s="203"/>
      <c r="BB50" s="203"/>
      <c r="BC50" s="203"/>
      <c r="BD50" s="203"/>
      <c r="BE50" s="203"/>
      <c r="BF50" s="203"/>
      <c r="BG50" s="203"/>
      <c r="BH50" s="203"/>
      <c r="BI50" s="203"/>
      <c r="BJ50" s="203"/>
      <c r="BK50" s="203"/>
      <c r="BL50" s="203"/>
      <c r="BM50" s="203"/>
      <c r="BN50" s="203"/>
      <c r="BO50" s="203"/>
      <c r="BP50" s="203"/>
      <c r="BQ50" s="203"/>
      <c r="BR50" s="203"/>
      <c r="BS50" s="203"/>
      <c r="BT50" s="203"/>
      <c r="BU50" s="203"/>
      <c r="BV50" s="203"/>
      <c r="BW50" s="203"/>
      <c r="BX50" s="203"/>
      <c r="BY50" s="203"/>
      <c r="BZ50" s="203"/>
      <c r="CA50" s="203"/>
      <c r="CB50" s="203"/>
      <c r="CC50" s="203"/>
      <c r="CD50" s="203"/>
      <c r="CE50" s="203"/>
      <c r="CF50" s="203"/>
      <c r="CG50" s="203"/>
      <c r="CH50" s="203"/>
      <c r="CI50" s="203"/>
      <c r="CJ50" s="203"/>
      <c r="CK50" s="203"/>
      <c r="CL50" s="203"/>
      <c r="CM50" s="203"/>
      <c r="CN50" s="203"/>
      <c r="CO50" s="203"/>
      <c r="CP50" s="203"/>
      <c r="CQ50" s="203"/>
      <c r="CR50" s="203"/>
      <c r="CS50" s="203"/>
      <c r="CT50" s="203"/>
      <c r="CU50" s="203"/>
      <c r="CV50" s="203"/>
      <c r="CW50" s="203"/>
      <c r="CX50" s="203"/>
      <c r="CY50" s="203"/>
      <c r="CZ50" s="203"/>
      <c r="DA50" s="203"/>
      <c r="DB50" s="203"/>
      <c r="DC50" s="203"/>
      <c r="DD50" s="203"/>
      <c r="DE50" s="203"/>
      <c r="DF50" s="203"/>
      <c r="DG50" s="203"/>
      <c r="DH50" s="203"/>
      <c r="DI50" s="203"/>
      <c r="DJ50" s="203"/>
      <c r="DK50" s="203"/>
      <c r="DL50" s="203"/>
      <c r="DM50" s="203"/>
      <c r="DN50" s="203"/>
      <c r="DO50" s="203"/>
      <c r="DP50" s="203"/>
      <c r="DQ50" s="203"/>
      <c r="DR50" s="203"/>
      <c r="DS50" s="203"/>
      <c r="DT50" s="203"/>
      <c r="DU50" s="203"/>
      <c r="DV50" s="203"/>
      <c r="DW50" s="203"/>
      <c r="DX50" s="203"/>
      <c r="DY50" s="203"/>
      <c r="DZ50" s="203"/>
      <c r="EA50" s="203"/>
      <c r="EB50" s="203"/>
      <c r="EC50" s="203"/>
      <c r="ED50" s="203"/>
      <c r="EE50" s="203"/>
      <c r="EF50" s="203"/>
      <c r="EG50" s="203"/>
      <c r="EH50" s="203"/>
      <c r="EI50" s="203"/>
      <c r="EJ50" s="203"/>
      <c r="EK50" s="203"/>
      <c r="EL50" s="203"/>
      <c r="EM50" s="203"/>
      <c r="EN50" s="203"/>
      <c r="EO50" s="203"/>
      <c r="EP50" s="203"/>
      <c r="EQ50" s="203"/>
      <c r="ER50" s="203"/>
      <c r="ES50" s="203"/>
      <c r="ET50" s="203"/>
      <c r="EU50" s="203"/>
      <c r="EV50" s="203"/>
      <c r="EW50" s="203"/>
      <c r="EX50" s="203"/>
      <c r="EY50" s="203"/>
      <c r="EZ50" s="203"/>
      <c r="FA50" s="203"/>
      <c r="FB50" s="203"/>
      <c r="FC50" s="203"/>
    </row>
    <row r="51" spans="1:159" ht="296.25" customHeight="1">
      <c r="A51" s="83" t="str">
        <f ca="1">IF(AND($D$1&gt;=C50,$D$1&lt;=D50),"CurrentSprint","NA")</f>
        <v>NA</v>
      </c>
      <c r="B51" s="316" t="s">
        <v>181</v>
      </c>
      <c r="C51" s="428">
        <v>45995</v>
      </c>
      <c r="D51" s="428">
        <v>46009</v>
      </c>
      <c r="E51" s="228">
        <v>12</v>
      </c>
      <c r="F51" s="228">
        <v>12</v>
      </c>
      <c r="G51" s="449" t="s">
        <v>165</v>
      </c>
      <c r="H51" s="90"/>
      <c r="I51" s="376" t="s">
        <v>182</v>
      </c>
      <c r="J51" s="477" t="s">
        <v>183</v>
      </c>
      <c r="K51" s="350" t="s">
        <v>184</v>
      </c>
      <c r="L51" s="203"/>
      <c r="M51" s="203"/>
      <c r="N51" s="203"/>
      <c r="O51" s="203"/>
      <c r="P51" s="203"/>
      <c r="Q51" s="203"/>
      <c r="R51" s="203"/>
      <c r="S51" s="203"/>
      <c r="T51" s="203"/>
      <c r="U51" s="203"/>
      <c r="V51" s="203"/>
      <c r="W51" s="203"/>
      <c r="X51" s="203"/>
      <c r="Y51" s="203"/>
      <c r="Z51" s="203"/>
      <c r="AA51" s="203"/>
      <c r="AB51" s="203"/>
      <c r="AC51" s="203"/>
      <c r="AD51" s="203"/>
      <c r="AE51" s="203"/>
      <c r="AF51" s="203"/>
      <c r="AG51" s="203"/>
      <c r="AH51" s="203"/>
      <c r="AI51" s="203"/>
      <c r="AJ51" s="203"/>
      <c r="AK51" s="203"/>
      <c r="AL51" s="203"/>
      <c r="AM51" s="203"/>
      <c r="AN51" s="203"/>
      <c r="AO51" s="203"/>
      <c r="AP51" s="203"/>
      <c r="AQ51" s="203"/>
      <c r="AR51" s="203"/>
      <c r="AS51" s="203"/>
      <c r="AT51" s="203"/>
      <c r="AU51" s="203"/>
      <c r="AV51" s="203"/>
      <c r="AW51" s="203"/>
      <c r="AX51" s="203"/>
      <c r="AY51" s="203"/>
      <c r="AZ51" s="203"/>
      <c r="BA51" s="203"/>
      <c r="BB51" s="203"/>
      <c r="BC51" s="203"/>
      <c r="BD51" s="203"/>
      <c r="BE51" s="203"/>
      <c r="BF51" s="203"/>
      <c r="BG51" s="203"/>
      <c r="BH51" s="203"/>
      <c r="BI51" s="203"/>
      <c r="BJ51" s="203"/>
      <c r="BK51" s="203"/>
      <c r="BL51" s="203"/>
      <c r="BM51" s="203"/>
      <c r="BN51" s="203"/>
      <c r="BO51" s="203"/>
      <c r="BP51" s="203"/>
      <c r="BQ51" s="203"/>
      <c r="BR51" s="203"/>
      <c r="BS51" s="203"/>
      <c r="BT51" s="203"/>
      <c r="BU51" s="203"/>
      <c r="BV51" s="203"/>
      <c r="BW51" s="203"/>
      <c r="BX51" s="203"/>
      <c r="BY51" s="203"/>
      <c r="BZ51" s="203"/>
      <c r="CA51" s="203"/>
      <c r="CB51" s="203"/>
      <c r="CC51" s="203"/>
      <c r="CD51" s="203"/>
      <c r="CE51" s="203"/>
      <c r="CF51" s="203"/>
      <c r="CG51" s="203"/>
      <c r="CH51" s="203"/>
      <c r="CI51" s="203"/>
      <c r="CJ51" s="203"/>
      <c r="CK51" s="203"/>
      <c r="CL51" s="203"/>
      <c r="CM51" s="203"/>
      <c r="CN51" s="203"/>
      <c r="CO51" s="203"/>
      <c r="CP51" s="203"/>
      <c r="CQ51" s="203"/>
      <c r="CR51" s="203"/>
      <c r="CS51" s="203"/>
      <c r="CT51" s="203"/>
      <c r="CU51" s="203"/>
      <c r="CV51" s="203"/>
      <c r="CW51" s="203"/>
      <c r="CX51" s="203"/>
      <c r="CY51" s="203"/>
      <c r="CZ51" s="203"/>
      <c r="DA51" s="203"/>
      <c r="DB51" s="203"/>
      <c r="DC51" s="203"/>
      <c r="DD51" s="203"/>
      <c r="DE51" s="203"/>
      <c r="DF51" s="203"/>
      <c r="DG51" s="203"/>
      <c r="DH51" s="203"/>
      <c r="DI51" s="203"/>
      <c r="DJ51" s="203"/>
      <c r="DK51" s="203"/>
      <c r="DL51" s="203"/>
      <c r="DM51" s="203"/>
      <c r="DN51" s="203"/>
      <c r="DO51" s="203"/>
      <c r="DP51" s="203"/>
      <c r="DQ51" s="203"/>
      <c r="DR51" s="203"/>
      <c r="DS51" s="203"/>
      <c r="DT51" s="203"/>
      <c r="DU51" s="203"/>
      <c r="DV51" s="203"/>
      <c r="DW51" s="203"/>
      <c r="DX51" s="203"/>
      <c r="DY51" s="203"/>
      <c r="DZ51" s="203"/>
      <c r="EA51" s="203"/>
      <c r="EB51" s="203"/>
      <c r="EC51" s="203"/>
      <c r="ED51" s="203"/>
      <c r="EE51" s="203"/>
      <c r="EF51" s="203"/>
      <c r="EG51" s="203"/>
      <c r="EH51" s="203"/>
      <c r="EI51" s="203"/>
      <c r="EJ51" s="203"/>
      <c r="EK51" s="203"/>
      <c r="EL51" s="203"/>
      <c r="EM51" s="203"/>
      <c r="EN51" s="203"/>
      <c r="EO51" s="203"/>
      <c r="EP51" s="203"/>
      <c r="EQ51" s="203"/>
      <c r="ER51" s="203"/>
      <c r="ES51" s="203"/>
      <c r="ET51" s="203"/>
      <c r="EU51" s="203"/>
      <c r="EV51" s="203"/>
      <c r="EW51" s="203"/>
      <c r="EX51" s="203"/>
      <c r="EY51" s="203"/>
      <c r="EZ51" s="203"/>
      <c r="FA51" s="203"/>
      <c r="FB51" s="203"/>
      <c r="FC51" s="203"/>
    </row>
    <row r="52" spans="1:159" ht="294.75" customHeight="1">
      <c r="A52" s="83" t="str">
        <f ca="1">IF(AND($D$1&gt;=C51,$D$1&lt;=D51),"CurrentSprint","NA")</f>
        <v>NA</v>
      </c>
      <c r="B52" s="316" t="s">
        <v>185</v>
      </c>
      <c r="C52" s="428">
        <v>46009</v>
      </c>
      <c r="D52" s="428">
        <v>46037</v>
      </c>
      <c r="E52" s="228">
        <v>21</v>
      </c>
      <c r="F52" s="228">
        <v>21.5</v>
      </c>
      <c r="G52" s="449" t="s">
        <v>186</v>
      </c>
      <c r="H52" s="90"/>
      <c r="I52" s="376" t="s">
        <v>187</v>
      </c>
      <c r="J52" s="477" t="s">
        <v>188</v>
      </c>
      <c r="K52" s="350" t="s">
        <v>189</v>
      </c>
      <c r="L52" s="203"/>
      <c r="M52" s="203"/>
      <c r="N52" s="203"/>
      <c r="O52" s="203"/>
      <c r="P52" s="203"/>
      <c r="Q52" s="203"/>
      <c r="R52" s="203"/>
      <c r="S52" s="203"/>
      <c r="T52" s="203"/>
      <c r="U52" s="203"/>
      <c r="V52" s="203"/>
      <c r="W52" s="203"/>
      <c r="X52" s="203"/>
      <c r="Y52" s="203"/>
      <c r="Z52" s="203"/>
      <c r="AA52" s="203"/>
      <c r="AB52" s="203"/>
      <c r="AC52" s="203"/>
      <c r="AD52" s="203"/>
      <c r="AE52" s="203"/>
      <c r="AF52" s="203"/>
      <c r="AG52" s="203"/>
      <c r="AH52" s="203"/>
      <c r="AI52" s="203"/>
      <c r="AJ52" s="203"/>
      <c r="AK52" s="203"/>
      <c r="AL52" s="203"/>
      <c r="AM52" s="203"/>
      <c r="AN52" s="203"/>
      <c r="AO52" s="203"/>
      <c r="AP52" s="203"/>
      <c r="AQ52" s="203"/>
      <c r="AR52" s="203"/>
      <c r="AS52" s="203"/>
      <c r="AT52" s="203"/>
      <c r="AU52" s="203"/>
      <c r="AV52" s="203"/>
      <c r="AW52" s="203"/>
      <c r="AX52" s="203"/>
      <c r="AY52" s="203"/>
      <c r="AZ52" s="203"/>
      <c r="BA52" s="203"/>
      <c r="BB52" s="203"/>
      <c r="BC52" s="203"/>
      <c r="BD52" s="203"/>
      <c r="BE52" s="203"/>
      <c r="BF52" s="203"/>
      <c r="BG52" s="203"/>
      <c r="BH52" s="203"/>
      <c r="BI52" s="203"/>
      <c r="BJ52" s="203"/>
      <c r="BK52" s="203"/>
      <c r="BL52" s="203"/>
      <c r="BM52" s="203"/>
      <c r="BN52" s="203"/>
      <c r="BO52" s="203"/>
      <c r="BP52" s="203"/>
      <c r="BQ52" s="203"/>
      <c r="BR52" s="203"/>
      <c r="BS52" s="203"/>
      <c r="BT52" s="203"/>
      <c r="BU52" s="203"/>
      <c r="BV52" s="203"/>
      <c r="BW52" s="203"/>
      <c r="BX52" s="203"/>
      <c r="BY52" s="203"/>
      <c r="BZ52" s="203"/>
      <c r="CA52" s="203"/>
      <c r="CB52" s="203"/>
      <c r="CC52" s="203"/>
      <c r="CD52" s="203"/>
      <c r="CE52" s="203"/>
      <c r="CF52" s="203"/>
      <c r="CG52" s="203"/>
      <c r="CH52" s="203"/>
      <c r="CI52" s="203"/>
      <c r="CJ52" s="203"/>
      <c r="CK52" s="203"/>
      <c r="CL52" s="203"/>
      <c r="CM52" s="203"/>
      <c r="CN52" s="203"/>
      <c r="CO52" s="203"/>
      <c r="CP52" s="203"/>
      <c r="CQ52" s="203"/>
      <c r="CR52" s="203"/>
      <c r="CS52" s="203"/>
      <c r="CT52" s="203"/>
      <c r="CU52" s="203"/>
      <c r="CV52" s="203"/>
      <c r="CW52" s="203"/>
      <c r="CX52" s="203"/>
      <c r="CY52" s="203"/>
      <c r="CZ52" s="203"/>
      <c r="DA52" s="203"/>
      <c r="DB52" s="203"/>
      <c r="DC52" s="203"/>
      <c r="DD52" s="203"/>
      <c r="DE52" s="203"/>
      <c r="DF52" s="203"/>
      <c r="DG52" s="203"/>
      <c r="DH52" s="203"/>
      <c r="DI52" s="203"/>
      <c r="DJ52" s="203"/>
      <c r="DK52" s="203"/>
      <c r="DL52" s="203"/>
      <c r="DM52" s="203"/>
      <c r="DN52" s="203"/>
      <c r="DO52" s="203"/>
      <c r="DP52" s="203"/>
      <c r="DQ52" s="203"/>
      <c r="DR52" s="203"/>
      <c r="DS52" s="203"/>
      <c r="DT52" s="203"/>
      <c r="DU52" s="203"/>
      <c r="DV52" s="203"/>
      <c r="DW52" s="203"/>
      <c r="DX52" s="203"/>
      <c r="DY52" s="203"/>
      <c r="DZ52" s="203"/>
      <c r="EA52" s="203"/>
      <c r="EB52" s="203"/>
      <c r="EC52" s="203"/>
      <c r="ED52" s="203"/>
      <c r="EE52" s="203"/>
      <c r="EF52" s="203"/>
      <c r="EG52" s="203"/>
      <c r="EH52" s="203"/>
      <c r="EI52" s="203"/>
      <c r="EJ52" s="203"/>
      <c r="EK52" s="203"/>
      <c r="EL52" s="203"/>
      <c r="EM52" s="203"/>
      <c r="EN52" s="203"/>
      <c r="EO52" s="203"/>
      <c r="EP52" s="203"/>
      <c r="EQ52" s="203"/>
      <c r="ER52" s="203"/>
      <c r="ES52" s="203"/>
      <c r="ET52" s="203"/>
      <c r="EU52" s="203"/>
      <c r="EV52" s="203"/>
      <c r="EW52" s="203"/>
      <c r="EX52" s="203"/>
      <c r="EY52" s="203"/>
      <c r="EZ52" s="203"/>
      <c r="FA52" s="203"/>
      <c r="FB52" s="203"/>
      <c r="FC52" s="203"/>
    </row>
    <row r="53" spans="1:159" ht="322.5" customHeight="1">
      <c r="A53" s="83" t="str">
        <f ca="1">IF(AND($D$1&gt;=C52,$D$1&lt;=D52),"CurrentSprint","NA")</f>
        <v>NA</v>
      </c>
      <c r="B53" s="316" t="s">
        <v>190</v>
      </c>
      <c r="C53" s="428">
        <v>46037</v>
      </c>
      <c r="D53" s="428">
        <v>46051</v>
      </c>
      <c r="E53" s="228">
        <v>12</v>
      </c>
      <c r="F53" s="228">
        <v>19</v>
      </c>
      <c r="G53" s="449" t="s">
        <v>191</v>
      </c>
      <c r="H53" s="90"/>
      <c r="I53" s="376" t="s">
        <v>192</v>
      </c>
      <c r="J53" s="477" t="s">
        <v>193</v>
      </c>
      <c r="K53" s="350" t="s">
        <v>194</v>
      </c>
      <c r="L53" s="203"/>
      <c r="M53" s="203"/>
      <c r="N53" s="229"/>
      <c r="O53" s="203"/>
      <c r="P53" s="203"/>
      <c r="Q53" s="203"/>
      <c r="R53" s="203"/>
      <c r="S53" s="203"/>
      <c r="T53" s="203"/>
      <c r="U53" s="203"/>
      <c r="V53" s="203"/>
      <c r="W53" s="203"/>
      <c r="X53" s="203"/>
      <c r="Y53" s="203"/>
      <c r="Z53" s="203"/>
      <c r="AA53" s="203"/>
      <c r="AB53" s="203"/>
      <c r="AC53" s="203"/>
      <c r="AD53" s="203"/>
      <c r="AE53" s="203"/>
      <c r="AF53" s="203"/>
      <c r="AG53" s="203"/>
      <c r="AH53" s="203"/>
      <c r="AI53" s="203"/>
      <c r="AJ53" s="203"/>
      <c r="AK53" s="203"/>
      <c r="AL53" s="203"/>
      <c r="AM53" s="203"/>
      <c r="AN53" s="203"/>
      <c r="AO53" s="203"/>
      <c r="AP53" s="203"/>
      <c r="AQ53" s="203"/>
      <c r="AR53" s="203"/>
      <c r="AS53" s="203"/>
      <c r="AT53" s="203"/>
      <c r="AU53" s="203"/>
      <c r="AV53" s="203"/>
      <c r="AW53" s="203"/>
      <c r="AX53" s="203"/>
      <c r="AY53" s="203"/>
      <c r="AZ53" s="203"/>
      <c r="BA53" s="203"/>
      <c r="BB53" s="203"/>
      <c r="BC53" s="203"/>
      <c r="BD53" s="203"/>
      <c r="BE53" s="203"/>
      <c r="BF53" s="203"/>
      <c r="BG53" s="203"/>
      <c r="BH53" s="203"/>
      <c r="BI53" s="203"/>
      <c r="BJ53" s="203"/>
      <c r="BK53" s="203"/>
      <c r="BL53" s="203"/>
      <c r="BM53" s="203"/>
      <c r="BN53" s="203"/>
      <c r="BO53" s="203"/>
      <c r="BP53" s="203"/>
      <c r="BQ53" s="203"/>
      <c r="BR53" s="203"/>
      <c r="BS53" s="203"/>
      <c r="BT53" s="203"/>
      <c r="BU53" s="203"/>
      <c r="BV53" s="203"/>
      <c r="BW53" s="203"/>
      <c r="BX53" s="203"/>
      <c r="BY53" s="203"/>
      <c r="BZ53" s="203"/>
      <c r="CA53" s="203"/>
      <c r="CB53" s="203"/>
      <c r="CC53" s="203"/>
      <c r="CD53" s="203"/>
      <c r="CE53" s="203"/>
      <c r="CF53" s="203"/>
      <c r="CG53" s="203"/>
      <c r="CH53" s="203"/>
      <c r="CI53" s="203"/>
      <c r="CJ53" s="203"/>
      <c r="CK53" s="203"/>
      <c r="CL53" s="203"/>
      <c r="CM53" s="203"/>
      <c r="CN53" s="203"/>
      <c r="CO53" s="203"/>
      <c r="CP53" s="203"/>
      <c r="CQ53" s="203"/>
      <c r="CR53" s="203"/>
      <c r="CS53" s="203"/>
      <c r="CT53" s="203"/>
      <c r="CU53" s="203"/>
      <c r="CV53" s="203"/>
      <c r="CW53" s="203"/>
      <c r="CX53" s="203"/>
      <c r="CY53" s="203"/>
      <c r="CZ53" s="203"/>
      <c r="DA53" s="203"/>
      <c r="DB53" s="203"/>
      <c r="DC53" s="203"/>
      <c r="DD53" s="203"/>
      <c r="DE53" s="203"/>
      <c r="DF53" s="203"/>
      <c r="DG53" s="203"/>
      <c r="DH53" s="203"/>
      <c r="DI53" s="203"/>
      <c r="DJ53" s="203"/>
      <c r="DK53" s="203"/>
      <c r="DL53" s="203"/>
      <c r="DM53" s="203"/>
      <c r="DN53" s="203"/>
      <c r="DO53" s="203"/>
      <c r="DP53" s="203"/>
      <c r="DQ53" s="203"/>
      <c r="DR53" s="203"/>
      <c r="DS53" s="203"/>
      <c r="DT53" s="203"/>
      <c r="DU53" s="203"/>
      <c r="DV53" s="203"/>
      <c r="DW53" s="203"/>
      <c r="DX53" s="203"/>
      <c r="DY53" s="203"/>
      <c r="DZ53" s="203"/>
      <c r="EA53" s="203"/>
      <c r="EB53" s="203"/>
      <c r="EC53" s="203"/>
      <c r="ED53" s="203"/>
      <c r="EE53" s="203"/>
      <c r="EF53" s="203"/>
      <c r="EG53" s="203"/>
      <c r="EH53" s="203"/>
      <c r="EI53" s="203"/>
      <c r="EJ53" s="203"/>
      <c r="EK53" s="203"/>
      <c r="EL53" s="203"/>
      <c r="EM53" s="203"/>
      <c r="EN53" s="203"/>
      <c r="EO53" s="203"/>
      <c r="EP53" s="203"/>
      <c r="EQ53" s="203"/>
      <c r="ER53" s="203"/>
      <c r="ES53" s="203"/>
      <c r="ET53" s="203"/>
      <c r="EU53" s="203"/>
      <c r="EV53" s="203"/>
      <c r="EW53" s="203"/>
      <c r="EX53" s="203"/>
      <c r="EY53" s="203"/>
      <c r="EZ53" s="203"/>
      <c r="FA53" s="203"/>
      <c r="FB53" s="203"/>
      <c r="FC53" s="203"/>
    </row>
    <row r="54" spans="1:159" ht="397.5" customHeight="1">
      <c r="A54" s="83" t="str">
        <f ca="1">IF(AND($D$1&gt;=C53,$D$1&lt;=D53),"CurrentSprint","NA")</f>
        <v>NA</v>
      </c>
      <c r="B54" s="316" t="s">
        <v>195</v>
      </c>
      <c r="C54" s="428">
        <v>46051</v>
      </c>
      <c r="D54" s="428">
        <v>46065</v>
      </c>
      <c r="E54" s="228">
        <v>18</v>
      </c>
      <c r="F54" s="228">
        <v>21</v>
      </c>
      <c r="G54" s="449" t="s">
        <v>196</v>
      </c>
      <c r="H54" s="90"/>
      <c r="I54" s="376" t="s">
        <v>197</v>
      </c>
      <c r="J54" s="477" t="s">
        <v>198</v>
      </c>
      <c r="K54" s="350" t="s">
        <v>199</v>
      </c>
      <c r="L54" s="203"/>
      <c r="M54" s="246"/>
      <c r="N54" s="228">
        <v>1</v>
      </c>
      <c r="O54" s="357">
        <v>0.5</v>
      </c>
      <c r="P54" s="203"/>
      <c r="Q54" s="203"/>
      <c r="R54" s="203"/>
      <c r="S54" s="203"/>
      <c r="T54" s="203"/>
      <c r="U54" s="203"/>
      <c r="V54" s="203"/>
      <c r="W54" s="203"/>
      <c r="X54" s="203"/>
      <c r="Y54" s="203"/>
      <c r="Z54" s="203"/>
      <c r="AA54" s="203"/>
      <c r="AB54" s="203"/>
      <c r="AC54" s="203"/>
      <c r="AD54" s="203"/>
      <c r="AE54" s="203"/>
      <c r="AF54" s="203"/>
      <c r="AG54" s="203"/>
      <c r="AH54" s="203"/>
      <c r="AI54" s="203"/>
      <c r="AJ54" s="203"/>
      <c r="AK54" s="203"/>
      <c r="AL54" s="203"/>
      <c r="AM54" s="203"/>
      <c r="AN54" s="203"/>
      <c r="AO54" s="203"/>
      <c r="AP54" s="203"/>
      <c r="AQ54" s="203"/>
      <c r="AR54" s="203"/>
      <c r="AS54" s="203"/>
      <c r="AT54" s="203"/>
      <c r="AU54" s="203"/>
      <c r="AV54" s="203"/>
      <c r="AW54" s="203"/>
      <c r="AX54" s="203"/>
      <c r="AY54" s="203"/>
      <c r="AZ54" s="203"/>
      <c r="BA54" s="203"/>
      <c r="BB54" s="203"/>
      <c r="BC54" s="203"/>
      <c r="BD54" s="203"/>
      <c r="BE54" s="203"/>
      <c r="BF54" s="203"/>
      <c r="BG54" s="203"/>
      <c r="BH54" s="203"/>
      <c r="BI54" s="203"/>
      <c r="BJ54" s="203"/>
      <c r="BK54" s="203"/>
      <c r="BL54" s="203"/>
      <c r="BM54" s="203"/>
      <c r="BN54" s="203"/>
      <c r="BO54" s="203"/>
      <c r="BP54" s="203"/>
      <c r="BQ54" s="203"/>
      <c r="BR54" s="203"/>
      <c r="BS54" s="203"/>
      <c r="BT54" s="203"/>
      <c r="BU54" s="203"/>
      <c r="BV54" s="203"/>
      <c r="BW54" s="203"/>
      <c r="BX54" s="203"/>
      <c r="BY54" s="203"/>
      <c r="BZ54" s="203"/>
      <c r="CA54" s="203"/>
      <c r="CB54" s="203"/>
      <c r="CC54" s="203"/>
      <c r="CD54" s="203"/>
      <c r="CE54" s="203"/>
      <c r="CF54" s="203"/>
      <c r="CG54" s="203"/>
      <c r="CH54" s="203"/>
      <c r="CI54" s="203"/>
      <c r="CJ54" s="203"/>
      <c r="CK54" s="203"/>
      <c r="CL54" s="203"/>
      <c r="CM54" s="203"/>
      <c r="CN54" s="203"/>
      <c r="CO54" s="203"/>
      <c r="CP54" s="203"/>
      <c r="CQ54" s="203"/>
      <c r="CR54" s="203"/>
      <c r="CS54" s="203"/>
      <c r="CT54" s="203"/>
      <c r="CU54" s="203"/>
      <c r="CV54" s="203"/>
      <c r="CW54" s="203"/>
      <c r="CX54" s="203"/>
      <c r="CY54" s="203"/>
      <c r="CZ54" s="203"/>
      <c r="DA54" s="203"/>
      <c r="DB54" s="203"/>
      <c r="DC54" s="203"/>
      <c r="DD54" s="203"/>
      <c r="DE54" s="203"/>
      <c r="DF54" s="203"/>
      <c r="DG54" s="203"/>
      <c r="DH54" s="203"/>
      <c r="DI54" s="203"/>
      <c r="DJ54" s="203"/>
      <c r="DK54" s="203"/>
      <c r="DL54" s="203"/>
      <c r="DM54" s="203"/>
      <c r="DN54" s="203"/>
      <c r="DO54" s="203"/>
      <c r="DP54" s="203"/>
      <c r="DQ54" s="203"/>
      <c r="DR54" s="203"/>
      <c r="DS54" s="203"/>
      <c r="DT54" s="203"/>
      <c r="DU54" s="203"/>
      <c r="DV54" s="203"/>
      <c r="DW54" s="203"/>
      <c r="DX54" s="203"/>
      <c r="DY54" s="203"/>
      <c r="DZ54" s="203"/>
      <c r="EA54" s="203"/>
      <c r="EB54" s="203"/>
      <c r="EC54" s="203"/>
      <c r="ED54" s="203"/>
      <c r="EE54" s="203"/>
      <c r="EF54" s="203"/>
      <c r="EG54" s="203"/>
      <c r="EH54" s="203"/>
      <c r="EI54" s="203"/>
      <c r="EJ54" s="203"/>
      <c r="EK54" s="203"/>
      <c r="EL54" s="203"/>
      <c r="EM54" s="203"/>
      <c r="EN54" s="203"/>
      <c r="EO54" s="203"/>
      <c r="EP54" s="203"/>
      <c r="EQ54" s="203"/>
      <c r="ER54" s="203"/>
      <c r="ES54" s="203"/>
      <c r="ET54" s="203"/>
      <c r="EU54" s="203"/>
      <c r="EV54" s="203"/>
      <c r="EW54" s="203"/>
      <c r="EX54" s="203"/>
      <c r="EY54" s="203"/>
      <c r="EZ54" s="203"/>
      <c r="FA54" s="203"/>
      <c r="FB54" s="203"/>
      <c r="FC54" s="203"/>
    </row>
    <row r="55" spans="1:159" ht="349.5" customHeight="1">
      <c r="A55" s="83" t="str">
        <f ca="1">IF(AND($D$1&gt;=C54,$D$1&lt;=D54),"CurrentSprint","NA")</f>
        <v>NA</v>
      </c>
      <c r="B55" s="316" t="s">
        <v>200</v>
      </c>
      <c r="C55" s="428">
        <v>46065</v>
      </c>
      <c r="D55" s="428">
        <v>46079</v>
      </c>
      <c r="E55" s="228">
        <v>14</v>
      </c>
      <c r="F55" s="228">
        <v>6</v>
      </c>
      <c r="G55" s="449" t="s">
        <v>29</v>
      </c>
      <c r="H55" s="90"/>
      <c r="I55" s="376" t="s">
        <v>201</v>
      </c>
      <c r="J55" s="477" t="s">
        <v>202</v>
      </c>
      <c r="K55" s="350" t="s">
        <v>203</v>
      </c>
      <c r="L55" s="203"/>
      <c r="M55" s="246"/>
      <c r="N55" s="228">
        <v>1</v>
      </c>
      <c r="O55" s="357">
        <v>1</v>
      </c>
      <c r="P55" s="203"/>
      <c r="Q55" s="203"/>
      <c r="R55" s="203"/>
      <c r="S55" s="203"/>
      <c r="T55" s="203"/>
      <c r="U55" s="203"/>
      <c r="V55" s="203"/>
      <c r="W55" s="203"/>
      <c r="X55" s="203"/>
      <c r="Y55" s="203"/>
      <c r="Z55" s="203"/>
      <c r="AA55" s="203"/>
      <c r="AB55" s="203"/>
      <c r="AC55" s="203"/>
      <c r="AD55" s="203"/>
      <c r="AE55" s="203"/>
      <c r="AF55" s="203"/>
      <c r="AG55" s="203"/>
      <c r="AH55" s="203"/>
      <c r="AI55" s="203"/>
      <c r="AJ55" s="203"/>
      <c r="AK55" s="203"/>
      <c r="AL55" s="203"/>
      <c r="AM55" s="203"/>
      <c r="AN55" s="203"/>
      <c r="AO55" s="203"/>
      <c r="AP55" s="203"/>
      <c r="AQ55" s="203"/>
      <c r="AR55" s="203"/>
      <c r="AS55" s="203"/>
      <c r="AT55" s="203"/>
      <c r="AU55" s="203"/>
      <c r="AV55" s="203"/>
      <c r="AW55" s="203"/>
      <c r="AX55" s="203"/>
      <c r="AY55" s="203"/>
      <c r="AZ55" s="203"/>
      <c r="BA55" s="203"/>
      <c r="BB55" s="203"/>
      <c r="BC55" s="203"/>
      <c r="BD55" s="203"/>
      <c r="BE55" s="203"/>
      <c r="BF55" s="203"/>
      <c r="BG55" s="203"/>
      <c r="BH55" s="203"/>
      <c r="BI55" s="203"/>
      <c r="BJ55" s="203"/>
      <c r="BK55" s="203"/>
      <c r="BL55" s="203"/>
      <c r="BM55" s="203"/>
      <c r="BN55" s="203"/>
      <c r="BO55" s="203"/>
      <c r="BP55" s="203"/>
      <c r="BQ55" s="203"/>
      <c r="BR55" s="203"/>
      <c r="BS55" s="203"/>
      <c r="BT55" s="203"/>
      <c r="BU55" s="203"/>
      <c r="BV55" s="203"/>
      <c r="BW55" s="203"/>
      <c r="BX55" s="203"/>
      <c r="BY55" s="203"/>
      <c r="BZ55" s="203"/>
      <c r="CA55" s="203"/>
      <c r="CB55" s="203"/>
      <c r="CC55" s="203"/>
      <c r="CD55" s="203"/>
      <c r="CE55" s="203"/>
      <c r="CF55" s="203"/>
      <c r="CG55" s="203"/>
      <c r="CH55" s="203"/>
      <c r="CI55" s="203"/>
      <c r="CJ55" s="203"/>
      <c r="CK55" s="203"/>
      <c r="CL55" s="203"/>
      <c r="CM55" s="203"/>
      <c r="CN55" s="203"/>
      <c r="CO55" s="203"/>
      <c r="CP55" s="203"/>
      <c r="CQ55" s="203"/>
      <c r="CR55" s="203"/>
      <c r="CS55" s="203"/>
      <c r="CT55" s="203"/>
      <c r="CU55" s="203"/>
      <c r="CV55" s="203"/>
      <c r="CW55" s="203"/>
      <c r="CX55" s="203"/>
      <c r="CY55" s="203"/>
      <c r="CZ55" s="203"/>
      <c r="DA55" s="203"/>
      <c r="DB55" s="203"/>
      <c r="DC55" s="203"/>
      <c r="DD55" s="203"/>
      <c r="DE55" s="203"/>
      <c r="DF55" s="203"/>
      <c r="DG55" s="203"/>
      <c r="DH55" s="203"/>
      <c r="DI55" s="203"/>
      <c r="DJ55" s="203"/>
      <c r="DK55" s="203"/>
      <c r="DL55" s="203"/>
      <c r="DM55" s="203"/>
      <c r="DN55" s="203"/>
      <c r="DO55" s="203"/>
      <c r="DP55" s="203"/>
      <c r="DQ55" s="203"/>
      <c r="DR55" s="203"/>
      <c r="DS55" s="203"/>
      <c r="DT55" s="203"/>
      <c r="DU55" s="203"/>
      <c r="DV55" s="203"/>
      <c r="DW55" s="203"/>
      <c r="DX55" s="203"/>
      <c r="DY55" s="203"/>
      <c r="DZ55" s="203"/>
      <c r="EA55" s="203"/>
      <c r="EB55" s="203"/>
      <c r="EC55" s="203"/>
      <c r="ED55" s="203"/>
      <c r="EE55" s="203"/>
      <c r="EF55" s="203"/>
      <c r="EG55" s="203"/>
      <c r="EH55" s="203"/>
      <c r="EI55" s="203"/>
      <c r="EJ55" s="203"/>
      <c r="EK55" s="203"/>
      <c r="EL55" s="203"/>
      <c r="EM55" s="203"/>
      <c r="EN55" s="203"/>
      <c r="EO55" s="203"/>
      <c r="EP55" s="203"/>
      <c r="EQ55" s="203"/>
      <c r="ER55" s="203"/>
      <c r="ES55" s="203"/>
      <c r="ET55" s="203"/>
      <c r="EU55" s="203"/>
      <c r="EV55" s="203"/>
      <c r="EW55" s="203"/>
      <c r="EX55" s="203"/>
      <c r="EY55" s="203"/>
      <c r="EZ55" s="203"/>
      <c r="FA55" s="203"/>
      <c r="FB55" s="203"/>
      <c r="FC55" s="203"/>
    </row>
    <row r="56" spans="1:159" ht="409.5" customHeight="1">
      <c r="A56" s="83" t="str">
        <f ca="1">IF(AND($D$1&gt;=C55,$D$1&lt;=D55),"CurrentSprint","NA")</f>
        <v>NA</v>
      </c>
      <c r="B56" s="316" t="s">
        <v>204</v>
      </c>
      <c r="C56" s="428">
        <v>46079</v>
      </c>
      <c r="D56" s="428">
        <v>46093</v>
      </c>
      <c r="E56" s="228">
        <v>11</v>
      </c>
      <c r="F56" s="228">
        <v>11</v>
      </c>
      <c r="G56" s="449" t="s">
        <v>105</v>
      </c>
      <c r="H56" s="90"/>
      <c r="I56" s="376" t="s">
        <v>205</v>
      </c>
      <c r="J56" s="477" t="s">
        <v>206</v>
      </c>
      <c r="K56" s="350" t="s">
        <v>207</v>
      </c>
      <c r="L56" s="203"/>
      <c r="M56" s="246"/>
      <c r="N56" s="228">
        <v>1</v>
      </c>
      <c r="O56" s="357">
        <v>2</v>
      </c>
      <c r="P56" s="203"/>
      <c r="Q56" s="203"/>
      <c r="R56" s="203"/>
      <c r="S56" s="203"/>
      <c r="T56" s="203"/>
      <c r="U56" s="203"/>
      <c r="V56" s="203"/>
      <c r="W56" s="203"/>
      <c r="X56" s="203"/>
      <c r="Y56" s="203"/>
      <c r="Z56" s="203"/>
      <c r="AA56" s="203"/>
      <c r="AB56" s="203"/>
      <c r="AC56" s="203"/>
      <c r="AD56" s="203"/>
      <c r="AE56" s="203"/>
      <c r="AF56" s="203"/>
      <c r="AG56" s="203"/>
      <c r="AH56" s="203"/>
      <c r="AI56" s="203"/>
      <c r="AJ56" s="203"/>
      <c r="AK56" s="203"/>
      <c r="AL56" s="203"/>
      <c r="AM56" s="203"/>
      <c r="AN56" s="203"/>
      <c r="AO56" s="203"/>
      <c r="AP56" s="203"/>
      <c r="AQ56" s="203"/>
      <c r="AR56" s="203"/>
      <c r="AS56" s="203"/>
      <c r="AT56" s="203"/>
      <c r="AU56" s="203"/>
      <c r="AV56" s="203"/>
      <c r="AW56" s="203"/>
      <c r="AX56" s="203"/>
      <c r="AY56" s="203"/>
      <c r="AZ56" s="203"/>
      <c r="BA56" s="203"/>
      <c r="BB56" s="203"/>
      <c r="BC56" s="203"/>
      <c r="BD56" s="203"/>
      <c r="BE56" s="203"/>
      <c r="BF56" s="203"/>
      <c r="BG56" s="203"/>
      <c r="BH56" s="203"/>
      <c r="BI56" s="203"/>
      <c r="BJ56" s="203"/>
      <c r="BK56" s="203"/>
      <c r="BL56" s="203"/>
      <c r="BM56" s="203"/>
      <c r="BN56" s="203"/>
      <c r="BO56" s="203"/>
      <c r="BP56" s="203"/>
      <c r="BQ56" s="203"/>
      <c r="BR56" s="203"/>
      <c r="BS56" s="203"/>
      <c r="BT56" s="203"/>
      <c r="BU56" s="203"/>
      <c r="BV56" s="203"/>
      <c r="BW56" s="203"/>
      <c r="BX56" s="203"/>
      <c r="BY56" s="203"/>
      <c r="BZ56" s="203"/>
      <c r="CA56" s="203"/>
      <c r="CB56" s="203"/>
      <c r="CC56" s="203"/>
      <c r="CD56" s="203"/>
      <c r="CE56" s="203"/>
      <c r="CF56" s="203"/>
      <c r="CG56" s="203"/>
      <c r="CH56" s="203"/>
      <c r="CI56" s="203"/>
      <c r="CJ56" s="203"/>
      <c r="CK56" s="203"/>
      <c r="CL56" s="203"/>
      <c r="CM56" s="203"/>
      <c r="CN56" s="203"/>
      <c r="CO56" s="203"/>
      <c r="CP56" s="203"/>
      <c r="CQ56" s="203"/>
      <c r="CR56" s="203"/>
      <c r="CS56" s="203"/>
      <c r="CT56" s="203"/>
      <c r="CU56" s="203"/>
      <c r="CV56" s="203"/>
      <c r="CW56" s="203"/>
      <c r="CX56" s="203"/>
      <c r="CY56" s="203"/>
      <c r="CZ56" s="203"/>
      <c r="DA56" s="203"/>
      <c r="DB56" s="203"/>
      <c r="DC56" s="203"/>
      <c r="DD56" s="203"/>
      <c r="DE56" s="203"/>
      <c r="DF56" s="203"/>
      <c r="DG56" s="203"/>
      <c r="DH56" s="203"/>
      <c r="DI56" s="203"/>
      <c r="DJ56" s="203"/>
      <c r="DK56" s="203"/>
      <c r="DL56" s="203"/>
      <c r="DM56" s="203"/>
      <c r="DN56" s="203"/>
      <c r="DO56" s="203"/>
      <c r="DP56" s="203"/>
      <c r="DQ56" s="203"/>
      <c r="DR56" s="203"/>
      <c r="DS56" s="203"/>
      <c r="DT56" s="203"/>
      <c r="DU56" s="203"/>
      <c r="DV56" s="203"/>
      <c r="DW56" s="203"/>
      <c r="DX56" s="203"/>
      <c r="DY56" s="203"/>
      <c r="DZ56" s="203"/>
      <c r="EA56" s="203"/>
      <c r="EB56" s="203"/>
      <c r="EC56" s="203"/>
      <c r="ED56" s="203"/>
      <c r="EE56" s="203"/>
      <c r="EF56" s="203"/>
      <c r="EG56" s="203"/>
      <c r="EH56" s="203"/>
      <c r="EI56" s="203"/>
      <c r="EJ56" s="203"/>
      <c r="EK56" s="203"/>
      <c r="EL56" s="203"/>
      <c r="EM56" s="203"/>
      <c r="EN56" s="203"/>
      <c r="EO56" s="203"/>
      <c r="EP56" s="203"/>
      <c r="EQ56" s="203"/>
      <c r="ER56" s="203"/>
      <c r="ES56" s="203"/>
      <c r="ET56" s="203"/>
      <c r="EU56" s="203"/>
      <c r="EV56" s="203"/>
      <c r="EW56" s="203"/>
      <c r="EX56" s="203"/>
      <c r="EY56" s="203"/>
      <c r="EZ56" s="203"/>
      <c r="FA56" s="203"/>
      <c r="FB56" s="203"/>
      <c r="FC56" s="203"/>
    </row>
    <row r="57" spans="1:159" ht="314.25" customHeight="1">
      <c r="A57" s="83" t="str">
        <f ca="1">IF(AND($D$1&gt;=C56,$D$1&lt;=D56),"CurrentSprint","NA")</f>
        <v>NA</v>
      </c>
      <c r="B57" s="316" t="s">
        <v>208</v>
      </c>
      <c r="C57" s="428">
        <v>46093</v>
      </c>
      <c r="D57" s="428">
        <v>46107</v>
      </c>
      <c r="E57" s="228">
        <v>16</v>
      </c>
      <c r="F57" s="228">
        <v>21</v>
      </c>
      <c r="G57" s="449" t="s">
        <v>105</v>
      </c>
      <c r="H57" s="305"/>
      <c r="I57" s="390" t="s">
        <v>209</v>
      </c>
      <c r="J57" s="477" t="s">
        <v>210</v>
      </c>
      <c r="K57" s="350" t="s">
        <v>211</v>
      </c>
      <c r="L57" s="203"/>
      <c r="M57" s="246"/>
      <c r="N57" s="228">
        <v>0</v>
      </c>
      <c r="O57" s="357">
        <v>0.5</v>
      </c>
      <c r="P57" s="203"/>
      <c r="Q57" s="203"/>
      <c r="R57" s="203"/>
      <c r="S57" s="203"/>
      <c r="T57" s="203"/>
      <c r="U57" s="203"/>
      <c r="V57" s="203"/>
      <c r="W57" s="203"/>
      <c r="X57" s="203"/>
      <c r="Y57" s="203"/>
      <c r="Z57" s="203"/>
      <c r="AA57" s="203"/>
      <c r="AB57" s="203"/>
      <c r="AC57" s="203"/>
      <c r="AD57" s="203"/>
      <c r="AE57" s="203"/>
      <c r="AF57" s="203"/>
      <c r="AG57" s="203"/>
      <c r="AH57" s="203"/>
      <c r="AI57" s="203"/>
      <c r="AJ57" s="203"/>
      <c r="AK57" s="203"/>
      <c r="AL57" s="203"/>
      <c r="AM57" s="203"/>
      <c r="AN57" s="203"/>
      <c r="AO57" s="203"/>
      <c r="AP57" s="203"/>
      <c r="AQ57" s="203"/>
      <c r="AR57" s="203"/>
      <c r="AS57" s="203"/>
      <c r="AT57" s="203"/>
      <c r="AU57" s="203"/>
      <c r="AV57" s="203"/>
      <c r="AW57" s="203"/>
      <c r="AX57" s="203"/>
      <c r="AY57" s="203"/>
      <c r="AZ57" s="203"/>
      <c r="BA57" s="203"/>
      <c r="BB57" s="203"/>
      <c r="BC57" s="203"/>
      <c r="BD57" s="203"/>
      <c r="BE57" s="203"/>
      <c r="BF57" s="203"/>
      <c r="BG57" s="203"/>
      <c r="BH57" s="203"/>
      <c r="BI57" s="203"/>
      <c r="BJ57" s="203"/>
      <c r="BK57" s="203"/>
      <c r="BL57" s="203"/>
      <c r="BM57" s="203"/>
      <c r="BN57" s="203"/>
      <c r="BO57" s="203"/>
      <c r="BP57" s="203"/>
      <c r="BQ57" s="203"/>
      <c r="BR57" s="203"/>
      <c r="BS57" s="203"/>
      <c r="BT57" s="203"/>
      <c r="BU57" s="203"/>
      <c r="BV57" s="203"/>
      <c r="BW57" s="203"/>
      <c r="BX57" s="203"/>
      <c r="BY57" s="203"/>
      <c r="BZ57" s="203"/>
      <c r="CA57" s="203"/>
      <c r="CB57" s="203"/>
      <c r="CC57" s="203"/>
      <c r="CD57" s="203"/>
      <c r="CE57" s="203"/>
      <c r="CF57" s="203"/>
      <c r="CG57" s="203"/>
      <c r="CH57" s="203"/>
      <c r="CI57" s="203"/>
      <c r="CJ57" s="203"/>
      <c r="CK57" s="203"/>
      <c r="CL57" s="203"/>
      <c r="CM57" s="203"/>
      <c r="CN57" s="203"/>
      <c r="CO57" s="203"/>
      <c r="CP57" s="203"/>
      <c r="CQ57" s="203"/>
      <c r="CR57" s="203"/>
      <c r="CS57" s="203"/>
      <c r="CT57" s="203"/>
      <c r="CU57" s="203"/>
      <c r="CV57" s="203"/>
      <c r="CW57" s="203"/>
      <c r="CX57" s="203"/>
      <c r="CY57" s="203"/>
      <c r="CZ57" s="203"/>
      <c r="DA57" s="203"/>
      <c r="DB57" s="203"/>
      <c r="DC57" s="203"/>
      <c r="DD57" s="203"/>
      <c r="DE57" s="203"/>
      <c r="DF57" s="203"/>
      <c r="DG57" s="203"/>
      <c r="DH57" s="203"/>
      <c r="DI57" s="203"/>
      <c r="DJ57" s="203"/>
      <c r="DK57" s="203"/>
      <c r="DL57" s="203"/>
      <c r="DM57" s="203"/>
      <c r="DN57" s="203"/>
      <c r="DO57" s="203"/>
      <c r="DP57" s="203"/>
      <c r="DQ57" s="203"/>
      <c r="DR57" s="203"/>
      <c r="DS57" s="203"/>
      <c r="DT57" s="203"/>
      <c r="DU57" s="203"/>
      <c r="DV57" s="203"/>
      <c r="DW57" s="203"/>
      <c r="DX57" s="203"/>
      <c r="DY57" s="203"/>
      <c r="DZ57" s="203"/>
      <c r="EA57" s="203"/>
      <c r="EB57" s="203"/>
      <c r="EC57" s="203"/>
      <c r="ED57" s="203"/>
      <c r="EE57" s="203"/>
      <c r="EF57" s="203"/>
      <c r="EG57" s="203"/>
      <c r="EH57" s="203"/>
      <c r="EI57" s="203"/>
      <c r="EJ57" s="203"/>
      <c r="EK57" s="203"/>
      <c r="EL57" s="203"/>
      <c r="EM57" s="203"/>
      <c r="EN57" s="203"/>
      <c r="EO57" s="203"/>
      <c r="EP57" s="203"/>
      <c r="EQ57" s="203"/>
      <c r="ER57" s="203"/>
      <c r="ES57" s="203"/>
      <c r="ET57" s="203"/>
      <c r="EU57" s="203"/>
      <c r="EV57" s="203"/>
      <c r="EW57" s="203"/>
      <c r="EX57" s="203"/>
      <c r="EY57" s="203"/>
      <c r="EZ57" s="203"/>
      <c r="FA57" s="203"/>
      <c r="FB57" s="203"/>
      <c r="FC57" s="203"/>
    </row>
    <row r="58" spans="1:159" ht="249.75" customHeight="1">
      <c r="A58" s="83" t="str">
        <f ca="1">IF(AND($D$1&gt;=C57,$D$1&lt;=D57),"CurrentSprint","NA")</f>
        <v>NA</v>
      </c>
      <c r="B58" s="316" t="s">
        <v>212</v>
      </c>
      <c r="C58" s="428">
        <v>46107</v>
      </c>
      <c r="D58" s="428">
        <v>46121</v>
      </c>
      <c r="E58" s="228">
        <v>7</v>
      </c>
      <c r="F58" s="228">
        <v>7</v>
      </c>
      <c r="G58" s="449" t="s">
        <v>36</v>
      </c>
      <c r="H58" s="376" t="s">
        <v>213</v>
      </c>
      <c r="I58" s="305" t="s">
        <v>214</v>
      </c>
      <c r="J58" s="477" t="s">
        <v>215</v>
      </c>
      <c r="K58" s="350" t="s">
        <v>216</v>
      </c>
      <c r="L58" s="203"/>
      <c r="M58" s="246"/>
      <c r="N58" s="228">
        <v>5.5</v>
      </c>
      <c r="O58" s="357">
        <v>7</v>
      </c>
      <c r="P58" s="203"/>
      <c r="Q58" s="203"/>
      <c r="R58" s="203"/>
      <c r="S58" s="203"/>
      <c r="T58" s="203"/>
      <c r="U58" s="203"/>
      <c r="V58" s="203"/>
      <c r="W58" s="203"/>
      <c r="X58" s="203"/>
      <c r="Y58" s="203"/>
      <c r="Z58" s="203"/>
      <c r="AA58" s="203"/>
      <c r="AB58" s="203"/>
      <c r="AC58" s="203"/>
      <c r="AD58" s="203"/>
      <c r="AE58" s="203"/>
      <c r="AF58" s="203"/>
      <c r="AG58" s="203"/>
      <c r="AH58" s="203"/>
      <c r="AI58" s="203"/>
      <c r="AJ58" s="203"/>
      <c r="AK58" s="203"/>
      <c r="AL58" s="203"/>
      <c r="AM58" s="203"/>
      <c r="AN58" s="203"/>
      <c r="AO58" s="203"/>
      <c r="AP58" s="203"/>
      <c r="AQ58" s="203"/>
      <c r="AR58" s="203"/>
      <c r="AS58" s="203"/>
      <c r="AT58" s="203"/>
      <c r="AU58" s="203"/>
      <c r="AV58" s="203"/>
      <c r="AW58" s="203"/>
      <c r="AX58" s="203"/>
      <c r="AY58" s="203"/>
      <c r="AZ58" s="203"/>
      <c r="BA58" s="203"/>
      <c r="BB58" s="203"/>
      <c r="BC58" s="203"/>
      <c r="BD58" s="203"/>
      <c r="BE58" s="203"/>
      <c r="BF58" s="203"/>
      <c r="BG58" s="203"/>
      <c r="BH58" s="203"/>
      <c r="BI58" s="203"/>
      <c r="BJ58" s="203"/>
      <c r="BK58" s="203"/>
      <c r="BL58" s="203"/>
      <c r="BM58" s="203"/>
      <c r="BN58" s="203"/>
      <c r="BO58" s="203"/>
      <c r="BP58" s="203"/>
      <c r="BQ58" s="203"/>
      <c r="BR58" s="203"/>
      <c r="BS58" s="203"/>
      <c r="BT58" s="203"/>
      <c r="BU58" s="203"/>
      <c r="BV58" s="203"/>
      <c r="BW58" s="203"/>
      <c r="BX58" s="203"/>
      <c r="BY58" s="203"/>
      <c r="BZ58" s="203"/>
      <c r="CA58" s="203"/>
      <c r="CB58" s="203"/>
      <c r="CC58" s="203"/>
      <c r="CD58" s="203"/>
      <c r="CE58" s="203"/>
      <c r="CF58" s="203"/>
      <c r="CG58" s="203"/>
      <c r="CH58" s="203"/>
      <c r="CI58" s="203"/>
      <c r="CJ58" s="203"/>
      <c r="CK58" s="203"/>
      <c r="CL58" s="203"/>
      <c r="CM58" s="203"/>
      <c r="CN58" s="203"/>
      <c r="CO58" s="203"/>
      <c r="CP58" s="203"/>
      <c r="CQ58" s="203"/>
      <c r="CR58" s="203"/>
      <c r="CS58" s="203"/>
      <c r="CT58" s="203"/>
      <c r="CU58" s="203"/>
      <c r="CV58" s="203"/>
      <c r="CW58" s="203"/>
      <c r="CX58" s="203"/>
      <c r="CY58" s="203"/>
      <c r="CZ58" s="203"/>
      <c r="DA58" s="203"/>
      <c r="DB58" s="203"/>
      <c r="DC58" s="203"/>
      <c r="DD58" s="203"/>
      <c r="DE58" s="203"/>
      <c r="DF58" s="203"/>
      <c r="DG58" s="203"/>
      <c r="DH58" s="203"/>
      <c r="DI58" s="203"/>
      <c r="DJ58" s="203"/>
      <c r="DK58" s="203"/>
      <c r="DL58" s="203"/>
      <c r="DM58" s="203"/>
      <c r="DN58" s="203"/>
      <c r="DO58" s="203"/>
      <c r="DP58" s="203"/>
      <c r="DQ58" s="203"/>
      <c r="DR58" s="203"/>
      <c r="DS58" s="203"/>
      <c r="DT58" s="203"/>
      <c r="DU58" s="203"/>
      <c r="DV58" s="203"/>
      <c r="DW58" s="203"/>
      <c r="DX58" s="203"/>
      <c r="DY58" s="203"/>
      <c r="DZ58" s="203"/>
      <c r="EA58" s="203"/>
      <c r="EB58" s="203"/>
      <c r="EC58" s="203"/>
      <c r="ED58" s="203"/>
      <c r="EE58" s="203"/>
      <c r="EF58" s="203"/>
      <c r="EG58" s="203"/>
      <c r="EH58" s="203"/>
      <c r="EI58" s="203"/>
      <c r="EJ58" s="203"/>
      <c r="EK58" s="203"/>
      <c r="EL58" s="203"/>
      <c r="EM58" s="203"/>
      <c r="EN58" s="203"/>
      <c r="EO58" s="203"/>
      <c r="EP58" s="203"/>
      <c r="EQ58" s="203"/>
      <c r="ER58" s="203"/>
      <c r="ES58" s="203"/>
      <c r="ET58" s="203"/>
      <c r="EU58" s="203"/>
      <c r="EV58" s="203"/>
      <c r="EW58" s="203"/>
      <c r="EX58" s="203"/>
      <c r="EY58" s="203"/>
      <c r="EZ58" s="203"/>
      <c r="FA58" s="203"/>
      <c r="FB58" s="203"/>
      <c r="FC58" s="203"/>
    </row>
    <row r="59" spans="1:159" ht="266.25" customHeight="1">
      <c r="A59" s="83" t="str">
        <f ca="1">IF(AND($D$1&gt;=C58,$D$1&lt;=D58),"CurrentSprint","NA")</f>
        <v>NA</v>
      </c>
      <c r="B59" s="316" t="s">
        <v>217</v>
      </c>
      <c r="C59" s="428">
        <v>46121</v>
      </c>
      <c r="D59" s="428">
        <v>46135</v>
      </c>
      <c r="E59" s="228">
        <v>14</v>
      </c>
      <c r="F59" s="228">
        <v>12</v>
      </c>
      <c r="G59" s="449" t="s">
        <v>165</v>
      </c>
      <c r="H59" s="376" t="s">
        <v>218</v>
      </c>
      <c r="I59" s="90" t="s">
        <v>219</v>
      </c>
      <c r="J59" s="477" t="s">
        <v>220</v>
      </c>
      <c r="K59" s="350" t="s">
        <v>221</v>
      </c>
      <c r="L59" s="203"/>
      <c r="M59" s="246"/>
      <c r="N59" s="228">
        <v>11</v>
      </c>
      <c r="O59" s="357">
        <v>12</v>
      </c>
      <c r="P59" s="203"/>
      <c r="Q59" s="203"/>
      <c r="R59" s="203"/>
      <c r="S59" s="203"/>
      <c r="T59" s="203"/>
      <c r="U59" s="203"/>
      <c r="V59" s="203"/>
      <c r="W59" s="203"/>
      <c r="X59" s="203"/>
      <c r="Y59" s="203"/>
      <c r="Z59" s="203"/>
      <c r="AA59" s="203"/>
      <c r="AB59" s="203"/>
      <c r="AC59" s="203"/>
      <c r="AD59" s="203"/>
      <c r="AE59" s="203"/>
      <c r="AF59" s="203"/>
      <c r="AG59" s="203"/>
      <c r="AH59" s="203"/>
      <c r="AI59" s="203"/>
      <c r="AJ59" s="203"/>
      <c r="AK59" s="203"/>
      <c r="AL59" s="203"/>
      <c r="AM59" s="203"/>
      <c r="AN59" s="203"/>
      <c r="AO59" s="203"/>
      <c r="AP59" s="203"/>
      <c r="AQ59" s="203"/>
      <c r="AR59" s="203"/>
      <c r="AS59" s="203"/>
      <c r="AT59" s="203"/>
      <c r="AU59" s="203"/>
      <c r="AV59" s="203"/>
      <c r="AW59" s="203"/>
      <c r="AX59" s="203"/>
      <c r="AY59" s="203"/>
      <c r="AZ59" s="203"/>
      <c r="BA59" s="203"/>
      <c r="BB59" s="203"/>
      <c r="BC59" s="203"/>
      <c r="BD59" s="203"/>
      <c r="BE59" s="203"/>
      <c r="BF59" s="203"/>
      <c r="BG59" s="203"/>
      <c r="BH59" s="203"/>
      <c r="BI59" s="203"/>
      <c r="BJ59" s="203"/>
      <c r="BK59" s="203"/>
      <c r="BL59" s="203"/>
      <c r="BM59" s="203"/>
      <c r="BN59" s="203"/>
      <c r="BO59" s="203"/>
      <c r="BP59" s="203"/>
      <c r="BQ59" s="203"/>
      <c r="BR59" s="203"/>
      <c r="BS59" s="203"/>
      <c r="BT59" s="203"/>
      <c r="BU59" s="203"/>
      <c r="BV59" s="203"/>
      <c r="BW59" s="203"/>
      <c r="BX59" s="203"/>
      <c r="BY59" s="203"/>
      <c r="BZ59" s="203"/>
      <c r="CA59" s="203"/>
      <c r="CB59" s="203"/>
      <c r="CC59" s="203"/>
      <c r="CD59" s="203"/>
      <c r="CE59" s="203"/>
      <c r="CF59" s="203"/>
      <c r="CG59" s="203"/>
      <c r="CH59" s="203"/>
      <c r="CI59" s="203"/>
      <c r="CJ59" s="203"/>
      <c r="CK59" s="203"/>
      <c r="CL59" s="203"/>
      <c r="CM59" s="203"/>
      <c r="CN59" s="203"/>
      <c r="CO59" s="203"/>
      <c r="CP59" s="203"/>
      <c r="CQ59" s="203"/>
      <c r="CR59" s="203"/>
      <c r="CS59" s="203"/>
      <c r="CT59" s="203"/>
      <c r="CU59" s="203"/>
      <c r="CV59" s="203"/>
      <c r="CW59" s="203"/>
      <c r="CX59" s="203"/>
      <c r="CY59" s="203"/>
      <c r="CZ59" s="203"/>
      <c r="DA59" s="203"/>
      <c r="DB59" s="203"/>
      <c r="DC59" s="203"/>
      <c r="DD59" s="203"/>
      <c r="DE59" s="203"/>
      <c r="DF59" s="203"/>
      <c r="DG59" s="203"/>
      <c r="DH59" s="203"/>
      <c r="DI59" s="203"/>
      <c r="DJ59" s="203"/>
      <c r="DK59" s="203"/>
      <c r="DL59" s="203"/>
      <c r="DM59" s="203"/>
      <c r="DN59" s="203"/>
      <c r="DO59" s="203"/>
      <c r="DP59" s="203"/>
      <c r="DQ59" s="203"/>
      <c r="DR59" s="203"/>
      <c r="DS59" s="203"/>
      <c r="DT59" s="203"/>
      <c r="DU59" s="203"/>
      <c r="DV59" s="203"/>
      <c r="DW59" s="203"/>
      <c r="DX59" s="203"/>
      <c r="DY59" s="203"/>
      <c r="DZ59" s="203"/>
      <c r="EA59" s="203"/>
      <c r="EB59" s="203"/>
      <c r="EC59" s="203"/>
      <c r="ED59" s="203"/>
      <c r="EE59" s="203"/>
      <c r="EF59" s="203"/>
      <c r="EG59" s="203"/>
      <c r="EH59" s="203"/>
      <c r="EI59" s="203"/>
      <c r="EJ59" s="203"/>
      <c r="EK59" s="203"/>
      <c r="EL59" s="203"/>
      <c r="EM59" s="203"/>
      <c r="EN59" s="203"/>
      <c r="EO59" s="203"/>
      <c r="EP59" s="203"/>
      <c r="EQ59" s="203"/>
      <c r="ER59" s="203"/>
      <c r="ES59" s="203"/>
      <c r="ET59" s="203"/>
      <c r="EU59" s="203"/>
      <c r="EV59" s="203"/>
      <c r="EW59" s="203"/>
      <c r="EX59" s="203"/>
      <c r="EY59" s="203"/>
      <c r="EZ59" s="203"/>
      <c r="FA59" s="203"/>
      <c r="FB59" s="203"/>
      <c r="FC59" s="203"/>
    </row>
    <row r="60" spans="1:159" ht="301.5" customHeight="1">
      <c r="A60" s="83" t="str">
        <f ca="1">IF(AND($D$1&gt;=C59,$D$1&lt;=D59),"CurrentSprint","NA")</f>
        <v>NA</v>
      </c>
      <c r="B60" s="316" t="s">
        <v>222</v>
      </c>
      <c r="C60" s="428">
        <v>46135</v>
      </c>
      <c r="D60" s="428">
        <v>46149</v>
      </c>
      <c r="E60" s="228">
        <v>12</v>
      </c>
      <c r="F60" s="228">
        <v>14</v>
      </c>
      <c r="G60" s="449" t="s">
        <v>25</v>
      </c>
      <c r="H60" s="376" t="s">
        <v>223</v>
      </c>
      <c r="I60" s="90" t="s">
        <v>224</v>
      </c>
      <c r="J60" s="477" t="s">
        <v>225</v>
      </c>
      <c r="K60" s="350" t="s">
        <v>226</v>
      </c>
      <c r="L60" s="203"/>
      <c r="M60" s="246"/>
      <c r="N60" s="228">
        <v>12</v>
      </c>
      <c r="O60" s="357">
        <v>12</v>
      </c>
      <c r="P60" s="203"/>
      <c r="Q60" s="203"/>
      <c r="R60" s="203"/>
      <c r="S60" s="203"/>
      <c r="T60" s="203"/>
      <c r="U60" s="203"/>
      <c r="V60" s="203"/>
      <c r="W60" s="203"/>
      <c r="X60" s="203"/>
      <c r="Y60" s="203"/>
      <c r="Z60" s="203"/>
      <c r="AA60" s="203"/>
      <c r="AB60" s="203"/>
      <c r="AC60" s="203"/>
      <c r="AD60" s="203"/>
      <c r="AE60" s="203"/>
      <c r="AF60" s="203"/>
      <c r="AG60" s="203"/>
      <c r="AH60" s="203"/>
      <c r="AI60" s="203"/>
      <c r="AJ60" s="203"/>
      <c r="AK60" s="203"/>
      <c r="AL60" s="203"/>
      <c r="AM60" s="203"/>
      <c r="AN60" s="203"/>
      <c r="AO60" s="203"/>
      <c r="AP60" s="203"/>
      <c r="AQ60" s="203"/>
      <c r="AR60" s="203"/>
      <c r="AS60" s="203"/>
      <c r="AT60" s="203"/>
      <c r="AU60" s="203"/>
      <c r="AV60" s="203"/>
      <c r="AW60" s="203"/>
      <c r="AX60" s="203"/>
      <c r="AY60" s="203"/>
      <c r="AZ60" s="203"/>
      <c r="BA60" s="203"/>
      <c r="BB60" s="203"/>
      <c r="BC60" s="203"/>
      <c r="BD60" s="203"/>
      <c r="BE60" s="203"/>
      <c r="BF60" s="203"/>
      <c r="BG60" s="203"/>
      <c r="BH60" s="203"/>
      <c r="BI60" s="203"/>
      <c r="BJ60" s="203"/>
      <c r="BK60" s="203"/>
      <c r="BL60" s="203"/>
      <c r="BM60" s="203"/>
      <c r="BN60" s="203"/>
      <c r="BO60" s="203"/>
      <c r="BP60" s="203"/>
      <c r="BQ60" s="203"/>
      <c r="BR60" s="203"/>
      <c r="BS60" s="203"/>
      <c r="BT60" s="203"/>
      <c r="BU60" s="203"/>
      <c r="BV60" s="203"/>
      <c r="BW60" s="203"/>
      <c r="BX60" s="203"/>
      <c r="BY60" s="203"/>
      <c r="BZ60" s="203"/>
      <c r="CA60" s="203"/>
      <c r="CB60" s="203"/>
      <c r="CC60" s="203"/>
      <c r="CD60" s="203"/>
      <c r="CE60" s="203"/>
      <c r="CF60" s="203"/>
      <c r="CG60" s="203"/>
      <c r="CH60" s="203"/>
      <c r="CI60" s="203"/>
      <c r="CJ60" s="203"/>
      <c r="CK60" s="203"/>
      <c r="CL60" s="203"/>
      <c r="CM60" s="203"/>
      <c r="CN60" s="203"/>
      <c r="CO60" s="203"/>
      <c r="CP60" s="203"/>
      <c r="CQ60" s="203"/>
      <c r="CR60" s="203"/>
      <c r="CS60" s="203"/>
      <c r="CT60" s="203"/>
      <c r="CU60" s="203"/>
      <c r="CV60" s="203"/>
      <c r="CW60" s="203"/>
      <c r="CX60" s="203"/>
      <c r="CY60" s="203"/>
      <c r="CZ60" s="203"/>
      <c r="DA60" s="203"/>
      <c r="DB60" s="203"/>
      <c r="DC60" s="203"/>
      <c r="DD60" s="203"/>
      <c r="DE60" s="203"/>
      <c r="DF60" s="203"/>
      <c r="DG60" s="203"/>
      <c r="DH60" s="203"/>
      <c r="DI60" s="203"/>
      <c r="DJ60" s="203"/>
      <c r="DK60" s="203"/>
      <c r="DL60" s="203"/>
      <c r="DM60" s="203"/>
      <c r="DN60" s="203"/>
      <c r="DO60" s="203"/>
      <c r="DP60" s="203"/>
      <c r="DQ60" s="203"/>
      <c r="DR60" s="203"/>
      <c r="DS60" s="203"/>
      <c r="DT60" s="203"/>
      <c r="DU60" s="203"/>
      <c r="DV60" s="203"/>
      <c r="DW60" s="203"/>
      <c r="DX60" s="203"/>
      <c r="DY60" s="203"/>
      <c r="DZ60" s="203"/>
      <c r="EA60" s="203"/>
      <c r="EB60" s="203"/>
      <c r="EC60" s="203"/>
      <c r="ED60" s="203"/>
      <c r="EE60" s="203"/>
      <c r="EF60" s="203"/>
      <c r="EG60" s="203"/>
      <c r="EH60" s="203"/>
      <c r="EI60" s="203"/>
      <c r="EJ60" s="203"/>
      <c r="EK60" s="203"/>
      <c r="EL60" s="203"/>
      <c r="EM60" s="203"/>
      <c r="EN60" s="203"/>
      <c r="EO60" s="203"/>
      <c r="EP60" s="203"/>
      <c r="EQ60" s="203"/>
      <c r="ER60" s="203"/>
      <c r="ES60" s="203"/>
      <c r="ET60" s="203"/>
      <c r="EU60" s="203"/>
      <c r="EV60" s="203"/>
      <c r="EW60" s="203"/>
      <c r="EX60" s="203"/>
      <c r="EY60" s="203"/>
      <c r="EZ60" s="203"/>
      <c r="FA60" s="203"/>
      <c r="FB60" s="203"/>
      <c r="FC60" s="203"/>
    </row>
    <row r="61" spans="1:159" ht="129" customHeight="1">
      <c r="A61" s="83" t="str">
        <f ca="1">IF(AND($D$1&gt;=C60,$D$1&lt;=D60),"CurrentSprint","NA")</f>
        <v>NA</v>
      </c>
      <c r="B61" s="316" t="s">
        <v>227</v>
      </c>
      <c r="C61" s="428">
        <v>46149</v>
      </c>
      <c r="D61" s="428">
        <v>46163</v>
      </c>
      <c r="E61" s="228">
        <v>19</v>
      </c>
      <c r="F61" s="228">
        <v>11</v>
      </c>
      <c r="G61" s="449" t="s">
        <v>53</v>
      </c>
      <c r="H61" s="376"/>
      <c r="I61" s="90" t="s">
        <v>228</v>
      </c>
      <c r="J61" s="477" t="s">
        <v>229</v>
      </c>
      <c r="K61" s="350"/>
      <c r="L61" s="203"/>
      <c r="M61" s="246"/>
      <c r="N61" s="228">
        <v>3</v>
      </c>
      <c r="O61" s="357">
        <v>1</v>
      </c>
      <c r="P61" s="203"/>
      <c r="Q61" s="203"/>
      <c r="R61" s="203"/>
      <c r="S61" s="203"/>
      <c r="T61" s="203"/>
      <c r="U61" s="203"/>
      <c r="V61" s="203"/>
      <c r="W61" s="203"/>
      <c r="X61" s="203"/>
      <c r="Y61" s="203"/>
      <c r="Z61" s="203"/>
      <c r="AA61" s="203"/>
      <c r="AB61" s="203"/>
      <c r="AC61" s="203"/>
      <c r="AD61" s="203"/>
      <c r="AE61" s="203"/>
      <c r="AF61" s="203"/>
      <c r="AG61" s="203"/>
      <c r="AH61" s="203"/>
      <c r="AI61" s="203"/>
      <c r="AJ61" s="203"/>
      <c r="AK61" s="203"/>
      <c r="AL61" s="203"/>
      <c r="AM61" s="203"/>
      <c r="AN61" s="203"/>
      <c r="AO61" s="203"/>
      <c r="AP61" s="203"/>
      <c r="AQ61" s="203"/>
      <c r="AR61" s="203"/>
      <c r="AS61" s="203"/>
      <c r="AT61" s="203"/>
      <c r="AU61" s="203"/>
      <c r="AV61" s="203"/>
      <c r="AW61" s="203"/>
      <c r="AX61" s="203"/>
      <c r="AY61" s="203"/>
      <c r="AZ61" s="203"/>
      <c r="BA61" s="203"/>
      <c r="BB61" s="203"/>
      <c r="BC61" s="203"/>
      <c r="BD61" s="203"/>
      <c r="BE61" s="203"/>
      <c r="BF61" s="203"/>
      <c r="BG61" s="203"/>
      <c r="BH61" s="203"/>
      <c r="BI61" s="203"/>
      <c r="BJ61" s="203"/>
      <c r="BK61" s="203"/>
      <c r="BL61" s="203"/>
      <c r="BM61" s="203"/>
      <c r="BN61" s="203"/>
      <c r="BO61" s="203"/>
      <c r="BP61" s="203"/>
      <c r="BQ61" s="203"/>
      <c r="BR61" s="203"/>
      <c r="BS61" s="203"/>
      <c r="BT61" s="203"/>
      <c r="BU61" s="203"/>
      <c r="BV61" s="203"/>
      <c r="BW61" s="203"/>
      <c r="BX61" s="203"/>
      <c r="BY61" s="203"/>
      <c r="BZ61" s="203"/>
      <c r="CA61" s="203"/>
      <c r="CB61" s="203"/>
      <c r="CC61" s="203"/>
      <c r="CD61" s="203"/>
      <c r="CE61" s="203"/>
      <c r="CF61" s="203"/>
      <c r="CG61" s="203"/>
      <c r="CH61" s="203"/>
      <c r="CI61" s="203"/>
      <c r="CJ61" s="203"/>
      <c r="CK61" s="203"/>
      <c r="CL61" s="203"/>
      <c r="CM61" s="203"/>
      <c r="CN61" s="203"/>
      <c r="CO61" s="203"/>
      <c r="CP61" s="203"/>
      <c r="CQ61" s="203"/>
      <c r="CR61" s="203"/>
      <c r="CS61" s="203"/>
      <c r="CT61" s="203"/>
      <c r="CU61" s="203"/>
      <c r="CV61" s="203"/>
      <c r="CW61" s="203"/>
      <c r="CX61" s="203"/>
      <c r="CY61" s="203"/>
      <c r="CZ61" s="203"/>
      <c r="DA61" s="203"/>
      <c r="DB61" s="203"/>
      <c r="DC61" s="203"/>
      <c r="DD61" s="203"/>
      <c r="DE61" s="203"/>
      <c r="DF61" s="203"/>
      <c r="DG61" s="203"/>
      <c r="DH61" s="203"/>
      <c r="DI61" s="203"/>
      <c r="DJ61" s="203"/>
      <c r="DK61" s="203"/>
      <c r="DL61" s="203"/>
      <c r="DM61" s="203"/>
      <c r="DN61" s="203"/>
      <c r="DO61" s="203"/>
      <c r="DP61" s="203"/>
      <c r="DQ61" s="203"/>
      <c r="DR61" s="203"/>
      <c r="DS61" s="203"/>
      <c r="DT61" s="203"/>
      <c r="DU61" s="203"/>
      <c r="DV61" s="203"/>
      <c r="DW61" s="203"/>
      <c r="DX61" s="203"/>
      <c r="DY61" s="203"/>
      <c r="DZ61" s="203"/>
      <c r="EA61" s="203"/>
      <c r="EB61" s="203"/>
      <c r="EC61" s="203"/>
      <c r="ED61" s="203"/>
      <c r="EE61" s="203"/>
      <c r="EF61" s="203"/>
      <c r="EG61" s="203"/>
      <c r="EH61" s="203"/>
      <c r="EI61" s="203"/>
      <c r="EJ61" s="203"/>
      <c r="EK61" s="203"/>
      <c r="EL61" s="203"/>
      <c r="EM61" s="203"/>
      <c r="EN61" s="203"/>
      <c r="EO61" s="203"/>
      <c r="EP61" s="203"/>
      <c r="EQ61" s="203"/>
      <c r="ER61" s="203"/>
      <c r="ES61" s="203"/>
      <c r="ET61" s="203"/>
      <c r="EU61" s="203"/>
      <c r="EV61" s="203"/>
      <c r="EW61" s="203"/>
      <c r="EX61" s="203"/>
      <c r="EY61" s="203"/>
      <c r="EZ61" s="203"/>
      <c r="FA61" s="203"/>
      <c r="FB61" s="203"/>
      <c r="FC61" s="203"/>
    </row>
    <row r="62" spans="1:159" ht="15.75" customHeight="1">
      <c r="H62" s="137"/>
      <c r="J62" s="256" t="s">
        <v>230</v>
      </c>
    </row>
    <row r="63" spans="1:159" ht="15.75" customHeight="1">
      <c r="H63" s="137"/>
    </row>
    <row r="64" spans="1:159" ht="15.75" customHeight="1">
      <c r="H64" s="137"/>
    </row>
    <row r="65" spans="8:8" ht="15.75" customHeight="1">
      <c r="H65" s="137"/>
    </row>
    <row r="66" spans="8:8" ht="15.75" customHeight="1">
      <c r="H66" s="137"/>
    </row>
    <row r="67" spans="8:8" ht="15.75" customHeight="1">
      <c r="H67" s="137"/>
    </row>
    <row r="68" spans="8:8" ht="15.75" customHeight="1">
      <c r="H68" s="137"/>
    </row>
    <row r="69" spans="8:8" ht="15.75" customHeight="1">
      <c r="H69" s="137"/>
    </row>
    <row r="70" spans="8:8" ht="15.75" customHeight="1">
      <c r="H70" s="137"/>
    </row>
    <row r="71" spans="8:8" ht="15.75" customHeight="1">
      <c r="H71" s="137"/>
    </row>
    <row r="72" spans="8:8" ht="15.75" customHeight="1">
      <c r="H72" s="137"/>
    </row>
    <row r="73" spans="8:8" ht="15.75" customHeight="1">
      <c r="H73" s="137"/>
    </row>
    <row r="74" spans="8:8" ht="15.75" customHeight="1">
      <c r="H74" s="137"/>
    </row>
    <row r="75" spans="8:8" ht="15.75" customHeight="1">
      <c r="H75" s="137"/>
    </row>
    <row r="76" spans="8:8" ht="15.75" customHeight="1">
      <c r="H76" s="137"/>
    </row>
    <row r="77" spans="8:8" ht="15.75" customHeight="1">
      <c r="H77" s="137"/>
    </row>
    <row r="78" spans="8:8" ht="15.75" customHeight="1">
      <c r="H78" s="137"/>
    </row>
    <row r="79" spans="8:8" ht="15.75" customHeight="1">
      <c r="H79" s="137"/>
    </row>
    <row r="80" spans="8:8" ht="15.75" customHeight="1">
      <c r="H80" s="137"/>
    </row>
    <row r="81" spans="8:8" ht="15.75" customHeight="1">
      <c r="H81" s="137"/>
    </row>
    <row r="82" spans="8:8" ht="15.75" customHeight="1">
      <c r="H82" s="137"/>
    </row>
    <row r="83" spans="8:8" ht="15.75" customHeight="1">
      <c r="H83" s="137"/>
    </row>
    <row r="84" spans="8:8" ht="15.75" customHeight="1">
      <c r="H84" s="137"/>
    </row>
    <row r="85" spans="8:8" ht="15.75" customHeight="1">
      <c r="H85" s="137"/>
    </row>
    <row r="86" spans="8:8" ht="15.75" customHeight="1">
      <c r="H86" s="137"/>
    </row>
    <row r="87" spans="8:8" ht="15.75" customHeight="1">
      <c r="H87" s="137"/>
    </row>
    <row r="88" spans="8:8" ht="15.75" customHeight="1">
      <c r="H88" s="137"/>
    </row>
    <row r="89" spans="8:8" ht="15.75" customHeight="1">
      <c r="H89" s="137"/>
    </row>
    <row r="90" spans="8:8" ht="15.75" customHeight="1">
      <c r="H90" s="137"/>
    </row>
    <row r="91" spans="8:8" ht="15.75" customHeight="1">
      <c r="H91" s="137"/>
    </row>
    <row r="92" spans="8:8" ht="15.75" customHeight="1">
      <c r="H92" s="137"/>
    </row>
    <row r="93" spans="8:8" ht="15.75" customHeight="1">
      <c r="H93" s="137"/>
    </row>
    <row r="94" spans="8:8" ht="15.75" customHeight="1">
      <c r="H94" s="137"/>
    </row>
    <row r="95" spans="8:8" ht="15.75" customHeight="1">
      <c r="H95" s="137"/>
    </row>
    <row r="96" spans="8:8" ht="15.75" customHeight="1">
      <c r="H96" s="137"/>
    </row>
    <row r="97" spans="8:8" ht="15.75" customHeight="1">
      <c r="H97" s="137"/>
    </row>
    <row r="98" spans="8:8" ht="15.75" customHeight="1">
      <c r="H98" s="137"/>
    </row>
    <row r="99" spans="8:8" ht="15.75" customHeight="1">
      <c r="H99" s="137"/>
    </row>
    <row r="100" spans="8:8" ht="15.75" customHeight="1">
      <c r="H100" s="137"/>
    </row>
    <row r="101" spans="8:8" ht="15.75" customHeight="1">
      <c r="H101" s="137"/>
    </row>
    <row r="102" spans="8:8" ht="15.75" customHeight="1">
      <c r="H102" s="137"/>
    </row>
    <row r="103" spans="8:8" ht="15.75" customHeight="1">
      <c r="H103" s="137"/>
    </row>
    <row r="104" spans="8:8" ht="15.75" customHeight="1">
      <c r="H104" s="137"/>
    </row>
    <row r="105" spans="8:8" ht="15.75" customHeight="1">
      <c r="H105" s="137"/>
    </row>
    <row r="106" spans="8:8" ht="15.75" customHeight="1">
      <c r="H106" s="137"/>
    </row>
    <row r="107" spans="8:8" ht="15.75" customHeight="1">
      <c r="H107" s="137"/>
    </row>
    <row r="108" spans="8:8" ht="15.75" customHeight="1">
      <c r="H108" s="137"/>
    </row>
    <row r="109" spans="8:8" ht="15.75" customHeight="1">
      <c r="H109" s="137"/>
    </row>
    <row r="110" spans="8:8" ht="15.75" customHeight="1">
      <c r="H110" s="137"/>
    </row>
    <row r="111" spans="8:8" ht="15.75" customHeight="1">
      <c r="H111" s="137"/>
    </row>
    <row r="112" spans="8:8" ht="15.75" customHeight="1">
      <c r="H112" s="137"/>
    </row>
    <row r="113" spans="8:8" ht="15.75" customHeight="1">
      <c r="H113" s="137"/>
    </row>
    <row r="114" spans="8:8" ht="15.75" customHeight="1">
      <c r="H114" s="137"/>
    </row>
    <row r="115" spans="8:8" ht="15.75" customHeight="1">
      <c r="H115" s="137"/>
    </row>
    <row r="116" spans="8:8" ht="15.75" customHeight="1">
      <c r="H116" s="137"/>
    </row>
    <row r="117" spans="8:8" ht="15.75" customHeight="1">
      <c r="H117" s="137"/>
    </row>
    <row r="118" spans="8:8" ht="15.75" customHeight="1">
      <c r="H118" s="137"/>
    </row>
    <row r="119" spans="8:8" ht="15.75" customHeight="1">
      <c r="H119" s="137"/>
    </row>
    <row r="120" spans="8:8" ht="15.75" customHeight="1">
      <c r="H120" s="137"/>
    </row>
    <row r="121" spans="8:8" ht="15.75" customHeight="1">
      <c r="H121" s="137"/>
    </row>
    <row r="122" spans="8:8" ht="15.75" customHeight="1">
      <c r="H122" s="137"/>
    </row>
    <row r="123" spans="8:8" ht="15.75" customHeight="1">
      <c r="H123" s="137"/>
    </row>
    <row r="124" spans="8:8" ht="15.75" customHeight="1">
      <c r="H124" s="137"/>
    </row>
    <row r="125" spans="8:8" ht="15.75" customHeight="1">
      <c r="H125" s="137"/>
    </row>
    <row r="126" spans="8:8" ht="15.75" customHeight="1">
      <c r="H126" s="137"/>
    </row>
    <row r="127" spans="8:8" ht="15.75" customHeight="1">
      <c r="H127" s="137"/>
    </row>
    <row r="128" spans="8:8" ht="15.75" customHeight="1">
      <c r="H128" s="137"/>
    </row>
    <row r="129" spans="8:8" ht="15.75" customHeight="1">
      <c r="H129" s="137"/>
    </row>
    <row r="130" spans="8:8" ht="15.75" customHeight="1">
      <c r="H130" s="137"/>
    </row>
    <row r="131" spans="8:8" ht="15.75" customHeight="1">
      <c r="H131" s="137"/>
    </row>
    <row r="132" spans="8:8" ht="15.75" customHeight="1">
      <c r="H132" s="137"/>
    </row>
    <row r="133" spans="8:8" ht="15.75" customHeight="1">
      <c r="H133" s="137"/>
    </row>
    <row r="134" spans="8:8" ht="15.75" customHeight="1">
      <c r="H134" s="137"/>
    </row>
    <row r="135" spans="8:8" ht="15.75" customHeight="1">
      <c r="H135" s="137"/>
    </row>
    <row r="136" spans="8:8" ht="15.75" customHeight="1">
      <c r="H136" s="137"/>
    </row>
    <row r="137" spans="8:8" ht="15.75" customHeight="1">
      <c r="H137" s="137"/>
    </row>
    <row r="138" spans="8:8" ht="15.75" customHeight="1">
      <c r="H138" s="137"/>
    </row>
    <row r="139" spans="8:8" ht="15.75" customHeight="1">
      <c r="H139" s="137"/>
    </row>
    <row r="140" spans="8:8" ht="15.75" customHeight="1">
      <c r="H140" s="137"/>
    </row>
    <row r="141" spans="8:8" ht="15.75" customHeight="1">
      <c r="H141" s="137"/>
    </row>
    <row r="142" spans="8:8" ht="15.75" customHeight="1">
      <c r="H142" s="137"/>
    </row>
    <row r="143" spans="8:8" ht="15.75" customHeight="1">
      <c r="H143" s="137"/>
    </row>
    <row r="144" spans="8:8" ht="15.75" customHeight="1">
      <c r="H144" s="137"/>
    </row>
    <row r="145" spans="8:8" ht="15.75" customHeight="1">
      <c r="H145" s="137"/>
    </row>
    <row r="146" spans="8:8" ht="15.75" customHeight="1">
      <c r="H146" s="137"/>
    </row>
    <row r="147" spans="8:8" ht="15.75" customHeight="1">
      <c r="H147" s="137"/>
    </row>
    <row r="148" spans="8:8" ht="15.75" customHeight="1">
      <c r="H148" s="137"/>
    </row>
    <row r="149" spans="8:8" ht="15.75" customHeight="1">
      <c r="H149" s="137"/>
    </row>
    <row r="150" spans="8:8" ht="15.75" customHeight="1">
      <c r="H150" s="137"/>
    </row>
    <row r="151" spans="8:8" ht="15.75" customHeight="1">
      <c r="H151" s="137"/>
    </row>
    <row r="152" spans="8:8" ht="15.75" customHeight="1">
      <c r="H152" s="137"/>
    </row>
    <row r="153" spans="8:8" ht="15.75" customHeight="1">
      <c r="H153" s="137"/>
    </row>
    <row r="154" spans="8:8" ht="15.75" customHeight="1">
      <c r="H154" s="137"/>
    </row>
    <row r="155" spans="8:8" ht="15.75" customHeight="1">
      <c r="H155" s="137"/>
    </row>
    <row r="156" spans="8:8" ht="15.75" customHeight="1">
      <c r="H156" s="137"/>
    </row>
    <row r="157" spans="8:8" ht="15.75" customHeight="1">
      <c r="H157" s="137"/>
    </row>
    <row r="158" spans="8:8" ht="15.75" customHeight="1">
      <c r="H158" s="137"/>
    </row>
    <row r="159" spans="8:8" ht="15.75" customHeight="1">
      <c r="H159" s="137"/>
    </row>
    <row r="160" spans="8:8" ht="15.75" customHeight="1">
      <c r="H160" s="137"/>
    </row>
    <row r="161" spans="8:8" ht="15.75" customHeight="1">
      <c r="H161" s="137"/>
    </row>
    <row r="162" spans="8:8" ht="15.75" customHeight="1">
      <c r="H162" s="137"/>
    </row>
    <row r="163" spans="8:8" ht="15.75" customHeight="1">
      <c r="H163" s="137"/>
    </row>
    <row r="164" spans="8:8" ht="15.75" customHeight="1">
      <c r="H164" s="137"/>
    </row>
    <row r="165" spans="8:8" ht="15.75" customHeight="1">
      <c r="H165" s="137"/>
    </row>
    <row r="166" spans="8:8" ht="15.75" customHeight="1">
      <c r="H166" s="137"/>
    </row>
    <row r="167" spans="8:8" ht="15.75" customHeight="1">
      <c r="H167" s="137"/>
    </row>
    <row r="168" spans="8:8" ht="15.75" customHeight="1">
      <c r="H168" s="137"/>
    </row>
    <row r="169" spans="8:8" ht="15.75" customHeight="1">
      <c r="H169" s="137"/>
    </row>
    <row r="170" spans="8:8" ht="15.75" customHeight="1">
      <c r="H170" s="137"/>
    </row>
    <row r="171" spans="8:8" ht="15.75" customHeight="1">
      <c r="H171" s="137"/>
    </row>
    <row r="172" spans="8:8" ht="15.75" customHeight="1">
      <c r="H172" s="137"/>
    </row>
    <row r="173" spans="8:8" ht="15.75" customHeight="1">
      <c r="H173" s="137"/>
    </row>
    <row r="174" spans="8:8" ht="15.75" customHeight="1">
      <c r="H174" s="137"/>
    </row>
    <row r="175" spans="8:8" ht="15.75" customHeight="1">
      <c r="H175" s="137"/>
    </row>
    <row r="176" spans="8:8" ht="15.75" customHeight="1">
      <c r="H176" s="137"/>
    </row>
    <row r="177" spans="8:8" ht="15.75" customHeight="1">
      <c r="H177" s="137"/>
    </row>
    <row r="178" spans="8:8" ht="15.75" customHeight="1">
      <c r="H178" s="137"/>
    </row>
    <row r="179" spans="8:8" ht="15.75" customHeight="1">
      <c r="H179" s="137"/>
    </row>
    <row r="180" spans="8:8" ht="15.75" customHeight="1">
      <c r="H180" s="137"/>
    </row>
    <row r="181" spans="8:8" ht="15.75" customHeight="1">
      <c r="H181" s="137"/>
    </row>
    <row r="182" spans="8:8" ht="15.75" customHeight="1">
      <c r="H182" s="137"/>
    </row>
    <row r="183" spans="8:8" ht="15.75" customHeight="1">
      <c r="H183" s="137"/>
    </row>
    <row r="184" spans="8:8" ht="15.75" customHeight="1">
      <c r="H184" s="137"/>
    </row>
    <row r="185" spans="8:8" ht="15.75" customHeight="1">
      <c r="H185" s="137"/>
    </row>
    <row r="186" spans="8:8" ht="15.75" customHeight="1">
      <c r="H186" s="137"/>
    </row>
    <row r="187" spans="8:8" ht="15.75" customHeight="1">
      <c r="H187" s="137"/>
    </row>
    <row r="188" spans="8:8" ht="15.75" customHeight="1">
      <c r="H188" s="137"/>
    </row>
    <row r="189" spans="8:8" ht="15.75" customHeight="1">
      <c r="H189" s="137"/>
    </row>
    <row r="190" spans="8:8" ht="15.75" customHeight="1">
      <c r="H190" s="137"/>
    </row>
    <row r="191" spans="8:8" ht="15.75" customHeight="1">
      <c r="H191" s="137"/>
    </row>
    <row r="192" spans="8:8" ht="15.75" customHeight="1">
      <c r="H192" s="137"/>
    </row>
    <row r="193" spans="8:8" ht="15.75" customHeight="1">
      <c r="H193" s="137"/>
    </row>
    <row r="194" spans="8:8" ht="15.75" customHeight="1">
      <c r="H194" s="137"/>
    </row>
    <row r="195" spans="8:8" ht="15.75" customHeight="1">
      <c r="H195" s="137"/>
    </row>
    <row r="196" spans="8:8" ht="15.75" customHeight="1">
      <c r="H196" s="137"/>
    </row>
    <row r="197" spans="8:8" ht="15.75" customHeight="1">
      <c r="H197" s="137"/>
    </row>
    <row r="198" spans="8:8" ht="15.75" customHeight="1">
      <c r="H198" s="137"/>
    </row>
    <row r="199" spans="8:8" ht="15.75" customHeight="1">
      <c r="H199" s="137"/>
    </row>
    <row r="200" spans="8:8" ht="15.75" customHeight="1">
      <c r="H200" s="137"/>
    </row>
    <row r="201" spans="8:8" ht="15.75" customHeight="1">
      <c r="H201" s="137"/>
    </row>
    <row r="202" spans="8:8" ht="15.75" customHeight="1">
      <c r="H202" s="137"/>
    </row>
    <row r="203" spans="8:8" ht="15.75" customHeight="1">
      <c r="H203" s="137"/>
    </row>
    <row r="204" spans="8:8" ht="15.75" customHeight="1">
      <c r="H204" s="137"/>
    </row>
    <row r="205" spans="8:8" ht="15.75" customHeight="1">
      <c r="H205" s="137"/>
    </row>
    <row r="206" spans="8:8" ht="15.75" customHeight="1">
      <c r="H206" s="137"/>
    </row>
    <row r="207" spans="8:8" ht="15.75" customHeight="1">
      <c r="H207" s="137"/>
    </row>
    <row r="208" spans="8:8" ht="15.75" customHeight="1">
      <c r="H208" s="137"/>
    </row>
    <row r="209" spans="8:8" ht="15.75" customHeight="1">
      <c r="H209" s="137"/>
    </row>
    <row r="210" spans="8:8" ht="15.75" customHeight="1">
      <c r="H210" s="137"/>
    </row>
    <row r="211" spans="8:8" ht="15.75" customHeight="1">
      <c r="H211" s="137"/>
    </row>
    <row r="212" spans="8:8" ht="15.75" customHeight="1">
      <c r="H212" s="137"/>
    </row>
    <row r="213" spans="8:8" ht="15.75" customHeight="1">
      <c r="H213" s="137"/>
    </row>
    <row r="214" spans="8:8" ht="15.75" customHeight="1">
      <c r="H214" s="137"/>
    </row>
    <row r="215" spans="8:8" ht="15.75" customHeight="1">
      <c r="H215" s="137"/>
    </row>
    <row r="216" spans="8:8" ht="15.75" customHeight="1">
      <c r="H216" s="137"/>
    </row>
    <row r="217" spans="8:8" ht="15.75" customHeight="1">
      <c r="H217" s="137"/>
    </row>
    <row r="218" spans="8:8" ht="15.75" customHeight="1">
      <c r="H218" s="137"/>
    </row>
    <row r="219" spans="8:8" ht="15.75" customHeight="1">
      <c r="H219" s="137"/>
    </row>
    <row r="220" spans="8:8" ht="15.75" customHeight="1">
      <c r="H220" s="137"/>
    </row>
    <row r="221" spans="8:8" ht="15.75" customHeight="1">
      <c r="H221" s="137"/>
    </row>
    <row r="222" spans="8:8" ht="15.75" customHeight="1">
      <c r="H222" s="137"/>
    </row>
    <row r="223" spans="8:8" ht="15.75" customHeight="1">
      <c r="H223" s="137"/>
    </row>
    <row r="224" spans="8:8" ht="15.75" customHeight="1">
      <c r="H224" s="137"/>
    </row>
    <row r="225" spans="8:8" ht="15.75" customHeight="1">
      <c r="H225" s="137"/>
    </row>
    <row r="226" spans="8:8" ht="15.75" customHeight="1">
      <c r="H226" s="137"/>
    </row>
    <row r="227" spans="8:8" ht="15.75" customHeight="1">
      <c r="H227" s="137"/>
    </row>
    <row r="228" spans="8:8" ht="15.75" customHeight="1">
      <c r="H228" s="137"/>
    </row>
    <row r="229" spans="8:8" ht="15.75" customHeight="1">
      <c r="H229" s="137"/>
    </row>
    <row r="230" spans="8:8" ht="15.75" customHeight="1">
      <c r="H230" s="137"/>
    </row>
    <row r="231" spans="8:8" ht="15.75" customHeight="1">
      <c r="H231" s="137"/>
    </row>
    <row r="232" spans="8:8" ht="15.75" customHeight="1">
      <c r="H232" s="137"/>
    </row>
    <row r="233" spans="8:8" ht="15.75" customHeight="1">
      <c r="H233" s="137"/>
    </row>
    <row r="234" spans="8:8" ht="15.75" customHeight="1">
      <c r="H234" s="137"/>
    </row>
    <row r="235" spans="8:8" ht="15.75" customHeight="1">
      <c r="H235" s="137"/>
    </row>
    <row r="236" spans="8:8" ht="15.75" customHeight="1">
      <c r="H236" s="137"/>
    </row>
    <row r="237" spans="8:8" ht="15.75" customHeight="1">
      <c r="H237" s="137"/>
    </row>
    <row r="238" spans="8:8" ht="15.75" customHeight="1">
      <c r="H238" s="137"/>
    </row>
    <row r="239" spans="8:8" ht="15.75" customHeight="1">
      <c r="H239" s="137"/>
    </row>
    <row r="240" spans="8:8" ht="15.75" customHeight="1">
      <c r="H240" s="137"/>
    </row>
    <row r="241" spans="8:8" ht="15.75" customHeight="1">
      <c r="H241" s="137"/>
    </row>
    <row r="242" spans="8:8" ht="15.75" customHeight="1">
      <c r="H242" s="137"/>
    </row>
    <row r="243" spans="8:8" ht="15.75" customHeight="1">
      <c r="H243" s="137"/>
    </row>
    <row r="244" spans="8:8" ht="15.75" customHeight="1">
      <c r="H244" s="137"/>
    </row>
    <row r="245" spans="8:8" ht="15.75" customHeight="1">
      <c r="H245" s="137"/>
    </row>
    <row r="246" spans="8:8" ht="15.75" customHeight="1">
      <c r="H246" s="137"/>
    </row>
    <row r="247" spans="8:8" ht="15.75" customHeight="1">
      <c r="H247" s="137"/>
    </row>
    <row r="248" spans="8:8" ht="15.75" customHeight="1">
      <c r="H248" s="137"/>
    </row>
    <row r="249" spans="8:8" ht="15.75" customHeight="1">
      <c r="H249" s="137"/>
    </row>
    <row r="250" spans="8:8" ht="15.75" customHeight="1">
      <c r="H250" s="137"/>
    </row>
    <row r="251" spans="8:8" ht="15.75" customHeight="1">
      <c r="H251" s="137"/>
    </row>
    <row r="252" spans="8:8" ht="15.75" customHeight="1">
      <c r="H252" s="137"/>
    </row>
    <row r="253" spans="8:8" ht="15.75" customHeight="1">
      <c r="H253" s="137"/>
    </row>
    <row r="254" spans="8:8" ht="15.75" customHeight="1">
      <c r="H254" s="137"/>
    </row>
    <row r="255" spans="8:8" ht="15.75" customHeight="1">
      <c r="H255" s="137"/>
    </row>
    <row r="256" spans="8:8" ht="15.75" customHeight="1">
      <c r="H256" s="137"/>
    </row>
    <row r="257" spans="8:8" ht="15.75" customHeight="1">
      <c r="H257" s="137"/>
    </row>
    <row r="258" spans="8:8" ht="15.75" customHeight="1">
      <c r="H258" s="137"/>
    </row>
    <row r="259" spans="8:8" ht="15.75" customHeight="1">
      <c r="H259" s="137"/>
    </row>
    <row r="260" spans="8:8" ht="15.75" customHeight="1">
      <c r="H260" s="137"/>
    </row>
    <row r="261" spans="8:8" ht="15.75" customHeight="1">
      <c r="H261" s="137"/>
    </row>
    <row r="262" spans="8:8" ht="15.75" customHeight="1">
      <c r="H262" s="137"/>
    </row>
    <row r="263" spans="8:8" ht="15.75" customHeight="1">
      <c r="H263" s="137"/>
    </row>
    <row r="264" spans="8:8" ht="15.75" customHeight="1">
      <c r="H264" s="137"/>
    </row>
    <row r="265" spans="8:8" ht="15.75" customHeight="1">
      <c r="H265" s="137"/>
    </row>
    <row r="266" spans="8:8" ht="15.75" customHeight="1">
      <c r="H266" s="137"/>
    </row>
    <row r="267" spans="8:8" ht="15.75" customHeight="1">
      <c r="H267" s="137"/>
    </row>
    <row r="268" spans="8:8" ht="15.75" customHeight="1">
      <c r="H268" s="137"/>
    </row>
    <row r="269" spans="8:8" ht="15.75" customHeight="1">
      <c r="H269" s="137"/>
    </row>
    <row r="270" spans="8:8" ht="15.75" customHeight="1">
      <c r="H270" s="137"/>
    </row>
    <row r="271" spans="8:8" ht="15.75" customHeight="1">
      <c r="H271" s="137"/>
    </row>
    <row r="272" spans="8:8" ht="15.75" customHeight="1">
      <c r="H272" s="137"/>
    </row>
    <row r="273" spans="8:8" ht="15.75" customHeight="1">
      <c r="H273" s="137"/>
    </row>
    <row r="274" spans="8:8" ht="15.75" customHeight="1">
      <c r="H274" s="137"/>
    </row>
    <row r="275" spans="8:8" ht="15.75" customHeight="1">
      <c r="H275" s="137"/>
    </row>
    <row r="276" spans="8:8" ht="15.75" customHeight="1">
      <c r="H276" s="137"/>
    </row>
    <row r="277" spans="8:8" ht="15.75" customHeight="1">
      <c r="H277" s="137"/>
    </row>
    <row r="278" spans="8:8" ht="15.75" customHeight="1">
      <c r="H278" s="137"/>
    </row>
    <row r="279" spans="8:8" ht="15.75" customHeight="1">
      <c r="H279" s="137"/>
    </row>
    <row r="280" spans="8:8" ht="15.75" customHeight="1">
      <c r="H280" s="137"/>
    </row>
    <row r="281" spans="8:8" ht="15.75" customHeight="1">
      <c r="H281" s="137"/>
    </row>
    <row r="282" spans="8:8" ht="15.75" customHeight="1">
      <c r="H282" s="137"/>
    </row>
    <row r="283" spans="8:8" ht="15.75" customHeight="1">
      <c r="H283" s="137"/>
    </row>
    <row r="284" spans="8:8" ht="15.75" customHeight="1">
      <c r="H284" s="137"/>
    </row>
    <row r="285" spans="8:8" ht="15.75" customHeight="1">
      <c r="H285" s="137"/>
    </row>
    <row r="286" spans="8:8" ht="15.75" customHeight="1">
      <c r="H286" s="137"/>
    </row>
    <row r="287" spans="8:8" ht="15.75" customHeight="1">
      <c r="H287" s="137"/>
    </row>
    <row r="288" spans="8:8" ht="15.75" customHeight="1">
      <c r="H288" s="137"/>
    </row>
    <row r="289" spans="8:8" ht="15.75" customHeight="1">
      <c r="H289" s="137"/>
    </row>
    <row r="290" spans="8:8" ht="15.75" customHeight="1">
      <c r="H290" s="137"/>
    </row>
    <row r="291" spans="8:8" ht="15.75" customHeight="1">
      <c r="H291" s="137"/>
    </row>
    <row r="292" spans="8:8" ht="15.75" customHeight="1">
      <c r="H292" s="137"/>
    </row>
    <row r="293" spans="8:8" ht="15.75" customHeight="1">
      <c r="H293" s="137"/>
    </row>
    <row r="294" spans="8:8" ht="15.75" customHeight="1">
      <c r="H294" s="137"/>
    </row>
    <row r="295" spans="8:8" ht="15.75" customHeight="1">
      <c r="H295" s="137"/>
    </row>
    <row r="296" spans="8:8" ht="15.75" customHeight="1">
      <c r="H296" s="137"/>
    </row>
    <row r="297" spans="8:8" ht="15.75" customHeight="1">
      <c r="H297" s="137"/>
    </row>
    <row r="298" spans="8:8" ht="15.75" customHeight="1">
      <c r="H298" s="137"/>
    </row>
    <row r="299" spans="8:8" ht="15.75" customHeight="1">
      <c r="H299" s="137"/>
    </row>
    <row r="300" spans="8:8" ht="15.75" customHeight="1">
      <c r="H300" s="137"/>
    </row>
    <row r="301" spans="8:8" ht="15.75" customHeight="1">
      <c r="H301" s="137"/>
    </row>
    <row r="302" spans="8:8" ht="15.75" customHeight="1">
      <c r="H302" s="137"/>
    </row>
    <row r="303" spans="8:8" ht="15.75" customHeight="1">
      <c r="H303" s="137"/>
    </row>
    <row r="304" spans="8:8" ht="15.75" customHeight="1">
      <c r="H304" s="137"/>
    </row>
    <row r="305" spans="8:8" ht="15.75" customHeight="1">
      <c r="H305" s="137"/>
    </row>
    <row r="306" spans="8:8" ht="15.75" customHeight="1">
      <c r="H306" s="137"/>
    </row>
    <row r="307" spans="8:8" ht="15.75" customHeight="1">
      <c r="H307" s="137"/>
    </row>
    <row r="308" spans="8:8" ht="15.75" customHeight="1">
      <c r="H308" s="137"/>
    </row>
    <row r="309" spans="8:8" ht="15.75" customHeight="1">
      <c r="H309" s="137"/>
    </row>
    <row r="310" spans="8:8" ht="15.75" customHeight="1">
      <c r="H310" s="137"/>
    </row>
    <row r="311" spans="8:8" ht="15.75" customHeight="1">
      <c r="H311" s="137"/>
    </row>
    <row r="312" spans="8:8" ht="15.75" customHeight="1">
      <c r="H312" s="137"/>
    </row>
    <row r="313" spans="8:8" ht="15.75" customHeight="1">
      <c r="H313" s="137"/>
    </row>
    <row r="314" spans="8:8" ht="15.75" customHeight="1">
      <c r="H314" s="137"/>
    </row>
    <row r="315" spans="8:8" ht="15.75" customHeight="1">
      <c r="H315" s="137"/>
    </row>
    <row r="316" spans="8:8" ht="15.75" customHeight="1">
      <c r="H316" s="137"/>
    </row>
    <row r="317" spans="8:8" ht="15.75" customHeight="1">
      <c r="H317" s="137"/>
    </row>
    <row r="318" spans="8:8" ht="15.75" customHeight="1">
      <c r="H318" s="137"/>
    </row>
    <row r="319" spans="8:8" ht="15.75" customHeight="1">
      <c r="H319" s="137"/>
    </row>
    <row r="320" spans="8:8" ht="15.75" customHeight="1">
      <c r="H320" s="137"/>
    </row>
    <row r="321" spans="8:8" ht="15.75" customHeight="1">
      <c r="H321" s="137"/>
    </row>
    <row r="322" spans="8:8" ht="15.75" customHeight="1">
      <c r="H322" s="137"/>
    </row>
    <row r="323" spans="8:8" ht="15.75" customHeight="1">
      <c r="H323" s="137"/>
    </row>
    <row r="324" spans="8:8" ht="15.75" customHeight="1">
      <c r="H324" s="137"/>
    </row>
    <row r="325" spans="8:8" ht="15.75" customHeight="1">
      <c r="H325" s="137"/>
    </row>
    <row r="326" spans="8:8" ht="15.75" customHeight="1">
      <c r="H326" s="137"/>
    </row>
    <row r="327" spans="8:8" ht="15.75" customHeight="1">
      <c r="H327" s="137"/>
    </row>
    <row r="328" spans="8:8" ht="15.75" customHeight="1">
      <c r="H328" s="137"/>
    </row>
    <row r="329" spans="8:8" ht="15.75" customHeight="1">
      <c r="H329" s="137"/>
    </row>
    <row r="330" spans="8:8" ht="15.75" customHeight="1">
      <c r="H330" s="137"/>
    </row>
    <row r="331" spans="8:8" ht="15.75" customHeight="1">
      <c r="H331" s="137"/>
    </row>
    <row r="332" spans="8:8" ht="15.75" customHeight="1">
      <c r="H332" s="137"/>
    </row>
    <row r="333" spans="8:8" ht="15.75" customHeight="1">
      <c r="H333" s="137"/>
    </row>
    <row r="334" spans="8:8" ht="15.75" customHeight="1">
      <c r="H334" s="137"/>
    </row>
    <row r="335" spans="8:8" ht="15.75" customHeight="1">
      <c r="H335" s="137"/>
    </row>
    <row r="336" spans="8:8" ht="15.75" customHeight="1">
      <c r="H336" s="137"/>
    </row>
    <row r="337" spans="8:8" ht="15.75" customHeight="1">
      <c r="H337" s="137"/>
    </row>
    <row r="338" spans="8:8" ht="15.75" customHeight="1">
      <c r="H338" s="137"/>
    </row>
    <row r="339" spans="8:8" ht="15.75" customHeight="1">
      <c r="H339" s="137"/>
    </row>
    <row r="340" spans="8:8" ht="15.75" customHeight="1">
      <c r="H340" s="137"/>
    </row>
    <row r="341" spans="8:8" ht="15.75" customHeight="1">
      <c r="H341" s="137"/>
    </row>
    <row r="342" spans="8:8" ht="15.75" customHeight="1">
      <c r="H342" s="137"/>
    </row>
    <row r="343" spans="8:8" ht="15.75" customHeight="1">
      <c r="H343" s="137"/>
    </row>
    <row r="344" spans="8:8" ht="15.75" customHeight="1">
      <c r="H344" s="137"/>
    </row>
    <row r="345" spans="8:8" ht="15.75" customHeight="1">
      <c r="H345" s="137"/>
    </row>
    <row r="346" spans="8:8" ht="15.75" customHeight="1">
      <c r="H346" s="137"/>
    </row>
    <row r="347" spans="8:8" ht="15.75" customHeight="1">
      <c r="H347" s="137"/>
    </row>
    <row r="348" spans="8:8" ht="15.75" customHeight="1">
      <c r="H348" s="137"/>
    </row>
    <row r="349" spans="8:8" ht="15.75" customHeight="1">
      <c r="H349" s="137"/>
    </row>
    <row r="350" spans="8:8" ht="15.75" customHeight="1">
      <c r="H350" s="137"/>
    </row>
    <row r="351" spans="8:8" ht="15.75" customHeight="1">
      <c r="H351" s="137"/>
    </row>
    <row r="352" spans="8:8" ht="15.75" customHeight="1">
      <c r="H352" s="137"/>
    </row>
    <row r="353" spans="8:8" ht="15.75" customHeight="1">
      <c r="H353" s="137"/>
    </row>
    <row r="354" spans="8:8" ht="15.75" customHeight="1">
      <c r="H354" s="137"/>
    </row>
    <row r="355" spans="8:8" ht="15.75" customHeight="1">
      <c r="H355" s="137"/>
    </row>
    <row r="356" spans="8:8" ht="15.75" customHeight="1">
      <c r="H356" s="137"/>
    </row>
    <row r="357" spans="8:8" ht="15.75" customHeight="1">
      <c r="H357" s="137"/>
    </row>
    <row r="358" spans="8:8" ht="15.75" customHeight="1">
      <c r="H358" s="137"/>
    </row>
    <row r="359" spans="8:8" ht="15.75" customHeight="1">
      <c r="H359" s="137"/>
    </row>
    <row r="360" spans="8:8" ht="15.75" customHeight="1">
      <c r="H360" s="137"/>
    </row>
    <row r="361" spans="8:8" ht="15.75" customHeight="1">
      <c r="H361" s="137"/>
    </row>
    <row r="362" spans="8:8" ht="15.75" customHeight="1">
      <c r="H362" s="137"/>
    </row>
    <row r="363" spans="8:8" ht="15.75" customHeight="1">
      <c r="H363" s="137"/>
    </row>
    <row r="364" spans="8:8" ht="15.75" customHeight="1">
      <c r="H364" s="137"/>
    </row>
    <row r="365" spans="8:8" ht="15.75" customHeight="1">
      <c r="H365" s="137"/>
    </row>
    <row r="366" spans="8:8" ht="15.75" customHeight="1">
      <c r="H366" s="137"/>
    </row>
    <row r="367" spans="8:8" ht="15.75" customHeight="1">
      <c r="H367" s="137"/>
    </row>
    <row r="368" spans="8:8" ht="15.75" customHeight="1">
      <c r="H368" s="137"/>
    </row>
    <row r="369" spans="8:8" ht="15.75" customHeight="1">
      <c r="H369" s="137"/>
    </row>
    <row r="370" spans="8:8" ht="15.75" customHeight="1">
      <c r="H370" s="137"/>
    </row>
    <row r="371" spans="8:8" ht="15.75" customHeight="1">
      <c r="H371" s="137"/>
    </row>
    <row r="372" spans="8:8" ht="15.75" customHeight="1">
      <c r="H372" s="137"/>
    </row>
    <row r="373" spans="8:8" ht="15.75" customHeight="1">
      <c r="H373" s="137"/>
    </row>
    <row r="374" spans="8:8" ht="15.75" customHeight="1">
      <c r="H374" s="137"/>
    </row>
    <row r="375" spans="8:8" ht="15.75" customHeight="1">
      <c r="H375" s="137"/>
    </row>
    <row r="376" spans="8:8" ht="15.75" customHeight="1">
      <c r="H376" s="137"/>
    </row>
    <row r="377" spans="8:8" ht="15.75" customHeight="1">
      <c r="H377" s="137"/>
    </row>
    <row r="378" spans="8:8" ht="15.75" customHeight="1">
      <c r="H378" s="137"/>
    </row>
    <row r="379" spans="8:8" ht="15.75" customHeight="1">
      <c r="H379" s="137"/>
    </row>
    <row r="380" spans="8:8" ht="15.75" customHeight="1">
      <c r="H380" s="137"/>
    </row>
    <row r="381" spans="8:8" ht="15.75" customHeight="1">
      <c r="H381" s="137"/>
    </row>
    <row r="382" spans="8:8" ht="15.75" customHeight="1">
      <c r="H382" s="137"/>
    </row>
    <row r="383" spans="8:8" ht="15.75" customHeight="1">
      <c r="H383" s="137"/>
    </row>
    <row r="384" spans="8:8" ht="15.75" customHeight="1">
      <c r="H384" s="137"/>
    </row>
    <row r="385" spans="8:8" ht="15.75" customHeight="1">
      <c r="H385" s="137"/>
    </row>
    <row r="386" spans="8:8" ht="15.75" customHeight="1">
      <c r="H386" s="137"/>
    </row>
    <row r="387" spans="8:8" ht="15.75" customHeight="1">
      <c r="H387" s="137"/>
    </row>
    <row r="388" spans="8:8" ht="15.75" customHeight="1">
      <c r="H388" s="137"/>
    </row>
    <row r="389" spans="8:8" ht="15.75" customHeight="1">
      <c r="H389" s="137"/>
    </row>
    <row r="390" spans="8:8" ht="15.75" customHeight="1">
      <c r="H390" s="137"/>
    </row>
    <row r="391" spans="8:8" ht="15.75" customHeight="1">
      <c r="H391" s="137"/>
    </row>
    <row r="392" spans="8:8" ht="15.75" customHeight="1">
      <c r="H392" s="137"/>
    </row>
    <row r="393" spans="8:8" ht="15.75" customHeight="1">
      <c r="H393" s="137"/>
    </row>
    <row r="394" spans="8:8" ht="15.75" customHeight="1">
      <c r="H394" s="137"/>
    </row>
    <row r="395" spans="8:8" ht="15.75" customHeight="1">
      <c r="H395" s="137"/>
    </row>
    <row r="396" spans="8:8" ht="15.75" customHeight="1">
      <c r="H396" s="137"/>
    </row>
    <row r="397" spans="8:8" ht="15.75" customHeight="1">
      <c r="H397" s="137"/>
    </row>
    <row r="398" spans="8:8" ht="15.75" customHeight="1">
      <c r="H398" s="137"/>
    </row>
    <row r="399" spans="8:8" ht="15.75" customHeight="1">
      <c r="H399" s="137"/>
    </row>
    <row r="400" spans="8:8" ht="15.75" customHeight="1">
      <c r="H400" s="137"/>
    </row>
    <row r="401" spans="8:8" ht="15.75" customHeight="1">
      <c r="H401" s="137"/>
    </row>
    <row r="402" spans="8:8" ht="15.75" customHeight="1">
      <c r="H402" s="137"/>
    </row>
    <row r="403" spans="8:8" ht="15.75" customHeight="1">
      <c r="H403" s="137"/>
    </row>
    <row r="404" spans="8:8" ht="15.75" customHeight="1">
      <c r="H404" s="137"/>
    </row>
    <row r="405" spans="8:8" ht="15.75" customHeight="1">
      <c r="H405" s="137"/>
    </row>
    <row r="406" spans="8:8" ht="15.75" customHeight="1">
      <c r="H406" s="137"/>
    </row>
    <row r="407" spans="8:8" ht="15.75" customHeight="1">
      <c r="H407" s="137"/>
    </row>
    <row r="408" spans="8:8" ht="15.75" customHeight="1">
      <c r="H408" s="137"/>
    </row>
    <row r="409" spans="8:8" ht="15.75" customHeight="1">
      <c r="H409" s="137"/>
    </row>
    <row r="410" spans="8:8" ht="15.75" customHeight="1">
      <c r="H410" s="137"/>
    </row>
    <row r="411" spans="8:8" ht="15.75" customHeight="1">
      <c r="H411" s="137"/>
    </row>
    <row r="412" spans="8:8" ht="15.75" customHeight="1">
      <c r="H412" s="137"/>
    </row>
    <row r="413" spans="8:8" ht="15.75" customHeight="1">
      <c r="H413" s="137"/>
    </row>
    <row r="414" spans="8:8" ht="15.75" customHeight="1">
      <c r="H414" s="137"/>
    </row>
    <row r="415" spans="8:8" ht="15.75" customHeight="1">
      <c r="H415" s="137"/>
    </row>
    <row r="416" spans="8:8" ht="15.75" customHeight="1">
      <c r="H416" s="137"/>
    </row>
    <row r="417" spans="8:8" ht="15.75" customHeight="1">
      <c r="H417" s="137"/>
    </row>
    <row r="418" spans="8:8" ht="15.75" customHeight="1">
      <c r="H418" s="137"/>
    </row>
    <row r="419" spans="8:8" ht="15.75" customHeight="1">
      <c r="H419" s="137"/>
    </row>
    <row r="420" spans="8:8" ht="15.75" customHeight="1">
      <c r="H420" s="137"/>
    </row>
    <row r="421" spans="8:8" ht="15.75" customHeight="1">
      <c r="H421" s="137"/>
    </row>
    <row r="422" spans="8:8" ht="15.75" customHeight="1">
      <c r="H422" s="137"/>
    </row>
    <row r="423" spans="8:8" ht="15.75" customHeight="1">
      <c r="H423" s="137"/>
    </row>
    <row r="424" spans="8:8" ht="15.75" customHeight="1">
      <c r="H424" s="137"/>
    </row>
    <row r="425" spans="8:8" ht="15.75" customHeight="1">
      <c r="H425" s="137"/>
    </row>
    <row r="426" spans="8:8" ht="15.75" customHeight="1">
      <c r="H426" s="137"/>
    </row>
    <row r="427" spans="8:8" ht="15.75" customHeight="1">
      <c r="H427" s="137"/>
    </row>
    <row r="428" spans="8:8" ht="15.75" customHeight="1">
      <c r="H428" s="137"/>
    </row>
    <row r="429" spans="8:8" ht="15.75" customHeight="1">
      <c r="H429" s="137"/>
    </row>
    <row r="430" spans="8:8" ht="15.75" customHeight="1">
      <c r="H430" s="137"/>
    </row>
    <row r="431" spans="8:8" ht="15.75" customHeight="1">
      <c r="H431" s="137"/>
    </row>
    <row r="432" spans="8:8" ht="15.75" customHeight="1">
      <c r="H432" s="137"/>
    </row>
    <row r="433" spans="8:8" ht="15.75" customHeight="1">
      <c r="H433" s="137"/>
    </row>
    <row r="434" spans="8:8" ht="15.75" customHeight="1">
      <c r="H434" s="137"/>
    </row>
    <row r="435" spans="8:8" ht="15.75" customHeight="1">
      <c r="H435" s="137"/>
    </row>
    <row r="436" spans="8:8" ht="15.75" customHeight="1">
      <c r="H436" s="137"/>
    </row>
    <row r="437" spans="8:8" ht="15.75" customHeight="1">
      <c r="H437" s="137"/>
    </row>
    <row r="438" spans="8:8" ht="15.75" customHeight="1">
      <c r="H438" s="137"/>
    </row>
    <row r="439" spans="8:8" ht="15.75" customHeight="1">
      <c r="H439" s="137"/>
    </row>
    <row r="440" spans="8:8" ht="15.75" customHeight="1">
      <c r="H440" s="137"/>
    </row>
    <row r="441" spans="8:8" ht="15.75" customHeight="1">
      <c r="H441" s="137"/>
    </row>
    <row r="442" spans="8:8" ht="15.75" customHeight="1">
      <c r="H442" s="137"/>
    </row>
    <row r="443" spans="8:8" ht="15.75" customHeight="1">
      <c r="H443" s="137"/>
    </row>
    <row r="444" spans="8:8" ht="15.75" customHeight="1">
      <c r="H444" s="137"/>
    </row>
    <row r="445" spans="8:8" ht="15.75" customHeight="1">
      <c r="H445" s="137"/>
    </row>
    <row r="446" spans="8:8" ht="15.75" customHeight="1">
      <c r="H446" s="137"/>
    </row>
    <row r="447" spans="8:8" ht="15.75" customHeight="1">
      <c r="H447" s="137"/>
    </row>
    <row r="448" spans="8:8" ht="15.75" customHeight="1">
      <c r="H448" s="137"/>
    </row>
    <row r="449" spans="8:8" ht="15.75" customHeight="1">
      <c r="H449" s="137"/>
    </row>
    <row r="450" spans="8:8" ht="15.75" customHeight="1">
      <c r="H450" s="137"/>
    </row>
    <row r="451" spans="8:8" ht="15.75" customHeight="1">
      <c r="H451" s="137"/>
    </row>
    <row r="452" spans="8:8" ht="15.75" customHeight="1">
      <c r="H452" s="137"/>
    </row>
    <row r="453" spans="8:8" ht="15.75" customHeight="1">
      <c r="H453" s="137"/>
    </row>
    <row r="454" spans="8:8" ht="15.75" customHeight="1">
      <c r="H454" s="137"/>
    </row>
    <row r="455" spans="8:8" ht="15.75" customHeight="1">
      <c r="H455" s="137"/>
    </row>
    <row r="456" spans="8:8" ht="15.75" customHeight="1">
      <c r="H456" s="137"/>
    </row>
    <row r="457" spans="8:8" ht="15.75" customHeight="1">
      <c r="H457" s="137"/>
    </row>
    <row r="458" spans="8:8" ht="15.75" customHeight="1">
      <c r="H458" s="137"/>
    </row>
    <row r="459" spans="8:8" ht="15.75" customHeight="1">
      <c r="H459" s="137"/>
    </row>
    <row r="460" spans="8:8" ht="15.75" customHeight="1">
      <c r="H460" s="137"/>
    </row>
    <row r="461" spans="8:8" ht="15.75" customHeight="1">
      <c r="H461" s="137"/>
    </row>
    <row r="462" spans="8:8" ht="15.75" customHeight="1">
      <c r="H462" s="137"/>
    </row>
    <row r="463" spans="8:8" ht="15.75" customHeight="1">
      <c r="H463" s="137"/>
    </row>
    <row r="464" spans="8:8" ht="15.75" customHeight="1">
      <c r="H464" s="137"/>
    </row>
    <row r="465" spans="8:8" ht="15.75" customHeight="1">
      <c r="H465" s="137"/>
    </row>
    <row r="466" spans="8:8" ht="15.75" customHeight="1">
      <c r="H466" s="137"/>
    </row>
    <row r="467" spans="8:8" ht="15.75" customHeight="1">
      <c r="H467" s="137"/>
    </row>
    <row r="468" spans="8:8" ht="15.75" customHeight="1">
      <c r="H468" s="137"/>
    </row>
    <row r="469" spans="8:8" ht="15.75" customHeight="1">
      <c r="H469" s="137"/>
    </row>
    <row r="470" spans="8:8" ht="15.75" customHeight="1">
      <c r="H470" s="137"/>
    </row>
    <row r="471" spans="8:8" ht="15.75" customHeight="1">
      <c r="H471" s="137"/>
    </row>
    <row r="472" spans="8:8" ht="15.75" customHeight="1">
      <c r="H472" s="137"/>
    </row>
    <row r="473" spans="8:8" ht="15.75" customHeight="1">
      <c r="H473" s="137"/>
    </row>
    <row r="474" spans="8:8" ht="15.75" customHeight="1">
      <c r="H474" s="137"/>
    </row>
    <row r="475" spans="8:8" ht="15.75" customHeight="1">
      <c r="H475" s="137"/>
    </row>
    <row r="476" spans="8:8" ht="15.75" customHeight="1">
      <c r="H476" s="137"/>
    </row>
    <row r="477" spans="8:8" ht="15.75" customHeight="1">
      <c r="H477" s="137"/>
    </row>
    <row r="478" spans="8:8" ht="15.75" customHeight="1">
      <c r="H478" s="137"/>
    </row>
    <row r="479" spans="8:8" ht="15.75" customHeight="1">
      <c r="H479" s="137"/>
    </row>
    <row r="480" spans="8:8" ht="15.75" customHeight="1">
      <c r="H480" s="137"/>
    </row>
    <row r="481" spans="8:8" ht="15.75" customHeight="1">
      <c r="H481" s="137"/>
    </row>
    <row r="482" spans="8:8" ht="15.75" customHeight="1">
      <c r="H482" s="137"/>
    </row>
    <row r="483" spans="8:8" ht="15.75" customHeight="1">
      <c r="H483" s="137"/>
    </row>
    <row r="484" spans="8:8" ht="15.75" customHeight="1">
      <c r="H484" s="137"/>
    </row>
    <row r="485" spans="8:8" ht="15.75" customHeight="1">
      <c r="H485" s="137"/>
    </row>
    <row r="486" spans="8:8" ht="15.75" customHeight="1">
      <c r="H486" s="137"/>
    </row>
    <row r="487" spans="8:8" ht="15.75" customHeight="1">
      <c r="H487" s="137"/>
    </row>
    <row r="488" spans="8:8" ht="15.75" customHeight="1">
      <c r="H488" s="137"/>
    </row>
    <row r="489" spans="8:8" ht="15.75" customHeight="1">
      <c r="H489" s="137"/>
    </row>
    <row r="490" spans="8:8" ht="15.75" customHeight="1">
      <c r="H490" s="137"/>
    </row>
    <row r="491" spans="8:8" ht="15.75" customHeight="1">
      <c r="H491" s="137"/>
    </row>
    <row r="492" spans="8:8" ht="15.75" customHeight="1">
      <c r="H492" s="137"/>
    </row>
    <row r="493" spans="8:8" ht="15.75" customHeight="1">
      <c r="H493" s="137"/>
    </row>
    <row r="494" spans="8:8" ht="15.75" customHeight="1">
      <c r="H494" s="137"/>
    </row>
    <row r="495" spans="8:8" ht="15.75" customHeight="1">
      <c r="H495" s="137"/>
    </row>
    <row r="496" spans="8:8" ht="15.75" customHeight="1">
      <c r="H496" s="137"/>
    </row>
    <row r="497" spans="8:8" ht="15.75" customHeight="1">
      <c r="H497" s="137"/>
    </row>
    <row r="498" spans="8:8" ht="15.75" customHeight="1">
      <c r="H498" s="137"/>
    </row>
    <row r="499" spans="8:8" ht="15.75" customHeight="1">
      <c r="H499" s="137"/>
    </row>
    <row r="500" spans="8:8" ht="15.75" customHeight="1">
      <c r="H500" s="137"/>
    </row>
    <row r="501" spans="8:8" ht="15.75" customHeight="1">
      <c r="H501" s="137"/>
    </row>
    <row r="502" spans="8:8" ht="15.75" customHeight="1">
      <c r="H502" s="137"/>
    </row>
    <row r="503" spans="8:8" ht="15.75" customHeight="1">
      <c r="H503" s="137"/>
    </row>
    <row r="504" spans="8:8" ht="15.75" customHeight="1">
      <c r="H504" s="137"/>
    </row>
    <row r="505" spans="8:8" ht="15.75" customHeight="1">
      <c r="H505" s="137"/>
    </row>
    <row r="506" spans="8:8" ht="15.75" customHeight="1">
      <c r="H506" s="137"/>
    </row>
    <row r="507" spans="8:8" ht="15.75" customHeight="1">
      <c r="H507" s="137"/>
    </row>
    <row r="508" spans="8:8" ht="15.75" customHeight="1">
      <c r="H508" s="137"/>
    </row>
    <row r="509" spans="8:8" ht="15.75" customHeight="1">
      <c r="H509" s="137"/>
    </row>
    <row r="510" spans="8:8" ht="15.75" customHeight="1">
      <c r="H510" s="137"/>
    </row>
    <row r="511" spans="8:8" ht="15.75" customHeight="1">
      <c r="H511" s="137"/>
    </row>
    <row r="512" spans="8:8" ht="15.75" customHeight="1">
      <c r="H512" s="137"/>
    </row>
    <row r="513" spans="8:8" ht="15.75" customHeight="1">
      <c r="H513" s="137"/>
    </row>
    <row r="514" spans="8:8" ht="15.75" customHeight="1">
      <c r="H514" s="137"/>
    </row>
    <row r="515" spans="8:8" ht="15.75" customHeight="1">
      <c r="H515" s="137"/>
    </row>
    <row r="516" spans="8:8" ht="15.75" customHeight="1">
      <c r="H516" s="137"/>
    </row>
    <row r="517" spans="8:8" ht="15.75" customHeight="1">
      <c r="H517" s="137"/>
    </row>
    <row r="518" spans="8:8" ht="15.75" customHeight="1">
      <c r="H518" s="137"/>
    </row>
    <row r="519" spans="8:8" ht="15.75" customHeight="1">
      <c r="H519" s="137"/>
    </row>
    <row r="520" spans="8:8" ht="15.75" customHeight="1">
      <c r="H520" s="137"/>
    </row>
    <row r="521" spans="8:8" ht="15.75" customHeight="1">
      <c r="H521" s="137"/>
    </row>
    <row r="522" spans="8:8" ht="15.75" customHeight="1">
      <c r="H522" s="137"/>
    </row>
    <row r="523" spans="8:8" ht="15.75" customHeight="1">
      <c r="H523" s="137"/>
    </row>
    <row r="524" spans="8:8" ht="15.75" customHeight="1">
      <c r="H524" s="137"/>
    </row>
    <row r="525" spans="8:8" ht="15.75" customHeight="1">
      <c r="H525" s="137"/>
    </row>
    <row r="526" spans="8:8" ht="15.75" customHeight="1">
      <c r="H526" s="137"/>
    </row>
    <row r="527" spans="8:8" ht="15.75" customHeight="1">
      <c r="H527" s="137"/>
    </row>
    <row r="528" spans="8:8" ht="15.75" customHeight="1">
      <c r="H528" s="137"/>
    </row>
    <row r="529" spans="8:8" ht="15.75" customHeight="1">
      <c r="H529" s="137"/>
    </row>
    <row r="530" spans="8:8" ht="15.75" customHeight="1">
      <c r="H530" s="137"/>
    </row>
    <row r="531" spans="8:8" ht="15.75" customHeight="1">
      <c r="H531" s="137"/>
    </row>
    <row r="532" spans="8:8" ht="15.75" customHeight="1">
      <c r="H532" s="137"/>
    </row>
    <row r="533" spans="8:8" ht="15.75" customHeight="1">
      <c r="H533" s="137"/>
    </row>
    <row r="534" spans="8:8" ht="15.75" customHeight="1">
      <c r="H534" s="137"/>
    </row>
    <row r="535" spans="8:8" ht="15.75" customHeight="1">
      <c r="H535" s="137"/>
    </row>
    <row r="536" spans="8:8" ht="15.75" customHeight="1">
      <c r="H536" s="137"/>
    </row>
    <row r="537" spans="8:8" ht="15.75" customHeight="1">
      <c r="H537" s="137"/>
    </row>
    <row r="538" spans="8:8" ht="15.75" customHeight="1">
      <c r="H538" s="137"/>
    </row>
    <row r="539" spans="8:8" ht="15.75" customHeight="1">
      <c r="H539" s="137"/>
    </row>
    <row r="540" spans="8:8" ht="15.75" customHeight="1">
      <c r="H540" s="137"/>
    </row>
    <row r="541" spans="8:8" ht="15.75" customHeight="1">
      <c r="H541" s="137"/>
    </row>
    <row r="542" spans="8:8" ht="15.75" customHeight="1">
      <c r="H542" s="137"/>
    </row>
    <row r="543" spans="8:8" ht="15.75" customHeight="1">
      <c r="H543" s="137"/>
    </row>
    <row r="544" spans="8:8" ht="15.75" customHeight="1">
      <c r="H544" s="137"/>
    </row>
    <row r="545" spans="8:8" ht="15.75" customHeight="1">
      <c r="H545" s="137"/>
    </row>
    <row r="546" spans="8:8" ht="15.75" customHeight="1">
      <c r="H546" s="137"/>
    </row>
    <row r="547" spans="8:8" ht="15.75" customHeight="1">
      <c r="H547" s="137"/>
    </row>
    <row r="548" spans="8:8" ht="15.75" customHeight="1">
      <c r="H548" s="137"/>
    </row>
    <row r="549" spans="8:8" ht="15.75" customHeight="1">
      <c r="H549" s="137"/>
    </row>
    <row r="550" spans="8:8" ht="15.75" customHeight="1">
      <c r="H550" s="137"/>
    </row>
    <row r="551" spans="8:8" ht="15.75" customHeight="1">
      <c r="H551" s="137"/>
    </row>
    <row r="552" spans="8:8" ht="15.75" customHeight="1">
      <c r="H552" s="137"/>
    </row>
    <row r="553" spans="8:8" ht="15.75" customHeight="1">
      <c r="H553" s="137"/>
    </row>
    <row r="554" spans="8:8" ht="15.75" customHeight="1">
      <c r="H554" s="137"/>
    </row>
    <row r="555" spans="8:8" ht="15.75" customHeight="1">
      <c r="H555" s="137"/>
    </row>
    <row r="556" spans="8:8" ht="15.75" customHeight="1">
      <c r="H556" s="137"/>
    </row>
    <row r="557" spans="8:8" ht="15.75" customHeight="1">
      <c r="H557" s="137"/>
    </row>
    <row r="558" spans="8:8" ht="15.75" customHeight="1">
      <c r="H558" s="137"/>
    </row>
    <row r="559" spans="8:8" ht="15.75" customHeight="1">
      <c r="H559" s="137"/>
    </row>
    <row r="560" spans="8:8" ht="15.75" customHeight="1">
      <c r="H560" s="137"/>
    </row>
    <row r="561" spans="8:8" ht="15.75" customHeight="1">
      <c r="H561" s="137"/>
    </row>
    <row r="562" spans="8:8" ht="15.75" customHeight="1">
      <c r="H562" s="137"/>
    </row>
    <row r="563" spans="8:8" ht="15.75" customHeight="1">
      <c r="H563" s="137"/>
    </row>
    <row r="564" spans="8:8" ht="15.75" customHeight="1">
      <c r="H564" s="137"/>
    </row>
    <row r="565" spans="8:8" ht="15.75" customHeight="1">
      <c r="H565" s="137"/>
    </row>
    <row r="566" spans="8:8" ht="15.75" customHeight="1">
      <c r="H566" s="137"/>
    </row>
    <row r="567" spans="8:8" ht="15.75" customHeight="1">
      <c r="H567" s="137"/>
    </row>
    <row r="568" spans="8:8" ht="15.75" customHeight="1">
      <c r="H568" s="137"/>
    </row>
    <row r="569" spans="8:8" ht="15.75" customHeight="1">
      <c r="H569" s="137"/>
    </row>
    <row r="570" spans="8:8" ht="15.75" customHeight="1">
      <c r="H570" s="137"/>
    </row>
    <row r="571" spans="8:8" ht="15.75" customHeight="1">
      <c r="H571" s="137"/>
    </row>
    <row r="572" spans="8:8" ht="15.75" customHeight="1">
      <c r="H572" s="137"/>
    </row>
    <row r="573" spans="8:8" ht="15.75" customHeight="1">
      <c r="H573" s="137"/>
    </row>
    <row r="574" spans="8:8" ht="15.75" customHeight="1">
      <c r="H574" s="137"/>
    </row>
    <row r="575" spans="8:8" ht="15.75" customHeight="1">
      <c r="H575" s="137"/>
    </row>
    <row r="576" spans="8:8" ht="15.75" customHeight="1">
      <c r="H576" s="137"/>
    </row>
    <row r="577" spans="8:8" ht="15.75" customHeight="1">
      <c r="H577" s="137"/>
    </row>
    <row r="578" spans="8:8" ht="15.75" customHeight="1">
      <c r="H578" s="137"/>
    </row>
    <row r="579" spans="8:8" ht="15.75" customHeight="1">
      <c r="H579" s="137"/>
    </row>
    <row r="580" spans="8:8" ht="15.75" customHeight="1">
      <c r="H580" s="137"/>
    </row>
    <row r="581" spans="8:8" ht="15.75" customHeight="1">
      <c r="H581" s="137"/>
    </row>
    <row r="582" spans="8:8" ht="15.75" customHeight="1">
      <c r="H582" s="137"/>
    </row>
    <row r="583" spans="8:8" ht="15.75" customHeight="1">
      <c r="H583" s="137"/>
    </row>
    <row r="584" spans="8:8" ht="15.75" customHeight="1">
      <c r="H584" s="137"/>
    </row>
    <row r="585" spans="8:8" ht="15.75" customHeight="1">
      <c r="H585" s="137"/>
    </row>
    <row r="586" spans="8:8" ht="15.75" customHeight="1">
      <c r="H586" s="137"/>
    </row>
    <row r="587" spans="8:8" ht="15.75" customHeight="1">
      <c r="H587" s="137"/>
    </row>
    <row r="588" spans="8:8" ht="15.75" customHeight="1">
      <c r="H588" s="137"/>
    </row>
    <row r="589" spans="8:8" ht="15.75" customHeight="1">
      <c r="H589" s="137"/>
    </row>
    <row r="590" spans="8:8" ht="15.75" customHeight="1">
      <c r="H590" s="137"/>
    </row>
    <row r="591" spans="8:8" ht="15.75" customHeight="1">
      <c r="H591" s="137"/>
    </row>
    <row r="592" spans="8:8" ht="15.75" customHeight="1">
      <c r="H592" s="137"/>
    </row>
    <row r="593" spans="8:8" ht="15.75" customHeight="1">
      <c r="H593" s="137"/>
    </row>
    <row r="594" spans="8:8" ht="15.75" customHeight="1">
      <c r="H594" s="137"/>
    </row>
    <row r="595" spans="8:8" ht="15.75" customHeight="1">
      <c r="H595" s="137"/>
    </row>
    <row r="596" spans="8:8" ht="15.75" customHeight="1">
      <c r="H596" s="137"/>
    </row>
    <row r="597" spans="8:8" ht="15.75" customHeight="1">
      <c r="H597" s="137"/>
    </row>
    <row r="598" spans="8:8" ht="15.75" customHeight="1">
      <c r="H598" s="137"/>
    </row>
    <row r="599" spans="8:8" ht="15.75" customHeight="1">
      <c r="H599" s="137"/>
    </row>
    <row r="600" spans="8:8" ht="15.75" customHeight="1">
      <c r="H600" s="137"/>
    </row>
    <row r="601" spans="8:8" ht="15.75" customHeight="1">
      <c r="H601" s="137"/>
    </row>
    <row r="602" spans="8:8" ht="15.75" customHeight="1">
      <c r="H602" s="137"/>
    </row>
    <row r="603" spans="8:8" ht="15.75" customHeight="1">
      <c r="H603" s="137"/>
    </row>
    <row r="604" spans="8:8" ht="15.75" customHeight="1">
      <c r="H604" s="137"/>
    </row>
    <row r="605" spans="8:8" ht="15.75" customHeight="1">
      <c r="H605" s="137"/>
    </row>
    <row r="606" spans="8:8" ht="15.75" customHeight="1">
      <c r="H606" s="137"/>
    </row>
    <row r="607" spans="8:8" ht="15.75" customHeight="1">
      <c r="H607" s="137"/>
    </row>
    <row r="608" spans="8:8" ht="15.75" customHeight="1">
      <c r="H608" s="137"/>
    </row>
    <row r="609" spans="8:8" ht="15.75" customHeight="1">
      <c r="H609" s="137"/>
    </row>
    <row r="610" spans="8:8" ht="15.75" customHeight="1">
      <c r="H610" s="137"/>
    </row>
    <row r="611" spans="8:8" ht="15.75" customHeight="1">
      <c r="H611" s="137"/>
    </row>
    <row r="612" spans="8:8" ht="15.75" customHeight="1">
      <c r="H612" s="137"/>
    </row>
    <row r="613" spans="8:8" ht="15.75" customHeight="1">
      <c r="H613" s="137"/>
    </row>
    <row r="614" spans="8:8" ht="15.75" customHeight="1">
      <c r="H614" s="137"/>
    </row>
    <row r="615" spans="8:8" ht="15.75" customHeight="1">
      <c r="H615" s="137"/>
    </row>
    <row r="616" spans="8:8" ht="15.75" customHeight="1">
      <c r="H616" s="137"/>
    </row>
    <row r="617" spans="8:8" ht="15.75" customHeight="1">
      <c r="H617" s="137"/>
    </row>
    <row r="618" spans="8:8" ht="15.75" customHeight="1">
      <c r="H618" s="137"/>
    </row>
    <row r="619" spans="8:8" ht="15.75" customHeight="1">
      <c r="H619" s="137"/>
    </row>
    <row r="620" spans="8:8" ht="15.75" customHeight="1">
      <c r="H620" s="137"/>
    </row>
    <row r="621" spans="8:8" ht="15.75" customHeight="1">
      <c r="H621" s="137"/>
    </row>
    <row r="622" spans="8:8" ht="15.75" customHeight="1">
      <c r="H622" s="137"/>
    </row>
    <row r="623" spans="8:8" ht="15.75" customHeight="1">
      <c r="H623" s="137"/>
    </row>
    <row r="624" spans="8:8" ht="15.75" customHeight="1">
      <c r="H624" s="137"/>
    </row>
    <row r="625" spans="8:8" ht="15.75" customHeight="1">
      <c r="H625" s="137"/>
    </row>
    <row r="626" spans="8:8" ht="15.75" customHeight="1">
      <c r="H626" s="137"/>
    </row>
    <row r="627" spans="8:8" ht="15.75" customHeight="1">
      <c r="H627" s="137"/>
    </row>
    <row r="628" spans="8:8" ht="15.75" customHeight="1">
      <c r="H628" s="137"/>
    </row>
    <row r="629" spans="8:8" ht="15.75" customHeight="1">
      <c r="H629" s="137"/>
    </row>
    <row r="630" spans="8:8" ht="15.75" customHeight="1">
      <c r="H630" s="137"/>
    </row>
    <row r="631" spans="8:8" ht="15.75" customHeight="1">
      <c r="H631" s="137"/>
    </row>
    <row r="632" spans="8:8" ht="15.75" customHeight="1">
      <c r="H632" s="137"/>
    </row>
    <row r="633" spans="8:8" ht="15.75" customHeight="1">
      <c r="H633" s="137"/>
    </row>
    <row r="634" spans="8:8" ht="15.75" customHeight="1">
      <c r="H634" s="137"/>
    </row>
    <row r="635" spans="8:8" ht="15.75" customHeight="1">
      <c r="H635" s="137"/>
    </row>
    <row r="636" spans="8:8" ht="15.75" customHeight="1">
      <c r="H636" s="137"/>
    </row>
    <row r="637" spans="8:8" ht="15.75" customHeight="1">
      <c r="H637" s="137"/>
    </row>
    <row r="638" spans="8:8" ht="15.75" customHeight="1">
      <c r="H638" s="137"/>
    </row>
    <row r="639" spans="8:8" ht="15.75" customHeight="1">
      <c r="H639" s="137"/>
    </row>
    <row r="640" spans="8:8" ht="15.75" customHeight="1">
      <c r="H640" s="137"/>
    </row>
    <row r="641" spans="8:8" ht="15.75" customHeight="1">
      <c r="H641" s="137"/>
    </row>
    <row r="642" spans="8:8" ht="15.75" customHeight="1">
      <c r="H642" s="137"/>
    </row>
    <row r="643" spans="8:8" ht="15.75" customHeight="1">
      <c r="H643" s="137"/>
    </row>
    <row r="644" spans="8:8" ht="15.75" customHeight="1">
      <c r="H644" s="137"/>
    </row>
    <row r="645" spans="8:8" ht="15.75" customHeight="1">
      <c r="H645" s="137"/>
    </row>
    <row r="646" spans="8:8" ht="15.75" customHeight="1">
      <c r="H646" s="137"/>
    </row>
    <row r="647" spans="8:8" ht="15.75" customHeight="1">
      <c r="H647" s="137"/>
    </row>
    <row r="648" spans="8:8" ht="15.75" customHeight="1">
      <c r="H648" s="137"/>
    </row>
    <row r="649" spans="8:8" ht="15.75" customHeight="1">
      <c r="H649" s="137"/>
    </row>
    <row r="650" spans="8:8" ht="15.75" customHeight="1">
      <c r="H650" s="137"/>
    </row>
    <row r="651" spans="8:8" ht="15.75" customHeight="1">
      <c r="H651" s="137"/>
    </row>
    <row r="652" spans="8:8" ht="15.75" customHeight="1">
      <c r="H652" s="137"/>
    </row>
    <row r="653" spans="8:8" ht="15.75" customHeight="1">
      <c r="H653" s="137"/>
    </row>
    <row r="654" spans="8:8" ht="15.75" customHeight="1">
      <c r="H654" s="137"/>
    </row>
    <row r="655" spans="8:8" ht="15.75" customHeight="1">
      <c r="H655" s="137"/>
    </row>
    <row r="656" spans="8:8" ht="15.75" customHeight="1">
      <c r="H656" s="137"/>
    </row>
    <row r="657" spans="8:8" ht="15.75" customHeight="1">
      <c r="H657" s="137"/>
    </row>
    <row r="658" spans="8:8" ht="15.75" customHeight="1">
      <c r="H658" s="137"/>
    </row>
    <row r="659" spans="8:8" ht="15.75" customHeight="1">
      <c r="H659" s="137"/>
    </row>
    <row r="660" spans="8:8" ht="15.75" customHeight="1">
      <c r="H660" s="137"/>
    </row>
    <row r="661" spans="8:8" ht="15.75" customHeight="1">
      <c r="H661" s="137"/>
    </row>
    <row r="662" spans="8:8" ht="15.75" customHeight="1">
      <c r="H662" s="137"/>
    </row>
    <row r="663" spans="8:8" ht="15.75" customHeight="1">
      <c r="H663" s="137"/>
    </row>
    <row r="664" spans="8:8" ht="15.75" customHeight="1">
      <c r="H664" s="137"/>
    </row>
    <row r="665" spans="8:8" ht="15.75" customHeight="1">
      <c r="H665" s="137"/>
    </row>
    <row r="666" spans="8:8" ht="15.75" customHeight="1">
      <c r="H666" s="137"/>
    </row>
    <row r="667" spans="8:8" ht="15.75" customHeight="1">
      <c r="H667" s="137"/>
    </row>
    <row r="668" spans="8:8" ht="15.75" customHeight="1">
      <c r="H668" s="137"/>
    </row>
    <row r="669" spans="8:8" ht="15.75" customHeight="1">
      <c r="H669" s="137"/>
    </row>
    <row r="670" spans="8:8" ht="15.75" customHeight="1">
      <c r="H670" s="137"/>
    </row>
    <row r="671" spans="8:8" ht="15.75" customHeight="1">
      <c r="H671" s="137"/>
    </row>
    <row r="672" spans="8:8" ht="15.75" customHeight="1">
      <c r="H672" s="137"/>
    </row>
    <row r="673" spans="8:8" ht="15.75" customHeight="1">
      <c r="H673" s="137"/>
    </row>
    <row r="674" spans="8:8" ht="15.75" customHeight="1">
      <c r="H674" s="137"/>
    </row>
    <row r="675" spans="8:8" ht="15.75" customHeight="1">
      <c r="H675" s="137"/>
    </row>
    <row r="676" spans="8:8" ht="15.75" customHeight="1">
      <c r="H676" s="137"/>
    </row>
    <row r="677" spans="8:8" ht="15.75" customHeight="1">
      <c r="H677" s="137"/>
    </row>
    <row r="678" spans="8:8" ht="15.75" customHeight="1">
      <c r="H678" s="137"/>
    </row>
    <row r="679" spans="8:8" ht="15.75" customHeight="1">
      <c r="H679" s="137"/>
    </row>
    <row r="680" spans="8:8" ht="15.75" customHeight="1">
      <c r="H680" s="137"/>
    </row>
    <row r="681" spans="8:8" ht="15.75" customHeight="1">
      <c r="H681" s="137"/>
    </row>
    <row r="682" spans="8:8" ht="15.75" customHeight="1">
      <c r="H682" s="137"/>
    </row>
    <row r="683" spans="8:8" ht="15.75" customHeight="1">
      <c r="H683" s="137"/>
    </row>
    <row r="684" spans="8:8" ht="15.75" customHeight="1">
      <c r="H684" s="137"/>
    </row>
    <row r="685" spans="8:8" ht="15.75" customHeight="1">
      <c r="H685" s="137"/>
    </row>
    <row r="686" spans="8:8" ht="15.75" customHeight="1">
      <c r="H686" s="137"/>
    </row>
    <row r="687" spans="8:8" ht="15.75" customHeight="1">
      <c r="H687" s="137"/>
    </row>
    <row r="688" spans="8:8" ht="15.75" customHeight="1">
      <c r="H688" s="137"/>
    </row>
    <row r="689" spans="8:8" ht="15.75" customHeight="1">
      <c r="H689" s="137"/>
    </row>
    <row r="690" spans="8:8" ht="15.75" customHeight="1">
      <c r="H690" s="137"/>
    </row>
    <row r="691" spans="8:8" ht="15.75" customHeight="1">
      <c r="H691" s="137"/>
    </row>
    <row r="692" spans="8:8" ht="15.75" customHeight="1">
      <c r="H692" s="137"/>
    </row>
    <row r="693" spans="8:8" ht="15.75" customHeight="1">
      <c r="H693" s="137"/>
    </row>
    <row r="694" spans="8:8" ht="15.75" customHeight="1">
      <c r="H694" s="137"/>
    </row>
    <row r="695" spans="8:8" ht="15.75" customHeight="1">
      <c r="H695" s="137"/>
    </row>
    <row r="696" spans="8:8" ht="15.75" customHeight="1">
      <c r="H696" s="137"/>
    </row>
    <row r="697" spans="8:8" ht="15.75" customHeight="1">
      <c r="H697" s="137"/>
    </row>
    <row r="698" spans="8:8" ht="15.75" customHeight="1">
      <c r="H698" s="137"/>
    </row>
    <row r="699" spans="8:8" ht="15.75" customHeight="1">
      <c r="H699" s="137"/>
    </row>
    <row r="700" spans="8:8" ht="15.75" customHeight="1">
      <c r="H700" s="137"/>
    </row>
    <row r="701" spans="8:8" ht="15.75" customHeight="1">
      <c r="H701" s="137"/>
    </row>
    <row r="702" spans="8:8" ht="15.75" customHeight="1">
      <c r="H702" s="137"/>
    </row>
    <row r="703" spans="8:8" ht="15.75" customHeight="1">
      <c r="H703" s="137"/>
    </row>
    <row r="704" spans="8:8" ht="15.75" customHeight="1">
      <c r="H704" s="137"/>
    </row>
    <row r="705" spans="8:8" ht="15.75" customHeight="1">
      <c r="H705" s="137"/>
    </row>
    <row r="706" spans="8:8" ht="15.75" customHeight="1">
      <c r="H706" s="137"/>
    </row>
    <row r="707" spans="8:8" ht="15.75" customHeight="1">
      <c r="H707" s="137"/>
    </row>
    <row r="708" spans="8:8" ht="15.75" customHeight="1">
      <c r="H708" s="137"/>
    </row>
    <row r="709" spans="8:8" ht="15.75" customHeight="1">
      <c r="H709" s="137"/>
    </row>
    <row r="710" spans="8:8" ht="15.75" customHeight="1">
      <c r="H710" s="137"/>
    </row>
    <row r="711" spans="8:8" ht="15.75" customHeight="1">
      <c r="H711" s="137"/>
    </row>
    <row r="712" spans="8:8" ht="15.75" customHeight="1">
      <c r="H712" s="137"/>
    </row>
    <row r="713" spans="8:8" ht="15.75" customHeight="1">
      <c r="H713" s="137"/>
    </row>
    <row r="714" spans="8:8" ht="15.75" customHeight="1">
      <c r="H714" s="137"/>
    </row>
    <row r="715" spans="8:8" ht="15.75" customHeight="1">
      <c r="H715" s="137"/>
    </row>
    <row r="716" spans="8:8" ht="15.75" customHeight="1">
      <c r="H716" s="137"/>
    </row>
    <row r="717" spans="8:8" ht="15.75" customHeight="1">
      <c r="H717" s="137"/>
    </row>
    <row r="718" spans="8:8" ht="15.75" customHeight="1">
      <c r="H718" s="137"/>
    </row>
    <row r="719" spans="8:8" ht="15.75" customHeight="1">
      <c r="H719" s="137"/>
    </row>
    <row r="720" spans="8:8" ht="15.75" customHeight="1">
      <c r="H720" s="137"/>
    </row>
    <row r="721" spans="8:8" ht="15.75" customHeight="1">
      <c r="H721" s="137"/>
    </row>
    <row r="722" spans="8:8" ht="15.75" customHeight="1">
      <c r="H722" s="137"/>
    </row>
    <row r="723" spans="8:8" ht="15.75" customHeight="1">
      <c r="H723" s="137"/>
    </row>
    <row r="724" spans="8:8" ht="15.75" customHeight="1">
      <c r="H724" s="137"/>
    </row>
    <row r="725" spans="8:8" ht="15.75" customHeight="1">
      <c r="H725" s="137"/>
    </row>
    <row r="726" spans="8:8" ht="15.75" customHeight="1">
      <c r="H726" s="137"/>
    </row>
    <row r="727" spans="8:8" ht="15.75" customHeight="1">
      <c r="H727" s="137"/>
    </row>
    <row r="728" spans="8:8" ht="15.75" customHeight="1">
      <c r="H728" s="137"/>
    </row>
    <row r="729" spans="8:8" ht="15.75" customHeight="1">
      <c r="H729" s="137"/>
    </row>
    <row r="730" spans="8:8" ht="15.75" customHeight="1">
      <c r="H730" s="137"/>
    </row>
    <row r="731" spans="8:8" ht="15.75" customHeight="1">
      <c r="H731" s="137"/>
    </row>
    <row r="732" spans="8:8" ht="15.75" customHeight="1">
      <c r="H732" s="137"/>
    </row>
    <row r="733" spans="8:8" ht="15.75" customHeight="1">
      <c r="H733" s="137"/>
    </row>
    <row r="734" spans="8:8" ht="15.75" customHeight="1">
      <c r="H734" s="137"/>
    </row>
    <row r="735" spans="8:8" ht="15.75" customHeight="1">
      <c r="H735" s="137"/>
    </row>
    <row r="736" spans="8:8" ht="15.75" customHeight="1">
      <c r="H736" s="137"/>
    </row>
    <row r="737" spans="8:8" ht="15.75" customHeight="1">
      <c r="H737" s="137"/>
    </row>
    <row r="738" spans="8:8" ht="15.75" customHeight="1">
      <c r="H738" s="137"/>
    </row>
    <row r="739" spans="8:8" ht="15.75" customHeight="1">
      <c r="H739" s="137"/>
    </row>
    <row r="740" spans="8:8" ht="15.75" customHeight="1">
      <c r="H740" s="137"/>
    </row>
    <row r="741" spans="8:8" ht="15.75" customHeight="1">
      <c r="H741" s="137"/>
    </row>
    <row r="742" spans="8:8" ht="15.75" customHeight="1">
      <c r="H742" s="137"/>
    </row>
    <row r="743" spans="8:8" ht="15.75" customHeight="1">
      <c r="H743" s="137"/>
    </row>
    <row r="744" spans="8:8" ht="15.75" customHeight="1">
      <c r="H744" s="137"/>
    </row>
    <row r="745" spans="8:8" ht="15.75" customHeight="1">
      <c r="H745" s="137"/>
    </row>
    <row r="746" spans="8:8" ht="15.75" customHeight="1">
      <c r="H746" s="137"/>
    </row>
    <row r="747" spans="8:8" ht="15.75" customHeight="1">
      <c r="H747" s="137"/>
    </row>
    <row r="748" spans="8:8" ht="15.75" customHeight="1">
      <c r="H748" s="137"/>
    </row>
    <row r="749" spans="8:8" ht="15.75" customHeight="1">
      <c r="H749" s="137"/>
    </row>
    <row r="750" spans="8:8" ht="15.75" customHeight="1">
      <c r="H750" s="137"/>
    </row>
    <row r="751" spans="8:8" ht="15.75" customHeight="1">
      <c r="H751" s="137"/>
    </row>
    <row r="752" spans="8:8" ht="15.75" customHeight="1">
      <c r="H752" s="137"/>
    </row>
    <row r="753" spans="8:8" ht="15.75" customHeight="1">
      <c r="H753" s="137"/>
    </row>
    <row r="754" spans="8:8" ht="15.75" customHeight="1">
      <c r="H754" s="137"/>
    </row>
    <row r="755" spans="8:8" ht="15.75" customHeight="1">
      <c r="H755" s="137"/>
    </row>
    <row r="756" spans="8:8" ht="15.75" customHeight="1">
      <c r="H756" s="137"/>
    </row>
    <row r="757" spans="8:8" ht="15.75" customHeight="1">
      <c r="H757" s="137"/>
    </row>
    <row r="758" spans="8:8" ht="15.75" customHeight="1">
      <c r="H758" s="137"/>
    </row>
    <row r="759" spans="8:8" ht="15.75" customHeight="1">
      <c r="H759" s="137"/>
    </row>
    <row r="760" spans="8:8" ht="15.75" customHeight="1">
      <c r="H760" s="137"/>
    </row>
    <row r="761" spans="8:8" ht="15.75" customHeight="1">
      <c r="H761" s="137"/>
    </row>
    <row r="762" spans="8:8" ht="15.75" customHeight="1">
      <c r="H762" s="137"/>
    </row>
    <row r="763" spans="8:8" ht="15.75" customHeight="1">
      <c r="H763" s="137"/>
    </row>
    <row r="764" spans="8:8" ht="15.75" customHeight="1">
      <c r="H764" s="137"/>
    </row>
    <row r="765" spans="8:8" ht="15.75" customHeight="1">
      <c r="H765" s="137"/>
    </row>
    <row r="766" spans="8:8" ht="15.75" customHeight="1">
      <c r="H766" s="137"/>
    </row>
    <row r="767" spans="8:8" ht="15.75" customHeight="1">
      <c r="H767" s="137"/>
    </row>
    <row r="768" spans="8:8" ht="15.75" customHeight="1">
      <c r="H768" s="137"/>
    </row>
    <row r="769" spans="8:8" ht="15.75" customHeight="1">
      <c r="H769" s="137"/>
    </row>
    <row r="770" spans="8:8" ht="15.75" customHeight="1">
      <c r="H770" s="137"/>
    </row>
    <row r="771" spans="8:8" ht="15.75" customHeight="1">
      <c r="H771" s="137"/>
    </row>
    <row r="772" spans="8:8" ht="15.75" customHeight="1">
      <c r="H772" s="137"/>
    </row>
    <row r="773" spans="8:8" ht="15.75" customHeight="1">
      <c r="H773" s="137"/>
    </row>
    <row r="774" spans="8:8" ht="15.75" customHeight="1">
      <c r="H774" s="137"/>
    </row>
    <row r="775" spans="8:8" ht="15.75" customHeight="1">
      <c r="H775" s="137"/>
    </row>
    <row r="776" spans="8:8" ht="15.75" customHeight="1">
      <c r="H776" s="137"/>
    </row>
    <row r="777" spans="8:8" ht="15.75" customHeight="1">
      <c r="H777" s="137"/>
    </row>
    <row r="778" spans="8:8" ht="15.75" customHeight="1">
      <c r="H778" s="137"/>
    </row>
    <row r="779" spans="8:8" ht="15.75" customHeight="1">
      <c r="H779" s="137"/>
    </row>
    <row r="780" spans="8:8" ht="15.75" customHeight="1">
      <c r="H780" s="137"/>
    </row>
    <row r="781" spans="8:8" ht="15.75" customHeight="1">
      <c r="H781" s="137"/>
    </row>
    <row r="782" spans="8:8" ht="15.75" customHeight="1">
      <c r="H782" s="137"/>
    </row>
    <row r="783" spans="8:8" ht="15.75" customHeight="1">
      <c r="H783" s="137"/>
    </row>
    <row r="784" spans="8:8" ht="15.75" customHeight="1">
      <c r="H784" s="137"/>
    </row>
    <row r="785" spans="8:8" ht="15.75" customHeight="1">
      <c r="H785" s="137"/>
    </row>
    <row r="786" spans="8:8" ht="15.75" customHeight="1">
      <c r="H786" s="137"/>
    </row>
    <row r="787" spans="8:8" ht="15.75" customHeight="1">
      <c r="H787" s="137"/>
    </row>
    <row r="788" spans="8:8" ht="15.75" customHeight="1">
      <c r="H788" s="137"/>
    </row>
    <row r="789" spans="8:8" ht="15.75" customHeight="1">
      <c r="H789" s="137"/>
    </row>
    <row r="790" spans="8:8" ht="15.75" customHeight="1">
      <c r="H790" s="137"/>
    </row>
    <row r="791" spans="8:8" ht="15.75" customHeight="1">
      <c r="H791" s="137"/>
    </row>
    <row r="792" spans="8:8" ht="15.75" customHeight="1">
      <c r="H792" s="137"/>
    </row>
    <row r="793" spans="8:8" ht="15.75" customHeight="1">
      <c r="H793" s="137"/>
    </row>
    <row r="794" spans="8:8" ht="15.75" customHeight="1">
      <c r="H794" s="137"/>
    </row>
    <row r="795" spans="8:8" ht="15.75" customHeight="1">
      <c r="H795" s="137"/>
    </row>
    <row r="796" spans="8:8" ht="15.75" customHeight="1">
      <c r="H796" s="137"/>
    </row>
    <row r="797" spans="8:8" ht="15.75" customHeight="1">
      <c r="H797" s="137"/>
    </row>
    <row r="798" spans="8:8" ht="15.75" customHeight="1">
      <c r="H798" s="137"/>
    </row>
    <row r="799" spans="8:8" ht="15.75" customHeight="1">
      <c r="H799" s="137"/>
    </row>
    <row r="800" spans="8:8" ht="15.75" customHeight="1">
      <c r="H800" s="137"/>
    </row>
    <row r="801" spans="8:8" ht="15.75" customHeight="1">
      <c r="H801" s="137"/>
    </row>
    <row r="802" spans="8:8" ht="15.75" customHeight="1">
      <c r="H802" s="137"/>
    </row>
    <row r="803" spans="8:8" ht="15.75" customHeight="1">
      <c r="H803" s="137"/>
    </row>
    <row r="804" spans="8:8" ht="15.75" customHeight="1">
      <c r="H804" s="137"/>
    </row>
    <row r="805" spans="8:8" ht="15.75" customHeight="1">
      <c r="H805" s="137"/>
    </row>
    <row r="806" spans="8:8" ht="15.75" customHeight="1">
      <c r="H806" s="137"/>
    </row>
    <row r="807" spans="8:8" ht="15.75" customHeight="1">
      <c r="H807" s="137"/>
    </row>
    <row r="808" spans="8:8" ht="15.75" customHeight="1">
      <c r="H808" s="137"/>
    </row>
    <row r="809" spans="8:8" ht="15.75" customHeight="1">
      <c r="H809" s="137"/>
    </row>
    <row r="810" spans="8:8" ht="15.75" customHeight="1">
      <c r="H810" s="137"/>
    </row>
    <row r="811" spans="8:8" ht="15.75" customHeight="1">
      <c r="H811" s="137"/>
    </row>
    <row r="812" spans="8:8" ht="15.75" customHeight="1">
      <c r="H812" s="137"/>
    </row>
    <row r="813" spans="8:8" ht="15.75" customHeight="1">
      <c r="H813" s="137"/>
    </row>
    <row r="814" spans="8:8" ht="15.75" customHeight="1">
      <c r="H814" s="137"/>
    </row>
    <row r="815" spans="8:8" ht="15.75" customHeight="1">
      <c r="H815" s="137"/>
    </row>
    <row r="816" spans="8:8" ht="15.75" customHeight="1">
      <c r="H816" s="137"/>
    </row>
    <row r="817" spans="8:8" ht="15.75" customHeight="1">
      <c r="H817" s="137"/>
    </row>
    <row r="818" spans="8:8" ht="15.75" customHeight="1">
      <c r="H818" s="137"/>
    </row>
    <row r="819" spans="8:8" ht="15.75" customHeight="1">
      <c r="H819" s="137"/>
    </row>
    <row r="820" spans="8:8" ht="15.75" customHeight="1">
      <c r="H820" s="137"/>
    </row>
    <row r="821" spans="8:8" ht="15.75" customHeight="1">
      <c r="H821" s="137"/>
    </row>
    <row r="822" spans="8:8" ht="15.75" customHeight="1">
      <c r="H822" s="137"/>
    </row>
    <row r="823" spans="8:8" ht="15.75" customHeight="1">
      <c r="H823" s="137"/>
    </row>
    <row r="824" spans="8:8" ht="15.75" customHeight="1">
      <c r="H824" s="137"/>
    </row>
    <row r="825" spans="8:8" ht="15.75" customHeight="1">
      <c r="H825" s="137"/>
    </row>
    <row r="826" spans="8:8" ht="15.75" customHeight="1">
      <c r="H826" s="137"/>
    </row>
    <row r="827" spans="8:8" ht="15.75" customHeight="1">
      <c r="H827" s="137"/>
    </row>
    <row r="828" spans="8:8" ht="15.75" customHeight="1">
      <c r="H828" s="137"/>
    </row>
    <row r="829" spans="8:8" ht="15.75" customHeight="1">
      <c r="H829" s="137"/>
    </row>
    <row r="830" spans="8:8" ht="15.75" customHeight="1">
      <c r="H830" s="137"/>
    </row>
    <row r="831" spans="8:8" ht="15.75" customHeight="1">
      <c r="H831" s="137"/>
    </row>
    <row r="832" spans="8:8" ht="15.75" customHeight="1">
      <c r="H832" s="137"/>
    </row>
    <row r="833" spans="8:8" ht="15.75" customHeight="1">
      <c r="H833" s="137"/>
    </row>
    <row r="834" spans="8:8" ht="15.75" customHeight="1">
      <c r="H834" s="137"/>
    </row>
    <row r="835" spans="8:8" ht="15.75" customHeight="1">
      <c r="H835" s="137"/>
    </row>
    <row r="836" spans="8:8" ht="15.75" customHeight="1">
      <c r="H836" s="137"/>
    </row>
    <row r="837" spans="8:8" ht="15.75" customHeight="1">
      <c r="H837" s="137"/>
    </row>
    <row r="838" spans="8:8" ht="15.75" customHeight="1">
      <c r="H838" s="137"/>
    </row>
    <row r="839" spans="8:8" ht="15.75" customHeight="1">
      <c r="H839" s="137"/>
    </row>
    <row r="840" spans="8:8" ht="15.75" customHeight="1">
      <c r="H840" s="137"/>
    </row>
    <row r="841" spans="8:8" ht="15.75" customHeight="1">
      <c r="H841" s="137"/>
    </row>
    <row r="842" spans="8:8" ht="15.75" customHeight="1">
      <c r="H842" s="137"/>
    </row>
    <row r="843" spans="8:8" ht="15.75" customHeight="1">
      <c r="H843" s="137"/>
    </row>
    <row r="844" spans="8:8" ht="15.75" customHeight="1">
      <c r="H844" s="137"/>
    </row>
    <row r="845" spans="8:8" ht="15.75" customHeight="1">
      <c r="H845" s="137"/>
    </row>
    <row r="846" spans="8:8" ht="15.75" customHeight="1">
      <c r="H846" s="137"/>
    </row>
    <row r="847" spans="8:8" ht="15.75" customHeight="1">
      <c r="H847" s="137"/>
    </row>
    <row r="848" spans="8:8" ht="15.75" customHeight="1">
      <c r="H848" s="137"/>
    </row>
    <row r="849" spans="8:8" ht="15.75" customHeight="1">
      <c r="H849" s="137"/>
    </row>
    <row r="850" spans="8:8" ht="15.75" customHeight="1">
      <c r="H850" s="137"/>
    </row>
    <row r="851" spans="8:8" ht="15.75" customHeight="1">
      <c r="H851" s="137"/>
    </row>
    <row r="852" spans="8:8" ht="15.75" customHeight="1">
      <c r="H852" s="137"/>
    </row>
    <row r="853" spans="8:8" ht="15.75" customHeight="1">
      <c r="H853" s="137"/>
    </row>
    <row r="854" spans="8:8" ht="15.75" customHeight="1">
      <c r="H854" s="137"/>
    </row>
    <row r="855" spans="8:8" ht="15.75" customHeight="1">
      <c r="H855" s="137"/>
    </row>
    <row r="856" spans="8:8" ht="15.75" customHeight="1">
      <c r="H856" s="137"/>
    </row>
    <row r="857" spans="8:8" ht="15.75" customHeight="1">
      <c r="H857" s="137"/>
    </row>
    <row r="858" spans="8:8" ht="15.75" customHeight="1">
      <c r="H858" s="137"/>
    </row>
    <row r="859" spans="8:8" ht="15.75" customHeight="1">
      <c r="H859" s="137"/>
    </row>
    <row r="860" spans="8:8" ht="15.75" customHeight="1">
      <c r="H860" s="137"/>
    </row>
    <row r="861" spans="8:8" ht="15.75" customHeight="1">
      <c r="H861" s="137"/>
    </row>
    <row r="862" spans="8:8" ht="15.75" customHeight="1">
      <c r="H862" s="137"/>
    </row>
    <row r="863" spans="8:8" ht="15.75" customHeight="1">
      <c r="H863" s="137"/>
    </row>
    <row r="864" spans="8:8" ht="15.75" customHeight="1">
      <c r="H864" s="137"/>
    </row>
    <row r="865" spans="8:8" ht="15.75" customHeight="1">
      <c r="H865" s="137"/>
    </row>
    <row r="866" spans="8:8" ht="15.75" customHeight="1">
      <c r="H866" s="137"/>
    </row>
    <row r="867" spans="8:8" ht="15.75" customHeight="1">
      <c r="H867" s="137"/>
    </row>
    <row r="868" spans="8:8" ht="15.75" customHeight="1">
      <c r="H868" s="137"/>
    </row>
    <row r="869" spans="8:8" ht="15.75" customHeight="1">
      <c r="H869" s="137"/>
    </row>
    <row r="870" spans="8:8" ht="15.75" customHeight="1">
      <c r="H870" s="137"/>
    </row>
    <row r="871" spans="8:8" ht="15.75" customHeight="1">
      <c r="H871" s="137"/>
    </row>
    <row r="872" spans="8:8" ht="15.75" customHeight="1">
      <c r="H872" s="137"/>
    </row>
    <row r="873" spans="8:8" ht="15.75" customHeight="1">
      <c r="H873" s="137"/>
    </row>
    <row r="874" spans="8:8" ht="15.75" customHeight="1">
      <c r="H874" s="137"/>
    </row>
    <row r="875" spans="8:8" ht="15.75" customHeight="1">
      <c r="H875" s="137"/>
    </row>
    <row r="876" spans="8:8" ht="15.75" customHeight="1">
      <c r="H876" s="137"/>
    </row>
    <row r="877" spans="8:8" ht="15.75" customHeight="1">
      <c r="H877" s="137"/>
    </row>
    <row r="878" spans="8:8" ht="15.75" customHeight="1">
      <c r="H878" s="137"/>
    </row>
    <row r="879" spans="8:8" ht="15.75" customHeight="1">
      <c r="H879" s="137"/>
    </row>
    <row r="880" spans="8:8" ht="15.75" customHeight="1">
      <c r="H880" s="137"/>
    </row>
    <row r="881" spans="8:8" ht="15.75" customHeight="1">
      <c r="H881" s="137"/>
    </row>
    <row r="882" spans="8:8" ht="15.75" customHeight="1">
      <c r="H882" s="137"/>
    </row>
    <row r="883" spans="8:8" ht="15.75" customHeight="1">
      <c r="H883" s="137"/>
    </row>
    <row r="884" spans="8:8" ht="15.75" customHeight="1">
      <c r="H884" s="137"/>
    </row>
    <row r="885" spans="8:8" ht="15.75" customHeight="1">
      <c r="H885" s="137"/>
    </row>
    <row r="886" spans="8:8" ht="15.75" customHeight="1">
      <c r="H886" s="137"/>
    </row>
    <row r="887" spans="8:8" ht="15.75" customHeight="1">
      <c r="H887" s="137"/>
    </row>
    <row r="888" spans="8:8" ht="15.75" customHeight="1">
      <c r="H888" s="137"/>
    </row>
    <row r="889" spans="8:8" ht="15.75" customHeight="1">
      <c r="H889" s="137"/>
    </row>
    <row r="890" spans="8:8" ht="15.75" customHeight="1">
      <c r="H890" s="137"/>
    </row>
    <row r="891" spans="8:8" ht="15.75" customHeight="1">
      <c r="H891" s="137"/>
    </row>
    <row r="892" spans="8:8" ht="15.75" customHeight="1">
      <c r="H892" s="137"/>
    </row>
    <row r="893" spans="8:8" ht="15.75" customHeight="1">
      <c r="H893" s="137"/>
    </row>
    <row r="894" spans="8:8" ht="15.75" customHeight="1">
      <c r="H894" s="137"/>
    </row>
    <row r="895" spans="8:8" ht="15.75" customHeight="1">
      <c r="H895" s="137"/>
    </row>
    <row r="896" spans="8:8" ht="15.75" customHeight="1">
      <c r="H896" s="137"/>
    </row>
    <row r="897" spans="8:8" ht="15.75" customHeight="1">
      <c r="H897" s="137"/>
    </row>
    <row r="898" spans="8:8" ht="15.75" customHeight="1">
      <c r="H898" s="137"/>
    </row>
    <row r="899" spans="8:8" ht="15.75" customHeight="1">
      <c r="H899" s="137"/>
    </row>
    <row r="900" spans="8:8" ht="15.75" customHeight="1">
      <c r="H900" s="137"/>
    </row>
    <row r="901" spans="8:8" ht="15.75" customHeight="1">
      <c r="H901" s="137"/>
    </row>
    <row r="902" spans="8:8" ht="15.75" customHeight="1">
      <c r="H902" s="137"/>
    </row>
    <row r="903" spans="8:8" ht="15.75" customHeight="1">
      <c r="H903" s="137"/>
    </row>
    <row r="904" spans="8:8" ht="15.75" customHeight="1">
      <c r="H904" s="137"/>
    </row>
    <row r="905" spans="8:8" ht="15.75" customHeight="1">
      <c r="H905" s="137"/>
    </row>
    <row r="906" spans="8:8" ht="15.75" customHeight="1">
      <c r="H906" s="137"/>
    </row>
    <row r="907" spans="8:8" ht="15.75" customHeight="1">
      <c r="H907" s="137"/>
    </row>
    <row r="908" spans="8:8" ht="15.75" customHeight="1">
      <c r="H908" s="137"/>
    </row>
    <row r="909" spans="8:8" ht="15.75" customHeight="1">
      <c r="H909" s="137"/>
    </row>
    <row r="910" spans="8:8" ht="15.75" customHeight="1">
      <c r="H910" s="137"/>
    </row>
    <row r="911" spans="8:8" ht="15.75" customHeight="1">
      <c r="H911" s="137"/>
    </row>
    <row r="912" spans="8:8" ht="15.75" customHeight="1">
      <c r="H912" s="137"/>
    </row>
    <row r="913" spans="8:8" ht="15.75" customHeight="1">
      <c r="H913" s="137"/>
    </row>
    <row r="914" spans="8:8" ht="15.75" customHeight="1">
      <c r="H914" s="137"/>
    </row>
    <row r="915" spans="8:8" ht="15.75" customHeight="1">
      <c r="H915" s="137"/>
    </row>
    <row r="916" spans="8:8" ht="15.75" customHeight="1">
      <c r="H916" s="137"/>
    </row>
    <row r="917" spans="8:8" ht="15.75" customHeight="1">
      <c r="H917" s="137"/>
    </row>
    <row r="918" spans="8:8" ht="15.75" customHeight="1">
      <c r="H918" s="137"/>
    </row>
    <row r="919" spans="8:8" ht="15.75" customHeight="1">
      <c r="H919" s="137"/>
    </row>
    <row r="920" spans="8:8" ht="15.75" customHeight="1">
      <c r="H920" s="137"/>
    </row>
    <row r="921" spans="8:8" ht="15.75" customHeight="1">
      <c r="H921" s="137"/>
    </row>
    <row r="922" spans="8:8" ht="15.75" customHeight="1">
      <c r="H922" s="137"/>
    </row>
    <row r="923" spans="8:8" ht="15.75" customHeight="1">
      <c r="H923" s="137"/>
    </row>
    <row r="924" spans="8:8" ht="15.75" customHeight="1">
      <c r="H924" s="137"/>
    </row>
    <row r="925" spans="8:8" ht="15.75" customHeight="1">
      <c r="H925" s="137"/>
    </row>
    <row r="926" spans="8:8" ht="15.75" customHeight="1">
      <c r="H926" s="137"/>
    </row>
    <row r="927" spans="8:8" ht="15.75" customHeight="1">
      <c r="H927" s="137"/>
    </row>
    <row r="928" spans="8:8" ht="15.75" customHeight="1">
      <c r="H928" s="137"/>
    </row>
    <row r="929" spans="8:8" ht="15.75" customHeight="1">
      <c r="H929" s="137"/>
    </row>
    <row r="930" spans="8:8" ht="15.75" customHeight="1">
      <c r="H930" s="137"/>
    </row>
    <row r="931" spans="8:8" ht="15.75" customHeight="1">
      <c r="H931" s="137"/>
    </row>
    <row r="932" spans="8:8" ht="15.75" customHeight="1">
      <c r="H932" s="137"/>
    </row>
    <row r="933" spans="8:8" ht="15.75" customHeight="1">
      <c r="H933" s="137"/>
    </row>
    <row r="934" spans="8:8" ht="15.75" customHeight="1">
      <c r="H934" s="137"/>
    </row>
    <row r="935" spans="8:8" ht="15.75" customHeight="1">
      <c r="H935" s="137"/>
    </row>
    <row r="936" spans="8:8" ht="15.75" customHeight="1">
      <c r="H936" s="137"/>
    </row>
    <row r="937" spans="8:8" ht="15.75" customHeight="1">
      <c r="H937" s="137"/>
    </row>
    <row r="938" spans="8:8" ht="15.75" customHeight="1">
      <c r="H938" s="137"/>
    </row>
    <row r="939" spans="8:8" ht="15.75" customHeight="1">
      <c r="H939" s="137"/>
    </row>
    <row r="940" spans="8:8" ht="15.75" customHeight="1">
      <c r="H940" s="137"/>
    </row>
    <row r="941" spans="8:8" ht="15.75" customHeight="1">
      <c r="H941" s="137"/>
    </row>
    <row r="942" spans="8:8" ht="15.75" customHeight="1">
      <c r="H942" s="137"/>
    </row>
    <row r="943" spans="8:8" ht="15.75" customHeight="1">
      <c r="H943" s="137"/>
    </row>
    <row r="944" spans="8:8" ht="15.75" customHeight="1">
      <c r="H944" s="137"/>
    </row>
    <row r="945" spans="8:8" ht="15.75" customHeight="1">
      <c r="H945" s="137"/>
    </row>
    <row r="946" spans="8:8" ht="15.75" customHeight="1">
      <c r="H946" s="137"/>
    </row>
    <row r="947" spans="8:8" ht="15.75" customHeight="1">
      <c r="H947" s="137"/>
    </row>
    <row r="948" spans="8:8" ht="15.75" customHeight="1">
      <c r="H948" s="137"/>
    </row>
    <row r="949" spans="8:8" ht="15.75" customHeight="1">
      <c r="H949" s="137"/>
    </row>
    <row r="950" spans="8:8" ht="15.75" customHeight="1">
      <c r="H950" s="137"/>
    </row>
    <row r="951" spans="8:8" ht="15.75" customHeight="1">
      <c r="H951" s="137"/>
    </row>
    <row r="952" spans="8:8" ht="15.75" customHeight="1">
      <c r="H952" s="137"/>
    </row>
    <row r="953" spans="8:8" ht="15.75" customHeight="1">
      <c r="H953" s="137"/>
    </row>
    <row r="954" spans="8:8" ht="15.75" customHeight="1">
      <c r="H954" s="137"/>
    </row>
    <row r="955" spans="8:8" ht="15.75" customHeight="1">
      <c r="H955" s="137"/>
    </row>
    <row r="956" spans="8:8" ht="15.75" customHeight="1">
      <c r="H956" s="137"/>
    </row>
    <row r="957" spans="8:8" ht="15.75" customHeight="1">
      <c r="H957" s="137"/>
    </row>
    <row r="958" spans="8:8" ht="15.75" customHeight="1">
      <c r="H958" s="137"/>
    </row>
    <row r="959" spans="8:8" ht="15.75" customHeight="1">
      <c r="H959" s="137"/>
    </row>
    <row r="960" spans="8:8" ht="15.75" customHeight="1">
      <c r="H960" s="137"/>
    </row>
    <row r="961" spans="8:8" ht="15.75" customHeight="1">
      <c r="H961" s="137"/>
    </row>
    <row r="962" spans="8:8" ht="15.75" customHeight="1">
      <c r="H962" s="137"/>
    </row>
    <row r="963" spans="8:8" ht="15.75" customHeight="1">
      <c r="H963" s="137"/>
    </row>
    <row r="964" spans="8:8" ht="15.75" customHeight="1">
      <c r="H964" s="137"/>
    </row>
    <row r="965" spans="8:8" ht="15.75" customHeight="1">
      <c r="H965" s="137"/>
    </row>
    <row r="966" spans="8:8" ht="15.75" customHeight="1">
      <c r="H966" s="137"/>
    </row>
    <row r="967" spans="8:8" ht="15.75" customHeight="1">
      <c r="H967" s="137"/>
    </row>
    <row r="968" spans="8:8" ht="15.75" customHeight="1">
      <c r="H968" s="137"/>
    </row>
    <row r="969" spans="8:8" ht="15.75" customHeight="1">
      <c r="H969" s="137"/>
    </row>
    <row r="970" spans="8:8" ht="15.75" customHeight="1">
      <c r="H970" s="137"/>
    </row>
    <row r="971" spans="8:8" ht="15.75" customHeight="1">
      <c r="H971" s="137"/>
    </row>
    <row r="972" spans="8:8" ht="15.75" customHeight="1">
      <c r="H972" s="137"/>
    </row>
    <row r="973" spans="8:8" ht="15.75" customHeight="1">
      <c r="H973" s="137"/>
    </row>
    <row r="974" spans="8:8" ht="15.75" customHeight="1">
      <c r="H974" s="137"/>
    </row>
    <row r="975" spans="8:8" ht="15.75" customHeight="1">
      <c r="H975" s="137"/>
    </row>
    <row r="976" spans="8:8" ht="15.75" customHeight="1">
      <c r="H976" s="137"/>
    </row>
    <row r="977" spans="8:8" ht="15.75" customHeight="1">
      <c r="H977" s="137"/>
    </row>
    <row r="978" spans="8:8" ht="15.75" customHeight="1">
      <c r="H978" s="137"/>
    </row>
    <row r="979" spans="8:8" ht="15.75" customHeight="1">
      <c r="H979" s="137"/>
    </row>
    <row r="980" spans="8:8" ht="15.75" customHeight="1">
      <c r="H980" s="137"/>
    </row>
    <row r="981" spans="8:8" ht="15.75" customHeight="1">
      <c r="H981" s="137"/>
    </row>
    <row r="982" spans="8:8" ht="15.75" customHeight="1">
      <c r="H982" s="137"/>
    </row>
    <row r="983" spans="8:8" ht="15.75" customHeight="1">
      <c r="H983" s="137"/>
    </row>
    <row r="984" spans="8:8" ht="15.75" customHeight="1">
      <c r="H984" s="137"/>
    </row>
    <row r="985" spans="8:8" ht="15.75" customHeight="1">
      <c r="H985" s="137"/>
    </row>
    <row r="986" spans="8:8" ht="15.75" customHeight="1">
      <c r="H986" s="137"/>
    </row>
    <row r="987" spans="8:8" ht="15.75" customHeight="1">
      <c r="H987" s="137"/>
    </row>
    <row r="988" spans="8:8" ht="15.75" customHeight="1">
      <c r="H988" s="137"/>
    </row>
    <row r="989" spans="8:8" ht="15.75" customHeight="1">
      <c r="H989" s="137"/>
    </row>
    <row r="990" spans="8:8" ht="15.75" customHeight="1">
      <c r="H990" s="137"/>
    </row>
    <row r="991" spans="8:8" ht="15.75" customHeight="1">
      <c r="H991" s="137"/>
    </row>
    <row r="992" spans="8:8" ht="15.75" customHeight="1">
      <c r="H992" s="137"/>
    </row>
    <row r="993" spans="8:8" ht="15.75" customHeight="1">
      <c r="H993" s="137"/>
    </row>
    <row r="994" spans="8:8" ht="15.75" customHeight="1">
      <c r="H994" s="137"/>
    </row>
    <row r="995" spans="8:8" ht="15.75" customHeight="1">
      <c r="H995" s="137"/>
    </row>
    <row r="996" spans="8:8" ht="15.75" customHeight="1">
      <c r="H996" s="137"/>
    </row>
    <row r="997" spans="8:8" ht="15.75" customHeight="1">
      <c r="H997" s="137"/>
    </row>
    <row r="998" spans="8:8" ht="15.75" customHeight="1">
      <c r="H998" s="137"/>
    </row>
    <row r="999" spans="8:8" ht="15.75" customHeight="1">
      <c r="H999" s="137"/>
    </row>
    <row r="1000" spans="8:8" ht="15.75" customHeight="1">
      <c r="H1000" s="137"/>
    </row>
    <row r="1001" spans="8:8" ht="15.75" customHeight="1">
      <c r="H1001" s="137"/>
    </row>
    <row r="1002" spans="8:8" ht="15.75" customHeight="1">
      <c r="H1002" s="137"/>
    </row>
    <row r="1003" spans="8:8" ht="15.75" customHeight="1">
      <c r="H1003" s="137"/>
    </row>
    <row r="1004" spans="8:8" ht="15.75" customHeight="1">
      <c r="H1004" s="137"/>
    </row>
    <row r="1005" spans="8:8" ht="15.75" customHeight="1">
      <c r="H1005" s="137"/>
    </row>
  </sheetData>
  <dataValidations count="1">
    <dataValidation type="list" allowBlank="1" showInputMessage="1" showErrorMessage="1" sqref="L3:L19 L21" xr:uid="{C5BBDAAE-428F-4621-AC1D-46ED5A1C9E43}">
      <formula1>"Inprogress, Completed"</formula1>
    </dataValidation>
  </dataValidations>
  <hyperlinks>
    <hyperlink ref="N1" r:id="rId1" xr:uid="{D5589E11-2595-4029-97AF-F342ED9D3137}"/>
  </hyperlinks>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0B7D2-C829-4D51-9DED-7660DD92E5DE}">
  <dimension ref="A1:H15"/>
  <sheetViews>
    <sheetView workbookViewId="0">
      <selection activeCell="H11" sqref="H11"/>
    </sheetView>
  </sheetViews>
  <sheetFormatPr defaultRowHeight="12.75"/>
  <cols>
    <col min="1" max="1" width="43.7109375" customWidth="1"/>
    <col min="2" max="2" width="30.140625" customWidth="1"/>
    <col min="3" max="3" width="12.7109375" customWidth="1"/>
    <col min="4" max="4" width="16" customWidth="1"/>
    <col min="5" max="5" width="19.28515625" customWidth="1"/>
    <col min="6" max="6" width="21" customWidth="1"/>
    <col min="7" max="7" width="19" customWidth="1"/>
    <col min="8" max="8" width="36.140625" customWidth="1"/>
  </cols>
  <sheetData>
    <row r="1" spans="1:8">
      <c r="A1" s="538"/>
      <c r="B1" s="573" t="s">
        <v>231</v>
      </c>
      <c r="C1" s="574"/>
      <c r="D1" s="574"/>
      <c r="E1" s="574"/>
      <c r="H1" s="544"/>
    </row>
    <row r="2" spans="1:8">
      <c r="A2" s="546" t="s">
        <v>232</v>
      </c>
      <c r="B2" s="545" t="s">
        <v>233</v>
      </c>
      <c r="C2" s="545" t="s">
        <v>234</v>
      </c>
      <c r="D2" s="545" t="s">
        <v>235</v>
      </c>
      <c r="E2" s="545" t="s">
        <v>236</v>
      </c>
      <c r="F2" s="545" t="s">
        <v>237</v>
      </c>
      <c r="G2" s="545" t="s">
        <v>238</v>
      </c>
      <c r="H2" s="545" t="s">
        <v>17</v>
      </c>
    </row>
    <row r="3" spans="1:8" ht="60">
      <c r="A3" s="537" t="s">
        <v>239</v>
      </c>
      <c r="B3" s="537">
        <v>0</v>
      </c>
      <c r="C3" s="537">
        <v>0</v>
      </c>
      <c r="D3" s="537">
        <v>0.5</v>
      </c>
      <c r="E3" s="537">
        <v>0</v>
      </c>
      <c r="F3" s="58">
        <v>0.5</v>
      </c>
      <c r="G3" s="58">
        <v>1</v>
      </c>
      <c r="H3" s="182" t="s">
        <v>240</v>
      </c>
    </row>
    <row r="4" spans="1:8">
      <c r="A4" s="537" t="s">
        <v>241</v>
      </c>
      <c r="B4" s="537">
        <v>0</v>
      </c>
      <c r="C4" s="537">
        <v>0</v>
      </c>
      <c r="D4" s="537">
        <v>0</v>
      </c>
      <c r="E4" s="537">
        <v>0</v>
      </c>
      <c r="F4" s="58">
        <v>0</v>
      </c>
      <c r="G4" s="58">
        <v>1</v>
      </c>
      <c r="H4" s="554" t="s">
        <v>242</v>
      </c>
    </row>
    <row r="5" spans="1:8" ht="36">
      <c r="A5" s="537" t="s">
        <v>243</v>
      </c>
      <c r="B5" s="537">
        <v>0</v>
      </c>
      <c r="C5" s="537">
        <v>1</v>
      </c>
      <c r="D5" s="537">
        <v>0</v>
      </c>
      <c r="E5" s="537">
        <v>0</v>
      </c>
      <c r="F5" s="58">
        <v>1</v>
      </c>
      <c r="G5" s="58">
        <v>1</v>
      </c>
      <c r="H5" s="182" t="s">
        <v>244</v>
      </c>
    </row>
    <row r="6" spans="1:8" ht="24">
      <c r="A6" s="537" t="s">
        <v>245</v>
      </c>
      <c r="B6" s="537">
        <v>0</v>
      </c>
      <c r="C6" s="537">
        <v>0</v>
      </c>
      <c r="D6" s="537">
        <v>0.5</v>
      </c>
      <c r="E6" s="537">
        <v>0</v>
      </c>
      <c r="F6" s="58">
        <v>0.5</v>
      </c>
      <c r="G6" s="58">
        <v>0</v>
      </c>
      <c r="H6" s="182" t="s">
        <v>246</v>
      </c>
    </row>
    <row r="7" spans="1:8" ht="48">
      <c r="A7" s="537" t="s">
        <v>247</v>
      </c>
      <c r="B7" s="537">
        <v>0</v>
      </c>
      <c r="C7" s="537">
        <v>0</v>
      </c>
      <c r="D7" s="537">
        <v>0</v>
      </c>
      <c r="E7" s="537">
        <v>2</v>
      </c>
      <c r="F7" s="58">
        <v>2</v>
      </c>
      <c r="G7" s="58">
        <v>5.5</v>
      </c>
      <c r="H7" s="182" t="s">
        <v>248</v>
      </c>
    </row>
    <row r="8" spans="1:8" ht="24">
      <c r="A8" s="58" t="s">
        <v>249</v>
      </c>
      <c r="B8" s="537">
        <v>0</v>
      </c>
      <c r="C8" s="537">
        <v>1</v>
      </c>
      <c r="D8" s="537">
        <v>0</v>
      </c>
      <c r="E8" s="537">
        <v>0</v>
      </c>
      <c r="F8" s="58">
        <v>1</v>
      </c>
      <c r="G8" s="58">
        <v>1</v>
      </c>
      <c r="H8" s="182" t="s">
        <v>250</v>
      </c>
    </row>
    <row r="9" spans="1:8">
      <c r="A9" s="138" t="s">
        <v>251</v>
      </c>
      <c r="B9" s="537">
        <v>0</v>
      </c>
      <c r="C9" s="537">
        <v>0</v>
      </c>
      <c r="D9" s="537">
        <v>0</v>
      </c>
      <c r="E9" s="537">
        <v>0</v>
      </c>
      <c r="F9" s="58">
        <v>0</v>
      </c>
      <c r="G9" s="58">
        <v>0</v>
      </c>
      <c r="H9" s="554" t="s">
        <v>242</v>
      </c>
    </row>
    <row r="10" spans="1:8">
      <c r="A10" s="537" t="s">
        <v>252</v>
      </c>
      <c r="B10" s="537">
        <v>0</v>
      </c>
      <c r="C10" s="537">
        <v>1</v>
      </c>
      <c r="D10" s="537">
        <v>0</v>
      </c>
      <c r="E10" s="537">
        <v>0</v>
      </c>
      <c r="F10" s="58">
        <v>1</v>
      </c>
      <c r="G10" s="58">
        <v>2</v>
      </c>
      <c r="H10" s="182" t="s">
        <v>253</v>
      </c>
    </row>
    <row r="11" spans="1:8">
      <c r="A11" s="537"/>
      <c r="B11" s="537"/>
      <c r="C11" s="537"/>
      <c r="D11" s="537"/>
      <c r="E11" s="537"/>
      <c r="F11" s="58"/>
      <c r="G11" s="58"/>
      <c r="H11" s="182"/>
    </row>
    <row r="12" spans="1:8">
      <c r="A12" s="537"/>
      <c r="B12" s="537"/>
      <c r="C12" s="537"/>
      <c r="D12" s="537"/>
      <c r="E12" s="537"/>
      <c r="F12" s="58"/>
      <c r="G12" s="58"/>
      <c r="H12" s="182"/>
    </row>
    <row r="13" spans="1:8">
      <c r="A13" s="537"/>
      <c r="B13" s="537"/>
      <c r="C13" s="537"/>
      <c r="D13" s="537"/>
      <c r="E13" s="537"/>
      <c r="F13" s="58"/>
      <c r="G13" s="58"/>
      <c r="H13" s="182"/>
    </row>
    <row r="14" spans="1:8">
      <c r="A14" s="537"/>
      <c r="B14" s="537"/>
      <c r="C14" s="537"/>
      <c r="D14" s="537"/>
      <c r="E14" s="537"/>
      <c r="F14" s="58"/>
      <c r="G14" s="58"/>
      <c r="H14" s="182"/>
    </row>
    <row r="15" spans="1:8">
      <c r="A15" s="537"/>
      <c r="B15" s="537"/>
      <c r="C15" s="537"/>
      <c r="D15" s="537"/>
      <c r="E15" s="537"/>
      <c r="F15" s="58"/>
      <c r="G15" s="58"/>
      <c r="H15" s="182"/>
    </row>
  </sheetData>
  <mergeCells count="1">
    <mergeCell ref="B1:E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430F4-B6FD-49A8-B9F0-E30F78F5EBC7}">
  <dimension ref="A1:AE11"/>
  <sheetViews>
    <sheetView workbookViewId="0">
      <pane xSplit="7" ySplit="1" topLeftCell="H5" activePane="bottomRight" state="frozen"/>
      <selection pane="bottomRight" activeCell="I7" sqref="I7"/>
      <selection pane="bottomLeft"/>
      <selection pane="topRight"/>
    </sheetView>
  </sheetViews>
  <sheetFormatPr defaultRowHeight="12.75"/>
  <cols>
    <col min="2" max="2" width="13.28515625" customWidth="1"/>
    <col min="3" max="3" width="10.85546875" customWidth="1"/>
    <col min="4" max="4" width="12.140625" customWidth="1"/>
    <col min="5" max="5" width="32.28515625" customWidth="1"/>
    <col min="6" max="6" width="24.28515625" customWidth="1"/>
    <col min="7" max="7" width="18.85546875" customWidth="1"/>
    <col min="8" max="8" width="50.28515625" style="137" customWidth="1"/>
    <col min="9" max="9" width="16.85546875" customWidth="1"/>
    <col min="10" max="10" width="11.42578125" style="122" bestFit="1" customWidth="1"/>
    <col min="11" max="11" width="11.42578125" bestFit="1" customWidth="1"/>
    <col min="12" max="12" width="11.42578125" customWidth="1"/>
    <col min="13" max="13" width="16.85546875" customWidth="1"/>
    <col min="14" max="14" width="14" customWidth="1"/>
    <col min="15" max="15" width="13.140625" customWidth="1"/>
    <col min="16" max="16" width="13.42578125" style="144" customWidth="1"/>
    <col min="17" max="17" width="29.140625" customWidth="1"/>
    <col min="18" max="18" width="16.42578125" style="181" customWidth="1"/>
    <col min="19" max="19" width="14.85546875" style="181" customWidth="1"/>
    <col min="20" max="20" width="29.42578125" style="144" customWidth="1"/>
    <col min="21" max="22" width="12.7109375" bestFit="1" customWidth="1"/>
    <col min="23" max="23" width="21.28515625" customWidth="1"/>
    <col min="24" max="24" width="32.140625" style="144" customWidth="1"/>
    <col min="25" max="25" width="11.42578125" bestFit="1" customWidth="1"/>
    <col min="26" max="26" width="12.7109375" bestFit="1" customWidth="1"/>
    <col min="27" max="27" width="18.7109375" customWidth="1"/>
    <col min="28" max="29" width="11.42578125" bestFit="1" customWidth="1"/>
    <col min="30" max="30" width="81.42578125" customWidth="1"/>
    <col min="31" max="31" width="40.7109375" customWidth="1"/>
  </cols>
  <sheetData>
    <row r="1" spans="1:31" ht="48">
      <c r="A1" s="379" t="s">
        <v>254</v>
      </c>
      <c r="B1" s="404" t="s">
        <v>4</v>
      </c>
      <c r="C1" s="404" t="s">
        <v>2</v>
      </c>
      <c r="D1" s="404" t="s">
        <v>3</v>
      </c>
      <c r="E1" s="527" t="s">
        <v>255</v>
      </c>
      <c r="F1" s="527" t="s">
        <v>256</v>
      </c>
      <c r="G1" s="383" t="s">
        <v>257</v>
      </c>
      <c r="H1" s="383" t="s">
        <v>258</v>
      </c>
      <c r="I1" s="383" t="s">
        <v>259</v>
      </c>
      <c r="J1" s="518" t="s">
        <v>260</v>
      </c>
      <c r="K1" s="384" t="s">
        <v>261</v>
      </c>
      <c r="L1" s="384" t="s">
        <v>262</v>
      </c>
      <c r="M1" s="525" t="s">
        <v>263</v>
      </c>
      <c r="N1" s="384" t="s">
        <v>264</v>
      </c>
      <c r="O1" s="385" t="s">
        <v>265</v>
      </c>
      <c r="P1" s="385" t="s">
        <v>266</v>
      </c>
      <c r="Q1" s="385" t="s">
        <v>267</v>
      </c>
      <c r="R1" s="525" t="s">
        <v>268</v>
      </c>
      <c r="S1" s="525" t="s">
        <v>269</v>
      </c>
      <c r="T1" s="385" t="s">
        <v>270</v>
      </c>
      <c r="U1" s="385" t="s">
        <v>271</v>
      </c>
      <c r="V1" s="385" t="s">
        <v>272</v>
      </c>
      <c r="W1" s="385" t="s">
        <v>273</v>
      </c>
      <c r="X1" s="385" t="s">
        <v>274</v>
      </c>
      <c r="Y1" s="385" t="s">
        <v>275</v>
      </c>
      <c r="Z1" s="385" t="s">
        <v>276</v>
      </c>
      <c r="AA1" s="385" t="s">
        <v>277</v>
      </c>
      <c r="AB1" s="385" t="s">
        <v>278</v>
      </c>
      <c r="AC1" s="526" t="s">
        <v>279</v>
      </c>
      <c r="AD1" s="240" t="s">
        <v>280</v>
      </c>
      <c r="AE1" s="385" t="s">
        <v>281</v>
      </c>
    </row>
    <row r="2" spans="1:31" ht="88.5" customHeight="1">
      <c r="A2" s="369">
        <v>1</v>
      </c>
      <c r="B2" s="369" t="s">
        <v>5</v>
      </c>
      <c r="C2" s="372">
        <v>46149</v>
      </c>
      <c r="D2" s="430">
        <v>46163</v>
      </c>
      <c r="E2" s="316" t="s">
        <v>227</v>
      </c>
      <c r="F2" s="316" t="s">
        <v>282</v>
      </c>
      <c r="G2" s="431" t="s">
        <v>283</v>
      </c>
      <c r="H2" s="524" t="s">
        <v>284</v>
      </c>
      <c r="I2" s="506" t="s">
        <v>285</v>
      </c>
      <c r="J2" s="228">
        <v>3</v>
      </c>
      <c r="K2" s="506"/>
      <c r="L2" s="362"/>
      <c r="M2" s="551"/>
      <c r="N2" s="551"/>
      <c r="O2" s="203"/>
      <c r="P2" s="550"/>
      <c r="Q2" s="370"/>
      <c r="R2" s="374"/>
      <c r="S2" s="327"/>
      <c r="T2" s="271"/>
      <c r="U2" s="373"/>
      <c r="V2" s="360"/>
      <c r="W2" s="369"/>
      <c r="X2" s="370"/>
      <c r="Y2" s="327"/>
      <c r="Z2" s="373"/>
      <c r="AA2" s="370"/>
      <c r="AB2" s="327"/>
      <c r="AC2" s="374"/>
      <c r="AD2" s="378"/>
      <c r="AE2" s="183"/>
    </row>
    <row r="3" spans="1:31" ht="72">
      <c r="A3" s="369">
        <v>2</v>
      </c>
      <c r="B3" s="369" t="s">
        <v>5</v>
      </c>
      <c r="C3" s="372">
        <v>46149</v>
      </c>
      <c r="D3" s="372">
        <v>46163</v>
      </c>
      <c r="E3" s="229" t="s">
        <v>227</v>
      </c>
      <c r="F3" s="229" t="s">
        <v>286</v>
      </c>
      <c r="G3" s="229" t="s">
        <v>287</v>
      </c>
      <c r="H3" s="329" t="s">
        <v>288</v>
      </c>
      <c r="I3" s="327" t="s">
        <v>289</v>
      </c>
      <c r="J3" s="327">
        <v>3</v>
      </c>
      <c r="K3" s="327"/>
      <c r="L3" s="327"/>
      <c r="M3" s="373">
        <v>46153</v>
      </c>
      <c r="N3" s="373">
        <v>46155</v>
      </c>
      <c r="O3" s="229" t="s">
        <v>290</v>
      </c>
      <c r="P3" s="329" t="s">
        <v>234</v>
      </c>
      <c r="Q3" s="327" t="s">
        <v>291</v>
      </c>
      <c r="R3" s="374" t="s">
        <v>292</v>
      </c>
      <c r="S3" s="228" t="s">
        <v>291</v>
      </c>
      <c r="T3" s="200" t="s">
        <v>293</v>
      </c>
      <c r="U3" s="372">
        <v>46155</v>
      </c>
      <c r="V3" s="373">
        <v>46156</v>
      </c>
      <c r="W3" s="327" t="s">
        <v>294</v>
      </c>
      <c r="X3" s="370" t="s">
        <v>291</v>
      </c>
      <c r="Y3" s="327" t="s">
        <v>295</v>
      </c>
      <c r="Z3" s="373">
        <v>46156</v>
      </c>
      <c r="AA3" s="370" t="s">
        <v>291</v>
      </c>
      <c r="AB3" s="327" t="s">
        <v>291</v>
      </c>
      <c r="AC3" s="327" t="s">
        <v>291</v>
      </c>
      <c r="AD3" s="388" t="s">
        <v>296</v>
      </c>
      <c r="AE3" s="352" t="s">
        <v>297</v>
      </c>
    </row>
    <row r="4" spans="1:31" ht="36">
      <c r="A4" s="369">
        <v>3</v>
      </c>
      <c r="B4" s="369" t="s">
        <v>5</v>
      </c>
      <c r="C4" s="372">
        <v>46149</v>
      </c>
      <c r="D4" s="372">
        <v>46163</v>
      </c>
      <c r="E4" s="229" t="s">
        <v>227</v>
      </c>
      <c r="F4" s="229" t="s">
        <v>298</v>
      </c>
      <c r="G4" s="229" t="s">
        <v>299</v>
      </c>
      <c r="H4" s="329" t="s">
        <v>300</v>
      </c>
      <c r="I4" s="327" t="s">
        <v>301</v>
      </c>
      <c r="J4" s="327">
        <v>2</v>
      </c>
      <c r="K4" s="327"/>
      <c r="L4" s="327"/>
      <c r="M4" s="373"/>
      <c r="N4" s="373"/>
      <c r="O4" s="229"/>
      <c r="P4" s="329"/>
      <c r="Q4" s="327"/>
      <c r="R4" s="374"/>
      <c r="S4" s="327"/>
      <c r="T4" s="271"/>
      <c r="U4" s="372"/>
      <c r="V4" s="373"/>
      <c r="W4" s="327"/>
      <c r="X4" s="370"/>
      <c r="Y4" s="327"/>
      <c r="Z4" s="373"/>
      <c r="AA4" s="370"/>
      <c r="AB4" s="327"/>
      <c r="AC4" s="327"/>
      <c r="AD4" s="388" t="s">
        <v>302</v>
      </c>
      <c r="AE4" s="352"/>
    </row>
    <row r="5" spans="1:31" ht="60">
      <c r="A5" s="369">
        <v>4</v>
      </c>
      <c r="B5" s="369" t="s">
        <v>5</v>
      </c>
      <c r="C5" s="372">
        <v>46149</v>
      </c>
      <c r="D5" s="372">
        <v>46163</v>
      </c>
      <c r="E5" s="229" t="s">
        <v>227</v>
      </c>
      <c r="F5" s="229" t="s">
        <v>292</v>
      </c>
      <c r="G5" s="229" t="s">
        <v>303</v>
      </c>
      <c r="H5" s="329" t="s">
        <v>304</v>
      </c>
      <c r="I5" s="327" t="s">
        <v>301</v>
      </c>
      <c r="J5" s="327">
        <v>3</v>
      </c>
      <c r="K5" s="327"/>
      <c r="L5" s="327"/>
      <c r="M5" s="520">
        <v>46153</v>
      </c>
      <c r="N5" s="327"/>
      <c r="O5" s="229" t="s">
        <v>290</v>
      </c>
      <c r="P5" s="329"/>
      <c r="Q5" s="327"/>
      <c r="R5" s="374"/>
      <c r="S5" s="228"/>
      <c r="T5" s="200"/>
      <c r="U5" s="372"/>
      <c r="V5" s="373"/>
      <c r="W5" s="327"/>
      <c r="X5" s="370"/>
      <c r="Y5" s="327"/>
      <c r="Z5" s="373"/>
      <c r="AA5" s="370"/>
      <c r="AB5" s="327"/>
      <c r="AC5" s="327"/>
      <c r="AD5" s="388" t="s">
        <v>305</v>
      </c>
      <c r="AE5" s="352"/>
    </row>
    <row r="6" spans="1:31" ht="48">
      <c r="A6" s="369">
        <v>5</v>
      </c>
      <c r="B6" s="369" t="s">
        <v>5</v>
      </c>
      <c r="C6" s="372">
        <v>46149</v>
      </c>
      <c r="D6" s="372">
        <v>46163</v>
      </c>
      <c r="E6" s="229" t="s">
        <v>227</v>
      </c>
      <c r="F6" s="229" t="s">
        <v>294</v>
      </c>
      <c r="G6" s="229" t="s">
        <v>306</v>
      </c>
      <c r="H6" s="329" t="s">
        <v>307</v>
      </c>
      <c r="I6" s="327" t="s">
        <v>289</v>
      </c>
      <c r="J6" s="327">
        <v>3</v>
      </c>
      <c r="K6" s="327"/>
      <c r="L6" s="327"/>
      <c r="M6" s="373">
        <v>46155</v>
      </c>
      <c r="N6" s="373">
        <v>46155</v>
      </c>
      <c r="O6" s="229" t="s">
        <v>290</v>
      </c>
      <c r="P6" s="329" t="s">
        <v>298</v>
      </c>
      <c r="Q6" s="327" t="s">
        <v>291</v>
      </c>
      <c r="R6" s="374" t="s">
        <v>298</v>
      </c>
      <c r="S6" s="228" t="s">
        <v>291</v>
      </c>
      <c r="T6" s="200" t="s">
        <v>308</v>
      </c>
      <c r="U6" s="372">
        <v>46155</v>
      </c>
      <c r="V6" s="373">
        <v>46156</v>
      </c>
      <c r="W6" s="327" t="s">
        <v>291</v>
      </c>
      <c r="X6" s="370" t="s">
        <v>291</v>
      </c>
      <c r="Y6" s="327" t="s">
        <v>295</v>
      </c>
      <c r="Z6" s="373">
        <v>46156</v>
      </c>
      <c r="AA6" s="370" t="s">
        <v>291</v>
      </c>
      <c r="AB6" s="327" t="s">
        <v>291</v>
      </c>
      <c r="AC6" s="327" t="s">
        <v>291</v>
      </c>
      <c r="AD6" s="388" t="s">
        <v>309</v>
      </c>
      <c r="AE6" s="352"/>
    </row>
    <row r="7" spans="1:31" ht="48">
      <c r="A7" s="369">
        <v>6</v>
      </c>
      <c r="B7" s="369" t="s">
        <v>5</v>
      </c>
      <c r="C7" s="372">
        <v>46149</v>
      </c>
      <c r="D7" s="372">
        <v>46163</v>
      </c>
      <c r="E7" s="229" t="s">
        <v>227</v>
      </c>
      <c r="F7" s="229" t="s">
        <v>298</v>
      </c>
      <c r="G7" s="229" t="s">
        <v>310</v>
      </c>
      <c r="H7" s="329" t="s">
        <v>311</v>
      </c>
      <c r="I7" s="327" t="s">
        <v>289</v>
      </c>
      <c r="J7" s="327">
        <v>5</v>
      </c>
      <c r="K7" s="327"/>
      <c r="L7" s="327"/>
      <c r="M7" s="373">
        <v>46153</v>
      </c>
      <c r="N7" s="373">
        <v>46154</v>
      </c>
      <c r="O7" s="229" t="s">
        <v>290</v>
      </c>
      <c r="P7" s="329" t="s">
        <v>234</v>
      </c>
      <c r="Q7" s="370" t="s">
        <v>312</v>
      </c>
      <c r="R7" s="374" t="s">
        <v>292</v>
      </c>
      <c r="S7" s="228" t="s">
        <v>291</v>
      </c>
      <c r="T7" s="200" t="s">
        <v>313</v>
      </c>
      <c r="U7" s="372">
        <v>46154</v>
      </c>
      <c r="V7" s="373">
        <v>46156</v>
      </c>
      <c r="W7" s="327" t="s">
        <v>294</v>
      </c>
      <c r="X7" s="370" t="s">
        <v>291</v>
      </c>
      <c r="Y7" s="327" t="s">
        <v>295</v>
      </c>
      <c r="Z7" s="373">
        <v>46156</v>
      </c>
      <c r="AA7" s="370" t="s">
        <v>291</v>
      </c>
      <c r="AB7" s="327" t="s">
        <v>291</v>
      </c>
      <c r="AC7" s="327" t="s">
        <v>291</v>
      </c>
      <c r="AD7" s="388" t="s">
        <v>314</v>
      </c>
      <c r="AE7" s="228" t="s">
        <v>315</v>
      </c>
    </row>
    <row r="8" spans="1:31" ht="61.5" customHeight="1">
      <c r="A8" s="369">
        <v>7</v>
      </c>
      <c r="B8" s="369" t="s">
        <v>5</v>
      </c>
      <c r="C8" s="372">
        <v>46149</v>
      </c>
      <c r="D8" s="372">
        <v>46163</v>
      </c>
      <c r="E8" s="229" t="s">
        <v>316</v>
      </c>
      <c r="F8" s="229" t="s">
        <v>298</v>
      </c>
      <c r="G8" s="250" t="s">
        <v>317</v>
      </c>
      <c r="H8" s="524" t="s">
        <v>318</v>
      </c>
      <c r="I8" s="369" t="s">
        <v>301</v>
      </c>
      <c r="J8" s="327">
        <v>1</v>
      </c>
      <c r="K8" s="327"/>
      <c r="L8" s="327"/>
      <c r="M8" s="520" t="s">
        <v>319</v>
      </c>
      <c r="N8" s="373"/>
      <c r="O8" s="229"/>
      <c r="P8" s="329"/>
      <c r="Q8" s="327"/>
      <c r="R8" s="374"/>
      <c r="S8" s="228"/>
      <c r="T8" s="200"/>
      <c r="U8" s="372"/>
      <c r="V8" s="373"/>
      <c r="W8" s="327"/>
      <c r="X8" s="370"/>
      <c r="Y8" s="327"/>
      <c r="Z8" s="373"/>
      <c r="AA8" s="370"/>
      <c r="AB8" s="327"/>
      <c r="AC8" s="327"/>
      <c r="AD8" s="388" t="s">
        <v>320</v>
      </c>
      <c r="AE8" s="352"/>
    </row>
    <row r="9" spans="1:31">
      <c r="A9" s="369"/>
      <c r="B9" s="369"/>
      <c r="C9" s="372"/>
      <c r="D9" s="372"/>
      <c r="E9" s="229"/>
      <c r="F9" s="229"/>
      <c r="G9" s="229"/>
      <c r="H9" s="497"/>
      <c r="I9" s="327"/>
      <c r="J9" s="327"/>
      <c r="K9" s="327"/>
      <c r="L9" s="327"/>
      <c r="M9" s="373"/>
      <c r="N9" s="373"/>
      <c r="O9" s="229"/>
      <c r="P9" s="329"/>
      <c r="Q9" s="327"/>
      <c r="R9" s="374"/>
      <c r="S9" s="228"/>
      <c r="T9" s="200"/>
      <c r="U9" s="372"/>
      <c r="V9" s="373"/>
      <c r="W9" s="327"/>
      <c r="X9" s="370"/>
      <c r="Y9" s="327"/>
      <c r="Z9" s="373"/>
      <c r="AA9" s="370"/>
      <c r="AB9" s="327"/>
      <c r="AC9" s="327"/>
      <c r="AD9" s="249"/>
      <c r="AE9" s="228"/>
    </row>
    <row r="10" spans="1:31" ht="68.25" customHeight="1">
      <c r="A10" s="369"/>
      <c r="B10" s="369"/>
      <c r="C10" s="372"/>
      <c r="D10" s="372"/>
      <c r="E10" s="229"/>
      <c r="F10" s="229"/>
      <c r="G10" s="229"/>
      <c r="H10" s="329"/>
      <c r="I10" s="327"/>
      <c r="J10" s="327"/>
      <c r="K10" s="327"/>
      <c r="L10" s="327"/>
      <c r="M10" s="370"/>
      <c r="N10" s="327"/>
      <c r="O10" s="229"/>
      <c r="P10" s="329"/>
      <c r="Q10" s="327"/>
      <c r="R10" s="327"/>
      <c r="T10" s="432"/>
      <c r="U10" s="373"/>
      <c r="V10" s="373"/>
      <c r="W10" s="327"/>
      <c r="X10" s="370"/>
      <c r="Y10" s="327"/>
      <c r="Z10" s="373"/>
      <c r="AA10" s="370"/>
      <c r="AB10" s="327"/>
      <c r="AC10" s="327"/>
      <c r="AD10" s="333"/>
      <c r="AE10" s="327"/>
    </row>
    <row r="11" spans="1:31" ht="63.75" customHeight="1">
      <c r="A11" s="369"/>
      <c r="B11" s="369"/>
      <c r="C11" s="372"/>
      <c r="D11" s="372"/>
      <c r="E11" s="229"/>
      <c r="F11" s="229"/>
      <c r="G11" s="229"/>
      <c r="H11" s="329"/>
      <c r="I11" s="327"/>
      <c r="J11" s="327"/>
      <c r="K11" s="327"/>
      <c r="L11" s="327"/>
      <c r="M11" s="370"/>
      <c r="N11" s="327"/>
      <c r="O11" s="229"/>
      <c r="P11" s="329"/>
      <c r="Q11" s="327"/>
      <c r="R11" s="327"/>
      <c r="T11" s="432"/>
      <c r="U11" s="373"/>
      <c r="V11" s="373"/>
      <c r="W11" s="327"/>
      <c r="X11" s="370"/>
      <c r="Y11" s="327"/>
      <c r="Z11" s="373"/>
      <c r="AA11" s="370"/>
      <c r="AB11" s="327"/>
      <c r="AC11" s="327"/>
      <c r="AD11" s="333"/>
      <c r="AE11" s="327"/>
    </row>
  </sheetData>
  <hyperlinks>
    <hyperlink ref="T7" r:id="rId1" xr:uid="{D60434E9-F1A8-4CDD-AA89-362768613971}"/>
    <hyperlink ref="T3" r:id="rId2" xr:uid="{43D112DA-1B36-48FE-9B8A-9B73C441DA8B}"/>
    <hyperlink ref="T6" r:id="rId3" xr:uid="{78ABE09F-ECE1-4CEB-BC8A-ABB5F5A7D51B}"/>
  </hyperlinks>
  <pageMargins left="0.7" right="0.7" top="0.75" bottom="0.75" header="0.3" footer="0.3"/>
  <tableParts count="1">
    <tablePart r:id="rId4"/>
  </tableParts>
  <extLst>
    <ext xmlns:x14="http://schemas.microsoft.com/office/spreadsheetml/2009/9/main" uri="{CCE6A557-97BC-4b89-ADB6-D9C93CAAB3DF}">
      <x14:dataValidations xmlns:xm="http://schemas.microsoft.com/office/excel/2006/main" count="1">
        <x14:dataValidation type="list" allowBlank="1" showErrorMessage="1" xr:uid="{BBB9D848-4EEC-41F1-A362-5F511579B15D}">
          <x14:formula1>
            <xm:f>Settings!$C$3:$C$20</xm:f>
          </x14:formula1>
          <xm:sqref>I2:I11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11082-1CB4-4921-970A-DC4250EC96A6}">
  <sheetPr>
    <outlinePr summaryBelow="0" summaryRight="0"/>
  </sheetPr>
  <dimension ref="A1:AB973"/>
  <sheetViews>
    <sheetView topLeftCell="B1" workbookViewId="0">
      <selection activeCell="E9" sqref="E9"/>
    </sheetView>
  </sheetViews>
  <sheetFormatPr defaultColWidth="12.5703125" defaultRowHeight="15" customHeight="1"/>
  <cols>
    <col min="1" max="1" width="12.5703125" hidden="1" customWidth="1"/>
    <col min="2" max="2" width="29" customWidth="1"/>
    <col min="3" max="3" width="23.5703125" customWidth="1"/>
    <col min="4" max="4" width="14.42578125" customWidth="1"/>
    <col min="5" max="5" width="19.140625" customWidth="1"/>
    <col min="6" max="6" width="37.5703125" customWidth="1"/>
    <col min="7" max="7" width="50.5703125" customWidth="1"/>
    <col min="8" max="9" width="18.7109375" customWidth="1"/>
    <col min="10" max="10" width="9.140625" bestFit="1" customWidth="1"/>
    <col min="11" max="11" width="19" customWidth="1"/>
    <col min="12" max="12" width="18" customWidth="1"/>
    <col min="13" max="13" width="41" customWidth="1"/>
    <col min="14" max="14" width="14.140625" style="122" customWidth="1"/>
    <col min="15" max="15" width="63.28515625" customWidth="1"/>
  </cols>
  <sheetData>
    <row r="1" spans="1:28" ht="13.5">
      <c r="A1" s="536" t="s">
        <v>254</v>
      </c>
      <c r="B1" s="59" t="s">
        <v>321</v>
      </c>
      <c r="C1" s="243" t="s">
        <v>322</v>
      </c>
      <c r="D1" s="243" t="s">
        <v>323</v>
      </c>
      <c r="E1" s="59" t="s">
        <v>256</v>
      </c>
      <c r="F1" s="243" t="s">
        <v>324</v>
      </c>
      <c r="G1" s="243" t="s">
        <v>325</v>
      </c>
      <c r="H1" s="59" t="s">
        <v>326</v>
      </c>
      <c r="I1" s="59" t="s">
        <v>327</v>
      </c>
      <c r="J1" s="59" t="s">
        <v>328</v>
      </c>
      <c r="K1" s="59" t="s">
        <v>259</v>
      </c>
      <c r="L1" s="523" t="s">
        <v>329</v>
      </c>
      <c r="M1" s="157" t="s">
        <v>280</v>
      </c>
      <c r="N1" s="487" t="s">
        <v>330</v>
      </c>
      <c r="O1" s="487" t="s">
        <v>331</v>
      </c>
      <c r="P1" s="35"/>
      <c r="Q1" s="35"/>
      <c r="R1" s="35"/>
      <c r="S1" s="35"/>
      <c r="T1" s="35"/>
      <c r="U1" s="35"/>
      <c r="V1" s="35"/>
      <c r="W1" s="35"/>
      <c r="X1" s="35"/>
      <c r="Y1" s="35"/>
      <c r="Z1" s="35"/>
      <c r="AA1" s="35"/>
      <c r="AB1" s="35"/>
    </row>
    <row r="2" spans="1:28" ht="57" customHeight="1">
      <c r="B2" s="496"/>
      <c r="C2" s="229"/>
      <c r="D2" s="273"/>
      <c r="E2" s="327"/>
      <c r="F2" s="221"/>
      <c r="G2" s="138"/>
      <c r="H2" s="126"/>
      <c r="I2" s="126"/>
      <c r="J2" s="553"/>
      <c r="K2" s="126"/>
      <c r="L2" s="126"/>
      <c r="M2" s="333"/>
      <c r="N2" s="531"/>
      <c r="O2" s="333"/>
    </row>
    <row r="3" spans="1:28" ht="47.25" customHeight="1">
      <c r="B3" s="58"/>
      <c r="C3" s="58"/>
      <c r="D3" s="58"/>
      <c r="E3" s="228"/>
      <c r="F3" s="228"/>
      <c r="G3" s="352"/>
      <c r="H3" s="203"/>
      <c r="I3" s="41"/>
      <c r="J3" s="41"/>
      <c r="K3" s="41"/>
      <c r="L3" s="41"/>
      <c r="M3" s="216"/>
      <c r="N3" s="91"/>
      <c r="O3" s="549"/>
    </row>
    <row r="4" spans="1:28" ht="15.75" customHeight="1">
      <c r="I4" s="244"/>
      <c r="M4" s="144"/>
    </row>
    <row r="5" spans="1:28" ht="15.75" customHeight="1"/>
    <row r="6" spans="1:28" ht="15.75" customHeight="1"/>
    <row r="7" spans="1:28" ht="15.75" customHeight="1"/>
    <row r="8" spans="1:28" ht="15.75" customHeight="1"/>
    <row r="9" spans="1:28" ht="15.75" customHeight="1"/>
    <row r="10" spans="1:28" ht="15.75" customHeight="1"/>
    <row r="11" spans="1:28" ht="15.75" customHeight="1"/>
    <row r="12" spans="1:28" ht="15.75" customHeight="1"/>
    <row r="13" spans="1:28" ht="15.75" customHeight="1"/>
    <row r="14" spans="1:28" ht="15.75" customHeight="1"/>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sheetData>
  <autoFilter ref="A1:M1" xr:uid="{3A2BB050-11AC-4ED7-A296-96B42C7FCFBA}"/>
  <dataValidations count="5">
    <dataValidation type="list" allowBlank="1" showErrorMessage="1" sqref="K2:K3" xr:uid="{47212783-8D77-49C1-8EE3-9A92D2B7C550}">
      <formula1>"Open,Inprogress,Closed"</formula1>
    </dataValidation>
    <dataValidation type="list" allowBlank="1" showErrorMessage="1" sqref="J2:J3" xr:uid="{D123BB3C-D277-461E-90A6-BC9CF23EB58E}">
      <formula1>"Internal,External"</formula1>
    </dataValidation>
    <dataValidation type="list" allowBlank="1" showErrorMessage="1" sqref="I2:I4" xr:uid="{BE1620C5-2182-4212-8806-42844C890760}">
      <formula1>"Manual, Automation"</formula1>
    </dataValidation>
    <dataValidation type="list" allowBlank="1" showErrorMessage="1" sqref="F2" xr:uid="{CA20BC9A-06DD-4DC3-9795-679CE5F89926}">
      <formula1>"Bounceback,Defect,None"</formula1>
    </dataValidation>
    <dataValidation type="list" allowBlank="1" showErrorMessage="1" sqref="H2" xr:uid="{6519CE14-F014-4496-B304-7E2B99174B99}">
      <formula1>"Minor,Significant,Major"</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3AECA0B1-410E-4F6A-8AA3-821C0AAD8BFF}">
          <x14:formula1>
            <xm:f>Details!$A$2:$A$10</xm:f>
          </x14:formula1>
          <xm:sqref>L2:L3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CD7B1-C3BF-444B-894C-772E4497634B}">
  <dimension ref="A1:AE11"/>
  <sheetViews>
    <sheetView workbookViewId="0">
      <pane xSplit="7" ySplit="1" topLeftCell="H2" activePane="bottomRight" state="frozen"/>
      <selection pane="bottomRight" activeCell="G11" sqref="G11"/>
      <selection pane="bottomLeft"/>
      <selection pane="topRight"/>
    </sheetView>
  </sheetViews>
  <sheetFormatPr defaultRowHeight="12.75"/>
  <cols>
    <col min="2" max="2" width="13.28515625" customWidth="1"/>
    <col min="3" max="3" width="10.85546875" customWidth="1"/>
    <col min="4" max="4" width="12.140625" customWidth="1"/>
    <col min="5" max="5" width="32.28515625" customWidth="1"/>
    <col min="6" max="6" width="24.28515625" customWidth="1"/>
    <col min="7" max="7" width="18.85546875" customWidth="1"/>
    <col min="8" max="8" width="50.28515625" style="137" customWidth="1"/>
    <col min="9" max="9" width="16.85546875" customWidth="1"/>
    <col min="10" max="10" width="11.42578125" style="122" bestFit="1" customWidth="1"/>
    <col min="11" max="11" width="11.42578125" bestFit="1" customWidth="1"/>
    <col min="12" max="12" width="11.42578125" customWidth="1"/>
    <col min="13" max="13" width="16.85546875" customWidth="1"/>
    <col min="14" max="14" width="14" customWidth="1"/>
    <col min="15" max="15" width="13.140625" customWidth="1"/>
    <col min="16" max="16" width="13.42578125" style="144" customWidth="1"/>
    <col min="17" max="17" width="29.140625" customWidth="1"/>
    <col min="18" max="18" width="16.42578125" style="181" customWidth="1"/>
    <col min="19" max="19" width="14.85546875" style="181" customWidth="1"/>
    <col min="20" max="20" width="29.42578125" style="144" customWidth="1"/>
    <col min="21" max="22" width="12.7109375" bestFit="1" customWidth="1"/>
    <col min="23" max="23" width="21.28515625" customWidth="1"/>
    <col min="24" max="24" width="32.140625" style="144" customWidth="1"/>
    <col min="25" max="25" width="11.42578125" bestFit="1" customWidth="1"/>
    <col min="26" max="26" width="12.7109375" bestFit="1" customWidth="1"/>
    <col min="27" max="27" width="18.7109375" customWidth="1"/>
    <col min="28" max="29" width="11.42578125" bestFit="1" customWidth="1"/>
    <col min="30" max="30" width="81.42578125" customWidth="1"/>
    <col min="31" max="31" width="40.7109375" customWidth="1"/>
  </cols>
  <sheetData>
    <row r="1" spans="1:31" ht="48">
      <c r="A1" s="379" t="s">
        <v>254</v>
      </c>
      <c r="B1" s="404" t="s">
        <v>4</v>
      </c>
      <c r="C1" s="404" t="s">
        <v>2</v>
      </c>
      <c r="D1" s="404" t="s">
        <v>3</v>
      </c>
      <c r="E1" s="527" t="s">
        <v>255</v>
      </c>
      <c r="F1" s="527" t="s">
        <v>256</v>
      </c>
      <c r="G1" s="383" t="s">
        <v>257</v>
      </c>
      <c r="H1" s="383" t="s">
        <v>258</v>
      </c>
      <c r="I1" s="383" t="s">
        <v>259</v>
      </c>
      <c r="J1" s="518" t="s">
        <v>260</v>
      </c>
      <c r="K1" s="384" t="s">
        <v>261</v>
      </c>
      <c r="L1" s="384" t="s">
        <v>262</v>
      </c>
      <c r="M1" s="525" t="s">
        <v>263</v>
      </c>
      <c r="N1" s="384" t="s">
        <v>264</v>
      </c>
      <c r="O1" s="385" t="s">
        <v>265</v>
      </c>
      <c r="P1" s="385" t="s">
        <v>266</v>
      </c>
      <c r="Q1" s="385" t="s">
        <v>267</v>
      </c>
      <c r="R1" s="525" t="s">
        <v>268</v>
      </c>
      <c r="S1" s="525" t="s">
        <v>269</v>
      </c>
      <c r="T1" s="385" t="s">
        <v>270</v>
      </c>
      <c r="U1" s="385" t="s">
        <v>271</v>
      </c>
      <c r="V1" s="385" t="s">
        <v>272</v>
      </c>
      <c r="W1" s="385" t="s">
        <v>273</v>
      </c>
      <c r="X1" s="385" t="s">
        <v>274</v>
      </c>
      <c r="Y1" s="385" t="s">
        <v>275</v>
      </c>
      <c r="Z1" s="385" t="s">
        <v>276</v>
      </c>
      <c r="AA1" s="385" t="s">
        <v>277</v>
      </c>
      <c r="AB1" s="385" t="s">
        <v>278</v>
      </c>
      <c r="AC1" s="526" t="s">
        <v>279</v>
      </c>
      <c r="AD1" s="240" t="s">
        <v>280</v>
      </c>
      <c r="AE1" s="385" t="s">
        <v>281</v>
      </c>
    </row>
    <row r="2" spans="1:31" ht="88.5" customHeight="1">
      <c r="A2" s="369">
        <v>1</v>
      </c>
      <c r="B2" s="369" t="s">
        <v>5</v>
      </c>
      <c r="C2" s="372">
        <v>46135</v>
      </c>
      <c r="D2" s="430">
        <v>46149</v>
      </c>
      <c r="E2" s="316" t="s">
        <v>222</v>
      </c>
      <c r="F2" s="316" t="s">
        <v>298</v>
      </c>
      <c r="G2" s="431" t="s">
        <v>332</v>
      </c>
      <c r="H2" s="524" t="s">
        <v>333</v>
      </c>
      <c r="I2" s="506" t="s">
        <v>289</v>
      </c>
      <c r="J2" s="228">
        <v>2</v>
      </c>
      <c r="K2" s="506">
        <v>2</v>
      </c>
      <c r="L2" s="362"/>
      <c r="M2" s="551">
        <v>46136</v>
      </c>
      <c r="N2" s="551">
        <v>46136</v>
      </c>
      <c r="O2" s="203" t="s">
        <v>290</v>
      </c>
      <c r="P2" s="550" t="s">
        <v>234</v>
      </c>
      <c r="Q2" s="370" t="s">
        <v>291</v>
      </c>
      <c r="R2" s="374" t="s">
        <v>292</v>
      </c>
      <c r="S2" s="327" t="s">
        <v>291</v>
      </c>
      <c r="T2" s="271" t="s">
        <v>334</v>
      </c>
      <c r="U2" s="373">
        <v>46139</v>
      </c>
      <c r="V2" s="360">
        <v>46140</v>
      </c>
      <c r="W2" s="369" t="s">
        <v>294</v>
      </c>
      <c r="X2" s="370" t="s">
        <v>291</v>
      </c>
      <c r="Y2" s="327" t="s">
        <v>295</v>
      </c>
      <c r="Z2" s="373">
        <v>46140</v>
      </c>
      <c r="AA2" s="370" t="s">
        <v>291</v>
      </c>
      <c r="AB2" s="327" t="s">
        <v>291</v>
      </c>
      <c r="AC2" s="374" t="s">
        <v>291</v>
      </c>
      <c r="AD2" s="378" t="s">
        <v>335</v>
      </c>
      <c r="AE2" s="183" t="s">
        <v>336</v>
      </c>
    </row>
    <row r="3" spans="1:31" ht="84">
      <c r="A3" s="369">
        <v>2</v>
      </c>
      <c r="B3" s="369" t="s">
        <v>5</v>
      </c>
      <c r="C3" s="372">
        <v>46135</v>
      </c>
      <c r="D3" s="372">
        <v>46149</v>
      </c>
      <c r="E3" s="229" t="s">
        <v>222</v>
      </c>
      <c r="F3" s="229" t="s">
        <v>292</v>
      </c>
      <c r="G3" s="229" t="s">
        <v>337</v>
      </c>
      <c r="H3" s="329" t="s">
        <v>338</v>
      </c>
      <c r="I3" s="327" t="s">
        <v>289</v>
      </c>
      <c r="J3" s="327">
        <v>2</v>
      </c>
      <c r="K3" s="327">
        <v>2</v>
      </c>
      <c r="L3" s="327"/>
      <c r="M3" s="373">
        <v>46139</v>
      </c>
      <c r="N3" s="373">
        <v>46148</v>
      </c>
      <c r="O3" s="229" t="s">
        <v>290</v>
      </c>
      <c r="P3" s="329" t="s">
        <v>234</v>
      </c>
      <c r="Q3" s="327" t="s">
        <v>291</v>
      </c>
      <c r="R3" s="374" t="s">
        <v>298</v>
      </c>
      <c r="S3" s="228" t="s">
        <v>291</v>
      </c>
      <c r="T3" s="200" t="s">
        <v>339</v>
      </c>
      <c r="U3" s="372">
        <v>46148</v>
      </c>
      <c r="V3" s="373">
        <v>46149</v>
      </c>
      <c r="W3" s="327" t="s">
        <v>291</v>
      </c>
      <c r="X3" s="370" t="s">
        <v>291</v>
      </c>
      <c r="Y3" s="327" t="s">
        <v>295</v>
      </c>
      <c r="Z3" s="373">
        <v>46149</v>
      </c>
      <c r="AA3" s="370" t="s">
        <v>291</v>
      </c>
      <c r="AB3" s="327" t="s">
        <v>291</v>
      </c>
      <c r="AC3" s="327" t="s">
        <v>291</v>
      </c>
      <c r="AD3" s="388" t="s">
        <v>340</v>
      </c>
      <c r="AE3" s="352" t="s">
        <v>341</v>
      </c>
    </row>
    <row r="4" spans="1:31" ht="48">
      <c r="A4" s="369">
        <v>3</v>
      </c>
      <c r="B4" s="369" t="s">
        <v>5</v>
      </c>
      <c r="C4" s="372">
        <v>46135</v>
      </c>
      <c r="D4" s="372">
        <v>46149</v>
      </c>
      <c r="E4" s="229" t="s">
        <v>222</v>
      </c>
      <c r="F4" s="229" t="s">
        <v>298</v>
      </c>
      <c r="G4" s="229" t="s">
        <v>342</v>
      </c>
      <c r="H4" s="329" t="s">
        <v>343</v>
      </c>
      <c r="I4" s="327" t="s">
        <v>289</v>
      </c>
      <c r="J4" s="327">
        <v>2</v>
      </c>
      <c r="K4" s="327">
        <v>2</v>
      </c>
      <c r="L4" s="327"/>
      <c r="M4" s="373">
        <v>46139</v>
      </c>
      <c r="N4" s="373">
        <v>46140</v>
      </c>
      <c r="O4" s="229" t="s">
        <v>344</v>
      </c>
      <c r="P4" s="329" t="s">
        <v>234</v>
      </c>
      <c r="Q4" s="327" t="s">
        <v>291</v>
      </c>
      <c r="R4" s="374" t="s">
        <v>292</v>
      </c>
      <c r="S4" s="327" t="s">
        <v>291</v>
      </c>
      <c r="T4" s="271" t="s">
        <v>345</v>
      </c>
      <c r="U4" s="372">
        <v>46142</v>
      </c>
      <c r="V4" s="373">
        <v>46147</v>
      </c>
      <c r="W4" s="327" t="s">
        <v>294</v>
      </c>
      <c r="X4" s="370" t="s">
        <v>291</v>
      </c>
      <c r="Y4" s="327" t="s">
        <v>295</v>
      </c>
      <c r="Z4" s="373">
        <v>46147</v>
      </c>
      <c r="AA4" s="370" t="s">
        <v>291</v>
      </c>
      <c r="AB4" s="327" t="s">
        <v>291</v>
      </c>
      <c r="AC4" s="327" t="s">
        <v>291</v>
      </c>
      <c r="AD4" s="388" t="s">
        <v>346</v>
      </c>
      <c r="AE4" s="352" t="s">
        <v>347</v>
      </c>
    </row>
    <row r="5" spans="1:31" ht="60">
      <c r="A5" s="369">
        <v>4</v>
      </c>
      <c r="B5" s="369" t="s">
        <v>5</v>
      </c>
      <c r="C5" s="372">
        <v>46135</v>
      </c>
      <c r="D5" s="372">
        <v>46149</v>
      </c>
      <c r="E5" s="229" t="s">
        <v>222</v>
      </c>
      <c r="F5" s="229" t="s">
        <v>292</v>
      </c>
      <c r="G5" s="229" t="s">
        <v>348</v>
      </c>
      <c r="H5" s="329" t="s">
        <v>349</v>
      </c>
      <c r="I5" s="327" t="s">
        <v>289</v>
      </c>
      <c r="J5" s="327">
        <v>1</v>
      </c>
      <c r="K5" s="327">
        <v>1</v>
      </c>
      <c r="L5" s="327"/>
      <c r="M5" s="520" t="s">
        <v>350</v>
      </c>
      <c r="N5" s="327"/>
      <c r="O5" s="229" t="s">
        <v>290</v>
      </c>
      <c r="P5" s="329" t="s">
        <v>234</v>
      </c>
      <c r="Q5" s="327" t="s">
        <v>291</v>
      </c>
      <c r="R5" s="374" t="s">
        <v>298</v>
      </c>
      <c r="S5" s="228" t="s">
        <v>291</v>
      </c>
      <c r="T5" s="200" t="s">
        <v>351</v>
      </c>
      <c r="U5" s="372">
        <v>46139</v>
      </c>
      <c r="V5" s="373">
        <v>46140</v>
      </c>
      <c r="W5" s="327" t="s">
        <v>294</v>
      </c>
      <c r="X5" s="370" t="s">
        <v>291</v>
      </c>
      <c r="Y5" s="327" t="s">
        <v>295</v>
      </c>
      <c r="Z5" s="373">
        <v>46140</v>
      </c>
      <c r="AA5" s="370" t="s">
        <v>291</v>
      </c>
      <c r="AB5" s="327" t="s">
        <v>291</v>
      </c>
      <c r="AC5" s="327" t="s">
        <v>291</v>
      </c>
      <c r="AD5" s="388" t="s">
        <v>352</v>
      </c>
      <c r="AE5" s="352" t="s">
        <v>336</v>
      </c>
    </row>
    <row r="6" spans="1:31" ht="60">
      <c r="A6" s="369">
        <v>5</v>
      </c>
      <c r="B6" s="369" t="s">
        <v>5</v>
      </c>
      <c r="C6" s="372">
        <v>46135</v>
      </c>
      <c r="D6" s="372">
        <v>46149</v>
      </c>
      <c r="E6" s="229" t="s">
        <v>222</v>
      </c>
      <c r="F6" s="229" t="s">
        <v>353</v>
      </c>
      <c r="G6" s="229" t="s">
        <v>306</v>
      </c>
      <c r="H6" s="329" t="s">
        <v>307</v>
      </c>
      <c r="I6" s="327" t="s">
        <v>301</v>
      </c>
      <c r="J6" s="327">
        <v>3</v>
      </c>
      <c r="K6" s="327"/>
      <c r="L6" s="327"/>
      <c r="M6" s="373"/>
      <c r="N6" s="373"/>
      <c r="O6" s="229"/>
      <c r="P6" s="329"/>
      <c r="Q6" s="327"/>
      <c r="R6" s="374"/>
      <c r="S6" s="228"/>
      <c r="T6" s="200"/>
      <c r="U6" s="372"/>
      <c r="V6" s="373"/>
      <c r="W6" s="327"/>
      <c r="X6" s="370"/>
      <c r="Y6" s="327"/>
      <c r="Z6" s="373"/>
      <c r="AA6" s="370"/>
      <c r="AB6" s="327"/>
      <c r="AC6" s="327"/>
      <c r="AD6" s="388" t="s">
        <v>354</v>
      </c>
      <c r="AE6" s="352"/>
    </row>
    <row r="7" spans="1:31" ht="48">
      <c r="A7" s="369">
        <v>6</v>
      </c>
      <c r="B7" s="369" t="s">
        <v>5</v>
      </c>
      <c r="C7" s="372">
        <v>46135</v>
      </c>
      <c r="D7" s="372">
        <v>46149</v>
      </c>
      <c r="E7" s="229" t="s">
        <v>222</v>
      </c>
      <c r="F7" s="229" t="s">
        <v>286</v>
      </c>
      <c r="G7" s="229" t="s">
        <v>355</v>
      </c>
      <c r="H7" s="329" t="s">
        <v>356</v>
      </c>
      <c r="I7" s="327" t="s">
        <v>289</v>
      </c>
      <c r="J7" s="327"/>
      <c r="K7" s="327"/>
      <c r="L7" s="327"/>
      <c r="M7" s="373">
        <v>46141</v>
      </c>
      <c r="N7" s="373">
        <v>46141</v>
      </c>
      <c r="O7" s="229" t="s">
        <v>290</v>
      </c>
      <c r="P7" s="329" t="s">
        <v>292</v>
      </c>
      <c r="Q7" s="327" t="s">
        <v>291</v>
      </c>
      <c r="R7" s="374" t="s">
        <v>292</v>
      </c>
      <c r="S7" s="228" t="s">
        <v>291</v>
      </c>
      <c r="T7" s="200" t="s">
        <v>357</v>
      </c>
      <c r="U7" s="372">
        <v>46142</v>
      </c>
      <c r="V7" s="373">
        <v>46142</v>
      </c>
      <c r="W7" s="327" t="s">
        <v>294</v>
      </c>
      <c r="X7" s="370" t="s">
        <v>358</v>
      </c>
      <c r="Y7" s="327" t="s">
        <v>295</v>
      </c>
      <c r="Z7" s="373">
        <v>46142</v>
      </c>
      <c r="AA7" s="370" t="s">
        <v>291</v>
      </c>
      <c r="AB7" s="327" t="s">
        <v>291</v>
      </c>
      <c r="AC7" s="327" t="s">
        <v>291</v>
      </c>
      <c r="AD7" s="388" t="s">
        <v>359</v>
      </c>
      <c r="AE7" s="228" t="s">
        <v>360</v>
      </c>
    </row>
    <row r="8" spans="1:31" ht="48">
      <c r="A8" s="369">
        <v>7</v>
      </c>
      <c r="B8" s="369" t="s">
        <v>5</v>
      </c>
      <c r="C8" s="372">
        <v>46135</v>
      </c>
      <c r="D8" s="372">
        <v>46149</v>
      </c>
      <c r="E8" s="229" t="s">
        <v>361</v>
      </c>
      <c r="F8" s="229" t="s">
        <v>298</v>
      </c>
      <c r="G8" s="229" t="s">
        <v>362</v>
      </c>
      <c r="H8" s="549" t="s">
        <v>363</v>
      </c>
      <c r="I8" s="327" t="s">
        <v>289</v>
      </c>
      <c r="J8" s="327">
        <v>3</v>
      </c>
      <c r="K8" s="327">
        <v>3</v>
      </c>
      <c r="L8" s="327"/>
      <c r="M8" s="373">
        <v>46142</v>
      </c>
      <c r="N8" s="373">
        <v>46142</v>
      </c>
      <c r="O8" s="229" t="s">
        <v>290</v>
      </c>
      <c r="P8" s="329" t="s">
        <v>234</v>
      </c>
      <c r="Q8" s="327" t="s">
        <v>291</v>
      </c>
      <c r="R8" s="374" t="s">
        <v>292</v>
      </c>
      <c r="S8" s="228" t="s">
        <v>291</v>
      </c>
      <c r="T8" s="200" t="s">
        <v>364</v>
      </c>
      <c r="U8" s="372">
        <v>46146</v>
      </c>
      <c r="V8" s="373">
        <v>46147</v>
      </c>
      <c r="W8" s="327" t="s">
        <v>294</v>
      </c>
      <c r="X8" s="370" t="s">
        <v>291</v>
      </c>
      <c r="Y8" s="327" t="s">
        <v>295</v>
      </c>
      <c r="Z8" s="373">
        <v>46147</v>
      </c>
      <c r="AA8" s="370" t="s">
        <v>291</v>
      </c>
      <c r="AB8" s="327" t="s">
        <v>291</v>
      </c>
      <c r="AC8" s="327" t="s">
        <v>291</v>
      </c>
      <c r="AD8" s="388" t="s">
        <v>365</v>
      </c>
      <c r="AE8" s="352" t="s">
        <v>366</v>
      </c>
    </row>
    <row r="9" spans="1:31" ht="48">
      <c r="A9" s="369">
        <v>8</v>
      </c>
      <c r="B9" s="369" t="s">
        <v>5</v>
      </c>
      <c r="C9" s="372">
        <v>46135</v>
      </c>
      <c r="D9" s="372">
        <v>46149</v>
      </c>
      <c r="E9" s="229" t="s">
        <v>361</v>
      </c>
      <c r="F9" s="229" t="s">
        <v>298</v>
      </c>
      <c r="G9" s="229" t="s">
        <v>367</v>
      </c>
      <c r="H9" s="329" t="s">
        <v>368</v>
      </c>
      <c r="I9" s="327" t="s">
        <v>289</v>
      </c>
      <c r="J9" s="327">
        <v>1</v>
      </c>
      <c r="K9" s="327">
        <v>1</v>
      </c>
      <c r="L9" s="327"/>
      <c r="M9" s="373">
        <v>46142</v>
      </c>
      <c r="N9" s="373">
        <v>46142</v>
      </c>
      <c r="O9" s="229" t="s">
        <v>290</v>
      </c>
      <c r="P9" s="329" t="s">
        <v>298</v>
      </c>
      <c r="Q9" s="327" t="s">
        <v>291</v>
      </c>
      <c r="R9" s="374" t="s">
        <v>292</v>
      </c>
      <c r="S9" s="228" t="s">
        <v>291</v>
      </c>
      <c r="T9" s="200" t="s">
        <v>369</v>
      </c>
      <c r="U9" s="372">
        <v>46142</v>
      </c>
      <c r="V9" s="373">
        <v>46143</v>
      </c>
      <c r="W9" s="327" t="s">
        <v>294</v>
      </c>
      <c r="X9" s="370" t="s">
        <v>291</v>
      </c>
      <c r="Y9" s="327" t="s">
        <v>295</v>
      </c>
      <c r="Z9" s="373">
        <v>46143</v>
      </c>
      <c r="AA9" s="370" t="s">
        <v>291</v>
      </c>
      <c r="AB9" s="327" t="s">
        <v>291</v>
      </c>
      <c r="AC9" s="327" t="s">
        <v>291</v>
      </c>
      <c r="AD9" s="249" t="s">
        <v>370</v>
      </c>
      <c r="AE9" s="228" t="s">
        <v>360</v>
      </c>
    </row>
    <row r="10" spans="1:31" ht="68.25" customHeight="1">
      <c r="A10" s="369">
        <v>9</v>
      </c>
      <c r="B10" s="369" t="s">
        <v>5</v>
      </c>
      <c r="C10" s="372">
        <v>46135</v>
      </c>
      <c r="D10" s="372">
        <v>46149</v>
      </c>
      <c r="E10" s="229" t="s">
        <v>361</v>
      </c>
      <c r="F10" s="229" t="s">
        <v>298</v>
      </c>
      <c r="G10" s="229" t="s">
        <v>371</v>
      </c>
      <c r="H10" s="329" t="s">
        <v>372</v>
      </c>
      <c r="I10" s="327" t="s">
        <v>289</v>
      </c>
      <c r="J10" s="327">
        <v>1</v>
      </c>
      <c r="K10" s="327">
        <v>1</v>
      </c>
      <c r="L10" s="327"/>
      <c r="M10" s="370" t="s">
        <v>373</v>
      </c>
      <c r="N10" s="327"/>
      <c r="O10" s="229"/>
      <c r="P10" s="329"/>
      <c r="Q10" s="327"/>
      <c r="R10" s="327"/>
      <c r="T10" s="432"/>
      <c r="U10" s="373"/>
      <c r="V10" s="373"/>
      <c r="W10" s="327"/>
      <c r="X10" s="370"/>
      <c r="Y10" s="327"/>
      <c r="Z10" s="373"/>
      <c r="AA10" s="370"/>
      <c r="AB10" s="327"/>
      <c r="AC10" s="327"/>
      <c r="AD10" s="333" t="s">
        <v>374</v>
      </c>
      <c r="AE10" s="327" t="s">
        <v>375</v>
      </c>
    </row>
    <row r="11" spans="1:31" ht="63.75" customHeight="1">
      <c r="A11" s="369">
        <v>10</v>
      </c>
      <c r="B11" s="369" t="s">
        <v>5</v>
      </c>
      <c r="C11" s="372">
        <v>46135</v>
      </c>
      <c r="D11" s="372">
        <v>46149</v>
      </c>
      <c r="E11" s="229" t="s">
        <v>222</v>
      </c>
      <c r="F11" s="229" t="s">
        <v>294</v>
      </c>
      <c r="G11" s="229" t="s">
        <v>376</v>
      </c>
      <c r="H11" s="329" t="s">
        <v>377</v>
      </c>
      <c r="I11" s="327" t="s">
        <v>289</v>
      </c>
      <c r="J11" s="327">
        <v>2</v>
      </c>
      <c r="K11" s="327">
        <v>2</v>
      </c>
      <c r="L11" s="327"/>
      <c r="M11" s="370" t="s">
        <v>373</v>
      </c>
      <c r="N11" s="327"/>
      <c r="O11" s="229"/>
      <c r="P11" s="329"/>
      <c r="Q11" s="327"/>
      <c r="R11" s="327"/>
      <c r="T11" s="432"/>
      <c r="U11" s="373"/>
      <c r="V11" s="373"/>
      <c r="W11" s="327"/>
      <c r="X11" s="370"/>
      <c r="Y11" s="327"/>
      <c r="Z11" s="373"/>
      <c r="AA11" s="370"/>
      <c r="AB11" s="327"/>
      <c r="AC11" s="327"/>
      <c r="AD11" s="333" t="s">
        <v>378</v>
      </c>
      <c r="AE11" s="327"/>
    </row>
  </sheetData>
  <hyperlinks>
    <hyperlink ref="T2" r:id="rId1" xr:uid="{A57EA323-12F1-48F0-AE2F-858D662510AD}"/>
    <hyperlink ref="T5" r:id="rId2" xr:uid="{606D9FBA-52D4-459E-B96A-9E98C139F01B}"/>
    <hyperlink ref="T7" r:id="rId3" xr:uid="{262238B2-BEB6-45CC-BFF9-3AB8EE64B2D7}"/>
    <hyperlink ref="T4" r:id="rId4" xr:uid="{DB564D36-EA43-4D74-A54F-FE5C5E62BE50}"/>
    <hyperlink ref="T9" r:id="rId5" xr:uid="{F74FF8EA-3015-43ED-871C-109DF5E7D7C6}"/>
    <hyperlink ref="T8" r:id="rId6" xr:uid="{45D4FE2C-D513-46EE-9716-FB33D79F3255}"/>
    <hyperlink ref="T3" r:id="rId7" xr:uid="{35703933-833C-415C-AF9B-96A389C81ABF}"/>
  </hyperlinks>
  <pageMargins left="0.7" right="0.7" top="0.75" bottom="0.75" header="0.3" footer="0.3"/>
  <tableParts count="1">
    <tablePart r:id="rId8"/>
  </tableParts>
  <extLst>
    <ext xmlns:x14="http://schemas.microsoft.com/office/spreadsheetml/2009/9/main" uri="{CCE6A557-97BC-4b89-ADB6-D9C93CAAB3DF}">
      <x14:dataValidations xmlns:xm="http://schemas.microsoft.com/office/excel/2006/main" count="1">
        <x14:dataValidation type="list" allowBlank="1" showErrorMessage="1" xr:uid="{82460840-3090-43BC-B408-8ABB163A5C97}">
          <x14:formula1>
            <xm:f>Settings!$C$3:$C$20</xm:f>
          </x14:formula1>
          <xm:sqref>I2:I11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54E34-9C7A-4CBC-95E6-DF22D01CCB76}">
  <sheetPr>
    <outlinePr summaryBelow="0" summaryRight="0"/>
  </sheetPr>
  <dimension ref="A1:AB973"/>
  <sheetViews>
    <sheetView topLeftCell="B1" workbookViewId="0">
      <selection activeCell="F6" sqref="F6"/>
    </sheetView>
  </sheetViews>
  <sheetFormatPr defaultColWidth="12.5703125" defaultRowHeight="15" customHeight="1"/>
  <cols>
    <col min="1" max="1" width="12.5703125" hidden="1" customWidth="1"/>
    <col min="2" max="2" width="29" customWidth="1"/>
    <col min="3" max="3" width="23.5703125" customWidth="1"/>
    <col min="4" max="4" width="14.42578125" customWidth="1"/>
    <col min="5" max="5" width="19.140625" customWidth="1"/>
    <col min="6" max="6" width="37.5703125" customWidth="1"/>
    <col min="7" max="7" width="50.5703125" customWidth="1"/>
    <col min="8" max="9" width="18.7109375" customWidth="1"/>
    <col min="10" max="10" width="9.140625" bestFit="1" customWidth="1"/>
    <col min="11" max="11" width="19" customWidth="1"/>
    <col min="12" max="12" width="18" customWidth="1"/>
    <col min="13" max="13" width="41" customWidth="1"/>
    <col min="14" max="14" width="14.140625" style="122" customWidth="1"/>
    <col min="15" max="15" width="63.28515625" customWidth="1"/>
  </cols>
  <sheetData>
    <row r="1" spans="1:28" ht="13.5">
      <c r="A1" s="536" t="s">
        <v>254</v>
      </c>
      <c r="B1" s="59" t="s">
        <v>321</v>
      </c>
      <c r="C1" s="243" t="s">
        <v>322</v>
      </c>
      <c r="D1" s="243" t="s">
        <v>323</v>
      </c>
      <c r="E1" s="59" t="s">
        <v>256</v>
      </c>
      <c r="F1" s="243" t="s">
        <v>324</v>
      </c>
      <c r="G1" s="243" t="s">
        <v>325</v>
      </c>
      <c r="H1" s="59" t="s">
        <v>326</v>
      </c>
      <c r="I1" s="59" t="s">
        <v>327</v>
      </c>
      <c r="J1" s="59" t="s">
        <v>328</v>
      </c>
      <c r="K1" s="59" t="s">
        <v>259</v>
      </c>
      <c r="L1" s="523" t="s">
        <v>329</v>
      </c>
      <c r="M1" s="157" t="s">
        <v>280</v>
      </c>
      <c r="N1" s="487" t="s">
        <v>330</v>
      </c>
      <c r="O1" s="487" t="s">
        <v>331</v>
      </c>
      <c r="P1" s="35"/>
      <c r="Q1" s="35"/>
      <c r="R1" s="35"/>
      <c r="S1" s="35"/>
      <c r="T1" s="35"/>
      <c r="U1" s="35"/>
      <c r="V1" s="35"/>
      <c r="W1" s="35"/>
      <c r="X1" s="35"/>
      <c r="Y1" s="35"/>
      <c r="Z1" s="35"/>
      <c r="AA1" s="35"/>
      <c r="AB1" s="35"/>
    </row>
    <row r="2" spans="1:28" ht="57" customHeight="1">
      <c r="B2" s="496" t="s">
        <v>222</v>
      </c>
      <c r="C2" s="229" t="s">
        <v>379</v>
      </c>
      <c r="D2" s="273" t="s">
        <v>348</v>
      </c>
      <c r="E2" s="327" t="s">
        <v>298</v>
      </c>
      <c r="F2" s="221" t="s">
        <v>380</v>
      </c>
      <c r="G2" s="138" t="s">
        <v>356</v>
      </c>
      <c r="H2" s="126" t="s">
        <v>381</v>
      </c>
      <c r="I2" s="126" t="s">
        <v>382</v>
      </c>
      <c r="J2" s="553" t="s">
        <v>383</v>
      </c>
      <c r="K2" s="126" t="s">
        <v>384</v>
      </c>
      <c r="L2" s="126" t="s">
        <v>385</v>
      </c>
      <c r="M2" s="333" t="s">
        <v>386</v>
      </c>
      <c r="N2" s="531" t="s">
        <v>387</v>
      </c>
      <c r="O2" s="333" t="s">
        <v>388</v>
      </c>
    </row>
    <row r="3" spans="1:28" ht="47.25" customHeight="1">
      <c r="B3" s="58" t="s">
        <v>222</v>
      </c>
      <c r="C3" s="58" t="s">
        <v>362</v>
      </c>
      <c r="D3" s="58" t="s">
        <v>389</v>
      </c>
      <c r="E3" s="228" t="s">
        <v>298</v>
      </c>
      <c r="F3" s="228" t="s">
        <v>380</v>
      </c>
      <c r="G3" s="352" t="s">
        <v>363</v>
      </c>
      <c r="H3" s="203" t="s">
        <v>381</v>
      </c>
      <c r="I3" s="41" t="s">
        <v>382</v>
      </c>
      <c r="J3" s="41" t="s">
        <v>383</v>
      </c>
      <c r="K3" s="41" t="s">
        <v>384</v>
      </c>
      <c r="L3" s="41" t="s">
        <v>390</v>
      </c>
      <c r="M3" s="216" t="s">
        <v>391</v>
      </c>
      <c r="N3" s="91" t="s">
        <v>234</v>
      </c>
      <c r="O3" s="549" t="s">
        <v>391</v>
      </c>
    </row>
    <row r="4" spans="1:28" ht="15.75" customHeight="1">
      <c r="I4" s="244"/>
      <c r="M4" s="144"/>
    </row>
    <row r="5" spans="1:28" ht="15.75" customHeight="1"/>
    <row r="6" spans="1:28" ht="15.75" customHeight="1"/>
    <row r="7" spans="1:28" ht="15.75" customHeight="1"/>
    <row r="8" spans="1:28" ht="15.75" customHeight="1"/>
    <row r="9" spans="1:28" ht="15.75" customHeight="1"/>
    <row r="10" spans="1:28" ht="15.75" customHeight="1"/>
    <row r="11" spans="1:28" ht="15.75" customHeight="1"/>
    <row r="12" spans="1:28" ht="15.75" customHeight="1"/>
    <row r="13" spans="1:28" ht="15.75" customHeight="1"/>
    <row r="14" spans="1:28" ht="15.75" customHeight="1"/>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sheetData>
  <autoFilter ref="A1:M1" xr:uid="{3A2BB050-11AC-4ED7-A296-96B42C7FCFBA}"/>
  <dataValidations count="5">
    <dataValidation type="list" allowBlank="1" showErrorMessage="1" sqref="H2" xr:uid="{B8F848F6-D6E0-4829-9C67-4F25918F6CA4}">
      <formula1>"Minor,Significant,Major"</formula1>
    </dataValidation>
    <dataValidation type="list" allowBlank="1" showErrorMessage="1" sqref="F2" xr:uid="{913A9462-9DB1-4A4E-AE5A-1BCE827D7DC0}">
      <formula1>"Bounceback,Defect,None"</formula1>
    </dataValidation>
    <dataValidation type="list" allowBlank="1" showErrorMessage="1" sqref="I2:I4" xr:uid="{2A8E3241-CB32-42D8-8417-57B763B9AE59}">
      <formula1>"Manual, Automation"</formula1>
    </dataValidation>
    <dataValidation type="list" allowBlank="1" showErrorMessage="1" sqref="J2:J3" xr:uid="{7C53CFEA-9953-4FDB-9FEB-295A50F0CEE3}">
      <formula1>"Internal,External"</formula1>
    </dataValidation>
    <dataValidation type="list" allowBlank="1" showErrorMessage="1" sqref="K2:K3" xr:uid="{C229F5B5-45D2-42B1-AA81-0C46D51FE852}">
      <formula1>"Open,Inprogress,Closed"</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5B7AD7A7-5B78-4C3D-ACFA-98CDA7A25737}">
          <x14:formula1>
            <xm:f>Details!$A$2:$A$10</xm:f>
          </x14:formula1>
          <xm:sqref>L2:L3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384D5-3650-42B2-9C0D-0C083CD534E3}">
  <dimension ref="A1:AE8"/>
  <sheetViews>
    <sheetView workbookViewId="0">
      <pane xSplit="7" ySplit="1" topLeftCell="H6" activePane="bottomRight" state="frozen"/>
      <selection pane="bottomRight" activeCell="AD5" sqref="AD5"/>
      <selection pane="bottomLeft"/>
      <selection pane="topRight"/>
    </sheetView>
  </sheetViews>
  <sheetFormatPr defaultRowHeight="12.75"/>
  <cols>
    <col min="2" max="2" width="13.28515625" customWidth="1"/>
    <col min="3" max="3" width="10.85546875" customWidth="1"/>
    <col min="4" max="4" width="12.140625" customWidth="1"/>
    <col min="5" max="5" width="32.28515625" customWidth="1"/>
    <col min="6" max="6" width="24.28515625" customWidth="1"/>
    <col min="7" max="7" width="18.85546875" customWidth="1"/>
    <col min="8" max="8" width="50.28515625" style="137" customWidth="1"/>
    <col min="9" max="9" width="16.85546875" customWidth="1"/>
    <col min="10" max="10" width="11.42578125" style="122" bestFit="1" customWidth="1"/>
    <col min="11" max="11" width="11.42578125" bestFit="1" customWidth="1"/>
    <col min="12" max="12" width="11.42578125" customWidth="1"/>
    <col min="13" max="13" width="14.42578125" customWidth="1"/>
    <col min="14" max="14" width="14" customWidth="1"/>
    <col min="15" max="15" width="13.140625" customWidth="1"/>
    <col min="16" max="16" width="13.42578125" style="144" customWidth="1"/>
    <col min="17" max="17" width="29.140625" customWidth="1"/>
    <col min="18" max="18" width="16.42578125" style="181" customWidth="1"/>
    <col min="19" max="19" width="14.85546875" style="181" customWidth="1"/>
    <col min="20" max="20" width="29.42578125" style="144" customWidth="1"/>
    <col min="21" max="22" width="12.7109375" bestFit="1" customWidth="1"/>
    <col min="23" max="23" width="21.28515625" customWidth="1"/>
    <col min="24" max="24" width="32.140625" style="144" customWidth="1"/>
    <col min="25" max="25" width="11.42578125" bestFit="1" customWidth="1"/>
    <col min="26" max="26" width="12.7109375" bestFit="1" customWidth="1"/>
    <col min="27" max="27" width="18.7109375" customWidth="1"/>
    <col min="28" max="29" width="11.42578125" bestFit="1" customWidth="1"/>
    <col min="30" max="30" width="81.42578125" customWidth="1"/>
    <col min="31" max="31" width="40.7109375" customWidth="1"/>
  </cols>
  <sheetData>
    <row r="1" spans="1:31" ht="48">
      <c r="A1" s="379" t="s">
        <v>254</v>
      </c>
      <c r="B1" s="404" t="s">
        <v>4</v>
      </c>
      <c r="C1" s="404" t="s">
        <v>2</v>
      </c>
      <c r="D1" s="404" t="s">
        <v>3</v>
      </c>
      <c r="E1" s="527" t="s">
        <v>255</v>
      </c>
      <c r="F1" s="527" t="s">
        <v>256</v>
      </c>
      <c r="G1" s="383" t="s">
        <v>257</v>
      </c>
      <c r="H1" s="383" t="s">
        <v>258</v>
      </c>
      <c r="I1" s="383" t="s">
        <v>259</v>
      </c>
      <c r="J1" s="518" t="s">
        <v>260</v>
      </c>
      <c r="K1" s="384" t="s">
        <v>261</v>
      </c>
      <c r="L1" s="384" t="s">
        <v>262</v>
      </c>
      <c r="M1" s="525" t="s">
        <v>263</v>
      </c>
      <c r="N1" s="384" t="s">
        <v>264</v>
      </c>
      <c r="O1" s="385" t="s">
        <v>265</v>
      </c>
      <c r="P1" s="385" t="s">
        <v>266</v>
      </c>
      <c r="Q1" s="385" t="s">
        <v>267</v>
      </c>
      <c r="R1" s="525" t="s">
        <v>268</v>
      </c>
      <c r="S1" s="525" t="s">
        <v>269</v>
      </c>
      <c r="T1" s="385" t="s">
        <v>270</v>
      </c>
      <c r="U1" s="385" t="s">
        <v>271</v>
      </c>
      <c r="V1" s="385" t="s">
        <v>272</v>
      </c>
      <c r="W1" s="385" t="s">
        <v>273</v>
      </c>
      <c r="X1" s="385" t="s">
        <v>274</v>
      </c>
      <c r="Y1" s="385" t="s">
        <v>275</v>
      </c>
      <c r="Z1" s="385" t="s">
        <v>276</v>
      </c>
      <c r="AA1" s="385" t="s">
        <v>277</v>
      </c>
      <c r="AB1" s="385" t="s">
        <v>278</v>
      </c>
      <c r="AC1" s="526" t="s">
        <v>279</v>
      </c>
      <c r="AD1" s="240" t="s">
        <v>280</v>
      </c>
      <c r="AE1" s="385" t="s">
        <v>281</v>
      </c>
    </row>
    <row r="2" spans="1:31" ht="88.5" customHeight="1">
      <c r="A2" s="369">
        <v>1</v>
      </c>
      <c r="B2" s="369" t="s">
        <v>5</v>
      </c>
      <c r="C2" s="372">
        <v>46121</v>
      </c>
      <c r="D2" s="430">
        <v>46135</v>
      </c>
      <c r="E2" s="316" t="s">
        <v>217</v>
      </c>
      <c r="F2" s="316" t="s">
        <v>392</v>
      </c>
      <c r="G2" s="431" t="s">
        <v>306</v>
      </c>
      <c r="H2" s="524" t="s">
        <v>307</v>
      </c>
      <c r="I2" s="506" t="s">
        <v>301</v>
      </c>
      <c r="J2" s="228">
        <v>3</v>
      </c>
      <c r="K2" s="506"/>
      <c r="L2" s="362"/>
      <c r="M2" s="551"/>
      <c r="N2" s="551"/>
      <c r="O2" s="203"/>
      <c r="P2" s="550"/>
      <c r="Q2" s="370"/>
      <c r="R2" s="374"/>
      <c r="S2" s="327"/>
      <c r="T2" s="271"/>
      <c r="U2" s="373"/>
      <c r="V2" s="360"/>
      <c r="W2" s="369"/>
      <c r="X2" s="370"/>
      <c r="Y2" s="327"/>
      <c r="Z2" s="373"/>
      <c r="AA2" s="370"/>
      <c r="AB2" s="327"/>
      <c r="AC2" s="374"/>
      <c r="AD2" s="378" t="s">
        <v>393</v>
      </c>
      <c r="AE2" s="483"/>
    </row>
    <row r="3" spans="1:31" ht="48">
      <c r="A3" s="369">
        <v>2</v>
      </c>
      <c r="B3" s="369" t="s">
        <v>5</v>
      </c>
      <c r="C3" s="372">
        <v>46121</v>
      </c>
      <c r="D3" s="372">
        <v>46135</v>
      </c>
      <c r="E3" s="229" t="s">
        <v>217</v>
      </c>
      <c r="F3" s="229" t="s">
        <v>298</v>
      </c>
      <c r="G3" s="229" t="s">
        <v>394</v>
      </c>
      <c r="H3" s="329" t="s">
        <v>395</v>
      </c>
      <c r="I3" s="327" t="s">
        <v>289</v>
      </c>
      <c r="J3" s="327">
        <v>2</v>
      </c>
      <c r="K3" s="327">
        <v>2</v>
      </c>
      <c r="L3" s="327"/>
      <c r="M3" s="373">
        <v>46122</v>
      </c>
      <c r="N3" s="373">
        <v>46122</v>
      </c>
      <c r="O3" s="229" t="s">
        <v>290</v>
      </c>
      <c r="P3" s="329" t="s">
        <v>234</v>
      </c>
      <c r="Q3" s="327" t="s">
        <v>291</v>
      </c>
      <c r="R3" s="327" t="s">
        <v>292</v>
      </c>
      <c r="S3" s="181" t="s">
        <v>291</v>
      </c>
      <c r="T3" s="432" t="s">
        <v>396</v>
      </c>
      <c r="U3" s="373">
        <v>46122</v>
      </c>
      <c r="V3" s="373">
        <v>46123</v>
      </c>
      <c r="W3" s="327" t="s">
        <v>294</v>
      </c>
      <c r="X3" s="370" t="s">
        <v>291</v>
      </c>
      <c r="Y3" s="327" t="s">
        <v>295</v>
      </c>
      <c r="Z3" s="373">
        <v>46123</v>
      </c>
      <c r="AA3" s="370" t="s">
        <v>291</v>
      </c>
      <c r="AB3" s="327" t="s">
        <v>291</v>
      </c>
      <c r="AC3" s="327" t="s">
        <v>291</v>
      </c>
      <c r="AD3" s="218" t="s">
        <v>397</v>
      </c>
      <c r="AE3" s="466" t="s">
        <v>398</v>
      </c>
    </row>
    <row r="4" spans="1:31" ht="48">
      <c r="A4" s="369">
        <v>3</v>
      </c>
      <c r="B4" s="369" t="s">
        <v>5</v>
      </c>
      <c r="C4" s="372">
        <v>46121</v>
      </c>
      <c r="D4" s="372">
        <v>46135</v>
      </c>
      <c r="E4" s="229" t="s">
        <v>217</v>
      </c>
      <c r="F4" s="229" t="s">
        <v>298</v>
      </c>
      <c r="G4" s="229" t="s">
        <v>399</v>
      </c>
      <c r="H4" s="329" t="s">
        <v>400</v>
      </c>
      <c r="I4" s="327" t="s">
        <v>289</v>
      </c>
      <c r="J4" s="327">
        <v>3</v>
      </c>
      <c r="K4" s="327">
        <v>3</v>
      </c>
      <c r="L4" s="327"/>
      <c r="M4" s="373">
        <v>46122</v>
      </c>
      <c r="N4" s="373">
        <v>46122</v>
      </c>
      <c r="O4" s="229" t="s">
        <v>290</v>
      </c>
      <c r="P4" s="329" t="s">
        <v>234</v>
      </c>
      <c r="Q4" s="327" t="s">
        <v>291</v>
      </c>
      <c r="R4" s="327" t="s">
        <v>292</v>
      </c>
      <c r="S4" s="181" t="s">
        <v>291</v>
      </c>
      <c r="T4" s="432" t="s">
        <v>401</v>
      </c>
      <c r="U4" s="373">
        <v>46126</v>
      </c>
      <c r="V4" s="373">
        <v>46127</v>
      </c>
      <c r="W4" s="327" t="s">
        <v>294</v>
      </c>
      <c r="X4" s="370" t="s">
        <v>291</v>
      </c>
      <c r="Y4" s="327" t="s">
        <v>295</v>
      </c>
      <c r="Z4" s="373">
        <v>46127</v>
      </c>
      <c r="AA4" s="370" t="s">
        <v>291</v>
      </c>
      <c r="AB4" s="327" t="s">
        <v>291</v>
      </c>
      <c r="AC4" s="327" t="s">
        <v>291</v>
      </c>
      <c r="AD4" s="333" t="s">
        <v>402</v>
      </c>
      <c r="AE4" s="466" t="s">
        <v>403</v>
      </c>
    </row>
    <row r="5" spans="1:31" ht="60">
      <c r="A5" s="369">
        <v>4</v>
      </c>
      <c r="B5" s="369" t="s">
        <v>5</v>
      </c>
      <c r="C5" s="372">
        <v>46121</v>
      </c>
      <c r="D5" s="372">
        <v>46135</v>
      </c>
      <c r="E5" s="229" t="s">
        <v>217</v>
      </c>
      <c r="F5" s="229" t="s">
        <v>292</v>
      </c>
      <c r="G5" s="229" t="s">
        <v>348</v>
      </c>
      <c r="H5" s="329" t="s">
        <v>349</v>
      </c>
      <c r="I5" s="327" t="s">
        <v>301</v>
      </c>
      <c r="J5" s="327">
        <v>3</v>
      </c>
      <c r="K5" s="327"/>
      <c r="L5" s="327"/>
      <c r="M5" s="373">
        <v>46122</v>
      </c>
      <c r="N5" s="327"/>
      <c r="O5" s="229"/>
      <c r="P5" s="329"/>
      <c r="Q5" s="327"/>
      <c r="R5" s="327"/>
      <c r="T5" s="432"/>
      <c r="U5" s="373"/>
      <c r="V5" s="373"/>
      <c r="W5" s="327"/>
      <c r="X5" s="370"/>
      <c r="Y5" s="327"/>
      <c r="Z5" s="373"/>
      <c r="AA5" s="370"/>
      <c r="AB5" s="327"/>
      <c r="AC5" s="327"/>
      <c r="AD5" s="333" t="s">
        <v>404</v>
      </c>
      <c r="AE5" s="181"/>
    </row>
    <row r="6" spans="1:31" ht="48">
      <c r="A6" s="369">
        <v>5</v>
      </c>
      <c r="B6" s="369" t="s">
        <v>5</v>
      </c>
      <c r="C6" s="372">
        <v>46121</v>
      </c>
      <c r="D6" s="372">
        <v>46135</v>
      </c>
      <c r="E6" s="229" t="s">
        <v>217</v>
      </c>
      <c r="F6" s="229" t="s">
        <v>298</v>
      </c>
      <c r="G6" s="229" t="s">
        <v>405</v>
      </c>
      <c r="H6" s="329" t="s">
        <v>406</v>
      </c>
      <c r="I6" s="327" t="s">
        <v>289</v>
      </c>
      <c r="J6" s="327">
        <v>3</v>
      </c>
      <c r="K6" s="327">
        <v>3</v>
      </c>
      <c r="L6" s="327"/>
      <c r="M6" s="373">
        <v>46126</v>
      </c>
      <c r="N6" s="373">
        <v>46129</v>
      </c>
      <c r="O6" s="229" t="s">
        <v>290</v>
      </c>
      <c r="P6" s="329" t="s">
        <v>234</v>
      </c>
      <c r="Q6" s="327" t="s">
        <v>291</v>
      </c>
      <c r="R6" s="327" t="s">
        <v>292</v>
      </c>
      <c r="S6" s="181" t="s">
        <v>291</v>
      </c>
      <c r="T6" s="432" t="s">
        <v>407</v>
      </c>
      <c r="U6" s="373">
        <v>46129</v>
      </c>
      <c r="V6" s="373">
        <v>46130</v>
      </c>
      <c r="W6" s="327" t="s">
        <v>294</v>
      </c>
      <c r="X6" s="370" t="s">
        <v>291</v>
      </c>
      <c r="Y6" s="327" t="s">
        <v>295</v>
      </c>
      <c r="Z6" s="373">
        <v>46130</v>
      </c>
      <c r="AA6" s="370" t="s">
        <v>291</v>
      </c>
      <c r="AB6" s="327" t="s">
        <v>291</v>
      </c>
      <c r="AC6" s="327" t="s">
        <v>291</v>
      </c>
      <c r="AD6" s="333" t="s">
        <v>408</v>
      </c>
      <c r="AE6" s="466" t="s">
        <v>409</v>
      </c>
    </row>
    <row r="7" spans="1:31" ht="48">
      <c r="A7" s="369">
        <v>6</v>
      </c>
      <c r="B7" s="369" t="s">
        <v>5</v>
      </c>
      <c r="C7" s="372">
        <v>46121</v>
      </c>
      <c r="D7" s="372">
        <v>46135</v>
      </c>
      <c r="E7" s="229" t="s">
        <v>410</v>
      </c>
      <c r="F7" s="229" t="s">
        <v>298</v>
      </c>
      <c r="G7" s="229" t="s">
        <v>411</v>
      </c>
      <c r="H7" s="329" t="s">
        <v>412</v>
      </c>
      <c r="I7" s="327" t="s">
        <v>289</v>
      </c>
      <c r="J7" s="327">
        <v>2</v>
      </c>
      <c r="K7" s="327">
        <v>2</v>
      </c>
      <c r="L7" s="327"/>
      <c r="M7" s="373">
        <v>46133</v>
      </c>
      <c r="N7" s="373">
        <v>46133</v>
      </c>
      <c r="O7" s="229" t="s">
        <v>290</v>
      </c>
      <c r="P7" s="329" t="s">
        <v>234</v>
      </c>
      <c r="Q7" s="327" t="s">
        <v>291</v>
      </c>
      <c r="R7" s="327" t="s">
        <v>292</v>
      </c>
      <c r="S7" s="181" t="s">
        <v>291</v>
      </c>
      <c r="T7" s="432" t="s">
        <v>413</v>
      </c>
      <c r="U7" s="373">
        <v>46133</v>
      </c>
      <c r="V7" s="373">
        <v>46134</v>
      </c>
      <c r="W7" s="327" t="s">
        <v>294</v>
      </c>
      <c r="X7" s="370" t="s">
        <v>291</v>
      </c>
      <c r="Y7" s="327" t="s">
        <v>295</v>
      </c>
      <c r="Z7" s="373">
        <v>46134</v>
      </c>
      <c r="AA7" s="370" t="s">
        <v>291</v>
      </c>
      <c r="AB7" s="327" t="s">
        <v>291</v>
      </c>
      <c r="AC7" s="327" t="s">
        <v>291</v>
      </c>
      <c r="AD7" s="218" t="s">
        <v>414</v>
      </c>
      <c r="AE7" s="181" t="s">
        <v>415</v>
      </c>
    </row>
    <row r="8" spans="1:31" ht="48">
      <c r="A8" s="369">
        <v>7</v>
      </c>
      <c r="B8" s="369" t="s">
        <v>5</v>
      </c>
      <c r="C8" s="372">
        <v>46121</v>
      </c>
      <c r="D8" s="372">
        <v>46135</v>
      </c>
      <c r="E8" s="229" t="s">
        <v>410</v>
      </c>
      <c r="F8" s="229" t="s">
        <v>298</v>
      </c>
      <c r="G8" s="229" t="s">
        <v>416</v>
      </c>
      <c r="H8" s="329" t="s">
        <v>417</v>
      </c>
      <c r="I8" s="327" t="s">
        <v>289</v>
      </c>
      <c r="J8" s="327">
        <v>2</v>
      </c>
      <c r="K8" s="327">
        <v>2</v>
      </c>
      <c r="L8" s="327"/>
      <c r="M8" s="373">
        <v>46134</v>
      </c>
      <c r="N8" s="373">
        <v>46134</v>
      </c>
      <c r="O8" s="229" t="s">
        <v>290</v>
      </c>
      <c r="P8" s="329" t="s">
        <v>234</v>
      </c>
      <c r="Q8" s="327" t="s">
        <v>291</v>
      </c>
      <c r="R8" s="327" t="s">
        <v>292</v>
      </c>
      <c r="S8" s="181" t="s">
        <v>291</v>
      </c>
      <c r="T8" s="432" t="s">
        <v>418</v>
      </c>
      <c r="U8" s="373">
        <v>46134</v>
      </c>
      <c r="V8" s="373">
        <v>46135</v>
      </c>
      <c r="W8" s="327" t="s">
        <v>294</v>
      </c>
      <c r="X8" s="370" t="s">
        <v>291</v>
      </c>
      <c r="Y8" s="327" t="s">
        <v>295</v>
      </c>
      <c r="Z8" s="373">
        <v>46135</v>
      </c>
      <c r="AA8" s="370" t="s">
        <v>291</v>
      </c>
      <c r="AB8" s="327" t="s">
        <v>291</v>
      </c>
      <c r="AC8" s="327" t="s">
        <v>291</v>
      </c>
      <c r="AD8" s="218" t="s">
        <v>419</v>
      </c>
      <c r="AE8" s="181" t="s">
        <v>420</v>
      </c>
    </row>
  </sheetData>
  <hyperlinks>
    <hyperlink ref="T3" r:id="rId1" xr:uid="{4F85D38E-5921-463E-8839-4E1A8E4E9205}"/>
    <hyperlink ref="T4" r:id="rId2" xr:uid="{0F10F4AC-E37D-4E01-BE04-1CCDB6922681}"/>
    <hyperlink ref="T6" r:id="rId3" xr:uid="{FADB1707-DB17-4B8E-B2B3-AB0C3B5E9DE9}"/>
    <hyperlink ref="T7" r:id="rId4" xr:uid="{EDD82435-D19E-4BBD-800E-F95380A1A5B2}"/>
    <hyperlink ref="T8" r:id="rId5" xr:uid="{3AF2C4A9-7988-4FB6-B061-87229752BE50}"/>
  </hyperlinks>
  <pageMargins left="0.7" right="0.7" top="0.75" bottom="0.75" header="0.3" footer="0.3"/>
  <tableParts count="1">
    <tablePart r:id="rId6"/>
  </tableParts>
  <extLst>
    <ext xmlns:x14="http://schemas.microsoft.com/office/spreadsheetml/2009/9/main" uri="{CCE6A557-97BC-4b89-ADB6-D9C93CAAB3DF}">
      <x14:dataValidations xmlns:xm="http://schemas.microsoft.com/office/excel/2006/main" count="1">
        <x14:dataValidation type="list" allowBlank="1" showErrorMessage="1" xr:uid="{ACEE5A16-D307-49C2-8C9C-546CC37D2E7B}">
          <x14:formula1>
            <xm:f>Settings!$C$3:$C$20</xm:f>
          </x14:formula1>
          <xm:sqref>I2:I8</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94F03-527D-4457-9D1E-C458856D9154}">
  <sheetPr>
    <outlinePr summaryBelow="0" summaryRight="0"/>
  </sheetPr>
  <dimension ref="A1:AB973"/>
  <sheetViews>
    <sheetView topLeftCell="B2" workbookViewId="0">
      <selection activeCell="M3" sqref="M3"/>
    </sheetView>
  </sheetViews>
  <sheetFormatPr defaultColWidth="12.5703125" defaultRowHeight="15" customHeight="1"/>
  <cols>
    <col min="1" max="1" width="12.5703125" hidden="1" customWidth="1"/>
    <col min="2" max="2" width="29" customWidth="1"/>
    <col min="3" max="3" width="23.5703125" customWidth="1"/>
    <col min="4" max="4" width="14.42578125" customWidth="1"/>
    <col min="5" max="5" width="19.140625" customWidth="1"/>
    <col min="6" max="6" width="37.5703125" customWidth="1"/>
    <col min="7" max="7" width="50.5703125" customWidth="1"/>
    <col min="8" max="9" width="18.7109375" customWidth="1"/>
    <col min="10" max="10" width="9.140625" bestFit="1" customWidth="1"/>
    <col min="11" max="11" width="19" customWidth="1"/>
    <col min="12" max="12" width="18" customWidth="1"/>
    <col min="13" max="13" width="41" customWidth="1"/>
    <col min="14" max="14" width="14.140625" style="122" customWidth="1"/>
    <col min="15" max="15" width="63.28515625" customWidth="1"/>
  </cols>
  <sheetData>
    <row r="1" spans="1:28" ht="13.5">
      <c r="A1" s="536" t="s">
        <v>254</v>
      </c>
      <c r="B1" s="59" t="s">
        <v>321</v>
      </c>
      <c r="C1" s="243" t="s">
        <v>322</v>
      </c>
      <c r="D1" s="243" t="s">
        <v>323</v>
      </c>
      <c r="E1" s="59" t="s">
        <v>256</v>
      </c>
      <c r="F1" s="243" t="s">
        <v>324</v>
      </c>
      <c r="G1" s="243" t="s">
        <v>325</v>
      </c>
      <c r="H1" s="59" t="s">
        <v>326</v>
      </c>
      <c r="I1" s="59" t="s">
        <v>327</v>
      </c>
      <c r="J1" s="59" t="s">
        <v>328</v>
      </c>
      <c r="K1" s="59" t="s">
        <v>259</v>
      </c>
      <c r="L1" s="523" t="s">
        <v>329</v>
      </c>
      <c r="M1" s="157" t="s">
        <v>280</v>
      </c>
      <c r="N1" s="487" t="s">
        <v>330</v>
      </c>
      <c r="O1" s="487" t="s">
        <v>331</v>
      </c>
      <c r="P1" s="35"/>
      <c r="Q1" s="35"/>
      <c r="R1" s="35"/>
      <c r="S1" s="35"/>
      <c r="T1" s="35"/>
      <c r="U1" s="35"/>
      <c r="V1" s="35"/>
      <c r="W1" s="35"/>
      <c r="X1" s="35"/>
      <c r="Y1" s="35"/>
      <c r="Z1" s="35"/>
      <c r="AA1" s="35"/>
      <c r="AB1" s="35"/>
    </row>
    <row r="2" spans="1:28" ht="57" customHeight="1">
      <c r="B2" s="496" t="s">
        <v>217</v>
      </c>
      <c r="C2" s="229" t="s">
        <v>394</v>
      </c>
      <c r="D2" s="273"/>
      <c r="E2" s="327" t="s">
        <v>298</v>
      </c>
      <c r="F2" s="221" t="s">
        <v>380</v>
      </c>
      <c r="G2" s="327" t="s">
        <v>395</v>
      </c>
      <c r="H2" s="126" t="s">
        <v>381</v>
      </c>
      <c r="I2" s="126" t="s">
        <v>382</v>
      </c>
      <c r="J2" s="553" t="s">
        <v>421</v>
      </c>
      <c r="K2" s="126" t="s">
        <v>384</v>
      </c>
      <c r="L2" s="126" t="s">
        <v>385</v>
      </c>
      <c r="M2" s="333" t="s">
        <v>422</v>
      </c>
      <c r="N2" s="531" t="s">
        <v>423</v>
      </c>
      <c r="O2" s="333" t="s">
        <v>424</v>
      </c>
    </row>
    <row r="3" spans="1:28" ht="47.25" customHeight="1">
      <c r="B3" s="58" t="s">
        <v>217</v>
      </c>
      <c r="C3" s="58" t="s">
        <v>399</v>
      </c>
      <c r="D3" s="58"/>
      <c r="E3" s="228" t="s">
        <v>298</v>
      </c>
      <c r="F3" s="228" t="s">
        <v>380</v>
      </c>
      <c r="G3" s="228" t="s">
        <v>400</v>
      </c>
      <c r="H3" s="203" t="s">
        <v>381</v>
      </c>
      <c r="I3" s="41" t="s">
        <v>382</v>
      </c>
      <c r="J3" s="41" t="s">
        <v>421</v>
      </c>
      <c r="K3" s="41" t="s">
        <v>384</v>
      </c>
      <c r="L3" s="58" t="s">
        <v>385</v>
      </c>
      <c r="M3" s="216" t="s">
        <v>425</v>
      </c>
      <c r="N3" s="91" t="s">
        <v>423</v>
      </c>
      <c r="O3" s="64" t="s">
        <v>425</v>
      </c>
    </row>
    <row r="4" spans="1:28" ht="15.75" customHeight="1">
      <c r="I4" s="244"/>
      <c r="M4" s="144"/>
    </row>
    <row r="5" spans="1:28" ht="15.75" customHeight="1"/>
    <row r="6" spans="1:28" ht="15.75" customHeight="1"/>
    <row r="7" spans="1:28" ht="15.75" customHeight="1"/>
    <row r="8" spans="1:28" ht="15.75" customHeight="1"/>
    <row r="9" spans="1:28" ht="15.75" customHeight="1"/>
    <row r="10" spans="1:28" ht="15.75" customHeight="1"/>
    <row r="11" spans="1:28" ht="15.75" customHeight="1"/>
    <row r="12" spans="1:28" ht="15.75" customHeight="1"/>
    <row r="13" spans="1:28" ht="15.75" customHeight="1"/>
    <row r="14" spans="1:28" ht="15.75" customHeight="1"/>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sheetData>
  <autoFilter ref="A1:M1" xr:uid="{3A2BB050-11AC-4ED7-A296-96B42C7FCFBA}"/>
  <dataValidations count="5">
    <dataValidation type="list" allowBlank="1" showErrorMessage="1" sqref="K2:K3" xr:uid="{2198F25F-A7FF-45C2-BD7C-1D5F01C0DD9A}">
      <formula1>"Open,Inprogress,Closed"</formula1>
    </dataValidation>
    <dataValidation type="list" allowBlank="1" showErrorMessage="1" sqref="J2:J3" xr:uid="{E972D458-7B94-4A00-9300-04D360449EBF}">
      <formula1>"Internal,External"</formula1>
    </dataValidation>
    <dataValidation type="list" allowBlank="1" showErrorMessage="1" sqref="I2:I4" xr:uid="{09B4753D-0518-41E4-B08E-79A8C2FF6FBF}">
      <formula1>"Manual, Automation"</formula1>
    </dataValidation>
    <dataValidation type="list" allowBlank="1" showErrorMessage="1" sqref="F2" xr:uid="{6C7F41A2-F944-463C-B779-45118BDB6289}">
      <formula1>"Bounceback,Defect,None"</formula1>
    </dataValidation>
    <dataValidation type="list" allowBlank="1" showErrorMessage="1" sqref="H2" xr:uid="{E8F1E8E6-6EE3-45CA-A962-56059EFE2E74}">
      <formula1>"Minor,Significant,Major"</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715A86B1-A822-4229-A041-F0BFE3BC4405}">
          <x14:formula1>
            <xm:f>Details!$A$2:$A$10</xm:f>
          </x14:formula1>
          <xm:sqref>L2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6B527-DD76-43F3-9800-4260E328F0FA}">
  <dimension ref="A1:AE6"/>
  <sheetViews>
    <sheetView workbookViewId="0">
      <pane xSplit="7" ySplit="1" topLeftCell="AC3" activePane="bottomRight" state="frozen"/>
      <selection pane="bottomRight" activeCell="R2" sqref="R2"/>
      <selection pane="bottomLeft"/>
      <selection pane="topRight"/>
    </sheetView>
  </sheetViews>
  <sheetFormatPr defaultRowHeight="12.75"/>
  <cols>
    <col min="2" max="2" width="13.28515625" customWidth="1"/>
    <col min="3" max="3" width="10.85546875" customWidth="1"/>
    <col min="4" max="4" width="12.140625" customWidth="1"/>
    <col min="5" max="5" width="32.28515625" customWidth="1"/>
    <col min="6" max="6" width="24.28515625" customWidth="1"/>
    <col min="7" max="7" width="18.85546875" customWidth="1"/>
    <col min="8" max="8" width="50.28515625" style="137" customWidth="1"/>
    <col min="9" max="9" width="16.85546875" customWidth="1"/>
    <col min="10" max="10" width="11.42578125" style="122" bestFit="1" customWidth="1"/>
    <col min="11" max="11" width="11.42578125" bestFit="1" customWidth="1"/>
    <col min="12" max="12" width="11.42578125" customWidth="1"/>
    <col min="13" max="13" width="14.42578125" customWidth="1"/>
    <col min="14" max="14" width="14" customWidth="1"/>
    <col min="15" max="15" width="13.140625" customWidth="1"/>
    <col min="16" max="16" width="13.42578125" style="144" customWidth="1"/>
    <col min="17" max="17" width="29.140625" customWidth="1"/>
    <col min="18" max="18" width="16.42578125" style="181" customWidth="1"/>
    <col min="19" max="19" width="14.85546875" style="181" customWidth="1"/>
    <col min="20" max="20" width="29.42578125" style="144" customWidth="1"/>
    <col min="21" max="22" width="12.7109375" bestFit="1" customWidth="1"/>
    <col min="23" max="23" width="21.28515625" customWidth="1"/>
    <col min="24" max="24" width="32.140625" style="144" customWidth="1"/>
    <col min="25" max="25" width="11.42578125" bestFit="1" customWidth="1"/>
    <col min="26" max="26" width="12.7109375" bestFit="1" customWidth="1"/>
    <col min="27" max="27" width="18.7109375" customWidth="1"/>
    <col min="28" max="29" width="11.42578125" bestFit="1" customWidth="1"/>
    <col min="30" max="30" width="81.42578125" customWidth="1"/>
    <col min="31" max="31" width="40.7109375" customWidth="1"/>
  </cols>
  <sheetData>
    <row r="1" spans="1:31" ht="48">
      <c r="A1" s="379" t="s">
        <v>254</v>
      </c>
      <c r="B1" s="404" t="s">
        <v>4</v>
      </c>
      <c r="C1" s="404" t="s">
        <v>2</v>
      </c>
      <c r="D1" s="404" t="s">
        <v>3</v>
      </c>
      <c r="E1" s="527" t="s">
        <v>255</v>
      </c>
      <c r="F1" s="527" t="s">
        <v>256</v>
      </c>
      <c r="G1" s="383" t="s">
        <v>257</v>
      </c>
      <c r="H1" s="383" t="s">
        <v>258</v>
      </c>
      <c r="I1" s="383" t="s">
        <v>259</v>
      </c>
      <c r="J1" s="518" t="s">
        <v>260</v>
      </c>
      <c r="K1" s="384" t="s">
        <v>261</v>
      </c>
      <c r="L1" s="384" t="s">
        <v>262</v>
      </c>
      <c r="M1" s="525" t="s">
        <v>263</v>
      </c>
      <c r="N1" s="384" t="s">
        <v>264</v>
      </c>
      <c r="O1" s="385" t="s">
        <v>265</v>
      </c>
      <c r="P1" s="385" t="s">
        <v>266</v>
      </c>
      <c r="Q1" s="385" t="s">
        <v>267</v>
      </c>
      <c r="R1" s="525" t="s">
        <v>268</v>
      </c>
      <c r="S1" s="525" t="s">
        <v>269</v>
      </c>
      <c r="T1" s="385" t="s">
        <v>270</v>
      </c>
      <c r="U1" s="385" t="s">
        <v>271</v>
      </c>
      <c r="V1" s="385" t="s">
        <v>272</v>
      </c>
      <c r="W1" s="385" t="s">
        <v>273</v>
      </c>
      <c r="X1" s="385" t="s">
        <v>274</v>
      </c>
      <c r="Y1" s="385" t="s">
        <v>275</v>
      </c>
      <c r="Z1" s="385" t="s">
        <v>276</v>
      </c>
      <c r="AA1" s="385" t="s">
        <v>277</v>
      </c>
      <c r="AB1" s="385" t="s">
        <v>278</v>
      </c>
      <c r="AC1" s="526" t="s">
        <v>279</v>
      </c>
      <c r="AD1" s="240" t="s">
        <v>280</v>
      </c>
      <c r="AE1" s="385" t="s">
        <v>281</v>
      </c>
    </row>
    <row r="2" spans="1:31" ht="88.5" customHeight="1">
      <c r="A2" s="369">
        <v>1</v>
      </c>
      <c r="B2" s="369" t="s">
        <v>5</v>
      </c>
      <c r="C2" s="372">
        <v>46107</v>
      </c>
      <c r="D2" s="430">
        <v>46121</v>
      </c>
      <c r="E2" s="316" t="s">
        <v>212</v>
      </c>
      <c r="F2" s="316" t="s">
        <v>426</v>
      </c>
      <c r="G2" s="431" t="s">
        <v>427</v>
      </c>
      <c r="H2" s="524" t="s">
        <v>428</v>
      </c>
      <c r="I2" s="506" t="s">
        <v>289</v>
      </c>
      <c r="J2" s="228">
        <v>2</v>
      </c>
      <c r="K2" s="506">
        <v>2</v>
      </c>
      <c r="L2" s="362">
        <v>71.75</v>
      </c>
      <c r="M2" s="551">
        <v>46108</v>
      </c>
      <c r="N2" s="551">
        <v>46120</v>
      </c>
      <c r="O2" s="203" t="s">
        <v>290</v>
      </c>
      <c r="P2" s="550" t="s">
        <v>234</v>
      </c>
      <c r="Q2" s="370" t="s">
        <v>291</v>
      </c>
      <c r="R2" s="374" t="s">
        <v>298</v>
      </c>
      <c r="S2" s="327" t="s">
        <v>291</v>
      </c>
      <c r="T2" s="271" t="s">
        <v>429</v>
      </c>
      <c r="U2" s="373" t="s">
        <v>291</v>
      </c>
      <c r="V2" s="360" t="s">
        <v>291</v>
      </c>
      <c r="W2" s="369" t="s">
        <v>294</v>
      </c>
      <c r="X2" s="370" t="s">
        <v>291</v>
      </c>
      <c r="Y2" s="327" t="s">
        <v>295</v>
      </c>
      <c r="Z2" s="373" t="s">
        <v>291</v>
      </c>
      <c r="AA2" s="370" t="s">
        <v>291</v>
      </c>
      <c r="AB2" s="327" t="s">
        <v>291</v>
      </c>
      <c r="AC2" s="374" t="s">
        <v>291</v>
      </c>
      <c r="AD2" s="378" t="s">
        <v>430</v>
      </c>
      <c r="AE2" s="483" t="s">
        <v>431</v>
      </c>
    </row>
    <row r="3" spans="1:31" ht="88.5" customHeight="1">
      <c r="A3" s="369">
        <v>2</v>
      </c>
      <c r="B3" s="369" t="s">
        <v>5</v>
      </c>
      <c r="C3" s="372">
        <v>46107</v>
      </c>
      <c r="D3" s="430">
        <v>46121</v>
      </c>
      <c r="E3" s="316" t="s">
        <v>212</v>
      </c>
      <c r="F3" s="316" t="s">
        <v>298</v>
      </c>
      <c r="G3" s="431" t="s">
        <v>432</v>
      </c>
      <c r="H3" s="524" t="s">
        <v>433</v>
      </c>
      <c r="I3" s="506" t="s">
        <v>289</v>
      </c>
      <c r="J3" s="228">
        <v>3</v>
      </c>
      <c r="K3" s="506">
        <v>3</v>
      </c>
      <c r="L3" s="362">
        <v>61.75</v>
      </c>
      <c r="M3" s="551">
        <v>46108</v>
      </c>
      <c r="N3" s="551">
        <v>46113</v>
      </c>
      <c r="O3" s="203" t="s">
        <v>290</v>
      </c>
      <c r="P3" s="550" t="s">
        <v>234</v>
      </c>
      <c r="Q3" s="370" t="s">
        <v>291</v>
      </c>
      <c r="R3" s="374" t="s">
        <v>292</v>
      </c>
      <c r="S3" s="327" t="s">
        <v>291</v>
      </c>
      <c r="T3" s="271" t="s">
        <v>434</v>
      </c>
      <c r="U3" s="373">
        <v>46113</v>
      </c>
      <c r="V3" s="360">
        <v>46115</v>
      </c>
      <c r="W3" s="369" t="s">
        <v>426</v>
      </c>
      <c r="X3" s="370" t="s">
        <v>291</v>
      </c>
      <c r="Y3" s="327" t="s">
        <v>295</v>
      </c>
      <c r="Z3" s="373">
        <v>46115</v>
      </c>
      <c r="AA3" s="370" t="s">
        <v>291</v>
      </c>
      <c r="AB3" s="327" t="s">
        <v>291</v>
      </c>
      <c r="AC3" s="374" t="s">
        <v>291</v>
      </c>
      <c r="AD3" s="378" t="s">
        <v>435</v>
      </c>
      <c r="AE3" s="183" t="s">
        <v>436</v>
      </c>
    </row>
    <row r="4" spans="1:31" ht="36">
      <c r="A4" s="369">
        <v>3</v>
      </c>
      <c r="B4" s="369" t="s">
        <v>5</v>
      </c>
      <c r="C4" s="372">
        <v>46107</v>
      </c>
      <c r="D4" s="372">
        <v>46121</v>
      </c>
      <c r="E4" s="229" t="s">
        <v>212</v>
      </c>
      <c r="F4" s="229" t="s">
        <v>437</v>
      </c>
      <c r="G4" s="229" t="s">
        <v>306</v>
      </c>
      <c r="H4" s="329" t="s">
        <v>307</v>
      </c>
      <c r="I4" s="327" t="s">
        <v>301</v>
      </c>
      <c r="J4" s="327">
        <v>2</v>
      </c>
      <c r="K4" s="327"/>
      <c r="L4" s="374">
        <v>46</v>
      </c>
      <c r="M4" s="360">
        <v>46111</v>
      </c>
      <c r="N4" s="228"/>
      <c r="O4" s="203"/>
      <c r="P4" s="550"/>
      <c r="Q4" s="327"/>
      <c r="R4" s="327"/>
      <c r="T4" s="432"/>
      <c r="U4" s="373"/>
      <c r="V4" s="373"/>
      <c r="W4" s="327"/>
      <c r="X4" s="370"/>
      <c r="Y4" s="327"/>
      <c r="Z4" s="373"/>
      <c r="AA4" s="370"/>
      <c r="AB4" s="327"/>
      <c r="AC4" s="327"/>
      <c r="AD4" s="388" t="s">
        <v>438</v>
      </c>
      <c r="AE4" s="228"/>
    </row>
    <row r="5" spans="1:31" ht="48">
      <c r="A5" s="369">
        <v>4</v>
      </c>
      <c r="B5" s="369" t="s">
        <v>5</v>
      </c>
      <c r="C5" s="372">
        <v>46107</v>
      </c>
      <c r="D5" s="372">
        <v>46121</v>
      </c>
      <c r="E5" s="229" t="s">
        <v>439</v>
      </c>
      <c r="F5" s="229" t="s">
        <v>298</v>
      </c>
      <c r="G5" s="229" t="s">
        <v>440</v>
      </c>
      <c r="H5" s="329" t="s">
        <v>441</v>
      </c>
      <c r="I5" s="327" t="s">
        <v>289</v>
      </c>
      <c r="J5" s="327">
        <v>1</v>
      </c>
      <c r="K5" s="327">
        <v>1</v>
      </c>
      <c r="L5" s="327">
        <v>16.75</v>
      </c>
      <c r="M5" s="373">
        <v>46114</v>
      </c>
      <c r="N5" s="373">
        <v>46114</v>
      </c>
      <c r="O5" s="229" t="s">
        <v>290</v>
      </c>
      <c r="P5" s="329" t="s">
        <v>234</v>
      </c>
      <c r="Q5" s="327" t="s">
        <v>291</v>
      </c>
      <c r="R5" s="327" t="s">
        <v>292</v>
      </c>
      <c r="S5" s="181" t="s">
        <v>291</v>
      </c>
      <c r="T5" s="432" t="s">
        <v>442</v>
      </c>
      <c r="U5" s="373">
        <v>46115</v>
      </c>
      <c r="V5" s="373">
        <v>46119</v>
      </c>
      <c r="W5" s="327" t="s">
        <v>426</v>
      </c>
      <c r="X5" s="370" t="s">
        <v>291</v>
      </c>
      <c r="Y5" s="327" t="s">
        <v>295</v>
      </c>
      <c r="Z5" s="373">
        <v>46119</v>
      </c>
      <c r="AA5" s="370" t="s">
        <v>291</v>
      </c>
      <c r="AB5" s="327" t="s">
        <v>291</v>
      </c>
      <c r="AC5" s="327" t="s">
        <v>291</v>
      </c>
      <c r="AD5" s="333" t="s">
        <v>443</v>
      </c>
      <c r="AE5" s="465" t="s">
        <v>444</v>
      </c>
    </row>
    <row r="6" spans="1:31" ht="48">
      <c r="A6" s="369">
        <v>5</v>
      </c>
      <c r="B6" s="369" t="s">
        <v>5</v>
      </c>
      <c r="C6" s="372">
        <v>46107</v>
      </c>
      <c r="D6" s="372">
        <v>46121</v>
      </c>
      <c r="E6" s="229" t="s">
        <v>439</v>
      </c>
      <c r="F6" s="229" t="s">
        <v>298</v>
      </c>
      <c r="G6" s="229" t="s">
        <v>445</v>
      </c>
      <c r="H6" s="329" t="s">
        <v>446</v>
      </c>
      <c r="I6" s="327" t="s">
        <v>289</v>
      </c>
      <c r="J6" s="327">
        <v>1</v>
      </c>
      <c r="K6" s="327">
        <v>1</v>
      </c>
      <c r="L6" s="327">
        <v>18.5</v>
      </c>
      <c r="M6" s="373">
        <v>46115</v>
      </c>
      <c r="N6" s="373">
        <v>46118</v>
      </c>
      <c r="O6" s="229" t="s">
        <v>290</v>
      </c>
      <c r="P6" s="329" t="s">
        <v>234</v>
      </c>
      <c r="Q6" s="327" t="s">
        <v>291</v>
      </c>
      <c r="R6" s="327" t="s">
        <v>292</v>
      </c>
      <c r="S6" s="181" t="s">
        <v>291</v>
      </c>
      <c r="T6" s="432" t="s">
        <v>447</v>
      </c>
      <c r="U6" s="373">
        <v>46119</v>
      </c>
      <c r="V6" s="373">
        <v>46119</v>
      </c>
      <c r="W6" s="327" t="s">
        <v>426</v>
      </c>
      <c r="X6" s="370" t="s">
        <v>291</v>
      </c>
      <c r="Y6" s="327" t="s">
        <v>295</v>
      </c>
      <c r="Z6" s="373">
        <v>46119</v>
      </c>
      <c r="AA6" s="370" t="s">
        <v>291</v>
      </c>
      <c r="AB6" s="327" t="s">
        <v>291</v>
      </c>
      <c r="AC6" s="327" t="s">
        <v>291</v>
      </c>
      <c r="AD6" s="333" t="s">
        <v>448</v>
      </c>
      <c r="AE6" s="465" t="s">
        <v>449</v>
      </c>
    </row>
  </sheetData>
  <hyperlinks>
    <hyperlink ref="T3" r:id="rId1" xr:uid="{6223BDBA-D444-4454-86B4-A1ADC9B16518}"/>
    <hyperlink ref="T5" r:id="rId2" xr:uid="{65B9EEFD-DCD6-41E2-8F86-DE98CD0D102D}"/>
    <hyperlink ref="T6" r:id="rId3" xr:uid="{A45BF465-3F02-4A57-88D5-14101D245D0C}"/>
  </hyperlinks>
  <pageMargins left="0.7" right="0.7" top="0.75" bottom="0.75" header="0.3" footer="0.3"/>
  <tableParts count="1">
    <tablePart r:id="rId4"/>
  </tableParts>
  <extLst>
    <ext xmlns:x14="http://schemas.microsoft.com/office/spreadsheetml/2009/9/main" uri="{CCE6A557-97BC-4b89-ADB6-D9C93CAAB3DF}">
      <x14:dataValidations xmlns:xm="http://schemas.microsoft.com/office/excel/2006/main" count="1">
        <x14:dataValidation type="list" allowBlank="1" showErrorMessage="1" xr:uid="{C4D2D5DB-37DE-403F-B397-74E98A340DCE}">
          <x14:formula1>
            <xm:f>Settings!$C$3:$C$20</xm:f>
          </x14:formula1>
          <xm:sqref>I2:I6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E1D79-4FCC-479A-8EC7-16893073BF7D}">
  <sheetPr>
    <outlinePr summaryBelow="0" summaryRight="0"/>
  </sheetPr>
  <dimension ref="A1:AB974"/>
  <sheetViews>
    <sheetView topLeftCell="G1" workbookViewId="0">
      <selection activeCell="H2" sqref="H2"/>
    </sheetView>
  </sheetViews>
  <sheetFormatPr defaultColWidth="12.5703125" defaultRowHeight="15" customHeight="1"/>
  <cols>
    <col min="1" max="1" width="12.5703125" hidden="1" customWidth="1"/>
    <col min="2" max="2" width="29" customWidth="1"/>
    <col min="3" max="3" width="23.5703125" customWidth="1"/>
    <col min="4" max="4" width="14.42578125" customWidth="1"/>
    <col min="5" max="5" width="19.140625" customWidth="1"/>
    <col min="6" max="6" width="37.5703125" customWidth="1"/>
    <col min="7" max="7" width="50.5703125" customWidth="1"/>
    <col min="8" max="9" width="18.7109375" customWidth="1"/>
    <col min="10" max="10" width="9.140625" bestFit="1" customWidth="1"/>
    <col min="11" max="11" width="19" customWidth="1"/>
    <col min="12" max="12" width="18" customWidth="1"/>
    <col min="13" max="13" width="41" customWidth="1"/>
    <col min="14" max="14" width="14.140625" style="122" customWidth="1"/>
    <col min="15" max="15" width="63.28515625" customWidth="1"/>
  </cols>
  <sheetData>
    <row r="1" spans="1:28" ht="13.5">
      <c r="A1" s="536" t="s">
        <v>254</v>
      </c>
      <c r="B1" s="59" t="s">
        <v>321</v>
      </c>
      <c r="C1" s="243" t="s">
        <v>322</v>
      </c>
      <c r="D1" s="243" t="s">
        <v>323</v>
      </c>
      <c r="E1" s="59" t="s">
        <v>256</v>
      </c>
      <c r="F1" s="243" t="s">
        <v>324</v>
      </c>
      <c r="G1" s="243" t="s">
        <v>325</v>
      </c>
      <c r="H1" s="59" t="s">
        <v>326</v>
      </c>
      <c r="I1" s="59" t="s">
        <v>327</v>
      </c>
      <c r="J1" s="59" t="s">
        <v>328</v>
      </c>
      <c r="K1" s="59" t="s">
        <v>259</v>
      </c>
      <c r="L1" s="523" t="s">
        <v>329</v>
      </c>
      <c r="M1" s="157" t="s">
        <v>280</v>
      </c>
      <c r="N1" s="487" t="s">
        <v>330</v>
      </c>
      <c r="O1" s="487" t="s">
        <v>331</v>
      </c>
      <c r="P1" s="35"/>
      <c r="Q1" s="35"/>
      <c r="R1" s="35"/>
      <c r="S1" s="35"/>
      <c r="T1" s="35"/>
      <c r="U1" s="35"/>
      <c r="V1" s="35"/>
      <c r="W1" s="35"/>
      <c r="X1" s="35"/>
      <c r="Y1" s="35"/>
      <c r="Z1" s="35"/>
      <c r="AA1" s="35"/>
      <c r="AB1" s="35"/>
    </row>
    <row r="2" spans="1:28" ht="45" customHeight="1">
      <c r="B2" s="203" t="s">
        <v>450</v>
      </c>
      <c r="C2" s="137" t="s">
        <v>440</v>
      </c>
      <c r="D2" s="58"/>
      <c r="E2" s="181" t="s">
        <v>298</v>
      </c>
      <c r="F2" s="221" t="s">
        <v>380</v>
      </c>
      <c r="G2" t="s">
        <v>441</v>
      </c>
      <c r="H2" s="126" t="s">
        <v>381</v>
      </c>
      <c r="I2" s="244" t="s">
        <v>382</v>
      </c>
      <c r="J2" s="41" t="s">
        <v>421</v>
      </c>
      <c r="K2" s="244" t="s">
        <v>384</v>
      </c>
      <c r="L2" s="126" t="s">
        <v>451</v>
      </c>
      <c r="M2" s="144" t="s">
        <v>452</v>
      </c>
      <c r="N2" s="122" t="s">
        <v>423</v>
      </c>
      <c r="O2" s="144" t="s">
        <v>453</v>
      </c>
    </row>
    <row r="3" spans="1:28" ht="57" customHeight="1">
      <c r="B3" s="268"/>
      <c r="C3" s="203"/>
      <c r="D3" s="226"/>
      <c r="E3" s="228"/>
      <c r="F3" s="228"/>
      <c r="G3" s="58"/>
      <c r="H3" s="58"/>
      <c r="I3" s="41"/>
      <c r="J3" s="208"/>
      <c r="K3" s="41"/>
      <c r="L3" s="41"/>
      <c r="M3" s="216"/>
      <c r="N3" s="91"/>
      <c r="O3" s="216"/>
    </row>
    <row r="4" spans="1:28" ht="15.75" customHeight="1">
      <c r="I4" s="244"/>
      <c r="J4" s="244"/>
      <c r="K4" s="244"/>
    </row>
    <row r="5" spans="1:28" ht="15.75" customHeight="1">
      <c r="I5" s="244"/>
    </row>
    <row r="6" spans="1:28" ht="15.75" customHeight="1"/>
    <row r="7" spans="1:28" ht="15.75" customHeight="1"/>
    <row r="8" spans="1:28" ht="15.75" customHeight="1"/>
    <row r="9" spans="1:28" ht="15.75" customHeight="1"/>
    <row r="10" spans="1:28" ht="15.75" customHeight="1"/>
    <row r="11" spans="1:28" ht="15.75" customHeight="1"/>
    <row r="12" spans="1:28" ht="15.75" customHeight="1"/>
    <row r="13" spans="1:28" ht="15.75" customHeight="1"/>
    <row r="14" spans="1:28" ht="15.75" customHeight="1"/>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sheetData>
  <autoFilter ref="A1:M1" xr:uid="{3A2BB050-11AC-4ED7-A296-96B42C7FCFBA}"/>
  <dataValidations count="5">
    <dataValidation type="list" allowBlank="1" showErrorMessage="1" sqref="H2" xr:uid="{2C737B03-D04B-4A46-B9BB-EA018860270A}">
      <formula1>"Minor,Significant,Major"</formula1>
    </dataValidation>
    <dataValidation type="list" allowBlank="1" showErrorMessage="1" sqref="F2" xr:uid="{2E92A416-CFF8-4B2B-8C03-5257EDD6C5E3}">
      <formula1>"Bounceback,Defect,None"</formula1>
    </dataValidation>
    <dataValidation type="list" allowBlank="1" showErrorMessage="1" sqref="I2:I5" xr:uid="{B66555B9-3C18-44BE-9594-78A8B77DA85F}">
      <formula1>"Manual, Automation"</formula1>
    </dataValidation>
    <dataValidation type="list" allowBlank="1" showErrorMessage="1" sqref="J2:J4" xr:uid="{8DCBB55D-253E-42C5-B310-0A6880A57EFD}">
      <formula1>"Internal,External"</formula1>
    </dataValidation>
    <dataValidation type="list" allowBlank="1" showErrorMessage="1" sqref="K2:K4" xr:uid="{DCAB5921-4B39-4131-A51E-23CDAB26B98E}">
      <formula1>"Open,Inprogress,Closed"</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480F8E87-F2BD-4349-9C21-E4FC9FA92F89}">
          <x14:formula1>
            <xm:f>Details!$A$2:$A$10</xm:f>
          </x14:formula1>
          <xm:sqref>L2:L3</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EB247-09C3-454F-AD61-B1A5CC2AD09A}">
  <dimension ref="A1:AE11"/>
  <sheetViews>
    <sheetView workbookViewId="0">
      <pane xSplit="7" ySplit="1" topLeftCell="H3" activePane="bottomRight" state="frozen"/>
      <selection pane="bottomRight" activeCell="L3" sqref="L3"/>
      <selection pane="bottomLeft"/>
      <selection pane="topRight"/>
    </sheetView>
  </sheetViews>
  <sheetFormatPr defaultRowHeight="12.75"/>
  <cols>
    <col min="2" max="2" width="13.28515625" customWidth="1"/>
    <col min="3" max="3" width="10.85546875" customWidth="1"/>
    <col min="4" max="4" width="12.140625" customWidth="1"/>
    <col min="5" max="5" width="32.28515625" customWidth="1"/>
    <col min="6" max="6" width="24.28515625" customWidth="1"/>
    <col min="7" max="7" width="18.85546875" customWidth="1"/>
    <col min="8" max="8" width="50.28515625" style="137" customWidth="1"/>
    <col min="9" max="9" width="16.85546875" customWidth="1"/>
    <col min="10" max="10" width="11.42578125" style="122" bestFit="1" customWidth="1"/>
    <col min="11" max="11" width="11.42578125" bestFit="1" customWidth="1"/>
    <col min="12" max="12" width="11.42578125" customWidth="1"/>
    <col min="13" max="13" width="14.42578125" customWidth="1"/>
    <col min="14" max="14" width="14" customWidth="1"/>
    <col min="15" max="15" width="13.140625" customWidth="1"/>
    <col min="16" max="16" width="13.42578125" style="144" customWidth="1"/>
    <col min="17" max="17" width="29.140625" customWidth="1"/>
    <col min="18" max="18" width="16.42578125" style="181" customWidth="1"/>
    <col min="19" max="19" width="14.85546875" style="181" customWidth="1"/>
    <col min="20" max="20" width="29.42578125" style="144" customWidth="1"/>
    <col min="21" max="22" width="12.7109375" bestFit="1" customWidth="1"/>
    <col min="23" max="23" width="21.28515625" customWidth="1"/>
    <col min="24" max="24" width="32.140625" style="144" customWidth="1"/>
    <col min="25" max="25" width="11.42578125" bestFit="1" customWidth="1"/>
    <col min="26" max="26" width="12.7109375" bestFit="1" customWidth="1"/>
    <col min="27" max="27" width="18.7109375" customWidth="1"/>
    <col min="28" max="29" width="11.42578125" bestFit="1" customWidth="1"/>
    <col min="30" max="30" width="81.42578125" customWidth="1"/>
    <col min="31" max="31" width="40.7109375" customWidth="1"/>
  </cols>
  <sheetData>
    <row r="1" spans="1:31" ht="48">
      <c r="A1" s="379" t="s">
        <v>254</v>
      </c>
      <c r="B1" s="404" t="s">
        <v>4</v>
      </c>
      <c r="C1" s="404" t="s">
        <v>2</v>
      </c>
      <c r="D1" s="404" t="s">
        <v>3</v>
      </c>
      <c r="E1" s="527" t="s">
        <v>255</v>
      </c>
      <c r="F1" s="527" t="s">
        <v>256</v>
      </c>
      <c r="G1" s="383" t="s">
        <v>257</v>
      </c>
      <c r="H1" s="383" t="s">
        <v>258</v>
      </c>
      <c r="I1" s="383" t="s">
        <v>259</v>
      </c>
      <c r="J1" s="518" t="s">
        <v>260</v>
      </c>
      <c r="K1" s="384" t="s">
        <v>261</v>
      </c>
      <c r="L1" s="384" t="s">
        <v>262</v>
      </c>
      <c r="M1" s="384" t="s">
        <v>263</v>
      </c>
      <c r="N1" s="384" t="s">
        <v>264</v>
      </c>
      <c r="O1" s="385" t="s">
        <v>265</v>
      </c>
      <c r="P1" s="385" t="s">
        <v>266</v>
      </c>
      <c r="Q1" s="385" t="s">
        <v>267</v>
      </c>
      <c r="R1" s="525" t="s">
        <v>268</v>
      </c>
      <c r="S1" s="525" t="s">
        <v>269</v>
      </c>
      <c r="T1" s="385" t="s">
        <v>270</v>
      </c>
      <c r="U1" s="385" t="s">
        <v>271</v>
      </c>
      <c r="V1" s="385" t="s">
        <v>272</v>
      </c>
      <c r="W1" s="385" t="s">
        <v>273</v>
      </c>
      <c r="X1" s="385" t="s">
        <v>274</v>
      </c>
      <c r="Y1" s="385" t="s">
        <v>275</v>
      </c>
      <c r="Z1" s="385" t="s">
        <v>276</v>
      </c>
      <c r="AA1" s="385" t="s">
        <v>277</v>
      </c>
      <c r="AB1" s="385" t="s">
        <v>278</v>
      </c>
      <c r="AC1" s="526" t="s">
        <v>279</v>
      </c>
      <c r="AD1" s="240" t="s">
        <v>280</v>
      </c>
      <c r="AE1" s="385" t="s">
        <v>281</v>
      </c>
    </row>
    <row r="2" spans="1:31" ht="88.5" customHeight="1">
      <c r="A2" s="369">
        <v>1</v>
      </c>
      <c r="B2" s="369" t="s">
        <v>5</v>
      </c>
      <c r="C2" s="372">
        <v>46093</v>
      </c>
      <c r="D2" s="430">
        <v>46107</v>
      </c>
      <c r="E2" s="316" t="s">
        <v>208</v>
      </c>
      <c r="F2" s="316" t="s">
        <v>292</v>
      </c>
      <c r="G2" s="431" t="s">
        <v>454</v>
      </c>
      <c r="H2" s="524" t="s">
        <v>455</v>
      </c>
      <c r="I2" s="506" t="s">
        <v>289</v>
      </c>
      <c r="J2" s="228">
        <v>1</v>
      </c>
      <c r="K2" s="506">
        <v>1</v>
      </c>
      <c r="L2" s="228">
        <v>11.75</v>
      </c>
      <c r="M2" s="549" t="s">
        <v>456</v>
      </c>
      <c r="N2" s="549" t="s">
        <v>456</v>
      </c>
      <c r="O2" s="229" t="s">
        <v>290</v>
      </c>
      <c r="P2" s="329" t="s">
        <v>457</v>
      </c>
      <c r="Q2" s="370" t="s">
        <v>291</v>
      </c>
      <c r="R2" s="374" t="s">
        <v>298</v>
      </c>
      <c r="S2" s="327" t="s">
        <v>291</v>
      </c>
      <c r="T2" s="271" t="s">
        <v>458</v>
      </c>
      <c r="U2" s="373">
        <v>46093</v>
      </c>
      <c r="V2" s="360">
        <v>46100</v>
      </c>
      <c r="W2" s="369" t="s">
        <v>426</v>
      </c>
      <c r="X2" s="370" t="s">
        <v>291</v>
      </c>
      <c r="Y2" s="327" t="s">
        <v>295</v>
      </c>
      <c r="Z2" s="373">
        <v>46100</v>
      </c>
      <c r="AA2" s="370" t="s">
        <v>291</v>
      </c>
      <c r="AB2" s="327" t="s">
        <v>291</v>
      </c>
      <c r="AC2" s="374" t="s">
        <v>291</v>
      </c>
      <c r="AD2" s="378" t="s">
        <v>459</v>
      </c>
      <c r="AE2" s="483" t="s">
        <v>460</v>
      </c>
    </row>
    <row r="3" spans="1:31" ht="75" customHeight="1">
      <c r="A3" s="369">
        <v>2</v>
      </c>
      <c r="B3" s="369" t="s">
        <v>5</v>
      </c>
      <c r="C3" s="372">
        <v>46093</v>
      </c>
      <c r="D3" s="372">
        <v>46107</v>
      </c>
      <c r="E3" s="229" t="s">
        <v>208</v>
      </c>
      <c r="F3" s="229" t="s">
        <v>292</v>
      </c>
      <c r="G3" s="229" t="s">
        <v>427</v>
      </c>
      <c r="H3" s="329" t="s">
        <v>428</v>
      </c>
      <c r="I3" s="327" t="s">
        <v>301</v>
      </c>
      <c r="J3" s="327">
        <v>2</v>
      </c>
      <c r="K3" s="327"/>
      <c r="L3" s="327">
        <v>66.75</v>
      </c>
      <c r="M3" s="327"/>
      <c r="N3" s="327"/>
      <c r="O3" s="229"/>
      <c r="P3" s="329"/>
      <c r="Q3" s="327"/>
      <c r="R3" s="374"/>
      <c r="S3" s="228"/>
      <c r="T3" s="200"/>
      <c r="U3" s="360"/>
      <c r="V3" s="372"/>
      <c r="W3" s="327"/>
      <c r="X3" s="370"/>
      <c r="Y3" s="327"/>
      <c r="Z3" s="373"/>
      <c r="AA3" s="370"/>
      <c r="AB3" s="327"/>
      <c r="AC3" s="327"/>
      <c r="AD3" s="388" t="s">
        <v>461</v>
      </c>
      <c r="AE3" s="228"/>
    </row>
    <row r="4" spans="1:31" ht="70.5" customHeight="1">
      <c r="A4" s="369">
        <v>3</v>
      </c>
      <c r="B4" s="369" t="s">
        <v>5</v>
      </c>
      <c r="C4" s="372">
        <v>46093</v>
      </c>
      <c r="D4" s="372">
        <v>46107</v>
      </c>
      <c r="E4" s="229" t="s">
        <v>208</v>
      </c>
      <c r="F4" s="229" t="s">
        <v>298</v>
      </c>
      <c r="G4" s="229" t="s">
        <v>462</v>
      </c>
      <c r="H4" s="329" t="s">
        <v>463</v>
      </c>
      <c r="I4" s="327" t="s">
        <v>289</v>
      </c>
      <c r="J4" s="327">
        <v>3</v>
      </c>
      <c r="K4" s="327">
        <v>3</v>
      </c>
      <c r="L4" s="327">
        <v>33</v>
      </c>
      <c r="M4" s="370" t="s">
        <v>456</v>
      </c>
      <c r="N4" s="370" t="s">
        <v>456</v>
      </c>
      <c r="O4" s="229" t="s">
        <v>290</v>
      </c>
      <c r="P4" s="329" t="s">
        <v>457</v>
      </c>
      <c r="Q4" s="327" t="s">
        <v>291</v>
      </c>
      <c r="R4" s="374" t="s">
        <v>292</v>
      </c>
      <c r="S4" s="228" t="s">
        <v>291</v>
      </c>
      <c r="T4" s="200" t="s">
        <v>464</v>
      </c>
      <c r="U4" s="360">
        <v>46101</v>
      </c>
      <c r="V4" s="372">
        <v>46105</v>
      </c>
      <c r="W4" s="327" t="s">
        <v>426</v>
      </c>
      <c r="X4" s="370" t="s">
        <v>291</v>
      </c>
      <c r="Y4" s="327" t="s">
        <v>295</v>
      </c>
      <c r="Z4" s="373">
        <v>46105</v>
      </c>
      <c r="AA4" s="370" t="s">
        <v>291</v>
      </c>
      <c r="AB4" s="327" t="s">
        <v>291</v>
      </c>
      <c r="AC4" s="327" t="s">
        <v>291</v>
      </c>
      <c r="AD4" s="388" t="s">
        <v>465</v>
      </c>
      <c r="AE4" s="547" t="s">
        <v>466</v>
      </c>
    </row>
    <row r="5" spans="1:31" ht="48">
      <c r="A5" s="369">
        <v>4</v>
      </c>
      <c r="B5" s="369" t="s">
        <v>5</v>
      </c>
      <c r="C5" s="372">
        <v>46093</v>
      </c>
      <c r="D5" s="372">
        <v>46107</v>
      </c>
      <c r="E5" s="229" t="s">
        <v>208</v>
      </c>
      <c r="F5" s="229" t="s">
        <v>292</v>
      </c>
      <c r="G5" s="229" t="s">
        <v>467</v>
      </c>
      <c r="H5" s="329" t="s">
        <v>468</v>
      </c>
      <c r="I5" s="327" t="s">
        <v>289</v>
      </c>
      <c r="J5" s="327">
        <v>3</v>
      </c>
      <c r="K5" s="327">
        <v>3</v>
      </c>
      <c r="L5" s="327">
        <v>41.25</v>
      </c>
      <c r="M5" s="373">
        <v>46094</v>
      </c>
      <c r="N5" s="373">
        <v>46100</v>
      </c>
      <c r="O5" s="229" t="s">
        <v>290</v>
      </c>
      <c r="P5" s="329" t="s">
        <v>457</v>
      </c>
      <c r="Q5" s="370" t="s">
        <v>469</v>
      </c>
      <c r="R5" s="374" t="s">
        <v>298</v>
      </c>
      <c r="S5" s="228" t="s">
        <v>291</v>
      </c>
      <c r="T5" s="200" t="s">
        <v>470</v>
      </c>
      <c r="U5" s="360">
        <v>46100</v>
      </c>
      <c r="V5" s="372">
        <v>46100</v>
      </c>
      <c r="W5" s="327" t="s">
        <v>426</v>
      </c>
      <c r="X5" s="370" t="s">
        <v>291</v>
      </c>
      <c r="Y5" s="327" t="s">
        <v>295</v>
      </c>
      <c r="Z5" s="373">
        <v>46100</v>
      </c>
      <c r="AA5" s="370" t="s">
        <v>291</v>
      </c>
      <c r="AB5" s="327" t="s">
        <v>291</v>
      </c>
      <c r="AC5" s="327" t="s">
        <v>291</v>
      </c>
      <c r="AD5" s="388" t="s">
        <v>471</v>
      </c>
      <c r="AE5" s="547" t="s">
        <v>472</v>
      </c>
    </row>
    <row r="6" spans="1:31" ht="48">
      <c r="A6" s="369">
        <v>5</v>
      </c>
      <c r="B6" s="369" t="s">
        <v>5</v>
      </c>
      <c r="C6" s="372">
        <v>46093</v>
      </c>
      <c r="D6" s="372">
        <v>46107</v>
      </c>
      <c r="E6" s="229" t="s">
        <v>208</v>
      </c>
      <c r="F6" s="229" t="s">
        <v>426</v>
      </c>
      <c r="G6" s="229" t="s">
        <v>473</v>
      </c>
      <c r="H6" s="329" t="s">
        <v>474</v>
      </c>
      <c r="I6" s="327" t="s">
        <v>289</v>
      </c>
      <c r="J6" s="327">
        <v>1</v>
      </c>
      <c r="K6" s="327">
        <v>1</v>
      </c>
      <c r="L6" s="327">
        <v>5.75</v>
      </c>
      <c r="M6" s="373">
        <v>46098</v>
      </c>
      <c r="N6" s="373">
        <v>46098</v>
      </c>
      <c r="O6" s="229" t="s">
        <v>290</v>
      </c>
      <c r="P6" s="329" t="s">
        <v>426</v>
      </c>
      <c r="Q6" s="327" t="s">
        <v>291</v>
      </c>
      <c r="R6" s="374" t="s">
        <v>291</v>
      </c>
      <c r="S6" s="228" t="s">
        <v>291</v>
      </c>
      <c r="T6" s="200" t="s">
        <v>475</v>
      </c>
      <c r="U6" s="360">
        <v>46099</v>
      </c>
      <c r="V6" s="372">
        <v>46099</v>
      </c>
      <c r="W6" s="327" t="s">
        <v>291</v>
      </c>
      <c r="X6" s="370" t="s">
        <v>291</v>
      </c>
      <c r="Y6" s="327" t="s">
        <v>295</v>
      </c>
      <c r="Z6" s="373">
        <v>46099</v>
      </c>
      <c r="AA6" s="370" t="s">
        <v>291</v>
      </c>
      <c r="AB6" s="327" t="s">
        <v>291</v>
      </c>
      <c r="AC6" s="327" t="s">
        <v>291</v>
      </c>
      <c r="AD6" s="548" t="s">
        <v>476</v>
      </c>
      <c r="AE6" s="547" t="s">
        <v>472</v>
      </c>
    </row>
    <row r="7" spans="1:31" ht="60">
      <c r="A7" s="369">
        <v>6</v>
      </c>
      <c r="B7" s="369" t="s">
        <v>5</v>
      </c>
      <c r="C7" s="372">
        <v>46093</v>
      </c>
      <c r="D7" s="372">
        <v>46107</v>
      </c>
      <c r="E7" s="229" t="s">
        <v>208</v>
      </c>
      <c r="F7" s="229" t="s">
        <v>298</v>
      </c>
      <c r="G7" s="229" t="s">
        <v>477</v>
      </c>
      <c r="H7" s="329" t="s">
        <v>478</v>
      </c>
      <c r="I7" s="327" t="s">
        <v>289</v>
      </c>
      <c r="J7" s="327">
        <v>3</v>
      </c>
      <c r="K7" s="327">
        <v>3</v>
      </c>
      <c r="L7" s="327">
        <v>17.5</v>
      </c>
      <c r="M7" s="373">
        <v>46094</v>
      </c>
      <c r="N7" s="373">
        <v>46099</v>
      </c>
      <c r="O7" s="229" t="s">
        <v>290</v>
      </c>
      <c r="P7" s="329" t="s">
        <v>457</v>
      </c>
      <c r="Q7" s="327" t="s">
        <v>291</v>
      </c>
      <c r="R7" s="374" t="s">
        <v>292</v>
      </c>
      <c r="S7" s="473" t="s">
        <v>291</v>
      </c>
      <c r="T7" s="474" t="s">
        <v>479</v>
      </c>
      <c r="U7" s="475">
        <v>46098</v>
      </c>
      <c r="V7" s="373">
        <v>46100</v>
      </c>
      <c r="W7" s="327" t="s">
        <v>426</v>
      </c>
      <c r="X7" s="370" t="s">
        <v>291</v>
      </c>
      <c r="Y7" s="327" t="s">
        <v>295</v>
      </c>
      <c r="Z7" s="373">
        <v>46100</v>
      </c>
      <c r="AA7" s="370" t="s">
        <v>291</v>
      </c>
      <c r="AB7" s="327" t="s">
        <v>291</v>
      </c>
      <c r="AC7" s="327" t="s">
        <v>291</v>
      </c>
      <c r="AD7" s="388" t="s">
        <v>480</v>
      </c>
      <c r="AE7" s="183" t="s">
        <v>481</v>
      </c>
    </row>
    <row r="8" spans="1:31">
      <c r="A8" s="369">
        <v>7</v>
      </c>
      <c r="B8" s="369" t="s">
        <v>5</v>
      </c>
      <c r="C8" s="372">
        <v>46093</v>
      </c>
      <c r="D8" s="372">
        <v>46107</v>
      </c>
      <c r="E8" s="229" t="s">
        <v>208</v>
      </c>
      <c r="F8" s="229" t="s">
        <v>457</v>
      </c>
      <c r="G8" s="229" t="s">
        <v>482</v>
      </c>
      <c r="H8" s="329" t="s">
        <v>483</v>
      </c>
      <c r="I8" s="327" t="s">
        <v>289</v>
      </c>
      <c r="J8" s="327">
        <v>3</v>
      </c>
      <c r="K8" s="327">
        <v>3</v>
      </c>
      <c r="L8" s="327">
        <v>53</v>
      </c>
      <c r="M8" s="327"/>
      <c r="N8" s="327"/>
      <c r="O8" s="229"/>
      <c r="P8" s="329"/>
      <c r="Q8" s="327"/>
      <c r="R8" s="374"/>
      <c r="S8" s="228"/>
      <c r="T8" s="200"/>
      <c r="U8" s="372"/>
      <c r="V8" s="373"/>
      <c r="W8" s="327"/>
      <c r="X8" s="370"/>
      <c r="Y8" s="327"/>
      <c r="Z8" s="373"/>
      <c r="AA8" s="370"/>
      <c r="AB8" s="327"/>
      <c r="AC8" s="327"/>
      <c r="AD8" s="249"/>
      <c r="AE8" s="228" t="s">
        <v>484</v>
      </c>
    </row>
    <row r="9" spans="1:31" ht="60">
      <c r="A9" s="369">
        <v>8</v>
      </c>
      <c r="B9" s="369" t="s">
        <v>5</v>
      </c>
      <c r="C9" s="372">
        <v>46093</v>
      </c>
      <c r="D9" s="372">
        <v>46107</v>
      </c>
      <c r="E9" s="229" t="s">
        <v>485</v>
      </c>
      <c r="F9" s="229" t="s">
        <v>298</v>
      </c>
      <c r="G9" s="229" t="s">
        <v>486</v>
      </c>
      <c r="H9" s="329" t="s">
        <v>487</v>
      </c>
      <c r="I9" s="327" t="s">
        <v>289</v>
      </c>
      <c r="J9" s="327">
        <v>2</v>
      </c>
      <c r="K9" s="327">
        <v>2</v>
      </c>
      <c r="L9" s="327">
        <v>34.25</v>
      </c>
      <c r="M9" s="373">
        <v>46097</v>
      </c>
      <c r="N9" s="373">
        <v>46099</v>
      </c>
      <c r="O9" s="229" t="s">
        <v>290</v>
      </c>
      <c r="P9" s="329" t="s">
        <v>457</v>
      </c>
      <c r="Q9" s="327" t="s">
        <v>291</v>
      </c>
      <c r="R9" s="374" t="s">
        <v>292</v>
      </c>
      <c r="S9" s="228" t="s">
        <v>291</v>
      </c>
      <c r="T9" s="200" t="s">
        <v>479</v>
      </c>
      <c r="U9" s="372">
        <v>46098</v>
      </c>
      <c r="V9" s="373">
        <v>46100</v>
      </c>
      <c r="W9" s="327" t="s">
        <v>426</v>
      </c>
      <c r="X9" s="370" t="s">
        <v>291</v>
      </c>
      <c r="Y9" s="327" t="s">
        <v>295</v>
      </c>
      <c r="Z9" s="373">
        <v>46100</v>
      </c>
      <c r="AA9" s="370" t="s">
        <v>291</v>
      </c>
      <c r="AB9" s="327" t="s">
        <v>291</v>
      </c>
      <c r="AC9" s="327" t="s">
        <v>291</v>
      </c>
      <c r="AD9" s="388" t="s">
        <v>488</v>
      </c>
      <c r="AE9" s="183" t="s">
        <v>489</v>
      </c>
    </row>
    <row r="10" spans="1:31" ht="48">
      <c r="A10" s="369">
        <v>9</v>
      </c>
      <c r="B10" s="369" t="s">
        <v>5</v>
      </c>
      <c r="C10" s="372">
        <v>46093</v>
      </c>
      <c r="D10" s="372">
        <v>46107</v>
      </c>
      <c r="E10" s="229" t="s">
        <v>485</v>
      </c>
      <c r="F10" s="229" t="s">
        <v>298</v>
      </c>
      <c r="G10" s="229" t="s">
        <v>490</v>
      </c>
      <c r="H10" s="329" t="s">
        <v>491</v>
      </c>
      <c r="I10" s="327" t="s">
        <v>289</v>
      </c>
      <c r="J10" s="327">
        <v>3</v>
      </c>
      <c r="K10" s="327">
        <v>3</v>
      </c>
      <c r="L10" s="327">
        <v>18.75</v>
      </c>
      <c r="M10" s="373">
        <v>46100</v>
      </c>
      <c r="N10" s="373">
        <v>46100</v>
      </c>
      <c r="O10" s="229" t="s">
        <v>290</v>
      </c>
      <c r="P10" s="329" t="s">
        <v>457</v>
      </c>
      <c r="Q10" s="327" t="s">
        <v>291</v>
      </c>
      <c r="R10" s="327" t="s">
        <v>292</v>
      </c>
      <c r="S10" s="181" t="s">
        <v>291</v>
      </c>
      <c r="T10" s="432" t="s">
        <v>492</v>
      </c>
      <c r="U10" s="373">
        <v>46100</v>
      </c>
      <c r="V10" s="373">
        <v>46100</v>
      </c>
      <c r="W10" s="327" t="s">
        <v>426</v>
      </c>
      <c r="X10" s="370" t="s">
        <v>291</v>
      </c>
      <c r="Y10" s="327" t="s">
        <v>295</v>
      </c>
      <c r="Z10" s="373">
        <v>46100</v>
      </c>
      <c r="AA10" s="370" t="s">
        <v>291</v>
      </c>
      <c r="AB10" s="327" t="s">
        <v>291</v>
      </c>
      <c r="AC10" s="327" t="s">
        <v>291</v>
      </c>
      <c r="AD10" s="548" t="s">
        <v>493</v>
      </c>
      <c r="AE10" s="183" t="s">
        <v>494</v>
      </c>
    </row>
    <row r="11" spans="1:31">
      <c r="A11" s="369">
        <v>10</v>
      </c>
      <c r="B11" s="369" t="s">
        <v>5</v>
      </c>
      <c r="C11" s="372">
        <v>46093</v>
      </c>
      <c r="D11" s="372">
        <v>46107</v>
      </c>
      <c r="E11" s="229" t="s">
        <v>485</v>
      </c>
      <c r="F11" s="229" t="s">
        <v>234</v>
      </c>
      <c r="G11" s="229" t="s">
        <v>495</v>
      </c>
      <c r="H11" s="329" t="s">
        <v>496</v>
      </c>
      <c r="I11" s="327" t="s">
        <v>289</v>
      </c>
      <c r="J11" s="327">
        <v>2</v>
      </c>
      <c r="K11" s="327">
        <v>2</v>
      </c>
      <c r="L11" s="327">
        <v>44</v>
      </c>
      <c r="M11" s="327"/>
      <c r="N11" s="327"/>
      <c r="O11" s="229"/>
      <c r="P11" s="329"/>
      <c r="Q11" s="327"/>
      <c r="R11" s="327"/>
      <c r="T11" s="432"/>
      <c r="U11" s="373"/>
      <c r="V11" s="373"/>
      <c r="W11" s="327"/>
      <c r="X11" s="370"/>
      <c r="Y11" s="327"/>
      <c r="Z11" s="373"/>
      <c r="AA11" s="370"/>
      <c r="AB11" s="327"/>
      <c r="AC11" s="327"/>
      <c r="AD11" s="218"/>
      <c r="AE11" s="181"/>
    </row>
  </sheetData>
  <hyperlinks>
    <hyperlink ref="T6" r:id="rId1" xr:uid="{6044E5DC-5375-4435-89F4-FF2C93AFD639}"/>
    <hyperlink ref="T7" r:id="rId2" xr:uid="{D9908F36-6810-4CED-9C94-E1CFA80857F9}"/>
    <hyperlink ref="T9" r:id="rId3" xr:uid="{F7B55572-EDBF-45A0-9C70-04C4D9FBD613}"/>
    <hyperlink ref="T10" r:id="rId4" xr:uid="{12C7460A-D5B9-4957-8810-D7A84B913E62}"/>
    <hyperlink ref="T5" r:id="rId5" xr:uid="{BCC9F6AB-DD38-4AF4-BD6E-5DE62F121691}"/>
    <hyperlink ref="T4" r:id="rId6" xr:uid="{B823356D-C637-464C-9469-8BE93A64218F}"/>
    <hyperlink ref="T2" r:id="rId7" xr:uid="{CF2E5D6E-BEAD-40EE-B279-58566CC292A6}"/>
  </hyperlinks>
  <pageMargins left="0.7" right="0.7" top="0.75" bottom="0.75" header="0.3" footer="0.3"/>
  <tableParts count="1">
    <tablePart r:id="rId8"/>
  </tableParts>
  <extLst>
    <ext xmlns:x14="http://schemas.microsoft.com/office/spreadsheetml/2009/9/main" uri="{CCE6A557-97BC-4b89-ADB6-D9C93CAAB3DF}">
      <x14:dataValidations xmlns:xm="http://schemas.microsoft.com/office/excel/2006/main" count="1">
        <x14:dataValidation type="list" allowBlank="1" showErrorMessage="1" xr:uid="{03B9817C-E455-420D-A8B5-55B7066F2DB8}">
          <x14:formula1>
            <xm:f>Settings!$C$3:$C$20</xm:f>
          </x14:formula1>
          <xm:sqref>I2:I11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06482-E2A6-43D0-954A-846B187C912D}">
  <sheetPr>
    <outlinePr summaryBelow="0" summaryRight="0"/>
  </sheetPr>
  <dimension ref="A1:AB974"/>
  <sheetViews>
    <sheetView topLeftCell="B1" workbookViewId="0">
      <selection activeCell="O3" sqref="O3"/>
    </sheetView>
  </sheetViews>
  <sheetFormatPr defaultColWidth="12.5703125" defaultRowHeight="15" customHeight="1"/>
  <cols>
    <col min="1" max="1" width="12.5703125" hidden="1" customWidth="1"/>
    <col min="2" max="2" width="21.42578125" customWidth="1"/>
    <col min="3" max="3" width="23.5703125" customWidth="1"/>
    <col min="4" max="4" width="14.42578125" customWidth="1"/>
    <col min="5" max="5" width="19.140625" customWidth="1"/>
    <col min="6" max="6" width="37.5703125" customWidth="1"/>
    <col min="7" max="7" width="50.5703125" customWidth="1"/>
    <col min="8" max="9" width="18.7109375" customWidth="1"/>
    <col min="10" max="10" width="9.140625" bestFit="1" customWidth="1"/>
    <col min="11" max="11" width="19" customWidth="1"/>
    <col min="12" max="12" width="18" customWidth="1"/>
    <col min="13" max="13" width="41" customWidth="1"/>
    <col min="14" max="14" width="14.140625" style="122" customWidth="1"/>
    <col min="15" max="15" width="63.28515625" customWidth="1"/>
  </cols>
  <sheetData>
    <row r="1" spans="1:28" ht="13.5">
      <c r="A1" s="536" t="s">
        <v>254</v>
      </c>
      <c r="B1" s="59" t="s">
        <v>321</v>
      </c>
      <c r="C1" s="243" t="s">
        <v>322</v>
      </c>
      <c r="D1" s="243" t="s">
        <v>323</v>
      </c>
      <c r="E1" s="59" t="s">
        <v>256</v>
      </c>
      <c r="F1" s="243" t="s">
        <v>324</v>
      </c>
      <c r="G1" s="243" t="s">
        <v>325</v>
      </c>
      <c r="H1" s="59" t="s">
        <v>326</v>
      </c>
      <c r="I1" s="59" t="s">
        <v>327</v>
      </c>
      <c r="J1" s="59" t="s">
        <v>328</v>
      </c>
      <c r="K1" s="59" t="s">
        <v>259</v>
      </c>
      <c r="L1" s="523" t="s">
        <v>329</v>
      </c>
      <c r="M1" s="157" t="s">
        <v>280</v>
      </c>
      <c r="N1" s="487" t="s">
        <v>330</v>
      </c>
      <c r="O1" s="487" t="s">
        <v>331</v>
      </c>
      <c r="P1" s="35"/>
      <c r="Q1" s="35"/>
      <c r="R1" s="35"/>
      <c r="S1" s="35"/>
      <c r="T1" s="35"/>
      <c r="U1" s="35"/>
      <c r="V1" s="35"/>
      <c r="W1" s="35"/>
      <c r="X1" s="35"/>
      <c r="Y1" s="35"/>
      <c r="Z1" s="35"/>
      <c r="AA1" s="35"/>
      <c r="AB1" s="35"/>
    </row>
    <row r="2" spans="1:28" ht="45" customHeight="1">
      <c r="B2" s="137" t="s">
        <v>208</v>
      </c>
      <c r="C2" s="137" t="s">
        <v>473</v>
      </c>
      <c r="E2" s="181" t="s">
        <v>426</v>
      </c>
      <c r="F2" s="221" t="s">
        <v>380</v>
      </c>
      <c r="G2" t="s">
        <v>474</v>
      </c>
      <c r="H2" s="126" t="s">
        <v>381</v>
      </c>
      <c r="I2" s="244" t="s">
        <v>382</v>
      </c>
      <c r="J2" s="244" t="s">
        <v>421</v>
      </c>
      <c r="K2" s="244" t="s">
        <v>384</v>
      </c>
      <c r="L2" s="126" t="s">
        <v>451</v>
      </c>
      <c r="M2" s="144" t="s">
        <v>497</v>
      </c>
      <c r="N2" s="122" t="s">
        <v>498</v>
      </c>
      <c r="O2" t="s">
        <v>499</v>
      </c>
    </row>
    <row r="3" spans="1:28" ht="57" customHeight="1">
      <c r="B3" s="203" t="s">
        <v>208</v>
      </c>
      <c r="C3" s="203" t="s">
        <v>477</v>
      </c>
      <c r="D3" s="58"/>
      <c r="E3" s="228" t="s">
        <v>298</v>
      </c>
      <c r="F3" s="228" t="s">
        <v>380</v>
      </c>
      <c r="G3" s="58" t="s">
        <v>478</v>
      </c>
      <c r="H3" s="58" t="s">
        <v>381</v>
      </c>
      <c r="I3" s="41" t="s">
        <v>382</v>
      </c>
      <c r="J3" s="41" t="s">
        <v>421</v>
      </c>
      <c r="K3" s="41" t="s">
        <v>500</v>
      </c>
      <c r="L3" s="41" t="s">
        <v>385</v>
      </c>
      <c r="M3" s="216" t="s">
        <v>501</v>
      </c>
      <c r="N3" s="91" t="s">
        <v>502</v>
      </c>
      <c r="O3" s="216" t="s">
        <v>503</v>
      </c>
    </row>
    <row r="4" spans="1:28" ht="15.75" customHeight="1">
      <c r="I4" s="244"/>
      <c r="J4" s="244"/>
      <c r="K4" s="244"/>
    </row>
    <row r="5" spans="1:28" ht="15.75" customHeight="1">
      <c r="I5" s="244"/>
    </row>
    <row r="6" spans="1:28" ht="15.75" customHeight="1"/>
    <row r="7" spans="1:28" ht="15.75" customHeight="1"/>
    <row r="8" spans="1:28" ht="15.75" customHeight="1"/>
    <row r="9" spans="1:28" ht="15.75" customHeight="1"/>
    <row r="10" spans="1:28" ht="15.75" customHeight="1"/>
    <row r="11" spans="1:28" ht="15.75" customHeight="1"/>
    <row r="12" spans="1:28" ht="15.75" customHeight="1"/>
    <row r="13" spans="1:28" ht="15.75" customHeight="1"/>
    <row r="14" spans="1:28" ht="15.75" customHeight="1"/>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sheetData>
  <autoFilter ref="A1:M1" xr:uid="{3A2BB050-11AC-4ED7-A296-96B42C7FCFBA}"/>
  <dataValidations count="5">
    <dataValidation type="list" allowBlank="1" showErrorMessage="1" sqref="K2:K4" xr:uid="{B177911E-235B-4EF0-816B-ED3A44A72F6D}">
      <formula1>"Open,Inprogress,Closed"</formula1>
    </dataValidation>
    <dataValidation type="list" allowBlank="1" showErrorMessage="1" sqref="J2:J4" xr:uid="{2080BABA-DF23-40BC-9820-A71797484837}">
      <formula1>"Internal,External"</formula1>
    </dataValidation>
    <dataValidation type="list" allowBlank="1" showErrorMessage="1" sqref="I2:I5" xr:uid="{4D09A137-E6D6-492C-BD2B-820D4F2A0688}">
      <formula1>"Manual, Automation"</formula1>
    </dataValidation>
    <dataValidation type="list" allowBlank="1" showErrorMessage="1" sqref="F2" xr:uid="{369D5E31-74FF-4FD5-95A6-74411F555A95}">
      <formula1>"Bounceback,Defect,None"</formula1>
    </dataValidation>
    <dataValidation type="list" allowBlank="1" showErrorMessage="1" sqref="H2" xr:uid="{1909CCE4-61ED-4973-B7E0-02B6BC9ACFFC}">
      <formula1>"Minor,Significant,Major"</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9F360B73-A8EA-4615-A0ED-85BEEB86E3FC}">
          <x14:formula1>
            <xm:f>Details!$A$2:$A$10</xm:f>
          </x14:formula1>
          <xm:sqref>L2:L3</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1BAE2-3531-4EE0-AFC3-089B20FA969E}">
  <dimension ref="A1:AE10"/>
  <sheetViews>
    <sheetView workbookViewId="0">
      <pane xSplit="7" ySplit="1" topLeftCell="N2" activePane="bottomRight" state="frozen"/>
      <selection pane="bottomRight" activeCell="L9" sqref="L9"/>
      <selection pane="bottomLeft"/>
      <selection pane="topRight"/>
    </sheetView>
  </sheetViews>
  <sheetFormatPr defaultRowHeight="12.75"/>
  <cols>
    <col min="2" max="2" width="13.28515625" customWidth="1"/>
    <col min="3" max="3" width="10.85546875" customWidth="1"/>
    <col min="4" max="4" width="12.140625" customWidth="1"/>
    <col min="5" max="5" width="32.28515625" customWidth="1"/>
    <col min="6" max="6" width="24.28515625" customWidth="1"/>
    <col min="7" max="7" width="18.85546875" customWidth="1"/>
    <col min="8" max="8" width="50.28515625" style="137" customWidth="1"/>
    <col min="9" max="9" width="16.85546875" customWidth="1"/>
    <col min="10" max="10" width="11.42578125" style="122" bestFit="1" customWidth="1"/>
    <col min="11" max="11" width="11.42578125" bestFit="1" customWidth="1"/>
    <col min="12" max="12" width="11.42578125" customWidth="1"/>
    <col min="13" max="13" width="14.42578125" customWidth="1"/>
    <col min="14" max="14" width="11.42578125" customWidth="1"/>
    <col min="15" max="15" width="13.140625" customWidth="1"/>
    <col min="16" max="16" width="13.42578125" style="144" customWidth="1"/>
    <col min="17" max="17" width="29.140625" customWidth="1"/>
    <col min="18" max="18" width="16.42578125" style="181" customWidth="1"/>
    <col min="19" max="19" width="14.85546875" style="181" customWidth="1"/>
    <col min="20" max="20" width="29.42578125" style="144" customWidth="1"/>
    <col min="21" max="22" width="12.7109375" bestFit="1" customWidth="1"/>
    <col min="23" max="23" width="21.28515625" customWidth="1"/>
    <col min="24" max="24" width="32.140625" style="144" customWidth="1"/>
    <col min="25" max="25" width="11.42578125" bestFit="1" customWidth="1"/>
    <col min="26" max="26" width="12.7109375" bestFit="1" customWidth="1"/>
    <col min="27" max="27" width="18.7109375" customWidth="1"/>
    <col min="28" max="29" width="11.42578125" bestFit="1" customWidth="1"/>
    <col min="30" max="30" width="81.42578125" customWidth="1"/>
    <col min="31" max="31" width="40.7109375" customWidth="1"/>
  </cols>
  <sheetData>
    <row r="1" spans="1:31" ht="48">
      <c r="A1" s="379" t="s">
        <v>254</v>
      </c>
      <c r="B1" s="404" t="s">
        <v>4</v>
      </c>
      <c r="C1" s="404" t="s">
        <v>2</v>
      </c>
      <c r="D1" s="404" t="s">
        <v>3</v>
      </c>
      <c r="E1" s="527" t="s">
        <v>255</v>
      </c>
      <c r="F1" s="527" t="s">
        <v>256</v>
      </c>
      <c r="G1" s="383" t="s">
        <v>257</v>
      </c>
      <c r="H1" s="383" t="s">
        <v>258</v>
      </c>
      <c r="I1" s="383" t="s">
        <v>259</v>
      </c>
      <c r="J1" s="518" t="s">
        <v>260</v>
      </c>
      <c r="K1" s="384" t="s">
        <v>261</v>
      </c>
      <c r="L1" s="384" t="s">
        <v>262</v>
      </c>
      <c r="M1" s="384" t="s">
        <v>263</v>
      </c>
      <c r="N1" s="384" t="s">
        <v>264</v>
      </c>
      <c r="O1" s="385" t="s">
        <v>265</v>
      </c>
      <c r="P1" s="385" t="s">
        <v>266</v>
      </c>
      <c r="Q1" s="385" t="s">
        <v>267</v>
      </c>
      <c r="R1" s="525" t="s">
        <v>268</v>
      </c>
      <c r="S1" s="525" t="s">
        <v>269</v>
      </c>
      <c r="T1" s="385" t="s">
        <v>270</v>
      </c>
      <c r="U1" s="385" t="s">
        <v>271</v>
      </c>
      <c r="V1" s="385" t="s">
        <v>272</v>
      </c>
      <c r="W1" s="385" t="s">
        <v>273</v>
      </c>
      <c r="X1" s="385" t="s">
        <v>274</v>
      </c>
      <c r="Y1" s="385" t="s">
        <v>275</v>
      </c>
      <c r="Z1" s="385" t="s">
        <v>276</v>
      </c>
      <c r="AA1" s="385" t="s">
        <v>277</v>
      </c>
      <c r="AB1" s="385" t="s">
        <v>278</v>
      </c>
      <c r="AC1" s="526" t="s">
        <v>279</v>
      </c>
      <c r="AD1" s="240" t="s">
        <v>280</v>
      </c>
      <c r="AE1" s="385" t="s">
        <v>281</v>
      </c>
    </row>
    <row r="2" spans="1:31" ht="129.75" customHeight="1">
      <c r="A2" s="369">
        <v>1</v>
      </c>
      <c r="B2" s="369" t="s">
        <v>5</v>
      </c>
      <c r="C2" s="372">
        <v>46079</v>
      </c>
      <c r="D2" s="430">
        <v>46093</v>
      </c>
      <c r="E2" s="316" t="s">
        <v>204</v>
      </c>
      <c r="F2" s="316" t="s">
        <v>504</v>
      </c>
      <c r="G2" s="431" t="s">
        <v>505</v>
      </c>
      <c r="H2" s="524" t="s">
        <v>506</v>
      </c>
      <c r="I2" s="506" t="s">
        <v>289</v>
      </c>
      <c r="J2" s="228">
        <v>5</v>
      </c>
      <c r="K2" s="506">
        <v>5</v>
      </c>
      <c r="L2" s="228">
        <v>67.25</v>
      </c>
      <c r="M2" s="511" t="s">
        <v>291</v>
      </c>
      <c r="N2" s="373" t="s">
        <v>291</v>
      </c>
      <c r="O2" s="229" t="s">
        <v>291</v>
      </c>
      <c r="P2" s="329" t="s">
        <v>291</v>
      </c>
      <c r="Q2" s="370" t="s">
        <v>291</v>
      </c>
      <c r="R2" s="374" t="s">
        <v>291</v>
      </c>
      <c r="S2" s="327" t="s">
        <v>291</v>
      </c>
      <c r="T2" s="271" t="s">
        <v>291</v>
      </c>
      <c r="U2" s="373" t="s">
        <v>291</v>
      </c>
      <c r="V2" s="360" t="s">
        <v>291</v>
      </c>
      <c r="W2" s="369" t="s">
        <v>291</v>
      </c>
      <c r="X2" s="370" t="s">
        <v>291</v>
      </c>
      <c r="Y2" s="327" t="s">
        <v>291</v>
      </c>
      <c r="Z2" s="373" t="s">
        <v>291</v>
      </c>
      <c r="AA2" s="370" t="s">
        <v>291</v>
      </c>
      <c r="AB2" s="327" t="s">
        <v>291</v>
      </c>
      <c r="AC2" s="374" t="s">
        <v>291</v>
      </c>
      <c r="AD2" s="378" t="s">
        <v>507</v>
      </c>
      <c r="AE2" s="183" t="s">
        <v>508</v>
      </c>
    </row>
    <row r="3" spans="1:31" ht="81" customHeight="1">
      <c r="A3" s="369">
        <v>2</v>
      </c>
      <c r="B3" s="369" t="s">
        <v>5</v>
      </c>
      <c r="C3" s="372">
        <v>46079</v>
      </c>
      <c r="D3" s="372">
        <v>46093</v>
      </c>
      <c r="E3" s="229" t="s">
        <v>204</v>
      </c>
      <c r="F3" s="229" t="s">
        <v>286</v>
      </c>
      <c r="G3" s="229" t="s">
        <v>509</v>
      </c>
      <c r="H3" s="329" t="s">
        <v>510</v>
      </c>
      <c r="I3" s="327" t="s">
        <v>289</v>
      </c>
      <c r="J3" s="327">
        <v>5</v>
      </c>
      <c r="K3" s="327">
        <v>5</v>
      </c>
      <c r="L3" s="486">
        <v>24.25</v>
      </c>
      <c r="M3" s="373">
        <v>46080</v>
      </c>
      <c r="N3" s="373">
        <v>46083</v>
      </c>
      <c r="O3" s="229" t="s">
        <v>290</v>
      </c>
      <c r="P3" s="329" t="s">
        <v>457</v>
      </c>
      <c r="Q3" s="370" t="s">
        <v>291</v>
      </c>
      <c r="R3" s="374" t="s">
        <v>437</v>
      </c>
      <c r="S3" s="228" t="s">
        <v>291</v>
      </c>
      <c r="T3" s="200" t="s">
        <v>511</v>
      </c>
      <c r="U3" s="372">
        <v>46083</v>
      </c>
      <c r="V3" s="373">
        <v>46083</v>
      </c>
      <c r="W3" s="327" t="s">
        <v>426</v>
      </c>
      <c r="X3" s="370" t="s">
        <v>291</v>
      </c>
      <c r="Y3" s="327" t="s">
        <v>295</v>
      </c>
      <c r="Z3" s="373">
        <v>46083</v>
      </c>
      <c r="AA3" s="370" t="s">
        <v>291</v>
      </c>
      <c r="AB3" s="327" t="s">
        <v>291</v>
      </c>
      <c r="AC3" s="327" t="s">
        <v>291</v>
      </c>
      <c r="AD3" s="388" t="s">
        <v>512</v>
      </c>
      <c r="AE3" s="90" t="s">
        <v>513</v>
      </c>
    </row>
    <row r="4" spans="1:31" ht="64.5" customHeight="1">
      <c r="A4" s="369">
        <v>3</v>
      </c>
      <c r="B4" s="369" t="s">
        <v>5</v>
      </c>
      <c r="C4" s="372">
        <v>46079</v>
      </c>
      <c r="D4" s="372">
        <v>46093</v>
      </c>
      <c r="E4" s="229" t="s">
        <v>204</v>
      </c>
      <c r="F4" s="229" t="s">
        <v>298</v>
      </c>
      <c r="G4" s="229" t="s">
        <v>514</v>
      </c>
      <c r="H4" s="540" t="s">
        <v>515</v>
      </c>
      <c r="I4" s="327" t="s">
        <v>289</v>
      </c>
      <c r="J4" s="327"/>
      <c r="K4" s="327"/>
      <c r="L4" s="327">
        <v>4</v>
      </c>
      <c r="M4" s="520">
        <v>46080</v>
      </c>
      <c r="N4" s="373">
        <v>46080</v>
      </c>
      <c r="O4" s="229" t="s">
        <v>290</v>
      </c>
      <c r="P4" s="329" t="s">
        <v>457</v>
      </c>
      <c r="Q4" s="327" t="s">
        <v>291</v>
      </c>
      <c r="R4" s="374" t="s">
        <v>291</v>
      </c>
      <c r="S4" s="228" t="s">
        <v>291</v>
      </c>
      <c r="T4" s="200" t="s">
        <v>516</v>
      </c>
      <c r="U4" s="372">
        <v>46080</v>
      </c>
      <c r="V4" s="373">
        <v>46108</v>
      </c>
      <c r="W4" s="327" t="s">
        <v>426</v>
      </c>
      <c r="X4" s="370" t="s">
        <v>291</v>
      </c>
      <c r="Y4" s="327" t="s">
        <v>295</v>
      </c>
      <c r="Z4" s="373">
        <v>46080</v>
      </c>
      <c r="AA4" s="370" t="s">
        <v>291</v>
      </c>
      <c r="AB4" s="327" t="s">
        <v>291</v>
      </c>
      <c r="AC4" s="327" t="s">
        <v>291</v>
      </c>
      <c r="AD4" s="388" t="s">
        <v>517</v>
      </c>
      <c r="AE4" s="183" t="s">
        <v>518</v>
      </c>
    </row>
    <row r="5" spans="1:31" ht="59.25" customHeight="1">
      <c r="A5" s="369">
        <v>4</v>
      </c>
      <c r="B5" s="369" t="s">
        <v>5</v>
      </c>
      <c r="C5" s="372">
        <v>46079</v>
      </c>
      <c r="D5" s="372">
        <v>46093</v>
      </c>
      <c r="E5" s="229" t="s">
        <v>204</v>
      </c>
      <c r="F5" s="229" t="s">
        <v>519</v>
      </c>
      <c r="G5" s="229" t="s">
        <v>520</v>
      </c>
      <c r="H5" s="329" t="s">
        <v>521</v>
      </c>
      <c r="I5" s="327" t="s">
        <v>289</v>
      </c>
      <c r="J5" s="327"/>
      <c r="K5" s="327"/>
      <c r="L5" s="327">
        <v>6</v>
      </c>
      <c r="M5" s="373">
        <v>46080</v>
      </c>
      <c r="N5" s="373">
        <v>46080</v>
      </c>
      <c r="O5" s="229" t="s">
        <v>290</v>
      </c>
      <c r="P5" s="329" t="s">
        <v>457</v>
      </c>
      <c r="Q5" s="327" t="s">
        <v>291</v>
      </c>
      <c r="R5" s="374" t="s">
        <v>291</v>
      </c>
      <c r="S5" s="228" t="s">
        <v>291</v>
      </c>
      <c r="T5" s="200" t="s">
        <v>511</v>
      </c>
      <c r="U5" s="372">
        <v>46080</v>
      </c>
      <c r="V5" s="373">
        <v>46083</v>
      </c>
      <c r="W5" s="327" t="s">
        <v>426</v>
      </c>
      <c r="X5" s="370" t="s">
        <v>291</v>
      </c>
      <c r="Y5" s="327" t="s">
        <v>295</v>
      </c>
      <c r="Z5" s="373">
        <v>46083</v>
      </c>
      <c r="AA5" s="370" t="s">
        <v>291</v>
      </c>
      <c r="AB5" s="327" t="s">
        <v>291</v>
      </c>
      <c r="AC5" s="327" t="s">
        <v>291</v>
      </c>
      <c r="AD5" s="388" t="s">
        <v>522</v>
      </c>
      <c r="AE5" s="183" t="s">
        <v>518</v>
      </c>
    </row>
    <row r="6" spans="1:31" ht="48">
      <c r="A6" s="369">
        <v>5</v>
      </c>
      <c r="B6" s="369" t="s">
        <v>5</v>
      </c>
      <c r="C6" s="372">
        <v>46079</v>
      </c>
      <c r="D6" s="372">
        <v>46093</v>
      </c>
      <c r="E6" s="229" t="s">
        <v>204</v>
      </c>
      <c r="F6" s="229" t="s">
        <v>298</v>
      </c>
      <c r="G6" s="229" t="s">
        <v>523</v>
      </c>
      <c r="H6" s="329" t="s">
        <v>524</v>
      </c>
      <c r="I6" s="327" t="s">
        <v>289</v>
      </c>
      <c r="J6" s="327"/>
      <c r="K6" s="327"/>
      <c r="L6" s="327">
        <v>4.5</v>
      </c>
      <c r="M6" s="535">
        <v>46080</v>
      </c>
      <c r="N6" s="535">
        <v>46080</v>
      </c>
      <c r="O6" s="229" t="s">
        <v>290</v>
      </c>
      <c r="P6" s="329" t="s">
        <v>457</v>
      </c>
      <c r="Q6" s="370" t="s">
        <v>291</v>
      </c>
      <c r="R6" s="374" t="s">
        <v>291</v>
      </c>
      <c r="S6" s="228" t="s">
        <v>291</v>
      </c>
      <c r="T6" s="205" t="s">
        <v>525</v>
      </c>
      <c r="U6" s="372">
        <v>46080</v>
      </c>
      <c r="V6" s="373">
        <v>46080</v>
      </c>
      <c r="W6" s="327" t="s">
        <v>426</v>
      </c>
      <c r="X6" s="370" t="s">
        <v>291</v>
      </c>
      <c r="Y6" s="327" t="s">
        <v>295</v>
      </c>
      <c r="Z6" s="373">
        <v>46080</v>
      </c>
      <c r="AA6" s="370" t="s">
        <v>291</v>
      </c>
      <c r="AB6" s="327" t="s">
        <v>291</v>
      </c>
      <c r="AC6" s="327" t="s">
        <v>291</v>
      </c>
      <c r="AD6" s="138" t="s">
        <v>517</v>
      </c>
      <c r="AE6" s="183" t="s">
        <v>518</v>
      </c>
    </row>
    <row r="7" spans="1:31" ht="48">
      <c r="A7" s="369">
        <v>6</v>
      </c>
      <c r="B7" s="369" t="s">
        <v>5</v>
      </c>
      <c r="C7" s="372">
        <v>46079</v>
      </c>
      <c r="D7" s="372">
        <v>46093</v>
      </c>
      <c r="E7" s="203" t="s">
        <v>204</v>
      </c>
      <c r="F7" s="203" t="s">
        <v>426</v>
      </c>
      <c r="G7" s="203" t="s">
        <v>526</v>
      </c>
      <c r="H7" s="316" t="s">
        <v>527</v>
      </c>
      <c r="I7" s="327" t="s">
        <v>289</v>
      </c>
      <c r="J7" s="228">
        <v>1</v>
      </c>
      <c r="K7" s="327">
        <v>1</v>
      </c>
      <c r="L7" s="327">
        <v>5.75</v>
      </c>
      <c r="M7" s="535">
        <v>46080</v>
      </c>
      <c r="N7" s="535">
        <v>46083</v>
      </c>
      <c r="O7" s="229" t="s">
        <v>290</v>
      </c>
      <c r="P7" s="329" t="s">
        <v>426</v>
      </c>
      <c r="Q7" s="327" t="s">
        <v>291</v>
      </c>
      <c r="R7" s="327" t="s">
        <v>291</v>
      </c>
      <c r="S7" s="181" t="s">
        <v>291</v>
      </c>
      <c r="T7" s="432" t="s">
        <v>528</v>
      </c>
      <c r="U7" s="360">
        <v>46083</v>
      </c>
      <c r="V7" s="373">
        <v>46083</v>
      </c>
      <c r="W7" s="228" t="s">
        <v>291</v>
      </c>
      <c r="X7" s="370" t="s">
        <v>291</v>
      </c>
      <c r="Y7" s="327" t="s">
        <v>295</v>
      </c>
      <c r="Z7" s="373">
        <v>46083</v>
      </c>
      <c r="AA7" s="370" t="s">
        <v>291</v>
      </c>
      <c r="AB7" s="327" t="s">
        <v>291</v>
      </c>
      <c r="AC7" s="327" t="s">
        <v>291</v>
      </c>
      <c r="AD7" s="64" t="s">
        <v>529</v>
      </c>
      <c r="AE7" s="465" t="s">
        <v>530</v>
      </c>
    </row>
    <row r="8" spans="1:31" ht="60">
      <c r="A8" s="369">
        <v>7</v>
      </c>
      <c r="B8" s="369" t="s">
        <v>5</v>
      </c>
      <c r="C8" s="372">
        <v>46079</v>
      </c>
      <c r="D8" s="372">
        <v>46093</v>
      </c>
      <c r="E8" s="229" t="s">
        <v>531</v>
      </c>
      <c r="F8" s="229" t="s">
        <v>292</v>
      </c>
      <c r="G8" s="229" t="s">
        <v>454</v>
      </c>
      <c r="H8" s="329" t="s">
        <v>455</v>
      </c>
      <c r="I8" s="327" t="s">
        <v>532</v>
      </c>
      <c r="J8" s="327">
        <v>1</v>
      </c>
      <c r="K8" s="327"/>
      <c r="L8" s="327">
        <v>36</v>
      </c>
      <c r="M8" s="373">
        <v>46085</v>
      </c>
      <c r="N8" s="327"/>
      <c r="O8" s="229"/>
      <c r="P8" s="329"/>
      <c r="Q8" s="374"/>
      <c r="R8" s="228"/>
      <c r="S8" s="228"/>
      <c r="T8" s="200"/>
      <c r="U8" s="372"/>
      <c r="V8" s="373"/>
      <c r="W8" s="327"/>
      <c r="X8" s="370"/>
      <c r="Y8" s="327"/>
      <c r="Z8" s="373"/>
      <c r="AA8" s="370"/>
      <c r="AB8" s="327"/>
      <c r="AC8" s="327"/>
      <c r="AD8" s="333" t="s">
        <v>533</v>
      </c>
      <c r="AE8" s="181"/>
    </row>
    <row r="9" spans="1:31" ht="84">
      <c r="A9" s="369">
        <v>8</v>
      </c>
      <c r="B9" s="369" t="s">
        <v>5</v>
      </c>
      <c r="C9" s="372">
        <v>46079</v>
      </c>
      <c r="D9" s="372">
        <v>46093</v>
      </c>
      <c r="E9" s="229" t="s">
        <v>531</v>
      </c>
      <c r="F9" s="229" t="s">
        <v>298</v>
      </c>
      <c r="G9" s="229" t="s">
        <v>462</v>
      </c>
      <c r="H9" s="329" t="s">
        <v>463</v>
      </c>
      <c r="I9" s="327" t="s">
        <v>301</v>
      </c>
      <c r="J9" s="327">
        <v>3</v>
      </c>
      <c r="K9" s="327"/>
      <c r="L9" s="327">
        <v>50.5</v>
      </c>
      <c r="M9" s="373">
        <v>46085</v>
      </c>
      <c r="N9" s="327"/>
      <c r="O9" s="229"/>
      <c r="P9" s="329"/>
      <c r="Q9" s="374"/>
      <c r="R9" s="228"/>
      <c r="S9" s="228"/>
      <c r="T9" s="200"/>
      <c r="U9" s="372"/>
      <c r="V9" s="373"/>
      <c r="W9" s="327"/>
      <c r="X9" s="370"/>
      <c r="Y9" s="327"/>
      <c r="Z9" s="373"/>
      <c r="AA9" s="370"/>
      <c r="AB9" s="327"/>
      <c r="AC9" s="327"/>
      <c r="AD9" s="333" t="s">
        <v>534</v>
      </c>
      <c r="AE9" s="543" t="s">
        <v>535</v>
      </c>
    </row>
    <row r="10" spans="1:31" ht="120" customHeight="1">
      <c r="A10" s="369">
        <v>9</v>
      </c>
      <c r="B10" s="369" t="s">
        <v>5</v>
      </c>
      <c r="C10" s="372">
        <v>46079</v>
      </c>
      <c r="D10" s="372">
        <v>46093</v>
      </c>
      <c r="E10" s="229" t="s">
        <v>531</v>
      </c>
      <c r="F10" s="229" t="s">
        <v>536</v>
      </c>
      <c r="G10" s="229" t="s">
        <v>427</v>
      </c>
      <c r="H10" s="329" t="s">
        <v>428</v>
      </c>
      <c r="I10" s="327" t="s">
        <v>301</v>
      </c>
      <c r="J10" s="327">
        <v>3</v>
      </c>
      <c r="K10" s="327"/>
      <c r="L10" s="327">
        <v>37.25</v>
      </c>
      <c r="M10" s="373">
        <v>46086</v>
      </c>
      <c r="N10" s="327"/>
      <c r="O10" s="229"/>
      <c r="P10" s="329"/>
      <c r="Q10" s="327"/>
      <c r="R10" s="486"/>
      <c r="T10" s="432"/>
      <c r="U10" s="373"/>
      <c r="V10" s="373"/>
      <c r="W10" s="327"/>
      <c r="X10" s="370"/>
      <c r="Y10" s="327"/>
      <c r="Z10" s="373"/>
      <c r="AA10" s="370"/>
      <c r="AB10" s="327"/>
      <c r="AC10" s="327"/>
      <c r="AD10" s="333" t="s">
        <v>537</v>
      </c>
      <c r="AE10" s="181"/>
    </row>
  </sheetData>
  <hyperlinks>
    <hyperlink ref="T4" r:id="rId1" xr:uid="{92118E81-F625-453A-B269-9C42389F6585}"/>
    <hyperlink ref="T6" r:id="rId2" xr:uid="{B41C0A3F-074B-47A1-86BA-94352D73AF82}"/>
    <hyperlink ref="T5" r:id="rId3" xr:uid="{B31FC398-0BB3-49F4-BC74-18F47DC267CD}"/>
    <hyperlink ref="T3" r:id="rId4" xr:uid="{041329C3-06FE-4135-A889-E01A991F32AC}"/>
    <hyperlink ref="T7" r:id="rId5" xr:uid="{998F3F80-A877-47D5-ADD3-9ADBA5906F9D}"/>
  </hyperlinks>
  <pageMargins left="0.7" right="0.7" top="0.75" bottom="0.75" header="0.3" footer="0.3"/>
  <tableParts count="1">
    <tablePart r:id="rId6"/>
  </tableParts>
  <extLst>
    <ext xmlns:x14="http://schemas.microsoft.com/office/spreadsheetml/2009/9/main" uri="{CCE6A557-97BC-4b89-ADB6-D9C93CAAB3DF}">
      <x14:dataValidations xmlns:xm="http://schemas.microsoft.com/office/excel/2006/main" count="1">
        <x14:dataValidation type="list" allowBlank="1" showErrorMessage="1" xr:uid="{88F68FEF-86CC-49AE-80AA-99FA9EAA89D1}">
          <x14:formula1>
            <xm:f>Settings!$C$3:$C$20</xm:f>
          </x14:formula1>
          <xm:sqref>I2:I10</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E9B29-1DDA-4602-95AF-87A55457B643}">
  <sheetPr>
    <outlinePr summaryBelow="0" summaryRight="0"/>
  </sheetPr>
  <dimension ref="A1:AB977"/>
  <sheetViews>
    <sheetView topLeftCell="F1" workbookViewId="0">
      <selection activeCell="L2" sqref="L2"/>
    </sheetView>
  </sheetViews>
  <sheetFormatPr defaultColWidth="12.5703125" defaultRowHeight="15" customHeight="1"/>
  <cols>
    <col min="1" max="1" width="12.5703125" hidden="1" customWidth="1"/>
    <col min="2" max="2" width="21.42578125" customWidth="1"/>
    <col min="3" max="3" width="23.5703125" customWidth="1"/>
    <col min="4" max="4" width="14.42578125" customWidth="1"/>
    <col min="5" max="5" width="19.140625" customWidth="1"/>
    <col min="6" max="6" width="37.5703125" customWidth="1"/>
    <col min="7" max="7" width="50.5703125" customWidth="1"/>
    <col min="8" max="9" width="18.7109375" customWidth="1"/>
    <col min="10" max="10" width="9.140625" bestFit="1" customWidth="1"/>
    <col min="11" max="11" width="19" customWidth="1"/>
    <col min="12" max="12" width="18" customWidth="1"/>
    <col min="13" max="13" width="41" customWidth="1"/>
    <col min="14" max="14" width="14.140625" style="122" customWidth="1"/>
    <col min="15" max="15" width="61" customWidth="1"/>
  </cols>
  <sheetData>
    <row r="1" spans="1:28" ht="13.5">
      <c r="A1" s="536" t="s">
        <v>254</v>
      </c>
      <c r="B1" s="59" t="s">
        <v>321</v>
      </c>
      <c r="C1" s="243" t="s">
        <v>322</v>
      </c>
      <c r="D1" s="243" t="s">
        <v>323</v>
      </c>
      <c r="E1" s="59" t="s">
        <v>256</v>
      </c>
      <c r="F1" s="243" t="s">
        <v>324</v>
      </c>
      <c r="G1" s="243" t="s">
        <v>325</v>
      </c>
      <c r="H1" s="59" t="s">
        <v>326</v>
      </c>
      <c r="I1" s="59" t="s">
        <v>327</v>
      </c>
      <c r="J1" s="59" t="s">
        <v>328</v>
      </c>
      <c r="K1" s="59" t="s">
        <v>259</v>
      </c>
      <c r="L1" s="523" t="s">
        <v>329</v>
      </c>
      <c r="M1" s="157" t="s">
        <v>280</v>
      </c>
      <c r="N1" s="487" t="s">
        <v>330</v>
      </c>
      <c r="O1" s="487" t="s">
        <v>331</v>
      </c>
      <c r="P1" s="35"/>
      <c r="Q1" s="35"/>
      <c r="R1" s="35"/>
      <c r="S1" s="35"/>
      <c r="T1" s="35"/>
      <c r="U1" s="35"/>
      <c r="V1" s="35"/>
      <c r="W1" s="35"/>
      <c r="X1" s="35"/>
      <c r="Y1" s="35"/>
      <c r="Z1" s="35"/>
      <c r="AA1" s="35"/>
      <c r="AB1" s="35"/>
    </row>
    <row r="2" spans="1:28" ht="39" customHeight="1">
      <c r="A2" s="218"/>
      <c r="B2" s="229" t="s">
        <v>204</v>
      </c>
      <c r="C2" s="229" t="s">
        <v>514</v>
      </c>
      <c r="D2" s="329" t="s">
        <v>538</v>
      </c>
      <c r="E2" s="229" t="s">
        <v>298</v>
      </c>
      <c r="F2" s="221" t="s">
        <v>380</v>
      </c>
      <c r="G2" s="329" t="s">
        <v>515</v>
      </c>
      <c r="H2" s="126" t="s">
        <v>381</v>
      </c>
      <c r="I2" s="126" t="s">
        <v>382</v>
      </c>
      <c r="J2" s="126" t="s">
        <v>383</v>
      </c>
      <c r="K2" s="126" t="s">
        <v>384</v>
      </c>
      <c r="L2" s="126" t="s">
        <v>390</v>
      </c>
      <c r="M2" s="329"/>
      <c r="N2" s="327" t="s">
        <v>387</v>
      </c>
      <c r="O2" s="333" t="s">
        <v>539</v>
      </c>
    </row>
    <row r="3" spans="1:28" ht="36" customHeight="1">
      <c r="A3" s="58"/>
      <c r="B3" s="257" t="s">
        <v>204</v>
      </c>
      <c r="C3" s="257" t="s">
        <v>520</v>
      </c>
      <c r="D3" s="305" t="s">
        <v>538</v>
      </c>
      <c r="E3" s="257" t="s">
        <v>426</v>
      </c>
      <c r="F3" s="327" t="s">
        <v>380</v>
      </c>
      <c r="G3" s="305" t="s">
        <v>521</v>
      </c>
      <c r="H3" s="126" t="s">
        <v>381</v>
      </c>
      <c r="I3" s="126" t="s">
        <v>382</v>
      </c>
      <c r="J3" s="126" t="s">
        <v>383</v>
      </c>
      <c r="K3" s="126" t="s">
        <v>384</v>
      </c>
      <c r="L3" s="126" t="s">
        <v>540</v>
      </c>
      <c r="M3" s="333"/>
      <c r="N3" s="531" t="s">
        <v>387</v>
      </c>
      <c r="O3" s="333" t="s">
        <v>541</v>
      </c>
    </row>
    <row r="4" spans="1:28" s="256" customFormat="1" ht="34.5" customHeight="1">
      <c r="B4" s="62" t="s">
        <v>204</v>
      </c>
      <c r="C4" s="62" t="s">
        <v>523</v>
      </c>
      <c r="D4" s="90" t="s">
        <v>538</v>
      </c>
      <c r="E4" s="62" t="s">
        <v>298</v>
      </c>
      <c r="F4" s="228" t="s">
        <v>380</v>
      </c>
      <c r="G4" s="90" t="s">
        <v>524</v>
      </c>
      <c r="H4" s="46" t="s">
        <v>381</v>
      </c>
      <c r="I4" s="46" t="s">
        <v>382</v>
      </c>
      <c r="J4" s="46" t="s">
        <v>383</v>
      </c>
      <c r="K4" s="541" t="s">
        <v>384</v>
      </c>
      <c r="L4" s="41" t="s">
        <v>540</v>
      </c>
      <c r="M4" s="542"/>
      <c r="N4" s="228" t="s">
        <v>387</v>
      </c>
      <c r="O4" s="62" t="s">
        <v>542</v>
      </c>
    </row>
    <row r="5" spans="1:28" ht="15.75" customHeight="1">
      <c r="I5" s="244"/>
      <c r="J5" s="244"/>
      <c r="K5" s="244"/>
    </row>
    <row r="6" spans="1:28" ht="15.75" customHeight="1">
      <c r="I6" s="244"/>
      <c r="J6" s="244"/>
      <c r="K6" s="244"/>
    </row>
    <row r="7" spans="1:28" ht="15.75" customHeight="1">
      <c r="I7" s="244"/>
      <c r="J7" s="244"/>
      <c r="K7" s="244"/>
    </row>
    <row r="8" spans="1:28" ht="15.75" customHeight="1">
      <c r="I8" s="244"/>
    </row>
    <row r="9" spans="1:28" ht="15.75" customHeight="1"/>
    <row r="10" spans="1:28" ht="15.75" customHeight="1"/>
    <row r="11" spans="1:28" ht="15.75" customHeight="1"/>
    <row r="12" spans="1:28" ht="15.75" customHeight="1"/>
    <row r="13" spans="1:28" ht="15.75" customHeight="1"/>
    <row r="14" spans="1:28" ht="15.75" customHeight="1"/>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sheetData>
  <autoFilter ref="A1:M1" xr:uid="{3A2BB050-11AC-4ED7-A296-96B42C7FCFBA}"/>
  <dataValidations count="5">
    <dataValidation type="list" allowBlank="1" showErrorMessage="1" sqref="F2" xr:uid="{76E97C33-C2CE-42B7-8C50-0F05CF30E24A}">
      <formula1>"Bounceback,Defect,None"</formula1>
    </dataValidation>
    <dataValidation type="list" allowBlank="1" showErrorMessage="1" sqref="H2:H4" xr:uid="{EDF6C07A-A14D-46CA-9E8D-16B89D80AD6F}">
      <formula1>"Minor,Significant,Major"</formula1>
    </dataValidation>
    <dataValidation type="list" allowBlank="1" showErrorMessage="1" sqref="I2:I8" xr:uid="{F225C62C-9479-4188-963F-BBA6A2DE3E01}">
      <formula1>"Manual, Automation"</formula1>
    </dataValidation>
    <dataValidation type="list" allowBlank="1" showErrorMessage="1" sqref="J2:J7" xr:uid="{F7B4744F-894C-4D0A-8CC5-BCAB8B98610C}">
      <formula1>"Internal,External"</formula1>
    </dataValidation>
    <dataValidation type="list" allowBlank="1" showErrorMessage="1" sqref="K2:K7" xr:uid="{DABD150D-0586-4E2E-B10D-8543CF60A424}">
      <formula1>"Open,Inprogress,Closed"</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5B0B036F-E91E-4466-BB7A-FEAFA525F700}">
          <x14:formula1>
            <xm:f>Details!$A$2:$A$10</xm:f>
          </x14:formula1>
          <xm:sqref>L2:L4</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B6406-5767-4E97-AA38-A921742A3DF1}">
  <dimension ref="A1:AE6"/>
  <sheetViews>
    <sheetView workbookViewId="0">
      <pane xSplit="7" ySplit="1" topLeftCell="N5" activePane="bottomRight" state="frozen"/>
      <selection pane="bottomRight" activeCell="E22" sqref="E22"/>
      <selection pane="bottomLeft"/>
      <selection pane="topRight"/>
    </sheetView>
  </sheetViews>
  <sheetFormatPr defaultRowHeight="12.75"/>
  <cols>
    <col min="2" max="2" width="13.28515625" customWidth="1"/>
    <col min="3" max="3" width="10.85546875" customWidth="1"/>
    <col min="4" max="4" width="12.140625" customWidth="1"/>
    <col min="5" max="5" width="32.28515625" customWidth="1"/>
    <col min="6" max="6" width="24.28515625" customWidth="1"/>
    <col min="7" max="7" width="18.85546875" customWidth="1"/>
    <col min="8" max="8" width="50.28515625" style="137" customWidth="1"/>
    <col min="9" max="9" width="16.85546875" customWidth="1"/>
    <col min="10" max="10" width="11.42578125" style="122" bestFit="1" customWidth="1"/>
    <col min="11" max="11" width="11.42578125" bestFit="1" customWidth="1"/>
    <col min="12" max="12" width="11.42578125" customWidth="1"/>
    <col min="13" max="13" width="14.42578125" customWidth="1"/>
    <col min="14" max="14" width="11.42578125" customWidth="1"/>
    <col min="15" max="15" width="13.140625" customWidth="1"/>
    <col min="16" max="16" width="13.42578125" style="144" customWidth="1"/>
    <col min="17" max="17" width="29.140625" customWidth="1"/>
    <col min="18" max="18" width="16.42578125" style="181" customWidth="1"/>
    <col min="19" max="19" width="14.85546875" style="181" customWidth="1"/>
    <col min="20" max="20" width="29.42578125" style="144" customWidth="1"/>
    <col min="21" max="22" width="12.7109375" bestFit="1" customWidth="1"/>
    <col min="23" max="23" width="21.28515625" customWidth="1"/>
    <col min="24" max="24" width="32.140625" style="144" customWidth="1"/>
    <col min="25" max="25" width="11.42578125" bestFit="1" customWidth="1"/>
    <col min="26" max="26" width="12.7109375" bestFit="1" customWidth="1"/>
    <col min="27" max="27" width="18.7109375" customWidth="1"/>
    <col min="28" max="29" width="11.42578125" bestFit="1" customWidth="1"/>
    <col min="30" max="30" width="81.42578125" customWidth="1"/>
    <col min="31" max="31" width="40.7109375" customWidth="1"/>
  </cols>
  <sheetData>
    <row r="1" spans="1:31" ht="48">
      <c r="A1" s="379" t="s">
        <v>254</v>
      </c>
      <c r="B1" s="404" t="s">
        <v>4</v>
      </c>
      <c r="C1" s="404" t="s">
        <v>2</v>
      </c>
      <c r="D1" s="404" t="s">
        <v>3</v>
      </c>
      <c r="E1" s="527" t="s">
        <v>255</v>
      </c>
      <c r="F1" s="527" t="s">
        <v>256</v>
      </c>
      <c r="G1" s="383" t="s">
        <v>257</v>
      </c>
      <c r="H1" s="383" t="s">
        <v>258</v>
      </c>
      <c r="I1" s="383" t="s">
        <v>259</v>
      </c>
      <c r="J1" s="518" t="s">
        <v>260</v>
      </c>
      <c r="K1" s="384" t="s">
        <v>261</v>
      </c>
      <c r="L1" s="384" t="s">
        <v>262</v>
      </c>
      <c r="M1" s="384" t="s">
        <v>263</v>
      </c>
      <c r="N1" s="384" t="s">
        <v>264</v>
      </c>
      <c r="O1" s="385" t="s">
        <v>265</v>
      </c>
      <c r="P1" s="385" t="s">
        <v>266</v>
      </c>
      <c r="Q1" s="385" t="s">
        <v>267</v>
      </c>
      <c r="R1" s="525" t="s">
        <v>268</v>
      </c>
      <c r="S1" s="525" t="s">
        <v>269</v>
      </c>
      <c r="T1" s="385" t="s">
        <v>270</v>
      </c>
      <c r="U1" s="385" t="s">
        <v>271</v>
      </c>
      <c r="V1" s="385" t="s">
        <v>272</v>
      </c>
      <c r="W1" s="385" t="s">
        <v>273</v>
      </c>
      <c r="X1" s="385" t="s">
        <v>274</v>
      </c>
      <c r="Y1" s="385" t="s">
        <v>275</v>
      </c>
      <c r="Z1" s="385" t="s">
        <v>276</v>
      </c>
      <c r="AA1" s="385" t="s">
        <v>277</v>
      </c>
      <c r="AB1" s="385" t="s">
        <v>278</v>
      </c>
      <c r="AC1" s="526" t="s">
        <v>279</v>
      </c>
      <c r="AD1" s="240" t="s">
        <v>280</v>
      </c>
      <c r="AE1" s="385" t="s">
        <v>281</v>
      </c>
    </row>
    <row r="2" spans="1:31" ht="129.75" customHeight="1">
      <c r="A2" s="369">
        <v>1</v>
      </c>
      <c r="B2" s="369" t="s">
        <v>5</v>
      </c>
      <c r="C2" s="372">
        <v>46065</v>
      </c>
      <c r="D2" s="430">
        <v>46079</v>
      </c>
      <c r="E2" s="316" t="s">
        <v>200</v>
      </c>
      <c r="F2" s="316" t="s">
        <v>426</v>
      </c>
      <c r="G2" s="431" t="s">
        <v>543</v>
      </c>
      <c r="H2" s="524" t="s">
        <v>544</v>
      </c>
      <c r="I2" s="506" t="s">
        <v>289</v>
      </c>
      <c r="J2" s="228">
        <v>1</v>
      </c>
      <c r="K2" s="506"/>
      <c r="L2" s="228">
        <v>12.75</v>
      </c>
      <c r="M2" s="511" t="s">
        <v>545</v>
      </c>
      <c r="N2" s="373" t="s">
        <v>291</v>
      </c>
      <c r="O2" s="229" t="s">
        <v>290</v>
      </c>
      <c r="P2" s="329" t="s">
        <v>457</v>
      </c>
      <c r="Q2" s="370" t="s">
        <v>291</v>
      </c>
      <c r="R2" s="374" t="s">
        <v>298</v>
      </c>
      <c r="S2" s="327" t="s">
        <v>291</v>
      </c>
      <c r="T2" s="271" t="s">
        <v>546</v>
      </c>
      <c r="U2" s="373">
        <v>46066</v>
      </c>
      <c r="V2" s="360">
        <v>46066</v>
      </c>
      <c r="W2" s="369" t="s">
        <v>294</v>
      </c>
      <c r="X2" s="370" t="s">
        <v>291</v>
      </c>
      <c r="Y2" s="327" t="s">
        <v>295</v>
      </c>
      <c r="Z2" s="373">
        <v>46066</v>
      </c>
      <c r="AA2" s="370" t="s">
        <v>291</v>
      </c>
      <c r="AB2" s="327" t="s">
        <v>291</v>
      </c>
      <c r="AC2" s="374" t="s">
        <v>291</v>
      </c>
      <c r="AD2" s="378" t="s">
        <v>547</v>
      </c>
      <c r="AE2" s="183" t="s">
        <v>548</v>
      </c>
    </row>
    <row r="3" spans="1:31" ht="81" customHeight="1">
      <c r="A3" s="369">
        <v>2</v>
      </c>
      <c r="B3" s="369" t="s">
        <v>5</v>
      </c>
      <c r="C3" s="372">
        <v>46065</v>
      </c>
      <c r="D3" s="372">
        <v>46079</v>
      </c>
      <c r="E3" s="229" t="s">
        <v>200</v>
      </c>
      <c r="F3" s="229" t="s">
        <v>504</v>
      </c>
      <c r="G3" s="229" t="s">
        <v>505</v>
      </c>
      <c r="H3" s="329" t="s">
        <v>506</v>
      </c>
      <c r="I3" s="327" t="s">
        <v>549</v>
      </c>
      <c r="J3" s="327">
        <v>3</v>
      </c>
      <c r="K3" s="327"/>
      <c r="L3" s="486">
        <v>44.75</v>
      </c>
      <c r="M3" s="373" t="s">
        <v>291</v>
      </c>
      <c r="N3" s="373" t="s">
        <v>291</v>
      </c>
      <c r="O3" s="229" t="s">
        <v>291</v>
      </c>
      <c r="P3" s="329" t="s">
        <v>291</v>
      </c>
      <c r="Q3" s="370" t="s">
        <v>291</v>
      </c>
      <c r="R3" s="374" t="s">
        <v>291</v>
      </c>
      <c r="S3" s="228" t="s">
        <v>291</v>
      </c>
      <c r="T3" s="200" t="s">
        <v>291</v>
      </c>
      <c r="U3" s="372" t="s">
        <v>291</v>
      </c>
      <c r="V3" s="373" t="s">
        <v>291</v>
      </c>
      <c r="W3" s="327" t="s">
        <v>291</v>
      </c>
      <c r="X3" s="370" t="s">
        <v>291</v>
      </c>
      <c r="Y3" s="327" t="s">
        <v>291</v>
      </c>
      <c r="Z3" s="373" t="s">
        <v>291</v>
      </c>
      <c r="AA3" s="370" t="s">
        <v>291</v>
      </c>
      <c r="AB3" s="327" t="s">
        <v>291</v>
      </c>
      <c r="AC3" s="327" t="s">
        <v>291</v>
      </c>
      <c r="AD3" s="388" t="s">
        <v>291</v>
      </c>
      <c r="AE3" s="90" t="s">
        <v>550</v>
      </c>
    </row>
    <row r="4" spans="1:31" ht="64.5" customHeight="1">
      <c r="A4" s="369">
        <v>3</v>
      </c>
      <c r="B4" s="369" t="s">
        <v>5</v>
      </c>
      <c r="C4" s="372">
        <v>46065</v>
      </c>
      <c r="D4" s="372">
        <v>46079</v>
      </c>
      <c r="E4" s="229" t="s">
        <v>200</v>
      </c>
      <c r="F4" s="229" t="s">
        <v>298</v>
      </c>
      <c r="G4" s="229" t="s">
        <v>551</v>
      </c>
      <c r="H4" s="329" t="s">
        <v>552</v>
      </c>
      <c r="I4" s="327" t="s">
        <v>289</v>
      </c>
      <c r="J4" s="327">
        <v>2</v>
      </c>
      <c r="K4" s="327"/>
      <c r="L4" s="327">
        <v>39</v>
      </c>
      <c r="M4" s="520">
        <v>46070</v>
      </c>
      <c r="N4" s="373">
        <v>46070</v>
      </c>
      <c r="O4" s="229" t="s">
        <v>290</v>
      </c>
      <c r="P4" s="329" t="s">
        <v>457</v>
      </c>
      <c r="Q4" s="327" t="s">
        <v>291</v>
      </c>
      <c r="R4" s="374" t="s">
        <v>292</v>
      </c>
      <c r="S4" s="228" t="s">
        <v>291</v>
      </c>
      <c r="T4" s="200" t="s">
        <v>553</v>
      </c>
      <c r="U4" s="372">
        <v>46070</v>
      </c>
      <c r="V4" s="373">
        <v>46070</v>
      </c>
      <c r="W4" s="327" t="s">
        <v>426</v>
      </c>
      <c r="X4" s="370" t="s">
        <v>291</v>
      </c>
      <c r="Y4" s="327" t="s">
        <v>295</v>
      </c>
      <c r="Z4" s="373">
        <v>46070</v>
      </c>
      <c r="AA4" s="370" t="s">
        <v>291</v>
      </c>
      <c r="AB4" s="327" t="s">
        <v>291</v>
      </c>
      <c r="AC4" s="327" t="s">
        <v>291</v>
      </c>
      <c r="AD4" s="388" t="s">
        <v>554</v>
      </c>
      <c r="AE4" s="183" t="s">
        <v>555</v>
      </c>
    </row>
    <row r="5" spans="1:31" ht="59.25" customHeight="1">
      <c r="A5" s="369">
        <v>4</v>
      </c>
      <c r="B5" s="369" t="s">
        <v>5</v>
      </c>
      <c r="C5" s="372">
        <v>46065</v>
      </c>
      <c r="D5" s="372">
        <v>46079</v>
      </c>
      <c r="E5" s="229" t="s">
        <v>200</v>
      </c>
      <c r="F5" s="229" t="s">
        <v>292</v>
      </c>
      <c r="G5" s="229" t="s">
        <v>556</v>
      </c>
      <c r="H5" s="329" t="s">
        <v>557</v>
      </c>
      <c r="I5" s="327" t="s">
        <v>289</v>
      </c>
      <c r="J5" s="327">
        <v>3</v>
      </c>
      <c r="K5" s="327"/>
      <c r="L5" s="327">
        <v>32.5</v>
      </c>
      <c r="M5" s="373">
        <v>46066</v>
      </c>
      <c r="N5" s="373">
        <v>46066</v>
      </c>
      <c r="O5" s="229" t="s">
        <v>290</v>
      </c>
      <c r="P5" s="329" t="s">
        <v>457</v>
      </c>
      <c r="Q5" s="327" t="s">
        <v>291</v>
      </c>
      <c r="R5" s="374" t="s">
        <v>298</v>
      </c>
      <c r="S5" s="228" t="s">
        <v>291</v>
      </c>
      <c r="T5" s="200" t="s">
        <v>558</v>
      </c>
      <c r="U5" s="372">
        <v>46070</v>
      </c>
      <c r="V5" s="373">
        <v>46078</v>
      </c>
      <c r="W5" s="327" t="s">
        <v>426</v>
      </c>
      <c r="X5" s="370" t="s">
        <v>291</v>
      </c>
      <c r="Y5" s="327" t="s">
        <v>295</v>
      </c>
      <c r="Z5" s="373">
        <v>46078</v>
      </c>
      <c r="AA5" s="370" t="s">
        <v>291</v>
      </c>
      <c r="AB5" s="327" t="s">
        <v>291</v>
      </c>
      <c r="AC5" s="327" t="s">
        <v>291</v>
      </c>
      <c r="AD5" s="388" t="s">
        <v>559</v>
      </c>
      <c r="AE5" s="183" t="s">
        <v>560</v>
      </c>
    </row>
    <row r="6" spans="1:31" ht="190.5">
      <c r="A6" s="369">
        <v>5</v>
      </c>
      <c r="B6" s="369" t="s">
        <v>5</v>
      </c>
      <c r="C6" s="372">
        <v>46065</v>
      </c>
      <c r="D6" s="372">
        <v>46079</v>
      </c>
      <c r="E6" s="229" t="s">
        <v>200</v>
      </c>
      <c r="F6" s="229" t="s">
        <v>286</v>
      </c>
      <c r="G6" s="229" t="s">
        <v>509</v>
      </c>
      <c r="H6" s="329" t="s">
        <v>510</v>
      </c>
      <c r="I6" s="327" t="s">
        <v>532</v>
      </c>
      <c r="J6" s="327">
        <v>5</v>
      </c>
      <c r="K6" s="327"/>
      <c r="L6" s="327">
        <v>118</v>
      </c>
      <c r="M6" s="535">
        <v>46066</v>
      </c>
      <c r="N6" s="535">
        <v>46079</v>
      </c>
      <c r="O6" s="229" t="s">
        <v>290</v>
      </c>
      <c r="P6" s="329" t="s">
        <v>457</v>
      </c>
      <c r="Q6" s="370" t="s">
        <v>561</v>
      </c>
      <c r="R6" s="374" t="s">
        <v>437</v>
      </c>
      <c r="S6" s="228" t="s">
        <v>291</v>
      </c>
      <c r="T6" s="205" t="s">
        <v>562</v>
      </c>
      <c r="U6" s="372">
        <v>46079</v>
      </c>
      <c r="V6" s="373"/>
      <c r="W6" s="327" t="s">
        <v>426</v>
      </c>
      <c r="X6" s="370"/>
      <c r="Y6" s="327" t="s">
        <v>295</v>
      </c>
      <c r="Z6" s="373"/>
      <c r="AA6" s="370"/>
      <c r="AB6" s="327"/>
      <c r="AC6" s="327"/>
      <c r="AD6" s="388" t="s">
        <v>563</v>
      </c>
      <c r="AE6" s="183" t="s">
        <v>564</v>
      </c>
    </row>
  </sheetData>
  <hyperlinks>
    <hyperlink ref="T2" r:id="rId1" xr:uid="{12BF378C-BAA7-477B-BB04-69790049C2C3}"/>
    <hyperlink ref="T4" r:id="rId2" xr:uid="{C567C2E8-B952-40B1-869A-D7ADEEF317A6}"/>
    <hyperlink ref="T5" r:id="rId3" xr:uid="{66BF8B81-4A04-4256-8ED7-56CA6647628E}"/>
    <hyperlink ref="T6" r:id="rId4" xr:uid="{4260EA79-A981-44E5-9D45-CA83D83A8C52}"/>
  </hyperlinks>
  <pageMargins left="0.7" right="0.7" top="0.75" bottom="0.75" header="0.3" footer="0.3"/>
  <tableParts count="1">
    <tablePart r:id="rId5"/>
  </tableParts>
  <extLst>
    <ext xmlns:x14="http://schemas.microsoft.com/office/spreadsheetml/2009/9/main" uri="{CCE6A557-97BC-4b89-ADB6-D9C93CAAB3DF}">
      <x14:dataValidations xmlns:xm="http://schemas.microsoft.com/office/excel/2006/main" count="1">
        <x14:dataValidation type="list" allowBlank="1" showErrorMessage="1" xr:uid="{74882757-4977-41E7-AACE-374B5E71ABA9}">
          <x14:formula1>
            <xm:f>Settings!$C$3:$C$20</xm:f>
          </x14:formula1>
          <xm:sqref>I2:I6</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395B3-37FD-4D23-9CC5-CD15F4AB9AE3}">
  <sheetPr>
    <outlinePr summaryBelow="0" summaryRight="0"/>
  </sheetPr>
  <dimension ref="A1:AB977"/>
  <sheetViews>
    <sheetView topLeftCell="B1" workbookViewId="0">
      <selection activeCell="G2" sqref="G2"/>
    </sheetView>
  </sheetViews>
  <sheetFormatPr defaultColWidth="12.5703125" defaultRowHeight="15" customHeight="1"/>
  <cols>
    <col min="1" max="1" width="12.5703125" hidden="1" customWidth="1"/>
    <col min="2" max="2" width="21.42578125" customWidth="1"/>
    <col min="3" max="3" width="23.5703125" customWidth="1"/>
    <col min="4" max="4" width="14.42578125" customWidth="1"/>
    <col min="5" max="5" width="19.140625" customWidth="1"/>
    <col min="6" max="6" width="37.5703125" customWidth="1"/>
    <col min="7" max="7" width="50.5703125" customWidth="1"/>
    <col min="8" max="9" width="18.7109375" customWidth="1"/>
    <col min="10" max="10" width="9.140625" bestFit="1" customWidth="1"/>
    <col min="11" max="11" width="19" customWidth="1"/>
    <col min="12" max="12" width="18" customWidth="1"/>
    <col min="13" max="13" width="41" customWidth="1"/>
    <col min="14" max="14" width="14.140625" style="122" customWidth="1"/>
    <col min="15" max="15" width="61" customWidth="1"/>
  </cols>
  <sheetData>
    <row r="1" spans="1:28" ht="13.5">
      <c r="A1" s="536" t="s">
        <v>254</v>
      </c>
      <c r="B1" s="59" t="s">
        <v>321</v>
      </c>
      <c r="C1" s="243" t="s">
        <v>322</v>
      </c>
      <c r="D1" s="243" t="s">
        <v>323</v>
      </c>
      <c r="E1" s="59" t="s">
        <v>256</v>
      </c>
      <c r="F1" s="243" t="s">
        <v>324</v>
      </c>
      <c r="G1" s="243" t="s">
        <v>325</v>
      </c>
      <c r="H1" s="59" t="s">
        <v>326</v>
      </c>
      <c r="I1" s="59" t="s">
        <v>327</v>
      </c>
      <c r="J1" s="59" t="s">
        <v>328</v>
      </c>
      <c r="K1" s="59" t="s">
        <v>259</v>
      </c>
      <c r="L1" s="523" t="s">
        <v>329</v>
      </c>
      <c r="M1" s="157" t="s">
        <v>280</v>
      </c>
      <c r="N1" s="487" t="s">
        <v>330</v>
      </c>
      <c r="O1" s="487" t="s">
        <v>331</v>
      </c>
      <c r="P1" s="35"/>
      <c r="Q1" s="35"/>
      <c r="R1" s="35"/>
      <c r="S1" s="35"/>
      <c r="T1" s="35"/>
      <c r="U1" s="35"/>
      <c r="V1" s="35"/>
      <c r="W1" s="35"/>
      <c r="X1" s="35"/>
      <c r="Y1" s="35"/>
      <c r="Z1" s="35"/>
      <c r="AA1" s="35"/>
      <c r="AB1" s="35"/>
    </row>
    <row r="2" spans="1:28" ht="39" customHeight="1">
      <c r="A2" s="218"/>
      <c r="B2" s="229"/>
      <c r="C2" s="229"/>
      <c r="D2" s="229"/>
      <c r="E2" s="229"/>
      <c r="F2" s="221"/>
      <c r="G2" s="229"/>
      <c r="H2" s="126"/>
      <c r="I2" s="126"/>
      <c r="J2" s="126"/>
      <c r="K2" s="126"/>
      <c r="L2" s="126"/>
      <c r="M2" s="329"/>
      <c r="N2" s="327"/>
      <c r="O2" s="333"/>
    </row>
    <row r="3" spans="1:28" ht="36" customHeight="1">
      <c r="A3" s="58"/>
      <c r="B3" s="62"/>
      <c r="C3" s="62"/>
      <c r="D3" s="62"/>
      <c r="E3" s="62"/>
      <c r="F3" s="228"/>
      <c r="G3" s="90"/>
      <c r="H3" s="41"/>
      <c r="I3" s="41"/>
      <c r="J3" s="41"/>
      <c r="K3" s="41"/>
      <c r="L3" s="58"/>
      <c r="M3" s="216"/>
      <c r="N3" s="91"/>
      <c r="O3" s="216"/>
    </row>
    <row r="4" spans="1:28" ht="15.75" customHeight="1">
      <c r="H4" s="244"/>
      <c r="I4" s="244"/>
      <c r="J4" s="244"/>
      <c r="K4" s="244"/>
    </row>
    <row r="5" spans="1:28" ht="15.75" customHeight="1">
      <c r="I5" s="244"/>
      <c r="J5" s="244"/>
      <c r="K5" s="244"/>
    </row>
    <row r="6" spans="1:28" ht="15.75" customHeight="1">
      <c r="I6" s="244"/>
      <c r="J6" s="244"/>
      <c r="K6" s="244"/>
    </row>
    <row r="7" spans="1:28" ht="15.75" customHeight="1">
      <c r="I7" s="244"/>
      <c r="J7" s="244"/>
      <c r="K7" s="244"/>
    </row>
    <row r="8" spans="1:28" ht="15.75" customHeight="1">
      <c r="I8" s="244"/>
    </row>
    <row r="9" spans="1:28" ht="15.75" customHeight="1"/>
    <row r="10" spans="1:28" ht="15.75" customHeight="1"/>
    <row r="11" spans="1:28" ht="15.75" customHeight="1"/>
    <row r="12" spans="1:28" ht="15.75" customHeight="1"/>
    <row r="13" spans="1:28" ht="15.75" customHeight="1"/>
    <row r="14" spans="1:28" ht="15.75" customHeight="1"/>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sheetData>
  <autoFilter ref="A1:M1" xr:uid="{3A2BB050-11AC-4ED7-A296-96B42C7FCFBA}"/>
  <dataValidations count="5">
    <dataValidation type="list" allowBlank="1" showErrorMessage="1" sqref="K2:K7" xr:uid="{09171AC7-E744-4E37-B423-7BB394B14FD1}">
      <formula1>"Open,Inprogress,Closed"</formula1>
    </dataValidation>
    <dataValidation type="list" allowBlank="1" showErrorMessage="1" sqref="J2:J7" xr:uid="{62FD1697-CFF5-40DD-8706-2D0C38E9E3FC}">
      <formula1>"Internal,External"</formula1>
    </dataValidation>
    <dataValidation type="list" allowBlank="1" showErrorMessage="1" sqref="I2:I8" xr:uid="{D9D722B1-BDB7-479F-97F7-E6A8675C5EA8}">
      <formula1>"Manual, Automation"</formula1>
    </dataValidation>
    <dataValidation type="list" allowBlank="1" showErrorMessage="1" sqref="H2:H4" xr:uid="{98647E84-31C2-4AF6-B658-EC1646F7E0B1}">
      <formula1>"Minor,Significant,Major"</formula1>
    </dataValidation>
    <dataValidation type="list" allowBlank="1" showErrorMessage="1" sqref="F2" xr:uid="{E4073159-E659-40EC-91C0-00B4050DD8B8}">
      <formula1>"Bounceback,Defect,None"</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A2E01D6A-5E2B-4CF1-A719-AA3A367A7748}">
          <x14:formula1>
            <xm:f>Details!$A$2:$A$10</xm:f>
          </x14:formula1>
          <xm:sqref>L2</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1923A-1AE8-4B70-9C55-F717E18117CE}">
  <dimension ref="A1:AE16"/>
  <sheetViews>
    <sheetView workbookViewId="0">
      <pane xSplit="7" ySplit="1" topLeftCell="O2" activePane="bottomRight" state="frozen"/>
      <selection pane="bottomRight" activeCell="AD2" sqref="AD2"/>
      <selection pane="bottomLeft"/>
      <selection pane="topRight"/>
    </sheetView>
  </sheetViews>
  <sheetFormatPr defaultRowHeight="12.75"/>
  <cols>
    <col min="2" max="2" width="13.28515625" customWidth="1"/>
    <col min="3" max="3" width="10.85546875" customWidth="1"/>
    <col min="4" max="4" width="12.140625" customWidth="1"/>
    <col min="5" max="5" width="32.28515625" customWidth="1"/>
    <col min="6" max="6" width="24.28515625" customWidth="1"/>
    <col min="7" max="7" width="18.85546875" customWidth="1"/>
    <col min="8" max="8" width="50.28515625" style="137" customWidth="1"/>
    <col min="9" max="9" width="16.85546875" customWidth="1"/>
    <col min="10" max="10" width="11.42578125" style="122" bestFit="1" customWidth="1"/>
    <col min="11" max="11" width="11.42578125" bestFit="1" customWidth="1"/>
    <col min="12" max="14" width="11.42578125" customWidth="1"/>
    <col min="15" max="15" width="13.140625" customWidth="1"/>
    <col min="16" max="16" width="13.42578125" style="144" customWidth="1"/>
    <col min="17" max="17" width="29.140625" customWidth="1"/>
    <col min="18" max="18" width="16.42578125" style="181" customWidth="1"/>
    <col min="19" max="19" width="14.85546875" style="181" customWidth="1"/>
    <col min="20" max="20" width="29.42578125" style="144" customWidth="1"/>
    <col min="21" max="22" width="12.7109375" bestFit="1" customWidth="1"/>
    <col min="23" max="23" width="21.28515625" customWidth="1"/>
    <col min="24" max="24" width="32.140625" style="144" customWidth="1"/>
    <col min="25" max="25" width="11.42578125" bestFit="1" customWidth="1"/>
    <col min="26" max="26" width="12.7109375" bestFit="1" customWidth="1"/>
    <col min="27" max="27" width="18.7109375" customWidth="1"/>
    <col min="28" max="29" width="11.42578125" bestFit="1" customWidth="1"/>
    <col min="30" max="30" width="81.42578125" customWidth="1"/>
    <col min="31" max="31" width="22.42578125" customWidth="1"/>
  </cols>
  <sheetData>
    <row r="1" spans="1:31" ht="48">
      <c r="A1" s="379" t="s">
        <v>254</v>
      </c>
      <c r="B1" s="404" t="s">
        <v>4</v>
      </c>
      <c r="C1" s="404" t="s">
        <v>2</v>
      </c>
      <c r="D1" s="404" t="s">
        <v>3</v>
      </c>
      <c r="E1" s="527" t="s">
        <v>255</v>
      </c>
      <c r="F1" s="527" t="s">
        <v>256</v>
      </c>
      <c r="G1" s="383" t="s">
        <v>257</v>
      </c>
      <c r="H1" s="383" t="s">
        <v>258</v>
      </c>
      <c r="I1" s="383" t="s">
        <v>259</v>
      </c>
      <c r="J1" s="518" t="s">
        <v>260</v>
      </c>
      <c r="K1" s="384" t="s">
        <v>261</v>
      </c>
      <c r="L1" s="384" t="s">
        <v>262</v>
      </c>
      <c r="M1" s="384" t="s">
        <v>263</v>
      </c>
      <c r="N1" s="384" t="s">
        <v>264</v>
      </c>
      <c r="O1" s="385" t="s">
        <v>265</v>
      </c>
      <c r="P1" s="385" t="s">
        <v>266</v>
      </c>
      <c r="Q1" s="385" t="s">
        <v>267</v>
      </c>
      <c r="R1" s="525" t="s">
        <v>268</v>
      </c>
      <c r="S1" s="525" t="s">
        <v>269</v>
      </c>
      <c r="T1" s="385" t="s">
        <v>270</v>
      </c>
      <c r="U1" s="385" t="s">
        <v>271</v>
      </c>
      <c r="V1" s="385" t="s">
        <v>272</v>
      </c>
      <c r="W1" s="385" t="s">
        <v>273</v>
      </c>
      <c r="X1" s="385" t="s">
        <v>274</v>
      </c>
      <c r="Y1" s="385" t="s">
        <v>275</v>
      </c>
      <c r="Z1" s="385" t="s">
        <v>276</v>
      </c>
      <c r="AA1" s="385" t="s">
        <v>277</v>
      </c>
      <c r="AB1" s="385" t="s">
        <v>278</v>
      </c>
      <c r="AC1" s="526" t="s">
        <v>279</v>
      </c>
      <c r="AD1" s="240" t="s">
        <v>280</v>
      </c>
      <c r="AE1" s="385" t="s">
        <v>281</v>
      </c>
    </row>
    <row r="2" spans="1:31" ht="129.75" customHeight="1">
      <c r="A2" s="369">
        <v>1</v>
      </c>
      <c r="B2" s="369" t="s">
        <v>5</v>
      </c>
      <c r="C2" s="372">
        <v>46051</v>
      </c>
      <c r="D2" s="430">
        <v>46065</v>
      </c>
      <c r="E2" s="316" t="s">
        <v>195</v>
      </c>
      <c r="F2" s="316" t="s">
        <v>504</v>
      </c>
      <c r="G2" s="431" t="s">
        <v>505</v>
      </c>
      <c r="H2" s="524" t="s">
        <v>506</v>
      </c>
      <c r="I2" s="506" t="s">
        <v>301</v>
      </c>
      <c r="J2" s="228">
        <v>3</v>
      </c>
      <c r="K2" s="369"/>
      <c r="L2" s="327">
        <v>57.75</v>
      </c>
      <c r="M2" s="373"/>
      <c r="N2" s="373"/>
      <c r="O2" s="229"/>
      <c r="P2" s="329"/>
      <c r="Q2" s="370"/>
      <c r="R2" s="374"/>
      <c r="S2" s="327"/>
      <c r="T2" s="271"/>
      <c r="U2" s="373"/>
      <c r="V2" s="360"/>
      <c r="W2" s="369"/>
      <c r="X2" s="370"/>
      <c r="Y2" s="327"/>
      <c r="Z2" s="373"/>
      <c r="AA2" s="370"/>
      <c r="AB2" s="327"/>
      <c r="AC2" s="374"/>
      <c r="AD2" s="378"/>
      <c r="AE2" s="228"/>
    </row>
    <row r="3" spans="1:31" ht="81" customHeight="1">
      <c r="A3" s="369">
        <v>2</v>
      </c>
      <c r="B3" s="369" t="s">
        <v>5</v>
      </c>
      <c r="C3" s="372">
        <v>46051</v>
      </c>
      <c r="D3" s="372">
        <v>46065</v>
      </c>
      <c r="E3" s="229" t="s">
        <v>195</v>
      </c>
      <c r="F3" s="229" t="s">
        <v>298</v>
      </c>
      <c r="G3" s="229" t="s">
        <v>565</v>
      </c>
      <c r="H3" s="329" t="s">
        <v>566</v>
      </c>
      <c r="I3" s="327" t="s">
        <v>289</v>
      </c>
      <c r="J3" s="327">
        <v>2</v>
      </c>
      <c r="K3" s="327">
        <v>2</v>
      </c>
      <c r="L3" s="327">
        <v>28</v>
      </c>
      <c r="M3" s="373">
        <v>46052</v>
      </c>
      <c r="N3" s="373">
        <v>46059</v>
      </c>
      <c r="O3" s="229" t="s">
        <v>290</v>
      </c>
      <c r="P3" s="329" t="s">
        <v>457</v>
      </c>
      <c r="Q3" s="370" t="s">
        <v>567</v>
      </c>
      <c r="R3" s="374" t="s">
        <v>292</v>
      </c>
      <c r="S3" s="228" t="s">
        <v>291</v>
      </c>
      <c r="T3" s="200" t="s">
        <v>568</v>
      </c>
      <c r="U3" s="372">
        <v>46056</v>
      </c>
      <c r="V3" s="373">
        <v>46059</v>
      </c>
      <c r="W3" s="327" t="s">
        <v>426</v>
      </c>
      <c r="X3" s="370" t="s">
        <v>291</v>
      </c>
      <c r="Y3" s="327" t="s">
        <v>295</v>
      </c>
      <c r="Z3" s="373">
        <v>46059</v>
      </c>
      <c r="AA3" s="370" t="s">
        <v>291</v>
      </c>
      <c r="AB3" s="327" t="s">
        <v>291</v>
      </c>
      <c r="AC3" s="327" t="s">
        <v>291</v>
      </c>
      <c r="AD3" s="388" t="s">
        <v>569</v>
      </c>
      <c r="AE3" s="228"/>
    </row>
    <row r="4" spans="1:31" ht="64.5" customHeight="1">
      <c r="A4" s="369">
        <v>3</v>
      </c>
      <c r="B4" s="369" t="s">
        <v>5</v>
      </c>
      <c r="C4" s="372">
        <v>46051</v>
      </c>
      <c r="D4" s="372">
        <v>46065</v>
      </c>
      <c r="E4" s="229" t="s">
        <v>195</v>
      </c>
      <c r="F4" s="229" t="s">
        <v>292</v>
      </c>
      <c r="G4" s="229" t="s">
        <v>570</v>
      </c>
      <c r="H4" s="329" t="s">
        <v>571</v>
      </c>
      <c r="I4" s="327" t="s">
        <v>289</v>
      </c>
      <c r="J4" s="327">
        <v>2</v>
      </c>
      <c r="K4" s="327">
        <v>2</v>
      </c>
      <c r="L4" s="327">
        <v>16.25</v>
      </c>
      <c r="M4" s="373">
        <v>46052</v>
      </c>
      <c r="N4" s="373">
        <v>46055</v>
      </c>
      <c r="O4" s="229" t="s">
        <v>290</v>
      </c>
      <c r="P4" s="329" t="s">
        <v>457</v>
      </c>
      <c r="Q4" s="327" t="s">
        <v>291</v>
      </c>
      <c r="R4" s="374" t="s">
        <v>298</v>
      </c>
      <c r="S4" s="228" t="s">
        <v>291</v>
      </c>
      <c r="T4" s="200" t="s">
        <v>572</v>
      </c>
      <c r="U4" s="372">
        <v>46055</v>
      </c>
      <c r="V4" s="373">
        <v>46057</v>
      </c>
      <c r="W4" s="327" t="s">
        <v>426</v>
      </c>
      <c r="X4" s="370" t="s">
        <v>291</v>
      </c>
      <c r="Y4" s="327" t="s">
        <v>295</v>
      </c>
      <c r="Z4" s="373">
        <v>46057</v>
      </c>
      <c r="AA4" s="370" t="s">
        <v>291</v>
      </c>
      <c r="AB4" s="327" t="s">
        <v>291</v>
      </c>
      <c r="AC4" s="327" t="s">
        <v>291</v>
      </c>
      <c r="AD4" s="388" t="s">
        <v>573</v>
      </c>
      <c r="AE4" s="228"/>
    </row>
    <row r="5" spans="1:31" ht="59.25" customHeight="1">
      <c r="A5" s="369">
        <v>4</v>
      </c>
      <c r="B5" s="369" t="s">
        <v>5</v>
      </c>
      <c r="C5" s="372">
        <v>46051</v>
      </c>
      <c r="D5" s="372">
        <v>46065</v>
      </c>
      <c r="E5" s="229" t="s">
        <v>195</v>
      </c>
      <c r="F5" s="229" t="s">
        <v>298</v>
      </c>
      <c r="G5" s="229" t="s">
        <v>574</v>
      </c>
      <c r="H5" s="329" t="s">
        <v>575</v>
      </c>
      <c r="I5" s="327" t="s">
        <v>289</v>
      </c>
      <c r="J5" s="327">
        <v>1</v>
      </c>
      <c r="K5" s="327">
        <v>1</v>
      </c>
      <c r="L5" s="327">
        <v>4</v>
      </c>
      <c r="M5" s="373">
        <v>46052</v>
      </c>
      <c r="N5" s="373">
        <v>46052</v>
      </c>
      <c r="O5" s="229" t="s">
        <v>290</v>
      </c>
      <c r="P5" s="329" t="s">
        <v>457</v>
      </c>
      <c r="Q5" s="327" t="s">
        <v>291</v>
      </c>
      <c r="R5" s="374" t="s">
        <v>292</v>
      </c>
      <c r="S5" s="228" t="s">
        <v>291</v>
      </c>
      <c r="T5" s="200" t="s">
        <v>576</v>
      </c>
      <c r="U5" s="372">
        <v>46052</v>
      </c>
      <c r="V5" s="373">
        <v>46055</v>
      </c>
      <c r="W5" s="327" t="s">
        <v>426</v>
      </c>
      <c r="X5" s="370" t="s">
        <v>291</v>
      </c>
      <c r="Y5" s="327" t="s">
        <v>295</v>
      </c>
      <c r="Z5" s="373">
        <v>46055</v>
      </c>
      <c r="AA5" s="370" t="s">
        <v>291</v>
      </c>
      <c r="AB5" s="327" t="s">
        <v>291</v>
      </c>
      <c r="AC5" s="327" t="s">
        <v>291</v>
      </c>
      <c r="AD5" s="388" t="s">
        <v>577</v>
      </c>
      <c r="AE5" s="228"/>
    </row>
    <row r="6" spans="1:31" ht="107.25">
      <c r="A6" s="369">
        <v>5</v>
      </c>
      <c r="B6" s="369" t="s">
        <v>5</v>
      </c>
      <c r="C6" s="372">
        <v>46051</v>
      </c>
      <c r="D6" s="372">
        <v>46065</v>
      </c>
      <c r="E6" s="229" t="s">
        <v>195</v>
      </c>
      <c r="F6" s="229" t="s">
        <v>437</v>
      </c>
      <c r="G6" s="229" t="s">
        <v>578</v>
      </c>
      <c r="H6" s="329" t="s">
        <v>579</v>
      </c>
      <c r="I6" s="327" t="s">
        <v>289</v>
      </c>
      <c r="J6" s="327">
        <v>3</v>
      </c>
      <c r="K6" s="327">
        <v>3</v>
      </c>
      <c r="L6" s="327">
        <v>38.75</v>
      </c>
      <c r="M6" s="535">
        <v>46056</v>
      </c>
      <c r="N6" s="535">
        <v>46062</v>
      </c>
      <c r="O6" s="229" t="s">
        <v>290</v>
      </c>
      <c r="P6" s="329" t="s">
        <v>457</v>
      </c>
      <c r="Q6" s="327" t="s">
        <v>291</v>
      </c>
      <c r="R6" s="374" t="s">
        <v>286</v>
      </c>
      <c r="S6" s="228" t="s">
        <v>291</v>
      </c>
      <c r="T6" s="200" t="s">
        <v>580</v>
      </c>
      <c r="U6" s="372">
        <v>46064</v>
      </c>
      <c r="V6" s="373">
        <v>46065</v>
      </c>
      <c r="W6" s="327" t="s">
        <v>426</v>
      </c>
      <c r="X6" s="370" t="s">
        <v>291</v>
      </c>
      <c r="Y6" s="327" t="s">
        <v>295</v>
      </c>
      <c r="Z6" s="373">
        <v>46065</v>
      </c>
      <c r="AA6" s="370" t="s">
        <v>291</v>
      </c>
      <c r="AB6" s="327" t="s">
        <v>291</v>
      </c>
      <c r="AC6" s="327" t="s">
        <v>291</v>
      </c>
      <c r="AD6" s="388" t="s">
        <v>581</v>
      </c>
      <c r="AE6" s="183" t="s">
        <v>582</v>
      </c>
    </row>
    <row r="7" spans="1:31" ht="48.75" customHeight="1">
      <c r="A7" s="369">
        <v>6</v>
      </c>
      <c r="B7" s="369" t="s">
        <v>5</v>
      </c>
      <c r="C7" s="372">
        <v>46051</v>
      </c>
      <c r="D7" s="372">
        <v>46065</v>
      </c>
      <c r="E7" s="229" t="s">
        <v>195</v>
      </c>
      <c r="F7" s="229" t="s">
        <v>298</v>
      </c>
      <c r="G7" s="229" t="s">
        <v>583</v>
      </c>
      <c r="H7" s="329" t="s">
        <v>584</v>
      </c>
      <c r="I7" s="327" t="s">
        <v>289</v>
      </c>
      <c r="J7" s="327">
        <v>1</v>
      </c>
      <c r="K7" s="327">
        <v>1</v>
      </c>
      <c r="L7" s="327">
        <v>8.5</v>
      </c>
      <c r="M7" s="373">
        <v>46052</v>
      </c>
      <c r="N7" s="373">
        <v>46052</v>
      </c>
      <c r="O7" s="229" t="s">
        <v>290</v>
      </c>
      <c r="P7" s="329" t="s">
        <v>457</v>
      </c>
      <c r="Q7" s="327" t="s">
        <v>291</v>
      </c>
      <c r="R7" s="374" t="s">
        <v>292</v>
      </c>
      <c r="S7" s="228" t="s">
        <v>291</v>
      </c>
      <c r="T7" s="200" t="s">
        <v>585</v>
      </c>
      <c r="U7" s="372">
        <v>46055</v>
      </c>
      <c r="V7" s="373">
        <v>46055</v>
      </c>
      <c r="W7" s="327" t="s">
        <v>426</v>
      </c>
      <c r="X7" s="370" t="s">
        <v>291</v>
      </c>
      <c r="Y7" s="327" t="s">
        <v>295</v>
      </c>
      <c r="Z7" s="373">
        <v>46055</v>
      </c>
      <c r="AA7" s="370" t="s">
        <v>291</v>
      </c>
      <c r="AB7" s="327" t="s">
        <v>291</v>
      </c>
      <c r="AC7" s="327" t="s">
        <v>291</v>
      </c>
      <c r="AD7" s="388" t="s">
        <v>586</v>
      </c>
      <c r="AE7" s="228"/>
    </row>
    <row r="8" spans="1:31" ht="60.75" customHeight="1">
      <c r="A8" s="369">
        <v>7</v>
      </c>
      <c r="B8" s="369" t="s">
        <v>5</v>
      </c>
      <c r="C8" s="372">
        <v>46051</v>
      </c>
      <c r="D8" s="372">
        <v>46065</v>
      </c>
      <c r="E8" s="229" t="s">
        <v>195</v>
      </c>
      <c r="F8" s="229" t="s">
        <v>298</v>
      </c>
      <c r="G8" s="229" t="s">
        <v>587</v>
      </c>
      <c r="H8" s="329" t="s">
        <v>588</v>
      </c>
      <c r="I8" s="327" t="s">
        <v>289</v>
      </c>
      <c r="J8" s="327">
        <v>2</v>
      </c>
      <c r="K8" s="327">
        <v>2</v>
      </c>
      <c r="L8" s="327">
        <v>9</v>
      </c>
      <c r="M8" s="373">
        <v>46052</v>
      </c>
      <c r="N8" s="373">
        <v>46052</v>
      </c>
      <c r="O8" s="229" t="s">
        <v>290</v>
      </c>
      <c r="P8" s="329" t="s">
        <v>457</v>
      </c>
      <c r="Q8" s="327" t="s">
        <v>291</v>
      </c>
      <c r="R8" s="374" t="s">
        <v>292</v>
      </c>
      <c r="S8" s="228" t="s">
        <v>291</v>
      </c>
      <c r="T8" s="200" t="s">
        <v>589</v>
      </c>
      <c r="U8" s="372">
        <v>46055</v>
      </c>
      <c r="V8" s="373">
        <v>46057</v>
      </c>
      <c r="W8" s="327" t="s">
        <v>426</v>
      </c>
      <c r="X8" s="370" t="s">
        <v>291</v>
      </c>
      <c r="Y8" s="327" t="s">
        <v>295</v>
      </c>
      <c r="Z8" s="373">
        <v>46057</v>
      </c>
      <c r="AA8" s="370" t="s">
        <v>291</v>
      </c>
      <c r="AB8" s="327" t="s">
        <v>291</v>
      </c>
      <c r="AC8" s="327" t="s">
        <v>291</v>
      </c>
      <c r="AD8" s="388" t="s">
        <v>590</v>
      </c>
      <c r="AE8" s="228"/>
    </row>
    <row r="9" spans="1:31" ht="48">
      <c r="A9" s="369">
        <v>8</v>
      </c>
      <c r="B9" s="369" t="s">
        <v>5</v>
      </c>
      <c r="C9" s="372">
        <v>46051</v>
      </c>
      <c r="D9" s="372">
        <v>46065</v>
      </c>
      <c r="E9" s="229" t="s">
        <v>195</v>
      </c>
      <c r="F9" s="229" t="s">
        <v>298</v>
      </c>
      <c r="G9" s="229" t="s">
        <v>591</v>
      </c>
      <c r="H9" s="329" t="s">
        <v>592</v>
      </c>
      <c r="I9" s="327" t="s">
        <v>289</v>
      </c>
      <c r="J9" s="327">
        <v>2</v>
      </c>
      <c r="K9" s="327">
        <v>2</v>
      </c>
      <c r="L9" s="327">
        <v>9</v>
      </c>
      <c r="M9" s="373">
        <v>46055</v>
      </c>
      <c r="N9" s="373">
        <v>46055</v>
      </c>
      <c r="O9" s="229" t="s">
        <v>290</v>
      </c>
      <c r="P9" s="329" t="s">
        <v>457</v>
      </c>
      <c r="Q9" s="327" t="s">
        <v>291</v>
      </c>
      <c r="R9" s="374" t="s">
        <v>292</v>
      </c>
      <c r="S9" s="327" t="s">
        <v>291</v>
      </c>
      <c r="T9" s="271" t="s">
        <v>593</v>
      </c>
      <c r="U9" s="372">
        <v>46056</v>
      </c>
      <c r="V9" s="373">
        <v>46057</v>
      </c>
      <c r="W9" s="327" t="s">
        <v>426</v>
      </c>
      <c r="X9" s="370" t="s">
        <v>291</v>
      </c>
      <c r="Y9" s="327" t="s">
        <v>295</v>
      </c>
      <c r="Z9" s="373">
        <v>46057</v>
      </c>
      <c r="AA9" s="370" t="s">
        <v>291</v>
      </c>
      <c r="AB9" s="327" t="s">
        <v>291</v>
      </c>
      <c r="AC9" s="327" t="s">
        <v>291</v>
      </c>
      <c r="AD9" s="388" t="s">
        <v>594</v>
      </c>
      <c r="AE9" s="228"/>
    </row>
    <row r="10" spans="1:31" ht="48">
      <c r="A10" s="369">
        <v>9</v>
      </c>
      <c r="B10" s="369" t="s">
        <v>5</v>
      </c>
      <c r="C10" s="372">
        <v>46051</v>
      </c>
      <c r="D10" s="372">
        <v>46065</v>
      </c>
      <c r="E10" s="229" t="s">
        <v>195</v>
      </c>
      <c r="F10" s="229" t="s">
        <v>292</v>
      </c>
      <c r="G10" s="229" t="s">
        <v>595</v>
      </c>
      <c r="H10" s="329" t="s">
        <v>596</v>
      </c>
      <c r="I10" s="327" t="s">
        <v>289</v>
      </c>
      <c r="J10" s="327">
        <v>1</v>
      </c>
      <c r="K10" s="327">
        <v>1</v>
      </c>
      <c r="L10" s="327">
        <v>17.5</v>
      </c>
      <c r="M10" s="373">
        <v>46055</v>
      </c>
      <c r="N10" s="373">
        <v>46056</v>
      </c>
      <c r="O10" s="229" t="s">
        <v>290</v>
      </c>
      <c r="P10" s="329" t="s">
        <v>457</v>
      </c>
      <c r="Q10" s="327" t="s">
        <v>291</v>
      </c>
      <c r="R10" s="374" t="s">
        <v>298</v>
      </c>
      <c r="S10" s="327" t="s">
        <v>291</v>
      </c>
      <c r="T10" s="271" t="s">
        <v>597</v>
      </c>
      <c r="U10" s="372">
        <v>46056</v>
      </c>
      <c r="V10" s="373">
        <v>46057</v>
      </c>
      <c r="W10" s="327" t="s">
        <v>426</v>
      </c>
      <c r="X10" s="370" t="s">
        <v>291</v>
      </c>
      <c r="Y10" s="327" t="s">
        <v>295</v>
      </c>
      <c r="Z10" s="373">
        <v>46057</v>
      </c>
      <c r="AA10" s="370" t="s">
        <v>291</v>
      </c>
      <c r="AB10" s="327" t="s">
        <v>291</v>
      </c>
      <c r="AC10" s="327" t="s">
        <v>291</v>
      </c>
      <c r="AD10" s="388" t="s">
        <v>598</v>
      </c>
      <c r="AE10" s="473"/>
    </row>
    <row r="11" spans="1:31" ht="60">
      <c r="A11" s="369">
        <v>10</v>
      </c>
      <c r="B11" s="369" t="s">
        <v>5</v>
      </c>
      <c r="C11" s="372">
        <v>46051</v>
      </c>
      <c r="D11" s="372">
        <v>46065</v>
      </c>
      <c r="E11" s="229" t="s">
        <v>599</v>
      </c>
      <c r="F11" s="229" t="s">
        <v>292</v>
      </c>
      <c r="G11" s="229" t="s">
        <v>600</v>
      </c>
      <c r="H11" s="329" t="s">
        <v>601</v>
      </c>
      <c r="I11" s="327" t="s">
        <v>289</v>
      </c>
      <c r="J11" s="327">
        <v>1</v>
      </c>
      <c r="K11" s="327">
        <v>1</v>
      </c>
      <c r="L11" s="327">
        <v>24.5</v>
      </c>
      <c r="M11" s="373">
        <v>46058</v>
      </c>
      <c r="N11" s="373">
        <v>46063</v>
      </c>
      <c r="O11" s="229" t="s">
        <v>290</v>
      </c>
      <c r="P11" s="329" t="s">
        <v>457</v>
      </c>
      <c r="Q11" s="327" t="s">
        <v>291</v>
      </c>
      <c r="R11" s="374" t="s">
        <v>298</v>
      </c>
      <c r="S11" s="228" t="s">
        <v>291</v>
      </c>
      <c r="T11" s="200" t="s">
        <v>602</v>
      </c>
      <c r="U11" s="372">
        <v>46062</v>
      </c>
      <c r="V11" s="373">
        <v>46063</v>
      </c>
      <c r="W11" s="327" t="s">
        <v>426</v>
      </c>
      <c r="X11" s="370" t="s">
        <v>291</v>
      </c>
      <c r="Y11" s="327" t="s">
        <v>295</v>
      </c>
      <c r="Z11" s="373">
        <v>46063</v>
      </c>
      <c r="AA11" s="370" t="s">
        <v>291</v>
      </c>
      <c r="AB11" s="327" t="s">
        <v>291</v>
      </c>
      <c r="AC11" s="327" t="s">
        <v>291</v>
      </c>
      <c r="AD11" s="333" t="s">
        <v>603</v>
      </c>
      <c r="AE11" s="181"/>
    </row>
    <row r="12" spans="1:31" ht="48">
      <c r="A12" s="369">
        <v>11</v>
      </c>
      <c r="B12" s="369" t="s">
        <v>5</v>
      </c>
      <c r="C12" s="372">
        <v>46051</v>
      </c>
      <c r="D12" s="372">
        <v>46065</v>
      </c>
      <c r="E12" s="229" t="s">
        <v>599</v>
      </c>
      <c r="F12" s="229" t="s">
        <v>292</v>
      </c>
      <c r="G12" s="229" t="s">
        <v>604</v>
      </c>
      <c r="H12" s="329" t="s">
        <v>605</v>
      </c>
      <c r="I12" s="327" t="s">
        <v>289</v>
      </c>
      <c r="J12" s="327">
        <v>2</v>
      </c>
      <c r="K12" s="327">
        <v>2</v>
      </c>
      <c r="L12" s="327">
        <v>4.5</v>
      </c>
      <c r="M12" s="373">
        <v>46058</v>
      </c>
      <c r="N12" s="373">
        <v>46058</v>
      </c>
      <c r="O12" s="229" t="s">
        <v>290</v>
      </c>
      <c r="P12" s="329" t="s">
        <v>457</v>
      </c>
      <c r="Q12" s="327" t="s">
        <v>291</v>
      </c>
      <c r="R12" s="374" t="s">
        <v>298</v>
      </c>
      <c r="S12" s="327" t="s">
        <v>291</v>
      </c>
      <c r="T12" s="271" t="s">
        <v>606</v>
      </c>
      <c r="U12" s="372">
        <v>46062</v>
      </c>
      <c r="V12" s="373">
        <v>46063</v>
      </c>
      <c r="W12" s="327" t="s">
        <v>426</v>
      </c>
      <c r="X12" s="370" t="s">
        <v>291</v>
      </c>
      <c r="Y12" s="327" t="s">
        <v>295</v>
      </c>
      <c r="Z12" s="373">
        <v>46063</v>
      </c>
      <c r="AA12" s="370" t="s">
        <v>291</v>
      </c>
      <c r="AB12" s="327" t="s">
        <v>291</v>
      </c>
      <c r="AC12" s="327" t="s">
        <v>291</v>
      </c>
      <c r="AD12" s="388" t="s">
        <v>607</v>
      </c>
      <c r="AE12" s="327"/>
    </row>
    <row r="13" spans="1:31" ht="49.5">
      <c r="A13" s="369">
        <v>12</v>
      </c>
      <c r="B13" s="369" t="s">
        <v>5</v>
      </c>
      <c r="C13" s="372">
        <v>46051</v>
      </c>
      <c r="D13" s="372">
        <v>46065</v>
      </c>
      <c r="E13" s="229" t="s">
        <v>599</v>
      </c>
      <c r="F13" s="229" t="s">
        <v>286</v>
      </c>
      <c r="G13" s="229" t="s">
        <v>608</v>
      </c>
      <c r="H13" s="329" t="s">
        <v>609</v>
      </c>
      <c r="I13" s="327" t="s">
        <v>289</v>
      </c>
      <c r="J13" s="327">
        <v>2</v>
      </c>
      <c r="K13" s="327">
        <v>2</v>
      </c>
      <c r="L13" s="327">
        <v>10.25</v>
      </c>
      <c r="M13" s="373">
        <v>46063</v>
      </c>
      <c r="N13" s="373">
        <v>46064</v>
      </c>
      <c r="O13" s="229" t="s">
        <v>290</v>
      </c>
      <c r="P13" s="329" t="s">
        <v>457</v>
      </c>
      <c r="Q13" s="327" t="s">
        <v>291</v>
      </c>
      <c r="R13" s="374" t="s">
        <v>437</v>
      </c>
      <c r="S13" s="327" t="s">
        <v>291</v>
      </c>
      <c r="T13" s="271" t="s">
        <v>610</v>
      </c>
      <c r="U13" s="372">
        <v>46063</v>
      </c>
      <c r="V13" s="373">
        <v>46064</v>
      </c>
      <c r="W13" s="374" t="s">
        <v>426</v>
      </c>
      <c r="X13" s="67" t="s">
        <v>611</v>
      </c>
      <c r="Y13" s="369" t="s">
        <v>295</v>
      </c>
      <c r="Z13" s="373">
        <v>46065</v>
      </c>
      <c r="AA13" s="370" t="s">
        <v>291</v>
      </c>
      <c r="AB13" s="327" t="s">
        <v>291</v>
      </c>
      <c r="AC13" s="327" t="s">
        <v>291</v>
      </c>
      <c r="AD13" s="388" t="s">
        <v>612</v>
      </c>
      <c r="AE13" s="183" t="s">
        <v>613</v>
      </c>
    </row>
    <row r="14" spans="1:31" ht="48">
      <c r="A14" s="369">
        <v>13</v>
      </c>
      <c r="B14" s="369" t="s">
        <v>5</v>
      </c>
      <c r="C14" s="372">
        <v>46051</v>
      </c>
      <c r="D14" s="372">
        <v>46065</v>
      </c>
      <c r="E14" s="229" t="s">
        <v>599</v>
      </c>
      <c r="F14" s="229" t="s">
        <v>519</v>
      </c>
      <c r="G14" s="229" t="s">
        <v>551</v>
      </c>
      <c r="H14" s="329" t="s">
        <v>552</v>
      </c>
      <c r="I14" s="327" t="s">
        <v>301</v>
      </c>
      <c r="J14" s="327">
        <v>3</v>
      </c>
      <c r="K14" s="327">
        <v>1</v>
      </c>
      <c r="L14" s="327">
        <v>33.75</v>
      </c>
      <c r="M14" s="373">
        <v>46062</v>
      </c>
      <c r="N14" s="373">
        <v>46064</v>
      </c>
      <c r="O14" s="229" t="s">
        <v>290</v>
      </c>
      <c r="P14" s="329" t="s">
        <v>457</v>
      </c>
      <c r="Q14" s="327" t="s">
        <v>291</v>
      </c>
      <c r="R14" s="374"/>
      <c r="S14" s="228"/>
      <c r="T14" s="200" t="s">
        <v>553</v>
      </c>
      <c r="U14" s="372"/>
      <c r="V14" s="373"/>
      <c r="W14" s="327"/>
      <c r="X14" s="484"/>
      <c r="Y14" s="327"/>
      <c r="Z14" s="373"/>
      <c r="AA14" s="370"/>
      <c r="AB14" s="327"/>
      <c r="AC14" s="327"/>
      <c r="AD14" s="333" t="s">
        <v>614</v>
      </c>
      <c r="AE14" s="539" t="s">
        <v>615</v>
      </c>
    </row>
    <row r="15" spans="1:31" ht="48">
      <c r="A15" s="369">
        <v>14</v>
      </c>
      <c r="B15" s="369" t="s">
        <v>5</v>
      </c>
      <c r="C15" s="372">
        <v>46051</v>
      </c>
      <c r="D15" s="372">
        <v>46065</v>
      </c>
      <c r="E15" s="229" t="s">
        <v>599</v>
      </c>
      <c r="F15" s="229" t="s">
        <v>298</v>
      </c>
      <c r="G15" s="250" t="s">
        <v>616</v>
      </c>
      <c r="H15" s="241" t="s">
        <v>617</v>
      </c>
      <c r="I15" s="369" t="s">
        <v>289</v>
      </c>
      <c r="J15" s="327">
        <v>1</v>
      </c>
      <c r="K15" s="327">
        <v>1</v>
      </c>
      <c r="L15" s="327">
        <v>5</v>
      </c>
      <c r="M15" s="373">
        <v>46064</v>
      </c>
      <c r="N15" s="373">
        <v>46064</v>
      </c>
      <c r="O15" s="229" t="s">
        <v>290</v>
      </c>
      <c r="P15" s="329" t="s">
        <v>457</v>
      </c>
      <c r="Q15" s="327" t="s">
        <v>291</v>
      </c>
      <c r="R15" s="327" t="s">
        <v>426</v>
      </c>
      <c r="S15" s="181" t="s">
        <v>291</v>
      </c>
      <c r="T15" s="432" t="s">
        <v>618</v>
      </c>
      <c r="U15" s="373">
        <v>46064</v>
      </c>
      <c r="V15" s="373">
        <v>46065</v>
      </c>
      <c r="W15" s="327" t="s">
        <v>426</v>
      </c>
      <c r="X15" s="370" t="s">
        <v>291</v>
      </c>
      <c r="Y15" s="327" t="s">
        <v>295</v>
      </c>
      <c r="Z15" s="373">
        <v>46065</v>
      </c>
      <c r="AA15" s="370" t="s">
        <v>291</v>
      </c>
      <c r="AB15" s="327" t="s">
        <v>291</v>
      </c>
      <c r="AC15" s="327" t="s">
        <v>291</v>
      </c>
      <c r="AD15" s="218" t="s">
        <v>619</v>
      </c>
      <c r="AE15" s="181"/>
    </row>
    <row r="16" spans="1:31" ht="48">
      <c r="A16" s="369">
        <v>15</v>
      </c>
      <c r="B16" s="369" t="s">
        <v>5</v>
      </c>
      <c r="C16" s="372">
        <v>46051</v>
      </c>
      <c r="D16" s="372">
        <v>46065</v>
      </c>
      <c r="E16" s="229" t="s">
        <v>195</v>
      </c>
      <c r="F16" s="229" t="s">
        <v>426</v>
      </c>
      <c r="G16" s="229" t="s">
        <v>543</v>
      </c>
      <c r="H16" s="329" t="s">
        <v>544</v>
      </c>
      <c r="I16" s="327" t="s">
        <v>532</v>
      </c>
      <c r="J16" s="327">
        <v>1</v>
      </c>
      <c r="K16" s="327"/>
      <c r="L16" s="327">
        <v>1</v>
      </c>
      <c r="M16" s="373">
        <v>46062</v>
      </c>
      <c r="N16" s="327"/>
      <c r="O16" s="229" t="s">
        <v>290</v>
      </c>
      <c r="P16" s="329"/>
      <c r="Q16" s="327"/>
      <c r="R16" s="327"/>
      <c r="T16" s="200" t="s">
        <v>620</v>
      </c>
      <c r="U16" s="372">
        <v>46065</v>
      </c>
      <c r="V16" s="373"/>
      <c r="W16" s="327"/>
      <c r="X16" s="370"/>
      <c r="Y16" s="327"/>
      <c r="Z16" s="373"/>
      <c r="AA16" s="370"/>
      <c r="AB16" s="327"/>
      <c r="AC16" s="327"/>
      <c r="AD16" s="218" t="s">
        <v>621</v>
      </c>
      <c r="AE16" s="181"/>
    </row>
  </sheetData>
  <hyperlinks>
    <hyperlink ref="T5" r:id="rId1" xr:uid="{695E7DBF-7DF9-497C-8817-9A71F97D8CA4}"/>
    <hyperlink ref="T3" r:id="rId2" xr:uid="{9BF9F52C-E571-4E1B-9589-918F03DE2324}"/>
    <hyperlink ref="T7" r:id="rId3" xr:uid="{F21502A9-A013-4F59-A2E4-3A9F6C197223}"/>
    <hyperlink ref="T8" r:id="rId4" xr:uid="{F2465048-8F76-4189-A67E-BF76129F41BD}"/>
    <hyperlink ref="T4" r:id="rId5" xr:uid="{D191BCA9-A546-493D-8DEE-859882CC3D2D}"/>
    <hyperlink ref="T9" r:id="rId6" xr:uid="{91F16ADB-DA53-4897-9806-4403B4FF99D4}"/>
    <hyperlink ref="T10" r:id="rId7" xr:uid="{DDF0C4D1-5ED0-43D1-ABF8-B9EB19485CD2}"/>
    <hyperlink ref="T11" r:id="rId8" xr:uid="{1317F2EB-A952-49D1-BC34-D7C92B4F23DB}"/>
    <hyperlink ref="T12" r:id="rId9" xr:uid="{8333AFA7-90EF-4BF3-BEA1-6A418548D5FB}"/>
    <hyperlink ref="T6" r:id="rId10" xr:uid="{EE21BD95-A09D-4892-8D5B-DAE052E07560}"/>
    <hyperlink ref="T13" r:id="rId11" xr:uid="{073545C0-340C-4634-BCEF-52E89296FF06}"/>
    <hyperlink ref="T14" r:id="rId12" xr:uid="{9147C59C-37C7-4E2A-938D-53F7A31FE33E}"/>
    <hyperlink ref="T15" r:id="rId13" xr:uid="{B1E580B1-823C-4F9D-8122-599AB693A5D5}"/>
    <hyperlink ref="T16" r:id="rId14" xr:uid="{5B0BFA57-3402-4A1A-8448-4452AEBCFEF3}"/>
  </hyperlinks>
  <pageMargins left="0.7" right="0.7" top="0.75" bottom="0.75" header="0.3" footer="0.3"/>
  <tableParts count="1">
    <tablePart r:id="rId15"/>
  </tableParts>
  <extLst>
    <ext xmlns:x14="http://schemas.microsoft.com/office/spreadsheetml/2009/9/main" uri="{CCE6A557-97BC-4b89-ADB6-D9C93CAAB3DF}">
      <x14:dataValidations xmlns:xm="http://schemas.microsoft.com/office/excel/2006/main" count="1">
        <x14:dataValidation type="list" allowBlank="1" showErrorMessage="1" xr:uid="{5385410E-CC2C-492B-91C8-FCD4D812A088}">
          <x14:formula1>
            <xm:f>Settings!$C$3:$C$20</xm:f>
          </x14:formula1>
          <xm:sqref>I2:I16</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850E7-0476-4743-A7CD-0F04A0A8675A}">
  <sheetPr>
    <outlinePr summaryBelow="0" summaryRight="0"/>
  </sheetPr>
  <dimension ref="A1:AB977"/>
  <sheetViews>
    <sheetView topLeftCell="D1" workbookViewId="0">
      <selection activeCell="L3" sqref="L3"/>
    </sheetView>
  </sheetViews>
  <sheetFormatPr defaultColWidth="12.5703125" defaultRowHeight="15" customHeight="1"/>
  <cols>
    <col min="1" max="1" width="12.5703125" hidden="1" customWidth="1"/>
    <col min="2" max="2" width="21.42578125" customWidth="1"/>
    <col min="3" max="3" width="23.5703125" customWidth="1"/>
    <col min="4" max="4" width="14.42578125" customWidth="1"/>
    <col min="5" max="5" width="19.140625" customWidth="1"/>
    <col min="6" max="6" width="37.5703125" customWidth="1"/>
    <col min="7" max="7" width="50.5703125" customWidth="1"/>
    <col min="8" max="9" width="18.7109375" customWidth="1"/>
    <col min="10" max="10" width="9.140625" bestFit="1" customWidth="1"/>
    <col min="11" max="11" width="19" customWidth="1"/>
    <col min="12" max="12" width="18" customWidth="1"/>
    <col min="13" max="13" width="41" customWidth="1"/>
    <col min="14" max="14" width="14.140625" style="122" customWidth="1"/>
    <col min="15" max="15" width="61" customWidth="1"/>
  </cols>
  <sheetData>
    <row r="1" spans="1:28" ht="13.5">
      <c r="A1" s="536" t="s">
        <v>254</v>
      </c>
      <c r="B1" s="59" t="s">
        <v>321</v>
      </c>
      <c r="C1" s="243" t="s">
        <v>322</v>
      </c>
      <c r="D1" s="243" t="s">
        <v>323</v>
      </c>
      <c r="E1" s="59" t="s">
        <v>256</v>
      </c>
      <c r="F1" s="243" t="s">
        <v>324</v>
      </c>
      <c r="G1" s="243" t="s">
        <v>325</v>
      </c>
      <c r="H1" s="59" t="s">
        <v>326</v>
      </c>
      <c r="I1" s="59" t="s">
        <v>327</v>
      </c>
      <c r="J1" s="59" t="s">
        <v>328</v>
      </c>
      <c r="K1" s="59" t="s">
        <v>259</v>
      </c>
      <c r="L1" s="523" t="s">
        <v>329</v>
      </c>
      <c r="M1" s="157" t="s">
        <v>280</v>
      </c>
      <c r="N1" s="487" t="s">
        <v>330</v>
      </c>
      <c r="O1" s="487" t="s">
        <v>331</v>
      </c>
      <c r="P1" s="35"/>
      <c r="Q1" s="35"/>
      <c r="R1" s="35"/>
      <c r="S1" s="35"/>
      <c r="T1" s="35"/>
      <c r="U1" s="35"/>
      <c r="V1" s="35"/>
      <c r="W1" s="35"/>
      <c r="X1" s="35"/>
      <c r="Y1" s="35"/>
      <c r="Z1" s="35"/>
      <c r="AA1" s="35"/>
      <c r="AB1" s="35"/>
    </row>
    <row r="2" spans="1:28" ht="39" customHeight="1">
      <c r="A2" s="218"/>
      <c r="B2" s="229" t="s">
        <v>195</v>
      </c>
      <c r="C2" s="229" t="s">
        <v>574</v>
      </c>
      <c r="D2" s="229"/>
      <c r="E2" s="229" t="s">
        <v>298</v>
      </c>
      <c r="F2" s="221" t="s">
        <v>380</v>
      </c>
      <c r="G2" s="229" t="s">
        <v>575</v>
      </c>
      <c r="H2" s="126" t="s">
        <v>622</v>
      </c>
      <c r="I2" s="126" t="s">
        <v>382</v>
      </c>
      <c r="J2" s="126" t="s">
        <v>383</v>
      </c>
      <c r="K2" s="126" t="s">
        <v>384</v>
      </c>
      <c r="L2" s="126" t="s">
        <v>385</v>
      </c>
      <c r="M2" s="329" t="s">
        <v>623</v>
      </c>
      <c r="N2" s="327" t="s">
        <v>457</v>
      </c>
      <c r="O2" s="333" t="s">
        <v>624</v>
      </c>
    </row>
    <row r="3" spans="1:28" ht="36" customHeight="1">
      <c r="A3" s="58"/>
      <c r="B3" s="62" t="s">
        <v>195</v>
      </c>
      <c r="C3" s="62" t="s">
        <v>616</v>
      </c>
      <c r="D3" s="62" t="s">
        <v>389</v>
      </c>
      <c r="E3" s="62" t="s">
        <v>298</v>
      </c>
      <c r="F3" s="228" t="s">
        <v>380</v>
      </c>
      <c r="G3" s="90" t="s">
        <v>617</v>
      </c>
      <c r="H3" s="41" t="s">
        <v>622</v>
      </c>
      <c r="I3" s="41" t="s">
        <v>382</v>
      </c>
      <c r="J3" s="41" t="s">
        <v>383</v>
      </c>
      <c r="K3" s="41" t="s">
        <v>384</v>
      </c>
      <c r="L3" s="58" t="s">
        <v>385</v>
      </c>
      <c r="M3" s="216" t="s">
        <v>625</v>
      </c>
      <c r="N3" s="91" t="s">
        <v>457</v>
      </c>
      <c r="O3" s="216" t="s">
        <v>626</v>
      </c>
    </row>
    <row r="4" spans="1:28" ht="15.75" customHeight="1">
      <c r="H4" s="244"/>
      <c r="I4" s="244"/>
      <c r="J4" s="244"/>
      <c r="K4" s="244"/>
    </row>
    <row r="5" spans="1:28" ht="15.75" customHeight="1">
      <c r="I5" s="244"/>
      <c r="J5" s="244"/>
      <c r="K5" s="244"/>
    </row>
    <row r="6" spans="1:28" ht="15.75" customHeight="1">
      <c r="I6" s="244"/>
      <c r="J6" s="244"/>
      <c r="K6" s="244"/>
    </row>
    <row r="7" spans="1:28" ht="15.75" customHeight="1">
      <c r="I7" s="244"/>
      <c r="J7" s="244"/>
      <c r="K7" s="244"/>
    </row>
    <row r="8" spans="1:28" ht="15.75" customHeight="1">
      <c r="I8" s="244"/>
    </row>
    <row r="9" spans="1:28" ht="15.75" customHeight="1"/>
    <row r="10" spans="1:28" ht="15.75" customHeight="1"/>
    <row r="11" spans="1:28" ht="15.75" customHeight="1"/>
    <row r="12" spans="1:28" ht="15.75" customHeight="1"/>
    <row r="13" spans="1:28" ht="15.75" customHeight="1"/>
    <row r="14" spans="1:28" ht="15.75" customHeight="1"/>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sheetData>
  <autoFilter ref="A1:M1" xr:uid="{3A2BB050-11AC-4ED7-A296-96B42C7FCFBA}"/>
  <dataValidations count="5">
    <dataValidation type="list" allowBlank="1" showErrorMessage="1" sqref="F2" xr:uid="{44C57B41-C4B7-4ED3-9C89-75FEDC7C67D3}">
      <formula1>"Bounceback,Defect,None"</formula1>
    </dataValidation>
    <dataValidation type="list" allowBlank="1" showErrorMessage="1" sqref="H2:H4" xr:uid="{8F37DEE7-1B71-43BE-8218-F9A74814FE2B}">
      <formula1>"Minor,Significant,Major"</formula1>
    </dataValidation>
    <dataValidation type="list" allowBlank="1" showErrorMessage="1" sqref="I2:I8" xr:uid="{CCDB9BE4-8EAB-4A00-815A-769EB0B39103}">
      <formula1>"Manual, Automation"</formula1>
    </dataValidation>
    <dataValidation type="list" allowBlank="1" showErrorMessage="1" sqref="J2:J7" xr:uid="{0A5ADBA9-240A-4C3C-8CC7-B7F1C961DE70}">
      <formula1>"Internal,External"</formula1>
    </dataValidation>
    <dataValidation type="list" allowBlank="1" showErrorMessage="1" sqref="K2:K7" xr:uid="{7CCBEC74-7BF6-48C6-A22B-515F5F895365}">
      <formula1>"Open,Inprogress,Closed"</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889BE62E-67FA-4CF5-9E76-BCB9F2EC1EA5}">
          <x14:formula1>
            <xm:f>Details!$A$2:$A$10</xm:f>
          </x14:formula1>
          <xm:sqref>L2</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BE5BD-09F6-42E9-8079-6D337CBFD846}">
  <dimension ref="A1:XFD21"/>
  <sheetViews>
    <sheetView workbookViewId="0">
      <pane xSplit="7" ySplit="1" topLeftCell="AE2" activePane="bottomRight" state="frozen"/>
      <selection pane="bottomRight" activeCell="AE1" sqref="AE1"/>
      <selection pane="bottomLeft"/>
      <selection pane="topRight"/>
    </sheetView>
  </sheetViews>
  <sheetFormatPr defaultRowHeight="12.75"/>
  <cols>
    <col min="2" max="2" width="13.28515625" customWidth="1"/>
    <col min="3" max="3" width="10.85546875" customWidth="1"/>
    <col min="4" max="4" width="12.140625" customWidth="1"/>
    <col min="5" max="5" width="32.28515625" customWidth="1"/>
    <col min="6" max="6" width="24.28515625" customWidth="1"/>
    <col min="7" max="7" width="18.85546875" customWidth="1"/>
    <col min="8" max="8" width="50.28515625" style="137" customWidth="1"/>
    <col min="9" max="9" width="16.85546875" customWidth="1"/>
    <col min="10" max="10" width="11.42578125" style="122" bestFit="1" customWidth="1"/>
    <col min="11" max="11" width="11.42578125" bestFit="1" customWidth="1"/>
    <col min="12" max="14" width="11.42578125" customWidth="1"/>
    <col min="15" max="15" width="13.140625" customWidth="1"/>
    <col min="16" max="16" width="13.42578125" style="144" customWidth="1"/>
    <col min="17" max="17" width="29.140625" customWidth="1"/>
    <col min="18" max="18" width="16.42578125" style="181" customWidth="1"/>
    <col min="19" max="19" width="14.85546875" style="181" customWidth="1"/>
    <col min="20" max="20" width="24.42578125" style="144" customWidth="1"/>
    <col min="21" max="22" width="12.7109375" bestFit="1" customWidth="1"/>
    <col min="23" max="23" width="21.28515625" customWidth="1"/>
    <col min="24" max="24" width="32.140625" style="144" customWidth="1"/>
    <col min="25" max="25" width="11.42578125" bestFit="1" customWidth="1"/>
    <col min="26" max="26" width="12.7109375" bestFit="1" customWidth="1"/>
    <col min="27" max="27" width="18.7109375" customWidth="1"/>
    <col min="28" max="29" width="11.42578125" bestFit="1" customWidth="1"/>
    <col min="30" max="30" width="56.28515625" customWidth="1"/>
    <col min="31" max="31" width="18.7109375" customWidth="1"/>
  </cols>
  <sheetData>
    <row r="1" spans="1:31" ht="48">
      <c r="A1" s="379" t="s">
        <v>254</v>
      </c>
      <c r="B1" s="404" t="s">
        <v>4</v>
      </c>
      <c r="C1" s="404" t="s">
        <v>2</v>
      </c>
      <c r="D1" s="404" t="s">
        <v>3</v>
      </c>
      <c r="E1" s="527" t="s">
        <v>255</v>
      </c>
      <c r="F1" s="527" t="s">
        <v>256</v>
      </c>
      <c r="G1" s="383" t="s">
        <v>257</v>
      </c>
      <c r="H1" s="383" t="s">
        <v>258</v>
      </c>
      <c r="I1" s="383" t="s">
        <v>259</v>
      </c>
      <c r="J1" s="518" t="s">
        <v>260</v>
      </c>
      <c r="K1" s="384" t="s">
        <v>261</v>
      </c>
      <c r="L1" s="384" t="s">
        <v>262</v>
      </c>
      <c r="M1" s="384" t="s">
        <v>263</v>
      </c>
      <c r="N1" s="384" t="s">
        <v>264</v>
      </c>
      <c r="O1" s="385" t="s">
        <v>265</v>
      </c>
      <c r="P1" s="385" t="s">
        <v>266</v>
      </c>
      <c r="Q1" s="385" t="s">
        <v>267</v>
      </c>
      <c r="R1" s="525" t="s">
        <v>268</v>
      </c>
      <c r="S1" s="525" t="s">
        <v>269</v>
      </c>
      <c r="T1" s="385" t="s">
        <v>270</v>
      </c>
      <c r="U1" s="385" t="s">
        <v>271</v>
      </c>
      <c r="V1" s="385" t="s">
        <v>272</v>
      </c>
      <c r="W1" s="385" t="s">
        <v>273</v>
      </c>
      <c r="X1" s="385" t="s">
        <v>274</v>
      </c>
      <c r="Y1" s="385" t="s">
        <v>275</v>
      </c>
      <c r="Z1" s="385" t="s">
        <v>276</v>
      </c>
      <c r="AA1" s="385" t="s">
        <v>277</v>
      </c>
      <c r="AB1" s="385" t="s">
        <v>278</v>
      </c>
      <c r="AC1" s="526" t="s">
        <v>279</v>
      </c>
      <c r="AD1" s="240" t="s">
        <v>627</v>
      </c>
      <c r="AE1" s="385" t="s">
        <v>281</v>
      </c>
    </row>
    <row r="2" spans="1:31" ht="129.75" customHeight="1">
      <c r="A2" s="369">
        <v>1</v>
      </c>
      <c r="B2" s="369" t="s">
        <v>5</v>
      </c>
      <c r="C2" s="372">
        <v>46037</v>
      </c>
      <c r="D2" s="430">
        <v>46051</v>
      </c>
      <c r="E2" s="316" t="s">
        <v>190</v>
      </c>
      <c r="F2" s="316" t="s">
        <v>298</v>
      </c>
      <c r="G2" s="431" t="s">
        <v>628</v>
      </c>
      <c r="H2" s="524" t="s">
        <v>629</v>
      </c>
      <c r="I2" s="506" t="s">
        <v>289</v>
      </c>
      <c r="J2" s="228">
        <v>1</v>
      </c>
      <c r="K2" s="369"/>
      <c r="L2" s="327">
        <v>8.25</v>
      </c>
      <c r="M2" s="373">
        <v>46038</v>
      </c>
      <c r="N2" s="373">
        <v>46041</v>
      </c>
      <c r="O2" s="229" t="s">
        <v>290</v>
      </c>
      <c r="P2" s="329" t="s">
        <v>457</v>
      </c>
      <c r="Q2" s="370" t="s">
        <v>291</v>
      </c>
      <c r="R2" s="374" t="s">
        <v>292</v>
      </c>
      <c r="S2" s="327" t="s">
        <v>291</v>
      </c>
      <c r="T2" s="271" t="s">
        <v>630</v>
      </c>
      <c r="U2" s="373">
        <v>46038</v>
      </c>
      <c r="V2" s="360">
        <v>46039</v>
      </c>
      <c r="W2" s="369" t="s">
        <v>426</v>
      </c>
      <c r="X2" s="370" t="s">
        <v>291</v>
      </c>
      <c r="Y2" s="327" t="s">
        <v>295</v>
      </c>
      <c r="Z2" s="373">
        <v>46039</v>
      </c>
      <c r="AA2" s="370" t="s">
        <v>291</v>
      </c>
      <c r="AB2" s="327" t="s">
        <v>291</v>
      </c>
      <c r="AC2" s="374" t="s">
        <v>291</v>
      </c>
      <c r="AD2" s="216" t="s">
        <v>631</v>
      </c>
      <c r="AE2" s="181"/>
    </row>
    <row r="3" spans="1:31" ht="137.25" customHeight="1">
      <c r="A3" s="369">
        <v>2</v>
      </c>
      <c r="B3" s="369" t="s">
        <v>5</v>
      </c>
      <c r="C3" s="372">
        <v>46037</v>
      </c>
      <c r="D3" s="372">
        <v>46051</v>
      </c>
      <c r="E3" s="229" t="s">
        <v>190</v>
      </c>
      <c r="F3" s="229" t="s">
        <v>298</v>
      </c>
      <c r="G3" s="229" t="s">
        <v>632</v>
      </c>
      <c r="H3" s="329" t="s">
        <v>633</v>
      </c>
      <c r="I3" s="327" t="s">
        <v>289</v>
      </c>
      <c r="J3" s="327">
        <v>2</v>
      </c>
      <c r="K3" s="327"/>
      <c r="L3" s="327">
        <v>22</v>
      </c>
      <c r="M3" s="373">
        <v>46038</v>
      </c>
      <c r="N3" s="373">
        <v>46038</v>
      </c>
      <c r="O3" s="229" t="s">
        <v>290</v>
      </c>
      <c r="P3" s="329" t="s">
        <v>457</v>
      </c>
      <c r="Q3" s="327" t="s">
        <v>291</v>
      </c>
      <c r="R3" s="374" t="s">
        <v>437</v>
      </c>
      <c r="S3" s="228" t="s">
        <v>291</v>
      </c>
      <c r="T3" s="200" t="s">
        <v>634</v>
      </c>
      <c r="U3" s="360">
        <v>46038</v>
      </c>
      <c r="V3" s="372">
        <v>46043</v>
      </c>
      <c r="W3" s="327" t="s">
        <v>426</v>
      </c>
      <c r="X3" s="370" t="s">
        <v>291</v>
      </c>
      <c r="Y3" s="327" t="s">
        <v>295</v>
      </c>
      <c r="Z3" s="373">
        <v>46043</v>
      </c>
      <c r="AA3" s="370" t="s">
        <v>291</v>
      </c>
      <c r="AB3" s="327" t="s">
        <v>291</v>
      </c>
      <c r="AC3" s="327" t="s">
        <v>291</v>
      </c>
      <c r="AD3" s="333" t="s">
        <v>635</v>
      </c>
      <c r="AE3" s="181"/>
    </row>
    <row r="4" spans="1:31" ht="118.5">
      <c r="A4" s="369">
        <v>3</v>
      </c>
      <c r="B4" s="369" t="s">
        <v>5</v>
      </c>
      <c r="C4" s="372">
        <v>46037</v>
      </c>
      <c r="D4" s="372">
        <v>46051</v>
      </c>
      <c r="E4" s="229" t="s">
        <v>190</v>
      </c>
      <c r="F4" s="229" t="s">
        <v>437</v>
      </c>
      <c r="G4" s="229" t="s">
        <v>636</v>
      </c>
      <c r="H4" s="329" t="s">
        <v>637</v>
      </c>
      <c r="I4" s="327" t="s">
        <v>289</v>
      </c>
      <c r="J4" s="327">
        <v>1</v>
      </c>
      <c r="K4" s="327"/>
      <c r="L4" s="327">
        <v>11.75</v>
      </c>
      <c r="M4" s="373">
        <v>46038</v>
      </c>
      <c r="N4" s="373">
        <v>46038</v>
      </c>
      <c r="O4" s="229" t="s">
        <v>290</v>
      </c>
      <c r="P4" s="329" t="s">
        <v>457</v>
      </c>
      <c r="Q4" s="327" t="s">
        <v>291</v>
      </c>
      <c r="R4" s="374" t="s">
        <v>298</v>
      </c>
      <c r="S4" s="228" t="s">
        <v>291</v>
      </c>
      <c r="T4" s="200" t="s">
        <v>638</v>
      </c>
      <c r="U4" s="360">
        <v>46038</v>
      </c>
      <c r="V4" s="372">
        <v>46042</v>
      </c>
      <c r="W4" s="327" t="s">
        <v>426</v>
      </c>
      <c r="X4" s="370" t="s">
        <v>291</v>
      </c>
      <c r="Y4" s="327" t="s">
        <v>295</v>
      </c>
      <c r="Z4" s="373">
        <v>46042</v>
      </c>
      <c r="AA4" s="370" t="s">
        <v>291</v>
      </c>
      <c r="AB4" s="327" t="s">
        <v>291</v>
      </c>
      <c r="AC4" s="327" t="s">
        <v>291</v>
      </c>
      <c r="AD4" s="333" t="s">
        <v>639</v>
      </c>
      <c r="AE4" s="181"/>
    </row>
    <row r="5" spans="1:31" ht="145.5" customHeight="1">
      <c r="A5" s="369">
        <v>4</v>
      </c>
      <c r="B5" s="369" t="s">
        <v>5</v>
      </c>
      <c r="C5" s="372">
        <v>46037</v>
      </c>
      <c r="D5" s="372">
        <v>46051</v>
      </c>
      <c r="E5" s="229" t="s">
        <v>190</v>
      </c>
      <c r="F5" s="229" t="s">
        <v>298</v>
      </c>
      <c r="G5" s="229" t="s">
        <v>640</v>
      </c>
      <c r="H5" s="329" t="s">
        <v>641</v>
      </c>
      <c r="I5" s="327" t="s">
        <v>289</v>
      </c>
      <c r="J5" s="327">
        <v>1</v>
      </c>
      <c r="K5" s="327"/>
      <c r="L5" s="327">
        <v>15</v>
      </c>
      <c r="M5" s="373">
        <v>46038</v>
      </c>
      <c r="N5" s="373">
        <v>46038</v>
      </c>
      <c r="O5" s="229" t="s">
        <v>290</v>
      </c>
      <c r="P5" s="329" t="s">
        <v>457</v>
      </c>
      <c r="Q5" s="370" t="s">
        <v>642</v>
      </c>
      <c r="R5" s="374" t="s">
        <v>426</v>
      </c>
      <c r="S5" s="228" t="s">
        <v>291</v>
      </c>
      <c r="T5" s="200" t="s">
        <v>643</v>
      </c>
      <c r="U5" s="360">
        <v>46038</v>
      </c>
      <c r="V5" s="372">
        <v>46039</v>
      </c>
      <c r="W5" s="327" t="s">
        <v>426</v>
      </c>
      <c r="X5" s="370" t="s">
        <v>291</v>
      </c>
      <c r="Y5" s="327" t="s">
        <v>295</v>
      </c>
      <c r="Z5" s="373">
        <v>46039</v>
      </c>
      <c r="AA5" s="370" t="s">
        <v>291</v>
      </c>
      <c r="AB5" s="327" t="s">
        <v>291</v>
      </c>
      <c r="AC5" s="327" t="s">
        <v>291</v>
      </c>
      <c r="AD5" s="333" t="s">
        <v>644</v>
      </c>
      <c r="AE5" s="181"/>
    </row>
    <row r="6" spans="1:31" ht="36">
      <c r="A6" s="369">
        <v>5</v>
      </c>
      <c r="B6" s="369" t="s">
        <v>5</v>
      </c>
      <c r="C6" s="372">
        <v>46037</v>
      </c>
      <c r="D6" s="372">
        <v>46051</v>
      </c>
      <c r="E6" s="229" t="s">
        <v>190</v>
      </c>
      <c r="F6" s="229" t="s">
        <v>504</v>
      </c>
      <c r="G6" s="229" t="s">
        <v>645</v>
      </c>
      <c r="H6" s="329" t="s">
        <v>646</v>
      </c>
      <c r="I6" s="327" t="s">
        <v>289</v>
      </c>
      <c r="J6" s="327">
        <v>1</v>
      </c>
      <c r="K6" s="327"/>
      <c r="L6" s="327">
        <v>0.5</v>
      </c>
      <c r="M6" s="327"/>
      <c r="N6" s="373"/>
      <c r="O6" s="229"/>
      <c r="P6" s="329"/>
      <c r="Q6" s="327"/>
      <c r="R6" s="374"/>
      <c r="S6" s="228"/>
      <c r="T6" s="200"/>
      <c r="U6" s="360"/>
      <c r="V6" s="372"/>
      <c r="W6" s="327"/>
      <c r="X6" s="370"/>
      <c r="Y6" s="327"/>
      <c r="Z6" s="373"/>
      <c r="AA6" s="370"/>
      <c r="AB6" s="327"/>
      <c r="AC6" s="327"/>
      <c r="AD6" s="333" t="s">
        <v>647</v>
      </c>
      <c r="AE6" s="181"/>
    </row>
    <row r="7" spans="1:31" ht="36">
      <c r="A7" s="369">
        <v>6</v>
      </c>
      <c r="B7" s="369" t="s">
        <v>5</v>
      </c>
      <c r="C7" s="372">
        <v>46037</v>
      </c>
      <c r="D7" s="372">
        <v>46051</v>
      </c>
      <c r="E7" s="229" t="s">
        <v>190</v>
      </c>
      <c r="F7" s="229" t="s">
        <v>504</v>
      </c>
      <c r="G7" s="229" t="s">
        <v>648</v>
      </c>
      <c r="H7" s="329" t="s">
        <v>649</v>
      </c>
      <c r="I7" s="327" t="s">
        <v>289</v>
      </c>
      <c r="J7" s="327">
        <v>1</v>
      </c>
      <c r="K7" s="327"/>
      <c r="L7" s="327">
        <v>1.5</v>
      </c>
      <c r="M7" s="327"/>
      <c r="N7" s="327"/>
      <c r="O7" s="229"/>
      <c r="P7" s="329"/>
      <c r="Q7" s="327"/>
      <c r="R7" s="374"/>
      <c r="S7" s="228"/>
      <c r="T7" s="200"/>
      <c r="U7" s="360"/>
      <c r="V7" s="372"/>
      <c r="W7" s="327"/>
      <c r="X7" s="370"/>
      <c r="Y7" s="327"/>
      <c r="Z7" s="373"/>
      <c r="AA7" s="370"/>
      <c r="AB7" s="327"/>
      <c r="AC7" s="327"/>
      <c r="AD7" s="333" t="s">
        <v>647</v>
      </c>
      <c r="AE7" s="181"/>
    </row>
    <row r="8" spans="1:31" ht="72">
      <c r="A8" s="369">
        <v>7</v>
      </c>
      <c r="B8" s="369" t="s">
        <v>5</v>
      </c>
      <c r="C8" s="372">
        <v>46037</v>
      </c>
      <c r="D8" s="372">
        <v>46051</v>
      </c>
      <c r="E8" s="229" t="s">
        <v>190</v>
      </c>
      <c r="F8" s="229" t="s">
        <v>298</v>
      </c>
      <c r="G8" s="229" t="s">
        <v>650</v>
      </c>
      <c r="H8" s="329" t="s">
        <v>651</v>
      </c>
      <c r="I8" s="327" t="s">
        <v>289</v>
      </c>
      <c r="J8" s="327"/>
      <c r="K8" s="327"/>
      <c r="L8" s="327">
        <v>19.25</v>
      </c>
      <c r="M8" s="373">
        <v>46041</v>
      </c>
      <c r="N8" s="373">
        <v>46041</v>
      </c>
      <c r="O8" s="229" t="s">
        <v>290</v>
      </c>
      <c r="P8" s="329" t="s">
        <v>457</v>
      </c>
      <c r="Q8" s="327" t="s">
        <v>291</v>
      </c>
      <c r="R8" s="327" t="s">
        <v>292</v>
      </c>
      <c r="S8" s="181" t="s">
        <v>291</v>
      </c>
      <c r="T8" s="432" t="s">
        <v>652</v>
      </c>
      <c r="U8" s="373">
        <v>46041</v>
      </c>
      <c r="V8" s="373">
        <v>46042</v>
      </c>
      <c r="W8" s="327" t="s">
        <v>426</v>
      </c>
      <c r="X8" s="370" t="s">
        <v>291</v>
      </c>
      <c r="Y8" s="327" t="s">
        <v>295</v>
      </c>
      <c r="Z8" s="373">
        <v>46042</v>
      </c>
      <c r="AA8" s="370" t="s">
        <v>291</v>
      </c>
      <c r="AB8" s="327" t="s">
        <v>291</v>
      </c>
      <c r="AC8" s="327" t="s">
        <v>291</v>
      </c>
      <c r="AD8" s="333" t="s">
        <v>653</v>
      </c>
      <c r="AE8" s="181"/>
    </row>
    <row r="9" spans="1:31" ht="60">
      <c r="A9" s="369">
        <v>8</v>
      </c>
      <c r="B9" s="369" t="s">
        <v>5</v>
      </c>
      <c r="C9" s="372">
        <v>46037</v>
      </c>
      <c r="D9" s="372">
        <v>46051</v>
      </c>
      <c r="E9" s="229" t="s">
        <v>654</v>
      </c>
      <c r="F9" s="229" t="s">
        <v>298</v>
      </c>
      <c r="G9" s="229" t="s">
        <v>655</v>
      </c>
      <c r="H9" s="329" t="s">
        <v>656</v>
      </c>
      <c r="I9" s="327" t="s">
        <v>289</v>
      </c>
      <c r="J9" s="327">
        <v>1</v>
      </c>
      <c r="K9" s="327"/>
      <c r="L9" s="327">
        <v>7.75</v>
      </c>
      <c r="M9" s="373">
        <v>46041</v>
      </c>
      <c r="N9" s="373">
        <v>46041</v>
      </c>
      <c r="O9" s="229" t="s">
        <v>290</v>
      </c>
      <c r="P9" s="329" t="s">
        <v>457</v>
      </c>
      <c r="Q9" s="327" t="s">
        <v>291</v>
      </c>
      <c r="R9" s="327" t="s">
        <v>292</v>
      </c>
      <c r="S9" s="181" t="s">
        <v>291</v>
      </c>
      <c r="T9" s="432" t="s">
        <v>657</v>
      </c>
      <c r="U9" s="373">
        <v>46041</v>
      </c>
      <c r="V9" s="373">
        <v>46043</v>
      </c>
      <c r="W9" s="327" t="s">
        <v>426</v>
      </c>
      <c r="X9" s="370" t="s">
        <v>291</v>
      </c>
      <c r="Y9" s="327" t="s">
        <v>295</v>
      </c>
      <c r="Z9" s="373">
        <v>46043</v>
      </c>
      <c r="AA9" s="370" t="s">
        <v>291</v>
      </c>
      <c r="AB9" s="327" t="s">
        <v>291</v>
      </c>
      <c r="AC9" s="327" t="s">
        <v>291</v>
      </c>
      <c r="AD9" s="333" t="s">
        <v>658</v>
      </c>
      <c r="AE9" s="181"/>
    </row>
    <row r="10" spans="1:31" ht="60">
      <c r="A10" s="369">
        <v>9</v>
      </c>
      <c r="B10" s="369" t="s">
        <v>5</v>
      </c>
      <c r="C10" s="372">
        <v>46037</v>
      </c>
      <c r="D10" s="372">
        <v>46051</v>
      </c>
      <c r="E10" s="229" t="s">
        <v>654</v>
      </c>
      <c r="F10" s="229" t="s">
        <v>286</v>
      </c>
      <c r="G10" s="229" t="s">
        <v>659</v>
      </c>
      <c r="H10" s="329" t="s">
        <v>660</v>
      </c>
      <c r="I10" s="327" t="s">
        <v>289</v>
      </c>
      <c r="J10" s="327">
        <v>2</v>
      </c>
      <c r="K10" s="327"/>
      <c r="L10" s="327">
        <v>22.25</v>
      </c>
      <c r="M10" s="373">
        <v>46041</v>
      </c>
      <c r="N10" s="373">
        <v>46041</v>
      </c>
      <c r="O10" s="229" t="s">
        <v>290</v>
      </c>
      <c r="P10" s="329" t="s">
        <v>457</v>
      </c>
      <c r="Q10" s="370" t="s">
        <v>661</v>
      </c>
      <c r="R10" s="327" t="s">
        <v>437</v>
      </c>
      <c r="S10" s="181" t="s">
        <v>291</v>
      </c>
      <c r="T10" s="432" t="s">
        <v>662</v>
      </c>
      <c r="U10" s="373">
        <v>46042</v>
      </c>
      <c r="V10" s="373">
        <v>46043</v>
      </c>
      <c r="W10" s="327" t="s">
        <v>426</v>
      </c>
      <c r="X10" s="370" t="s">
        <v>291</v>
      </c>
      <c r="Y10" s="327" t="s">
        <v>295</v>
      </c>
      <c r="Z10" s="373">
        <v>46043</v>
      </c>
      <c r="AA10" s="370" t="s">
        <v>291</v>
      </c>
      <c r="AB10" s="327" t="s">
        <v>291</v>
      </c>
      <c r="AC10" s="327" t="s">
        <v>291</v>
      </c>
      <c r="AD10" s="333" t="s">
        <v>658</v>
      </c>
      <c r="AE10" s="181"/>
    </row>
    <row r="11" spans="1:31" ht="60">
      <c r="A11" s="369">
        <v>10</v>
      </c>
      <c r="B11" s="369" t="s">
        <v>5</v>
      </c>
      <c r="C11" s="372">
        <v>46037</v>
      </c>
      <c r="D11" s="372">
        <v>46051</v>
      </c>
      <c r="E11" s="229" t="s">
        <v>654</v>
      </c>
      <c r="F11" s="229" t="s">
        <v>298</v>
      </c>
      <c r="G11" s="229" t="s">
        <v>663</v>
      </c>
      <c r="H11" s="329" t="s">
        <v>664</v>
      </c>
      <c r="I11" s="327" t="s">
        <v>289</v>
      </c>
      <c r="J11" s="327">
        <v>1</v>
      </c>
      <c r="K11" s="327"/>
      <c r="L11" s="327">
        <v>4.5</v>
      </c>
      <c r="M11" s="373">
        <v>46043</v>
      </c>
      <c r="N11" s="373">
        <v>46043</v>
      </c>
      <c r="O11" s="229" t="s">
        <v>290</v>
      </c>
      <c r="P11" s="329" t="s">
        <v>457</v>
      </c>
      <c r="Q11" s="327" t="s">
        <v>291</v>
      </c>
      <c r="R11" s="327" t="s">
        <v>292</v>
      </c>
      <c r="S11" s="181" t="s">
        <v>291</v>
      </c>
      <c r="T11" s="432" t="s">
        <v>665</v>
      </c>
      <c r="U11" s="373">
        <v>46044</v>
      </c>
      <c r="V11" s="373">
        <v>46044</v>
      </c>
      <c r="W11" s="327" t="s">
        <v>426</v>
      </c>
      <c r="X11" s="370" t="s">
        <v>291</v>
      </c>
      <c r="Y11" s="327" t="s">
        <v>295</v>
      </c>
      <c r="Z11" s="373">
        <v>46044</v>
      </c>
      <c r="AA11" s="370" t="s">
        <v>291</v>
      </c>
      <c r="AB11" s="327" t="s">
        <v>291</v>
      </c>
      <c r="AC11" s="327" t="s">
        <v>291</v>
      </c>
      <c r="AD11" s="333" t="s">
        <v>666</v>
      </c>
      <c r="AE11" s="181"/>
    </row>
    <row r="12" spans="1:31" ht="48">
      <c r="A12" s="369">
        <v>11</v>
      </c>
      <c r="B12" s="369" t="s">
        <v>5</v>
      </c>
      <c r="C12" s="372">
        <v>46037</v>
      </c>
      <c r="D12" s="372">
        <v>46051</v>
      </c>
      <c r="E12" s="229" t="s">
        <v>654</v>
      </c>
      <c r="F12" s="229" t="s">
        <v>286</v>
      </c>
      <c r="G12" s="229" t="s">
        <v>509</v>
      </c>
      <c r="H12" s="329" t="s">
        <v>510</v>
      </c>
      <c r="I12" s="327" t="s">
        <v>301</v>
      </c>
      <c r="J12" s="327">
        <v>5</v>
      </c>
      <c r="K12" s="327"/>
      <c r="L12" s="327">
        <v>6</v>
      </c>
      <c r="M12" s="373">
        <v>46045</v>
      </c>
      <c r="N12" s="327"/>
      <c r="O12" s="229"/>
      <c r="P12" s="329"/>
      <c r="Q12" s="327"/>
      <c r="R12" s="327"/>
      <c r="T12" s="432"/>
      <c r="U12" s="373"/>
      <c r="V12" s="373"/>
      <c r="W12" s="327"/>
      <c r="X12" s="370"/>
      <c r="Y12" s="327"/>
      <c r="Z12" s="373"/>
      <c r="AA12" s="370"/>
      <c r="AB12" s="327"/>
      <c r="AC12" s="327"/>
      <c r="AD12" s="333" t="s">
        <v>667</v>
      </c>
      <c r="AE12" s="181"/>
    </row>
    <row r="13" spans="1:31">
      <c r="A13" s="369">
        <v>12</v>
      </c>
      <c r="B13" s="369" t="s">
        <v>5</v>
      </c>
      <c r="C13" s="372">
        <v>46037</v>
      </c>
      <c r="D13" s="372">
        <v>46051</v>
      </c>
      <c r="E13" s="229" t="s">
        <v>190</v>
      </c>
      <c r="F13" s="229" t="s">
        <v>504</v>
      </c>
      <c r="G13" s="229" t="s">
        <v>505</v>
      </c>
      <c r="H13" s="329" t="s">
        <v>506</v>
      </c>
      <c r="I13" s="327" t="s">
        <v>549</v>
      </c>
      <c r="J13" s="327">
        <v>5</v>
      </c>
      <c r="K13" s="327"/>
      <c r="L13" s="327">
        <v>79.25</v>
      </c>
      <c r="M13" s="373"/>
      <c r="N13" s="327"/>
      <c r="O13" s="229"/>
      <c r="P13" s="329"/>
      <c r="Q13" s="327"/>
      <c r="R13" s="327"/>
      <c r="T13" s="432"/>
      <c r="U13" s="373"/>
      <c r="V13" s="373"/>
      <c r="W13" s="327"/>
      <c r="X13" s="370"/>
      <c r="Y13" s="327"/>
      <c r="Z13" s="373"/>
      <c r="AA13" s="370"/>
      <c r="AB13" s="327"/>
      <c r="AC13" s="327"/>
      <c r="AD13" s="218" t="s">
        <v>668</v>
      </c>
      <c r="AE13" s="181"/>
    </row>
    <row r="14" spans="1:31" ht="60">
      <c r="A14" s="369">
        <v>13</v>
      </c>
      <c r="B14" s="369" t="s">
        <v>5</v>
      </c>
      <c r="C14" s="372">
        <v>46037</v>
      </c>
      <c r="D14" s="372">
        <v>46051</v>
      </c>
      <c r="E14" s="229" t="s">
        <v>654</v>
      </c>
      <c r="F14" s="229" t="s">
        <v>298</v>
      </c>
      <c r="G14" s="229" t="s">
        <v>669</v>
      </c>
      <c r="H14" s="335" t="s">
        <v>670</v>
      </c>
      <c r="I14" s="327" t="s">
        <v>289</v>
      </c>
      <c r="J14" s="327">
        <v>1</v>
      </c>
      <c r="K14" s="327"/>
      <c r="L14" s="327">
        <v>7.75</v>
      </c>
      <c r="M14" s="373">
        <v>46049</v>
      </c>
      <c r="N14" s="373">
        <v>46049</v>
      </c>
      <c r="O14" s="229" t="s">
        <v>290</v>
      </c>
      <c r="P14" s="329" t="s">
        <v>457</v>
      </c>
      <c r="Q14" s="327" t="s">
        <v>291</v>
      </c>
      <c r="R14" s="327" t="s">
        <v>292</v>
      </c>
      <c r="S14" s="181" t="s">
        <v>291</v>
      </c>
      <c r="T14" s="432" t="s">
        <v>671</v>
      </c>
      <c r="U14" s="373">
        <v>46049</v>
      </c>
      <c r="V14" s="373">
        <v>46050</v>
      </c>
      <c r="W14" s="327" t="s">
        <v>426</v>
      </c>
      <c r="X14" s="370" t="s">
        <v>291</v>
      </c>
      <c r="Y14" s="327" t="s">
        <v>295</v>
      </c>
      <c r="Z14" s="373">
        <v>46050</v>
      </c>
      <c r="AA14" s="370" t="s">
        <v>291</v>
      </c>
      <c r="AB14" s="327" t="s">
        <v>291</v>
      </c>
      <c r="AC14" s="327" t="s">
        <v>291</v>
      </c>
      <c r="AD14" s="333" t="s">
        <v>672</v>
      </c>
      <c r="AE14" s="181"/>
    </row>
    <row r="15" spans="1:31" ht="60">
      <c r="A15" s="369">
        <v>14</v>
      </c>
      <c r="B15" s="369" t="s">
        <v>5</v>
      </c>
      <c r="C15" s="372">
        <v>46037</v>
      </c>
      <c r="D15" s="372">
        <v>46051</v>
      </c>
      <c r="E15" s="229" t="s">
        <v>654</v>
      </c>
      <c r="F15" s="229" t="s">
        <v>298</v>
      </c>
      <c r="G15" s="229" t="s">
        <v>673</v>
      </c>
      <c r="H15" s="329" t="s">
        <v>674</v>
      </c>
      <c r="I15" s="327" t="s">
        <v>289</v>
      </c>
      <c r="J15" s="327">
        <v>1</v>
      </c>
      <c r="K15" s="327"/>
      <c r="L15" s="327">
        <v>4.5</v>
      </c>
      <c r="M15" s="373">
        <v>46049</v>
      </c>
      <c r="N15" s="373">
        <v>46049</v>
      </c>
      <c r="O15" s="229" t="s">
        <v>290</v>
      </c>
      <c r="P15" s="329" t="s">
        <v>457</v>
      </c>
      <c r="Q15" s="327" t="s">
        <v>291</v>
      </c>
      <c r="R15" s="327" t="s">
        <v>292</v>
      </c>
      <c r="S15" s="181" t="s">
        <v>291</v>
      </c>
      <c r="T15" s="432" t="s">
        <v>675</v>
      </c>
      <c r="U15" s="373">
        <v>46050</v>
      </c>
      <c r="V15" s="373">
        <v>46051</v>
      </c>
      <c r="W15" s="327" t="s">
        <v>426</v>
      </c>
      <c r="X15" s="370" t="s">
        <v>291</v>
      </c>
      <c r="Y15" s="327" t="s">
        <v>295</v>
      </c>
      <c r="Z15" s="373">
        <v>46051</v>
      </c>
      <c r="AA15" s="533" t="s">
        <v>291</v>
      </c>
      <c r="AB15" s="228" t="s">
        <v>291</v>
      </c>
      <c r="AC15" s="363" t="s">
        <v>291</v>
      </c>
      <c r="AD15" s="534" t="s">
        <v>676</v>
      </c>
      <c r="AE15" s="181"/>
    </row>
    <row r="16" spans="1:31" ht="60">
      <c r="A16" s="369">
        <v>15</v>
      </c>
      <c r="B16" s="369" t="s">
        <v>5</v>
      </c>
      <c r="C16" s="372">
        <v>46037</v>
      </c>
      <c r="D16" s="372">
        <v>46051</v>
      </c>
      <c r="E16" s="229" t="s">
        <v>654</v>
      </c>
      <c r="F16" s="229" t="s">
        <v>292</v>
      </c>
      <c r="G16" s="229" t="s">
        <v>677</v>
      </c>
      <c r="H16" s="329" t="s">
        <v>678</v>
      </c>
      <c r="I16" s="327" t="s">
        <v>289</v>
      </c>
      <c r="J16" s="327">
        <v>1</v>
      </c>
      <c r="K16" s="327"/>
      <c r="L16" s="327">
        <v>16.25</v>
      </c>
      <c r="M16" s="373">
        <v>46049</v>
      </c>
      <c r="N16" s="373">
        <v>46050</v>
      </c>
      <c r="O16" s="229" t="s">
        <v>290</v>
      </c>
      <c r="P16" s="329" t="s">
        <v>457</v>
      </c>
      <c r="Q16" s="327" t="s">
        <v>291</v>
      </c>
      <c r="R16" s="374" t="s">
        <v>298</v>
      </c>
      <c r="S16" s="228" t="s">
        <v>291</v>
      </c>
      <c r="T16" s="200" t="s">
        <v>679</v>
      </c>
      <c r="U16" s="360">
        <v>46050</v>
      </c>
      <c r="V16" s="372">
        <v>46051</v>
      </c>
      <c r="W16" s="327" t="s">
        <v>426</v>
      </c>
      <c r="X16" s="370" t="s">
        <v>291</v>
      </c>
      <c r="Y16" s="327" t="s">
        <v>295</v>
      </c>
      <c r="Z16" s="373">
        <v>46051</v>
      </c>
      <c r="AA16" s="533" t="s">
        <v>291</v>
      </c>
      <c r="AB16" s="363" t="s">
        <v>291</v>
      </c>
      <c r="AC16" s="363" t="s">
        <v>291</v>
      </c>
      <c r="AD16" s="534" t="s">
        <v>680</v>
      </c>
      <c r="AE16" s="181"/>
    </row>
    <row r="17" spans="1:31 16384:16384" ht="60">
      <c r="A17" s="369">
        <v>16</v>
      </c>
      <c r="B17" s="369" t="s">
        <v>5</v>
      </c>
      <c r="C17" s="372">
        <v>46037</v>
      </c>
      <c r="D17" s="372">
        <v>46051</v>
      </c>
      <c r="E17" s="229" t="s">
        <v>654</v>
      </c>
      <c r="F17" s="229" t="s">
        <v>292</v>
      </c>
      <c r="G17" s="229" t="s">
        <v>681</v>
      </c>
      <c r="H17" s="329" t="s">
        <v>682</v>
      </c>
      <c r="I17" s="327" t="s">
        <v>289</v>
      </c>
      <c r="J17" s="327">
        <v>1</v>
      </c>
      <c r="K17" s="327"/>
      <c r="L17" s="327">
        <v>8.75</v>
      </c>
      <c r="M17" s="373">
        <v>46049</v>
      </c>
      <c r="N17" s="373">
        <v>46049</v>
      </c>
      <c r="O17" s="229" t="s">
        <v>290</v>
      </c>
      <c r="P17" s="329" t="s">
        <v>457</v>
      </c>
      <c r="Q17" s="327" t="s">
        <v>291</v>
      </c>
      <c r="R17" s="374" t="s">
        <v>298</v>
      </c>
      <c r="S17" s="228" t="s">
        <v>291</v>
      </c>
      <c r="T17" s="358" t="s">
        <v>683</v>
      </c>
      <c r="U17" s="360">
        <v>46049</v>
      </c>
      <c r="V17" s="372">
        <v>46051</v>
      </c>
      <c r="W17" s="327" t="s">
        <v>426</v>
      </c>
      <c r="X17" s="370" t="s">
        <v>291</v>
      </c>
      <c r="Y17" s="327" t="s">
        <v>295</v>
      </c>
      <c r="Z17" s="373">
        <v>46051</v>
      </c>
      <c r="AA17" s="533" t="s">
        <v>291</v>
      </c>
      <c r="AB17" s="363" t="s">
        <v>291</v>
      </c>
      <c r="AC17" s="363" t="s">
        <v>291</v>
      </c>
      <c r="AD17" s="534" t="s">
        <v>684</v>
      </c>
      <c r="AE17" s="181"/>
      <c r="XFD17">
        <v>16</v>
      </c>
    </row>
    <row r="18" spans="1:31 16384:16384" ht="60">
      <c r="A18" s="369">
        <v>17</v>
      </c>
      <c r="B18" s="369" t="s">
        <v>5</v>
      </c>
      <c r="C18" s="372">
        <v>46037</v>
      </c>
      <c r="D18" s="372">
        <v>46051</v>
      </c>
      <c r="E18" s="229" t="s">
        <v>654</v>
      </c>
      <c r="F18" s="229" t="s">
        <v>298</v>
      </c>
      <c r="G18" s="229" t="s">
        <v>685</v>
      </c>
      <c r="H18" s="329" t="s">
        <v>686</v>
      </c>
      <c r="I18" s="327" t="s">
        <v>289</v>
      </c>
      <c r="J18" s="327">
        <v>2</v>
      </c>
      <c r="K18" s="327"/>
      <c r="L18" s="327">
        <v>5</v>
      </c>
      <c r="M18" s="373">
        <v>46049</v>
      </c>
      <c r="N18" s="373">
        <v>46050</v>
      </c>
      <c r="O18" s="229" t="s">
        <v>290</v>
      </c>
      <c r="P18" s="329" t="s">
        <v>457</v>
      </c>
      <c r="Q18" s="370" t="s">
        <v>687</v>
      </c>
      <c r="R18" s="374" t="s">
        <v>292</v>
      </c>
      <c r="S18" s="327" t="s">
        <v>291</v>
      </c>
      <c r="T18" s="271" t="s">
        <v>688</v>
      </c>
      <c r="U18" s="360">
        <v>46050</v>
      </c>
      <c r="V18" s="372">
        <v>46051</v>
      </c>
      <c r="W18" s="327" t="s">
        <v>426</v>
      </c>
      <c r="X18" s="370" t="s">
        <v>291</v>
      </c>
      <c r="Y18" s="327" t="s">
        <v>295</v>
      </c>
      <c r="Z18" s="373">
        <v>46051</v>
      </c>
      <c r="AA18" s="533" t="s">
        <v>291</v>
      </c>
      <c r="AB18" s="363" t="s">
        <v>291</v>
      </c>
      <c r="AC18" s="363" t="s">
        <v>291</v>
      </c>
      <c r="AD18" s="534" t="s">
        <v>689</v>
      </c>
      <c r="AE18" s="181"/>
    </row>
    <row r="19" spans="1:31 16384:16384" ht="60">
      <c r="A19" s="369">
        <v>18</v>
      </c>
      <c r="B19" s="369" t="s">
        <v>5</v>
      </c>
      <c r="C19" s="372">
        <v>46037</v>
      </c>
      <c r="D19" s="372">
        <v>46051</v>
      </c>
      <c r="E19" s="229" t="s">
        <v>654</v>
      </c>
      <c r="F19" s="229" t="s">
        <v>298</v>
      </c>
      <c r="G19" s="229" t="s">
        <v>690</v>
      </c>
      <c r="H19" s="329" t="s">
        <v>691</v>
      </c>
      <c r="I19" s="327" t="s">
        <v>289</v>
      </c>
      <c r="J19" s="327">
        <v>2</v>
      </c>
      <c r="K19" s="327"/>
      <c r="L19" s="327">
        <v>7</v>
      </c>
      <c r="M19" s="373">
        <v>46049</v>
      </c>
      <c r="N19" s="373">
        <v>46049</v>
      </c>
      <c r="O19" s="229" t="s">
        <v>290</v>
      </c>
      <c r="P19" s="329" t="s">
        <v>457</v>
      </c>
      <c r="Q19" s="327" t="s">
        <v>291</v>
      </c>
      <c r="R19" s="374" t="s">
        <v>692</v>
      </c>
      <c r="S19" s="228" t="s">
        <v>291</v>
      </c>
      <c r="T19" s="200" t="s">
        <v>693</v>
      </c>
      <c r="U19" s="372">
        <v>46050</v>
      </c>
      <c r="V19" s="373">
        <v>46051</v>
      </c>
      <c r="W19" s="327" t="s">
        <v>426</v>
      </c>
      <c r="X19" s="370" t="s">
        <v>291</v>
      </c>
      <c r="Y19" s="327" t="s">
        <v>295</v>
      </c>
      <c r="Z19" s="373">
        <v>45686</v>
      </c>
      <c r="AA19" s="533" t="s">
        <v>291</v>
      </c>
      <c r="AB19" s="363" t="s">
        <v>291</v>
      </c>
      <c r="AC19" s="363" t="s">
        <v>291</v>
      </c>
      <c r="AD19" s="534" t="s">
        <v>694</v>
      </c>
      <c r="AE19" s="181"/>
    </row>
    <row r="20" spans="1:31 16384:16384" ht="48">
      <c r="A20" s="369">
        <v>19</v>
      </c>
      <c r="B20" s="369" t="s">
        <v>5</v>
      </c>
      <c r="C20" s="372">
        <v>46037</v>
      </c>
      <c r="D20" s="372">
        <v>46051</v>
      </c>
      <c r="E20" s="229" t="s">
        <v>654</v>
      </c>
      <c r="F20" s="229" t="s">
        <v>298</v>
      </c>
      <c r="G20" s="229" t="s">
        <v>565</v>
      </c>
      <c r="H20" s="329" t="s">
        <v>566</v>
      </c>
      <c r="I20" s="327" t="s">
        <v>301</v>
      </c>
      <c r="J20" s="327">
        <v>1</v>
      </c>
      <c r="K20" s="327"/>
      <c r="L20" s="327">
        <v>13.25</v>
      </c>
      <c r="M20" s="373">
        <v>46050</v>
      </c>
      <c r="N20" s="327"/>
      <c r="O20" s="229"/>
      <c r="P20" s="329"/>
      <c r="Q20" s="327"/>
      <c r="R20" s="374"/>
      <c r="S20" s="473"/>
      <c r="T20" s="474"/>
      <c r="U20" s="372"/>
      <c r="V20" s="373"/>
      <c r="W20" s="327"/>
      <c r="X20" s="370"/>
      <c r="Y20" s="327"/>
      <c r="Z20" s="373"/>
      <c r="AA20" s="370"/>
      <c r="AB20" s="486"/>
      <c r="AC20" s="486"/>
      <c r="AD20" s="333" t="s">
        <v>695</v>
      </c>
      <c r="AE20" s="181"/>
    </row>
    <row r="21" spans="1:31 16384:16384" ht="48">
      <c r="A21" s="369">
        <v>20</v>
      </c>
      <c r="B21" s="369" t="s">
        <v>5</v>
      </c>
      <c r="C21" s="372">
        <v>46037</v>
      </c>
      <c r="D21" s="372">
        <v>46051</v>
      </c>
      <c r="E21" s="229" t="s">
        <v>654</v>
      </c>
      <c r="F21" s="229" t="s">
        <v>292</v>
      </c>
      <c r="G21" s="229" t="s">
        <v>570</v>
      </c>
      <c r="H21" s="329" t="s">
        <v>571</v>
      </c>
      <c r="I21" s="327" t="s">
        <v>301</v>
      </c>
      <c r="J21" s="327">
        <v>3</v>
      </c>
      <c r="K21" s="327"/>
      <c r="L21" s="327">
        <v>12</v>
      </c>
      <c r="M21" s="373">
        <v>46050</v>
      </c>
      <c r="N21" s="327"/>
      <c r="O21" s="229"/>
      <c r="P21" s="329"/>
      <c r="Q21" s="327"/>
      <c r="R21" s="327"/>
      <c r="T21" s="432"/>
      <c r="U21" s="373"/>
      <c r="V21" s="373"/>
      <c r="W21" s="327"/>
      <c r="X21" s="370"/>
      <c r="Y21" s="327"/>
      <c r="Z21" s="373"/>
      <c r="AA21" s="370"/>
      <c r="AB21" s="327"/>
      <c r="AC21" s="327"/>
      <c r="AD21" s="333" t="s">
        <v>696</v>
      </c>
      <c r="AE21" s="181"/>
    </row>
  </sheetData>
  <hyperlinks>
    <hyperlink ref="T2" r:id="rId1" xr:uid="{5CBC8CB8-8D19-4481-8143-802E90384703}"/>
    <hyperlink ref="T3" r:id="rId2" xr:uid="{0F016658-DCFF-43BE-9146-5D0CC24C54BB}"/>
    <hyperlink ref="T4" r:id="rId3" xr:uid="{F3C31273-87AE-4964-97EE-65FD28D0157E}"/>
    <hyperlink ref="T5" r:id="rId4" xr:uid="{515A397F-8009-449A-9F77-DFDD851CF665}"/>
    <hyperlink ref="T8" r:id="rId5" xr:uid="{E2C99536-FECD-43D0-8CCD-B3D17B185EF2}"/>
    <hyperlink ref="T9" r:id="rId6" xr:uid="{CC1F0486-4651-4CA0-8F7B-A29E3CD43DBB}"/>
    <hyperlink ref="T10" r:id="rId7" xr:uid="{0C3D7927-3741-4701-97C6-A3991BB4BDE0}"/>
    <hyperlink ref="T11" r:id="rId8" xr:uid="{1010558F-5D5E-4E4C-BEC2-B22B374B114C}"/>
    <hyperlink ref="T14" r:id="rId9" xr:uid="{861746AD-1FF7-496A-B9FD-F23E78382160}"/>
    <hyperlink ref="T15" r:id="rId10" xr:uid="{6B7FFB47-CEC7-4A31-A76B-5DBF13CDB98A}"/>
    <hyperlink ref="T18" r:id="rId11" xr:uid="{AF160EFA-4121-44D3-9B0E-F00D64B3593E}"/>
    <hyperlink ref="T17" r:id="rId12" xr:uid="{983E02AB-FB33-4DD4-8B6B-47F14FD9F78A}"/>
    <hyperlink ref="T16" r:id="rId13" xr:uid="{BAEDC967-1FE4-4F22-BB14-ED1FBBB47074}"/>
    <hyperlink ref="T19" r:id="rId14" xr:uid="{96850A71-8EEE-466A-A28D-FF5458F76E3D}"/>
  </hyperlinks>
  <pageMargins left="0.7" right="0.7" top="0.75" bottom="0.75" header="0.3" footer="0.3"/>
  <tableParts count="1">
    <tablePart r:id="rId15"/>
  </tableParts>
  <extLst>
    <ext xmlns:x14="http://schemas.microsoft.com/office/spreadsheetml/2009/9/main" uri="{CCE6A557-97BC-4b89-ADB6-D9C93CAAB3DF}">
      <x14:dataValidations xmlns:xm="http://schemas.microsoft.com/office/excel/2006/main" count="1">
        <x14:dataValidation type="list" allowBlank="1" showErrorMessage="1" xr:uid="{7FBA778E-A816-40EE-98DF-ACD72AC71CD5}">
          <x14:formula1>
            <xm:f>Settings!$C$3:$C$20</xm:f>
          </x14:formula1>
          <xm:sqref>I2:I21</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E24BE-D1E5-4291-8BE3-EEA197D54CC0}">
  <sheetPr>
    <outlinePr summaryBelow="0" summaryRight="0"/>
  </sheetPr>
  <dimension ref="A1:AB983"/>
  <sheetViews>
    <sheetView topLeftCell="B1" workbookViewId="0">
      <selection activeCell="O5" sqref="O5"/>
    </sheetView>
  </sheetViews>
  <sheetFormatPr defaultColWidth="12.5703125" defaultRowHeight="15" customHeight="1"/>
  <cols>
    <col min="1" max="1" width="12.5703125" hidden="1" customWidth="1"/>
    <col min="2" max="2" width="21.42578125" customWidth="1"/>
    <col min="3" max="3" width="23.5703125" customWidth="1"/>
    <col min="4" max="4" width="14.42578125" customWidth="1"/>
    <col min="5" max="5" width="19.140625" customWidth="1"/>
    <col min="6" max="6" width="37.5703125" customWidth="1"/>
    <col min="7" max="7" width="50.5703125" customWidth="1"/>
    <col min="8" max="9" width="18.7109375" customWidth="1"/>
    <col min="10" max="10" width="9.140625" bestFit="1" customWidth="1"/>
    <col min="11" max="11" width="19" customWidth="1"/>
    <col min="12" max="12" width="18" customWidth="1"/>
    <col min="13" max="13" width="41" customWidth="1"/>
    <col min="14" max="14" width="14.140625" style="122" customWidth="1"/>
    <col min="15" max="15" width="61" customWidth="1"/>
  </cols>
  <sheetData>
    <row r="1" spans="1:28" ht="13.5">
      <c r="A1" s="434" t="s">
        <v>254</v>
      </c>
      <c r="B1" s="1" t="s">
        <v>321</v>
      </c>
      <c r="C1" s="198" t="s">
        <v>322</v>
      </c>
      <c r="D1" s="198" t="s">
        <v>323</v>
      </c>
      <c r="E1" s="1" t="s">
        <v>256</v>
      </c>
      <c r="F1" s="243" t="s">
        <v>324</v>
      </c>
      <c r="G1" s="198" t="s">
        <v>325</v>
      </c>
      <c r="H1" s="59" t="s">
        <v>326</v>
      </c>
      <c r="I1" s="1" t="s">
        <v>327</v>
      </c>
      <c r="J1" s="1" t="s">
        <v>328</v>
      </c>
      <c r="K1" s="1" t="s">
        <v>259</v>
      </c>
      <c r="L1" s="523" t="s">
        <v>329</v>
      </c>
      <c r="M1" s="157" t="s">
        <v>280</v>
      </c>
      <c r="N1" s="487" t="s">
        <v>330</v>
      </c>
      <c r="O1" s="487" t="s">
        <v>331</v>
      </c>
      <c r="P1" s="35"/>
      <c r="Q1" s="35"/>
      <c r="R1" s="35"/>
      <c r="S1" s="35"/>
      <c r="T1" s="35"/>
      <c r="U1" s="35"/>
      <c r="V1" s="35"/>
      <c r="W1" s="35"/>
      <c r="X1" s="35"/>
      <c r="Y1" s="35"/>
      <c r="Z1" s="35"/>
      <c r="AA1" s="35"/>
      <c r="AB1" s="35"/>
    </row>
    <row r="2" spans="1:28" ht="42.75" customHeight="1">
      <c r="B2" s="203" t="s">
        <v>190</v>
      </c>
      <c r="C2" s="203" t="s">
        <v>697</v>
      </c>
      <c r="D2" s="203" t="s">
        <v>628</v>
      </c>
      <c r="E2" s="203" t="s">
        <v>298</v>
      </c>
      <c r="F2" s="185" t="s">
        <v>380</v>
      </c>
      <c r="G2" s="316" t="s">
        <v>651</v>
      </c>
      <c r="H2" s="41" t="s">
        <v>381</v>
      </c>
      <c r="I2" s="41" t="s">
        <v>382</v>
      </c>
      <c r="J2" s="41" t="s">
        <v>383</v>
      </c>
      <c r="K2" s="522" t="s">
        <v>384</v>
      </c>
      <c r="L2" s="41" t="s">
        <v>385</v>
      </c>
      <c r="M2" s="216" t="s">
        <v>698</v>
      </c>
      <c r="N2" s="91" t="s">
        <v>457</v>
      </c>
      <c r="O2" s="216" t="s">
        <v>699</v>
      </c>
    </row>
    <row r="3" spans="1:28" ht="36" customHeight="1">
      <c r="B3" s="203" t="s">
        <v>190</v>
      </c>
      <c r="C3" s="58" t="s">
        <v>659</v>
      </c>
      <c r="D3" s="203" t="s">
        <v>389</v>
      </c>
      <c r="E3" s="58" t="s">
        <v>286</v>
      </c>
      <c r="F3" s="185" t="s">
        <v>380</v>
      </c>
      <c r="G3" s="335" t="s">
        <v>660</v>
      </c>
      <c r="H3" s="41" t="s">
        <v>381</v>
      </c>
      <c r="I3" s="41" t="s">
        <v>382</v>
      </c>
      <c r="J3" s="41" t="s">
        <v>383</v>
      </c>
      <c r="K3" s="522" t="s">
        <v>384</v>
      </c>
      <c r="L3" s="41" t="s">
        <v>385</v>
      </c>
      <c r="M3" s="521" t="s">
        <v>700</v>
      </c>
      <c r="N3" s="91" t="s">
        <v>457</v>
      </c>
      <c r="O3" s="216" t="s">
        <v>701</v>
      </c>
    </row>
    <row r="4" spans="1:28" ht="48" customHeight="1">
      <c r="B4" s="229" t="s">
        <v>190</v>
      </c>
      <c r="C4" s="229" t="s">
        <v>669</v>
      </c>
      <c r="D4" s="229" t="s">
        <v>702</v>
      </c>
      <c r="E4" s="218" t="s">
        <v>298</v>
      </c>
      <c r="F4" s="221" t="s">
        <v>380</v>
      </c>
      <c r="G4" s="329" t="s">
        <v>670</v>
      </c>
      <c r="H4" s="126" t="s">
        <v>381</v>
      </c>
      <c r="I4" s="126" t="s">
        <v>382</v>
      </c>
      <c r="J4" s="126" t="s">
        <v>383</v>
      </c>
      <c r="K4" s="529" t="s">
        <v>384</v>
      </c>
      <c r="L4" s="126" t="s">
        <v>451</v>
      </c>
      <c r="M4" s="530" t="s">
        <v>703</v>
      </c>
      <c r="N4" s="531" t="s">
        <v>704</v>
      </c>
      <c r="O4" s="333" t="s">
        <v>705</v>
      </c>
    </row>
    <row r="5" spans="1:28" s="218" customFormat="1" ht="48" customHeight="1">
      <c r="B5" s="218" t="s">
        <v>190</v>
      </c>
      <c r="C5" s="218" t="s">
        <v>677</v>
      </c>
      <c r="D5" s="218" t="s">
        <v>702</v>
      </c>
      <c r="E5" s="218" t="s">
        <v>292</v>
      </c>
      <c r="F5" s="221" t="s">
        <v>380</v>
      </c>
      <c r="G5" s="532" t="s">
        <v>678</v>
      </c>
      <c r="H5" s="126" t="s">
        <v>381</v>
      </c>
      <c r="I5" s="218" t="s">
        <v>382</v>
      </c>
      <c r="J5" s="218" t="s">
        <v>383</v>
      </c>
      <c r="K5" s="218" t="s">
        <v>500</v>
      </c>
      <c r="L5" s="126" t="s">
        <v>451</v>
      </c>
      <c r="M5" s="333" t="s">
        <v>706</v>
      </c>
      <c r="N5" s="531" t="s">
        <v>704</v>
      </c>
      <c r="O5" s="333" t="s">
        <v>707</v>
      </c>
    </row>
    <row r="6" spans="1:28" s="218" customFormat="1" ht="42.75" customHeight="1">
      <c r="B6" s="218" t="s">
        <v>190</v>
      </c>
      <c r="C6" s="218" t="s">
        <v>681</v>
      </c>
      <c r="D6" s="218" t="s">
        <v>702</v>
      </c>
      <c r="E6" s="218" t="s">
        <v>292</v>
      </c>
      <c r="F6" s="221" t="s">
        <v>380</v>
      </c>
      <c r="G6" s="218" t="s">
        <v>682</v>
      </c>
      <c r="H6" s="126" t="s">
        <v>381</v>
      </c>
      <c r="I6" s="218" t="s">
        <v>382</v>
      </c>
      <c r="J6" s="218" t="s">
        <v>383</v>
      </c>
      <c r="K6" s="218" t="s">
        <v>384</v>
      </c>
      <c r="L6" s="126" t="s">
        <v>451</v>
      </c>
      <c r="M6" s="333" t="s">
        <v>708</v>
      </c>
      <c r="N6" s="531" t="s">
        <v>704</v>
      </c>
      <c r="O6" s="333" t="s">
        <v>709</v>
      </c>
    </row>
    <row r="7" spans="1:28" s="58" customFormat="1" ht="47.25" customHeight="1">
      <c r="B7" s="58" t="s">
        <v>190</v>
      </c>
      <c r="C7" s="58" t="s">
        <v>570</v>
      </c>
      <c r="D7" s="58" t="s">
        <v>702</v>
      </c>
      <c r="E7" s="58" t="s">
        <v>292</v>
      </c>
      <c r="F7" s="185" t="s">
        <v>380</v>
      </c>
      <c r="G7" s="58" t="s">
        <v>571</v>
      </c>
      <c r="H7" s="41" t="s">
        <v>381</v>
      </c>
      <c r="I7" s="58" t="s">
        <v>382</v>
      </c>
      <c r="J7" s="58" t="s">
        <v>383</v>
      </c>
      <c r="K7" s="58" t="s">
        <v>500</v>
      </c>
      <c r="L7" s="41" t="s">
        <v>451</v>
      </c>
      <c r="M7" s="216" t="s">
        <v>710</v>
      </c>
      <c r="N7" s="91" t="s">
        <v>704</v>
      </c>
      <c r="O7" s="216" t="s">
        <v>711</v>
      </c>
    </row>
    <row r="8" spans="1:28" ht="15.75" customHeight="1">
      <c r="F8" s="528"/>
      <c r="H8" s="244"/>
      <c r="L8" s="244"/>
      <c r="M8" s="144"/>
    </row>
    <row r="9" spans="1:28" ht="15.75" customHeight="1">
      <c r="H9" s="244"/>
    </row>
    <row r="10" spans="1:28" ht="15.75" customHeight="1">
      <c r="H10" s="244"/>
    </row>
    <row r="11" spans="1:28" ht="15.75" customHeight="1"/>
    <row r="12" spans="1:28" ht="15.75" customHeight="1"/>
    <row r="13" spans="1:28" ht="15.75" customHeight="1"/>
    <row r="14" spans="1:28" ht="15.75" customHeight="1"/>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autoFilter ref="A1:M1" xr:uid="{3A2BB050-11AC-4ED7-A296-96B42C7FCFBA}"/>
  <dataValidations count="5">
    <dataValidation type="list" allowBlank="1" showErrorMessage="1" sqref="K2:K4" xr:uid="{7FAE4F32-F156-4D91-B0D0-A96AB0F688AA}">
      <formula1>"Open,Inprogress,Closed"</formula1>
    </dataValidation>
    <dataValidation type="list" allowBlank="1" showErrorMessage="1" sqref="I2:I4" xr:uid="{18CDBC43-D93A-442E-9A9B-7B82C6F57C36}">
      <formula1>"Manual, Automation"</formula1>
    </dataValidation>
    <dataValidation type="list" allowBlank="1" showErrorMessage="1" sqref="J2:J4" xr:uid="{3759BB9D-7109-4CC5-B97A-2F4A53FE74AE}">
      <formula1>"Internal,External"</formula1>
    </dataValidation>
    <dataValidation type="list" allowBlank="1" showErrorMessage="1" sqref="H2:H10" xr:uid="{3C910171-0C40-41F2-858A-C9287D61A1D7}">
      <formula1>"Minor,Significant,Major"</formula1>
    </dataValidation>
    <dataValidation type="list" allowBlank="1" showErrorMessage="1" sqref="F2:F8" xr:uid="{403418C9-21E6-44B6-818D-1C9EB328DD5A}">
      <formula1>"Bounceback,Defect,None"</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5B3C5B57-E12D-4C90-B97A-29C4313CE301}">
          <x14:formula1>
            <xm:f>Details!$A$2:$A$10</xm:f>
          </x14:formula1>
          <xm:sqref>L2:L8</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8908D-293A-43BE-83FB-1002EE5697CA}">
  <dimension ref="A1:AD16"/>
  <sheetViews>
    <sheetView workbookViewId="0">
      <pane xSplit="7" ySplit="1" topLeftCell="K4" activePane="bottomRight" state="frozen"/>
      <selection pane="bottomRight" activeCell="K4" sqref="K4"/>
      <selection pane="bottomLeft"/>
      <selection pane="topRight"/>
    </sheetView>
  </sheetViews>
  <sheetFormatPr defaultRowHeight="12.75"/>
  <cols>
    <col min="2" max="2" width="13.28515625" customWidth="1"/>
    <col min="3" max="3" width="10.85546875" customWidth="1"/>
    <col min="4" max="4" width="12.140625" customWidth="1"/>
    <col min="5" max="5" width="32.28515625" customWidth="1"/>
    <col min="6" max="6" width="18.5703125" customWidth="1"/>
    <col min="7" max="7" width="18.85546875" customWidth="1"/>
    <col min="8" max="8" width="50.28515625" style="137" customWidth="1"/>
    <col min="9" max="9" width="16.85546875" customWidth="1"/>
    <col min="10" max="10" width="11.42578125" style="122" bestFit="1" customWidth="1"/>
    <col min="11" max="11" width="11.42578125" bestFit="1" customWidth="1"/>
    <col min="12" max="14" width="11.42578125" customWidth="1"/>
    <col min="15" max="15" width="13.140625" customWidth="1"/>
    <col min="16" max="16" width="13.42578125" style="144" customWidth="1"/>
    <col min="17" max="17" width="29.140625" customWidth="1"/>
    <col min="18" max="18" width="16.42578125" style="181" customWidth="1"/>
    <col min="19" max="19" width="14.85546875" style="181" customWidth="1"/>
    <col min="20" max="20" width="24.42578125" style="144" customWidth="1"/>
    <col min="21" max="22" width="12.7109375" bestFit="1" customWidth="1"/>
    <col min="23" max="23" width="21.28515625" customWidth="1"/>
    <col min="24" max="24" width="32.140625" style="144" customWidth="1"/>
    <col min="25" max="25" width="11.42578125" bestFit="1" customWidth="1"/>
    <col min="26" max="26" width="12.7109375" bestFit="1" customWidth="1"/>
    <col min="27" max="27" width="18.7109375" customWidth="1"/>
    <col min="28" max="29" width="11.42578125" bestFit="1" customWidth="1"/>
    <col min="30" max="30" width="36" customWidth="1"/>
  </cols>
  <sheetData>
    <row r="1" spans="1:30" ht="48">
      <c r="A1" s="379" t="s">
        <v>254</v>
      </c>
      <c r="B1" s="404" t="s">
        <v>4</v>
      </c>
      <c r="C1" s="404" t="s">
        <v>2</v>
      </c>
      <c r="D1" s="404" t="s">
        <v>3</v>
      </c>
      <c r="E1" s="527" t="s">
        <v>255</v>
      </c>
      <c r="F1" s="527" t="s">
        <v>256</v>
      </c>
      <c r="G1" s="383" t="s">
        <v>257</v>
      </c>
      <c r="H1" s="383" t="s">
        <v>258</v>
      </c>
      <c r="I1" s="383" t="s">
        <v>259</v>
      </c>
      <c r="J1" s="518" t="s">
        <v>260</v>
      </c>
      <c r="K1" s="384" t="s">
        <v>261</v>
      </c>
      <c r="L1" s="384" t="s">
        <v>262</v>
      </c>
      <c r="M1" s="384" t="s">
        <v>263</v>
      </c>
      <c r="N1" s="384" t="s">
        <v>264</v>
      </c>
      <c r="O1" s="385" t="s">
        <v>265</v>
      </c>
      <c r="P1" s="385" t="s">
        <v>266</v>
      </c>
      <c r="Q1" s="385" t="s">
        <v>267</v>
      </c>
      <c r="R1" s="525" t="s">
        <v>268</v>
      </c>
      <c r="S1" s="525" t="s">
        <v>269</v>
      </c>
      <c r="T1" s="385" t="s">
        <v>270</v>
      </c>
      <c r="U1" s="385" t="s">
        <v>271</v>
      </c>
      <c r="V1" s="385" t="s">
        <v>272</v>
      </c>
      <c r="W1" s="385" t="s">
        <v>273</v>
      </c>
      <c r="X1" s="385" t="s">
        <v>274</v>
      </c>
      <c r="Y1" s="385" t="s">
        <v>275</v>
      </c>
      <c r="Z1" s="385" t="s">
        <v>276</v>
      </c>
      <c r="AA1" s="385" t="s">
        <v>277</v>
      </c>
      <c r="AB1" s="385" t="s">
        <v>278</v>
      </c>
      <c r="AC1" s="526" t="s">
        <v>279</v>
      </c>
      <c r="AD1" s="240" t="s">
        <v>280</v>
      </c>
    </row>
    <row r="2" spans="1:30" ht="66" customHeight="1">
      <c r="A2" s="369">
        <v>1</v>
      </c>
      <c r="B2" s="369" t="s">
        <v>5</v>
      </c>
      <c r="C2" s="372">
        <v>46009</v>
      </c>
      <c r="D2" s="430">
        <v>46037</v>
      </c>
      <c r="E2" s="316" t="s">
        <v>185</v>
      </c>
      <c r="F2" s="316" t="s">
        <v>292</v>
      </c>
      <c r="G2" s="431" t="s">
        <v>712</v>
      </c>
      <c r="H2" s="524" t="s">
        <v>713</v>
      </c>
      <c r="I2" s="506" t="s">
        <v>289</v>
      </c>
      <c r="J2" s="228">
        <v>1</v>
      </c>
      <c r="K2" s="369"/>
      <c r="L2" s="327">
        <v>39.5</v>
      </c>
      <c r="M2" s="373">
        <v>46010</v>
      </c>
      <c r="N2" s="373">
        <v>46009</v>
      </c>
      <c r="O2" s="229" t="s">
        <v>290</v>
      </c>
      <c r="P2" s="329" t="s">
        <v>457</v>
      </c>
      <c r="Q2" s="370" t="s">
        <v>714</v>
      </c>
      <c r="R2" s="374" t="s">
        <v>298</v>
      </c>
      <c r="S2" s="228" t="s">
        <v>291</v>
      </c>
      <c r="T2" s="200" t="s">
        <v>715</v>
      </c>
      <c r="U2" s="360">
        <v>46014</v>
      </c>
      <c r="V2" s="360">
        <v>46022</v>
      </c>
      <c r="W2" s="369" t="s">
        <v>426</v>
      </c>
      <c r="X2" s="370" t="s">
        <v>291</v>
      </c>
      <c r="Y2" s="327" t="s">
        <v>295</v>
      </c>
      <c r="Z2" s="373">
        <v>46022</v>
      </c>
      <c r="AA2" s="370" t="s">
        <v>291</v>
      </c>
      <c r="AB2" s="327" t="s">
        <v>291</v>
      </c>
      <c r="AC2" s="374" t="s">
        <v>291</v>
      </c>
      <c r="AD2" s="216" t="s">
        <v>716</v>
      </c>
    </row>
    <row r="3" spans="1:30" ht="60">
      <c r="A3" s="369">
        <v>2</v>
      </c>
      <c r="B3" s="369" t="s">
        <v>5</v>
      </c>
      <c r="C3" s="372">
        <v>46009</v>
      </c>
      <c r="D3" s="372">
        <v>46037</v>
      </c>
      <c r="E3" s="229" t="s">
        <v>185</v>
      </c>
      <c r="F3" s="229" t="s">
        <v>298</v>
      </c>
      <c r="G3" s="229" t="s">
        <v>628</v>
      </c>
      <c r="H3" s="329" t="s">
        <v>629</v>
      </c>
      <c r="I3" s="327" t="s">
        <v>532</v>
      </c>
      <c r="J3" s="327">
        <v>2</v>
      </c>
      <c r="K3" s="327"/>
      <c r="L3" s="327">
        <v>31.25</v>
      </c>
      <c r="M3" s="373">
        <v>46010</v>
      </c>
      <c r="N3" s="373">
        <v>46014</v>
      </c>
      <c r="O3" s="229" t="s">
        <v>290</v>
      </c>
      <c r="P3" s="329" t="s">
        <v>457</v>
      </c>
      <c r="Q3" s="370" t="s">
        <v>717</v>
      </c>
      <c r="R3" s="374" t="s">
        <v>292</v>
      </c>
      <c r="S3" s="228" t="s">
        <v>291</v>
      </c>
      <c r="T3" s="200" t="s">
        <v>630</v>
      </c>
      <c r="U3" s="360">
        <v>46014</v>
      </c>
      <c r="V3" s="360"/>
      <c r="W3" s="369" t="s">
        <v>426</v>
      </c>
      <c r="X3" s="370"/>
      <c r="Y3" s="327"/>
      <c r="Z3" s="373"/>
      <c r="AA3" s="370"/>
      <c r="AB3" s="327"/>
      <c r="AC3" s="374"/>
      <c r="AD3" s="216" t="s">
        <v>718</v>
      </c>
    </row>
    <row r="4" spans="1:30" ht="60">
      <c r="A4" s="369">
        <v>3</v>
      </c>
      <c r="B4" s="369" t="s">
        <v>5</v>
      </c>
      <c r="C4" s="372">
        <v>46009</v>
      </c>
      <c r="D4" s="372">
        <v>46037</v>
      </c>
      <c r="E4" s="229" t="s">
        <v>185</v>
      </c>
      <c r="F4" s="229" t="s">
        <v>426</v>
      </c>
      <c r="G4" s="229" t="s">
        <v>719</v>
      </c>
      <c r="H4" s="329" t="s">
        <v>720</v>
      </c>
      <c r="I4" s="327" t="s">
        <v>289</v>
      </c>
      <c r="J4" s="327">
        <v>1</v>
      </c>
      <c r="K4" s="327"/>
      <c r="L4" s="327">
        <v>16.25</v>
      </c>
      <c r="M4" s="373">
        <v>46010</v>
      </c>
      <c r="N4" s="373">
        <v>46015</v>
      </c>
      <c r="O4" s="229" t="s">
        <v>290</v>
      </c>
      <c r="P4" s="329" t="s">
        <v>721</v>
      </c>
      <c r="Q4" s="327" t="s">
        <v>291</v>
      </c>
      <c r="R4" s="374" t="s">
        <v>298</v>
      </c>
      <c r="S4" s="327" t="s">
        <v>291</v>
      </c>
      <c r="T4" s="200" t="s">
        <v>722</v>
      </c>
      <c r="U4" s="360">
        <v>46015</v>
      </c>
      <c r="V4" s="360">
        <v>46028</v>
      </c>
      <c r="W4" s="369" t="s">
        <v>294</v>
      </c>
      <c r="X4" s="370" t="s">
        <v>291</v>
      </c>
      <c r="Y4" s="327" t="s">
        <v>295</v>
      </c>
      <c r="Z4" s="373">
        <v>46028</v>
      </c>
      <c r="AA4" s="370" t="s">
        <v>291</v>
      </c>
      <c r="AB4" s="327" t="s">
        <v>291</v>
      </c>
      <c r="AC4" s="374" t="s">
        <v>291</v>
      </c>
      <c r="AD4" s="216" t="s">
        <v>723</v>
      </c>
    </row>
    <row r="5" spans="1:30" ht="60">
      <c r="A5" s="369">
        <v>4</v>
      </c>
      <c r="B5" s="369" t="s">
        <v>5</v>
      </c>
      <c r="C5" s="372">
        <v>46009</v>
      </c>
      <c r="D5" s="372">
        <v>46037</v>
      </c>
      <c r="E5" s="229" t="s">
        <v>185</v>
      </c>
      <c r="F5" s="229" t="s">
        <v>298</v>
      </c>
      <c r="G5" s="229" t="s">
        <v>724</v>
      </c>
      <c r="H5" s="329" t="s">
        <v>725</v>
      </c>
      <c r="I5" s="327" t="s">
        <v>289</v>
      </c>
      <c r="J5" s="327">
        <v>1</v>
      </c>
      <c r="K5" s="327"/>
      <c r="L5" s="327">
        <v>13.75</v>
      </c>
      <c r="M5" s="373">
        <v>46015</v>
      </c>
      <c r="N5" s="373">
        <v>46029</v>
      </c>
      <c r="O5" s="229" t="s">
        <v>290</v>
      </c>
      <c r="P5" s="329" t="s">
        <v>457</v>
      </c>
      <c r="Q5" s="327" t="s">
        <v>291</v>
      </c>
      <c r="R5" s="374" t="s">
        <v>292</v>
      </c>
      <c r="S5" s="228" t="s">
        <v>291</v>
      </c>
      <c r="T5" s="432" t="s">
        <v>726</v>
      </c>
      <c r="U5" s="476">
        <v>46028</v>
      </c>
      <c r="V5" s="476">
        <v>46029</v>
      </c>
      <c r="W5" s="327" t="s">
        <v>426</v>
      </c>
      <c r="X5" s="370" t="s">
        <v>291</v>
      </c>
      <c r="Y5" s="327" t="s">
        <v>295</v>
      </c>
      <c r="Z5" s="373">
        <v>46029</v>
      </c>
      <c r="AA5" s="370" t="s">
        <v>291</v>
      </c>
      <c r="AB5" s="327" t="s">
        <v>291</v>
      </c>
      <c r="AC5" s="374" t="s">
        <v>291</v>
      </c>
      <c r="AD5" s="216" t="s">
        <v>727</v>
      </c>
    </row>
    <row r="6" spans="1:30" ht="60">
      <c r="A6" s="369">
        <v>5</v>
      </c>
      <c r="B6" s="369" t="s">
        <v>5</v>
      </c>
      <c r="C6" s="372">
        <v>46009</v>
      </c>
      <c r="D6" s="372">
        <v>46037</v>
      </c>
      <c r="E6" s="229" t="s">
        <v>185</v>
      </c>
      <c r="F6" s="229" t="s">
        <v>292</v>
      </c>
      <c r="G6" s="229" t="s">
        <v>728</v>
      </c>
      <c r="H6" s="329" t="s">
        <v>729</v>
      </c>
      <c r="I6" s="327" t="s">
        <v>289</v>
      </c>
      <c r="J6" s="327">
        <v>2</v>
      </c>
      <c r="K6" s="327"/>
      <c r="L6" s="327">
        <v>52.25</v>
      </c>
      <c r="M6" s="373">
        <v>46013</v>
      </c>
      <c r="N6" s="373">
        <v>46034</v>
      </c>
      <c r="O6" s="229" t="s">
        <v>290</v>
      </c>
      <c r="P6" s="329" t="s">
        <v>457</v>
      </c>
      <c r="Q6" s="327" t="s">
        <v>291</v>
      </c>
      <c r="R6" s="374" t="s">
        <v>298</v>
      </c>
      <c r="S6" s="473" t="s">
        <v>291</v>
      </c>
      <c r="T6" s="200" t="s">
        <v>730</v>
      </c>
      <c r="U6" s="360">
        <v>46015</v>
      </c>
      <c r="V6" s="372">
        <v>46035</v>
      </c>
      <c r="W6" s="327" t="s">
        <v>426</v>
      </c>
      <c r="X6" s="370" t="s">
        <v>291</v>
      </c>
      <c r="Y6" s="327" t="s">
        <v>295</v>
      </c>
      <c r="Z6" s="373">
        <v>46035</v>
      </c>
      <c r="AA6" s="370" t="s">
        <v>291</v>
      </c>
      <c r="AB6" s="327" t="s">
        <v>291</v>
      </c>
      <c r="AC6" s="374" t="s">
        <v>291</v>
      </c>
      <c r="AD6" s="216" t="s">
        <v>731</v>
      </c>
    </row>
    <row r="7" spans="1:30" ht="60">
      <c r="A7" s="369">
        <v>6</v>
      </c>
      <c r="B7" s="369" t="s">
        <v>5</v>
      </c>
      <c r="C7" s="372">
        <v>46009</v>
      </c>
      <c r="D7" s="372">
        <v>46037</v>
      </c>
      <c r="E7" s="229" t="s">
        <v>185</v>
      </c>
      <c r="F7" s="229" t="s">
        <v>298</v>
      </c>
      <c r="G7" s="229" t="s">
        <v>632</v>
      </c>
      <c r="H7" s="329" t="s">
        <v>633</v>
      </c>
      <c r="I7" s="327" t="s">
        <v>532</v>
      </c>
      <c r="J7" s="327">
        <v>5</v>
      </c>
      <c r="K7" s="327"/>
      <c r="L7" s="327">
        <v>34.75</v>
      </c>
      <c r="M7" s="373">
        <v>46027</v>
      </c>
      <c r="N7" s="373">
        <v>46031</v>
      </c>
      <c r="O7" s="229"/>
      <c r="P7" s="329"/>
      <c r="Q7" s="327"/>
      <c r="R7" s="374" t="s">
        <v>292</v>
      </c>
      <c r="S7" s="228" t="s">
        <v>291</v>
      </c>
      <c r="T7" s="200" t="s">
        <v>634</v>
      </c>
      <c r="U7" s="360"/>
      <c r="V7" s="372"/>
      <c r="W7" s="327"/>
      <c r="X7" s="370"/>
      <c r="Y7" s="327"/>
      <c r="Z7" s="373"/>
      <c r="AA7" s="370"/>
      <c r="AB7" s="327"/>
      <c r="AC7" s="374"/>
      <c r="AD7" s="58"/>
    </row>
    <row r="8" spans="1:30" ht="60">
      <c r="A8" s="369">
        <v>7</v>
      </c>
      <c r="B8" s="369" t="s">
        <v>5</v>
      </c>
      <c r="C8" s="372">
        <v>46009</v>
      </c>
      <c r="D8" s="372">
        <v>46037</v>
      </c>
      <c r="E8" s="229" t="s">
        <v>185</v>
      </c>
      <c r="F8" s="229" t="s">
        <v>298</v>
      </c>
      <c r="G8" s="229" t="s">
        <v>732</v>
      </c>
      <c r="H8" s="329" t="s">
        <v>733</v>
      </c>
      <c r="I8" s="327" t="s">
        <v>289</v>
      </c>
      <c r="J8" s="327">
        <v>3</v>
      </c>
      <c r="K8" s="327"/>
      <c r="L8" s="327">
        <v>36</v>
      </c>
      <c r="M8" s="373">
        <v>46021</v>
      </c>
      <c r="N8" s="373">
        <v>46030</v>
      </c>
      <c r="O8" s="229" t="s">
        <v>290</v>
      </c>
      <c r="P8" s="329" t="s">
        <v>457</v>
      </c>
      <c r="Q8" s="327" t="s">
        <v>291</v>
      </c>
      <c r="R8" s="374" t="s">
        <v>292</v>
      </c>
      <c r="S8" s="228" t="s">
        <v>291</v>
      </c>
      <c r="T8" s="200" t="s">
        <v>734</v>
      </c>
      <c r="U8" s="360">
        <v>46030</v>
      </c>
      <c r="V8" s="372">
        <v>46034</v>
      </c>
      <c r="W8" s="327" t="s">
        <v>426</v>
      </c>
      <c r="X8" s="370" t="s">
        <v>291</v>
      </c>
      <c r="Y8" s="327" t="s">
        <v>295</v>
      </c>
      <c r="Z8" s="373">
        <v>46034</v>
      </c>
      <c r="AA8" s="370" t="s">
        <v>291</v>
      </c>
      <c r="AB8" s="327" t="s">
        <v>291</v>
      </c>
      <c r="AC8" s="374" t="s">
        <v>291</v>
      </c>
      <c r="AD8" s="216" t="s">
        <v>735</v>
      </c>
    </row>
    <row r="9" spans="1:30" ht="60">
      <c r="A9" s="369">
        <v>8</v>
      </c>
      <c r="B9" s="369" t="s">
        <v>5</v>
      </c>
      <c r="C9" s="372">
        <v>46009</v>
      </c>
      <c r="D9" s="372">
        <v>46037</v>
      </c>
      <c r="E9" s="229" t="s">
        <v>185</v>
      </c>
      <c r="F9" s="229" t="s">
        <v>292</v>
      </c>
      <c r="G9" s="229" t="s">
        <v>736</v>
      </c>
      <c r="H9" s="329" t="s">
        <v>737</v>
      </c>
      <c r="I9" s="327" t="s">
        <v>289</v>
      </c>
      <c r="J9" s="327">
        <v>2</v>
      </c>
      <c r="K9" s="327"/>
      <c r="L9" s="327">
        <v>53.25</v>
      </c>
      <c r="M9" s="373">
        <v>46017</v>
      </c>
      <c r="N9" s="373">
        <v>46031</v>
      </c>
      <c r="O9" s="229" t="s">
        <v>290</v>
      </c>
      <c r="P9" s="329" t="s">
        <v>457</v>
      </c>
      <c r="Q9" s="327" t="s">
        <v>291</v>
      </c>
      <c r="R9" s="374" t="s">
        <v>298</v>
      </c>
      <c r="S9" s="228" t="s">
        <v>291</v>
      </c>
      <c r="T9" s="200" t="s">
        <v>738</v>
      </c>
      <c r="U9" s="360">
        <v>46031</v>
      </c>
      <c r="V9" s="372">
        <v>46034</v>
      </c>
      <c r="W9" s="327" t="s">
        <v>426</v>
      </c>
      <c r="X9" s="370" t="s">
        <v>291</v>
      </c>
      <c r="Y9" s="327" t="s">
        <v>295</v>
      </c>
      <c r="Z9" s="373">
        <v>46034</v>
      </c>
      <c r="AA9" s="370" t="s">
        <v>291</v>
      </c>
      <c r="AB9" s="327" t="s">
        <v>291</v>
      </c>
      <c r="AC9" s="374" t="s">
        <v>291</v>
      </c>
      <c r="AD9" s="58" t="s">
        <v>739</v>
      </c>
    </row>
    <row r="10" spans="1:30" ht="60">
      <c r="A10" s="369">
        <v>9</v>
      </c>
      <c r="B10" s="369" t="s">
        <v>5</v>
      </c>
      <c r="C10" s="372">
        <v>46009</v>
      </c>
      <c r="D10" s="372">
        <v>46037</v>
      </c>
      <c r="E10" s="229" t="s">
        <v>185</v>
      </c>
      <c r="F10" s="229" t="s">
        <v>298</v>
      </c>
      <c r="G10" s="229" t="s">
        <v>740</v>
      </c>
      <c r="H10" s="329" t="s">
        <v>741</v>
      </c>
      <c r="I10" s="327" t="s">
        <v>289</v>
      </c>
      <c r="J10" s="327">
        <v>2</v>
      </c>
      <c r="K10" s="327"/>
      <c r="L10" s="327">
        <v>17.25</v>
      </c>
      <c r="M10" s="373">
        <v>46020</v>
      </c>
      <c r="N10" s="373">
        <v>46029</v>
      </c>
      <c r="O10" s="229" t="s">
        <v>290</v>
      </c>
      <c r="P10" s="329" t="s">
        <v>457</v>
      </c>
      <c r="Q10" s="327" t="s">
        <v>291</v>
      </c>
      <c r="R10" s="374" t="s">
        <v>292</v>
      </c>
      <c r="S10" s="228" t="s">
        <v>291</v>
      </c>
      <c r="T10" s="200" t="s">
        <v>726</v>
      </c>
      <c r="U10" s="360">
        <v>46028</v>
      </c>
      <c r="V10" s="372">
        <v>46029</v>
      </c>
      <c r="W10" s="327" t="s">
        <v>426</v>
      </c>
      <c r="X10" s="370" t="s">
        <v>291</v>
      </c>
      <c r="Y10" s="327" t="s">
        <v>295</v>
      </c>
      <c r="Z10" s="373">
        <v>46029</v>
      </c>
      <c r="AA10" s="370" t="s">
        <v>291</v>
      </c>
      <c r="AB10" s="327" t="s">
        <v>291</v>
      </c>
      <c r="AC10" s="374" t="s">
        <v>291</v>
      </c>
      <c r="AD10" s="216" t="s">
        <v>742</v>
      </c>
    </row>
    <row r="11" spans="1:30" ht="60">
      <c r="A11" s="369">
        <v>10</v>
      </c>
      <c r="B11" s="369" t="s">
        <v>5</v>
      </c>
      <c r="C11" s="372">
        <v>46009</v>
      </c>
      <c r="D11" s="372">
        <v>46037</v>
      </c>
      <c r="E11" s="229" t="s">
        <v>185</v>
      </c>
      <c r="F11" s="229" t="s">
        <v>298</v>
      </c>
      <c r="G11" s="229" t="s">
        <v>743</v>
      </c>
      <c r="H11" s="329" t="s">
        <v>744</v>
      </c>
      <c r="I11" s="327" t="s">
        <v>289</v>
      </c>
      <c r="J11" s="327">
        <v>2</v>
      </c>
      <c r="K11" s="327"/>
      <c r="L11" s="327">
        <v>24</v>
      </c>
      <c r="M11" s="373">
        <v>46013</v>
      </c>
      <c r="N11" s="373">
        <v>46029</v>
      </c>
      <c r="O11" s="229" t="s">
        <v>290</v>
      </c>
      <c r="P11" s="329" t="s">
        <v>457</v>
      </c>
      <c r="Q11" s="370" t="s">
        <v>745</v>
      </c>
      <c r="R11" s="327" t="s">
        <v>292</v>
      </c>
      <c r="S11" s="181" t="s">
        <v>291</v>
      </c>
      <c r="T11" s="432" t="s">
        <v>746</v>
      </c>
      <c r="U11" s="476">
        <v>46020</v>
      </c>
      <c r="V11" s="373">
        <v>46029</v>
      </c>
      <c r="W11" s="327" t="s">
        <v>426</v>
      </c>
      <c r="X11" s="370" t="s">
        <v>291</v>
      </c>
      <c r="Y11" s="327" t="s">
        <v>295</v>
      </c>
      <c r="Z11" s="373">
        <v>46029</v>
      </c>
      <c r="AA11" s="370" t="s">
        <v>291</v>
      </c>
      <c r="AB11" s="327" t="s">
        <v>291</v>
      </c>
      <c r="AC11" s="374" t="s">
        <v>291</v>
      </c>
      <c r="AD11" s="216" t="s">
        <v>747</v>
      </c>
    </row>
    <row r="12" spans="1:30" ht="24">
      <c r="A12" s="369">
        <v>11</v>
      </c>
      <c r="B12" s="369" t="s">
        <v>5</v>
      </c>
      <c r="C12" s="372">
        <v>46009</v>
      </c>
      <c r="D12" s="372">
        <v>46037</v>
      </c>
      <c r="E12" s="329" t="s">
        <v>748</v>
      </c>
      <c r="F12" s="329" t="s">
        <v>749</v>
      </c>
      <c r="G12" s="329" t="s">
        <v>750</v>
      </c>
      <c r="H12" s="329" t="s">
        <v>751</v>
      </c>
      <c r="I12" s="327" t="s">
        <v>289</v>
      </c>
      <c r="J12" s="327">
        <v>1</v>
      </c>
      <c r="K12" s="327"/>
      <c r="L12" s="327">
        <v>15.25</v>
      </c>
      <c r="M12" s="327"/>
      <c r="N12" s="327"/>
      <c r="O12" s="229"/>
      <c r="P12" s="329"/>
      <c r="Q12" s="327"/>
      <c r="R12" s="374"/>
      <c r="S12" s="228"/>
      <c r="T12" s="200"/>
      <c r="U12" s="372"/>
      <c r="V12" s="373"/>
      <c r="W12" s="327"/>
      <c r="X12" s="370"/>
      <c r="Y12" s="327"/>
      <c r="Z12" s="373"/>
      <c r="AA12" s="370"/>
      <c r="AB12" s="327"/>
      <c r="AC12" s="327"/>
      <c r="AD12" s="218" t="s">
        <v>752</v>
      </c>
    </row>
    <row r="13" spans="1:30" ht="60">
      <c r="A13" s="369">
        <v>12</v>
      </c>
      <c r="B13" s="369" t="s">
        <v>5</v>
      </c>
      <c r="C13" s="372">
        <v>46009</v>
      </c>
      <c r="D13" s="372">
        <v>46037</v>
      </c>
      <c r="E13" s="229" t="s">
        <v>748</v>
      </c>
      <c r="F13" s="229" t="s">
        <v>298</v>
      </c>
      <c r="G13" s="229" t="s">
        <v>753</v>
      </c>
      <c r="H13" s="329" t="s">
        <v>754</v>
      </c>
      <c r="I13" s="327" t="s">
        <v>289</v>
      </c>
      <c r="J13" s="327">
        <v>2</v>
      </c>
      <c r="K13" s="327"/>
      <c r="L13" s="327">
        <v>8.25</v>
      </c>
      <c r="M13" s="373">
        <v>46034</v>
      </c>
      <c r="N13" s="373">
        <v>46034</v>
      </c>
      <c r="O13" s="229" t="s">
        <v>290</v>
      </c>
      <c r="P13" s="329" t="s">
        <v>457</v>
      </c>
      <c r="Q13" s="370" t="s">
        <v>755</v>
      </c>
      <c r="R13" s="374" t="s">
        <v>292</v>
      </c>
      <c r="S13" s="228" t="s">
        <v>291</v>
      </c>
      <c r="T13" s="200" t="s">
        <v>756</v>
      </c>
      <c r="U13" s="372">
        <v>46034</v>
      </c>
      <c r="V13" s="373"/>
      <c r="W13" s="327" t="s">
        <v>426</v>
      </c>
      <c r="X13" s="370"/>
      <c r="Y13" s="327"/>
      <c r="Z13" s="373"/>
      <c r="AA13" s="370"/>
      <c r="AB13" s="327"/>
      <c r="AC13" s="327"/>
      <c r="AD13" s="218" t="s">
        <v>757</v>
      </c>
    </row>
    <row r="14" spans="1:30" ht="60">
      <c r="A14" s="369">
        <v>13</v>
      </c>
      <c r="B14" s="369" t="s">
        <v>5</v>
      </c>
      <c r="C14" s="372">
        <v>46009</v>
      </c>
      <c r="D14" s="372">
        <v>46037</v>
      </c>
      <c r="E14" s="229" t="s">
        <v>748</v>
      </c>
      <c r="F14" s="229" t="s">
        <v>298</v>
      </c>
      <c r="G14" s="229" t="s">
        <v>758</v>
      </c>
      <c r="H14" s="329" t="s">
        <v>759</v>
      </c>
      <c r="I14" s="327" t="s">
        <v>289</v>
      </c>
      <c r="J14" s="327">
        <v>1</v>
      </c>
      <c r="K14" s="327"/>
      <c r="L14" s="327">
        <v>3</v>
      </c>
      <c r="M14" s="373">
        <v>46034</v>
      </c>
      <c r="N14" s="373">
        <v>46034</v>
      </c>
      <c r="O14" s="229" t="s">
        <v>290</v>
      </c>
      <c r="P14" s="329" t="s">
        <v>457</v>
      </c>
      <c r="Q14" s="327" t="s">
        <v>291</v>
      </c>
      <c r="R14" s="374" t="s">
        <v>292</v>
      </c>
      <c r="S14" s="228" t="s">
        <v>291</v>
      </c>
      <c r="T14" s="200" t="s">
        <v>760</v>
      </c>
      <c r="U14" s="372">
        <v>46034</v>
      </c>
      <c r="V14" s="373"/>
      <c r="W14" s="327" t="s">
        <v>426</v>
      </c>
      <c r="X14" s="370"/>
      <c r="Y14" s="327"/>
      <c r="Z14" s="373"/>
      <c r="AA14" s="370"/>
      <c r="AB14" s="327"/>
      <c r="AC14" s="327"/>
      <c r="AD14" s="218" t="s">
        <v>757</v>
      </c>
    </row>
    <row r="15" spans="1:30" ht="60">
      <c r="A15" s="369">
        <v>14</v>
      </c>
      <c r="B15" s="369" t="s">
        <v>5</v>
      </c>
      <c r="C15" s="372">
        <v>46009</v>
      </c>
      <c r="D15" s="372">
        <v>46037</v>
      </c>
      <c r="E15" s="229" t="s">
        <v>748</v>
      </c>
      <c r="F15" s="229" t="s">
        <v>298</v>
      </c>
      <c r="G15" s="229" t="s">
        <v>761</v>
      </c>
      <c r="H15" s="329" t="s">
        <v>762</v>
      </c>
      <c r="I15" s="327" t="s">
        <v>289</v>
      </c>
      <c r="J15" s="327">
        <v>0.5</v>
      </c>
      <c r="K15" s="327"/>
      <c r="L15" s="327">
        <v>3.75</v>
      </c>
      <c r="M15" s="373">
        <v>46034</v>
      </c>
      <c r="N15" s="373">
        <v>46035</v>
      </c>
      <c r="O15" s="229" t="s">
        <v>290</v>
      </c>
      <c r="P15" s="329" t="s">
        <v>457</v>
      </c>
      <c r="Q15" s="327" t="s">
        <v>291</v>
      </c>
      <c r="R15" s="374" t="s">
        <v>292</v>
      </c>
      <c r="S15" s="228" t="s">
        <v>291</v>
      </c>
      <c r="T15" s="200" t="s">
        <v>763</v>
      </c>
      <c r="U15" s="372">
        <v>46035</v>
      </c>
      <c r="V15" s="373"/>
      <c r="W15" s="327" t="s">
        <v>426</v>
      </c>
      <c r="X15" s="370" t="s">
        <v>291</v>
      </c>
      <c r="Y15" s="327" t="s">
        <v>295</v>
      </c>
      <c r="Z15" s="373"/>
      <c r="AA15" s="370"/>
      <c r="AB15" s="327"/>
      <c r="AC15" s="327"/>
      <c r="AD15" s="333" t="s">
        <v>764</v>
      </c>
    </row>
    <row r="16" spans="1:30" ht="60">
      <c r="A16" s="369">
        <v>15</v>
      </c>
      <c r="B16" s="369" t="s">
        <v>5</v>
      </c>
      <c r="C16" s="372">
        <v>46009</v>
      </c>
      <c r="D16" s="372">
        <v>46037</v>
      </c>
      <c r="E16" s="229" t="s">
        <v>748</v>
      </c>
      <c r="F16" s="229" t="s">
        <v>298</v>
      </c>
      <c r="G16" s="229" t="s">
        <v>765</v>
      </c>
      <c r="H16" s="329" t="s">
        <v>766</v>
      </c>
      <c r="I16" s="327" t="s">
        <v>289</v>
      </c>
      <c r="J16" s="327">
        <v>3</v>
      </c>
      <c r="K16" s="327"/>
      <c r="L16" s="327">
        <v>9.5</v>
      </c>
      <c r="M16" s="373">
        <v>46034</v>
      </c>
      <c r="N16" s="373">
        <v>46034</v>
      </c>
      <c r="O16" s="229" t="s">
        <v>290</v>
      </c>
      <c r="P16" s="329" t="s">
        <v>457</v>
      </c>
      <c r="Q16" s="327" t="s">
        <v>291</v>
      </c>
      <c r="R16" s="374" t="s">
        <v>292</v>
      </c>
      <c r="S16" s="228" t="s">
        <v>291</v>
      </c>
      <c r="T16" s="200" t="s">
        <v>767</v>
      </c>
      <c r="U16" s="372">
        <v>46034</v>
      </c>
      <c r="V16" s="373"/>
      <c r="W16" s="327"/>
      <c r="X16" s="370"/>
      <c r="Y16" s="327"/>
      <c r="Z16" s="373"/>
      <c r="AA16" s="370"/>
      <c r="AB16" s="327"/>
      <c r="AC16" s="327"/>
      <c r="AD16" s="218" t="s">
        <v>757</v>
      </c>
    </row>
  </sheetData>
  <hyperlinks>
    <hyperlink ref="T2" r:id="rId1" xr:uid="{13542CBD-23AE-4177-BDA8-FA82382F38AC}"/>
    <hyperlink ref="T3" r:id="rId2" xr:uid="{C7C5A619-6B32-4893-A574-0EC5B043501C}"/>
    <hyperlink ref="T4" r:id="rId3" xr:uid="{19990BFF-E2CA-4E7B-A79D-239A7D000C59}"/>
    <hyperlink ref="T11" r:id="rId4" xr:uid="{ABB18827-ACFF-42F9-B200-0507F34C28FC}"/>
    <hyperlink ref="T6" r:id="rId5" xr:uid="{1367202E-A3B1-410A-9334-3F3E5839AA3C}"/>
    <hyperlink ref="T8" r:id="rId6" xr:uid="{CA0D63B1-AFF8-4B7B-B70F-05F5AA1FB5BB}"/>
    <hyperlink ref="T5" r:id="rId7" xr:uid="{8363D5E4-AB90-4754-A64F-FD7F2E907D1B}"/>
    <hyperlink ref="T10" r:id="rId8" xr:uid="{65F4A66F-FA68-4C57-8BC4-18BB81B88F17}"/>
    <hyperlink ref="T9" r:id="rId9" xr:uid="{4DC5BE1E-B692-4FA4-9E33-50EF0963E914}"/>
    <hyperlink ref="T13" r:id="rId10" xr:uid="{34FA6F4E-F629-4396-8ECD-9EF207030436}"/>
    <hyperlink ref="T14" r:id="rId11" xr:uid="{0A808EB4-743A-497D-AB00-0BCD16126872}"/>
    <hyperlink ref="T16" r:id="rId12" xr:uid="{89FEC6DC-DEAB-4F1A-98E9-3279B1AA6DDA}"/>
    <hyperlink ref="T7" r:id="rId13" xr:uid="{6093693C-21E4-4D30-BA53-E9B9615F1FD6}"/>
    <hyperlink ref="T15" r:id="rId14" xr:uid="{B6DEC698-58E3-41CF-8C54-D79667AB5E9F}"/>
  </hyperlinks>
  <pageMargins left="0.7" right="0.7" top="0.75" bottom="0.75" header="0.3" footer="0.3"/>
  <tableParts count="1">
    <tablePart r:id="rId15"/>
  </tableParts>
  <extLst>
    <ext xmlns:x14="http://schemas.microsoft.com/office/spreadsheetml/2009/9/main" uri="{CCE6A557-97BC-4b89-ADB6-D9C93CAAB3DF}">
      <x14:dataValidations xmlns:xm="http://schemas.microsoft.com/office/excel/2006/main" count="1">
        <x14:dataValidation type="list" allowBlank="1" showErrorMessage="1" xr:uid="{727C9B39-F5C5-4DAB-9F6D-D49A7A37D767}">
          <x14:formula1>
            <xm:f>Settings!$C$3:$C$20</xm:f>
          </x14:formula1>
          <xm:sqref>I2:I16</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2992F-E67E-443C-A549-87A76DC7E016}">
  <sheetPr>
    <outlinePr summaryBelow="0" summaryRight="0"/>
  </sheetPr>
  <dimension ref="A1:AB982"/>
  <sheetViews>
    <sheetView topLeftCell="B1" workbookViewId="0">
      <selection activeCell="F10" sqref="F10"/>
    </sheetView>
  </sheetViews>
  <sheetFormatPr defaultColWidth="12.5703125" defaultRowHeight="15" customHeight="1"/>
  <cols>
    <col min="1" max="1" width="12.5703125" hidden="1" customWidth="1"/>
    <col min="2" max="2" width="21.42578125" customWidth="1"/>
    <col min="3" max="3" width="23.5703125" customWidth="1"/>
    <col min="4" max="4" width="14.42578125" customWidth="1"/>
    <col min="5" max="5" width="19.140625" customWidth="1"/>
    <col min="6" max="6" width="37.5703125" customWidth="1"/>
    <col min="7" max="7" width="50.5703125" customWidth="1"/>
    <col min="8" max="9" width="18.7109375" customWidth="1"/>
    <col min="10" max="10" width="9.140625" bestFit="1" customWidth="1"/>
    <col min="11" max="11" width="19" customWidth="1"/>
    <col min="12" max="12" width="18" customWidth="1"/>
    <col min="13" max="13" width="41" customWidth="1"/>
    <col min="14" max="14" width="14.140625" style="122" customWidth="1"/>
    <col min="15" max="15" width="29" customWidth="1"/>
  </cols>
  <sheetData>
    <row r="1" spans="1:28" ht="13.5">
      <c r="A1" s="434" t="s">
        <v>254</v>
      </c>
      <c r="B1" s="1" t="s">
        <v>321</v>
      </c>
      <c r="C1" s="198" t="s">
        <v>322</v>
      </c>
      <c r="D1" s="198" t="s">
        <v>323</v>
      </c>
      <c r="E1" s="1" t="s">
        <v>256</v>
      </c>
      <c r="F1" s="243" t="s">
        <v>324</v>
      </c>
      <c r="G1" s="198" t="s">
        <v>325</v>
      </c>
      <c r="H1" s="59" t="s">
        <v>326</v>
      </c>
      <c r="I1" s="1" t="s">
        <v>327</v>
      </c>
      <c r="J1" s="1" t="s">
        <v>328</v>
      </c>
      <c r="K1" s="1" t="s">
        <v>259</v>
      </c>
      <c r="L1" s="523" t="s">
        <v>329</v>
      </c>
      <c r="M1" s="157" t="s">
        <v>280</v>
      </c>
      <c r="N1" s="487" t="s">
        <v>330</v>
      </c>
      <c r="O1" s="487" t="s">
        <v>331</v>
      </c>
      <c r="P1" s="35"/>
      <c r="Q1" s="35"/>
      <c r="R1" s="35"/>
      <c r="S1" s="35"/>
      <c r="T1" s="35"/>
      <c r="U1" s="35"/>
      <c r="V1" s="35"/>
      <c r="W1" s="35"/>
      <c r="X1" s="35"/>
      <c r="Y1" s="35"/>
      <c r="Z1" s="35"/>
      <c r="AA1" s="35"/>
      <c r="AB1" s="35"/>
    </row>
    <row r="2" spans="1:28" ht="42.75" customHeight="1">
      <c r="B2" s="203" t="s">
        <v>185</v>
      </c>
      <c r="C2" s="203" t="s">
        <v>636</v>
      </c>
      <c r="D2" s="203" t="s">
        <v>389</v>
      </c>
      <c r="E2" s="203"/>
      <c r="F2" s="185" t="s">
        <v>380</v>
      </c>
      <c r="G2" s="316" t="s">
        <v>637</v>
      </c>
      <c r="H2" s="41" t="s">
        <v>381</v>
      </c>
      <c r="I2" s="41" t="s">
        <v>382</v>
      </c>
      <c r="J2" s="41" t="s">
        <v>383</v>
      </c>
      <c r="K2" s="522" t="s">
        <v>768</v>
      </c>
      <c r="L2" s="41" t="s">
        <v>390</v>
      </c>
      <c r="M2" s="216" t="s">
        <v>769</v>
      </c>
      <c r="N2" s="91" t="s">
        <v>457</v>
      </c>
      <c r="O2" s="216" t="s">
        <v>770</v>
      </c>
    </row>
    <row r="3" spans="1:28" ht="36" customHeight="1">
      <c r="B3" s="203" t="s">
        <v>185</v>
      </c>
      <c r="C3" s="58" t="s">
        <v>771</v>
      </c>
      <c r="D3" s="203" t="s">
        <v>389</v>
      </c>
      <c r="E3" s="58"/>
      <c r="F3" s="185" t="s">
        <v>380</v>
      </c>
      <c r="G3" s="216" t="s">
        <v>772</v>
      </c>
      <c r="H3" s="41" t="s">
        <v>381</v>
      </c>
      <c r="I3" s="41" t="s">
        <v>382</v>
      </c>
      <c r="J3" s="41" t="s">
        <v>383</v>
      </c>
      <c r="K3" s="522" t="s">
        <v>768</v>
      </c>
      <c r="L3" s="41" t="s">
        <v>390</v>
      </c>
      <c r="M3" s="521" t="s">
        <v>773</v>
      </c>
      <c r="N3" s="91" t="s">
        <v>457</v>
      </c>
      <c r="O3" s="216" t="s">
        <v>774</v>
      </c>
    </row>
    <row r="4" spans="1:28" ht="48" customHeight="1">
      <c r="B4" s="203" t="s">
        <v>185</v>
      </c>
      <c r="C4" s="203" t="s">
        <v>645</v>
      </c>
      <c r="D4" s="203" t="s">
        <v>389</v>
      </c>
      <c r="E4" s="58"/>
      <c r="F4" s="185" t="s">
        <v>380</v>
      </c>
      <c r="G4" s="350" t="s">
        <v>646</v>
      </c>
      <c r="H4" s="41" t="s">
        <v>622</v>
      </c>
      <c r="I4" s="41" t="s">
        <v>382</v>
      </c>
      <c r="J4" s="41" t="s">
        <v>383</v>
      </c>
      <c r="K4" s="522" t="s">
        <v>768</v>
      </c>
      <c r="L4" s="41" t="s">
        <v>385</v>
      </c>
      <c r="M4" s="521" t="s">
        <v>775</v>
      </c>
      <c r="N4" s="91" t="s">
        <v>457</v>
      </c>
      <c r="O4" s="216" t="s">
        <v>776</v>
      </c>
    </row>
    <row r="5" spans="1:28" ht="15.75" customHeight="1">
      <c r="F5" s="528"/>
      <c r="H5" s="244"/>
      <c r="L5" s="244"/>
    </row>
    <row r="6" spans="1:28" ht="15.75" customHeight="1">
      <c r="F6" s="528"/>
      <c r="H6" s="244"/>
      <c r="L6" s="244"/>
    </row>
    <row r="7" spans="1:28" ht="15.75" customHeight="1">
      <c r="F7" s="528"/>
      <c r="H7" s="244"/>
      <c r="L7" s="244"/>
    </row>
    <row r="8" spans="1:28" ht="15.75" customHeight="1">
      <c r="H8" s="244"/>
    </row>
    <row r="9" spans="1:28" ht="15.75" customHeight="1">
      <c r="H9" s="244"/>
    </row>
    <row r="10" spans="1:28" ht="15.75" customHeight="1"/>
    <row r="11" spans="1:28" ht="15.75" customHeight="1"/>
    <row r="12" spans="1:28" ht="15.75" customHeight="1"/>
    <row r="13" spans="1:28" ht="15.75" customHeight="1"/>
    <row r="14" spans="1:28" ht="15.75" customHeight="1"/>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sheetData>
  <autoFilter ref="A1:M1" xr:uid="{3A2BB050-11AC-4ED7-A296-96B42C7FCFBA}"/>
  <dataValidations count="5">
    <dataValidation type="list" allowBlank="1" showErrorMessage="1" sqref="F2:F7" xr:uid="{5388CC4D-2976-4168-8C5B-ECAA5E59A39D}">
      <formula1>"Bounceback,Defect,None"</formula1>
    </dataValidation>
    <dataValidation type="list" allowBlank="1" showErrorMessage="1" sqref="H2:H9" xr:uid="{E84575E0-3C8C-4D65-8E56-E8C517A7DB28}">
      <formula1>"Minor,Significant,Major"</formula1>
    </dataValidation>
    <dataValidation type="list" allowBlank="1" showErrorMessage="1" sqref="J2:J4" xr:uid="{0C66EA87-FD8B-4A4C-8CD7-9CA25EE376CB}">
      <formula1>"Internal,External"</formula1>
    </dataValidation>
    <dataValidation type="list" allowBlank="1" showErrorMessage="1" sqref="I2:I4" xr:uid="{B368E7D9-3779-4F57-87CF-A1B56B3FCF85}">
      <formula1>"Manual, Automation"</formula1>
    </dataValidation>
    <dataValidation type="list" allowBlank="1" showErrorMessage="1" sqref="K2:K4" xr:uid="{6907081E-ED5D-4C40-B1A5-A9DE0F807F86}">
      <formula1>"Open,Inprogress,Closed"</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89A4E52E-254A-4626-B86E-B762436E8A60}">
          <x14:formula1>
            <xm:f>Details!$A$2:$A$10</xm:f>
          </x14:formula1>
          <xm:sqref>L2:L7</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7161C-5E14-429D-8212-7AF0193CD941}">
  <dimension ref="A1:AD9"/>
  <sheetViews>
    <sheetView workbookViewId="0">
      <pane xSplit="7" ySplit="1" topLeftCell="V7" activePane="bottomRight" state="frozen"/>
      <selection pane="bottomRight" activeCell="V7" sqref="V7"/>
      <selection pane="bottomLeft"/>
      <selection pane="topRight"/>
    </sheetView>
  </sheetViews>
  <sheetFormatPr defaultRowHeight="12.75"/>
  <cols>
    <col min="2" max="2" width="13.28515625" customWidth="1"/>
    <col min="3" max="3" width="10.85546875" customWidth="1"/>
    <col min="4" max="4" width="12.140625" customWidth="1"/>
    <col min="5" max="5" width="23.28515625" customWidth="1"/>
    <col min="6" max="6" width="18.5703125" customWidth="1"/>
    <col min="7" max="7" width="18.85546875" customWidth="1"/>
    <col min="8" max="8" width="50.28515625" style="137" customWidth="1"/>
    <col min="9" max="9" width="16.85546875" customWidth="1"/>
    <col min="10" max="10" width="11.42578125" style="122" bestFit="1" customWidth="1"/>
    <col min="11" max="11" width="11.42578125" bestFit="1" customWidth="1"/>
    <col min="12" max="14" width="11.42578125" customWidth="1"/>
    <col min="15" max="15" width="13.140625" customWidth="1"/>
    <col min="16" max="16" width="13.42578125" style="144" customWidth="1"/>
    <col min="17" max="17" width="29.140625" customWidth="1"/>
    <col min="18" max="18" width="16.42578125" customWidth="1"/>
    <col min="19" max="19" width="14.85546875" customWidth="1"/>
    <col min="20" max="20" width="24.42578125" style="144" customWidth="1"/>
    <col min="21" max="22" width="12.7109375" bestFit="1" customWidth="1"/>
    <col min="23" max="23" width="21.28515625" customWidth="1"/>
    <col min="24" max="24" width="32.140625" style="144" customWidth="1"/>
    <col min="25" max="25" width="11.42578125" bestFit="1" customWidth="1"/>
    <col min="26" max="26" width="12.7109375" bestFit="1" customWidth="1"/>
    <col min="27" max="27" width="18.7109375" customWidth="1"/>
    <col min="28" max="29" width="11.42578125" bestFit="1" customWidth="1"/>
    <col min="30" max="30" width="36" customWidth="1"/>
  </cols>
  <sheetData>
    <row r="1" spans="1:30" ht="46.5">
      <c r="A1" s="379" t="s">
        <v>254</v>
      </c>
      <c r="B1" s="404" t="s">
        <v>4</v>
      </c>
      <c r="C1" s="404" t="s">
        <v>2</v>
      </c>
      <c r="D1" s="404" t="s">
        <v>3</v>
      </c>
      <c r="E1" s="380" t="s">
        <v>255</v>
      </c>
      <c r="F1" s="381" t="s">
        <v>256</v>
      </c>
      <c r="G1" s="382" t="s">
        <v>257</v>
      </c>
      <c r="H1" s="383" t="s">
        <v>258</v>
      </c>
      <c r="I1" s="383" t="s">
        <v>259</v>
      </c>
      <c r="J1" s="518" t="s">
        <v>260</v>
      </c>
      <c r="K1" s="384" t="s">
        <v>261</v>
      </c>
      <c r="L1" s="384" t="s">
        <v>262</v>
      </c>
      <c r="M1" s="384" t="s">
        <v>263</v>
      </c>
      <c r="N1" s="384" t="s">
        <v>264</v>
      </c>
      <c r="O1" s="385" t="s">
        <v>265</v>
      </c>
      <c r="P1" s="385" t="s">
        <v>266</v>
      </c>
      <c r="Q1" s="385" t="s">
        <v>267</v>
      </c>
      <c r="R1" s="385" t="s">
        <v>268</v>
      </c>
      <c r="S1" s="385" t="s">
        <v>269</v>
      </c>
      <c r="T1" s="385" t="s">
        <v>270</v>
      </c>
      <c r="U1" s="385" t="s">
        <v>271</v>
      </c>
      <c r="V1" s="385" t="s">
        <v>272</v>
      </c>
      <c r="W1" s="385" t="s">
        <v>273</v>
      </c>
      <c r="X1" s="385" t="s">
        <v>274</v>
      </c>
      <c r="Y1" s="385" t="s">
        <v>275</v>
      </c>
      <c r="Z1" s="385" t="s">
        <v>276</v>
      </c>
      <c r="AA1" s="385" t="s">
        <v>277</v>
      </c>
      <c r="AB1" s="385" t="s">
        <v>278</v>
      </c>
      <c r="AC1" s="385" t="s">
        <v>279</v>
      </c>
      <c r="AD1" s="386" t="s">
        <v>280</v>
      </c>
    </row>
    <row r="2" spans="1:30" ht="66" customHeight="1">
      <c r="A2" s="369">
        <v>1</v>
      </c>
      <c r="B2" s="369" t="s">
        <v>5</v>
      </c>
      <c r="C2" s="372">
        <v>45995</v>
      </c>
      <c r="D2" s="430">
        <v>46009</v>
      </c>
      <c r="E2" s="316" t="s">
        <v>181</v>
      </c>
      <c r="F2" s="90" t="s">
        <v>426</v>
      </c>
      <c r="G2" s="431" t="s">
        <v>777</v>
      </c>
      <c r="H2" s="187" t="s">
        <v>778</v>
      </c>
      <c r="I2" s="506" t="s">
        <v>289</v>
      </c>
      <c r="J2" s="228">
        <v>1</v>
      </c>
      <c r="K2" s="369"/>
      <c r="L2" s="327"/>
      <c r="M2" s="373">
        <v>45996</v>
      </c>
      <c r="N2" s="373">
        <v>46002</v>
      </c>
      <c r="O2" s="229" t="s">
        <v>290</v>
      </c>
      <c r="P2" s="329" t="s">
        <v>426</v>
      </c>
      <c r="Q2" s="370" t="s">
        <v>291</v>
      </c>
      <c r="R2" s="250" t="s">
        <v>295</v>
      </c>
      <c r="S2" s="218" t="s">
        <v>291</v>
      </c>
      <c r="T2" s="271" t="s">
        <v>779</v>
      </c>
      <c r="U2" s="372">
        <v>46002</v>
      </c>
      <c r="V2" s="373">
        <v>46002</v>
      </c>
      <c r="W2" s="327" t="s">
        <v>294</v>
      </c>
      <c r="X2" s="370" t="s">
        <v>291</v>
      </c>
      <c r="Y2" s="327" t="s">
        <v>295</v>
      </c>
      <c r="Z2" s="373">
        <v>46002</v>
      </c>
      <c r="AA2" s="370" t="s">
        <v>291</v>
      </c>
      <c r="AB2" s="327" t="s">
        <v>291</v>
      </c>
      <c r="AC2" s="327" t="s">
        <v>291</v>
      </c>
      <c r="AD2" s="388" t="s">
        <v>780</v>
      </c>
    </row>
    <row r="3" spans="1:30" ht="60">
      <c r="A3" s="369">
        <v>2</v>
      </c>
      <c r="B3" s="369" t="s">
        <v>5</v>
      </c>
      <c r="C3" s="372">
        <v>45995</v>
      </c>
      <c r="D3" s="372">
        <v>46009</v>
      </c>
      <c r="E3" s="229" t="s">
        <v>181</v>
      </c>
      <c r="F3" s="229" t="s">
        <v>298</v>
      </c>
      <c r="G3" s="250" t="s">
        <v>781</v>
      </c>
      <c r="H3" s="316" t="s">
        <v>782</v>
      </c>
      <c r="I3" s="506" t="s">
        <v>289</v>
      </c>
      <c r="J3" s="228">
        <v>1</v>
      </c>
      <c r="K3" s="369"/>
      <c r="L3" s="327"/>
      <c r="M3" s="373">
        <v>45996</v>
      </c>
      <c r="N3" s="373">
        <v>45996</v>
      </c>
      <c r="O3" s="229" t="s">
        <v>290</v>
      </c>
      <c r="P3" s="329" t="s">
        <v>457</v>
      </c>
      <c r="Q3" s="327" t="s">
        <v>291</v>
      </c>
      <c r="R3" s="250" t="s">
        <v>292</v>
      </c>
      <c r="S3" s="58" t="s">
        <v>291</v>
      </c>
      <c r="T3" s="200" t="s">
        <v>783</v>
      </c>
      <c r="U3" s="372">
        <v>45996</v>
      </c>
      <c r="V3" s="373">
        <v>46001</v>
      </c>
      <c r="W3" s="327" t="s">
        <v>426</v>
      </c>
      <c r="X3" s="370" t="s">
        <v>291</v>
      </c>
      <c r="Y3" s="327" t="s">
        <v>295</v>
      </c>
      <c r="Z3" s="373">
        <v>46001</v>
      </c>
      <c r="AA3" s="370" t="s">
        <v>291</v>
      </c>
      <c r="AB3" s="327" t="s">
        <v>291</v>
      </c>
      <c r="AC3" s="327" t="s">
        <v>291</v>
      </c>
      <c r="AD3" s="388" t="s">
        <v>784</v>
      </c>
    </row>
    <row r="4" spans="1:30" ht="60">
      <c r="A4" s="369">
        <v>3</v>
      </c>
      <c r="B4" s="369" t="s">
        <v>5</v>
      </c>
      <c r="C4" s="372">
        <v>45995</v>
      </c>
      <c r="D4" s="372">
        <v>46009</v>
      </c>
      <c r="E4" s="229" t="s">
        <v>181</v>
      </c>
      <c r="F4" s="229" t="s">
        <v>298</v>
      </c>
      <c r="G4" s="250" t="s">
        <v>785</v>
      </c>
      <c r="H4" s="316" t="s">
        <v>786</v>
      </c>
      <c r="I4" s="506" t="s">
        <v>289</v>
      </c>
      <c r="J4" s="228">
        <v>1</v>
      </c>
      <c r="K4" s="369"/>
      <c r="L4" s="327"/>
      <c r="M4" s="373">
        <v>45996</v>
      </c>
      <c r="N4" s="373">
        <v>45996</v>
      </c>
      <c r="O4" s="229" t="s">
        <v>290</v>
      </c>
      <c r="P4" s="329" t="s">
        <v>457</v>
      </c>
      <c r="Q4" s="327" t="s">
        <v>291</v>
      </c>
      <c r="R4" s="250" t="s">
        <v>292</v>
      </c>
      <c r="S4" s="58" t="s">
        <v>291</v>
      </c>
      <c r="T4" s="200" t="s">
        <v>787</v>
      </c>
      <c r="U4" s="372">
        <v>45996</v>
      </c>
      <c r="V4" s="373">
        <v>46008</v>
      </c>
      <c r="W4" s="327" t="s">
        <v>426</v>
      </c>
      <c r="X4" s="370" t="s">
        <v>291</v>
      </c>
      <c r="Y4" s="327" t="s">
        <v>295</v>
      </c>
      <c r="Z4" s="373">
        <v>46008</v>
      </c>
      <c r="AA4" s="370" t="s">
        <v>788</v>
      </c>
      <c r="AB4" s="327" t="s">
        <v>291</v>
      </c>
      <c r="AC4" s="327" t="s">
        <v>291</v>
      </c>
      <c r="AD4" s="388" t="s">
        <v>789</v>
      </c>
    </row>
    <row r="5" spans="1:30" ht="72">
      <c r="A5" s="369">
        <v>4</v>
      </c>
      <c r="B5" s="369" t="s">
        <v>5</v>
      </c>
      <c r="C5" s="372">
        <v>45995</v>
      </c>
      <c r="D5" s="372">
        <v>46009</v>
      </c>
      <c r="E5" s="229" t="s">
        <v>181</v>
      </c>
      <c r="F5" s="229" t="s">
        <v>298</v>
      </c>
      <c r="G5" s="250" t="s">
        <v>790</v>
      </c>
      <c r="H5" s="316" t="s">
        <v>791</v>
      </c>
      <c r="I5" s="506" t="s">
        <v>289</v>
      </c>
      <c r="J5" s="228">
        <v>1</v>
      </c>
      <c r="K5" s="369"/>
      <c r="L5" s="327"/>
      <c r="M5" s="373">
        <v>45996</v>
      </c>
      <c r="N5" s="373">
        <v>46006</v>
      </c>
      <c r="O5" s="229" t="s">
        <v>290</v>
      </c>
      <c r="P5" s="329" t="s">
        <v>457</v>
      </c>
      <c r="Q5" s="370" t="s">
        <v>792</v>
      </c>
      <c r="R5" s="250" t="s">
        <v>292</v>
      </c>
      <c r="S5" s="58" t="s">
        <v>291</v>
      </c>
      <c r="T5" s="200" t="s">
        <v>793</v>
      </c>
      <c r="U5" s="372">
        <v>45999</v>
      </c>
      <c r="V5" s="373">
        <v>46009</v>
      </c>
      <c r="W5" s="327" t="s">
        <v>426</v>
      </c>
      <c r="X5" s="370" t="s">
        <v>291</v>
      </c>
      <c r="Y5" s="327" t="s">
        <v>295</v>
      </c>
      <c r="Z5" s="373">
        <v>46009</v>
      </c>
      <c r="AA5" s="370" t="s">
        <v>291</v>
      </c>
      <c r="AB5" s="327" t="s">
        <v>291</v>
      </c>
      <c r="AC5" s="327" t="s">
        <v>291</v>
      </c>
      <c r="AD5" s="388" t="s">
        <v>794</v>
      </c>
    </row>
    <row r="6" spans="1:30" ht="84">
      <c r="A6" s="369">
        <v>5</v>
      </c>
      <c r="B6" s="369" t="s">
        <v>5</v>
      </c>
      <c r="C6" s="372">
        <v>45995</v>
      </c>
      <c r="D6" s="372">
        <v>46009</v>
      </c>
      <c r="E6" s="229" t="s">
        <v>181</v>
      </c>
      <c r="F6" s="229" t="s">
        <v>286</v>
      </c>
      <c r="G6" s="250" t="s">
        <v>712</v>
      </c>
      <c r="H6" s="203" t="s">
        <v>795</v>
      </c>
      <c r="I6" s="506" t="s">
        <v>289</v>
      </c>
      <c r="J6" s="228">
        <v>3</v>
      </c>
      <c r="K6" s="369"/>
      <c r="L6" s="327"/>
      <c r="M6" s="373">
        <v>46001</v>
      </c>
      <c r="N6" s="373">
        <v>46002</v>
      </c>
      <c r="O6" s="229" t="s">
        <v>290</v>
      </c>
      <c r="P6" s="329" t="s">
        <v>457</v>
      </c>
      <c r="Q6" s="327" t="s">
        <v>291</v>
      </c>
      <c r="R6" s="250" t="s">
        <v>286</v>
      </c>
      <c r="S6" s="58" t="s">
        <v>291</v>
      </c>
      <c r="T6" s="200" t="s">
        <v>796</v>
      </c>
      <c r="U6" s="372">
        <v>46003</v>
      </c>
      <c r="V6" s="373">
        <v>46008</v>
      </c>
      <c r="W6" s="327" t="s">
        <v>426</v>
      </c>
      <c r="X6" s="370" t="s">
        <v>291</v>
      </c>
      <c r="Y6" s="327" t="s">
        <v>295</v>
      </c>
      <c r="Z6" s="373">
        <v>46008</v>
      </c>
      <c r="AA6" s="370" t="s">
        <v>291</v>
      </c>
      <c r="AB6" s="327"/>
      <c r="AC6" s="327"/>
      <c r="AD6" s="388" t="s">
        <v>797</v>
      </c>
    </row>
    <row r="7" spans="1:30" ht="202.5">
      <c r="A7" s="369">
        <v>6</v>
      </c>
      <c r="B7" s="369" t="s">
        <v>5</v>
      </c>
      <c r="C7" s="372">
        <v>45995</v>
      </c>
      <c r="D7" s="372">
        <v>46009</v>
      </c>
      <c r="E7" s="229" t="s">
        <v>181</v>
      </c>
      <c r="F7" s="229" t="s">
        <v>298</v>
      </c>
      <c r="G7" s="250" t="s">
        <v>798</v>
      </c>
      <c r="H7" s="203" t="s">
        <v>799</v>
      </c>
      <c r="I7" s="506" t="s">
        <v>289</v>
      </c>
      <c r="J7" s="228">
        <v>5</v>
      </c>
      <c r="K7" s="369"/>
      <c r="L7" s="327"/>
      <c r="M7" s="373">
        <v>45999</v>
      </c>
      <c r="N7" s="373">
        <v>46002</v>
      </c>
      <c r="O7" s="229" t="s">
        <v>290</v>
      </c>
      <c r="P7" s="329" t="s">
        <v>457</v>
      </c>
      <c r="Q7" s="327" t="s">
        <v>291</v>
      </c>
      <c r="R7" s="250" t="s">
        <v>292</v>
      </c>
      <c r="S7" s="58" t="s">
        <v>291</v>
      </c>
      <c r="T7" s="200" t="s">
        <v>800</v>
      </c>
      <c r="U7" s="372">
        <v>46003</v>
      </c>
      <c r="V7" s="373">
        <v>46009</v>
      </c>
      <c r="W7" s="327" t="s">
        <v>426</v>
      </c>
      <c r="X7" s="370" t="s">
        <v>291</v>
      </c>
      <c r="Y7" s="327" t="s">
        <v>295</v>
      </c>
      <c r="Z7" s="373">
        <v>46009</v>
      </c>
      <c r="AA7" s="370" t="s">
        <v>801</v>
      </c>
      <c r="AB7" s="327" t="s">
        <v>291</v>
      </c>
      <c r="AC7" s="327" t="s">
        <v>291</v>
      </c>
      <c r="AD7" s="249" t="s">
        <v>802</v>
      </c>
    </row>
    <row r="8" spans="1:30" ht="60">
      <c r="A8" s="369">
        <v>7</v>
      </c>
      <c r="B8" s="369" t="s">
        <v>5</v>
      </c>
      <c r="C8" s="372">
        <v>45995</v>
      </c>
      <c r="D8" s="372">
        <v>46009</v>
      </c>
      <c r="E8" s="229" t="s">
        <v>803</v>
      </c>
      <c r="F8" s="229" t="s">
        <v>292</v>
      </c>
      <c r="G8" s="229" t="s">
        <v>712</v>
      </c>
      <c r="H8" s="329" t="s">
        <v>713</v>
      </c>
      <c r="I8" s="327" t="s">
        <v>301</v>
      </c>
      <c r="J8" s="327">
        <v>1</v>
      </c>
      <c r="K8" s="327"/>
      <c r="L8" s="327"/>
      <c r="M8" s="373">
        <v>46003</v>
      </c>
      <c r="N8" s="327"/>
      <c r="O8" s="229"/>
      <c r="P8" s="329" t="s">
        <v>457</v>
      </c>
      <c r="Q8" s="370" t="s">
        <v>804</v>
      </c>
      <c r="R8" s="229"/>
      <c r="T8" s="432"/>
      <c r="U8" s="373"/>
      <c r="V8" s="373"/>
      <c r="W8" s="327"/>
      <c r="X8" s="370"/>
      <c r="Y8" s="327"/>
      <c r="Z8" s="373"/>
      <c r="AA8" s="370"/>
      <c r="AB8" s="327"/>
      <c r="AC8" s="327"/>
      <c r="AD8" s="249" t="s">
        <v>805</v>
      </c>
    </row>
    <row r="9" spans="1:30" ht="24">
      <c r="A9" s="369">
        <v>8</v>
      </c>
      <c r="B9" s="369" t="s">
        <v>5</v>
      </c>
      <c r="C9" s="372">
        <v>45995</v>
      </c>
      <c r="D9" s="372">
        <v>46009</v>
      </c>
      <c r="E9" s="229" t="s">
        <v>803</v>
      </c>
      <c r="F9" s="229" t="s">
        <v>298</v>
      </c>
      <c r="G9" s="229" t="s">
        <v>628</v>
      </c>
      <c r="H9" s="329" t="s">
        <v>629</v>
      </c>
      <c r="I9" s="327" t="s">
        <v>301</v>
      </c>
      <c r="J9" s="327">
        <v>3</v>
      </c>
      <c r="K9" s="327"/>
      <c r="L9" s="327"/>
      <c r="M9" s="373">
        <v>46003</v>
      </c>
      <c r="N9" s="327"/>
      <c r="O9" s="229"/>
      <c r="P9" s="329"/>
      <c r="Q9" s="327"/>
      <c r="R9" s="229"/>
      <c r="T9" s="432"/>
      <c r="U9" s="373"/>
      <c r="V9" s="373"/>
      <c r="W9" s="327"/>
      <c r="X9" s="370"/>
      <c r="Y9" s="327"/>
      <c r="Z9" s="373"/>
      <c r="AA9" s="370"/>
      <c r="AB9" s="327"/>
      <c r="AC9" s="327"/>
      <c r="AD9" s="249"/>
    </row>
  </sheetData>
  <hyperlinks>
    <hyperlink ref="T4" r:id="rId1" xr:uid="{C735481F-8CF4-4E48-ABF4-817B94C5A787}"/>
    <hyperlink ref="T5" r:id="rId2" xr:uid="{115CA361-989A-4938-9ADD-C5F6A2EC2D94}"/>
    <hyperlink ref="T3" r:id="rId3" xr:uid="{966B054A-7A52-4247-897D-EB887A1DF8A2}"/>
    <hyperlink ref="T6" r:id="rId4" xr:uid="{81401650-13E4-46D6-8CD3-9EFC7A2337DF}"/>
    <hyperlink ref="T7" r:id="rId5" xr:uid="{6317242F-184A-496F-AE04-6AC484777AD9}"/>
    <hyperlink ref="T2" r:id="rId6" xr:uid="{B1203FB1-D483-494D-A3FF-CED13A53F32E}"/>
  </hyperlinks>
  <pageMargins left="0.7" right="0.7" top="0.75" bottom="0.75" header="0.3" footer="0.3"/>
  <tableParts count="1">
    <tablePart r:id="rId7"/>
  </tableParts>
  <extLst>
    <ext xmlns:x14="http://schemas.microsoft.com/office/spreadsheetml/2009/9/main" uri="{CCE6A557-97BC-4b89-ADB6-D9C93CAAB3DF}">
      <x14:dataValidations xmlns:xm="http://schemas.microsoft.com/office/excel/2006/main" count="1">
        <x14:dataValidation type="list" allowBlank="1" showErrorMessage="1" xr:uid="{4145E8BA-730D-47AE-8EA8-5A67F4166329}">
          <x14:formula1>
            <xm:f>Settings!$C$3:$C$20</xm:f>
          </x14:formula1>
          <xm:sqref>I2:I9</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9D09E-C367-4644-951E-65946B441C32}">
  <sheetPr>
    <outlinePr summaryBelow="0" summaryRight="0"/>
  </sheetPr>
  <dimension ref="A1:AB982"/>
  <sheetViews>
    <sheetView topLeftCell="H1" workbookViewId="0">
      <selection activeCell="F2" sqref="F2"/>
    </sheetView>
  </sheetViews>
  <sheetFormatPr defaultColWidth="12.5703125" defaultRowHeight="15" customHeight="1"/>
  <cols>
    <col min="1" max="1" width="12.5703125" hidden="1" customWidth="1"/>
    <col min="2" max="2" width="21.42578125" customWidth="1"/>
    <col min="3" max="3" width="23.5703125" customWidth="1"/>
    <col min="4" max="4" width="14.42578125" customWidth="1"/>
    <col min="5" max="5" width="19.140625" customWidth="1"/>
    <col min="6" max="6" width="37.5703125" customWidth="1"/>
    <col min="7" max="7" width="41.140625" customWidth="1"/>
    <col min="8" max="9" width="18.7109375" customWidth="1"/>
    <col min="10" max="10" width="9.140625" bestFit="1" customWidth="1"/>
    <col min="11" max="11" width="19" customWidth="1"/>
    <col min="12" max="12" width="18" customWidth="1"/>
    <col min="13" max="13" width="41" customWidth="1"/>
    <col min="14" max="14" width="14.140625" style="122" customWidth="1"/>
    <col min="15" max="15" width="29" customWidth="1"/>
  </cols>
  <sheetData>
    <row r="1" spans="1:28" ht="13.5">
      <c r="A1" s="434" t="s">
        <v>254</v>
      </c>
      <c r="B1" s="1" t="s">
        <v>321</v>
      </c>
      <c r="C1" s="198" t="s">
        <v>322</v>
      </c>
      <c r="D1" s="198" t="s">
        <v>323</v>
      </c>
      <c r="E1" s="1" t="s">
        <v>256</v>
      </c>
      <c r="F1" s="198" t="s">
        <v>324</v>
      </c>
      <c r="G1" s="198" t="s">
        <v>325</v>
      </c>
      <c r="H1" s="1" t="s">
        <v>326</v>
      </c>
      <c r="I1" s="1" t="s">
        <v>327</v>
      </c>
      <c r="J1" s="1" t="s">
        <v>328</v>
      </c>
      <c r="K1" s="1" t="s">
        <v>259</v>
      </c>
      <c r="L1" s="523" t="s">
        <v>329</v>
      </c>
      <c r="M1" s="157" t="s">
        <v>280</v>
      </c>
      <c r="N1" s="487" t="s">
        <v>330</v>
      </c>
      <c r="O1" s="487" t="s">
        <v>331</v>
      </c>
      <c r="P1" s="35"/>
      <c r="Q1" s="35"/>
      <c r="R1" s="35"/>
      <c r="S1" s="35"/>
      <c r="T1" s="35"/>
      <c r="U1" s="35"/>
      <c r="V1" s="35"/>
      <c r="W1" s="35"/>
      <c r="X1" s="35"/>
      <c r="Y1" s="35"/>
      <c r="Z1" s="35"/>
      <c r="AA1" s="35"/>
      <c r="AB1" s="35"/>
    </row>
    <row r="2" spans="1:28" ht="15.75" customHeight="1">
      <c r="F2" s="221"/>
    </row>
    <row r="3" spans="1:28" ht="15.75" customHeight="1">
      <c r="F3" s="528"/>
    </row>
    <row r="4" spans="1:28" ht="15.75" customHeight="1">
      <c r="F4" s="528"/>
    </row>
    <row r="5" spans="1:28" ht="15.75" customHeight="1">
      <c r="F5" s="528"/>
    </row>
    <row r="6" spans="1:28" ht="15.75" customHeight="1">
      <c r="F6" s="528"/>
    </row>
    <row r="7" spans="1:28" ht="15.75" customHeight="1">
      <c r="F7" s="528"/>
    </row>
    <row r="8" spans="1:28" ht="15.75" customHeight="1"/>
    <row r="9" spans="1:28" ht="15.75" customHeight="1"/>
    <row r="10" spans="1:28" ht="15.75" customHeight="1"/>
    <row r="11" spans="1:28" ht="15.75" customHeight="1"/>
    <row r="12" spans="1:28" ht="15.75" customHeight="1"/>
    <row r="13" spans="1:28" ht="15.75" customHeight="1"/>
    <row r="14" spans="1:28" ht="15.75" customHeight="1"/>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sheetData>
  <autoFilter ref="A1:M1" xr:uid="{3A2BB050-11AC-4ED7-A296-96B42C7FCFBA}"/>
  <dataValidations count="1">
    <dataValidation type="list" allowBlank="1" showErrorMessage="1" sqref="F2:F7" xr:uid="{A722B285-A3B3-4614-AFD3-AE218AB1A193}">
      <formula1>"Bounceback,Defect,None"</formula1>
    </dataValidation>
  </dataValidations>
  <pageMargins left="0" right="0" top="0" bottom="0" header="0" footer="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F3797-7842-4F0D-92D2-CA69BDCDCED3}">
  <dimension ref="A1:AD7"/>
  <sheetViews>
    <sheetView workbookViewId="0">
      <pane xSplit="7" ySplit="1" topLeftCell="H7" activePane="bottomRight" state="frozen"/>
      <selection pane="bottomRight" activeCell="C7" sqref="C7"/>
      <selection pane="bottomLeft"/>
      <selection pane="topRight"/>
    </sheetView>
  </sheetViews>
  <sheetFormatPr defaultRowHeight="12.75"/>
  <cols>
    <col min="2" max="2" width="13.28515625" customWidth="1"/>
    <col min="3" max="3" width="10.85546875" customWidth="1"/>
    <col min="4" max="4" width="12.140625" customWidth="1"/>
    <col min="5" max="5" width="40.7109375" customWidth="1"/>
    <col min="6" max="6" width="29.7109375" customWidth="1"/>
    <col min="7" max="7" width="18.85546875" customWidth="1"/>
    <col min="8" max="8" width="50.28515625" style="137" customWidth="1"/>
    <col min="9" max="9" width="16.85546875" customWidth="1"/>
    <col min="10" max="10" width="11.42578125" style="122" bestFit="1" customWidth="1"/>
    <col min="11" max="11" width="11.42578125" bestFit="1" customWidth="1"/>
    <col min="12" max="14" width="11.42578125" customWidth="1"/>
    <col min="15" max="15" width="13.140625" customWidth="1"/>
    <col min="16" max="16" width="13.42578125" style="144" customWidth="1"/>
    <col min="17" max="17" width="29.140625" customWidth="1"/>
    <col min="18" max="18" width="16.42578125" customWidth="1"/>
    <col min="19" max="19" width="14.85546875" customWidth="1"/>
    <col min="20" max="20" width="24.42578125" style="144" customWidth="1"/>
    <col min="21" max="22" width="12.7109375" bestFit="1" customWidth="1"/>
    <col min="23" max="23" width="21.28515625" customWidth="1"/>
    <col min="24" max="24" width="32.140625" style="144" customWidth="1"/>
    <col min="25" max="25" width="11.42578125" bestFit="1" customWidth="1"/>
    <col min="26" max="26" width="12.7109375" bestFit="1" customWidth="1"/>
    <col min="27" max="27" width="18.7109375" customWidth="1"/>
    <col min="28" max="29" width="11.42578125" bestFit="1" customWidth="1"/>
    <col min="30" max="30" width="36" customWidth="1"/>
  </cols>
  <sheetData>
    <row r="1" spans="1:30" ht="46.5">
      <c r="A1" s="379" t="s">
        <v>254</v>
      </c>
      <c r="B1" s="404" t="s">
        <v>4</v>
      </c>
      <c r="C1" s="404" t="s">
        <v>2</v>
      </c>
      <c r="D1" s="404" t="s">
        <v>3</v>
      </c>
      <c r="E1" s="380" t="s">
        <v>255</v>
      </c>
      <c r="F1" s="381" t="s">
        <v>256</v>
      </c>
      <c r="G1" s="382" t="s">
        <v>257</v>
      </c>
      <c r="H1" s="383" t="s">
        <v>258</v>
      </c>
      <c r="I1" s="383" t="s">
        <v>259</v>
      </c>
      <c r="J1" s="518" t="s">
        <v>260</v>
      </c>
      <c r="K1" s="384" t="s">
        <v>261</v>
      </c>
      <c r="L1" s="384" t="s">
        <v>262</v>
      </c>
      <c r="M1" s="384" t="s">
        <v>263</v>
      </c>
      <c r="N1" s="384" t="s">
        <v>264</v>
      </c>
      <c r="O1" s="385" t="s">
        <v>265</v>
      </c>
      <c r="P1" s="385" t="s">
        <v>266</v>
      </c>
      <c r="Q1" s="385" t="s">
        <v>267</v>
      </c>
      <c r="R1" s="385" t="s">
        <v>268</v>
      </c>
      <c r="S1" s="385" t="s">
        <v>269</v>
      </c>
      <c r="T1" s="385" t="s">
        <v>270</v>
      </c>
      <c r="U1" s="385" t="s">
        <v>271</v>
      </c>
      <c r="V1" s="385" t="s">
        <v>272</v>
      </c>
      <c r="W1" s="385" t="s">
        <v>273</v>
      </c>
      <c r="X1" s="385" t="s">
        <v>274</v>
      </c>
      <c r="Y1" s="385" t="s">
        <v>275</v>
      </c>
      <c r="Z1" s="385" t="s">
        <v>276</v>
      </c>
      <c r="AA1" s="385" t="s">
        <v>277</v>
      </c>
      <c r="AB1" s="385" t="s">
        <v>278</v>
      </c>
      <c r="AC1" s="385" t="s">
        <v>279</v>
      </c>
      <c r="AD1" s="386" t="s">
        <v>280</v>
      </c>
    </row>
    <row r="2" spans="1:30" ht="66" customHeight="1">
      <c r="A2" s="369">
        <v>1</v>
      </c>
      <c r="B2" s="369" t="s">
        <v>5</v>
      </c>
      <c r="C2" s="372">
        <v>45981</v>
      </c>
      <c r="D2" s="430">
        <v>45995</v>
      </c>
      <c r="E2" s="316" t="s">
        <v>177</v>
      </c>
      <c r="F2" s="90" t="s">
        <v>298</v>
      </c>
      <c r="G2" s="431" t="s">
        <v>806</v>
      </c>
      <c r="H2" s="519" t="s">
        <v>795</v>
      </c>
      <c r="I2" s="506" t="s">
        <v>532</v>
      </c>
      <c r="J2" s="327">
        <v>5</v>
      </c>
      <c r="K2" s="369"/>
      <c r="L2" s="327">
        <v>69</v>
      </c>
      <c r="M2" s="373">
        <v>45982</v>
      </c>
      <c r="N2" s="373">
        <v>45994</v>
      </c>
      <c r="O2" s="229" t="s">
        <v>290</v>
      </c>
      <c r="P2" s="329" t="s">
        <v>457</v>
      </c>
      <c r="Q2" s="370" t="s">
        <v>291</v>
      </c>
      <c r="R2" s="250" t="s">
        <v>292</v>
      </c>
      <c r="S2" s="58" t="s">
        <v>358</v>
      </c>
      <c r="T2" s="200" t="s">
        <v>796</v>
      </c>
      <c r="U2" s="372">
        <v>45994</v>
      </c>
      <c r="V2" s="373"/>
      <c r="W2" s="327" t="s">
        <v>426</v>
      </c>
      <c r="X2" s="370"/>
      <c r="Y2" s="327"/>
      <c r="Z2" s="373"/>
      <c r="AA2" s="370"/>
      <c r="AB2" s="327"/>
      <c r="AC2" s="327"/>
      <c r="AD2" s="388" t="s">
        <v>807</v>
      </c>
    </row>
    <row r="3" spans="1:30" ht="60">
      <c r="A3" s="369">
        <v>2</v>
      </c>
      <c r="B3" s="369" t="s">
        <v>5</v>
      </c>
      <c r="C3" s="372">
        <v>45981</v>
      </c>
      <c r="D3" s="430">
        <v>45995</v>
      </c>
      <c r="E3" s="203" t="s">
        <v>177</v>
      </c>
      <c r="F3" s="203" t="s">
        <v>292</v>
      </c>
      <c r="G3" s="431" t="s">
        <v>808</v>
      </c>
      <c r="H3" s="203" t="s">
        <v>809</v>
      </c>
      <c r="I3" s="228" t="s">
        <v>289</v>
      </c>
      <c r="J3" s="228">
        <v>3</v>
      </c>
      <c r="K3" s="228"/>
      <c r="L3" s="369">
        <v>47</v>
      </c>
      <c r="M3" s="373">
        <v>45986</v>
      </c>
      <c r="N3" s="373">
        <v>45993</v>
      </c>
      <c r="O3" s="229" t="s">
        <v>290</v>
      </c>
      <c r="P3" s="329" t="s">
        <v>457</v>
      </c>
      <c r="Q3" s="327" t="s">
        <v>291</v>
      </c>
      <c r="R3" s="229" t="s">
        <v>298</v>
      </c>
      <c r="S3" t="s">
        <v>291</v>
      </c>
      <c r="T3" s="432" t="s">
        <v>810</v>
      </c>
      <c r="U3" s="373">
        <v>45992</v>
      </c>
      <c r="V3" s="373">
        <v>45995</v>
      </c>
      <c r="W3" s="327" t="s">
        <v>426</v>
      </c>
      <c r="X3" s="370" t="s">
        <v>291</v>
      </c>
      <c r="Y3" s="327" t="s">
        <v>295</v>
      </c>
      <c r="Z3" s="373">
        <v>45995</v>
      </c>
      <c r="AA3" s="370" t="s">
        <v>291</v>
      </c>
      <c r="AB3" s="327" t="s">
        <v>291</v>
      </c>
      <c r="AC3" s="327" t="s">
        <v>291</v>
      </c>
      <c r="AD3" s="388" t="s">
        <v>811</v>
      </c>
    </row>
    <row r="4" spans="1:30" ht="52.5" customHeight="1">
      <c r="A4" s="369">
        <v>3</v>
      </c>
      <c r="B4" s="369" t="s">
        <v>5</v>
      </c>
      <c r="C4" s="372">
        <v>45981</v>
      </c>
      <c r="D4" s="430">
        <v>45995</v>
      </c>
      <c r="E4" s="203" t="s">
        <v>177</v>
      </c>
      <c r="F4" s="203" t="s">
        <v>292</v>
      </c>
      <c r="G4" s="431" t="s">
        <v>812</v>
      </c>
      <c r="H4" s="203" t="s">
        <v>813</v>
      </c>
      <c r="I4" s="228" t="s">
        <v>289</v>
      </c>
      <c r="J4" s="228">
        <v>2</v>
      </c>
      <c r="K4" s="228"/>
      <c r="L4" s="369">
        <v>20.75</v>
      </c>
      <c r="M4" s="373">
        <v>45989</v>
      </c>
      <c r="N4" s="373">
        <v>45993</v>
      </c>
      <c r="O4" s="229" t="s">
        <v>290</v>
      </c>
      <c r="P4" s="329" t="s">
        <v>457</v>
      </c>
      <c r="Q4" s="327" t="s">
        <v>291</v>
      </c>
      <c r="R4" s="229" t="s">
        <v>298</v>
      </c>
      <c r="S4" t="s">
        <v>291</v>
      </c>
      <c r="T4" s="432" t="s">
        <v>814</v>
      </c>
      <c r="U4" s="373">
        <v>45992</v>
      </c>
      <c r="V4" s="373">
        <v>45993</v>
      </c>
      <c r="W4" s="327" t="s">
        <v>426</v>
      </c>
      <c r="X4" s="370" t="s">
        <v>291</v>
      </c>
      <c r="Y4" s="327" t="s">
        <v>295</v>
      </c>
      <c r="Z4" s="373">
        <v>45993</v>
      </c>
      <c r="AA4" s="370" t="s">
        <v>291</v>
      </c>
      <c r="AB4" s="327" t="s">
        <v>291</v>
      </c>
      <c r="AC4" s="327" t="s">
        <v>291</v>
      </c>
      <c r="AD4" s="388" t="s">
        <v>815</v>
      </c>
    </row>
    <row r="5" spans="1:30" ht="87" customHeight="1">
      <c r="A5" s="369">
        <v>4</v>
      </c>
      <c r="B5" s="369" t="s">
        <v>5</v>
      </c>
      <c r="C5" s="372">
        <v>45981</v>
      </c>
      <c r="D5" s="430">
        <v>45995</v>
      </c>
      <c r="E5" s="203" t="s">
        <v>177</v>
      </c>
      <c r="F5" s="203" t="s">
        <v>457</v>
      </c>
      <c r="G5" s="431" t="s">
        <v>816</v>
      </c>
      <c r="H5" s="203" t="s">
        <v>817</v>
      </c>
      <c r="I5" s="228" t="s">
        <v>289</v>
      </c>
      <c r="J5" s="228">
        <v>3</v>
      </c>
      <c r="K5" s="228"/>
      <c r="L5" s="369">
        <v>51</v>
      </c>
      <c r="M5" s="520" t="s">
        <v>818</v>
      </c>
      <c r="N5" s="373">
        <v>45994</v>
      </c>
      <c r="O5" s="229"/>
      <c r="P5" s="329"/>
      <c r="Q5" s="327"/>
      <c r="R5" s="229"/>
      <c r="T5" s="432"/>
      <c r="U5" s="373"/>
      <c r="V5" s="373"/>
      <c r="W5" s="327"/>
      <c r="X5" s="370"/>
      <c r="Y5" s="327"/>
      <c r="Z5" s="373"/>
      <c r="AA5" s="370"/>
      <c r="AB5" s="327"/>
      <c r="AC5" s="327"/>
      <c r="AD5" s="388" t="s">
        <v>819</v>
      </c>
    </row>
    <row r="6" spans="1:30" ht="142.5">
      <c r="A6" s="369">
        <v>5</v>
      </c>
      <c r="B6" s="369" t="s">
        <v>5</v>
      </c>
      <c r="C6" s="372">
        <v>45981</v>
      </c>
      <c r="D6" s="430">
        <v>45995</v>
      </c>
      <c r="E6" s="203" t="s">
        <v>820</v>
      </c>
      <c r="F6" s="203" t="s">
        <v>298</v>
      </c>
      <c r="G6" s="247" t="s">
        <v>821</v>
      </c>
      <c r="H6" s="137" t="s">
        <v>822</v>
      </c>
      <c r="I6" s="327" t="s">
        <v>289</v>
      </c>
      <c r="J6" s="181">
        <v>2</v>
      </c>
      <c r="K6" s="327"/>
      <c r="L6" s="327">
        <v>22.25</v>
      </c>
      <c r="M6" s="373">
        <v>45988</v>
      </c>
      <c r="N6" s="373">
        <v>45989</v>
      </c>
      <c r="O6" s="229" t="s">
        <v>290</v>
      </c>
      <c r="P6" s="329" t="s">
        <v>457</v>
      </c>
      <c r="Q6" s="327"/>
      <c r="R6" s="229" t="s">
        <v>292</v>
      </c>
      <c r="S6" t="s">
        <v>291</v>
      </c>
      <c r="T6" s="432" t="s">
        <v>823</v>
      </c>
      <c r="U6" s="373">
        <v>45992</v>
      </c>
      <c r="V6" s="373">
        <v>45994</v>
      </c>
      <c r="W6" s="327" t="s">
        <v>426</v>
      </c>
      <c r="X6" s="370" t="s">
        <v>291</v>
      </c>
      <c r="Y6" s="327" t="s">
        <v>295</v>
      </c>
      <c r="Z6" s="373">
        <v>45994</v>
      </c>
      <c r="AA6" s="370" t="s">
        <v>824</v>
      </c>
      <c r="AB6" s="327" t="s">
        <v>291</v>
      </c>
      <c r="AC6" s="327" t="s">
        <v>291</v>
      </c>
      <c r="AD6" s="388" t="s">
        <v>825</v>
      </c>
    </row>
    <row r="7" spans="1:30" ht="60">
      <c r="A7" s="369">
        <v>6</v>
      </c>
      <c r="B7" s="369" t="s">
        <v>5</v>
      </c>
      <c r="C7" s="372">
        <v>45981</v>
      </c>
      <c r="D7" s="372">
        <v>45995</v>
      </c>
      <c r="E7" s="229" t="s">
        <v>177</v>
      </c>
      <c r="F7" s="229" t="s">
        <v>292</v>
      </c>
      <c r="G7" s="229" t="s">
        <v>826</v>
      </c>
      <c r="H7" s="137" t="s">
        <v>827</v>
      </c>
      <c r="I7" s="327" t="s">
        <v>289</v>
      </c>
      <c r="K7" s="327"/>
      <c r="L7" s="327">
        <v>11.5</v>
      </c>
      <c r="M7" s="373">
        <v>45994</v>
      </c>
      <c r="N7" s="373">
        <v>45994</v>
      </c>
      <c r="O7" s="229" t="s">
        <v>290</v>
      </c>
      <c r="P7" s="329" t="s">
        <v>457</v>
      </c>
      <c r="Q7" s="327"/>
      <c r="R7" s="229" t="s">
        <v>298</v>
      </c>
      <c r="S7" t="s">
        <v>291</v>
      </c>
      <c r="T7" s="432" t="s">
        <v>828</v>
      </c>
      <c r="U7" s="373">
        <v>45994</v>
      </c>
      <c r="V7" s="373">
        <v>45995</v>
      </c>
      <c r="W7" s="327" t="s">
        <v>426</v>
      </c>
      <c r="X7" s="370" t="s">
        <v>291</v>
      </c>
      <c r="Y7" s="327" t="s">
        <v>295</v>
      </c>
      <c r="Z7" s="373">
        <v>45995</v>
      </c>
      <c r="AA7" s="370" t="s">
        <v>291</v>
      </c>
      <c r="AB7" s="327" t="s">
        <v>291</v>
      </c>
      <c r="AC7" s="327" t="s">
        <v>291</v>
      </c>
      <c r="AD7" s="249" t="s">
        <v>829</v>
      </c>
    </row>
  </sheetData>
  <hyperlinks>
    <hyperlink ref="T4" r:id="rId1" xr:uid="{1A559B42-B0CC-4A6F-B66B-F2A2232ACA19}"/>
    <hyperlink ref="T3" r:id="rId2" xr:uid="{62FFFC39-86BC-41B4-91CF-A7AF669A1002}"/>
    <hyperlink ref="T6" r:id="rId3" xr:uid="{BFDC08BE-E449-4363-A833-CCB33BD8CAEF}"/>
    <hyperlink ref="T7" r:id="rId4" xr:uid="{CDE5535F-EC26-4650-8A42-32021842B26F}"/>
    <hyperlink ref="T2" r:id="rId5" xr:uid="{141ACEE2-E7B1-4C79-92F6-C68FDECD1269}"/>
  </hyperlinks>
  <pageMargins left="0.7" right="0.7" top="0.75" bottom="0.75" header="0.3" footer="0.3"/>
  <tableParts count="1">
    <tablePart r:id="rId6"/>
  </tableParts>
  <extLst>
    <ext xmlns:x14="http://schemas.microsoft.com/office/spreadsheetml/2009/9/main" uri="{CCE6A557-97BC-4b89-ADB6-D9C93CAAB3DF}">
      <x14:dataValidations xmlns:xm="http://schemas.microsoft.com/office/excel/2006/main" count="1">
        <x14:dataValidation type="list" allowBlank="1" showErrorMessage="1" xr:uid="{FBB2D12B-15D4-48B7-A765-CD1834D8124A}">
          <x14:formula1>
            <xm:f>Settings!$C$3:$C$20</xm:f>
          </x14:formula1>
          <xm:sqref>I2:I7</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B685F-41C3-4509-A91D-0FD6234B576A}">
  <sheetPr>
    <outlinePr summaryBelow="0" summaryRight="0"/>
  </sheetPr>
  <dimension ref="A1:AB988"/>
  <sheetViews>
    <sheetView topLeftCell="B1" workbookViewId="0">
      <selection activeCell="L1" sqref="L1"/>
    </sheetView>
  </sheetViews>
  <sheetFormatPr defaultColWidth="12.5703125" defaultRowHeight="15" customHeight="1"/>
  <cols>
    <col min="1" max="1" width="12.5703125" hidden="1" customWidth="1"/>
    <col min="2" max="2" width="21.42578125" customWidth="1"/>
    <col min="3" max="3" width="23.5703125" customWidth="1"/>
    <col min="4" max="4" width="14.42578125" customWidth="1"/>
    <col min="5" max="5" width="19.140625" customWidth="1"/>
    <col min="6" max="6" width="37.5703125" customWidth="1"/>
    <col min="7" max="7" width="41.140625" customWidth="1"/>
    <col min="8" max="9" width="18.7109375" customWidth="1"/>
    <col min="10" max="10" width="9.140625" bestFit="1" customWidth="1"/>
    <col min="11" max="11" width="19" customWidth="1"/>
    <col min="12" max="12" width="18" customWidth="1"/>
    <col min="13" max="13" width="41" customWidth="1"/>
    <col min="14" max="14" width="14.140625" style="122" customWidth="1"/>
    <col min="15" max="15" width="29" customWidth="1"/>
  </cols>
  <sheetData>
    <row r="1" spans="1:28" ht="13.5">
      <c r="A1" s="434" t="s">
        <v>254</v>
      </c>
      <c r="B1" s="1" t="s">
        <v>321</v>
      </c>
      <c r="C1" s="198" t="s">
        <v>322</v>
      </c>
      <c r="D1" s="198" t="s">
        <v>323</v>
      </c>
      <c r="E1" s="1" t="s">
        <v>256</v>
      </c>
      <c r="F1" s="198" t="s">
        <v>324</v>
      </c>
      <c r="G1" s="198" t="s">
        <v>325</v>
      </c>
      <c r="H1" s="1" t="s">
        <v>326</v>
      </c>
      <c r="I1" s="1" t="s">
        <v>327</v>
      </c>
      <c r="J1" s="1" t="s">
        <v>328</v>
      </c>
      <c r="K1" s="1" t="s">
        <v>259</v>
      </c>
      <c r="L1" s="523" t="s">
        <v>329</v>
      </c>
      <c r="M1" s="157" t="s">
        <v>280</v>
      </c>
      <c r="N1" s="487" t="s">
        <v>330</v>
      </c>
      <c r="O1" s="487" t="s">
        <v>331</v>
      </c>
      <c r="P1" s="35"/>
      <c r="Q1" s="35"/>
      <c r="R1" s="35"/>
      <c r="S1" s="35"/>
      <c r="T1" s="35"/>
      <c r="U1" s="35"/>
      <c r="V1" s="35"/>
      <c r="W1" s="35"/>
      <c r="X1" s="35"/>
      <c r="Y1" s="35"/>
      <c r="Z1" s="35"/>
      <c r="AA1" s="35"/>
      <c r="AB1" s="35"/>
    </row>
    <row r="2" spans="1:28" ht="76.5" customHeight="1">
      <c r="B2" s="203" t="s">
        <v>169</v>
      </c>
      <c r="C2" s="203" t="s">
        <v>785</v>
      </c>
      <c r="D2" s="203" t="s">
        <v>816</v>
      </c>
      <c r="E2" s="203"/>
      <c r="F2" s="185" t="s">
        <v>380</v>
      </c>
      <c r="G2" s="316" t="s">
        <v>830</v>
      </c>
      <c r="H2" s="41" t="s">
        <v>381</v>
      </c>
      <c r="I2" s="41" t="s">
        <v>382</v>
      </c>
      <c r="J2" s="41" t="s">
        <v>383</v>
      </c>
      <c r="K2" s="522" t="s">
        <v>768</v>
      </c>
      <c r="L2" s="41" t="s">
        <v>540</v>
      </c>
      <c r="M2" s="216" t="s">
        <v>831</v>
      </c>
      <c r="N2" s="91" t="s">
        <v>457</v>
      </c>
      <c r="O2" s="216" t="s">
        <v>832</v>
      </c>
    </row>
    <row r="3" spans="1:28" ht="66.75" customHeight="1">
      <c r="B3" s="203" t="s">
        <v>169</v>
      </c>
      <c r="C3" s="58" t="s">
        <v>781</v>
      </c>
      <c r="D3" s="203" t="s">
        <v>816</v>
      </c>
      <c r="E3" s="58"/>
      <c r="F3" s="185" t="s">
        <v>380</v>
      </c>
      <c r="G3" s="216" t="s">
        <v>782</v>
      </c>
      <c r="H3" s="41" t="s">
        <v>381</v>
      </c>
      <c r="I3" s="41" t="s">
        <v>382</v>
      </c>
      <c r="J3" s="41" t="s">
        <v>383</v>
      </c>
      <c r="K3" s="522" t="s">
        <v>768</v>
      </c>
      <c r="L3" s="41" t="s">
        <v>540</v>
      </c>
      <c r="M3" s="521" t="s">
        <v>833</v>
      </c>
      <c r="N3" s="91" t="s">
        <v>457</v>
      </c>
      <c r="O3" s="216" t="s">
        <v>834</v>
      </c>
    </row>
    <row r="4" spans="1:28" ht="92.25" customHeight="1">
      <c r="B4" s="203" t="s">
        <v>169</v>
      </c>
      <c r="C4" s="58" t="s">
        <v>790</v>
      </c>
      <c r="D4" s="203" t="s">
        <v>816</v>
      </c>
      <c r="E4" s="58"/>
      <c r="F4" s="185" t="s">
        <v>380</v>
      </c>
      <c r="G4" s="350" t="s">
        <v>835</v>
      </c>
      <c r="H4" s="41" t="s">
        <v>381</v>
      </c>
      <c r="I4" s="41" t="s">
        <v>382</v>
      </c>
      <c r="J4" s="41" t="s">
        <v>383</v>
      </c>
      <c r="K4" s="522" t="s">
        <v>768</v>
      </c>
      <c r="L4" s="41" t="s">
        <v>540</v>
      </c>
      <c r="M4" s="521" t="s">
        <v>836</v>
      </c>
      <c r="N4" s="91" t="s">
        <v>457</v>
      </c>
      <c r="O4" s="216" t="s">
        <v>837</v>
      </c>
    </row>
    <row r="5" spans="1:28" ht="84" customHeight="1">
      <c r="B5" s="203" t="s">
        <v>169</v>
      </c>
      <c r="C5" s="58" t="s">
        <v>648</v>
      </c>
      <c r="D5" s="203" t="s">
        <v>816</v>
      </c>
      <c r="E5" s="58"/>
      <c r="F5" s="185" t="s">
        <v>380</v>
      </c>
      <c r="G5" s="350" t="s">
        <v>838</v>
      </c>
      <c r="H5" s="41" t="s">
        <v>381</v>
      </c>
      <c r="I5" s="41" t="s">
        <v>382</v>
      </c>
      <c r="J5" s="41" t="s">
        <v>383</v>
      </c>
      <c r="K5" s="522" t="s">
        <v>768</v>
      </c>
      <c r="L5" s="41" t="s">
        <v>540</v>
      </c>
      <c r="M5" s="521" t="s">
        <v>836</v>
      </c>
      <c r="N5" s="91" t="s">
        <v>457</v>
      </c>
      <c r="O5" s="216" t="s">
        <v>837</v>
      </c>
    </row>
    <row r="6" spans="1:28" ht="51" customHeight="1">
      <c r="B6" s="203" t="s">
        <v>169</v>
      </c>
      <c r="C6" s="58" t="s">
        <v>712</v>
      </c>
      <c r="D6" s="203" t="s">
        <v>816</v>
      </c>
      <c r="E6" s="58"/>
      <c r="F6" s="185" t="s">
        <v>380</v>
      </c>
      <c r="G6" s="350" t="s">
        <v>839</v>
      </c>
      <c r="H6" s="41" t="s">
        <v>381</v>
      </c>
      <c r="I6" s="41" t="s">
        <v>382</v>
      </c>
      <c r="J6" s="41" t="s">
        <v>383</v>
      </c>
      <c r="K6" s="522" t="s">
        <v>768</v>
      </c>
      <c r="L6" s="41" t="s">
        <v>540</v>
      </c>
      <c r="M6" s="216" t="s">
        <v>840</v>
      </c>
      <c r="N6" s="91" t="s">
        <v>457</v>
      </c>
      <c r="O6" s="216" t="s">
        <v>841</v>
      </c>
    </row>
    <row r="7" spans="1:28" ht="24.75" customHeight="1">
      <c r="B7" s="203" t="s">
        <v>169</v>
      </c>
      <c r="C7" s="58" t="s">
        <v>842</v>
      </c>
      <c r="D7" s="58" t="s">
        <v>812</v>
      </c>
      <c r="E7" s="58" t="s">
        <v>292</v>
      </c>
      <c r="F7" s="185" t="s">
        <v>380</v>
      </c>
      <c r="G7" s="350" t="s">
        <v>827</v>
      </c>
      <c r="H7" s="58" t="s">
        <v>843</v>
      </c>
      <c r="I7" s="41" t="s">
        <v>382</v>
      </c>
      <c r="J7" s="41" t="s">
        <v>383</v>
      </c>
      <c r="K7" s="522" t="s">
        <v>384</v>
      </c>
      <c r="L7" s="41" t="s">
        <v>540</v>
      </c>
      <c r="M7" s="216" t="s">
        <v>844</v>
      </c>
      <c r="N7" s="91" t="s">
        <v>457</v>
      </c>
      <c r="O7" s="216" t="s">
        <v>845</v>
      </c>
    </row>
    <row r="8" spans="1:28" ht="15.75" customHeight="1"/>
    <row r="9" spans="1:28" ht="15.75" customHeight="1"/>
    <row r="10" spans="1:28" ht="15.75" customHeight="1"/>
    <row r="11" spans="1:28" ht="15.75" customHeight="1"/>
    <row r="12" spans="1:28" ht="15.75" customHeight="1"/>
    <row r="13" spans="1:28" ht="15.75" customHeight="1"/>
    <row r="14" spans="1:28" ht="15.75" customHeight="1"/>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sheetData>
  <autoFilter ref="A1:M1" xr:uid="{3A2BB050-11AC-4ED7-A296-96B42C7FCFBA}"/>
  <dataValidations count="5">
    <dataValidation type="list" allowBlank="1" showErrorMessage="1" sqref="J2:J7" xr:uid="{9B15FFC3-D6E6-468D-8082-95DA2CC541F8}">
      <formula1>"Internal,External"</formula1>
    </dataValidation>
    <dataValidation type="list" allowBlank="1" showErrorMessage="1" sqref="H2:H6" xr:uid="{CB1D73EB-F5C4-4949-927D-C56758747FE5}">
      <formula1>"Minor,Significant,Major"</formula1>
    </dataValidation>
    <dataValidation type="list" allowBlank="1" showErrorMessage="1" sqref="I2:I7" xr:uid="{E2F26615-6865-400D-BBD3-F626EC6E5CAB}">
      <formula1>"Manual, Automation"</formula1>
    </dataValidation>
    <dataValidation type="list" allowBlank="1" showErrorMessage="1" sqref="K2:K7" xr:uid="{F53BD520-496F-4BE2-B29C-BA09F0BC1AA6}">
      <formula1>"Open,Inprogress,Closed"</formula1>
    </dataValidation>
    <dataValidation type="list" allowBlank="1" showErrorMessage="1" sqref="F2:F7" xr:uid="{ADEC2543-D650-4A56-B621-4E5974A10A07}">
      <formula1>"Bounceback,Defect,None"</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892EC532-B0F5-4AFF-BDFF-3B2210D345A6}">
          <x14:formula1>
            <xm:f>Details!$A$2:$A$10</xm:f>
          </x14:formula1>
          <xm:sqref>L2:L7</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D180A-0BA1-4F16-A6DE-CA5724162A38}">
  <dimension ref="A1:AD11"/>
  <sheetViews>
    <sheetView workbookViewId="0">
      <pane xSplit="7" ySplit="1" topLeftCell="I7" activePane="bottomRight" state="frozen"/>
      <selection pane="bottomRight" activeCell="I7" sqref="I7"/>
      <selection pane="bottomLeft"/>
      <selection pane="topRight"/>
    </sheetView>
  </sheetViews>
  <sheetFormatPr defaultRowHeight="12.75"/>
  <cols>
    <col min="2" max="2" width="13.28515625" customWidth="1"/>
    <col min="3" max="3" width="10.85546875" customWidth="1"/>
    <col min="4" max="4" width="12.140625" customWidth="1"/>
    <col min="5" max="5" width="40.7109375" customWidth="1"/>
    <col min="6" max="6" width="29.7109375" customWidth="1"/>
    <col min="7" max="7" width="18.85546875" customWidth="1"/>
    <col min="8" max="8" width="50.28515625" style="137" customWidth="1"/>
    <col min="9" max="9" width="16.85546875" customWidth="1"/>
    <col min="10" max="11" width="11.42578125" bestFit="1" customWidth="1"/>
    <col min="12" max="14" width="11.42578125" customWidth="1"/>
    <col min="15" max="15" width="13.140625" customWidth="1"/>
    <col min="16" max="16" width="13.42578125" style="144" customWidth="1"/>
    <col min="17" max="17" width="29.140625" customWidth="1"/>
    <col min="18" max="18" width="16.42578125" customWidth="1"/>
    <col min="19" max="19" width="14.85546875" customWidth="1"/>
    <col min="20" max="20" width="24.42578125" style="144" customWidth="1"/>
    <col min="21" max="22" width="12.7109375" bestFit="1" customWidth="1"/>
    <col min="23" max="23" width="21.28515625" customWidth="1"/>
    <col min="24" max="24" width="32.140625" style="144" customWidth="1"/>
    <col min="25" max="25" width="11.42578125" bestFit="1" customWidth="1"/>
    <col min="26" max="26" width="12.7109375" bestFit="1" customWidth="1"/>
    <col min="27" max="29" width="11.42578125" bestFit="1" customWidth="1"/>
    <col min="30" max="30" width="27.42578125" customWidth="1"/>
  </cols>
  <sheetData>
    <row r="1" spans="1:30" ht="46.5">
      <c r="A1" s="379" t="s">
        <v>254</v>
      </c>
      <c r="B1" s="404" t="s">
        <v>4</v>
      </c>
      <c r="C1" s="404" t="s">
        <v>2</v>
      </c>
      <c r="D1" s="404" t="s">
        <v>3</v>
      </c>
      <c r="E1" s="380" t="s">
        <v>255</v>
      </c>
      <c r="F1" s="381" t="s">
        <v>256</v>
      </c>
      <c r="G1" s="382" t="s">
        <v>257</v>
      </c>
      <c r="H1" s="383" t="s">
        <v>258</v>
      </c>
      <c r="I1" s="383" t="s">
        <v>259</v>
      </c>
      <c r="J1" s="384" t="s">
        <v>260</v>
      </c>
      <c r="K1" s="384" t="s">
        <v>261</v>
      </c>
      <c r="L1" s="384" t="s">
        <v>262</v>
      </c>
      <c r="M1" s="384" t="s">
        <v>263</v>
      </c>
      <c r="N1" s="384" t="s">
        <v>264</v>
      </c>
      <c r="O1" s="385" t="s">
        <v>265</v>
      </c>
      <c r="P1" s="385" t="s">
        <v>266</v>
      </c>
      <c r="Q1" s="385" t="s">
        <v>267</v>
      </c>
      <c r="R1" s="385" t="s">
        <v>268</v>
      </c>
      <c r="S1" s="385" t="s">
        <v>269</v>
      </c>
      <c r="T1" s="385" t="s">
        <v>270</v>
      </c>
      <c r="U1" s="385" t="s">
        <v>271</v>
      </c>
      <c r="V1" s="385" t="s">
        <v>272</v>
      </c>
      <c r="W1" s="385" t="s">
        <v>273</v>
      </c>
      <c r="X1" s="385" t="s">
        <v>274</v>
      </c>
      <c r="Y1" s="385" t="s">
        <v>275</v>
      </c>
      <c r="Z1" s="385" t="s">
        <v>276</v>
      </c>
      <c r="AA1" s="385" t="s">
        <v>277</v>
      </c>
      <c r="AB1" s="385" t="s">
        <v>278</v>
      </c>
      <c r="AC1" s="385" t="s">
        <v>279</v>
      </c>
      <c r="AD1" s="386" t="s">
        <v>280</v>
      </c>
    </row>
    <row r="2" spans="1:30" s="256" customFormat="1" ht="128.25" customHeight="1">
      <c r="A2" s="369">
        <v>1</v>
      </c>
      <c r="B2" s="369" t="s">
        <v>5</v>
      </c>
      <c r="C2" s="372">
        <v>45967</v>
      </c>
      <c r="D2" s="372">
        <v>45981</v>
      </c>
      <c r="E2" s="256" t="s">
        <v>173</v>
      </c>
      <c r="F2" s="62" t="s">
        <v>298</v>
      </c>
      <c r="G2" s="431" t="s">
        <v>846</v>
      </c>
      <c r="H2" s="316" t="s">
        <v>847</v>
      </c>
      <c r="I2" s="506" t="s">
        <v>289</v>
      </c>
      <c r="J2" s="228">
        <v>2</v>
      </c>
      <c r="K2" s="369"/>
      <c r="L2" s="327">
        <v>38</v>
      </c>
      <c r="M2" s="372">
        <v>45968</v>
      </c>
      <c r="N2" s="372">
        <v>45973</v>
      </c>
      <c r="O2" s="229" t="s">
        <v>290</v>
      </c>
      <c r="P2" s="329" t="s">
        <v>457</v>
      </c>
      <c r="Q2" s="370" t="s">
        <v>848</v>
      </c>
      <c r="R2" s="250" t="s">
        <v>292</v>
      </c>
      <c r="S2" s="228" t="s">
        <v>291</v>
      </c>
      <c r="T2" s="432" t="s">
        <v>849</v>
      </c>
      <c r="U2" s="373">
        <v>45973</v>
      </c>
      <c r="V2" s="373">
        <v>45974</v>
      </c>
      <c r="W2" s="327" t="s">
        <v>426</v>
      </c>
      <c r="X2" s="370" t="s">
        <v>291</v>
      </c>
      <c r="Y2" s="327" t="s">
        <v>295</v>
      </c>
      <c r="Z2" s="373">
        <v>45974</v>
      </c>
      <c r="AA2" s="370" t="s">
        <v>291</v>
      </c>
      <c r="AB2" s="327" t="s">
        <v>291</v>
      </c>
      <c r="AC2" s="327" t="s">
        <v>291</v>
      </c>
      <c r="AD2" s="388" t="s">
        <v>850</v>
      </c>
    </row>
    <row r="3" spans="1:30" ht="117" customHeight="1">
      <c r="A3" s="369">
        <v>2</v>
      </c>
      <c r="B3" s="369" t="s">
        <v>5</v>
      </c>
      <c r="C3" s="372">
        <v>45967</v>
      </c>
      <c r="D3" s="430">
        <v>45981</v>
      </c>
      <c r="E3" s="250" t="s">
        <v>173</v>
      </c>
      <c r="F3" s="203" t="s">
        <v>292</v>
      </c>
      <c r="G3" s="247" t="s">
        <v>851</v>
      </c>
      <c r="H3" s="321" t="s">
        <v>852</v>
      </c>
      <c r="I3" s="374" t="s">
        <v>289</v>
      </c>
      <c r="J3" s="228">
        <v>1</v>
      </c>
      <c r="K3" s="369"/>
      <c r="L3" s="327">
        <v>20.5</v>
      </c>
      <c r="M3" s="511">
        <v>45968</v>
      </c>
      <c r="N3" s="511">
        <v>45968</v>
      </c>
      <c r="O3" s="229" t="s">
        <v>290</v>
      </c>
      <c r="P3" s="329" t="s">
        <v>457</v>
      </c>
      <c r="Q3" s="370" t="s">
        <v>291</v>
      </c>
      <c r="R3" s="250" t="s">
        <v>298</v>
      </c>
      <c r="S3" s="473" t="s">
        <v>291</v>
      </c>
      <c r="T3" s="200" t="s">
        <v>853</v>
      </c>
      <c r="U3" s="372">
        <v>45968</v>
      </c>
      <c r="V3" s="373">
        <v>45973</v>
      </c>
      <c r="W3" s="327" t="s">
        <v>426</v>
      </c>
      <c r="X3" s="370" t="s">
        <v>291</v>
      </c>
      <c r="Y3" s="327" t="s">
        <v>295</v>
      </c>
      <c r="Z3" s="373">
        <v>45973</v>
      </c>
      <c r="AA3" s="370" t="s">
        <v>291</v>
      </c>
      <c r="AB3" s="327" t="s">
        <v>291</v>
      </c>
      <c r="AC3" s="327" t="s">
        <v>291</v>
      </c>
      <c r="AD3" s="509" t="s">
        <v>854</v>
      </c>
    </row>
    <row r="4" spans="1:30" ht="66" customHeight="1">
      <c r="A4" s="369">
        <v>3</v>
      </c>
      <c r="B4" s="369" t="s">
        <v>5</v>
      </c>
      <c r="C4" s="372">
        <v>45967</v>
      </c>
      <c r="D4" s="430">
        <v>45981</v>
      </c>
      <c r="E4" s="203" t="s">
        <v>173</v>
      </c>
      <c r="F4" s="517" t="s">
        <v>292</v>
      </c>
      <c r="G4" s="250" t="s">
        <v>812</v>
      </c>
      <c r="H4" s="490" t="s">
        <v>813</v>
      </c>
      <c r="I4" s="228" t="s">
        <v>532</v>
      </c>
      <c r="J4" s="181">
        <v>2</v>
      </c>
      <c r="K4" s="327"/>
      <c r="L4" s="327">
        <v>9.25</v>
      </c>
      <c r="M4" s="372">
        <v>45968</v>
      </c>
      <c r="N4" s="372">
        <v>45968</v>
      </c>
      <c r="O4" s="229" t="s">
        <v>290</v>
      </c>
      <c r="P4" s="329" t="s">
        <v>457</v>
      </c>
      <c r="Q4" s="370" t="s">
        <v>291</v>
      </c>
      <c r="R4" s="250" t="s">
        <v>298</v>
      </c>
      <c r="S4" s="228" t="s">
        <v>291</v>
      </c>
      <c r="T4" s="200" t="s">
        <v>855</v>
      </c>
      <c r="U4" s="372"/>
      <c r="V4" s="373"/>
      <c r="W4" s="327"/>
      <c r="X4" s="370"/>
      <c r="Y4" s="327"/>
      <c r="Z4" s="373"/>
      <c r="AA4" s="370"/>
      <c r="AB4" s="327"/>
      <c r="AC4" s="327"/>
      <c r="AD4" s="388" t="s">
        <v>856</v>
      </c>
    </row>
    <row r="5" spans="1:30" ht="45" customHeight="1">
      <c r="A5" s="369">
        <v>5</v>
      </c>
      <c r="B5" s="369" t="s">
        <v>5</v>
      </c>
      <c r="C5" s="372">
        <v>45967</v>
      </c>
      <c r="D5" s="372">
        <v>45981</v>
      </c>
      <c r="E5" s="250" t="s">
        <v>173</v>
      </c>
      <c r="F5" s="515" t="s">
        <v>298</v>
      </c>
      <c r="G5" s="516" t="s">
        <v>857</v>
      </c>
      <c r="H5" s="513" t="s">
        <v>858</v>
      </c>
      <c r="I5" s="327" t="s">
        <v>289</v>
      </c>
      <c r="J5" s="181">
        <v>5</v>
      </c>
      <c r="K5" s="327"/>
      <c r="L5" s="327">
        <v>61.75</v>
      </c>
      <c r="M5" s="372">
        <v>45972</v>
      </c>
      <c r="N5" s="372">
        <v>45980</v>
      </c>
      <c r="O5" s="229" t="s">
        <v>290</v>
      </c>
      <c r="P5" s="329" t="s">
        <v>457</v>
      </c>
      <c r="Q5" s="370" t="s">
        <v>859</v>
      </c>
      <c r="R5" s="250" t="s">
        <v>292</v>
      </c>
      <c r="S5" s="58" t="s">
        <v>860</v>
      </c>
      <c r="T5" s="231" t="s">
        <v>861</v>
      </c>
      <c r="U5" s="372">
        <v>45980</v>
      </c>
      <c r="V5" s="373">
        <v>45981</v>
      </c>
      <c r="W5" s="327" t="s">
        <v>862</v>
      </c>
      <c r="X5" s="370" t="s">
        <v>860</v>
      </c>
      <c r="Y5" s="327" t="s">
        <v>295</v>
      </c>
      <c r="Z5" s="373">
        <v>45981</v>
      </c>
      <c r="AA5" s="370" t="s">
        <v>291</v>
      </c>
      <c r="AB5" s="327" t="s">
        <v>291</v>
      </c>
      <c r="AC5" s="327" t="s">
        <v>291</v>
      </c>
      <c r="AD5" s="388" t="s">
        <v>863</v>
      </c>
    </row>
    <row r="6" spans="1:30" ht="68.25" customHeight="1">
      <c r="A6" s="369">
        <v>6</v>
      </c>
      <c r="B6" s="369" t="s">
        <v>5</v>
      </c>
      <c r="C6" s="372">
        <v>45967</v>
      </c>
      <c r="D6" s="372">
        <v>45981</v>
      </c>
      <c r="E6" s="250" t="s">
        <v>173</v>
      </c>
      <c r="F6" s="203" t="s">
        <v>292</v>
      </c>
      <c r="G6" s="248" t="s">
        <v>864</v>
      </c>
      <c r="H6" s="137" t="s">
        <v>865</v>
      </c>
      <c r="I6" s="327" t="s">
        <v>289</v>
      </c>
      <c r="J6" s="181">
        <v>5</v>
      </c>
      <c r="K6" s="327"/>
      <c r="L6" s="327">
        <v>59.75</v>
      </c>
      <c r="M6" s="373">
        <v>45973</v>
      </c>
      <c r="N6" s="373">
        <v>45980</v>
      </c>
      <c r="O6" s="229"/>
      <c r="P6" s="329" t="s">
        <v>457</v>
      </c>
      <c r="Q6" s="370" t="s">
        <v>866</v>
      </c>
      <c r="R6" s="229" t="s">
        <v>298</v>
      </c>
      <c r="S6" t="s">
        <v>860</v>
      </c>
      <c r="T6" s="392" t="s">
        <v>867</v>
      </c>
      <c r="U6" s="372">
        <v>45980</v>
      </c>
      <c r="V6" s="373">
        <v>45980</v>
      </c>
      <c r="W6" s="228" t="s">
        <v>862</v>
      </c>
      <c r="X6" s="370" t="s">
        <v>291</v>
      </c>
      <c r="Y6" s="327" t="s">
        <v>295</v>
      </c>
      <c r="Z6" s="373">
        <v>45980</v>
      </c>
      <c r="AA6" s="370" t="s">
        <v>291</v>
      </c>
      <c r="AB6" s="327" t="s">
        <v>291</v>
      </c>
      <c r="AC6" s="327" t="s">
        <v>291</v>
      </c>
      <c r="AD6" s="388" t="s">
        <v>868</v>
      </c>
    </row>
    <row r="7" spans="1:30" ht="66" customHeight="1">
      <c r="A7" s="369">
        <v>7</v>
      </c>
      <c r="B7" s="369" t="s">
        <v>5</v>
      </c>
      <c r="C7" s="372">
        <v>45967</v>
      </c>
      <c r="D7" s="430">
        <v>45981</v>
      </c>
      <c r="E7" s="490" t="s">
        <v>173</v>
      </c>
      <c r="F7" s="482" t="s">
        <v>426</v>
      </c>
      <c r="G7" s="431" t="s">
        <v>719</v>
      </c>
      <c r="H7" s="138" t="s">
        <v>720</v>
      </c>
      <c r="I7" s="506" t="s">
        <v>301</v>
      </c>
      <c r="J7" s="228">
        <v>2</v>
      </c>
      <c r="K7" s="369"/>
      <c r="L7" s="327"/>
      <c r="M7" s="373"/>
      <c r="N7" s="373"/>
      <c r="O7" s="229"/>
      <c r="P7" s="329"/>
      <c r="Q7" s="370"/>
      <c r="R7" s="250"/>
      <c r="S7" s="58"/>
      <c r="T7" s="200"/>
      <c r="U7" s="372"/>
      <c r="V7" s="373"/>
      <c r="W7" s="327"/>
      <c r="X7" s="370"/>
      <c r="Y7" s="327"/>
      <c r="Z7" s="373"/>
      <c r="AA7" s="370"/>
      <c r="AB7" s="327"/>
      <c r="AC7" s="327"/>
      <c r="AD7" s="388"/>
    </row>
    <row r="8" spans="1:30" ht="63" customHeight="1">
      <c r="A8" s="369"/>
      <c r="B8" s="369"/>
      <c r="C8" s="372"/>
      <c r="D8" s="430"/>
      <c r="E8" s="229"/>
      <c r="F8" s="229"/>
      <c r="G8" s="431"/>
      <c r="H8" s="268"/>
      <c r="I8" s="369"/>
      <c r="J8" s="181"/>
      <c r="K8" s="327"/>
      <c r="L8" s="374"/>
      <c r="M8" s="512"/>
      <c r="N8" s="372"/>
      <c r="O8" s="229"/>
      <c r="P8" s="329"/>
      <c r="Q8" s="327"/>
      <c r="R8" s="229"/>
      <c r="T8" s="432"/>
      <c r="U8" s="373"/>
      <c r="V8" s="373"/>
      <c r="W8" s="327"/>
      <c r="X8" s="370"/>
      <c r="Y8" s="327"/>
      <c r="Z8" s="373"/>
      <c r="AA8" s="370"/>
      <c r="AB8" s="327"/>
      <c r="AC8" s="327"/>
      <c r="AD8" s="388"/>
    </row>
    <row r="9" spans="1:30">
      <c r="A9" s="369"/>
      <c r="B9" s="369"/>
      <c r="C9" s="372"/>
      <c r="D9" s="430"/>
      <c r="E9" s="203"/>
      <c r="F9" s="203"/>
      <c r="G9" s="247"/>
      <c r="H9" s="321"/>
      <c r="I9" s="327"/>
      <c r="K9" s="327"/>
      <c r="L9" s="327"/>
      <c r="M9" s="476"/>
      <c r="N9" s="373"/>
      <c r="O9" s="229"/>
      <c r="P9" s="329"/>
      <c r="Q9" s="327"/>
      <c r="R9" s="229"/>
      <c r="T9" s="432"/>
      <c r="U9" s="373"/>
      <c r="V9" s="373"/>
      <c r="W9" s="327"/>
      <c r="X9" s="370"/>
      <c r="Y9" s="327"/>
      <c r="Z9" s="373"/>
      <c r="AA9" s="370"/>
      <c r="AB9" s="327"/>
      <c r="AC9" s="327"/>
      <c r="AD9" s="388"/>
    </row>
    <row r="10" spans="1:30">
      <c r="A10" s="369"/>
      <c r="B10" s="369"/>
      <c r="C10" s="372"/>
      <c r="D10" s="372"/>
      <c r="G10" s="229"/>
      <c r="I10" s="327"/>
      <c r="J10" s="181"/>
      <c r="K10" s="327"/>
      <c r="L10" s="327"/>
      <c r="M10" s="327"/>
      <c r="N10" s="327"/>
      <c r="O10" s="229"/>
      <c r="P10" s="329"/>
      <c r="Q10" s="327"/>
      <c r="R10" s="229"/>
      <c r="T10" s="432"/>
      <c r="U10" s="373"/>
      <c r="V10" s="373"/>
      <c r="W10" s="327"/>
      <c r="X10" s="370"/>
      <c r="Y10" s="327"/>
      <c r="Z10" s="373"/>
      <c r="AA10" s="370"/>
      <c r="AB10" s="327"/>
      <c r="AC10" s="327"/>
      <c r="AD10" s="249"/>
    </row>
    <row r="11" spans="1:30">
      <c r="A11" s="369"/>
      <c r="B11" s="369"/>
      <c r="C11" s="372"/>
      <c r="D11" s="372"/>
      <c r="G11" s="229"/>
      <c r="I11" s="327"/>
      <c r="J11" s="181"/>
      <c r="K11" s="327"/>
      <c r="L11" s="327"/>
      <c r="M11" s="327"/>
      <c r="N11" s="327"/>
      <c r="O11" s="229"/>
      <c r="P11" s="329"/>
      <c r="Q11" s="327"/>
      <c r="R11" s="229"/>
      <c r="T11" s="432"/>
      <c r="U11" s="373"/>
      <c r="V11" s="373"/>
      <c r="W11" s="327"/>
      <c r="X11" s="370"/>
      <c r="Y11" s="327"/>
      <c r="Z11" s="373"/>
      <c r="AA11" s="370"/>
      <c r="AB11" s="327"/>
      <c r="AC11" s="327"/>
      <c r="AD11" s="249"/>
    </row>
  </sheetData>
  <hyperlinks>
    <hyperlink ref="T3" r:id="rId1" xr:uid="{92D68CB5-8171-452F-9052-B90FC11F6EEA}"/>
    <hyperlink ref="T2" r:id="rId2" xr:uid="{43A57DED-65E9-4B48-B19E-57C071B7A7A7}"/>
    <hyperlink ref="T4" r:id="rId3" xr:uid="{4FE68166-CB2D-4604-B22C-74D675C67020}"/>
    <hyperlink ref="T6" r:id="rId4" xr:uid="{4BD25838-2EF2-4366-AB81-FC5D8C20A1AF}"/>
    <hyperlink ref="T5" r:id="rId5" xr:uid="{108DDEFB-D1AC-4C42-A465-406A0148A8BD}"/>
  </hyperlinks>
  <pageMargins left="0.7" right="0.7" top="0.75" bottom="0.75" header="0.3" footer="0.3"/>
  <tableParts count="1">
    <tablePart r:id="rId6"/>
  </tableParts>
  <extLst>
    <ext xmlns:x14="http://schemas.microsoft.com/office/spreadsheetml/2009/9/main" uri="{CCE6A557-97BC-4b89-ADB6-D9C93CAAB3DF}">
      <x14:dataValidations xmlns:xm="http://schemas.microsoft.com/office/excel/2006/main" count="1">
        <x14:dataValidation type="list" allowBlank="1" showErrorMessage="1" xr:uid="{E49A5396-E972-4880-8AD0-8D70619CACD9}">
          <x14:formula1>
            <xm:f>Settings!$C$3:$C$20</xm:f>
          </x14:formula1>
          <xm:sqref>I2:I11</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FA262-F6E9-4D37-9E5C-45704FF2E54C}">
  <sheetPr>
    <outlinePr summaryBelow="0" summaryRight="0"/>
  </sheetPr>
  <dimension ref="A1:AB988"/>
  <sheetViews>
    <sheetView topLeftCell="B1" workbookViewId="0">
      <selection activeCell="B1" sqref="B1"/>
    </sheetView>
  </sheetViews>
  <sheetFormatPr defaultColWidth="12.5703125" defaultRowHeight="15" customHeight="1"/>
  <cols>
    <col min="1" max="1" width="12.5703125" hidden="1" customWidth="1"/>
    <col min="2" max="2" width="21.42578125" customWidth="1"/>
    <col min="3" max="3" width="23.5703125" customWidth="1"/>
    <col min="4" max="4" width="14.42578125" customWidth="1"/>
    <col min="5" max="5" width="19.140625" customWidth="1"/>
    <col min="6" max="6" width="37.5703125" customWidth="1"/>
    <col min="7" max="7" width="41.140625" customWidth="1"/>
    <col min="8" max="9" width="18.7109375" customWidth="1"/>
    <col min="10" max="10" width="9.140625" bestFit="1" customWidth="1"/>
    <col min="11" max="11" width="19" customWidth="1"/>
    <col min="12" max="12" width="18" customWidth="1"/>
    <col min="13" max="13" width="41" customWidth="1"/>
    <col min="14" max="14" width="14.140625" style="122" customWidth="1"/>
    <col min="15" max="15" width="29" customWidth="1"/>
  </cols>
  <sheetData>
    <row r="1" spans="1:28" ht="13.5">
      <c r="A1" s="434" t="s">
        <v>254</v>
      </c>
      <c r="B1" s="1" t="s">
        <v>321</v>
      </c>
      <c r="C1" s="198" t="s">
        <v>322</v>
      </c>
      <c r="D1" s="198" t="s">
        <v>323</v>
      </c>
      <c r="E1" s="1" t="s">
        <v>256</v>
      </c>
      <c r="F1" s="198" t="s">
        <v>324</v>
      </c>
      <c r="G1" s="198" t="s">
        <v>325</v>
      </c>
      <c r="H1" s="1" t="s">
        <v>326</v>
      </c>
      <c r="I1" s="1" t="s">
        <v>327</v>
      </c>
      <c r="J1" s="1" t="s">
        <v>328</v>
      </c>
      <c r="K1" s="1" t="s">
        <v>259</v>
      </c>
      <c r="L1" s="156" t="s">
        <v>329</v>
      </c>
      <c r="M1" s="8" t="s">
        <v>280</v>
      </c>
      <c r="N1" s="487" t="s">
        <v>330</v>
      </c>
      <c r="O1" s="487" t="s">
        <v>331</v>
      </c>
      <c r="P1" s="35"/>
      <c r="Q1" s="35"/>
      <c r="R1" s="35"/>
      <c r="S1" s="35"/>
      <c r="T1" s="35"/>
      <c r="U1" s="35"/>
      <c r="V1" s="35"/>
      <c r="W1" s="35"/>
      <c r="X1" s="35"/>
      <c r="Y1" s="35"/>
      <c r="Z1" s="35"/>
      <c r="AA1" s="35"/>
      <c r="AB1" s="35"/>
    </row>
    <row r="2" spans="1:28" ht="101.25" customHeight="1">
      <c r="B2" s="137"/>
      <c r="C2" s="137"/>
      <c r="D2" s="137"/>
      <c r="E2" s="137"/>
      <c r="F2" s="221"/>
      <c r="G2" s="321"/>
      <c r="H2" s="126"/>
      <c r="I2" s="126"/>
      <c r="J2" s="126"/>
      <c r="K2" s="126"/>
      <c r="L2" s="126"/>
      <c r="M2" s="144"/>
      <c r="O2" s="144"/>
    </row>
    <row r="3" spans="1:28" ht="66.75" customHeight="1">
      <c r="F3" s="221"/>
      <c r="G3" s="144"/>
      <c r="H3" s="126"/>
      <c r="I3" s="126"/>
      <c r="J3" s="126"/>
      <c r="K3" s="126"/>
      <c r="L3" s="126"/>
      <c r="M3" s="144"/>
      <c r="O3" s="144"/>
    </row>
    <row r="4" spans="1:28" ht="15.75" customHeight="1"/>
    <row r="5" spans="1:28" ht="15.75" customHeight="1"/>
    <row r="6" spans="1:28" ht="15.75" customHeight="1">
      <c r="K6" s="144"/>
    </row>
    <row r="7" spans="1:28" ht="15.75" customHeight="1"/>
    <row r="8" spans="1:28" ht="15.75" customHeight="1"/>
    <row r="9" spans="1:28" ht="15.75" customHeight="1"/>
    <row r="10" spans="1:28" ht="15.75" customHeight="1"/>
    <row r="11" spans="1:28" ht="15.75" customHeight="1"/>
    <row r="12" spans="1:28" ht="15.75" customHeight="1"/>
    <row r="13" spans="1:28" ht="15.75" customHeight="1"/>
    <row r="14" spans="1:28" ht="15.75" customHeight="1"/>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sheetData>
  <autoFilter ref="A1:M1" xr:uid="{3A2BB050-11AC-4ED7-A296-96B42C7FCFBA}"/>
  <dataValidations count="5">
    <dataValidation type="list" allowBlank="1" showErrorMessage="1" sqref="F2:F3" xr:uid="{EA9F8884-22AB-48D2-8F18-296A1CA0025D}">
      <formula1>"Bounceback,Defect,None"</formula1>
    </dataValidation>
    <dataValidation type="list" allowBlank="1" showErrorMessage="1" sqref="K2:K3" xr:uid="{313B243A-951B-4E81-8AD5-B37D330AB744}">
      <formula1>"Open,Inprogress,Closed"</formula1>
    </dataValidation>
    <dataValidation type="list" allowBlank="1" showErrorMessage="1" sqref="I2:I3" xr:uid="{91B8B16C-C67D-413A-824B-B261ADF315DF}">
      <formula1>"Manual, Automation"</formula1>
    </dataValidation>
    <dataValidation type="list" allowBlank="1" showErrorMessage="1" sqref="H2:H3" xr:uid="{6A02B683-DEFD-4BE4-A7E1-024EAC1D3B40}">
      <formula1>"Minor,Significant,Major"</formula1>
    </dataValidation>
    <dataValidation type="list" allowBlank="1" showErrorMessage="1" sqref="J2:J3" xr:uid="{6B473DDF-D6FF-44ED-B43E-E84898A32F1B}">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BE69E554-EC6F-4A5A-8C8F-767A186EFEBB}">
          <x14:formula1>
            <xm:f>Details!$A$2:$A$10</xm:f>
          </x14:formula1>
          <xm:sqref>L2:L3</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00E07-8AF3-4AD9-9CA3-58343E06067A}">
  <dimension ref="A1:AD12"/>
  <sheetViews>
    <sheetView workbookViewId="0">
      <pane xSplit="7" ySplit="1" topLeftCell="I7" activePane="bottomRight" state="frozen"/>
      <selection pane="bottomRight" activeCell="I7" sqref="I7"/>
      <selection pane="bottomLeft"/>
      <selection pane="topRight"/>
    </sheetView>
  </sheetViews>
  <sheetFormatPr defaultRowHeight="12.75"/>
  <cols>
    <col min="2" max="2" width="13.28515625" customWidth="1"/>
    <col min="3" max="3" width="10.85546875" customWidth="1"/>
    <col min="4" max="4" width="12.140625" customWidth="1"/>
    <col min="5" max="5" width="40.7109375" customWidth="1"/>
    <col min="6" max="6" width="29.7109375" customWidth="1"/>
    <col min="7" max="7" width="18.85546875" customWidth="1"/>
    <col min="8" max="8" width="50.28515625" style="137" customWidth="1"/>
    <col min="9" max="9" width="16.85546875" customWidth="1"/>
    <col min="10" max="11" width="11.42578125" bestFit="1" customWidth="1"/>
    <col min="12" max="14" width="11.42578125" customWidth="1"/>
    <col min="15" max="15" width="13.140625" customWidth="1"/>
    <col min="16" max="16" width="13.42578125" style="144" customWidth="1"/>
    <col min="17" max="17" width="29.140625" customWidth="1"/>
    <col min="18" max="18" width="16.42578125" customWidth="1"/>
    <col min="19" max="19" width="14.85546875" customWidth="1"/>
    <col min="20" max="20" width="24.42578125" style="144" customWidth="1"/>
    <col min="21" max="22" width="12.7109375" bestFit="1" customWidth="1"/>
    <col min="23" max="23" width="11.42578125" bestFit="1" customWidth="1"/>
    <col min="24" max="24" width="32.140625" style="144" customWidth="1"/>
    <col min="25" max="25" width="11.42578125" bestFit="1" customWidth="1"/>
    <col min="26" max="26" width="12.7109375" bestFit="1" customWidth="1"/>
    <col min="27" max="29" width="11.42578125" bestFit="1" customWidth="1"/>
    <col min="30" max="30" width="27.42578125" customWidth="1"/>
  </cols>
  <sheetData>
    <row r="1" spans="1:30" ht="46.5">
      <c r="A1" s="379" t="s">
        <v>254</v>
      </c>
      <c r="B1" s="404" t="s">
        <v>4</v>
      </c>
      <c r="C1" s="404" t="s">
        <v>2</v>
      </c>
      <c r="D1" s="404" t="s">
        <v>3</v>
      </c>
      <c r="E1" s="380" t="s">
        <v>255</v>
      </c>
      <c r="F1" s="381" t="s">
        <v>256</v>
      </c>
      <c r="G1" s="382" t="s">
        <v>257</v>
      </c>
      <c r="H1" s="383" t="s">
        <v>258</v>
      </c>
      <c r="I1" s="383" t="s">
        <v>259</v>
      </c>
      <c r="J1" s="384" t="s">
        <v>260</v>
      </c>
      <c r="K1" s="384" t="s">
        <v>261</v>
      </c>
      <c r="L1" s="384" t="s">
        <v>262</v>
      </c>
      <c r="M1" s="384" t="s">
        <v>263</v>
      </c>
      <c r="N1" s="384" t="s">
        <v>264</v>
      </c>
      <c r="O1" s="385" t="s">
        <v>265</v>
      </c>
      <c r="P1" s="385" t="s">
        <v>266</v>
      </c>
      <c r="Q1" s="385" t="s">
        <v>267</v>
      </c>
      <c r="R1" s="385" t="s">
        <v>268</v>
      </c>
      <c r="S1" s="385" t="s">
        <v>269</v>
      </c>
      <c r="T1" s="385" t="s">
        <v>270</v>
      </c>
      <c r="U1" s="385" t="s">
        <v>271</v>
      </c>
      <c r="V1" s="385" t="s">
        <v>272</v>
      </c>
      <c r="W1" s="385" t="s">
        <v>273</v>
      </c>
      <c r="X1" s="385" t="s">
        <v>274</v>
      </c>
      <c r="Y1" s="385" t="s">
        <v>275</v>
      </c>
      <c r="Z1" s="385" t="s">
        <v>276</v>
      </c>
      <c r="AA1" s="385" t="s">
        <v>277</v>
      </c>
      <c r="AB1" s="385" t="s">
        <v>278</v>
      </c>
      <c r="AC1" s="385" t="s">
        <v>279</v>
      </c>
      <c r="AD1" s="386" t="s">
        <v>280</v>
      </c>
    </row>
    <row r="2" spans="1:30" s="256" customFormat="1" ht="128.25" customHeight="1">
      <c r="A2" s="369">
        <v>1</v>
      </c>
      <c r="B2" s="369" t="s">
        <v>5</v>
      </c>
      <c r="C2" s="372">
        <v>45953</v>
      </c>
      <c r="D2" s="372">
        <v>45967</v>
      </c>
      <c r="E2" s="256" t="s">
        <v>169</v>
      </c>
      <c r="F2" s="62" t="s">
        <v>298</v>
      </c>
      <c r="G2" s="431" t="s">
        <v>869</v>
      </c>
      <c r="H2" s="203" t="s">
        <v>870</v>
      </c>
      <c r="I2" s="506" t="s">
        <v>289</v>
      </c>
      <c r="J2" s="228">
        <v>3</v>
      </c>
      <c r="K2" s="369"/>
      <c r="L2" s="327"/>
      <c r="M2" s="372">
        <v>45954</v>
      </c>
      <c r="N2" s="372">
        <v>45958</v>
      </c>
      <c r="O2" s="229" t="s">
        <v>290</v>
      </c>
      <c r="P2" s="329" t="s">
        <v>457</v>
      </c>
      <c r="Q2" s="370" t="s">
        <v>871</v>
      </c>
      <c r="R2" s="250" t="s">
        <v>292</v>
      </c>
      <c r="S2" s="228" t="s">
        <v>291</v>
      </c>
      <c r="T2" s="432" t="s">
        <v>872</v>
      </c>
      <c r="U2" s="373">
        <v>45958</v>
      </c>
      <c r="V2" s="373">
        <v>45961</v>
      </c>
      <c r="W2" s="327" t="s">
        <v>426</v>
      </c>
      <c r="X2" s="370" t="s">
        <v>873</v>
      </c>
      <c r="Y2" s="327" t="s">
        <v>295</v>
      </c>
      <c r="Z2" s="373">
        <v>45961</v>
      </c>
      <c r="AA2" s="370" t="s">
        <v>874</v>
      </c>
      <c r="AB2" s="327" t="s">
        <v>291</v>
      </c>
      <c r="AC2" s="327" t="s">
        <v>291</v>
      </c>
      <c r="AD2" s="388" t="s">
        <v>875</v>
      </c>
    </row>
    <row r="3" spans="1:30" ht="117" customHeight="1">
      <c r="A3" s="369">
        <v>2</v>
      </c>
      <c r="B3" s="369" t="s">
        <v>5</v>
      </c>
      <c r="C3" s="372">
        <v>45953</v>
      </c>
      <c r="D3" s="430">
        <v>45967</v>
      </c>
      <c r="E3" s="250" t="s">
        <v>169</v>
      </c>
      <c r="F3" s="203" t="s">
        <v>292</v>
      </c>
      <c r="G3" s="247" t="s">
        <v>876</v>
      </c>
      <c r="H3" s="321" t="s">
        <v>877</v>
      </c>
      <c r="I3" s="374" t="s">
        <v>289</v>
      </c>
      <c r="J3" s="228">
        <v>1</v>
      </c>
      <c r="K3" s="369"/>
      <c r="L3" s="327"/>
      <c r="M3" s="511">
        <v>45954</v>
      </c>
      <c r="N3" s="511">
        <v>45954</v>
      </c>
      <c r="O3" s="229" t="s">
        <v>290</v>
      </c>
      <c r="P3" s="329" t="s">
        <v>457</v>
      </c>
      <c r="Q3" s="370" t="s">
        <v>878</v>
      </c>
      <c r="R3" s="250" t="s">
        <v>298</v>
      </c>
      <c r="S3" s="473" t="s">
        <v>291</v>
      </c>
      <c r="T3" s="200" t="s">
        <v>879</v>
      </c>
      <c r="U3" s="372">
        <v>45954</v>
      </c>
      <c r="V3" s="373">
        <v>45955</v>
      </c>
      <c r="W3" s="327" t="s">
        <v>426</v>
      </c>
      <c r="X3" s="370" t="s">
        <v>291</v>
      </c>
      <c r="Y3" s="327" t="s">
        <v>295</v>
      </c>
      <c r="Z3" s="373">
        <v>45955</v>
      </c>
      <c r="AA3" s="370" t="s">
        <v>291</v>
      </c>
      <c r="AB3" s="327" t="s">
        <v>291</v>
      </c>
      <c r="AC3" s="327" t="s">
        <v>291</v>
      </c>
      <c r="AD3" s="509" t="s">
        <v>880</v>
      </c>
    </row>
    <row r="4" spans="1:30" ht="66" customHeight="1">
      <c r="A4" s="369">
        <v>3</v>
      </c>
      <c r="B4" s="369" t="s">
        <v>5</v>
      </c>
      <c r="C4" s="372">
        <v>45953</v>
      </c>
      <c r="D4" s="430">
        <v>45967</v>
      </c>
      <c r="E4" s="203" t="s">
        <v>169</v>
      </c>
      <c r="F4" s="137" t="s">
        <v>292</v>
      </c>
      <c r="G4" s="250" t="s">
        <v>881</v>
      </c>
      <c r="H4" s="490" t="s">
        <v>882</v>
      </c>
      <c r="I4" s="228" t="s">
        <v>289</v>
      </c>
      <c r="J4" s="181">
        <v>2</v>
      </c>
      <c r="K4" s="327"/>
      <c r="L4" s="327"/>
      <c r="M4" s="372">
        <v>45954</v>
      </c>
      <c r="N4" s="372">
        <v>45958</v>
      </c>
      <c r="O4" s="229" t="s">
        <v>290</v>
      </c>
      <c r="P4" s="329" t="s">
        <v>457</v>
      </c>
      <c r="Q4" s="370" t="s">
        <v>291</v>
      </c>
      <c r="R4" s="250" t="s">
        <v>298</v>
      </c>
      <c r="S4" s="228" t="s">
        <v>291</v>
      </c>
      <c r="T4" s="200" t="s">
        <v>872</v>
      </c>
      <c r="U4" s="372">
        <v>45958</v>
      </c>
      <c r="V4" s="373">
        <v>45960</v>
      </c>
      <c r="W4" s="327" t="s">
        <v>426</v>
      </c>
      <c r="X4" s="370" t="s">
        <v>883</v>
      </c>
      <c r="Y4" s="327" t="s">
        <v>295</v>
      </c>
      <c r="Z4" s="373">
        <v>45960</v>
      </c>
      <c r="AA4" s="370" t="s">
        <v>291</v>
      </c>
      <c r="AB4" s="327" t="s">
        <v>291</v>
      </c>
      <c r="AC4" s="327" t="s">
        <v>291</v>
      </c>
      <c r="AD4" s="388" t="s">
        <v>884</v>
      </c>
    </row>
    <row r="5" spans="1:30" ht="72.75" customHeight="1">
      <c r="A5" s="369">
        <v>4</v>
      </c>
      <c r="B5" s="369" t="s">
        <v>5</v>
      </c>
      <c r="C5" s="372">
        <v>45953</v>
      </c>
      <c r="D5" s="430">
        <v>45967</v>
      </c>
      <c r="E5" s="250" t="s">
        <v>169</v>
      </c>
      <c r="F5" s="203" t="s">
        <v>437</v>
      </c>
      <c r="G5" s="431" t="s">
        <v>885</v>
      </c>
      <c r="H5" s="203" t="s">
        <v>886</v>
      </c>
      <c r="I5" s="181" t="s">
        <v>289</v>
      </c>
      <c r="J5" s="228">
        <v>3</v>
      </c>
      <c r="K5" s="369"/>
      <c r="L5" s="327"/>
      <c r="M5" s="372">
        <v>45958</v>
      </c>
      <c r="N5" s="372">
        <v>45966</v>
      </c>
      <c r="O5" s="229" t="s">
        <v>290</v>
      </c>
      <c r="P5" s="329" t="s">
        <v>887</v>
      </c>
      <c r="Q5" s="370" t="s">
        <v>291</v>
      </c>
      <c r="R5" s="250" t="s">
        <v>298</v>
      </c>
      <c r="S5" s="218" t="s">
        <v>291</v>
      </c>
      <c r="T5" s="271" t="s">
        <v>888</v>
      </c>
      <c r="U5" s="372">
        <v>45965</v>
      </c>
      <c r="V5" s="373">
        <v>45967</v>
      </c>
      <c r="W5" s="327" t="s">
        <v>426</v>
      </c>
      <c r="X5" s="370" t="s">
        <v>291</v>
      </c>
      <c r="Y5" s="327" t="s">
        <v>295</v>
      </c>
      <c r="Z5" s="373">
        <v>45967</v>
      </c>
      <c r="AA5" s="370" t="s">
        <v>291</v>
      </c>
      <c r="AB5" s="327" t="s">
        <v>291</v>
      </c>
      <c r="AC5" s="327" t="s">
        <v>291</v>
      </c>
      <c r="AD5" s="509" t="s">
        <v>889</v>
      </c>
    </row>
    <row r="6" spans="1:30" ht="45" customHeight="1">
      <c r="A6" s="369">
        <v>5</v>
      </c>
      <c r="B6" s="369" t="s">
        <v>5</v>
      </c>
      <c r="C6" s="372">
        <v>45953</v>
      </c>
      <c r="D6" s="372">
        <v>45967</v>
      </c>
      <c r="E6" s="250" t="s">
        <v>169</v>
      </c>
      <c r="F6" s="515" t="s">
        <v>890</v>
      </c>
      <c r="G6" s="516" t="s">
        <v>891</v>
      </c>
      <c r="H6" s="513" t="s">
        <v>892</v>
      </c>
      <c r="I6" s="327" t="s">
        <v>289</v>
      </c>
      <c r="J6" s="181">
        <v>3</v>
      </c>
      <c r="K6" s="327"/>
      <c r="L6" s="327"/>
      <c r="M6" s="372">
        <v>45957</v>
      </c>
      <c r="N6" s="372">
        <v>45964</v>
      </c>
      <c r="O6" s="229" t="s">
        <v>290</v>
      </c>
      <c r="P6" s="329" t="s">
        <v>457</v>
      </c>
      <c r="Q6" s="370" t="s">
        <v>291</v>
      </c>
      <c r="R6" s="250" t="s">
        <v>437</v>
      </c>
      <c r="S6" s="58" t="s">
        <v>291</v>
      </c>
      <c r="T6" s="231" t="s">
        <v>893</v>
      </c>
      <c r="U6" s="372">
        <v>45964</v>
      </c>
      <c r="V6" s="373">
        <v>45965</v>
      </c>
      <c r="W6" s="327" t="s">
        <v>426</v>
      </c>
      <c r="X6" s="370" t="s">
        <v>291</v>
      </c>
      <c r="Y6" s="327" t="s">
        <v>295</v>
      </c>
      <c r="Z6" s="373">
        <v>45965</v>
      </c>
      <c r="AA6" s="370" t="s">
        <v>291</v>
      </c>
      <c r="AB6" s="327" t="s">
        <v>291</v>
      </c>
      <c r="AC6" s="327" t="s">
        <v>291</v>
      </c>
      <c r="AD6" s="388" t="s">
        <v>894</v>
      </c>
    </row>
    <row r="7" spans="1:30" ht="68.25" customHeight="1">
      <c r="A7" s="369">
        <v>6</v>
      </c>
      <c r="B7" s="369" t="s">
        <v>5</v>
      </c>
      <c r="C7" s="372">
        <v>45953</v>
      </c>
      <c r="D7" s="372">
        <v>45967</v>
      </c>
      <c r="E7" s="250" t="s">
        <v>169</v>
      </c>
      <c r="F7" s="203" t="s">
        <v>895</v>
      </c>
      <c r="G7" s="248" t="s">
        <v>896</v>
      </c>
      <c r="H7" s="137" t="s">
        <v>897</v>
      </c>
      <c r="I7" s="327" t="s">
        <v>289</v>
      </c>
      <c r="J7" s="181">
        <v>1</v>
      </c>
      <c r="K7" s="327"/>
      <c r="L7" s="327"/>
      <c r="M7" s="373">
        <v>45966</v>
      </c>
      <c r="N7" s="373"/>
      <c r="O7" s="229"/>
      <c r="P7" s="329"/>
      <c r="Q7" s="370"/>
      <c r="R7" s="229"/>
      <c r="T7" s="392"/>
      <c r="U7" s="360"/>
      <c r="V7" s="373"/>
      <c r="W7" s="228"/>
      <c r="X7" s="370"/>
      <c r="Y7" s="327"/>
      <c r="Z7" s="373"/>
      <c r="AA7" s="370"/>
      <c r="AB7" s="327"/>
      <c r="AC7" s="327"/>
      <c r="AD7" s="388"/>
    </row>
    <row r="8" spans="1:30" ht="66" customHeight="1">
      <c r="A8" s="369">
        <v>7</v>
      </c>
      <c r="B8" s="369" t="s">
        <v>5</v>
      </c>
      <c r="C8" s="372">
        <v>45953</v>
      </c>
      <c r="D8" s="430">
        <v>45967</v>
      </c>
      <c r="E8" s="490" t="s">
        <v>169</v>
      </c>
      <c r="F8" s="482" t="s">
        <v>298</v>
      </c>
      <c r="G8" s="431" t="s">
        <v>898</v>
      </c>
      <c r="H8" s="187" t="s">
        <v>899</v>
      </c>
      <c r="I8" s="506" t="s">
        <v>289</v>
      </c>
      <c r="J8" s="228"/>
      <c r="K8" s="369"/>
      <c r="L8" s="327"/>
      <c r="M8" s="373">
        <v>45961</v>
      </c>
      <c r="N8" s="373">
        <v>45961</v>
      </c>
      <c r="O8" s="229" t="s">
        <v>290</v>
      </c>
      <c r="P8" s="329" t="s">
        <v>457</v>
      </c>
      <c r="Q8" s="370" t="s">
        <v>291</v>
      </c>
      <c r="R8" s="250" t="s">
        <v>292</v>
      </c>
      <c r="S8" s="58" t="s">
        <v>291</v>
      </c>
      <c r="T8" s="200" t="s">
        <v>900</v>
      </c>
      <c r="U8" s="372">
        <v>45961</v>
      </c>
      <c r="V8" s="373">
        <v>45964</v>
      </c>
      <c r="W8" s="327" t="s">
        <v>426</v>
      </c>
      <c r="X8" s="370" t="s">
        <v>291</v>
      </c>
      <c r="Y8" s="327" t="s">
        <v>295</v>
      </c>
      <c r="Z8" s="373">
        <v>45964</v>
      </c>
      <c r="AA8" s="370" t="s">
        <v>291</v>
      </c>
      <c r="AB8" s="327" t="s">
        <v>291</v>
      </c>
      <c r="AC8" s="327" t="s">
        <v>291</v>
      </c>
      <c r="AD8" s="388" t="s">
        <v>901</v>
      </c>
    </row>
    <row r="9" spans="1:30" ht="63" customHeight="1">
      <c r="A9" s="369">
        <v>8</v>
      </c>
      <c r="B9" s="369" t="s">
        <v>5</v>
      </c>
      <c r="C9" s="372">
        <v>45953</v>
      </c>
      <c r="D9" s="430">
        <v>45967</v>
      </c>
      <c r="E9" s="229" t="s">
        <v>902</v>
      </c>
      <c r="F9" s="229" t="s">
        <v>292</v>
      </c>
      <c r="G9" s="431" t="s">
        <v>903</v>
      </c>
      <c r="H9" s="268" t="s">
        <v>904</v>
      </c>
      <c r="I9" s="369" t="s">
        <v>289</v>
      </c>
      <c r="J9" s="181">
        <v>3</v>
      </c>
      <c r="K9" s="327"/>
      <c r="L9" s="374"/>
      <c r="M9" s="512">
        <v>45964</v>
      </c>
      <c r="N9" s="372">
        <v>45965</v>
      </c>
      <c r="O9" s="229" t="s">
        <v>290</v>
      </c>
      <c r="P9" s="329" t="s">
        <v>286</v>
      </c>
      <c r="Q9" s="327" t="s">
        <v>291</v>
      </c>
      <c r="R9" s="229" t="s">
        <v>298</v>
      </c>
      <c r="S9" t="s">
        <v>291</v>
      </c>
      <c r="T9" s="432" t="s">
        <v>905</v>
      </c>
      <c r="U9" s="373">
        <v>45966</v>
      </c>
      <c r="V9" s="373">
        <v>45967</v>
      </c>
      <c r="W9" s="327" t="s">
        <v>426</v>
      </c>
      <c r="X9" s="370" t="s">
        <v>291</v>
      </c>
      <c r="Y9" s="327" t="s">
        <v>295</v>
      </c>
      <c r="Z9" s="373">
        <v>45967</v>
      </c>
      <c r="AA9" s="370" t="s">
        <v>291</v>
      </c>
      <c r="AB9" s="327" t="s">
        <v>291</v>
      </c>
      <c r="AC9" s="327" t="s">
        <v>291</v>
      </c>
      <c r="AD9" s="388"/>
    </row>
    <row r="10" spans="1:30">
      <c r="A10" s="369"/>
      <c r="B10" s="369"/>
      <c r="C10" s="372"/>
      <c r="D10" s="430"/>
      <c r="E10" s="203"/>
      <c r="F10" s="203"/>
      <c r="G10" s="247"/>
      <c r="H10" s="321"/>
      <c r="I10" s="327"/>
      <c r="K10" s="327"/>
      <c r="L10" s="327"/>
      <c r="M10" s="476"/>
      <c r="N10" s="373"/>
      <c r="O10" s="229"/>
      <c r="P10" s="329"/>
      <c r="Q10" s="327"/>
      <c r="R10" s="229"/>
      <c r="T10" s="432"/>
      <c r="U10" s="373"/>
      <c r="V10" s="373"/>
      <c r="W10" s="327"/>
      <c r="X10" s="370"/>
      <c r="Y10" s="327"/>
      <c r="Z10" s="373"/>
      <c r="AA10" s="370"/>
      <c r="AB10" s="327"/>
      <c r="AC10" s="327"/>
      <c r="AD10" s="388"/>
    </row>
    <row r="11" spans="1:30">
      <c r="A11" s="369"/>
      <c r="B11" s="369"/>
      <c r="C11" s="372"/>
      <c r="D11" s="372"/>
      <c r="G11" s="229"/>
      <c r="I11" s="327"/>
      <c r="J11" s="181"/>
      <c r="K11" s="327"/>
      <c r="L11" s="327"/>
      <c r="M11" s="327"/>
      <c r="N11" s="327"/>
      <c r="O11" s="229"/>
      <c r="P11" s="329"/>
      <c r="Q11" s="327"/>
      <c r="R11" s="229"/>
      <c r="T11" s="432"/>
      <c r="U11" s="373"/>
      <c r="V11" s="373"/>
      <c r="W11" s="327"/>
      <c r="X11" s="370"/>
      <c r="Y11" s="327"/>
      <c r="Z11" s="373"/>
      <c r="AA11" s="370"/>
      <c r="AB11" s="327"/>
      <c r="AC11" s="327"/>
      <c r="AD11" s="249"/>
    </row>
    <row r="12" spans="1:30">
      <c r="A12" s="369"/>
      <c r="B12" s="369"/>
      <c r="C12" s="372"/>
      <c r="D12" s="372"/>
      <c r="G12" s="229"/>
      <c r="I12" s="327"/>
      <c r="J12" s="181"/>
      <c r="K12" s="327"/>
      <c r="L12" s="327"/>
      <c r="M12" s="327"/>
      <c r="N12" s="327"/>
      <c r="O12" s="229"/>
      <c r="P12" s="329"/>
      <c r="Q12" s="327"/>
      <c r="R12" s="229"/>
      <c r="T12" s="432"/>
      <c r="U12" s="373"/>
      <c r="V12" s="373"/>
      <c r="W12" s="327"/>
      <c r="X12" s="370"/>
      <c r="Y12" s="327"/>
      <c r="Z12" s="373"/>
      <c r="AA12" s="370"/>
      <c r="AB12" s="327"/>
      <c r="AC12" s="327"/>
      <c r="AD12" s="249"/>
    </row>
  </sheetData>
  <hyperlinks>
    <hyperlink ref="T3" r:id="rId1" xr:uid="{2A7862EF-905F-45AE-A288-EF49DCEE781A}"/>
    <hyperlink ref="T2" r:id="rId2" xr:uid="{0195C063-A78B-4187-825F-957098664CA8}"/>
    <hyperlink ref="T4" r:id="rId3" xr:uid="{45850D06-83FD-4E73-9933-2030F45B15ED}"/>
    <hyperlink ref="T5" r:id="rId4" xr:uid="{5D27511F-1BF9-4AE3-B680-096772238105}"/>
    <hyperlink ref="T8" r:id="rId5" xr:uid="{AB8E8B68-D040-4443-A5E1-3BDC96A0C1B0}"/>
    <hyperlink ref="T6" r:id="rId6" xr:uid="{B7FB9D9D-590E-46CC-9687-E266B90D219B}"/>
    <hyperlink ref="T9" r:id="rId7" xr:uid="{2D07357D-5E5A-4091-944A-0E91D44CC876}"/>
  </hyperlinks>
  <pageMargins left="0.7" right="0.7" top="0.75" bottom="0.75" header="0.3" footer="0.3"/>
  <tableParts count="1">
    <tablePart r:id="rId8"/>
  </tableParts>
  <extLst>
    <ext xmlns:x14="http://schemas.microsoft.com/office/spreadsheetml/2009/9/main" uri="{CCE6A557-97BC-4b89-ADB6-D9C93CAAB3DF}">
      <x14:dataValidations xmlns:xm="http://schemas.microsoft.com/office/excel/2006/main" count="1">
        <x14:dataValidation type="list" allowBlank="1" showErrorMessage="1" xr:uid="{5D0F3745-2CBF-4BF5-AA7A-B3F923853303}">
          <x14:formula1>
            <xm:f>Settings!$C$3:$C$20</xm:f>
          </x14:formula1>
          <xm:sqref>I2:I12</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C131C-1077-4E72-AE29-5F79912F1B36}">
  <sheetPr>
    <outlinePr summaryBelow="0" summaryRight="0"/>
  </sheetPr>
  <dimension ref="A1:AB988"/>
  <sheetViews>
    <sheetView topLeftCell="B1" workbookViewId="0">
      <selection activeCell="B2" sqref="B2"/>
    </sheetView>
  </sheetViews>
  <sheetFormatPr defaultColWidth="12.5703125" defaultRowHeight="15" customHeight="1"/>
  <cols>
    <col min="1" max="1" width="12.5703125" hidden="1" customWidth="1"/>
    <col min="2" max="2" width="21.42578125" customWidth="1"/>
    <col min="3" max="3" width="23.5703125" customWidth="1"/>
    <col min="4" max="4" width="14.42578125" customWidth="1"/>
    <col min="5" max="5" width="19.140625" customWidth="1"/>
    <col min="6" max="6" width="37.5703125" customWidth="1"/>
    <col min="7" max="7" width="41.140625" customWidth="1"/>
    <col min="8" max="9" width="18.7109375" customWidth="1"/>
    <col min="10" max="10" width="9.140625" bestFit="1" customWidth="1"/>
    <col min="11" max="11" width="19" customWidth="1"/>
    <col min="12" max="12" width="18" customWidth="1"/>
    <col min="13" max="13" width="41" customWidth="1"/>
    <col min="14" max="14" width="14.140625" style="122" customWidth="1"/>
    <col min="15" max="15" width="29" customWidth="1"/>
  </cols>
  <sheetData>
    <row r="1" spans="1:28" ht="13.5">
      <c r="A1" s="434" t="s">
        <v>254</v>
      </c>
      <c r="B1" s="1" t="s">
        <v>321</v>
      </c>
      <c r="C1" s="198" t="s">
        <v>322</v>
      </c>
      <c r="D1" s="198" t="s">
        <v>323</v>
      </c>
      <c r="E1" s="1" t="s">
        <v>256</v>
      </c>
      <c r="F1" s="198" t="s">
        <v>324</v>
      </c>
      <c r="G1" s="198" t="s">
        <v>325</v>
      </c>
      <c r="H1" s="1" t="s">
        <v>326</v>
      </c>
      <c r="I1" s="1" t="s">
        <v>327</v>
      </c>
      <c r="J1" s="1" t="s">
        <v>328</v>
      </c>
      <c r="K1" s="1" t="s">
        <v>259</v>
      </c>
      <c r="L1" s="156" t="s">
        <v>329</v>
      </c>
      <c r="M1" s="8" t="s">
        <v>280</v>
      </c>
      <c r="N1" s="487" t="s">
        <v>330</v>
      </c>
      <c r="O1" s="487" t="s">
        <v>331</v>
      </c>
      <c r="P1" s="35"/>
      <c r="Q1" s="35"/>
      <c r="R1" s="35"/>
      <c r="S1" s="35"/>
      <c r="T1" s="35"/>
      <c r="U1" s="35"/>
      <c r="V1" s="35"/>
      <c r="W1" s="35"/>
      <c r="X1" s="35"/>
      <c r="Y1" s="35"/>
      <c r="Z1" s="35"/>
      <c r="AA1" s="35"/>
      <c r="AB1" s="35"/>
    </row>
    <row r="2" spans="1:28" ht="101.25" customHeight="1">
      <c r="B2" s="137" t="s">
        <v>169</v>
      </c>
      <c r="C2" s="137" t="s">
        <v>906</v>
      </c>
      <c r="D2" s="137" t="s">
        <v>869</v>
      </c>
      <c r="E2" s="137" t="s">
        <v>298</v>
      </c>
      <c r="F2" s="221" t="s">
        <v>380</v>
      </c>
      <c r="G2" s="321" t="s">
        <v>899</v>
      </c>
      <c r="H2" s="126" t="s">
        <v>622</v>
      </c>
      <c r="I2" s="126" t="s">
        <v>382</v>
      </c>
      <c r="J2" s="126" t="s">
        <v>383</v>
      </c>
      <c r="K2" s="126" t="s">
        <v>384</v>
      </c>
      <c r="L2" s="126" t="s">
        <v>385</v>
      </c>
      <c r="M2" s="144" t="s">
        <v>907</v>
      </c>
      <c r="N2" s="122" t="s">
        <v>426</v>
      </c>
      <c r="O2" s="144" t="s">
        <v>908</v>
      </c>
    </row>
    <row r="3" spans="1:28" ht="66.75" customHeight="1">
      <c r="F3" s="221"/>
      <c r="G3" s="144"/>
      <c r="H3" s="126"/>
      <c r="I3" s="126"/>
      <c r="J3" s="126"/>
      <c r="K3" s="126"/>
      <c r="L3" s="126"/>
      <c r="M3" s="144"/>
      <c r="O3" s="144"/>
    </row>
    <row r="4" spans="1:28" ht="15.75" customHeight="1"/>
    <row r="5" spans="1:28" ht="15.75" customHeight="1"/>
    <row r="6" spans="1:28" ht="15.75" customHeight="1">
      <c r="K6" s="144"/>
    </row>
    <row r="7" spans="1:28" ht="15.75" customHeight="1"/>
    <row r="8" spans="1:28" ht="15.75" customHeight="1"/>
    <row r="9" spans="1:28" ht="15.75" customHeight="1"/>
    <row r="10" spans="1:28" ht="15.75" customHeight="1"/>
    <row r="11" spans="1:28" ht="15.75" customHeight="1"/>
    <row r="12" spans="1:28" ht="15.75" customHeight="1"/>
    <row r="13" spans="1:28" ht="15.75" customHeight="1"/>
    <row r="14" spans="1:28" ht="15.75" customHeight="1"/>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sheetData>
  <autoFilter ref="A1:M1" xr:uid="{3A2BB050-11AC-4ED7-A296-96B42C7FCFBA}"/>
  <dataValidations count="5">
    <dataValidation type="list" allowBlank="1" showErrorMessage="1" sqref="J2:J3" xr:uid="{532B7CE0-EB68-45A0-872E-1ED2A68AAFF2}">
      <formula1>"Internal,External"</formula1>
    </dataValidation>
    <dataValidation type="list" allowBlank="1" showErrorMessage="1" sqref="H2:H3" xr:uid="{54DD0EC2-56B9-4035-965E-3688D7A24F17}">
      <formula1>"Minor,Significant,Major"</formula1>
    </dataValidation>
    <dataValidation type="list" allowBlank="1" showErrorMessage="1" sqref="I2:I3" xr:uid="{3B96A42A-DA87-4C4B-A7C7-BA63C9C1F34A}">
      <formula1>"Manual, Automation"</formula1>
    </dataValidation>
    <dataValidation type="list" allowBlank="1" showErrorMessage="1" sqref="K2:K3" xr:uid="{556E3A84-72D7-4922-B2A2-16CFD68736EF}">
      <formula1>"Open,Inprogress,Closed"</formula1>
    </dataValidation>
    <dataValidation type="list" allowBlank="1" showErrorMessage="1" sqref="F2:F3" xr:uid="{917A06F7-26F6-42F0-A1E6-802CF07398B9}">
      <formula1>"Bounceback,Defect,None"</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E1C5EF4D-3810-42CA-B8E9-7F656A00431F}">
          <x14:formula1>
            <xm:f>Details!$A$2:$A$10</xm:f>
          </x14:formula1>
          <xm:sqref>L2:L3</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84523-B227-4B68-B78E-EE5627CB90CE}">
  <dimension ref="A1:AD12"/>
  <sheetViews>
    <sheetView workbookViewId="0">
      <pane xSplit="7" ySplit="1" topLeftCell="K5" activePane="bottomRight" state="frozen"/>
      <selection pane="bottomRight" activeCell="K5" sqref="K5"/>
      <selection pane="bottomLeft"/>
      <selection pane="topRight"/>
    </sheetView>
  </sheetViews>
  <sheetFormatPr defaultRowHeight="12.75"/>
  <cols>
    <col min="2" max="2" width="13.28515625" customWidth="1"/>
    <col min="3" max="3" width="10.85546875" customWidth="1"/>
    <col min="4" max="4" width="12.140625" customWidth="1"/>
    <col min="5" max="5" width="40.7109375" customWidth="1"/>
    <col min="6" max="6" width="29.7109375" customWidth="1"/>
    <col min="7" max="7" width="18.85546875" customWidth="1"/>
    <col min="8" max="8" width="50.28515625" style="137" customWidth="1"/>
    <col min="9" max="9" width="16.85546875" customWidth="1"/>
    <col min="10" max="11" width="11.42578125" bestFit="1" customWidth="1"/>
    <col min="12" max="14" width="11.42578125" customWidth="1"/>
    <col min="15" max="15" width="13.140625" customWidth="1"/>
    <col min="16" max="16" width="13.42578125" style="144" customWidth="1"/>
    <col min="17" max="17" width="29.140625" customWidth="1"/>
    <col min="18" max="18" width="16.42578125" customWidth="1"/>
    <col min="19" max="19" width="14.85546875" customWidth="1"/>
    <col min="20" max="20" width="24.42578125" style="144" customWidth="1"/>
    <col min="21" max="22" width="12.7109375" bestFit="1" customWidth="1"/>
    <col min="23" max="23" width="11.42578125" bestFit="1" customWidth="1"/>
    <col min="24" max="24" width="32.140625" style="144" customWidth="1"/>
    <col min="25" max="25" width="11.42578125" bestFit="1" customWidth="1"/>
    <col min="26" max="26" width="12.7109375" bestFit="1" customWidth="1"/>
    <col min="27" max="29" width="11.42578125" bestFit="1" customWidth="1"/>
    <col min="30" max="30" width="27.42578125" customWidth="1"/>
  </cols>
  <sheetData>
    <row r="1" spans="1:30" ht="46.5">
      <c r="A1" s="379" t="s">
        <v>254</v>
      </c>
      <c r="B1" s="404" t="s">
        <v>4</v>
      </c>
      <c r="C1" s="404" t="s">
        <v>2</v>
      </c>
      <c r="D1" s="404" t="s">
        <v>3</v>
      </c>
      <c r="E1" s="380" t="s">
        <v>255</v>
      </c>
      <c r="F1" s="381" t="s">
        <v>256</v>
      </c>
      <c r="G1" s="382" t="s">
        <v>257</v>
      </c>
      <c r="H1" s="383" t="s">
        <v>258</v>
      </c>
      <c r="I1" s="383" t="s">
        <v>259</v>
      </c>
      <c r="J1" s="384" t="s">
        <v>260</v>
      </c>
      <c r="K1" s="384" t="s">
        <v>261</v>
      </c>
      <c r="L1" s="384" t="s">
        <v>262</v>
      </c>
      <c r="M1" s="384" t="s">
        <v>263</v>
      </c>
      <c r="N1" s="384" t="s">
        <v>264</v>
      </c>
      <c r="O1" s="385" t="s">
        <v>265</v>
      </c>
      <c r="P1" s="385" t="s">
        <v>266</v>
      </c>
      <c r="Q1" s="385" t="s">
        <v>267</v>
      </c>
      <c r="R1" s="385" t="s">
        <v>268</v>
      </c>
      <c r="S1" s="385" t="s">
        <v>269</v>
      </c>
      <c r="T1" s="385" t="s">
        <v>270</v>
      </c>
      <c r="U1" s="385" t="s">
        <v>271</v>
      </c>
      <c r="V1" s="385" t="s">
        <v>272</v>
      </c>
      <c r="W1" s="385" t="s">
        <v>273</v>
      </c>
      <c r="X1" s="385" t="s">
        <v>274</v>
      </c>
      <c r="Y1" s="385" t="s">
        <v>275</v>
      </c>
      <c r="Z1" s="385" t="s">
        <v>276</v>
      </c>
      <c r="AA1" s="385" t="s">
        <v>277</v>
      </c>
      <c r="AB1" s="385" t="s">
        <v>278</v>
      </c>
      <c r="AC1" s="385" t="s">
        <v>279</v>
      </c>
      <c r="AD1" s="386" t="s">
        <v>280</v>
      </c>
    </row>
    <row r="2" spans="1:30" s="256" customFormat="1" ht="128.25" customHeight="1">
      <c r="A2" s="369">
        <v>1</v>
      </c>
      <c r="B2" s="369" t="s">
        <v>5</v>
      </c>
      <c r="C2" s="372">
        <v>45939</v>
      </c>
      <c r="D2" s="372">
        <v>45953</v>
      </c>
      <c r="E2" s="256" t="s">
        <v>164</v>
      </c>
      <c r="F2" s="62" t="s">
        <v>298</v>
      </c>
      <c r="G2" s="431" t="s">
        <v>909</v>
      </c>
      <c r="H2" s="203" t="s">
        <v>910</v>
      </c>
      <c r="I2" s="506" t="s">
        <v>289</v>
      </c>
      <c r="J2" s="228">
        <v>3</v>
      </c>
      <c r="K2" s="369"/>
      <c r="L2" s="327">
        <v>45.75</v>
      </c>
      <c r="M2" s="372">
        <v>45940</v>
      </c>
      <c r="N2" s="372">
        <v>45947</v>
      </c>
      <c r="O2" s="229" t="s">
        <v>290</v>
      </c>
      <c r="P2" s="329" t="s">
        <v>457</v>
      </c>
      <c r="Q2" s="370" t="s">
        <v>911</v>
      </c>
      <c r="R2" s="250" t="s">
        <v>292</v>
      </c>
      <c r="S2" s="228" t="s">
        <v>291</v>
      </c>
      <c r="T2" s="432" t="s">
        <v>912</v>
      </c>
      <c r="U2" s="373">
        <v>45946</v>
      </c>
      <c r="V2" s="373">
        <v>45951</v>
      </c>
      <c r="W2" s="327" t="s">
        <v>426</v>
      </c>
      <c r="X2" s="370" t="s">
        <v>291</v>
      </c>
      <c r="Y2" s="327" t="s">
        <v>295</v>
      </c>
      <c r="Z2" s="373">
        <v>45951</v>
      </c>
      <c r="AA2" s="370" t="s">
        <v>291</v>
      </c>
      <c r="AB2" s="327" t="s">
        <v>291</v>
      </c>
      <c r="AC2" s="327" t="s">
        <v>291</v>
      </c>
      <c r="AD2" s="388" t="s">
        <v>913</v>
      </c>
    </row>
    <row r="3" spans="1:30" ht="117" customHeight="1">
      <c r="A3" s="369">
        <v>2</v>
      </c>
      <c r="B3" s="369" t="s">
        <v>5</v>
      </c>
      <c r="C3" s="372">
        <v>45939</v>
      </c>
      <c r="D3" s="430">
        <v>45953</v>
      </c>
      <c r="E3" s="250" t="s">
        <v>164</v>
      </c>
      <c r="F3" s="203" t="s">
        <v>292</v>
      </c>
      <c r="G3" s="247" t="s">
        <v>914</v>
      </c>
      <c r="H3" s="321" t="s">
        <v>915</v>
      </c>
      <c r="I3" s="374" t="s">
        <v>289</v>
      </c>
      <c r="J3" s="228">
        <v>5</v>
      </c>
      <c r="K3" s="369"/>
      <c r="L3" s="327">
        <v>62</v>
      </c>
      <c r="M3" s="511">
        <v>45940</v>
      </c>
      <c r="N3" s="511">
        <v>45951</v>
      </c>
      <c r="O3" s="229" t="s">
        <v>290</v>
      </c>
      <c r="P3" s="329" t="s">
        <v>457</v>
      </c>
      <c r="Q3" s="370" t="s">
        <v>291</v>
      </c>
      <c r="R3" s="250" t="s">
        <v>298</v>
      </c>
      <c r="S3" s="473" t="s">
        <v>291</v>
      </c>
      <c r="T3" s="200" t="s">
        <v>916</v>
      </c>
      <c r="U3" s="372">
        <v>45946</v>
      </c>
      <c r="V3" s="373">
        <v>45952</v>
      </c>
      <c r="W3" s="327" t="s">
        <v>426</v>
      </c>
      <c r="X3" s="370" t="s">
        <v>291</v>
      </c>
      <c r="Y3" s="327" t="s">
        <v>295</v>
      </c>
      <c r="Z3" s="373">
        <v>45952</v>
      </c>
      <c r="AA3" s="370" t="s">
        <v>291</v>
      </c>
      <c r="AB3" s="327" t="s">
        <v>291</v>
      </c>
      <c r="AC3" s="327" t="s">
        <v>291</v>
      </c>
      <c r="AD3" s="509" t="s">
        <v>917</v>
      </c>
    </row>
    <row r="4" spans="1:30" ht="66" customHeight="1">
      <c r="A4" s="369">
        <v>3</v>
      </c>
      <c r="B4" s="369" t="s">
        <v>5</v>
      </c>
      <c r="C4" s="372">
        <v>45939</v>
      </c>
      <c r="D4" s="430">
        <v>45953</v>
      </c>
      <c r="E4" s="203" t="s">
        <v>918</v>
      </c>
      <c r="F4" s="137" t="s">
        <v>426</v>
      </c>
      <c r="G4" s="250" t="s">
        <v>919</v>
      </c>
      <c r="H4" s="490" t="s">
        <v>920</v>
      </c>
      <c r="I4" s="228" t="s">
        <v>289</v>
      </c>
      <c r="J4" s="181">
        <v>3</v>
      </c>
      <c r="K4" s="327"/>
      <c r="L4" s="327">
        <v>2.75</v>
      </c>
      <c r="M4" s="372">
        <v>45939</v>
      </c>
      <c r="N4" s="372">
        <v>45953</v>
      </c>
      <c r="O4" s="229"/>
      <c r="P4" s="329"/>
      <c r="Q4" s="370"/>
      <c r="R4" s="250"/>
      <c r="S4" s="228"/>
      <c r="T4" s="200"/>
      <c r="U4" s="372"/>
      <c r="V4" s="373"/>
      <c r="W4" s="327"/>
      <c r="X4" s="370"/>
      <c r="Y4" s="327"/>
      <c r="Z4" s="373"/>
      <c r="AA4" s="370"/>
      <c r="AB4" s="327"/>
      <c r="AC4" s="327"/>
      <c r="AD4" s="388" t="s">
        <v>921</v>
      </c>
    </row>
    <row r="5" spans="1:30" ht="72.75" customHeight="1">
      <c r="A5" s="369">
        <v>4</v>
      </c>
      <c r="B5" s="369" t="s">
        <v>5</v>
      </c>
      <c r="C5" s="372">
        <v>45939</v>
      </c>
      <c r="D5" s="430">
        <v>45953</v>
      </c>
      <c r="E5" s="250" t="s">
        <v>164</v>
      </c>
      <c r="F5" s="203" t="s">
        <v>298</v>
      </c>
      <c r="G5" s="431" t="s">
        <v>922</v>
      </c>
      <c r="H5" s="203" t="s">
        <v>923</v>
      </c>
      <c r="I5" s="181" t="s">
        <v>289</v>
      </c>
      <c r="J5" s="228">
        <v>5</v>
      </c>
      <c r="K5" s="369"/>
      <c r="L5" s="327">
        <v>36.25</v>
      </c>
      <c r="M5" s="372">
        <v>45945</v>
      </c>
      <c r="N5" s="372">
        <v>45952</v>
      </c>
      <c r="O5" s="229" t="s">
        <v>290</v>
      </c>
      <c r="P5" s="329" t="s">
        <v>457</v>
      </c>
      <c r="Q5" s="370" t="s">
        <v>291</v>
      </c>
      <c r="R5" s="250" t="s">
        <v>292</v>
      </c>
      <c r="S5" s="218" t="s">
        <v>291</v>
      </c>
      <c r="T5" s="271" t="s">
        <v>924</v>
      </c>
      <c r="U5" s="372">
        <v>45947</v>
      </c>
      <c r="V5" s="373">
        <v>45952</v>
      </c>
      <c r="W5" s="327" t="s">
        <v>426</v>
      </c>
      <c r="X5" s="370" t="s">
        <v>291</v>
      </c>
      <c r="Y5" s="327" t="s">
        <v>295</v>
      </c>
      <c r="Z5" s="373">
        <v>45952</v>
      </c>
      <c r="AA5" s="370" t="s">
        <v>291</v>
      </c>
      <c r="AB5" s="327" t="s">
        <v>291</v>
      </c>
      <c r="AC5" s="327" t="s">
        <v>291</v>
      </c>
      <c r="AD5" s="509" t="s">
        <v>925</v>
      </c>
    </row>
    <row r="6" spans="1:30" ht="45" customHeight="1">
      <c r="A6" s="369">
        <v>5</v>
      </c>
      <c r="B6" s="369" t="s">
        <v>5</v>
      </c>
      <c r="C6" s="372">
        <v>45939</v>
      </c>
      <c r="D6" s="372">
        <v>45953</v>
      </c>
      <c r="E6" s="250" t="s">
        <v>164</v>
      </c>
      <c r="F6" s="505" t="s">
        <v>298</v>
      </c>
      <c r="G6" s="502" t="s">
        <v>926</v>
      </c>
      <c r="H6" s="513" t="s">
        <v>927</v>
      </c>
      <c r="I6" s="327" t="s">
        <v>289</v>
      </c>
      <c r="J6" s="181">
        <v>1</v>
      </c>
      <c r="K6" s="327"/>
      <c r="L6" s="327">
        <v>9</v>
      </c>
      <c r="M6" s="372">
        <v>45951</v>
      </c>
      <c r="N6" s="372">
        <v>45953</v>
      </c>
      <c r="O6" s="229"/>
      <c r="P6" s="329"/>
      <c r="Q6" s="370"/>
      <c r="R6" s="250"/>
      <c r="S6" s="58"/>
      <c r="T6" s="231"/>
      <c r="U6" s="372"/>
      <c r="V6" s="373"/>
      <c r="W6" s="327"/>
      <c r="X6" s="370"/>
      <c r="Y6" s="327"/>
      <c r="Z6" s="373"/>
      <c r="AA6" s="370"/>
      <c r="AB6" s="327"/>
      <c r="AC6" s="327"/>
      <c r="AD6" s="388" t="s">
        <v>928</v>
      </c>
    </row>
    <row r="7" spans="1:30" ht="68.25" customHeight="1">
      <c r="A7" s="369">
        <v>6</v>
      </c>
      <c r="B7" s="369" t="s">
        <v>5</v>
      </c>
      <c r="C7" s="372">
        <v>45939</v>
      </c>
      <c r="D7" s="372">
        <v>45953</v>
      </c>
      <c r="E7" s="250" t="s">
        <v>929</v>
      </c>
      <c r="F7" s="58" t="s">
        <v>292</v>
      </c>
      <c r="G7" s="248" t="s">
        <v>930</v>
      </c>
      <c r="H7" s="137" t="s">
        <v>931</v>
      </c>
      <c r="I7" s="327" t="s">
        <v>289</v>
      </c>
      <c r="J7" s="181">
        <v>1</v>
      </c>
      <c r="K7" s="327"/>
      <c r="L7" s="327">
        <v>20.5</v>
      </c>
      <c r="M7" s="373">
        <v>45947</v>
      </c>
      <c r="N7" s="373">
        <v>45951</v>
      </c>
      <c r="O7" s="229" t="s">
        <v>290</v>
      </c>
      <c r="P7" s="329" t="s">
        <v>457</v>
      </c>
      <c r="Q7" s="370" t="s">
        <v>932</v>
      </c>
      <c r="R7" s="229" t="s">
        <v>298</v>
      </c>
      <c r="S7" t="s">
        <v>291</v>
      </c>
      <c r="T7" s="392" t="s">
        <v>933</v>
      </c>
      <c r="U7" s="360">
        <v>45951</v>
      </c>
      <c r="V7" s="373">
        <v>45952</v>
      </c>
      <c r="W7" s="228" t="s">
        <v>426</v>
      </c>
      <c r="X7" s="370" t="s">
        <v>291</v>
      </c>
      <c r="Y7" s="327" t="s">
        <v>295</v>
      </c>
      <c r="Z7" s="373">
        <v>45952</v>
      </c>
      <c r="AA7" s="370" t="s">
        <v>291</v>
      </c>
      <c r="AB7" s="327" t="s">
        <v>291</v>
      </c>
      <c r="AC7" s="327" t="s">
        <v>291</v>
      </c>
      <c r="AD7" s="388" t="s">
        <v>934</v>
      </c>
    </row>
    <row r="8" spans="1:30" ht="66" customHeight="1">
      <c r="A8" s="369">
        <v>7</v>
      </c>
      <c r="B8" s="369" t="s">
        <v>5</v>
      </c>
      <c r="C8" s="372">
        <v>45939</v>
      </c>
      <c r="D8" s="430">
        <v>45953</v>
      </c>
      <c r="E8" s="490" t="s">
        <v>929</v>
      </c>
      <c r="F8" s="482" t="s">
        <v>292</v>
      </c>
      <c r="G8" s="431" t="s">
        <v>935</v>
      </c>
      <c r="H8" s="187" t="s">
        <v>936</v>
      </c>
      <c r="I8" s="506" t="s">
        <v>289</v>
      </c>
      <c r="J8" s="228">
        <v>1</v>
      </c>
      <c r="K8" s="369"/>
      <c r="L8" s="327">
        <v>6.75</v>
      </c>
      <c r="M8" s="373">
        <v>45947</v>
      </c>
      <c r="N8" s="373">
        <v>45951</v>
      </c>
      <c r="O8" s="229" t="s">
        <v>290</v>
      </c>
      <c r="P8" s="329" t="s">
        <v>457</v>
      </c>
      <c r="Q8" s="370" t="s">
        <v>937</v>
      </c>
      <c r="R8" s="250" t="s">
        <v>298</v>
      </c>
      <c r="S8" s="58" t="s">
        <v>291</v>
      </c>
      <c r="T8" s="200" t="s">
        <v>938</v>
      </c>
      <c r="U8" s="372">
        <v>45951</v>
      </c>
      <c r="V8" s="373">
        <v>45952</v>
      </c>
      <c r="W8" s="327" t="s">
        <v>426</v>
      </c>
      <c r="X8" s="370" t="s">
        <v>291</v>
      </c>
      <c r="Y8" s="327" t="s">
        <v>295</v>
      </c>
      <c r="Z8" s="373">
        <v>45952</v>
      </c>
      <c r="AA8" s="370" t="s">
        <v>291</v>
      </c>
      <c r="AB8" s="327" t="s">
        <v>291</v>
      </c>
      <c r="AC8" s="327" t="s">
        <v>291</v>
      </c>
      <c r="AD8" s="388" t="s">
        <v>934</v>
      </c>
    </row>
    <row r="9" spans="1:30" ht="63" customHeight="1">
      <c r="A9" s="369">
        <v>8</v>
      </c>
      <c r="B9" s="369" t="s">
        <v>5</v>
      </c>
      <c r="C9" s="372">
        <v>45939</v>
      </c>
      <c r="D9" s="430">
        <v>45953</v>
      </c>
      <c r="E9" s="229" t="s">
        <v>929</v>
      </c>
      <c r="F9" s="229" t="s">
        <v>292</v>
      </c>
      <c r="G9" s="431" t="s">
        <v>812</v>
      </c>
      <c r="H9" s="268" t="s">
        <v>813</v>
      </c>
      <c r="I9" s="369" t="s">
        <v>301</v>
      </c>
      <c r="J9" s="181">
        <v>2</v>
      </c>
      <c r="K9" s="327"/>
      <c r="L9" s="374">
        <v>15</v>
      </c>
      <c r="M9" s="512">
        <v>45947</v>
      </c>
      <c r="N9" s="372"/>
      <c r="O9" s="229"/>
      <c r="P9" s="329"/>
      <c r="Q9" s="327"/>
      <c r="R9" s="229"/>
      <c r="T9" s="432"/>
      <c r="U9" s="373"/>
      <c r="V9" s="373"/>
      <c r="W9" s="327"/>
      <c r="X9" s="370"/>
      <c r="Y9" s="327"/>
      <c r="Z9" s="373"/>
      <c r="AA9" s="370"/>
      <c r="AB9" s="327"/>
      <c r="AC9" s="327"/>
      <c r="AD9" s="388" t="s">
        <v>939</v>
      </c>
    </row>
    <row r="10" spans="1:30" ht="58.5">
      <c r="A10" s="369">
        <v>9</v>
      </c>
      <c r="B10" s="369" t="s">
        <v>5</v>
      </c>
      <c r="C10" s="372">
        <v>45939</v>
      </c>
      <c r="D10" s="430">
        <v>45953</v>
      </c>
      <c r="E10" s="203" t="s">
        <v>164</v>
      </c>
      <c r="F10" s="203" t="s">
        <v>298</v>
      </c>
      <c r="G10" s="247" t="s">
        <v>940</v>
      </c>
      <c r="H10" s="321" t="s">
        <v>941</v>
      </c>
      <c r="I10" s="327" t="s">
        <v>289</v>
      </c>
      <c r="K10" s="327"/>
      <c r="L10" s="327">
        <v>8.5</v>
      </c>
      <c r="M10" s="476">
        <v>45952</v>
      </c>
      <c r="N10" s="373">
        <v>45952</v>
      </c>
      <c r="O10" s="229" t="s">
        <v>290</v>
      </c>
      <c r="P10" s="329" t="s">
        <v>457</v>
      </c>
      <c r="Q10" s="327" t="s">
        <v>291</v>
      </c>
      <c r="R10" s="229" t="s">
        <v>426</v>
      </c>
      <c r="S10" t="s">
        <v>291</v>
      </c>
      <c r="T10" s="432" t="s">
        <v>942</v>
      </c>
      <c r="U10" s="373">
        <v>45952</v>
      </c>
      <c r="V10" s="373">
        <v>45952</v>
      </c>
      <c r="W10" s="327" t="s">
        <v>426</v>
      </c>
      <c r="X10" s="370" t="s">
        <v>291</v>
      </c>
      <c r="Y10" s="327" t="s">
        <v>295</v>
      </c>
      <c r="Z10" s="373">
        <v>45952</v>
      </c>
      <c r="AA10" s="370" t="s">
        <v>291</v>
      </c>
      <c r="AB10" s="327" t="s">
        <v>291</v>
      </c>
      <c r="AC10" s="327" t="s">
        <v>291</v>
      </c>
      <c r="AD10" s="388" t="s">
        <v>943</v>
      </c>
    </row>
    <row r="11" spans="1:30">
      <c r="A11" s="369"/>
      <c r="B11" s="369"/>
      <c r="C11" s="372"/>
      <c r="D11" s="372"/>
      <c r="G11" s="229"/>
      <c r="I11" s="327"/>
      <c r="J11" s="181"/>
      <c r="K11" s="327"/>
      <c r="L11" s="327"/>
      <c r="M11" s="327"/>
      <c r="N11" s="327"/>
      <c r="O11" s="229"/>
      <c r="P11" s="329"/>
      <c r="Q11" s="327"/>
      <c r="R11" s="229"/>
      <c r="T11" s="432"/>
      <c r="U11" s="373"/>
      <c r="V11" s="373"/>
      <c r="W11" s="327"/>
      <c r="X11" s="370"/>
      <c r="Y11" s="327"/>
      <c r="Z11" s="373"/>
      <c r="AA11" s="370"/>
      <c r="AB11" s="327"/>
      <c r="AC11" s="327"/>
      <c r="AD11" s="249"/>
    </row>
    <row r="12" spans="1:30">
      <c r="A12" s="369"/>
      <c r="B12" s="369"/>
      <c r="C12" s="372"/>
      <c r="D12" s="372"/>
      <c r="G12" s="229"/>
      <c r="I12" s="327"/>
      <c r="J12" s="181"/>
      <c r="K12" s="327"/>
      <c r="L12" s="327"/>
      <c r="M12" s="327"/>
      <c r="N12" s="327"/>
      <c r="O12" s="229"/>
      <c r="P12" s="329"/>
      <c r="Q12" s="327"/>
      <c r="R12" s="229"/>
      <c r="T12" s="432"/>
      <c r="U12" s="373"/>
      <c r="V12" s="373"/>
      <c r="W12" s="327"/>
      <c r="X12" s="370"/>
      <c r="Y12" s="327"/>
      <c r="Z12" s="373"/>
      <c r="AA12" s="370"/>
      <c r="AB12" s="327"/>
      <c r="AC12" s="327"/>
      <c r="AD12" s="249"/>
    </row>
  </sheetData>
  <hyperlinks>
    <hyperlink ref="T2" r:id="rId1" xr:uid="{77BAE2ED-DC17-4AD1-B5FC-702266CC62B2}"/>
    <hyperlink ref="T5" r:id="rId2" xr:uid="{A47B3040-5D6F-49CD-A8A7-3DBAF3E13437}"/>
    <hyperlink ref="T8" r:id="rId3" xr:uid="{8B35BA40-C87A-4AF8-8DF5-4E8BFE9CA3EA}"/>
    <hyperlink ref="T7" r:id="rId4" xr:uid="{E0446752-6E3F-442C-B663-722C78B7CB86}"/>
    <hyperlink ref="T3" r:id="rId5" xr:uid="{A7AF7D79-3845-4175-A3E2-E45F41BA1241}"/>
    <hyperlink ref="T10" r:id="rId6" xr:uid="{AA32E1B6-7AC5-45A5-8896-1771E3DEADB5}"/>
  </hyperlinks>
  <pageMargins left="0.7" right="0.7" top="0.75" bottom="0.75" header="0.3" footer="0.3"/>
  <tableParts count="1">
    <tablePart r:id="rId7"/>
  </tableParts>
  <extLst>
    <ext xmlns:x14="http://schemas.microsoft.com/office/spreadsheetml/2009/9/main" uri="{CCE6A557-97BC-4b89-ADB6-D9C93CAAB3DF}">
      <x14:dataValidations xmlns:xm="http://schemas.microsoft.com/office/excel/2006/main" count="1">
        <x14:dataValidation type="list" allowBlank="1" showErrorMessage="1" xr:uid="{F1806782-B721-446B-A6D8-4728B7DF0CAB}">
          <x14:formula1>
            <xm:f>Settings!$C$3:$C$20</xm:f>
          </x14:formula1>
          <xm:sqref>I2:I12</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F151E-4CB3-4C41-B816-DFC30B731AC9}">
  <sheetPr>
    <outlinePr summaryBelow="0" summaryRight="0"/>
  </sheetPr>
  <dimension ref="A1:AB988"/>
  <sheetViews>
    <sheetView topLeftCell="F2" workbookViewId="0">
      <selection activeCell="F2" sqref="F2"/>
    </sheetView>
  </sheetViews>
  <sheetFormatPr defaultColWidth="12.5703125" defaultRowHeight="15" customHeight="1"/>
  <cols>
    <col min="1" max="1" width="12.5703125" hidden="1" customWidth="1"/>
    <col min="2" max="2" width="21.42578125" customWidth="1"/>
    <col min="3" max="3" width="23.5703125" customWidth="1"/>
    <col min="4" max="4" width="14.42578125" customWidth="1"/>
    <col min="5" max="5" width="19.140625" customWidth="1"/>
    <col min="6" max="6" width="37.5703125" customWidth="1"/>
    <col min="7" max="7" width="41.140625" customWidth="1"/>
    <col min="8" max="9" width="18.7109375" customWidth="1"/>
    <col min="10" max="10" width="9.140625" bestFit="1" customWidth="1"/>
    <col min="11" max="11" width="19" customWidth="1"/>
    <col min="12" max="12" width="18" customWidth="1"/>
    <col min="13" max="13" width="41" customWidth="1"/>
    <col min="14" max="14" width="14.140625" style="122" customWidth="1"/>
    <col min="15" max="15" width="29" customWidth="1"/>
  </cols>
  <sheetData>
    <row r="1" spans="1:28" ht="13.5">
      <c r="A1" s="434" t="s">
        <v>254</v>
      </c>
      <c r="B1" s="1" t="s">
        <v>321</v>
      </c>
      <c r="C1" s="198" t="s">
        <v>322</v>
      </c>
      <c r="D1" s="198" t="s">
        <v>323</v>
      </c>
      <c r="E1" s="1" t="s">
        <v>256</v>
      </c>
      <c r="F1" s="198" t="s">
        <v>324</v>
      </c>
      <c r="G1" s="198" t="s">
        <v>325</v>
      </c>
      <c r="H1" s="1" t="s">
        <v>326</v>
      </c>
      <c r="I1" s="1" t="s">
        <v>327</v>
      </c>
      <c r="J1" s="1" t="s">
        <v>328</v>
      </c>
      <c r="K1" s="1" t="s">
        <v>259</v>
      </c>
      <c r="L1" s="156" t="s">
        <v>329</v>
      </c>
      <c r="M1" s="8" t="s">
        <v>280</v>
      </c>
      <c r="N1" s="487" t="s">
        <v>330</v>
      </c>
      <c r="O1" s="487" t="s">
        <v>331</v>
      </c>
      <c r="P1" s="35"/>
      <c r="Q1" s="35"/>
      <c r="R1" s="35"/>
      <c r="S1" s="35"/>
      <c r="T1" s="35"/>
      <c r="U1" s="35"/>
      <c r="V1" s="35"/>
      <c r="W1" s="35"/>
      <c r="X1" s="35"/>
      <c r="Y1" s="35"/>
      <c r="Z1" s="35"/>
      <c r="AA1" s="35"/>
      <c r="AB1" s="35"/>
    </row>
    <row r="2" spans="1:28" ht="101.25" customHeight="1">
      <c r="B2" s="137" t="s">
        <v>164</v>
      </c>
      <c r="C2" s="137" t="s">
        <v>944</v>
      </c>
      <c r="D2" s="137" t="s">
        <v>922</v>
      </c>
      <c r="E2" s="137" t="s">
        <v>298</v>
      </c>
      <c r="F2" s="221" t="s">
        <v>380</v>
      </c>
      <c r="G2" s="321" t="s">
        <v>941</v>
      </c>
      <c r="H2" s="126" t="s">
        <v>381</v>
      </c>
      <c r="I2" s="126" t="s">
        <v>382</v>
      </c>
      <c r="J2" s="126" t="s">
        <v>383</v>
      </c>
      <c r="K2" s="126" t="s">
        <v>384</v>
      </c>
      <c r="L2" s="126" t="s">
        <v>385</v>
      </c>
      <c r="M2" s="144" t="s">
        <v>945</v>
      </c>
      <c r="N2" s="122" t="s">
        <v>387</v>
      </c>
      <c r="O2" s="144" t="s">
        <v>946</v>
      </c>
    </row>
    <row r="3" spans="1:28" ht="66.75" customHeight="1">
      <c r="F3" s="221"/>
      <c r="G3" s="144"/>
      <c r="H3" s="126"/>
      <c r="I3" s="126"/>
      <c r="J3" s="126"/>
      <c r="K3" s="126"/>
      <c r="L3" s="126"/>
      <c r="M3" s="144"/>
      <c r="O3" s="144"/>
    </row>
    <row r="4" spans="1:28" ht="15.75" customHeight="1"/>
    <row r="5" spans="1:28" ht="15.75" customHeight="1"/>
    <row r="6" spans="1:28" ht="15.75" customHeight="1">
      <c r="K6" s="144"/>
    </row>
    <row r="7" spans="1:28" ht="15.75" customHeight="1"/>
    <row r="8" spans="1:28" ht="15.75" customHeight="1"/>
    <row r="9" spans="1:28" ht="15.75" customHeight="1"/>
    <row r="10" spans="1:28" ht="15.75" customHeight="1"/>
    <row r="11" spans="1:28" ht="15.75" customHeight="1"/>
    <row r="12" spans="1:28" ht="15.75" customHeight="1"/>
    <row r="13" spans="1:28" ht="15.75" customHeight="1"/>
    <row r="14" spans="1:28" ht="15.75" customHeight="1"/>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sheetData>
  <autoFilter ref="A1:M1" xr:uid="{3A2BB050-11AC-4ED7-A296-96B42C7FCFBA}"/>
  <dataValidations count="5">
    <dataValidation type="list" allowBlank="1" showErrorMessage="1" sqref="F2:F3" xr:uid="{D9AA848F-3C1A-42AB-A639-142BDC1F2EAF}">
      <formula1>"Bounceback,Defect,None"</formula1>
    </dataValidation>
    <dataValidation type="list" allowBlank="1" showErrorMessage="1" sqref="K2:K3" xr:uid="{6C9322E8-9EC0-4D35-A703-A6E7A2D0A6F5}">
      <formula1>"Open,Inprogress,Closed"</formula1>
    </dataValidation>
    <dataValidation type="list" allowBlank="1" showErrorMessage="1" sqref="I2:I3" xr:uid="{3FF3F8AD-7225-4B84-BAFB-9C603D680F6D}">
      <formula1>"Manual, Automation"</formula1>
    </dataValidation>
    <dataValidation type="list" allowBlank="1" showErrorMessage="1" sqref="H2:H3" xr:uid="{46B8F213-9E33-4F7D-91B7-3DF3131E091F}">
      <formula1>"Minor,Significant,Major"</formula1>
    </dataValidation>
    <dataValidation type="list" allowBlank="1" showErrorMessage="1" sqref="J2:J3" xr:uid="{6F9D40EB-6346-41B6-B2C0-CBC73312ADC9}">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D402D615-7772-4874-BC33-91082F3447B2}">
          <x14:formula1>
            <xm:f>Details!$A$2:$A$10</xm:f>
          </x14:formula1>
          <xm:sqref>L2:L3</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04636-94B8-4963-86F4-D8E9A602E635}">
  <dimension ref="A1:AD12"/>
  <sheetViews>
    <sheetView workbookViewId="0">
      <pane xSplit="7" ySplit="1" topLeftCell="K9" activePane="bottomRight" state="frozen"/>
      <selection pane="bottomRight" activeCell="K9" sqref="K9"/>
      <selection pane="bottomLeft"/>
      <selection pane="topRight"/>
    </sheetView>
  </sheetViews>
  <sheetFormatPr defaultRowHeight="12.75"/>
  <cols>
    <col min="2" max="2" width="13.28515625" customWidth="1"/>
    <col min="3" max="3" width="10.85546875" customWidth="1"/>
    <col min="4" max="4" width="12.140625" customWidth="1"/>
    <col min="5" max="5" width="40.7109375" customWidth="1"/>
    <col min="6" max="6" width="29.7109375" customWidth="1"/>
    <col min="7" max="7" width="18.85546875" customWidth="1"/>
    <col min="8" max="8" width="50.28515625" style="137" customWidth="1"/>
    <col min="9" max="9" width="16.85546875" customWidth="1"/>
    <col min="10" max="11" width="11.42578125" bestFit="1" customWidth="1"/>
    <col min="12" max="14" width="11.42578125" customWidth="1"/>
    <col min="15" max="15" width="13.140625" customWidth="1"/>
    <col min="16" max="16" width="13.42578125" style="144" customWidth="1"/>
    <col min="17" max="17" width="29.140625" customWidth="1"/>
    <col min="18" max="18" width="16.42578125" customWidth="1"/>
    <col min="19" max="19" width="14.85546875" customWidth="1"/>
    <col min="20" max="20" width="24.42578125" style="144" customWidth="1"/>
    <col min="21" max="22" width="12.7109375" bestFit="1" customWidth="1"/>
    <col min="23" max="23" width="11.42578125" bestFit="1" customWidth="1"/>
    <col min="24" max="24" width="32.140625" style="144" customWidth="1"/>
    <col min="25" max="25" width="11.42578125" bestFit="1" customWidth="1"/>
    <col min="26" max="26" width="12.7109375" bestFit="1" customWidth="1"/>
    <col min="27" max="29" width="11.42578125" bestFit="1" customWidth="1"/>
    <col min="30" max="30" width="27.42578125" customWidth="1"/>
  </cols>
  <sheetData>
    <row r="1" spans="1:30" ht="46.5">
      <c r="A1" s="379" t="s">
        <v>254</v>
      </c>
      <c r="B1" s="404" t="s">
        <v>4</v>
      </c>
      <c r="C1" s="404" t="s">
        <v>2</v>
      </c>
      <c r="D1" s="404" t="s">
        <v>3</v>
      </c>
      <c r="E1" s="380" t="s">
        <v>255</v>
      </c>
      <c r="F1" s="381" t="s">
        <v>256</v>
      </c>
      <c r="G1" s="382" t="s">
        <v>257</v>
      </c>
      <c r="H1" s="383" t="s">
        <v>258</v>
      </c>
      <c r="I1" s="383" t="s">
        <v>259</v>
      </c>
      <c r="J1" s="384" t="s">
        <v>260</v>
      </c>
      <c r="K1" s="384" t="s">
        <v>261</v>
      </c>
      <c r="L1" s="384" t="s">
        <v>262</v>
      </c>
      <c r="M1" s="384" t="s">
        <v>263</v>
      </c>
      <c r="N1" s="384" t="s">
        <v>264</v>
      </c>
      <c r="O1" s="385" t="s">
        <v>265</v>
      </c>
      <c r="P1" s="385" t="s">
        <v>266</v>
      </c>
      <c r="Q1" s="385" t="s">
        <v>267</v>
      </c>
      <c r="R1" s="385" t="s">
        <v>268</v>
      </c>
      <c r="S1" s="385" t="s">
        <v>269</v>
      </c>
      <c r="T1" s="385" t="s">
        <v>270</v>
      </c>
      <c r="U1" s="385" t="s">
        <v>271</v>
      </c>
      <c r="V1" s="385" t="s">
        <v>272</v>
      </c>
      <c r="W1" s="385" t="s">
        <v>273</v>
      </c>
      <c r="X1" s="385" t="s">
        <v>274</v>
      </c>
      <c r="Y1" s="385" t="s">
        <v>275</v>
      </c>
      <c r="Z1" s="385" t="s">
        <v>276</v>
      </c>
      <c r="AA1" s="385" t="s">
        <v>277</v>
      </c>
      <c r="AB1" s="385" t="s">
        <v>278</v>
      </c>
      <c r="AC1" s="385" t="s">
        <v>279</v>
      </c>
      <c r="AD1" s="386" t="s">
        <v>280</v>
      </c>
    </row>
    <row r="2" spans="1:30" s="256" customFormat="1" ht="128.25" customHeight="1">
      <c r="A2" s="369">
        <v>1</v>
      </c>
      <c r="B2" s="369" t="s">
        <v>5</v>
      </c>
      <c r="C2" s="372">
        <v>45925</v>
      </c>
      <c r="D2" s="372">
        <v>45939</v>
      </c>
      <c r="E2" s="256" t="s">
        <v>160</v>
      </c>
      <c r="F2" s="62" t="s">
        <v>292</v>
      </c>
      <c r="G2" s="431" t="s">
        <v>947</v>
      </c>
      <c r="H2" s="203" t="s">
        <v>948</v>
      </c>
      <c r="I2" s="506" t="s">
        <v>289</v>
      </c>
      <c r="J2" s="228">
        <v>2</v>
      </c>
      <c r="K2" s="369"/>
      <c r="L2" s="327">
        <v>13</v>
      </c>
      <c r="M2" s="372">
        <v>45926</v>
      </c>
      <c r="N2" s="372">
        <v>45926</v>
      </c>
      <c r="O2" s="229" t="s">
        <v>290</v>
      </c>
      <c r="P2" s="329" t="s">
        <v>457</v>
      </c>
      <c r="Q2" s="370" t="s">
        <v>291</v>
      </c>
      <c r="R2" s="250" t="s">
        <v>298</v>
      </c>
      <c r="S2" s="228" t="s">
        <v>291</v>
      </c>
      <c r="T2" s="432" t="s">
        <v>949</v>
      </c>
      <c r="U2" s="373">
        <v>45926</v>
      </c>
      <c r="V2" s="373">
        <v>45927</v>
      </c>
      <c r="W2" s="327" t="s">
        <v>426</v>
      </c>
      <c r="X2" s="370" t="s">
        <v>291</v>
      </c>
      <c r="Y2" s="327" t="s">
        <v>295</v>
      </c>
      <c r="Z2" s="373">
        <v>45927</v>
      </c>
      <c r="AA2" s="370" t="s">
        <v>291</v>
      </c>
      <c r="AB2" s="327" t="s">
        <v>291</v>
      </c>
      <c r="AC2" s="327" t="s">
        <v>291</v>
      </c>
      <c r="AD2" s="388" t="s">
        <v>950</v>
      </c>
    </row>
    <row r="3" spans="1:30" ht="117" customHeight="1">
      <c r="A3" s="369">
        <v>2</v>
      </c>
      <c r="B3" s="369" t="s">
        <v>5</v>
      </c>
      <c r="C3" s="372">
        <v>45925</v>
      </c>
      <c r="D3" s="430">
        <v>45939</v>
      </c>
      <c r="E3" s="250" t="s">
        <v>160</v>
      </c>
      <c r="F3" s="203" t="s">
        <v>298</v>
      </c>
      <c r="G3" s="247" t="s">
        <v>951</v>
      </c>
      <c r="H3" s="321" t="s">
        <v>952</v>
      </c>
      <c r="I3" s="374" t="s">
        <v>289</v>
      </c>
      <c r="J3" s="228">
        <v>3</v>
      </c>
      <c r="K3" s="369"/>
      <c r="L3" s="327">
        <v>44.75</v>
      </c>
      <c r="M3" s="511">
        <v>45926</v>
      </c>
      <c r="N3" s="511">
        <v>45937</v>
      </c>
      <c r="O3" s="229" t="s">
        <v>290</v>
      </c>
      <c r="P3" s="329" t="s">
        <v>457</v>
      </c>
      <c r="Q3" s="370" t="s">
        <v>291</v>
      </c>
      <c r="R3" s="250" t="s">
        <v>292</v>
      </c>
      <c r="S3" s="473" t="s">
        <v>291</v>
      </c>
      <c r="T3" s="200" t="s">
        <v>953</v>
      </c>
      <c r="U3" s="372">
        <v>45936</v>
      </c>
      <c r="V3" s="373">
        <v>45938</v>
      </c>
      <c r="W3" s="327" t="s">
        <v>426</v>
      </c>
      <c r="X3" s="370" t="s">
        <v>291</v>
      </c>
      <c r="Y3" s="327" t="s">
        <v>295</v>
      </c>
      <c r="Z3" s="373">
        <v>45938</v>
      </c>
      <c r="AA3" s="370" t="s">
        <v>291</v>
      </c>
      <c r="AB3" s="327" t="s">
        <v>291</v>
      </c>
      <c r="AC3" s="327" t="s">
        <v>291</v>
      </c>
      <c r="AD3" s="509" t="s">
        <v>954</v>
      </c>
    </row>
    <row r="4" spans="1:30" ht="66" customHeight="1">
      <c r="A4" s="369">
        <v>3</v>
      </c>
      <c r="B4" s="369" t="s">
        <v>5</v>
      </c>
      <c r="C4" s="372">
        <v>45925</v>
      </c>
      <c r="D4" s="430">
        <v>45939</v>
      </c>
      <c r="E4" s="203" t="s">
        <v>160</v>
      </c>
      <c r="F4" s="137" t="s">
        <v>292</v>
      </c>
      <c r="G4" s="250" t="s">
        <v>955</v>
      </c>
      <c r="H4" s="490" t="s">
        <v>956</v>
      </c>
      <c r="I4" s="228" t="s">
        <v>289</v>
      </c>
      <c r="J4" s="181">
        <v>2</v>
      </c>
      <c r="K4" s="327"/>
      <c r="L4" s="327">
        <v>34.25</v>
      </c>
      <c r="M4" s="372">
        <v>45929</v>
      </c>
      <c r="N4" s="372">
        <v>45936</v>
      </c>
      <c r="O4" s="229" t="s">
        <v>290</v>
      </c>
      <c r="P4" s="329" t="s">
        <v>457</v>
      </c>
      <c r="Q4" s="370" t="s">
        <v>291</v>
      </c>
      <c r="R4" s="250" t="s">
        <v>298</v>
      </c>
      <c r="S4" s="228" t="s">
        <v>291</v>
      </c>
      <c r="T4" s="200" t="s">
        <v>957</v>
      </c>
      <c r="U4" s="372">
        <v>45930</v>
      </c>
      <c r="V4" s="373">
        <v>45936</v>
      </c>
      <c r="W4" s="327" t="s">
        <v>426</v>
      </c>
      <c r="X4" s="370" t="s">
        <v>291</v>
      </c>
      <c r="Y4" s="327" t="s">
        <v>295</v>
      </c>
      <c r="Z4" s="373">
        <v>45937</v>
      </c>
      <c r="AA4" s="370" t="s">
        <v>291</v>
      </c>
      <c r="AB4" s="327" t="s">
        <v>291</v>
      </c>
      <c r="AC4" s="327" t="s">
        <v>291</v>
      </c>
      <c r="AD4" s="388" t="s">
        <v>958</v>
      </c>
    </row>
    <row r="5" spans="1:30" ht="72.75" customHeight="1">
      <c r="A5" s="369">
        <v>4</v>
      </c>
      <c r="B5" s="369" t="s">
        <v>5</v>
      </c>
      <c r="C5" s="372">
        <v>45925</v>
      </c>
      <c r="D5" s="430">
        <v>45939</v>
      </c>
      <c r="E5" s="250" t="s">
        <v>160</v>
      </c>
      <c r="F5" s="203" t="s">
        <v>298</v>
      </c>
      <c r="G5" s="431" t="s">
        <v>959</v>
      </c>
      <c r="H5" s="203" t="s">
        <v>960</v>
      </c>
      <c r="I5" s="181" t="s">
        <v>289</v>
      </c>
      <c r="J5" s="228">
        <v>5</v>
      </c>
      <c r="K5" s="369"/>
      <c r="L5" s="327">
        <v>30</v>
      </c>
      <c r="M5" s="372">
        <v>45933</v>
      </c>
      <c r="N5" s="372">
        <v>45937</v>
      </c>
      <c r="O5" s="229" t="s">
        <v>290</v>
      </c>
      <c r="P5" s="329" t="s">
        <v>457</v>
      </c>
      <c r="Q5" s="370" t="s">
        <v>961</v>
      </c>
      <c r="R5" s="250" t="s">
        <v>292</v>
      </c>
      <c r="S5" s="218" t="s">
        <v>291</v>
      </c>
      <c r="T5" s="271" t="s">
        <v>962</v>
      </c>
      <c r="U5" s="372">
        <v>45937</v>
      </c>
      <c r="V5" s="373">
        <v>45938</v>
      </c>
      <c r="W5" s="327" t="s">
        <v>426</v>
      </c>
      <c r="X5" s="370" t="s">
        <v>291</v>
      </c>
      <c r="Y5" s="327" t="s">
        <v>295</v>
      </c>
      <c r="Z5" s="373">
        <v>45938</v>
      </c>
      <c r="AA5" s="370" t="s">
        <v>291</v>
      </c>
      <c r="AB5" s="327" t="s">
        <v>291</v>
      </c>
      <c r="AC5" s="327" t="s">
        <v>291</v>
      </c>
      <c r="AD5" s="509" t="s">
        <v>963</v>
      </c>
    </row>
    <row r="6" spans="1:30" ht="45" customHeight="1">
      <c r="A6" s="369">
        <v>5</v>
      </c>
      <c r="B6" s="369" t="s">
        <v>5</v>
      </c>
      <c r="C6" s="372">
        <v>45925</v>
      </c>
      <c r="D6" s="372">
        <v>45939</v>
      </c>
      <c r="E6" s="250" t="s">
        <v>160</v>
      </c>
      <c r="F6" s="505" t="s">
        <v>437</v>
      </c>
      <c r="G6" s="502" t="s">
        <v>964</v>
      </c>
      <c r="H6" s="513" t="s">
        <v>897</v>
      </c>
      <c r="I6" s="327" t="s">
        <v>289</v>
      </c>
      <c r="J6" s="181">
        <v>1</v>
      </c>
      <c r="K6" s="327"/>
      <c r="L6" s="327">
        <v>21</v>
      </c>
      <c r="M6" s="372">
        <v>45938</v>
      </c>
      <c r="N6" s="372">
        <v>45939</v>
      </c>
      <c r="O6" s="229"/>
      <c r="P6" s="329"/>
      <c r="Q6" s="370"/>
      <c r="R6" s="250"/>
      <c r="S6" s="58"/>
      <c r="T6" s="231"/>
      <c r="U6" s="372"/>
      <c r="V6" s="373"/>
      <c r="W6" s="327"/>
      <c r="X6" s="370"/>
      <c r="Y6" s="327"/>
      <c r="Z6" s="373"/>
      <c r="AA6" s="370"/>
      <c r="AB6" s="327"/>
      <c r="AC6" s="327"/>
      <c r="AD6" s="388" t="s">
        <v>965</v>
      </c>
    </row>
    <row r="7" spans="1:30" ht="35.25" customHeight="1">
      <c r="A7" s="369">
        <v>6</v>
      </c>
      <c r="B7" s="369" t="s">
        <v>5</v>
      </c>
      <c r="C7" s="372">
        <v>45925</v>
      </c>
      <c r="D7" s="430">
        <v>45939</v>
      </c>
      <c r="E7" s="203" t="s">
        <v>160</v>
      </c>
      <c r="F7" s="58" t="s">
        <v>966</v>
      </c>
      <c r="G7" s="248" t="s">
        <v>967</v>
      </c>
      <c r="H7" s="137" t="s">
        <v>968</v>
      </c>
      <c r="I7" s="327" t="s">
        <v>289</v>
      </c>
      <c r="J7" s="181">
        <v>3</v>
      </c>
      <c r="K7" s="327"/>
      <c r="L7" s="327">
        <v>39</v>
      </c>
      <c r="M7" s="373"/>
      <c r="N7" s="373"/>
      <c r="O7" s="229"/>
      <c r="P7" s="329"/>
      <c r="Q7" s="370"/>
      <c r="R7" s="229"/>
      <c r="T7" s="392"/>
      <c r="U7" s="360"/>
      <c r="V7" s="373"/>
      <c r="W7" s="228"/>
      <c r="X7" s="370"/>
      <c r="Y7" s="327"/>
      <c r="Z7" s="373"/>
      <c r="AA7" s="370"/>
      <c r="AB7" s="327"/>
      <c r="AC7" s="327"/>
      <c r="AD7" s="388"/>
    </row>
    <row r="8" spans="1:30" ht="42.75" customHeight="1">
      <c r="A8" s="369"/>
      <c r="B8" s="369"/>
      <c r="C8" s="372"/>
      <c r="D8" s="430"/>
      <c r="E8" s="514"/>
      <c r="F8" s="482"/>
      <c r="G8" s="431"/>
      <c r="H8" s="187"/>
      <c r="I8" s="506"/>
      <c r="J8" s="228"/>
      <c r="K8" s="369"/>
      <c r="L8" s="327"/>
      <c r="M8" s="373"/>
      <c r="N8" s="373"/>
      <c r="O8" s="229"/>
      <c r="P8" s="329"/>
      <c r="Q8" s="327"/>
      <c r="R8" s="250"/>
      <c r="S8" s="58"/>
      <c r="T8" s="200"/>
      <c r="U8" s="372"/>
      <c r="V8" s="373"/>
      <c r="W8" s="327"/>
      <c r="X8" s="370"/>
      <c r="Y8" s="327"/>
      <c r="Z8" s="373"/>
      <c r="AA8" s="370"/>
      <c r="AB8" s="327"/>
      <c r="AC8" s="327"/>
      <c r="AD8" s="249"/>
    </row>
    <row r="9" spans="1:30" ht="63" customHeight="1">
      <c r="A9" s="369"/>
      <c r="B9" s="369"/>
      <c r="C9" s="372"/>
      <c r="D9" s="430"/>
      <c r="E9" s="229"/>
      <c r="F9" s="229"/>
      <c r="G9" s="431"/>
      <c r="H9" s="268"/>
      <c r="I9" s="369"/>
      <c r="J9" s="181"/>
      <c r="K9" s="327"/>
      <c r="L9" s="374"/>
      <c r="M9" s="512"/>
      <c r="N9" s="372"/>
      <c r="O9" s="229"/>
      <c r="P9" s="329"/>
      <c r="Q9" s="327"/>
      <c r="R9" s="229"/>
      <c r="T9" s="432"/>
      <c r="U9" s="373"/>
      <c r="V9" s="373"/>
      <c r="W9" s="327"/>
      <c r="X9" s="370"/>
      <c r="Y9" s="327"/>
      <c r="Z9" s="373"/>
      <c r="AA9" s="370"/>
      <c r="AB9" s="327"/>
      <c r="AC9" s="327"/>
      <c r="AD9" s="388"/>
    </row>
    <row r="10" spans="1:30">
      <c r="A10" s="369"/>
      <c r="B10" s="369"/>
      <c r="C10" s="372"/>
      <c r="D10" s="430"/>
      <c r="E10" s="203"/>
      <c r="F10" s="203"/>
      <c r="G10" s="247"/>
      <c r="H10" s="321"/>
      <c r="I10" s="327"/>
      <c r="K10" s="327"/>
      <c r="L10" s="327"/>
      <c r="M10" s="476"/>
      <c r="N10" s="373"/>
      <c r="O10" s="229"/>
      <c r="P10" s="329"/>
      <c r="Q10" s="327"/>
      <c r="R10" s="229"/>
      <c r="T10" s="432"/>
      <c r="U10" s="373"/>
      <c r="V10" s="373"/>
      <c r="W10" s="327"/>
      <c r="X10" s="370"/>
      <c r="Y10" s="327"/>
      <c r="Z10" s="373"/>
      <c r="AA10" s="370"/>
      <c r="AB10" s="327"/>
      <c r="AC10" s="327"/>
      <c r="AD10" s="388"/>
    </row>
    <row r="11" spans="1:30">
      <c r="A11" s="369"/>
      <c r="B11" s="369"/>
      <c r="C11" s="372"/>
      <c r="D11" s="372"/>
      <c r="G11" s="229"/>
      <c r="I11" s="327"/>
      <c r="J11" s="181"/>
      <c r="K11" s="327"/>
      <c r="L11" s="327"/>
      <c r="M11" s="327"/>
      <c r="N11" s="327"/>
      <c r="O11" s="229"/>
      <c r="P11" s="329"/>
      <c r="Q11" s="327"/>
      <c r="R11" s="229"/>
      <c r="T11" s="432"/>
      <c r="U11" s="373"/>
      <c r="V11" s="373"/>
      <c r="W11" s="327"/>
      <c r="X11" s="370"/>
      <c r="Y11" s="327"/>
      <c r="Z11" s="373"/>
      <c r="AA11" s="370"/>
      <c r="AB11" s="327"/>
      <c r="AC11" s="327"/>
      <c r="AD11" s="249"/>
    </row>
    <row r="12" spans="1:30">
      <c r="A12" s="369"/>
      <c r="B12" s="369"/>
      <c r="C12" s="372"/>
      <c r="D12" s="372"/>
      <c r="G12" s="229"/>
      <c r="I12" s="327"/>
      <c r="J12" s="181"/>
      <c r="K12" s="327"/>
      <c r="L12" s="327"/>
      <c r="M12" s="327"/>
      <c r="N12" s="327"/>
      <c r="O12" s="229"/>
      <c r="P12" s="329"/>
      <c r="Q12" s="327"/>
      <c r="R12" s="229"/>
      <c r="T12" s="432"/>
      <c r="U12" s="373"/>
      <c r="V12" s="373"/>
      <c r="W12" s="327"/>
      <c r="X12" s="370"/>
      <c r="Y12" s="327"/>
      <c r="Z12" s="373"/>
      <c r="AA12" s="370"/>
      <c r="AB12" s="327"/>
      <c r="AC12" s="327"/>
      <c r="AD12" s="249"/>
    </row>
  </sheetData>
  <hyperlinks>
    <hyperlink ref="T2" r:id="rId1" xr:uid="{399EDC54-F079-4258-A6A2-59FF970E66C5}"/>
    <hyperlink ref="T3" r:id="rId2" xr:uid="{A9C1BE47-36E9-4E24-A15A-C5166BFC90DD}"/>
    <hyperlink ref="T4" r:id="rId3" xr:uid="{67DB315D-0E8A-4369-9C31-85CB7145F9D2}"/>
    <hyperlink ref="T5" r:id="rId4" xr:uid="{4E1AFB99-5D15-4EAC-82F9-251DBDC25544}"/>
  </hyperlinks>
  <pageMargins left="0.7" right="0.7" top="0.75" bottom="0.75" header="0.3" footer="0.3"/>
  <tableParts count="1">
    <tablePart r:id="rId5"/>
  </tableParts>
  <extLst>
    <ext xmlns:x14="http://schemas.microsoft.com/office/spreadsheetml/2009/9/main" uri="{CCE6A557-97BC-4b89-ADB6-D9C93CAAB3DF}">
      <x14:dataValidations xmlns:xm="http://schemas.microsoft.com/office/excel/2006/main" count="1">
        <x14:dataValidation type="list" allowBlank="1" showErrorMessage="1" xr:uid="{093DDC4B-BE77-47A5-AA9A-3ECBCECC9610}">
          <x14:formula1>
            <xm:f>Settings!$C$3:$C$20</xm:f>
          </x14:formula1>
          <xm:sqref>I2:I12</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3AD15-30CF-4932-8765-CDEBCF207CC6}">
  <sheetPr>
    <outlinePr summaryBelow="0" summaryRight="0"/>
  </sheetPr>
  <dimension ref="A1:AB988"/>
  <sheetViews>
    <sheetView topLeftCell="B1" workbookViewId="0">
      <selection activeCell="I4" sqref="I4"/>
    </sheetView>
  </sheetViews>
  <sheetFormatPr defaultColWidth="12.5703125" defaultRowHeight="15" customHeight="1"/>
  <cols>
    <col min="1" max="1" width="12.5703125" hidden="1" customWidth="1"/>
    <col min="2" max="2" width="21.42578125" customWidth="1"/>
    <col min="3" max="3" width="23.5703125" customWidth="1"/>
    <col min="4" max="4" width="14.42578125" customWidth="1"/>
    <col min="5" max="5" width="19.140625" customWidth="1"/>
    <col min="6" max="6" width="37.5703125" customWidth="1"/>
    <col min="7" max="7" width="41.140625" customWidth="1"/>
    <col min="8" max="9" width="18.7109375" customWidth="1"/>
    <col min="10" max="10" width="9.140625" bestFit="1" customWidth="1"/>
    <col min="11" max="11" width="19" customWidth="1"/>
    <col min="12" max="12" width="18" customWidth="1"/>
    <col min="13" max="13" width="41" customWidth="1"/>
    <col min="14" max="14" width="14.140625" style="122" customWidth="1"/>
    <col min="15" max="15" width="29" customWidth="1"/>
  </cols>
  <sheetData>
    <row r="1" spans="1:28" ht="13.5">
      <c r="A1" s="434" t="s">
        <v>254</v>
      </c>
      <c r="B1" s="1" t="s">
        <v>321</v>
      </c>
      <c r="C1" s="198" t="s">
        <v>322</v>
      </c>
      <c r="D1" s="198" t="s">
        <v>323</v>
      </c>
      <c r="E1" s="1" t="s">
        <v>256</v>
      </c>
      <c r="F1" s="198" t="s">
        <v>324</v>
      </c>
      <c r="G1" s="198" t="s">
        <v>325</v>
      </c>
      <c r="H1" s="1" t="s">
        <v>326</v>
      </c>
      <c r="I1" s="1" t="s">
        <v>327</v>
      </c>
      <c r="J1" s="1" t="s">
        <v>328</v>
      </c>
      <c r="K1" s="1" t="s">
        <v>259</v>
      </c>
      <c r="L1" s="156" t="s">
        <v>329</v>
      </c>
      <c r="M1" s="8" t="s">
        <v>280</v>
      </c>
      <c r="N1" s="487" t="s">
        <v>330</v>
      </c>
      <c r="O1" s="487" t="s">
        <v>331</v>
      </c>
      <c r="P1" s="35"/>
      <c r="Q1" s="35"/>
      <c r="R1" s="35"/>
      <c r="S1" s="35"/>
      <c r="T1" s="35"/>
      <c r="U1" s="35"/>
      <c r="V1" s="35"/>
      <c r="W1" s="35"/>
      <c r="X1" s="35"/>
      <c r="Y1" s="35"/>
      <c r="Z1" s="35"/>
      <c r="AA1" s="35"/>
      <c r="AB1" s="35"/>
    </row>
    <row r="2" spans="1:28" ht="56.25" customHeight="1">
      <c r="B2" t="s">
        <v>160</v>
      </c>
      <c r="C2" t="s">
        <v>846</v>
      </c>
      <c r="D2" t="s">
        <v>967</v>
      </c>
      <c r="F2" s="221" t="s">
        <v>380</v>
      </c>
      <c r="G2" s="144" t="s">
        <v>969</v>
      </c>
      <c r="H2" s="126" t="s">
        <v>381</v>
      </c>
      <c r="I2" s="126" t="s">
        <v>382</v>
      </c>
      <c r="J2" s="126" t="s">
        <v>383</v>
      </c>
      <c r="K2" s="126" t="s">
        <v>768</v>
      </c>
      <c r="L2" s="126" t="s">
        <v>385</v>
      </c>
      <c r="M2" s="144" t="s">
        <v>970</v>
      </c>
      <c r="N2" s="122" t="s">
        <v>457</v>
      </c>
      <c r="O2" s="144" t="s">
        <v>971</v>
      </c>
    </row>
    <row r="3" spans="1:28" ht="66.75" customHeight="1">
      <c r="B3" t="s">
        <v>160</v>
      </c>
      <c r="C3" t="s">
        <v>972</v>
      </c>
      <c r="D3" t="s">
        <v>967</v>
      </c>
      <c r="F3" s="221" t="s">
        <v>380</v>
      </c>
      <c r="G3" s="144" t="s">
        <v>973</v>
      </c>
      <c r="H3" s="126" t="s">
        <v>381</v>
      </c>
      <c r="I3" s="126" t="s">
        <v>382</v>
      </c>
      <c r="J3" s="126" t="s">
        <v>383</v>
      </c>
      <c r="K3" s="126" t="s">
        <v>768</v>
      </c>
      <c r="L3" s="126" t="s">
        <v>385</v>
      </c>
      <c r="M3" s="144" t="s">
        <v>970</v>
      </c>
      <c r="N3" s="122" t="s">
        <v>457</v>
      </c>
      <c r="O3" s="144" t="s">
        <v>974</v>
      </c>
    </row>
    <row r="4" spans="1:28" ht="15.75" customHeight="1"/>
    <row r="5" spans="1:28" ht="15.75" customHeight="1"/>
    <row r="6" spans="1:28" ht="15.75" customHeight="1">
      <c r="K6" s="144"/>
    </row>
    <row r="7" spans="1:28" ht="15.75" customHeight="1"/>
    <row r="8" spans="1:28" ht="15.75" customHeight="1"/>
    <row r="9" spans="1:28" ht="15.75" customHeight="1"/>
    <row r="10" spans="1:28" ht="15.75" customHeight="1"/>
    <row r="11" spans="1:28" ht="15.75" customHeight="1"/>
    <row r="12" spans="1:28" ht="15.75" customHeight="1"/>
    <row r="13" spans="1:28" ht="15.75" customHeight="1"/>
    <row r="14" spans="1:28" ht="15.75" customHeight="1"/>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sheetData>
  <autoFilter ref="A1:M1" xr:uid="{3A2BB050-11AC-4ED7-A296-96B42C7FCFBA}"/>
  <dataValidations count="5">
    <dataValidation type="list" allowBlank="1" showErrorMessage="1" sqref="J2:J3" xr:uid="{4BC5A255-A8B8-45EF-8E1D-C699D29B2E2E}">
      <formula1>"Internal,External"</formula1>
    </dataValidation>
    <dataValidation type="list" allowBlank="1" showErrorMessage="1" sqref="H2:H3" xr:uid="{99A4C170-6456-49CB-9C0E-743C9C750935}">
      <formula1>"Minor,Significant,Major"</formula1>
    </dataValidation>
    <dataValidation type="list" allowBlank="1" showErrorMessage="1" sqref="I2:I3" xr:uid="{D59ACD27-2141-4FE8-B362-752BA0E2E7D2}">
      <formula1>"Manual, Automation"</formula1>
    </dataValidation>
    <dataValidation type="list" allowBlank="1" showErrorMessage="1" sqref="K2:K3" xr:uid="{4AA9FB61-12E8-48B0-B2A9-6766320DEAC0}">
      <formula1>"Open,Inprogress,Closed"</formula1>
    </dataValidation>
    <dataValidation type="list" allowBlank="1" showErrorMessage="1" sqref="F2:F3" xr:uid="{1AAD44A5-CCCB-4FA9-B300-AA089843B487}">
      <formula1>"Bounceback,Defect,None"</formula1>
    </dataValidation>
  </dataValidations>
  <pageMargins left="0" right="0" top="0" bottom="0" header="0" footer="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D32EC-B66F-4B67-ACF2-B467DE20DC98}">
  <dimension ref="A1:AD12"/>
  <sheetViews>
    <sheetView workbookViewId="0">
      <pane xSplit="7" ySplit="1" topLeftCell="H3" activePane="bottomRight" state="frozen"/>
      <selection pane="bottomRight" activeCell="G3" sqref="G3"/>
      <selection pane="bottomLeft"/>
      <selection pane="topRight"/>
    </sheetView>
  </sheetViews>
  <sheetFormatPr defaultRowHeight="12.75"/>
  <cols>
    <col min="2" max="2" width="13.28515625" customWidth="1"/>
    <col min="3" max="3" width="10.85546875" customWidth="1"/>
    <col min="4" max="4" width="12.140625" customWidth="1"/>
    <col min="5" max="5" width="40.7109375" customWidth="1"/>
    <col min="6" max="6" width="29.7109375" customWidth="1"/>
    <col min="7" max="7" width="18.85546875" customWidth="1"/>
    <col min="8" max="8" width="50.28515625" style="137" customWidth="1"/>
    <col min="9" max="9" width="16.85546875" customWidth="1"/>
    <col min="10" max="11" width="11.42578125" bestFit="1" customWidth="1"/>
    <col min="12" max="14" width="11.42578125" customWidth="1"/>
    <col min="15" max="15" width="13.140625" customWidth="1"/>
    <col min="16" max="16" width="13.42578125" style="144" customWidth="1"/>
    <col min="17" max="17" width="29.140625" customWidth="1"/>
    <col min="18" max="18" width="16.42578125" customWidth="1"/>
    <col min="19" max="19" width="14.85546875" customWidth="1"/>
    <col min="20" max="20" width="24.42578125" style="144" customWidth="1"/>
    <col min="21" max="22" width="12.7109375" bestFit="1" customWidth="1"/>
    <col min="23" max="23" width="11.42578125" bestFit="1" customWidth="1"/>
    <col min="24" max="24" width="32.140625" style="144" customWidth="1"/>
    <col min="25" max="25" width="11.42578125" bestFit="1" customWidth="1"/>
    <col min="26" max="26" width="12.7109375" bestFit="1" customWidth="1"/>
    <col min="27" max="29" width="11.42578125" bestFit="1" customWidth="1"/>
    <col min="30" max="30" width="27.42578125" customWidth="1"/>
  </cols>
  <sheetData>
    <row r="1" spans="1:30" ht="46.5">
      <c r="A1" s="379" t="s">
        <v>254</v>
      </c>
      <c r="B1" s="404" t="s">
        <v>4</v>
      </c>
      <c r="C1" s="404" t="s">
        <v>2</v>
      </c>
      <c r="D1" s="404" t="s">
        <v>3</v>
      </c>
      <c r="E1" s="380" t="s">
        <v>255</v>
      </c>
      <c r="F1" s="381" t="s">
        <v>256</v>
      </c>
      <c r="G1" s="382" t="s">
        <v>257</v>
      </c>
      <c r="H1" s="383" t="s">
        <v>258</v>
      </c>
      <c r="I1" s="383" t="s">
        <v>259</v>
      </c>
      <c r="J1" s="384" t="s">
        <v>260</v>
      </c>
      <c r="K1" s="384" t="s">
        <v>261</v>
      </c>
      <c r="L1" s="384" t="s">
        <v>262</v>
      </c>
      <c r="M1" s="384" t="s">
        <v>263</v>
      </c>
      <c r="N1" s="384" t="s">
        <v>264</v>
      </c>
      <c r="O1" s="385" t="s">
        <v>265</v>
      </c>
      <c r="P1" s="385" t="s">
        <v>266</v>
      </c>
      <c r="Q1" s="385" t="s">
        <v>267</v>
      </c>
      <c r="R1" s="385" t="s">
        <v>268</v>
      </c>
      <c r="S1" s="385" t="s">
        <v>269</v>
      </c>
      <c r="T1" s="385" t="s">
        <v>270</v>
      </c>
      <c r="U1" s="385" t="s">
        <v>271</v>
      </c>
      <c r="V1" s="385" t="s">
        <v>272</v>
      </c>
      <c r="W1" s="385" t="s">
        <v>273</v>
      </c>
      <c r="X1" s="385" t="s">
        <v>274</v>
      </c>
      <c r="Y1" s="385" t="s">
        <v>275</v>
      </c>
      <c r="Z1" s="385" t="s">
        <v>276</v>
      </c>
      <c r="AA1" s="385" t="s">
        <v>277</v>
      </c>
      <c r="AB1" s="385" t="s">
        <v>278</v>
      </c>
      <c r="AC1" s="385" t="s">
        <v>279</v>
      </c>
      <c r="AD1" s="386" t="s">
        <v>280</v>
      </c>
    </row>
    <row r="2" spans="1:30" s="256" customFormat="1" ht="128.25" customHeight="1">
      <c r="A2" s="369">
        <v>1</v>
      </c>
      <c r="B2" s="369" t="s">
        <v>5</v>
      </c>
      <c r="C2" s="372">
        <v>45911</v>
      </c>
      <c r="D2" s="372">
        <v>45925</v>
      </c>
      <c r="E2" s="256" t="s">
        <v>156</v>
      </c>
      <c r="F2" s="62" t="s">
        <v>298</v>
      </c>
      <c r="G2" s="431" t="s">
        <v>975</v>
      </c>
      <c r="H2" s="203" t="s">
        <v>976</v>
      </c>
      <c r="I2" s="506" t="s">
        <v>289</v>
      </c>
      <c r="J2" s="228">
        <v>2</v>
      </c>
      <c r="K2" s="369"/>
      <c r="L2" s="327">
        <v>60.75</v>
      </c>
      <c r="M2" s="372">
        <v>45912</v>
      </c>
      <c r="N2" s="372">
        <v>45918</v>
      </c>
      <c r="O2" s="229" t="s">
        <v>290</v>
      </c>
      <c r="P2" s="329" t="s">
        <v>457</v>
      </c>
      <c r="Q2" s="370" t="s">
        <v>977</v>
      </c>
      <c r="R2" s="250" t="s">
        <v>292</v>
      </c>
      <c r="S2" s="58" t="s">
        <v>291</v>
      </c>
      <c r="T2" s="432" t="s">
        <v>978</v>
      </c>
      <c r="U2" s="373">
        <v>45918</v>
      </c>
      <c r="V2" s="373">
        <v>45922</v>
      </c>
      <c r="W2" s="327" t="s">
        <v>426</v>
      </c>
      <c r="X2" s="370" t="s">
        <v>291</v>
      </c>
      <c r="Y2" s="327" t="s">
        <v>295</v>
      </c>
      <c r="Z2" s="373">
        <v>45922</v>
      </c>
      <c r="AA2" s="370" t="s">
        <v>979</v>
      </c>
      <c r="AB2" s="327" t="s">
        <v>291</v>
      </c>
      <c r="AC2" s="327" t="s">
        <v>291</v>
      </c>
      <c r="AD2" s="388" t="s">
        <v>980</v>
      </c>
    </row>
    <row r="3" spans="1:30" ht="117" customHeight="1">
      <c r="A3" s="369">
        <v>2</v>
      </c>
      <c r="B3" s="369" t="s">
        <v>5</v>
      </c>
      <c r="C3" s="372">
        <v>45911</v>
      </c>
      <c r="D3" s="430">
        <v>45925</v>
      </c>
      <c r="E3" s="250" t="s">
        <v>156</v>
      </c>
      <c r="F3" s="203" t="s">
        <v>298</v>
      </c>
      <c r="G3" s="247" t="s">
        <v>981</v>
      </c>
      <c r="H3" s="321" t="s">
        <v>982</v>
      </c>
      <c r="I3" s="374" t="s">
        <v>289</v>
      </c>
      <c r="J3" s="228">
        <v>3</v>
      </c>
      <c r="K3" s="369"/>
      <c r="L3" s="327">
        <v>31</v>
      </c>
      <c r="M3" s="511">
        <v>45918</v>
      </c>
      <c r="N3" s="511">
        <v>45922</v>
      </c>
      <c r="O3" s="229" t="s">
        <v>290</v>
      </c>
      <c r="P3" s="329" t="s">
        <v>457</v>
      </c>
      <c r="Q3" s="370" t="s">
        <v>983</v>
      </c>
      <c r="R3" s="250" t="s">
        <v>292</v>
      </c>
      <c r="S3" s="473" t="s">
        <v>291</v>
      </c>
      <c r="T3" s="200" t="s">
        <v>984</v>
      </c>
      <c r="U3" s="372">
        <v>45922</v>
      </c>
      <c r="V3" s="373">
        <v>45923</v>
      </c>
      <c r="W3" s="327" t="s">
        <v>426</v>
      </c>
      <c r="X3" s="370" t="s">
        <v>291</v>
      </c>
      <c r="Y3" s="327" t="s">
        <v>295</v>
      </c>
      <c r="Z3" s="373">
        <v>45923</v>
      </c>
      <c r="AA3" s="370" t="s">
        <v>291</v>
      </c>
      <c r="AB3" s="327" t="s">
        <v>291</v>
      </c>
      <c r="AC3" s="327" t="s">
        <v>291</v>
      </c>
      <c r="AD3" s="509" t="s">
        <v>985</v>
      </c>
    </row>
    <row r="4" spans="1:30" ht="66" customHeight="1">
      <c r="A4" s="369">
        <v>3</v>
      </c>
      <c r="B4" s="369" t="s">
        <v>5</v>
      </c>
      <c r="C4" s="372">
        <v>45911</v>
      </c>
      <c r="D4" s="430">
        <v>45925</v>
      </c>
      <c r="E4" s="203" t="s">
        <v>156</v>
      </c>
      <c r="F4" s="137" t="s">
        <v>292</v>
      </c>
      <c r="G4" s="250" t="s">
        <v>986</v>
      </c>
      <c r="H4" s="490" t="s">
        <v>956</v>
      </c>
      <c r="I4" s="228" t="s">
        <v>289</v>
      </c>
      <c r="J4" s="181">
        <v>3</v>
      </c>
      <c r="K4" s="327"/>
      <c r="L4" s="327">
        <v>30.25</v>
      </c>
      <c r="M4" s="372">
        <v>45912</v>
      </c>
      <c r="N4" s="372">
        <v>45918</v>
      </c>
      <c r="O4" s="229" t="s">
        <v>290</v>
      </c>
      <c r="P4" s="329" t="s">
        <v>457</v>
      </c>
      <c r="Q4" s="370"/>
      <c r="R4" s="250" t="s">
        <v>298</v>
      </c>
      <c r="S4" s="216" t="s">
        <v>291</v>
      </c>
      <c r="T4" s="200" t="s">
        <v>987</v>
      </c>
      <c r="U4" s="372">
        <v>45918</v>
      </c>
      <c r="V4" s="373">
        <v>45923</v>
      </c>
      <c r="W4" s="327" t="s">
        <v>426</v>
      </c>
      <c r="X4" s="370" t="s">
        <v>291</v>
      </c>
      <c r="Y4" s="327" t="s">
        <v>295</v>
      </c>
      <c r="Z4" s="373">
        <v>45923</v>
      </c>
      <c r="AA4" s="370" t="s">
        <v>291</v>
      </c>
      <c r="AB4" s="327" t="s">
        <v>291</v>
      </c>
      <c r="AC4" s="327" t="s">
        <v>291</v>
      </c>
      <c r="AD4" s="388" t="s">
        <v>980</v>
      </c>
    </row>
    <row r="5" spans="1:30" ht="72.75" customHeight="1">
      <c r="A5" s="369">
        <v>4</v>
      </c>
      <c r="B5" s="369" t="s">
        <v>5</v>
      </c>
      <c r="C5" s="372">
        <v>45911</v>
      </c>
      <c r="D5" s="430">
        <v>45925</v>
      </c>
      <c r="E5" s="250" t="s">
        <v>156</v>
      </c>
      <c r="F5" s="203" t="s">
        <v>437</v>
      </c>
      <c r="G5" s="431" t="s">
        <v>988</v>
      </c>
      <c r="H5" s="203" t="s">
        <v>897</v>
      </c>
      <c r="I5" s="181" t="s">
        <v>289</v>
      </c>
      <c r="J5" s="228">
        <v>1</v>
      </c>
      <c r="K5" s="369"/>
      <c r="L5" s="327">
        <v>12</v>
      </c>
      <c r="M5" s="372">
        <v>45925</v>
      </c>
      <c r="N5" s="372"/>
      <c r="O5" s="229"/>
      <c r="P5" s="329"/>
      <c r="Q5" s="370"/>
      <c r="R5" s="250"/>
      <c r="S5" s="218"/>
      <c r="T5" s="271"/>
      <c r="U5" s="372"/>
      <c r="V5" s="373"/>
      <c r="W5" s="327"/>
      <c r="X5" s="370"/>
      <c r="Y5" s="327"/>
      <c r="Z5" s="373"/>
      <c r="AA5" s="370"/>
      <c r="AB5" s="327"/>
      <c r="AC5" s="327"/>
      <c r="AD5" s="509" t="s">
        <v>989</v>
      </c>
    </row>
    <row r="6" spans="1:30" ht="45" customHeight="1">
      <c r="A6" s="369">
        <v>5</v>
      </c>
      <c r="B6" s="369" t="s">
        <v>5</v>
      </c>
      <c r="C6" s="372">
        <v>45911</v>
      </c>
      <c r="D6" s="372">
        <v>45925</v>
      </c>
      <c r="E6" s="250" t="s">
        <v>990</v>
      </c>
      <c r="F6" s="505" t="s">
        <v>298</v>
      </c>
      <c r="G6" s="502" t="s">
        <v>991</v>
      </c>
      <c r="H6" s="513" t="s">
        <v>992</v>
      </c>
      <c r="I6" s="327" t="s">
        <v>289</v>
      </c>
      <c r="J6" s="181">
        <v>3</v>
      </c>
      <c r="K6" s="327"/>
      <c r="L6" s="327">
        <v>43.25</v>
      </c>
      <c r="M6" s="372">
        <v>45919</v>
      </c>
      <c r="N6" s="372">
        <v>45924</v>
      </c>
      <c r="O6" s="229" t="s">
        <v>290</v>
      </c>
      <c r="P6" s="329" t="s">
        <v>457</v>
      </c>
      <c r="Q6" s="370" t="s">
        <v>993</v>
      </c>
      <c r="R6" s="250" t="s">
        <v>292</v>
      </c>
      <c r="S6" s="58" t="s">
        <v>291</v>
      </c>
      <c r="T6" s="231" t="s">
        <v>994</v>
      </c>
      <c r="U6" s="372">
        <v>45924</v>
      </c>
      <c r="V6" s="373">
        <v>45925</v>
      </c>
      <c r="W6" s="327" t="s">
        <v>426</v>
      </c>
      <c r="X6" s="370" t="s">
        <v>995</v>
      </c>
      <c r="Y6" s="327" t="s">
        <v>295</v>
      </c>
      <c r="Z6" s="373">
        <v>45925</v>
      </c>
      <c r="AA6" s="370" t="s">
        <v>291</v>
      </c>
      <c r="AB6" s="327" t="s">
        <v>291</v>
      </c>
      <c r="AC6" s="327" t="s">
        <v>291</v>
      </c>
      <c r="AD6" s="388" t="s">
        <v>996</v>
      </c>
    </row>
    <row r="7" spans="1:30" ht="35.25" customHeight="1">
      <c r="A7" s="369">
        <v>6</v>
      </c>
      <c r="B7" s="369" t="s">
        <v>5</v>
      </c>
      <c r="C7" s="372">
        <v>45911</v>
      </c>
      <c r="D7" s="372">
        <v>45925</v>
      </c>
      <c r="E7" s="250" t="s">
        <v>990</v>
      </c>
      <c r="F7" t="s">
        <v>292</v>
      </c>
      <c r="G7" s="203" t="s">
        <v>997</v>
      </c>
      <c r="H7" s="137" t="s">
        <v>998</v>
      </c>
      <c r="I7" s="327" t="s">
        <v>289</v>
      </c>
      <c r="J7" s="181">
        <v>5</v>
      </c>
      <c r="K7" s="327"/>
      <c r="L7" s="327">
        <v>42.75</v>
      </c>
      <c r="M7" s="373">
        <v>45919</v>
      </c>
      <c r="N7" s="373">
        <v>45924</v>
      </c>
      <c r="O7" s="229" t="s">
        <v>290</v>
      </c>
      <c r="P7" s="329" t="s">
        <v>457</v>
      </c>
      <c r="Q7" s="370" t="s">
        <v>999</v>
      </c>
      <c r="R7" s="229" t="s">
        <v>298</v>
      </c>
      <c r="S7" t="s">
        <v>291</v>
      </c>
      <c r="T7" s="392" t="s">
        <v>1000</v>
      </c>
      <c r="U7" s="360">
        <v>45924</v>
      </c>
      <c r="V7" s="373">
        <v>45925</v>
      </c>
      <c r="W7" s="228" t="s">
        <v>426</v>
      </c>
      <c r="X7" s="370" t="s">
        <v>291</v>
      </c>
      <c r="Y7" s="327" t="s">
        <v>295</v>
      </c>
      <c r="Z7" s="373">
        <v>45925</v>
      </c>
      <c r="AA7" s="370" t="s">
        <v>291</v>
      </c>
      <c r="AB7" s="327" t="s">
        <v>291</v>
      </c>
      <c r="AC7" s="327" t="s">
        <v>291</v>
      </c>
      <c r="AD7" s="388" t="s">
        <v>1001</v>
      </c>
    </row>
    <row r="8" spans="1:30" ht="42.75" customHeight="1">
      <c r="A8" s="369"/>
      <c r="B8" s="369"/>
      <c r="C8" s="372"/>
      <c r="D8" s="430"/>
      <c r="E8" s="490"/>
      <c r="F8" s="305"/>
      <c r="G8" s="431"/>
      <c r="H8" s="187"/>
      <c r="I8" s="506"/>
      <c r="J8" s="228"/>
      <c r="K8" s="369"/>
      <c r="L8" s="327"/>
      <c r="M8" s="373"/>
      <c r="N8" s="373"/>
      <c r="O8" s="229"/>
      <c r="P8" s="329"/>
      <c r="Q8" s="327"/>
      <c r="R8" s="250"/>
      <c r="S8" s="58"/>
      <c r="T8" s="200"/>
      <c r="U8" s="372"/>
      <c r="V8" s="373"/>
      <c r="W8" s="327"/>
      <c r="X8" s="370"/>
      <c r="Y8" s="327"/>
      <c r="Z8" s="373"/>
      <c r="AA8" s="370"/>
      <c r="AB8" s="327"/>
      <c r="AC8" s="327"/>
      <c r="AD8" s="249"/>
    </row>
    <row r="9" spans="1:30" ht="63" customHeight="1">
      <c r="A9" s="369"/>
      <c r="B9" s="369"/>
      <c r="C9" s="372"/>
      <c r="D9" s="430"/>
      <c r="E9" s="229"/>
      <c r="F9" s="229"/>
      <c r="G9" s="431"/>
      <c r="H9" s="268"/>
      <c r="I9" s="369"/>
      <c r="J9" s="181"/>
      <c r="K9" s="327"/>
      <c r="L9" s="374"/>
      <c r="M9" s="512"/>
      <c r="N9" s="372"/>
      <c r="O9" s="229"/>
      <c r="P9" s="329"/>
      <c r="Q9" s="327"/>
      <c r="R9" s="229"/>
      <c r="T9" s="432"/>
      <c r="U9" s="373"/>
      <c r="V9" s="373"/>
      <c r="W9" s="327"/>
      <c r="X9" s="370"/>
      <c r="Y9" s="327"/>
      <c r="Z9" s="373"/>
      <c r="AA9" s="370"/>
      <c r="AB9" s="327"/>
      <c r="AC9" s="327"/>
      <c r="AD9" s="388"/>
    </row>
    <row r="10" spans="1:30">
      <c r="A10" s="369"/>
      <c r="B10" s="369"/>
      <c r="C10" s="372"/>
      <c r="D10" s="430"/>
      <c r="E10" s="203"/>
      <c r="F10" s="203"/>
      <c r="G10" s="247"/>
      <c r="H10" s="321"/>
      <c r="I10" s="327"/>
      <c r="K10" s="327"/>
      <c r="L10" s="327"/>
      <c r="M10" s="476"/>
      <c r="N10" s="373"/>
      <c r="O10" s="229"/>
      <c r="P10" s="329"/>
      <c r="Q10" s="327"/>
      <c r="R10" s="229"/>
      <c r="T10" s="432"/>
      <c r="U10" s="373"/>
      <c r="V10" s="373"/>
      <c r="W10" s="327"/>
      <c r="X10" s="370"/>
      <c r="Y10" s="327"/>
      <c r="Z10" s="373"/>
      <c r="AA10" s="370"/>
      <c r="AB10" s="327"/>
      <c r="AC10" s="327"/>
      <c r="AD10" s="388"/>
    </row>
    <row r="11" spans="1:30">
      <c r="A11" s="369"/>
      <c r="B11" s="369"/>
      <c r="C11" s="372"/>
      <c r="D11" s="372"/>
      <c r="G11" s="229"/>
      <c r="I11" s="327"/>
      <c r="J11" s="181"/>
      <c r="K11" s="327"/>
      <c r="L11" s="327"/>
      <c r="M11" s="327"/>
      <c r="N11" s="327"/>
      <c r="O11" s="229"/>
      <c r="P11" s="329"/>
      <c r="Q11" s="327"/>
      <c r="R11" s="229"/>
      <c r="T11" s="432"/>
      <c r="U11" s="373"/>
      <c r="V11" s="373"/>
      <c r="W11" s="327"/>
      <c r="X11" s="370"/>
      <c r="Y11" s="327"/>
      <c r="Z11" s="373"/>
      <c r="AA11" s="370"/>
      <c r="AB11" s="327"/>
      <c r="AC11" s="327"/>
      <c r="AD11" s="249"/>
    </row>
    <row r="12" spans="1:30">
      <c r="A12" s="369"/>
      <c r="B12" s="369"/>
      <c r="C12" s="372"/>
      <c r="D12" s="372"/>
      <c r="G12" s="229"/>
      <c r="I12" s="327"/>
      <c r="J12" s="181"/>
      <c r="K12" s="327"/>
      <c r="L12" s="327"/>
      <c r="M12" s="327"/>
      <c r="N12" s="327"/>
      <c r="O12" s="229"/>
      <c r="P12" s="329"/>
      <c r="Q12" s="327"/>
      <c r="R12" s="229"/>
      <c r="T12" s="432"/>
      <c r="U12" s="373"/>
      <c r="V12" s="373"/>
      <c r="W12" s="327"/>
      <c r="X12" s="370"/>
      <c r="Y12" s="327"/>
      <c r="Z12" s="373"/>
      <c r="AA12" s="370"/>
      <c r="AB12" s="327"/>
      <c r="AC12" s="327"/>
      <c r="AD12" s="249"/>
    </row>
  </sheetData>
  <hyperlinks>
    <hyperlink ref="T2" r:id="rId1" xr:uid="{CD9C397A-B4A5-446B-9B19-8B7392F7A796}"/>
    <hyperlink ref="T4" r:id="rId2" xr:uid="{01073F35-492D-40A6-9A37-8B69BB437AF1}"/>
    <hyperlink ref="T3" r:id="rId3" xr:uid="{17F8710B-4D10-4C2B-A527-87124C620FF9}"/>
    <hyperlink ref="T6" r:id="rId4" xr:uid="{D6B6FCEC-2C1C-4BA5-967B-CCCB072712A0}"/>
    <hyperlink ref="T7" r:id="rId5" xr:uid="{5717C4A7-D37A-46CE-B6EA-7F293C6B4588}"/>
  </hyperlinks>
  <pageMargins left="0.7" right="0.7" top="0.75" bottom="0.75" header="0.3" footer="0.3"/>
  <tableParts count="1">
    <tablePart r:id="rId6"/>
  </tableParts>
  <extLst>
    <ext xmlns:x14="http://schemas.microsoft.com/office/spreadsheetml/2009/9/main" uri="{CCE6A557-97BC-4b89-ADB6-D9C93CAAB3DF}">
      <x14:dataValidations xmlns:xm="http://schemas.microsoft.com/office/excel/2006/main" count="1">
        <x14:dataValidation type="list" allowBlank="1" showErrorMessage="1" xr:uid="{7A41D103-87D3-43BB-B657-A4FACC845388}">
          <x14:formula1>
            <xm:f>Settings!$C$3:$C$20</xm:f>
          </x14:formula1>
          <xm:sqref>I2:I12</xm:sqref>
        </x14:dataValidation>
      </x14:dataValidation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68BE9-7B22-42F9-BD4E-63B20562F1D1}">
  <sheetPr>
    <outlinePr summaryBelow="0" summaryRight="0"/>
  </sheetPr>
  <dimension ref="A1:AB988"/>
  <sheetViews>
    <sheetView topLeftCell="C1" workbookViewId="0">
      <selection activeCell="L1" sqref="L1:L1048576"/>
    </sheetView>
  </sheetViews>
  <sheetFormatPr defaultColWidth="12.5703125" defaultRowHeight="15" customHeight="1"/>
  <cols>
    <col min="1" max="1" width="12.5703125" hidden="1" customWidth="1"/>
    <col min="2" max="2" width="21.42578125" customWidth="1"/>
    <col min="3" max="3" width="23.5703125" customWidth="1"/>
    <col min="4" max="4" width="14.42578125" customWidth="1"/>
    <col min="5" max="5" width="19.140625" customWidth="1"/>
    <col min="6" max="6" width="37.5703125" customWidth="1"/>
    <col min="7" max="7" width="41.140625" customWidth="1"/>
    <col min="8" max="9" width="18.7109375" customWidth="1"/>
    <col min="10" max="10" width="9.140625" bestFit="1" customWidth="1"/>
    <col min="11" max="11" width="19" customWidth="1"/>
    <col min="12" max="12" width="18" customWidth="1"/>
    <col min="13" max="13" width="41" customWidth="1"/>
    <col min="14" max="14" width="14.140625" style="122" customWidth="1"/>
    <col min="15" max="15" width="29" customWidth="1"/>
  </cols>
  <sheetData>
    <row r="1" spans="1:28" ht="13.5">
      <c r="A1" s="434" t="s">
        <v>254</v>
      </c>
      <c r="B1" s="1" t="s">
        <v>321</v>
      </c>
      <c r="C1" s="198" t="s">
        <v>322</v>
      </c>
      <c r="D1" s="198" t="s">
        <v>323</v>
      </c>
      <c r="E1" s="1" t="s">
        <v>256</v>
      </c>
      <c r="F1" s="198" t="s">
        <v>324</v>
      </c>
      <c r="G1" s="198" t="s">
        <v>325</v>
      </c>
      <c r="H1" s="1" t="s">
        <v>326</v>
      </c>
      <c r="I1" s="1" t="s">
        <v>327</v>
      </c>
      <c r="J1" s="1" t="s">
        <v>328</v>
      </c>
      <c r="K1" s="1" t="s">
        <v>259</v>
      </c>
      <c r="L1" s="156" t="s">
        <v>329</v>
      </c>
      <c r="M1" s="8" t="s">
        <v>280</v>
      </c>
      <c r="N1" s="487" t="s">
        <v>330</v>
      </c>
      <c r="O1" s="487" t="s">
        <v>331</v>
      </c>
      <c r="P1" s="35"/>
      <c r="Q1" s="35"/>
      <c r="R1" s="35"/>
      <c r="S1" s="35"/>
      <c r="T1" s="35"/>
      <c r="U1" s="35"/>
      <c r="V1" s="35"/>
      <c r="W1" s="35"/>
      <c r="X1" s="35"/>
      <c r="Y1" s="35"/>
      <c r="Z1" s="35"/>
      <c r="AA1" s="35"/>
      <c r="AB1" s="35"/>
    </row>
    <row r="2" spans="1:28" ht="56.25" customHeight="1">
      <c r="B2" s="126"/>
      <c r="C2" s="481"/>
      <c r="D2" s="481"/>
      <c r="E2" s="126"/>
      <c r="F2" s="221"/>
      <c r="G2" s="305"/>
      <c r="H2" s="126"/>
      <c r="I2" s="126"/>
      <c r="J2" s="126"/>
      <c r="K2" s="126"/>
      <c r="L2" s="126"/>
      <c r="M2" s="333"/>
      <c r="N2" s="91"/>
      <c r="O2" s="216"/>
    </row>
    <row r="3" spans="1:28" ht="66.75" customHeight="1">
      <c r="B3" s="126"/>
      <c r="C3" s="481"/>
      <c r="D3" s="481"/>
      <c r="E3" s="126"/>
      <c r="F3" s="221"/>
      <c r="G3" s="305"/>
      <c r="H3" s="126"/>
      <c r="I3" s="126"/>
      <c r="J3" s="126"/>
      <c r="K3" s="126"/>
      <c r="L3" s="126"/>
      <c r="M3" s="333"/>
      <c r="O3" s="144"/>
    </row>
    <row r="4" spans="1:28" ht="15.75" customHeight="1"/>
    <row r="5" spans="1:28" ht="15.75" customHeight="1"/>
    <row r="6" spans="1:28" ht="15.75" customHeight="1">
      <c r="K6" s="144"/>
    </row>
    <row r="7" spans="1:28" ht="15.75" customHeight="1"/>
    <row r="8" spans="1:28" ht="15.75" customHeight="1"/>
    <row r="9" spans="1:28" ht="15.75" customHeight="1"/>
    <row r="10" spans="1:28" ht="15.75" customHeight="1"/>
    <row r="11" spans="1:28" ht="15.75" customHeight="1"/>
    <row r="12" spans="1:28" ht="15.75" customHeight="1"/>
    <row r="13" spans="1:28" ht="15.75" customHeight="1"/>
    <row r="14" spans="1:28" ht="15.75" customHeight="1"/>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sheetData>
  <autoFilter ref="A1:M1" xr:uid="{3A2BB050-11AC-4ED7-A296-96B42C7FCFBA}"/>
  <dataValidations count="5">
    <dataValidation type="list" allowBlank="1" showErrorMessage="1" sqref="F2:F3" xr:uid="{7DC6507E-6E3B-4397-BCC2-1E318E4DC19F}">
      <formula1>"Bounceback,Defect,None"</formula1>
    </dataValidation>
    <dataValidation type="list" allowBlank="1" showErrorMessage="1" sqref="K2:K3" xr:uid="{79F4129C-A13E-4FE7-9573-BF8551BC3BB2}">
      <formula1>"Open,Inprogress,Closed"</formula1>
    </dataValidation>
    <dataValidation type="list" allowBlank="1" showErrorMessage="1" sqref="I2:I3" xr:uid="{EC1AE3BF-5D7D-4AEF-BF19-E110E54EF7E7}">
      <formula1>"Manual, Automation"</formula1>
    </dataValidation>
    <dataValidation type="list" allowBlank="1" showErrorMessage="1" sqref="H2:H3" xr:uid="{D24FDA6B-13F1-4991-B330-5754D8394B50}">
      <formula1>"Minor,Significant,Major"</formula1>
    </dataValidation>
    <dataValidation type="list" allowBlank="1" showErrorMessage="1" sqref="J2:J3" xr:uid="{C7288207-2E95-4E07-9B44-827CA9B19E02}">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C2A95292-49B5-4C1D-87DD-D897B2B11976}">
          <x14:formula1>
            <xm:f>Details!$A$2:$A$10</xm:f>
          </x14:formula1>
          <xm:sqref>L2:L3</xm:sqref>
        </x14:dataValidation>
      </x14:dataValidations>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066F1-9C1F-401A-B304-2B57B392C187}">
  <dimension ref="A1:AD12"/>
  <sheetViews>
    <sheetView workbookViewId="0">
      <pane xSplit="7" ySplit="1" topLeftCell="P2" activePane="bottomRight" state="frozen"/>
      <selection pane="bottomRight" activeCell="Q2" sqref="Q2"/>
      <selection pane="bottomLeft"/>
      <selection pane="topRight"/>
    </sheetView>
  </sheetViews>
  <sheetFormatPr defaultRowHeight="12.75"/>
  <cols>
    <col min="2" max="2" width="13.28515625" customWidth="1"/>
    <col min="3" max="3" width="10.85546875" customWidth="1"/>
    <col min="4" max="4" width="12.140625" customWidth="1"/>
    <col min="5" max="5" width="40.7109375" customWidth="1"/>
    <col min="6" max="6" width="29.7109375" customWidth="1"/>
    <col min="7" max="7" width="18.85546875" customWidth="1"/>
    <col min="8" max="8" width="50.28515625" style="137" customWidth="1"/>
    <col min="9" max="9" width="16.85546875" customWidth="1"/>
    <col min="10" max="11" width="11.42578125" bestFit="1" customWidth="1"/>
    <col min="12" max="14" width="11.42578125" customWidth="1"/>
    <col min="15" max="15" width="13.140625" customWidth="1"/>
    <col min="16" max="16" width="13.42578125" style="144" customWidth="1"/>
    <col min="17" max="17" width="29.140625" customWidth="1"/>
    <col min="18" max="18" width="16.42578125" customWidth="1"/>
    <col min="19" max="19" width="14.85546875" customWidth="1"/>
    <col min="20" max="20" width="24.42578125" style="144" customWidth="1"/>
    <col min="21" max="22" width="12.7109375" bestFit="1" customWidth="1"/>
    <col min="23" max="23" width="11.42578125" bestFit="1" customWidth="1"/>
    <col min="24" max="24" width="32.140625" style="144" customWidth="1"/>
    <col min="25" max="25" width="11.42578125" bestFit="1" customWidth="1"/>
    <col min="26" max="26" width="12.7109375" bestFit="1" customWidth="1"/>
    <col min="27" max="29" width="11.42578125" bestFit="1" customWidth="1"/>
    <col min="30" max="30" width="27.42578125" customWidth="1"/>
  </cols>
  <sheetData>
    <row r="1" spans="1:30" ht="46.5">
      <c r="A1" s="379" t="s">
        <v>254</v>
      </c>
      <c r="B1" s="404" t="s">
        <v>4</v>
      </c>
      <c r="C1" s="404" t="s">
        <v>2</v>
      </c>
      <c r="D1" s="404" t="s">
        <v>3</v>
      </c>
      <c r="E1" s="380" t="s">
        <v>255</v>
      </c>
      <c r="F1" s="381" t="s">
        <v>256</v>
      </c>
      <c r="G1" s="382" t="s">
        <v>257</v>
      </c>
      <c r="H1" s="383" t="s">
        <v>258</v>
      </c>
      <c r="I1" s="383" t="s">
        <v>259</v>
      </c>
      <c r="J1" s="384" t="s">
        <v>260</v>
      </c>
      <c r="K1" s="384" t="s">
        <v>261</v>
      </c>
      <c r="L1" s="384" t="s">
        <v>262</v>
      </c>
      <c r="M1" s="384" t="s">
        <v>263</v>
      </c>
      <c r="N1" s="384" t="s">
        <v>264</v>
      </c>
      <c r="O1" s="385" t="s">
        <v>265</v>
      </c>
      <c r="P1" s="385" t="s">
        <v>266</v>
      </c>
      <c r="Q1" s="385" t="s">
        <v>267</v>
      </c>
      <c r="R1" s="385" t="s">
        <v>268</v>
      </c>
      <c r="S1" s="385" t="s">
        <v>269</v>
      </c>
      <c r="T1" s="385" t="s">
        <v>270</v>
      </c>
      <c r="U1" s="385" t="s">
        <v>271</v>
      </c>
      <c r="V1" s="385" t="s">
        <v>272</v>
      </c>
      <c r="W1" s="385" t="s">
        <v>273</v>
      </c>
      <c r="X1" s="385" t="s">
        <v>274</v>
      </c>
      <c r="Y1" s="385" t="s">
        <v>275</v>
      </c>
      <c r="Z1" s="385" t="s">
        <v>276</v>
      </c>
      <c r="AA1" s="385" t="s">
        <v>277</v>
      </c>
      <c r="AB1" s="385" t="s">
        <v>278</v>
      </c>
      <c r="AC1" s="385" t="s">
        <v>279</v>
      </c>
      <c r="AD1" s="386" t="s">
        <v>280</v>
      </c>
    </row>
    <row r="2" spans="1:30" s="256" customFormat="1" ht="128.25" customHeight="1">
      <c r="A2" s="369">
        <v>1</v>
      </c>
      <c r="B2" s="369" t="s">
        <v>5</v>
      </c>
      <c r="C2" s="372">
        <v>45897</v>
      </c>
      <c r="D2" s="372">
        <v>45911</v>
      </c>
      <c r="E2" s="256" t="s">
        <v>152</v>
      </c>
      <c r="F2" s="62" t="s">
        <v>298</v>
      </c>
      <c r="G2" s="431" t="s">
        <v>975</v>
      </c>
      <c r="H2" s="229" t="s">
        <v>976</v>
      </c>
      <c r="I2" s="506" t="s">
        <v>532</v>
      </c>
      <c r="J2" s="228">
        <v>3</v>
      </c>
      <c r="K2" s="369"/>
      <c r="L2" s="327">
        <v>45.75</v>
      </c>
      <c r="M2" s="372">
        <v>45905</v>
      </c>
      <c r="N2" s="372"/>
      <c r="O2" s="229" t="s">
        <v>290</v>
      </c>
      <c r="P2" s="329" t="s">
        <v>457</v>
      </c>
      <c r="Q2" s="370" t="s">
        <v>1002</v>
      </c>
      <c r="R2" s="250" t="s">
        <v>292</v>
      </c>
      <c r="S2" s="58" t="s">
        <v>291</v>
      </c>
      <c r="T2" s="432" t="s">
        <v>1003</v>
      </c>
      <c r="U2" s="373">
        <v>45910</v>
      </c>
      <c r="V2" s="373"/>
      <c r="W2" s="327" t="s">
        <v>426</v>
      </c>
      <c r="X2" s="370" t="s">
        <v>1004</v>
      </c>
      <c r="Y2" s="327" t="s">
        <v>295</v>
      </c>
      <c r="Z2" s="373"/>
      <c r="AA2" s="370"/>
      <c r="AB2" s="327"/>
      <c r="AC2" s="327"/>
      <c r="AD2" s="388" t="s">
        <v>1005</v>
      </c>
    </row>
    <row r="3" spans="1:30" ht="117" customHeight="1">
      <c r="A3" s="369">
        <v>2</v>
      </c>
      <c r="B3" s="369" t="s">
        <v>5</v>
      </c>
      <c r="C3" s="372">
        <v>45897</v>
      </c>
      <c r="D3" s="430">
        <v>45911</v>
      </c>
      <c r="E3" s="250" t="s">
        <v>152</v>
      </c>
      <c r="F3" s="203" t="s">
        <v>292</v>
      </c>
      <c r="G3" s="247" t="s">
        <v>1006</v>
      </c>
      <c r="H3" s="321" t="s">
        <v>1007</v>
      </c>
      <c r="I3" s="374" t="s">
        <v>289</v>
      </c>
      <c r="J3" s="228">
        <v>8</v>
      </c>
      <c r="K3" s="369"/>
      <c r="L3" s="327">
        <v>98.25</v>
      </c>
      <c r="M3" s="511">
        <v>45898</v>
      </c>
      <c r="N3" s="511">
        <v>45911</v>
      </c>
      <c r="O3" s="229" t="s">
        <v>290</v>
      </c>
      <c r="P3" s="329" t="s">
        <v>457</v>
      </c>
      <c r="Q3" s="370" t="s">
        <v>1008</v>
      </c>
      <c r="R3" s="250" t="s">
        <v>298</v>
      </c>
      <c r="S3" s="473" t="s">
        <v>291</v>
      </c>
      <c r="T3" s="200" t="s">
        <v>1009</v>
      </c>
      <c r="U3" s="372">
        <v>45910</v>
      </c>
      <c r="V3" s="373">
        <v>45910</v>
      </c>
      <c r="W3" s="327" t="s">
        <v>426</v>
      </c>
      <c r="X3" s="370" t="s">
        <v>291</v>
      </c>
      <c r="Y3" s="327" t="s">
        <v>295</v>
      </c>
      <c r="Z3" s="373">
        <v>45910</v>
      </c>
      <c r="AA3" s="370" t="s">
        <v>291</v>
      </c>
      <c r="AB3" s="327" t="s">
        <v>291</v>
      </c>
      <c r="AC3" s="327" t="s">
        <v>291</v>
      </c>
      <c r="AD3" s="509" t="s">
        <v>1010</v>
      </c>
    </row>
    <row r="4" spans="1:30" ht="66" customHeight="1">
      <c r="A4" s="369">
        <v>3</v>
      </c>
      <c r="B4" s="369" t="s">
        <v>5</v>
      </c>
      <c r="C4" s="372">
        <v>45897</v>
      </c>
      <c r="D4" s="430">
        <v>45911</v>
      </c>
      <c r="E4" s="203" t="s">
        <v>152</v>
      </c>
      <c r="F4" s="137" t="s">
        <v>298</v>
      </c>
      <c r="G4" s="250" t="s">
        <v>1011</v>
      </c>
      <c r="H4" s="490" t="s">
        <v>1012</v>
      </c>
      <c r="I4" s="228" t="s">
        <v>289</v>
      </c>
      <c r="J4" s="181">
        <v>8</v>
      </c>
      <c r="K4" s="327"/>
      <c r="L4" s="327">
        <v>66.5</v>
      </c>
      <c r="M4" s="372">
        <v>45898</v>
      </c>
      <c r="N4" s="372">
        <v>45911</v>
      </c>
      <c r="O4" s="229" t="s">
        <v>290</v>
      </c>
      <c r="P4" s="329" t="s">
        <v>457</v>
      </c>
      <c r="Q4" s="370" t="s">
        <v>1013</v>
      </c>
      <c r="R4" s="250" t="s">
        <v>292</v>
      </c>
      <c r="S4" s="216" t="s">
        <v>291</v>
      </c>
      <c r="T4" s="200" t="s">
        <v>1014</v>
      </c>
      <c r="U4" s="372">
        <v>45909</v>
      </c>
      <c r="V4" s="373">
        <v>45910</v>
      </c>
      <c r="W4" s="327" t="s">
        <v>426</v>
      </c>
      <c r="X4" s="370" t="s">
        <v>291</v>
      </c>
      <c r="Y4" s="327" t="s">
        <v>295</v>
      </c>
      <c r="Z4" s="373">
        <v>45910</v>
      </c>
      <c r="AA4" s="370" t="s">
        <v>291</v>
      </c>
      <c r="AB4" s="327" t="s">
        <v>291</v>
      </c>
      <c r="AC4" s="327" t="s">
        <v>291</v>
      </c>
      <c r="AD4" s="388" t="s">
        <v>1015</v>
      </c>
    </row>
    <row r="5" spans="1:30" ht="72.75" customHeight="1">
      <c r="A5" s="369">
        <v>4</v>
      </c>
      <c r="B5" s="369" t="s">
        <v>5</v>
      </c>
      <c r="C5" s="372">
        <v>45897</v>
      </c>
      <c r="D5" s="430">
        <v>45911</v>
      </c>
      <c r="E5" s="250" t="s">
        <v>152</v>
      </c>
      <c r="F5" s="203" t="s">
        <v>1016</v>
      </c>
      <c r="G5" s="431" t="s">
        <v>1017</v>
      </c>
      <c r="H5" s="203" t="s">
        <v>897</v>
      </c>
      <c r="I5" s="181" t="s">
        <v>289</v>
      </c>
      <c r="J5" s="228">
        <v>1</v>
      </c>
      <c r="K5" s="369"/>
      <c r="L5" s="327">
        <v>4</v>
      </c>
      <c r="M5" s="372">
        <v>45911</v>
      </c>
      <c r="N5" s="372">
        <v>45912</v>
      </c>
      <c r="O5" s="229"/>
      <c r="P5" s="329"/>
      <c r="Q5" s="370"/>
      <c r="R5" s="250"/>
      <c r="S5" s="218"/>
      <c r="T5" s="271"/>
      <c r="U5" s="372"/>
      <c r="V5" s="373"/>
      <c r="W5" s="327"/>
      <c r="X5" s="370"/>
      <c r="Y5" s="327"/>
      <c r="Z5" s="373"/>
      <c r="AA5" s="370"/>
      <c r="AB5" s="327"/>
      <c r="AC5" s="327"/>
      <c r="AD5" s="509"/>
    </row>
    <row r="6" spans="1:30" ht="45" customHeight="1">
      <c r="A6" s="369">
        <v>5</v>
      </c>
      <c r="B6" s="369" t="s">
        <v>5</v>
      </c>
      <c r="C6" s="372">
        <v>45897</v>
      </c>
      <c r="D6" s="372">
        <v>45897</v>
      </c>
      <c r="E6" s="250" t="s">
        <v>152</v>
      </c>
      <c r="F6" s="505" t="s">
        <v>298</v>
      </c>
      <c r="G6" s="502" t="s">
        <v>1018</v>
      </c>
      <c r="H6" s="513" t="s">
        <v>1019</v>
      </c>
      <c r="I6" s="327" t="s">
        <v>289</v>
      </c>
      <c r="J6" s="181"/>
      <c r="K6" s="327"/>
      <c r="L6" s="327">
        <v>4.25</v>
      </c>
      <c r="M6" s="372">
        <v>45911</v>
      </c>
      <c r="N6" s="372">
        <v>45911</v>
      </c>
      <c r="O6" s="229" t="s">
        <v>290</v>
      </c>
      <c r="P6" s="329" t="s">
        <v>457</v>
      </c>
      <c r="Q6" s="327" t="s">
        <v>291</v>
      </c>
      <c r="R6" s="250" t="s">
        <v>292</v>
      </c>
      <c r="S6" s="58" t="s">
        <v>291</v>
      </c>
      <c r="T6" s="231" t="s">
        <v>1020</v>
      </c>
      <c r="U6" s="372">
        <v>45911</v>
      </c>
      <c r="V6" s="373">
        <v>45911</v>
      </c>
      <c r="W6" s="327" t="s">
        <v>426</v>
      </c>
      <c r="X6" s="370" t="s">
        <v>291</v>
      </c>
      <c r="Y6" s="327" t="s">
        <v>295</v>
      </c>
      <c r="Z6" s="373">
        <v>45911</v>
      </c>
      <c r="AA6" s="370" t="s">
        <v>291</v>
      </c>
      <c r="AB6" s="327" t="s">
        <v>291</v>
      </c>
      <c r="AC6" s="327" t="s">
        <v>291</v>
      </c>
      <c r="AD6" s="388" t="s">
        <v>1015</v>
      </c>
    </row>
    <row r="7" spans="1:30" ht="35.25" customHeight="1">
      <c r="A7" s="369">
        <v>6</v>
      </c>
      <c r="B7" s="369" t="s">
        <v>5</v>
      </c>
      <c r="C7" s="372">
        <v>45897</v>
      </c>
      <c r="D7" s="372">
        <v>45897</v>
      </c>
      <c r="E7" s="250" t="s">
        <v>152</v>
      </c>
      <c r="F7" t="s">
        <v>292</v>
      </c>
      <c r="G7" s="203" t="s">
        <v>1021</v>
      </c>
      <c r="H7" s="137" t="s">
        <v>1022</v>
      </c>
      <c r="I7" s="327" t="s">
        <v>289</v>
      </c>
      <c r="K7" s="327"/>
      <c r="L7" s="327">
        <v>4</v>
      </c>
      <c r="M7" s="373">
        <v>45911</v>
      </c>
      <c r="N7" s="373">
        <v>45911</v>
      </c>
      <c r="O7" s="229" t="s">
        <v>290</v>
      </c>
      <c r="P7" s="329" t="s">
        <v>457</v>
      </c>
      <c r="Q7" s="327" t="s">
        <v>291</v>
      </c>
      <c r="R7" s="229" t="s">
        <v>298</v>
      </c>
      <c r="S7" t="s">
        <v>291</v>
      </c>
      <c r="T7" s="392" t="s">
        <v>1023</v>
      </c>
      <c r="U7" s="360">
        <v>45911</v>
      </c>
      <c r="V7" s="373">
        <v>45911</v>
      </c>
      <c r="W7" s="228" t="s">
        <v>426</v>
      </c>
      <c r="X7" s="370" t="s">
        <v>291</v>
      </c>
      <c r="Y7" s="327" t="s">
        <v>295</v>
      </c>
      <c r="Z7" s="373">
        <v>45911</v>
      </c>
      <c r="AA7" s="370" t="s">
        <v>291</v>
      </c>
      <c r="AB7" s="327" t="s">
        <v>291</v>
      </c>
      <c r="AC7" s="327" t="s">
        <v>291</v>
      </c>
      <c r="AD7" s="249" t="s">
        <v>1015</v>
      </c>
    </row>
    <row r="8" spans="1:30" ht="42.75" customHeight="1">
      <c r="A8" s="369"/>
      <c r="B8" s="369"/>
      <c r="C8" s="372"/>
      <c r="D8" s="430"/>
      <c r="E8" s="490"/>
      <c r="F8" s="305"/>
      <c r="G8" s="431"/>
      <c r="H8" s="187"/>
      <c r="I8" s="506"/>
      <c r="J8" s="228"/>
      <c r="K8" s="369"/>
      <c r="L8" s="327"/>
      <c r="M8" s="373"/>
      <c r="N8" s="373"/>
      <c r="O8" s="229"/>
      <c r="P8" s="329"/>
      <c r="Q8" s="327"/>
      <c r="R8" s="250"/>
      <c r="S8" s="58"/>
      <c r="T8" s="200"/>
      <c r="U8" s="372"/>
      <c r="V8" s="373"/>
      <c r="W8" s="327"/>
      <c r="X8" s="370"/>
      <c r="Y8" s="327"/>
      <c r="Z8" s="373"/>
      <c r="AA8" s="370"/>
      <c r="AB8" s="327"/>
      <c r="AC8" s="327"/>
      <c r="AD8" s="249"/>
    </row>
    <row r="9" spans="1:30" ht="63" customHeight="1">
      <c r="A9" s="369"/>
      <c r="B9" s="369"/>
      <c r="C9" s="372"/>
      <c r="D9" s="430"/>
      <c r="E9" s="229"/>
      <c r="F9" s="229"/>
      <c r="G9" s="431"/>
      <c r="H9" s="268"/>
      <c r="I9" s="369"/>
      <c r="J9" s="181"/>
      <c r="K9" s="327"/>
      <c r="L9" s="374"/>
      <c r="M9" s="512"/>
      <c r="N9" s="372"/>
      <c r="O9" s="229"/>
      <c r="P9" s="329"/>
      <c r="Q9" s="327"/>
      <c r="R9" s="229"/>
      <c r="T9" s="432"/>
      <c r="U9" s="373"/>
      <c r="V9" s="373"/>
      <c r="W9" s="327"/>
      <c r="X9" s="370"/>
      <c r="Y9" s="327"/>
      <c r="Z9" s="373"/>
      <c r="AA9" s="370"/>
      <c r="AB9" s="327"/>
      <c r="AC9" s="327"/>
      <c r="AD9" s="388"/>
    </row>
    <row r="10" spans="1:30">
      <c r="A10" s="369"/>
      <c r="B10" s="369"/>
      <c r="C10" s="372"/>
      <c r="D10" s="430"/>
      <c r="E10" s="203"/>
      <c r="F10" s="203"/>
      <c r="G10" s="247"/>
      <c r="H10" s="321"/>
      <c r="I10" s="327"/>
      <c r="K10" s="327"/>
      <c r="L10" s="327"/>
      <c r="M10" s="476"/>
      <c r="N10" s="373"/>
      <c r="O10" s="229"/>
      <c r="P10" s="329"/>
      <c r="Q10" s="327"/>
      <c r="R10" s="229"/>
      <c r="T10" s="432"/>
      <c r="U10" s="373"/>
      <c r="V10" s="373"/>
      <c r="W10" s="327"/>
      <c r="X10" s="370"/>
      <c r="Y10" s="327"/>
      <c r="Z10" s="373"/>
      <c r="AA10" s="370"/>
      <c r="AB10" s="327"/>
      <c r="AC10" s="327"/>
      <c r="AD10" s="388"/>
    </row>
    <row r="11" spans="1:30">
      <c r="A11" s="369"/>
      <c r="B11" s="369"/>
      <c r="C11" s="372"/>
      <c r="D11" s="372"/>
      <c r="G11" s="229"/>
      <c r="I11" s="327"/>
      <c r="J11" s="181"/>
      <c r="K11" s="327"/>
      <c r="L11" s="327"/>
      <c r="M11" s="327"/>
      <c r="N11" s="327"/>
      <c r="O11" s="229"/>
      <c r="P11" s="329"/>
      <c r="Q11" s="327"/>
      <c r="R11" s="229"/>
      <c r="T11" s="432"/>
      <c r="U11" s="373"/>
      <c r="V11" s="373"/>
      <c r="W11" s="327"/>
      <c r="X11" s="370"/>
      <c r="Y11" s="327"/>
      <c r="Z11" s="373"/>
      <c r="AA11" s="370"/>
      <c r="AB11" s="327"/>
      <c r="AC11" s="327"/>
      <c r="AD11" s="249"/>
    </row>
    <row r="12" spans="1:30">
      <c r="A12" s="369"/>
      <c r="B12" s="369"/>
      <c r="C12" s="372"/>
      <c r="D12" s="372"/>
      <c r="G12" s="229"/>
      <c r="I12" s="327"/>
      <c r="J12" s="181"/>
      <c r="K12" s="327"/>
      <c r="L12" s="327"/>
      <c r="M12" s="327"/>
      <c r="N12" s="327"/>
      <c r="O12" s="229"/>
      <c r="P12" s="329"/>
      <c r="Q12" s="327"/>
      <c r="R12" s="229"/>
      <c r="T12" s="432"/>
      <c r="U12" s="373"/>
      <c r="V12" s="373"/>
      <c r="W12" s="327"/>
      <c r="X12" s="370"/>
      <c r="Y12" s="327"/>
      <c r="Z12" s="373"/>
      <c r="AA12" s="370"/>
      <c r="AB12" s="327"/>
      <c r="AC12" s="327"/>
      <c r="AD12" s="249"/>
    </row>
  </sheetData>
  <hyperlinks>
    <hyperlink ref="T2" r:id="rId1" xr:uid="{104CBB89-1A9B-44B9-98E9-57EC2996753B}"/>
    <hyperlink ref="T3" r:id="rId2" xr:uid="{7E90C410-B06D-4450-B4E2-8D035377D247}"/>
    <hyperlink ref="T4" r:id="rId3" xr:uid="{EFABC041-6651-4C03-AF41-A2F51510A357}"/>
    <hyperlink ref="T7" r:id="rId4" xr:uid="{CFA52B1A-9A4A-47CD-A62C-A27B3789F2BF}"/>
    <hyperlink ref="T6" r:id="rId5" xr:uid="{227C54BD-274D-4992-A431-BEEEF9C43054}"/>
  </hyperlinks>
  <pageMargins left="0.7" right="0.7" top="0.75" bottom="0.75" header="0.3" footer="0.3"/>
  <tableParts count="1">
    <tablePart r:id="rId6"/>
  </tableParts>
  <extLst>
    <ext xmlns:x14="http://schemas.microsoft.com/office/spreadsheetml/2009/9/main" uri="{CCE6A557-97BC-4b89-ADB6-D9C93CAAB3DF}">
      <x14:dataValidations xmlns:xm="http://schemas.microsoft.com/office/excel/2006/main" count="1">
        <x14:dataValidation type="list" allowBlank="1" showErrorMessage="1" xr:uid="{04162F23-AAE1-4224-8C86-E858E4693035}">
          <x14:formula1>
            <xm:f>Settings!$C$3:$C$20</xm:f>
          </x14:formula1>
          <xm:sqref>I2:I12</xm:sqref>
        </x14:dataValidation>
      </x14:dataValidations>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2A757-A182-46F8-AC5B-D8FBD1B6D617}">
  <sheetPr>
    <outlinePr summaryBelow="0" summaryRight="0"/>
  </sheetPr>
  <dimension ref="A1:AB988"/>
  <sheetViews>
    <sheetView topLeftCell="B1" workbookViewId="0">
      <selection activeCell="C2" sqref="C2"/>
    </sheetView>
  </sheetViews>
  <sheetFormatPr defaultColWidth="12.5703125" defaultRowHeight="15" customHeight="1"/>
  <cols>
    <col min="1" max="1" width="12.5703125" hidden="1" customWidth="1"/>
    <col min="2" max="2" width="21.42578125" customWidth="1"/>
    <col min="3" max="3" width="23.5703125" customWidth="1"/>
    <col min="4" max="4" width="14.42578125" customWidth="1"/>
    <col min="5" max="5" width="19.140625" customWidth="1"/>
    <col min="6" max="6" width="37.5703125" customWidth="1"/>
    <col min="7" max="7" width="41.140625" customWidth="1"/>
    <col min="8" max="9" width="18.7109375" customWidth="1"/>
    <col min="10" max="10" width="9.140625" bestFit="1" customWidth="1"/>
    <col min="11" max="11" width="19" customWidth="1"/>
    <col min="12" max="12" width="18" customWidth="1"/>
    <col min="13" max="13" width="41" customWidth="1"/>
    <col min="14" max="14" width="14.140625" style="122" customWidth="1"/>
    <col min="15" max="15" width="29" customWidth="1"/>
  </cols>
  <sheetData>
    <row r="1" spans="1:28" ht="13.5">
      <c r="A1" s="434" t="s">
        <v>254</v>
      </c>
      <c r="B1" s="1" t="s">
        <v>321</v>
      </c>
      <c r="C1" s="198" t="s">
        <v>322</v>
      </c>
      <c r="D1" s="198" t="s">
        <v>323</v>
      </c>
      <c r="E1" s="1" t="s">
        <v>256</v>
      </c>
      <c r="F1" s="198" t="s">
        <v>324</v>
      </c>
      <c r="G1" s="198" t="s">
        <v>325</v>
      </c>
      <c r="H1" s="1" t="s">
        <v>326</v>
      </c>
      <c r="I1" s="1" t="s">
        <v>327</v>
      </c>
      <c r="J1" s="1" t="s">
        <v>328</v>
      </c>
      <c r="K1" s="1" t="s">
        <v>259</v>
      </c>
      <c r="L1" s="156" t="s">
        <v>329</v>
      </c>
      <c r="M1" s="8" t="s">
        <v>280</v>
      </c>
      <c r="N1" s="487" t="s">
        <v>330</v>
      </c>
      <c r="O1" s="487" t="s">
        <v>331</v>
      </c>
      <c r="P1" s="35"/>
      <c r="Q1" s="35"/>
      <c r="R1" s="35"/>
      <c r="S1" s="35"/>
      <c r="T1" s="35"/>
      <c r="U1" s="35"/>
      <c r="V1" s="35"/>
      <c r="W1" s="35"/>
      <c r="X1" s="35"/>
      <c r="Y1" s="35"/>
      <c r="Z1" s="35"/>
      <c r="AA1" s="35"/>
      <c r="AB1" s="35"/>
    </row>
    <row r="2" spans="1:28" ht="56.25" customHeight="1">
      <c r="B2" s="126" t="s">
        <v>152</v>
      </c>
      <c r="C2" s="481" t="s">
        <v>1024</v>
      </c>
      <c r="D2" s="481" t="s">
        <v>1011</v>
      </c>
      <c r="E2" s="126" t="s">
        <v>298</v>
      </c>
      <c r="F2" s="221" t="s">
        <v>380</v>
      </c>
      <c r="G2" s="305" t="s">
        <v>1019</v>
      </c>
      <c r="H2" s="126" t="s">
        <v>381</v>
      </c>
      <c r="I2" s="126" t="s">
        <v>382</v>
      </c>
      <c r="J2" s="126" t="s">
        <v>383</v>
      </c>
      <c r="K2" s="126" t="s">
        <v>384</v>
      </c>
      <c r="L2" s="126" t="s">
        <v>385</v>
      </c>
      <c r="M2" s="333" t="s">
        <v>1025</v>
      </c>
      <c r="N2" s="91" t="s">
        <v>387</v>
      </c>
      <c r="O2" s="216" t="s">
        <v>1026</v>
      </c>
    </row>
    <row r="3" spans="1:28" ht="66.75" customHeight="1">
      <c r="B3" s="126" t="s">
        <v>152</v>
      </c>
      <c r="C3" s="481" t="s">
        <v>1027</v>
      </c>
      <c r="D3" s="481" t="s">
        <v>1006</v>
      </c>
      <c r="E3" s="126" t="s">
        <v>292</v>
      </c>
      <c r="F3" s="221" t="s">
        <v>380</v>
      </c>
      <c r="G3" s="305" t="s">
        <v>1022</v>
      </c>
      <c r="H3" s="126" t="s">
        <v>381</v>
      </c>
      <c r="I3" s="126" t="s">
        <v>382</v>
      </c>
      <c r="J3" s="126" t="s">
        <v>383</v>
      </c>
      <c r="K3" s="126" t="s">
        <v>384</v>
      </c>
      <c r="L3" s="126" t="s">
        <v>385</v>
      </c>
      <c r="M3" s="333" t="s">
        <v>1028</v>
      </c>
      <c r="N3" s="122" t="s">
        <v>387</v>
      </c>
      <c r="O3" s="144" t="s">
        <v>1029</v>
      </c>
    </row>
    <row r="4" spans="1:28" ht="15.75" customHeight="1"/>
    <row r="5" spans="1:28" ht="15.75" customHeight="1"/>
    <row r="6" spans="1:28" ht="15.75" customHeight="1">
      <c r="K6" s="144"/>
    </row>
    <row r="7" spans="1:28" ht="15.75" customHeight="1"/>
    <row r="8" spans="1:28" ht="15.75" customHeight="1"/>
    <row r="9" spans="1:28" ht="15.75" customHeight="1"/>
    <row r="10" spans="1:28" ht="15.75" customHeight="1"/>
    <row r="11" spans="1:28" ht="15.75" customHeight="1"/>
    <row r="12" spans="1:28" ht="15.75" customHeight="1"/>
    <row r="13" spans="1:28" ht="15.75" customHeight="1"/>
    <row r="14" spans="1:28" ht="15.75" customHeight="1"/>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sheetData>
  <autoFilter ref="A1:M1" xr:uid="{3A2BB050-11AC-4ED7-A296-96B42C7FCFBA}"/>
  <dataValidations count="5">
    <dataValidation type="list" allowBlank="1" showErrorMessage="1" sqref="J2:J3" xr:uid="{0035F946-0C09-4D48-AC91-2A3497D760B1}">
      <formula1>"Internal,External"</formula1>
    </dataValidation>
    <dataValidation type="list" allowBlank="1" showErrorMessage="1" sqref="H2:H3" xr:uid="{E125C375-3AE3-47C9-8F97-E31D63E457EB}">
      <formula1>"Minor,Significant,Major"</formula1>
    </dataValidation>
    <dataValidation type="list" allowBlank="1" showErrorMessage="1" sqref="I2:I3" xr:uid="{18311219-9B92-49ED-9B04-086C5E99C2E9}">
      <formula1>"Manual, Automation"</formula1>
    </dataValidation>
    <dataValidation type="list" allowBlank="1" showErrorMessage="1" sqref="K2:K3" xr:uid="{C671323F-65E4-4CD0-8F7F-836DAF836231}">
      <formula1>"Open,Inprogress,Closed"</formula1>
    </dataValidation>
    <dataValidation type="list" allowBlank="1" showErrorMessage="1" sqref="F2:F3" xr:uid="{90A22A52-4C37-47F1-AC06-19B202E79AC5}">
      <formula1>"Bounceback,Defect,None"</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80A3F121-00F5-4CE9-ABAB-DB0E50C77236}">
          <x14:formula1>
            <xm:f>Details!$A$2:$A$10</xm:f>
          </x14:formula1>
          <xm:sqref>L2:L3</xm:sqref>
        </x14:dataValidation>
      </x14:dataValidations>
    </ext>
  </extLs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D5AF4-C376-43D7-8A82-8F6853024E02}">
  <dimension ref="A1:AD12"/>
  <sheetViews>
    <sheetView workbookViewId="0">
      <pane xSplit="7" ySplit="1" topLeftCell="P3" activePane="bottomRight" state="frozen"/>
      <selection pane="bottomRight" activeCell="Q4" sqref="Q4"/>
      <selection pane="bottomLeft"/>
      <selection pane="topRight"/>
    </sheetView>
  </sheetViews>
  <sheetFormatPr defaultRowHeight="12.75"/>
  <cols>
    <col min="2" max="2" width="13.28515625" customWidth="1"/>
    <col min="3" max="3" width="10.85546875" customWidth="1"/>
    <col min="4" max="4" width="12.140625" customWidth="1"/>
    <col min="5" max="5" width="40.7109375" customWidth="1"/>
    <col min="6" max="6" width="29.7109375" customWidth="1"/>
    <col min="7" max="7" width="18.85546875" customWidth="1"/>
    <col min="8" max="8" width="50.28515625" style="137" customWidth="1"/>
    <col min="9" max="9" width="16.85546875" customWidth="1"/>
    <col min="10" max="11" width="11.42578125" bestFit="1" customWidth="1"/>
    <col min="12" max="14" width="11.42578125" customWidth="1"/>
    <col min="15" max="15" width="13.140625" customWidth="1"/>
    <col min="16" max="16" width="13.42578125" style="144" customWidth="1"/>
    <col min="17" max="17" width="29.140625" customWidth="1"/>
    <col min="18" max="18" width="16.42578125" customWidth="1"/>
    <col min="19" max="19" width="14.85546875" customWidth="1"/>
    <col min="20" max="20" width="24.42578125" style="144" customWidth="1"/>
    <col min="21" max="22" width="12.7109375" bestFit="1" customWidth="1"/>
    <col min="23" max="23" width="11.42578125" bestFit="1" customWidth="1"/>
    <col min="24" max="24" width="32.140625" style="144" customWidth="1"/>
    <col min="25" max="25" width="11.42578125" bestFit="1" customWidth="1"/>
    <col min="26" max="26" width="12.7109375" bestFit="1" customWidth="1"/>
    <col min="27" max="29" width="11.42578125" bestFit="1" customWidth="1"/>
    <col min="30" max="30" width="27.42578125" customWidth="1"/>
  </cols>
  <sheetData>
    <row r="1" spans="1:30" ht="46.5">
      <c r="A1" s="379" t="s">
        <v>254</v>
      </c>
      <c r="B1" s="404" t="s">
        <v>4</v>
      </c>
      <c r="C1" s="404" t="s">
        <v>2</v>
      </c>
      <c r="D1" s="404" t="s">
        <v>3</v>
      </c>
      <c r="E1" s="380" t="s">
        <v>255</v>
      </c>
      <c r="F1" s="381" t="s">
        <v>256</v>
      </c>
      <c r="G1" s="382" t="s">
        <v>257</v>
      </c>
      <c r="H1" s="383" t="s">
        <v>258</v>
      </c>
      <c r="I1" s="383" t="s">
        <v>259</v>
      </c>
      <c r="J1" s="384" t="s">
        <v>260</v>
      </c>
      <c r="K1" s="384" t="s">
        <v>261</v>
      </c>
      <c r="L1" s="384" t="s">
        <v>262</v>
      </c>
      <c r="M1" s="384" t="s">
        <v>263</v>
      </c>
      <c r="N1" s="384" t="s">
        <v>264</v>
      </c>
      <c r="O1" s="385" t="s">
        <v>265</v>
      </c>
      <c r="P1" s="385" t="s">
        <v>266</v>
      </c>
      <c r="Q1" s="385" t="s">
        <v>267</v>
      </c>
      <c r="R1" s="385" t="s">
        <v>268</v>
      </c>
      <c r="S1" s="385" t="s">
        <v>269</v>
      </c>
      <c r="T1" s="385" t="s">
        <v>270</v>
      </c>
      <c r="U1" s="385" t="s">
        <v>271</v>
      </c>
      <c r="V1" s="385" t="s">
        <v>272</v>
      </c>
      <c r="W1" s="385" t="s">
        <v>273</v>
      </c>
      <c r="X1" s="385" t="s">
        <v>274</v>
      </c>
      <c r="Y1" s="385" t="s">
        <v>275</v>
      </c>
      <c r="Z1" s="385" t="s">
        <v>276</v>
      </c>
      <c r="AA1" s="385" t="s">
        <v>277</v>
      </c>
      <c r="AB1" s="385" t="s">
        <v>278</v>
      </c>
      <c r="AC1" s="385" t="s">
        <v>279</v>
      </c>
      <c r="AD1" s="386" t="s">
        <v>280</v>
      </c>
    </row>
    <row r="2" spans="1:30" s="256" customFormat="1" ht="128.25" customHeight="1">
      <c r="A2" s="369">
        <v>1</v>
      </c>
      <c r="B2" s="444" t="s">
        <v>5</v>
      </c>
      <c r="C2" s="445">
        <v>45883</v>
      </c>
      <c r="D2" s="445">
        <v>45897</v>
      </c>
      <c r="E2" s="469" t="s">
        <v>148</v>
      </c>
      <c r="F2" s="376" t="s">
        <v>1030</v>
      </c>
      <c r="G2" s="203" t="s">
        <v>1031</v>
      </c>
      <c r="H2" s="90" t="s">
        <v>1032</v>
      </c>
      <c r="I2" s="471" t="s">
        <v>289</v>
      </c>
      <c r="J2" s="369">
        <v>3</v>
      </c>
      <c r="K2" s="486"/>
      <c r="L2" s="327">
        <v>26</v>
      </c>
      <c r="M2" s="511"/>
      <c r="N2" s="511"/>
      <c r="O2" s="229"/>
      <c r="P2" s="229"/>
      <c r="Q2" s="370"/>
      <c r="R2" s="250"/>
      <c r="S2" s="152"/>
      <c r="T2" s="200"/>
      <c r="U2" s="372"/>
      <c r="V2" s="373"/>
      <c r="W2" s="370"/>
      <c r="X2" s="370"/>
      <c r="Y2" s="327"/>
      <c r="Z2" s="373"/>
      <c r="AA2" s="370"/>
      <c r="AB2" s="327"/>
      <c r="AC2" s="327"/>
      <c r="AD2" s="390" t="s">
        <v>1033</v>
      </c>
    </row>
    <row r="3" spans="1:30" ht="117" customHeight="1">
      <c r="A3" s="369">
        <v>2</v>
      </c>
      <c r="B3" s="369" t="s">
        <v>5</v>
      </c>
      <c r="C3" s="372">
        <v>45883</v>
      </c>
      <c r="D3" s="430">
        <v>45897</v>
      </c>
      <c r="E3" s="250" t="s">
        <v>148</v>
      </c>
      <c r="F3" s="203" t="s">
        <v>292</v>
      </c>
      <c r="G3" s="247" t="s">
        <v>1034</v>
      </c>
      <c r="H3" s="321" t="s">
        <v>1035</v>
      </c>
      <c r="I3" s="374" t="s">
        <v>289</v>
      </c>
      <c r="J3" s="228">
        <v>2</v>
      </c>
      <c r="K3" s="369">
        <v>2</v>
      </c>
      <c r="L3" s="327">
        <v>20</v>
      </c>
      <c r="M3" s="511">
        <v>45887</v>
      </c>
      <c r="N3" s="511">
        <v>45887</v>
      </c>
      <c r="O3" s="229" t="s">
        <v>290</v>
      </c>
      <c r="P3" s="329" t="s">
        <v>457</v>
      </c>
      <c r="Q3" s="370" t="s">
        <v>291</v>
      </c>
      <c r="R3" s="250" t="s">
        <v>298</v>
      </c>
      <c r="S3" s="228" t="s">
        <v>291</v>
      </c>
      <c r="T3" s="200" t="s">
        <v>1036</v>
      </c>
      <c r="U3" s="372">
        <v>45888</v>
      </c>
      <c r="V3" s="373">
        <v>45889</v>
      </c>
      <c r="W3" s="327" t="s">
        <v>426</v>
      </c>
      <c r="X3" s="370" t="s">
        <v>1037</v>
      </c>
      <c r="Y3" s="327" t="s">
        <v>295</v>
      </c>
      <c r="Z3" s="373">
        <v>45889</v>
      </c>
      <c r="AA3" s="370" t="s">
        <v>291</v>
      </c>
      <c r="AB3" s="327" t="s">
        <v>291</v>
      </c>
      <c r="AC3" s="327" t="s">
        <v>291</v>
      </c>
      <c r="AD3" s="509" t="s">
        <v>1038</v>
      </c>
    </row>
    <row r="4" spans="1:30" ht="66" customHeight="1">
      <c r="A4" s="369">
        <v>3</v>
      </c>
      <c r="B4" s="369" t="s">
        <v>5</v>
      </c>
      <c r="C4" s="372">
        <v>45883</v>
      </c>
      <c r="D4" s="430">
        <v>45897</v>
      </c>
      <c r="E4" s="203" t="s">
        <v>148</v>
      </c>
      <c r="F4" s="137" t="s">
        <v>895</v>
      </c>
      <c r="G4" s="250" t="s">
        <v>1039</v>
      </c>
      <c r="H4" s="490" t="s">
        <v>1040</v>
      </c>
      <c r="I4" s="228" t="s">
        <v>289</v>
      </c>
      <c r="J4" s="181">
        <v>8</v>
      </c>
      <c r="K4" s="327">
        <v>8</v>
      </c>
      <c r="L4" s="327">
        <v>65.5</v>
      </c>
      <c r="M4" s="372">
        <v>45887</v>
      </c>
      <c r="N4" s="372">
        <v>45895</v>
      </c>
      <c r="O4" s="229" t="s">
        <v>290</v>
      </c>
      <c r="P4" s="329" t="s">
        <v>457</v>
      </c>
      <c r="Q4" s="370" t="s">
        <v>1041</v>
      </c>
      <c r="R4" s="250" t="s">
        <v>292</v>
      </c>
      <c r="S4" s="216" t="s">
        <v>291</v>
      </c>
      <c r="T4" s="200" t="s">
        <v>1042</v>
      </c>
      <c r="U4" s="372">
        <v>45894</v>
      </c>
      <c r="V4" s="373">
        <v>45896</v>
      </c>
      <c r="W4" s="327" t="s">
        <v>426</v>
      </c>
      <c r="X4" s="370"/>
      <c r="Y4" s="327" t="s">
        <v>295</v>
      </c>
      <c r="Z4" s="373">
        <v>45896</v>
      </c>
      <c r="AA4" s="370" t="s">
        <v>291</v>
      </c>
      <c r="AB4" s="327" t="s">
        <v>291</v>
      </c>
      <c r="AC4" s="327" t="s">
        <v>291</v>
      </c>
      <c r="AD4" s="388" t="s">
        <v>1043</v>
      </c>
    </row>
    <row r="5" spans="1:30" ht="72.75" customHeight="1">
      <c r="A5" s="369">
        <v>4</v>
      </c>
      <c r="B5" s="369" t="s">
        <v>5</v>
      </c>
      <c r="C5" s="372">
        <v>45883</v>
      </c>
      <c r="D5" s="430">
        <v>45897</v>
      </c>
      <c r="E5" s="250" t="s">
        <v>148</v>
      </c>
      <c r="F5" s="203" t="s">
        <v>1016</v>
      </c>
      <c r="G5" s="431" t="s">
        <v>1044</v>
      </c>
      <c r="H5" s="203" t="s">
        <v>1045</v>
      </c>
      <c r="I5" s="181" t="s">
        <v>289</v>
      </c>
      <c r="J5" s="228">
        <v>3</v>
      </c>
      <c r="K5" s="369">
        <v>3</v>
      </c>
      <c r="L5" s="327">
        <v>60</v>
      </c>
      <c r="M5" s="372">
        <v>45888</v>
      </c>
      <c r="N5" s="372">
        <v>45895</v>
      </c>
      <c r="O5" s="229" t="s">
        <v>290</v>
      </c>
      <c r="P5" s="329" t="s">
        <v>457</v>
      </c>
      <c r="Q5" s="370" t="s">
        <v>1046</v>
      </c>
      <c r="R5" s="250" t="s">
        <v>298</v>
      </c>
      <c r="S5" s="218" t="s">
        <v>291</v>
      </c>
      <c r="T5" s="271" t="s">
        <v>1047</v>
      </c>
      <c r="U5" s="372">
        <v>45894</v>
      </c>
      <c r="V5" s="373">
        <v>45896</v>
      </c>
      <c r="W5" s="327" t="s">
        <v>426</v>
      </c>
      <c r="X5" s="370" t="s">
        <v>1048</v>
      </c>
      <c r="Y5" s="327" t="s">
        <v>295</v>
      </c>
      <c r="Z5" s="373">
        <v>45896</v>
      </c>
      <c r="AA5" s="370" t="s">
        <v>291</v>
      </c>
      <c r="AB5" s="327" t="s">
        <v>291</v>
      </c>
      <c r="AC5" s="327" t="s">
        <v>291</v>
      </c>
      <c r="AD5" s="509" t="s">
        <v>1049</v>
      </c>
    </row>
    <row r="6" spans="1:30" ht="45" customHeight="1">
      <c r="A6" s="369">
        <v>5</v>
      </c>
      <c r="B6" s="369" t="s">
        <v>5</v>
      </c>
      <c r="C6" s="372">
        <v>45883</v>
      </c>
      <c r="D6" s="430">
        <v>45897</v>
      </c>
      <c r="E6" s="250" t="s">
        <v>148</v>
      </c>
      <c r="F6" s="505" t="s">
        <v>437</v>
      </c>
      <c r="G6" s="502" t="s">
        <v>1050</v>
      </c>
      <c r="H6" s="321" t="s">
        <v>897</v>
      </c>
      <c r="I6" s="327" t="s">
        <v>289</v>
      </c>
      <c r="J6" s="181">
        <v>1</v>
      </c>
      <c r="K6" s="327">
        <v>1</v>
      </c>
      <c r="L6" s="327">
        <v>7.75</v>
      </c>
      <c r="M6" s="372">
        <v>45897</v>
      </c>
      <c r="N6" s="372"/>
      <c r="O6" s="229"/>
      <c r="P6" s="329"/>
      <c r="Q6" s="327"/>
      <c r="R6" s="250"/>
      <c r="S6" s="58"/>
      <c r="T6" s="200"/>
      <c r="U6" s="372"/>
      <c r="V6" s="373"/>
      <c r="W6" s="327"/>
      <c r="X6" s="370"/>
      <c r="Y6" s="327"/>
      <c r="Z6" s="373"/>
      <c r="AA6" s="370"/>
      <c r="AB6" s="327"/>
      <c r="AC6" s="327"/>
      <c r="AD6" s="388" t="s">
        <v>1051</v>
      </c>
    </row>
    <row r="7" spans="1:30" ht="35.25" customHeight="1">
      <c r="A7" s="369">
        <v>6</v>
      </c>
      <c r="B7" s="369" t="s">
        <v>5</v>
      </c>
      <c r="C7" s="372">
        <v>45883</v>
      </c>
      <c r="D7" s="372">
        <v>45897</v>
      </c>
      <c r="E7" s="256" t="s">
        <v>1052</v>
      </c>
      <c r="F7" s="62" t="s">
        <v>437</v>
      </c>
      <c r="G7" s="431" t="s">
        <v>975</v>
      </c>
      <c r="H7" s="229" t="s">
        <v>976</v>
      </c>
      <c r="I7" s="506" t="s">
        <v>301</v>
      </c>
      <c r="J7" s="228">
        <v>5</v>
      </c>
      <c r="K7" s="369"/>
      <c r="L7" s="327">
        <v>15.25</v>
      </c>
      <c r="M7" s="372">
        <v>45895</v>
      </c>
      <c r="N7" s="372">
        <v>45897</v>
      </c>
      <c r="O7" s="229" t="s">
        <v>290</v>
      </c>
      <c r="P7" s="329" t="s">
        <v>457</v>
      </c>
      <c r="Q7" s="370"/>
      <c r="R7" s="229" t="s">
        <v>292</v>
      </c>
      <c r="T7" s="432" t="s">
        <v>1003</v>
      </c>
      <c r="U7" s="373">
        <v>45897</v>
      </c>
      <c r="V7" s="373"/>
      <c r="W7" s="327" t="s">
        <v>426</v>
      </c>
      <c r="X7" s="370"/>
      <c r="Y7" s="327" t="s">
        <v>295</v>
      </c>
      <c r="Z7" s="373"/>
      <c r="AA7" s="370"/>
      <c r="AB7" s="327"/>
      <c r="AC7" s="327"/>
      <c r="AD7" s="388" t="s">
        <v>1053</v>
      </c>
    </row>
    <row r="8" spans="1:30" ht="42.75" customHeight="1">
      <c r="A8" s="369"/>
      <c r="B8" s="369"/>
      <c r="C8" s="372"/>
      <c r="D8" s="430"/>
      <c r="E8" s="490"/>
      <c r="F8" s="305"/>
      <c r="G8" s="431"/>
      <c r="H8" s="187"/>
      <c r="I8" s="506"/>
      <c r="J8" s="228"/>
      <c r="K8" s="369"/>
      <c r="L8" s="327"/>
      <c r="M8" s="373"/>
      <c r="N8" s="373"/>
      <c r="O8" s="229"/>
      <c r="P8" s="329"/>
      <c r="Q8" s="327"/>
      <c r="R8" s="250"/>
      <c r="S8" s="58"/>
      <c r="T8" s="200"/>
      <c r="U8" s="372"/>
      <c r="V8" s="373"/>
      <c r="W8" s="327"/>
      <c r="X8" s="370"/>
      <c r="Y8" s="327"/>
      <c r="Z8" s="373"/>
      <c r="AA8" s="370"/>
      <c r="AB8" s="327"/>
      <c r="AC8" s="327"/>
      <c r="AD8" s="249"/>
    </row>
    <row r="9" spans="1:30" ht="63" customHeight="1">
      <c r="A9" s="369"/>
      <c r="B9" s="369"/>
      <c r="C9" s="372"/>
      <c r="D9" s="430"/>
      <c r="E9" s="229"/>
      <c r="F9" s="229"/>
      <c r="G9" s="431"/>
      <c r="H9" s="268"/>
      <c r="I9" s="369"/>
      <c r="J9" s="181"/>
      <c r="K9" s="327"/>
      <c r="L9" s="374"/>
      <c r="M9" s="512"/>
      <c r="N9" s="372"/>
      <c r="O9" s="229"/>
      <c r="P9" s="329"/>
      <c r="Q9" s="327"/>
      <c r="R9" s="229"/>
      <c r="T9" s="432"/>
      <c r="U9" s="373"/>
      <c r="V9" s="373"/>
      <c r="W9" s="327"/>
      <c r="X9" s="370"/>
      <c r="Y9" s="327"/>
      <c r="Z9" s="373"/>
      <c r="AA9" s="370"/>
      <c r="AB9" s="327"/>
      <c r="AC9" s="327"/>
      <c r="AD9" s="388"/>
    </row>
    <row r="10" spans="1:30">
      <c r="A10" s="369"/>
      <c r="B10" s="369"/>
      <c r="C10" s="372"/>
      <c r="D10" s="430"/>
      <c r="E10" s="203"/>
      <c r="F10" s="203"/>
      <c r="G10" s="247"/>
      <c r="H10" s="321"/>
      <c r="I10" s="327"/>
      <c r="K10" s="327"/>
      <c r="L10" s="327"/>
      <c r="M10" s="476"/>
      <c r="N10" s="373"/>
      <c r="O10" s="229"/>
      <c r="P10" s="329"/>
      <c r="Q10" s="327"/>
      <c r="R10" s="229"/>
      <c r="T10" s="432"/>
      <c r="U10" s="373"/>
      <c r="V10" s="373"/>
      <c r="W10" s="327"/>
      <c r="X10" s="370"/>
      <c r="Y10" s="327"/>
      <c r="Z10" s="373"/>
      <c r="AA10" s="370"/>
      <c r="AB10" s="327"/>
      <c r="AC10" s="327"/>
      <c r="AD10" s="388"/>
    </row>
    <row r="11" spans="1:30">
      <c r="A11" s="369"/>
      <c r="B11" s="369"/>
      <c r="C11" s="372"/>
      <c r="D11" s="372"/>
      <c r="G11" s="229"/>
      <c r="I11" s="327"/>
      <c r="J11" s="181"/>
      <c r="K11" s="327"/>
      <c r="L11" s="327"/>
      <c r="M11" s="327"/>
      <c r="N11" s="327"/>
      <c r="O11" s="229"/>
      <c r="P11" s="329"/>
      <c r="Q11" s="327"/>
      <c r="R11" s="229"/>
      <c r="T11" s="432"/>
      <c r="U11" s="373"/>
      <c r="V11" s="373"/>
      <c r="W11" s="327"/>
      <c r="X11" s="370"/>
      <c r="Y11" s="327"/>
      <c r="Z11" s="373"/>
      <c r="AA11" s="370"/>
      <c r="AB11" s="327"/>
      <c r="AC11" s="327"/>
      <c r="AD11" s="249"/>
    </row>
    <row r="12" spans="1:30">
      <c r="A12" s="369"/>
      <c r="B12" s="369"/>
      <c r="C12" s="372"/>
      <c r="D12" s="372"/>
      <c r="G12" s="229"/>
      <c r="I12" s="327"/>
      <c r="J12" s="181"/>
      <c r="K12" s="327"/>
      <c r="L12" s="327"/>
      <c r="M12" s="327"/>
      <c r="N12" s="327"/>
      <c r="O12" s="229"/>
      <c r="P12" s="329"/>
      <c r="Q12" s="327"/>
      <c r="R12" s="229"/>
      <c r="T12" s="432"/>
      <c r="U12" s="373"/>
      <c r="V12" s="373"/>
      <c r="W12" s="327"/>
      <c r="X12" s="370"/>
      <c r="Y12" s="327"/>
      <c r="Z12" s="373"/>
      <c r="AA12" s="370"/>
      <c r="AB12" s="327"/>
      <c r="AC12" s="327"/>
      <c r="AD12" s="249"/>
    </row>
  </sheetData>
  <hyperlinks>
    <hyperlink ref="T3" r:id="rId1" xr:uid="{7BAF03B8-F318-43D6-9462-CE9FD05FC8E3}"/>
    <hyperlink ref="T5" r:id="rId2" xr:uid="{68B8E4A5-DC59-4D1E-A1F3-3AADA1C4FDC5}"/>
    <hyperlink ref="T4" r:id="rId3" xr:uid="{7ED2396B-C05E-48E1-89D5-3905AC1432C4}"/>
    <hyperlink ref="T7" r:id="rId4" xr:uid="{CC02244C-E5C6-43B5-A776-85E8A1700272}"/>
  </hyperlinks>
  <pageMargins left="0.7" right="0.7" top="0.75" bottom="0.75" header="0.3" footer="0.3"/>
  <tableParts count="1">
    <tablePart r:id="rId5"/>
  </tableParts>
  <extLst>
    <ext xmlns:x14="http://schemas.microsoft.com/office/spreadsheetml/2009/9/main" uri="{CCE6A557-97BC-4b89-ADB6-D9C93CAAB3DF}">
      <x14:dataValidations xmlns:xm="http://schemas.microsoft.com/office/excel/2006/main" count="1">
        <x14:dataValidation type="list" allowBlank="1" showErrorMessage="1" xr:uid="{C0699144-E4CB-405C-A6E3-58D321C3EEC7}">
          <x14:formula1>
            <xm:f>Settings!$C$3:$C$20</xm:f>
          </x14:formula1>
          <xm:sqref>I2:I12</xm:sqref>
        </x14:dataValidation>
      </x14:dataValidations>
    </ext>
  </extLs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89731-42A4-4776-8230-0E0D7DDC1A43}">
  <sheetPr>
    <outlinePr summaryBelow="0" summaryRight="0"/>
  </sheetPr>
  <dimension ref="A1:AB988"/>
  <sheetViews>
    <sheetView topLeftCell="B1" workbookViewId="0">
      <selection activeCell="A3" sqref="A3"/>
    </sheetView>
  </sheetViews>
  <sheetFormatPr defaultColWidth="12.5703125" defaultRowHeight="15" customHeight="1"/>
  <cols>
    <col min="1" max="1" width="12.5703125" hidden="1" customWidth="1"/>
    <col min="2" max="2" width="21.42578125" customWidth="1"/>
    <col min="3" max="3" width="23.5703125" customWidth="1"/>
    <col min="4" max="4" width="14.42578125" customWidth="1"/>
    <col min="5" max="5" width="19.140625" customWidth="1"/>
    <col min="6" max="6" width="37.5703125" customWidth="1"/>
    <col min="7" max="7" width="41.140625" customWidth="1"/>
    <col min="8" max="9" width="18.7109375" customWidth="1"/>
    <col min="10" max="10" width="9.140625" bestFit="1" customWidth="1"/>
    <col min="11" max="11" width="19" customWidth="1"/>
    <col min="12" max="12" width="18" customWidth="1"/>
    <col min="13" max="13" width="41" customWidth="1"/>
    <col min="14" max="14" width="14.140625" style="122" customWidth="1"/>
    <col min="15" max="15" width="29" customWidth="1"/>
  </cols>
  <sheetData>
    <row r="1" spans="1:28" ht="13.5">
      <c r="A1" s="434" t="s">
        <v>254</v>
      </c>
      <c r="B1" s="1" t="s">
        <v>321</v>
      </c>
      <c r="C1" s="198" t="s">
        <v>322</v>
      </c>
      <c r="D1" s="198" t="s">
        <v>323</v>
      </c>
      <c r="E1" s="1" t="s">
        <v>256</v>
      </c>
      <c r="F1" s="198" t="s">
        <v>324</v>
      </c>
      <c r="G1" s="198" t="s">
        <v>325</v>
      </c>
      <c r="H1" s="1" t="s">
        <v>326</v>
      </c>
      <c r="I1" s="1" t="s">
        <v>327</v>
      </c>
      <c r="J1" s="1" t="s">
        <v>328</v>
      </c>
      <c r="K1" s="1" t="s">
        <v>259</v>
      </c>
      <c r="L1" s="156" t="s">
        <v>329</v>
      </c>
      <c r="M1" s="8" t="s">
        <v>280</v>
      </c>
      <c r="N1" s="487" t="s">
        <v>330</v>
      </c>
      <c r="O1" s="487" t="s">
        <v>331</v>
      </c>
      <c r="P1" s="35"/>
      <c r="Q1" s="35"/>
      <c r="R1" s="35"/>
      <c r="S1" s="35"/>
      <c r="T1" s="35"/>
      <c r="U1" s="35"/>
      <c r="V1" s="35"/>
      <c r="W1" s="35"/>
      <c r="X1" s="35"/>
      <c r="Y1" s="35"/>
      <c r="Z1" s="35"/>
      <c r="AA1" s="35"/>
      <c r="AB1" s="35"/>
    </row>
    <row r="2" spans="1:28" ht="56.25" customHeight="1">
      <c r="B2" s="126"/>
      <c r="C2" s="481"/>
      <c r="D2" s="481"/>
      <c r="E2" s="126"/>
      <c r="F2" s="221"/>
      <c r="G2" s="305"/>
      <c r="H2" s="126"/>
      <c r="I2" s="126"/>
      <c r="J2" s="126"/>
      <c r="K2" s="126"/>
      <c r="L2" s="126"/>
      <c r="M2" s="333"/>
      <c r="N2" s="91"/>
      <c r="O2" s="216"/>
    </row>
    <row r="3" spans="1:28" ht="66.75" customHeight="1">
      <c r="B3" s="126"/>
      <c r="C3" s="481"/>
      <c r="D3" s="481"/>
      <c r="E3" s="126"/>
      <c r="F3" s="221"/>
      <c r="G3" s="305"/>
      <c r="H3" s="126"/>
      <c r="I3" s="126"/>
      <c r="J3" s="126"/>
      <c r="K3" s="126"/>
      <c r="L3" s="126"/>
      <c r="M3" s="333"/>
      <c r="O3" s="144"/>
    </row>
    <row r="4" spans="1:28" ht="15.75" customHeight="1"/>
    <row r="5" spans="1:28" ht="15.75" customHeight="1"/>
    <row r="6" spans="1:28" ht="15.75" customHeight="1">
      <c r="K6" s="144"/>
    </row>
    <row r="7" spans="1:28" ht="15.75" customHeight="1"/>
    <row r="8" spans="1:28" ht="15.75" customHeight="1"/>
    <row r="9" spans="1:28" ht="15.75" customHeight="1"/>
    <row r="10" spans="1:28" ht="15.75" customHeight="1"/>
    <row r="11" spans="1:28" ht="15.75" customHeight="1"/>
    <row r="12" spans="1:28" ht="15.75" customHeight="1"/>
    <row r="13" spans="1:28" ht="15.75" customHeight="1"/>
    <row r="14" spans="1:28" ht="15.75" customHeight="1"/>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sheetData>
  <autoFilter ref="A1:M1" xr:uid="{3A2BB050-11AC-4ED7-A296-96B42C7FCFBA}"/>
  <dataValidations count="5">
    <dataValidation type="list" allowBlank="1" showErrorMessage="1" sqref="F2:F3" xr:uid="{972024C6-2C9C-47D4-9AFB-FA5BC4C2AC75}">
      <formula1>"Bounceback,Defect,None"</formula1>
    </dataValidation>
    <dataValidation type="list" allowBlank="1" showErrorMessage="1" sqref="K2:K3" xr:uid="{D4CBB29D-CAA4-4EC8-BE3F-CA78F0CC64C6}">
      <formula1>"Open,Inprogress,Closed"</formula1>
    </dataValidation>
    <dataValidation type="list" allowBlank="1" showErrorMessage="1" sqref="I2:I3" xr:uid="{8C7602C8-6965-471E-9BBE-CC88D1E792F9}">
      <formula1>"Manual, Automation"</formula1>
    </dataValidation>
    <dataValidation type="list" allowBlank="1" showErrorMessage="1" sqref="H2:H3" xr:uid="{FC7A4167-D231-42D1-AA81-302C60D85B17}">
      <formula1>"Minor,Significant,Major"</formula1>
    </dataValidation>
    <dataValidation type="list" allowBlank="1" showErrorMessage="1" sqref="J2:J3" xr:uid="{BF59C97E-6BF1-4C1C-8C3B-2F6B90B71E84}">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A07157C5-9F52-4F4C-9AD7-DAA169953E04}">
          <x14:formula1>
            <xm:f>Details!$A$2:$A$10</xm:f>
          </x14:formula1>
          <xm:sqref>L2:L3</xm:sqref>
        </x14:dataValidation>
      </x14:dataValidations>
    </ext>
  </extLs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D1EBD-632D-49A3-A306-30CB4D305213}">
  <dimension ref="A1:AD12"/>
  <sheetViews>
    <sheetView workbookViewId="0">
      <pane xSplit="7" ySplit="1" topLeftCell="AE2" activePane="bottomRight" state="frozen"/>
      <selection pane="bottomRight" activeCell="AE2" sqref="AE2"/>
      <selection pane="bottomLeft"/>
      <selection pane="topRight"/>
    </sheetView>
  </sheetViews>
  <sheetFormatPr defaultRowHeight="12.75"/>
  <cols>
    <col min="2" max="2" width="13.28515625" customWidth="1"/>
    <col min="3" max="3" width="10.85546875" customWidth="1"/>
    <col min="4" max="4" width="12.140625" customWidth="1"/>
    <col min="5" max="5" width="40.7109375" customWidth="1"/>
    <col min="6" max="6" width="29.7109375" customWidth="1"/>
    <col min="7" max="7" width="18.85546875" customWidth="1"/>
    <col min="8" max="8" width="50.28515625" style="137" customWidth="1"/>
    <col min="9" max="9" width="16.85546875" customWidth="1"/>
    <col min="10" max="11" width="11.42578125" bestFit="1" customWidth="1"/>
    <col min="12" max="14" width="11.42578125" customWidth="1"/>
    <col min="15" max="15" width="13.140625" customWidth="1"/>
    <col min="16" max="16" width="13.42578125" style="144" customWidth="1"/>
    <col min="17" max="17" width="29.140625" customWidth="1"/>
    <col min="18" max="18" width="16.42578125" customWidth="1"/>
    <col min="19" max="19" width="14.85546875" customWidth="1"/>
    <col min="20" max="20" width="24.42578125" style="144" customWidth="1"/>
    <col min="21" max="22" width="12.7109375" bestFit="1" customWidth="1"/>
    <col min="23" max="23" width="11.42578125" bestFit="1" customWidth="1"/>
    <col min="24" max="24" width="11.42578125" style="144" bestFit="1" customWidth="1"/>
    <col min="25" max="25" width="11.42578125" bestFit="1" customWidth="1"/>
    <col min="26" max="26" width="12.7109375" bestFit="1" customWidth="1"/>
    <col min="27" max="29" width="11.42578125" bestFit="1" customWidth="1"/>
    <col min="30" max="30" width="27.42578125" customWidth="1"/>
  </cols>
  <sheetData>
    <row r="1" spans="1:30" ht="46.5">
      <c r="A1" s="379" t="s">
        <v>254</v>
      </c>
      <c r="B1" s="404" t="s">
        <v>4</v>
      </c>
      <c r="C1" s="404" t="s">
        <v>2</v>
      </c>
      <c r="D1" s="404" t="s">
        <v>3</v>
      </c>
      <c r="E1" s="380" t="s">
        <v>255</v>
      </c>
      <c r="F1" s="381" t="s">
        <v>256</v>
      </c>
      <c r="G1" s="382" t="s">
        <v>257</v>
      </c>
      <c r="H1" s="383" t="s">
        <v>258</v>
      </c>
      <c r="I1" s="383" t="s">
        <v>259</v>
      </c>
      <c r="J1" s="384" t="s">
        <v>260</v>
      </c>
      <c r="K1" s="384" t="s">
        <v>261</v>
      </c>
      <c r="L1" s="384" t="s">
        <v>262</v>
      </c>
      <c r="M1" s="384" t="s">
        <v>263</v>
      </c>
      <c r="N1" s="384" t="s">
        <v>264</v>
      </c>
      <c r="O1" s="385" t="s">
        <v>265</v>
      </c>
      <c r="P1" s="385" t="s">
        <v>266</v>
      </c>
      <c r="Q1" s="385" t="s">
        <v>267</v>
      </c>
      <c r="R1" s="385" t="s">
        <v>268</v>
      </c>
      <c r="S1" s="385" t="s">
        <v>269</v>
      </c>
      <c r="T1" s="385" t="s">
        <v>270</v>
      </c>
      <c r="U1" s="385" t="s">
        <v>271</v>
      </c>
      <c r="V1" s="385" t="s">
        <v>272</v>
      </c>
      <c r="W1" s="385" t="s">
        <v>273</v>
      </c>
      <c r="X1" s="385" t="s">
        <v>274</v>
      </c>
      <c r="Y1" s="385" t="s">
        <v>275</v>
      </c>
      <c r="Z1" s="385" t="s">
        <v>276</v>
      </c>
      <c r="AA1" s="385" t="s">
        <v>277</v>
      </c>
      <c r="AB1" s="385" t="s">
        <v>278</v>
      </c>
      <c r="AC1" s="385" t="s">
        <v>279</v>
      </c>
      <c r="AD1" s="386" t="s">
        <v>280</v>
      </c>
    </row>
    <row r="2" spans="1:30" s="256" customFormat="1" ht="128.25" customHeight="1">
      <c r="A2" s="369">
        <v>1</v>
      </c>
      <c r="B2" s="444" t="s">
        <v>5</v>
      </c>
      <c r="C2" s="445">
        <v>45869</v>
      </c>
      <c r="D2" s="445">
        <v>45883</v>
      </c>
      <c r="E2" s="469" t="s">
        <v>144</v>
      </c>
      <c r="F2" s="376" t="s">
        <v>286</v>
      </c>
      <c r="G2" s="203" t="s">
        <v>1054</v>
      </c>
      <c r="H2" s="90" t="s">
        <v>1055</v>
      </c>
      <c r="I2" s="471" t="s">
        <v>289</v>
      </c>
      <c r="J2" s="369">
        <v>2</v>
      </c>
      <c r="K2" s="486"/>
      <c r="L2" s="327">
        <v>26.75</v>
      </c>
      <c r="M2" s="511" t="s">
        <v>1056</v>
      </c>
      <c r="N2" s="511" t="s">
        <v>1056</v>
      </c>
      <c r="O2" s="229" t="s">
        <v>290</v>
      </c>
      <c r="P2" s="229" t="s">
        <v>457</v>
      </c>
      <c r="Q2" s="370" t="s">
        <v>1057</v>
      </c>
      <c r="R2" s="250" t="s">
        <v>437</v>
      </c>
      <c r="S2" s="152" t="s">
        <v>291</v>
      </c>
      <c r="T2" s="200" t="s">
        <v>1058</v>
      </c>
      <c r="U2" s="372">
        <v>45863</v>
      </c>
      <c r="V2" s="373">
        <v>45867</v>
      </c>
      <c r="W2" s="370" t="s">
        <v>426</v>
      </c>
      <c r="X2" s="370" t="s">
        <v>291</v>
      </c>
      <c r="Y2" s="327" t="s">
        <v>1059</v>
      </c>
      <c r="Z2" s="373">
        <v>45867</v>
      </c>
      <c r="AA2" s="370" t="s">
        <v>291</v>
      </c>
      <c r="AB2" s="327" t="s">
        <v>291</v>
      </c>
      <c r="AC2" s="327" t="s">
        <v>291</v>
      </c>
      <c r="AD2" s="390" t="s">
        <v>1060</v>
      </c>
    </row>
    <row r="3" spans="1:30" ht="117" customHeight="1">
      <c r="A3" s="369">
        <v>2</v>
      </c>
      <c r="B3" s="369" t="s">
        <v>5</v>
      </c>
      <c r="C3" s="372">
        <v>45869</v>
      </c>
      <c r="D3" s="430">
        <v>45883</v>
      </c>
      <c r="E3" s="250" t="s">
        <v>144</v>
      </c>
      <c r="F3" s="203" t="s">
        <v>437</v>
      </c>
      <c r="G3" s="247" t="s">
        <v>1061</v>
      </c>
      <c r="H3" s="321" t="s">
        <v>1062</v>
      </c>
      <c r="I3" s="374" t="s">
        <v>289</v>
      </c>
      <c r="J3" s="228">
        <v>2</v>
      </c>
      <c r="K3" s="369"/>
      <c r="L3" s="327">
        <v>16.5</v>
      </c>
      <c r="M3" s="511" t="s">
        <v>1056</v>
      </c>
      <c r="N3" s="511" t="s">
        <v>1056</v>
      </c>
      <c r="O3" s="229" t="s">
        <v>290</v>
      </c>
      <c r="P3" s="329" t="s">
        <v>457</v>
      </c>
      <c r="Q3" s="370" t="s">
        <v>1057</v>
      </c>
      <c r="R3" s="250" t="s">
        <v>286</v>
      </c>
      <c r="S3" s="228" t="s">
        <v>291</v>
      </c>
      <c r="T3" s="200" t="s">
        <v>1063</v>
      </c>
      <c r="U3" s="372">
        <v>45866</v>
      </c>
      <c r="V3" s="373">
        <v>45869</v>
      </c>
      <c r="W3" s="327" t="s">
        <v>426</v>
      </c>
      <c r="X3" s="370" t="s">
        <v>291</v>
      </c>
      <c r="Y3" s="327" t="s">
        <v>1059</v>
      </c>
      <c r="Z3" s="373">
        <v>45869</v>
      </c>
      <c r="AA3" s="370" t="s">
        <v>291</v>
      </c>
      <c r="AB3" s="327" t="s">
        <v>291</v>
      </c>
      <c r="AC3" s="327" t="s">
        <v>291</v>
      </c>
      <c r="AD3" s="388" t="s">
        <v>1060</v>
      </c>
    </row>
    <row r="4" spans="1:30" ht="66" customHeight="1">
      <c r="A4" s="369">
        <v>3</v>
      </c>
      <c r="B4" s="369" t="s">
        <v>5</v>
      </c>
      <c r="C4" s="372">
        <v>45869</v>
      </c>
      <c r="D4" s="430">
        <v>45883</v>
      </c>
      <c r="E4" s="203" t="s">
        <v>144</v>
      </c>
      <c r="F4" s="137" t="s">
        <v>437</v>
      </c>
      <c r="G4" s="250" t="s">
        <v>1064</v>
      </c>
      <c r="H4" s="490" t="s">
        <v>1065</v>
      </c>
      <c r="I4" s="228" t="s">
        <v>289</v>
      </c>
      <c r="J4" s="181">
        <v>3</v>
      </c>
      <c r="K4" s="327"/>
      <c r="L4" s="327">
        <v>18.25</v>
      </c>
      <c r="M4" s="372"/>
      <c r="N4" s="372"/>
      <c r="O4" s="229"/>
      <c r="P4" s="329"/>
      <c r="Q4" s="370"/>
      <c r="R4" s="250"/>
      <c r="S4" s="216"/>
      <c r="T4" s="200"/>
      <c r="U4" s="372"/>
      <c r="V4" s="373"/>
      <c r="W4" s="327"/>
      <c r="X4" s="370"/>
      <c r="Y4" s="327"/>
      <c r="Z4" s="373"/>
      <c r="AA4" s="370"/>
      <c r="AB4" s="327"/>
      <c r="AC4" s="327"/>
      <c r="AD4" s="388"/>
    </row>
    <row r="5" spans="1:30" ht="72.75" customHeight="1">
      <c r="A5" s="369">
        <v>4</v>
      </c>
      <c r="B5" s="369" t="s">
        <v>5</v>
      </c>
      <c r="C5" s="372">
        <v>45869</v>
      </c>
      <c r="D5" s="430">
        <v>45883</v>
      </c>
      <c r="E5" s="250" t="s">
        <v>144</v>
      </c>
      <c r="F5" s="203" t="s">
        <v>292</v>
      </c>
      <c r="G5" s="431" t="s">
        <v>1066</v>
      </c>
      <c r="H5" s="203" t="s">
        <v>1067</v>
      </c>
      <c r="I5" s="181" t="s">
        <v>289</v>
      </c>
      <c r="J5" s="228">
        <v>2</v>
      </c>
      <c r="K5" s="369"/>
      <c r="L5" s="327">
        <v>31</v>
      </c>
      <c r="M5" s="372">
        <v>45873</v>
      </c>
      <c r="N5" s="372">
        <v>45876</v>
      </c>
      <c r="O5" s="229" t="s">
        <v>290</v>
      </c>
      <c r="P5" s="329" t="s">
        <v>457</v>
      </c>
      <c r="Q5" s="370" t="s">
        <v>291</v>
      </c>
      <c r="R5" s="250" t="s">
        <v>298</v>
      </c>
      <c r="S5" s="218" t="s">
        <v>291</v>
      </c>
      <c r="T5" s="271" t="s">
        <v>1068</v>
      </c>
      <c r="U5" s="372">
        <v>45877</v>
      </c>
      <c r="V5" s="373">
        <v>45880</v>
      </c>
      <c r="W5" s="327" t="s">
        <v>426</v>
      </c>
      <c r="X5" s="370" t="s">
        <v>291</v>
      </c>
      <c r="Y5" s="327" t="s">
        <v>295</v>
      </c>
      <c r="Z5" s="373">
        <v>45880</v>
      </c>
      <c r="AA5" s="370" t="s">
        <v>291</v>
      </c>
      <c r="AB5" s="327" t="s">
        <v>291</v>
      </c>
      <c r="AC5" s="327" t="s">
        <v>291</v>
      </c>
      <c r="AD5" s="509"/>
    </row>
    <row r="6" spans="1:30" ht="45" customHeight="1">
      <c r="A6" s="369">
        <v>5</v>
      </c>
      <c r="B6" s="369" t="s">
        <v>5</v>
      </c>
      <c r="C6" s="372">
        <v>45869</v>
      </c>
      <c r="D6" s="430">
        <v>45883</v>
      </c>
      <c r="E6" s="250" t="s">
        <v>144</v>
      </c>
      <c r="F6" s="505" t="s">
        <v>292</v>
      </c>
      <c r="G6" s="502" t="s">
        <v>1069</v>
      </c>
      <c r="H6" s="321" t="s">
        <v>1070</v>
      </c>
      <c r="I6" s="327" t="s">
        <v>289</v>
      </c>
      <c r="J6" s="181">
        <v>2</v>
      </c>
      <c r="K6" s="327"/>
      <c r="L6" s="327">
        <v>22.25</v>
      </c>
      <c r="M6" s="372">
        <v>45870</v>
      </c>
      <c r="N6" s="372">
        <v>45876</v>
      </c>
      <c r="O6" s="229" t="s">
        <v>290</v>
      </c>
      <c r="P6" s="329" t="s">
        <v>457</v>
      </c>
      <c r="Q6" s="327" t="s">
        <v>291</v>
      </c>
      <c r="R6" s="250" t="s">
        <v>298</v>
      </c>
      <c r="S6" s="58" t="s">
        <v>291</v>
      </c>
      <c r="T6" s="200" t="s">
        <v>1071</v>
      </c>
      <c r="U6" s="372">
        <v>45876</v>
      </c>
      <c r="V6" s="373">
        <v>45877</v>
      </c>
      <c r="W6" s="327" t="s">
        <v>426</v>
      </c>
      <c r="X6" s="370" t="s">
        <v>291</v>
      </c>
      <c r="Y6" s="327" t="s">
        <v>295</v>
      </c>
      <c r="Z6" s="373">
        <v>45877</v>
      </c>
      <c r="AA6" s="370" t="s">
        <v>291</v>
      </c>
      <c r="AB6" s="327" t="s">
        <v>291</v>
      </c>
      <c r="AC6" s="327" t="s">
        <v>291</v>
      </c>
      <c r="AD6" s="388"/>
    </row>
    <row r="7" spans="1:30" ht="35.25" customHeight="1">
      <c r="A7" s="369">
        <v>6</v>
      </c>
      <c r="B7" s="369" t="s">
        <v>5</v>
      </c>
      <c r="C7" s="372">
        <v>45869</v>
      </c>
      <c r="D7" s="372">
        <v>45883</v>
      </c>
      <c r="E7" s="256" t="s">
        <v>144</v>
      </c>
      <c r="F7" s="62" t="s">
        <v>298</v>
      </c>
      <c r="G7" s="431" t="s">
        <v>1072</v>
      </c>
      <c r="H7" s="229" t="s">
        <v>1073</v>
      </c>
      <c r="I7" s="506" t="s">
        <v>289</v>
      </c>
      <c r="J7" s="228">
        <v>5</v>
      </c>
      <c r="K7" s="369"/>
      <c r="L7" s="327">
        <v>53.25</v>
      </c>
      <c r="M7" s="372">
        <v>45870</v>
      </c>
      <c r="N7" s="372">
        <v>45882</v>
      </c>
      <c r="O7" s="229" t="s">
        <v>290</v>
      </c>
      <c r="P7" s="329" t="s">
        <v>457</v>
      </c>
      <c r="Q7" s="370" t="s">
        <v>291</v>
      </c>
      <c r="R7" s="229" t="s">
        <v>1074</v>
      </c>
      <c r="S7" t="s">
        <v>291</v>
      </c>
      <c r="T7" s="432" t="s">
        <v>1075</v>
      </c>
      <c r="U7" s="373">
        <v>45882</v>
      </c>
      <c r="V7" s="373">
        <v>45882</v>
      </c>
      <c r="W7" s="327" t="s">
        <v>426</v>
      </c>
      <c r="X7" s="370" t="s">
        <v>291</v>
      </c>
      <c r="Y7" s="327" t="s">
        <v>295</v>
      </c>
      <c r="Z7" s="373">
        <v>45882</v>
      </c>
      <c r="AA7" s="370" t="s">
        <v>291</v>
      </c>
      <c r="AB7" s="327" t="s">
        <v>291</v>
      </c>
      <c r="AC7" s="327" t="s">
        <v>291</v>
      </c>
      <c r="AD7" s="388" t="s">
        <v>1076</v>
      </c>
    </row>
    <row r="8" spans="1:30" ht="42.75" customHeight="1">
      <c r="A8" s="369">
        <v>7</v>
      </c>
      <c r="B8" s="369" t="s">
        <v>5</v>
      </c>
      <c r="C8" s="372">
        <v>45869</v>
      </c>
      <c r="D8" s="430">
        <v>45883</v>
      </c>
      <c r="E8" s="490" t="s">
        <v>144</v>
      </c>
      <c r="F8" s="305" t="s">
        <v>426</v>
      </c>
      <c r="G8" s="431" t="s">
        <v>1077</v>
      </c>
      <c r="H8" s="187" t="s">
        <v>1078</v>
      </c>
      <c r="I8" s="506" t="s">
        <v>289</v>
      </c>
      <c r="J8" s="228">
        <v>1</v>
      </c>
      <c r="K8" s="369"/>
      <c r="L8" s="327">
        <v>7.25</v>
      </c>
      <c r="M8" s="373">
        <v>45870</v>
      </c>
      <c r="N8" s="373">
        <v>45873</v>
      </c>
      <c r="O8" s="229" t="s">
        <v>290</v>
      </c>
      <c r="P8" s="329" t="s">
        <v>298</v>
      </c>
      <c r="Q8" s="327" t="s">
        <v>291</v>
      </c>
      <c r="R8" s="250" t="s">
        <v>294</v>
      </c>
      <c r="S8" s="58" t="s">
        <v>291</v>
      </c>
      <c r="T8" s="200" t="s">
        <v>1079</v>
      </c>
      <c r="U8" s="372">
        <v>45870</v>
      </c>
      <c r="V8" s="373">
        <v>45874</v>
      </c>
      <c r="W8" s="327" t="s">
        <v>294</v>
      </c>
      <c r="X8" s="370" t="s">
        <v>291</v>
      </c>
      <c r="Y8" s="327" t="s">
        <v>1059</v>
      </c>
      <c r="Z8" s="373">
        <v>45874</v>
      </c>
      <c r="AA8" s="370" t="s">
        <v>291</v>
      </c>
      <c r="AB8" s="327" t="s">
        <v>291</v>
      </c>
      <c r="AC8" s="327" t="s">
        <v>291</v>
      </c>
      <c r="AD8" s="249"/>
    </row>
    <row r="9" spans="1:30" ht="63" customHeight="1">
      <c r="A9" s="369">
        <v>8</v>
      </c>
      <c r="B9" s="369" t="s">
        <v>5</v>
      </c>
      <c r="C9" s="372">
        <v>45869</v>
      </c>
      <c r="D9" s="430">
        <v>45883</v>
      </c>
      <c r="E9" s="229" t="s">
        <v>144</v>
      </c>
      <c r="F9" s="229" t="s">
        <v>286</v>
      </c>
      <c r="G9" s="431" t="s">
        <v>1080</v>
      </c>
      <c r="H9" s="268" t="s">
        <v>1081</v>
      </c>
      <c r="I9" s="369" t="s">
        <v>289</v>
      </c>
      <c r="J9" s="181"/>
      <c r="K9" s="327"/>
      <c r="L9" s="374">
        <v>2.75</v>
      </c>
      <c r="M9" s="512">
        <v>45874</v>
      </c>
      <c r="N9" s="372">
        <v>45874</v>
      </c>
      <c r="O9" s="229" t="s">
        <v>290</v>
      </c>
      <c r="P9" s="329" t="s">
        <v>457</v>
      </c>
      <c r="Q9" s="327" t="s">
        <v>291</v>
      </c>
      <c r="R9" s="229" t="s">
        <v>437</v>
      </c>
      <c r="S9" t="s">
        <v>291</v>
      </c>
      <c r="T9" s="432" t="s">
        <v>1082</v>
      </c>
      <c r="U9" s="373">
        <v>45874</v>
      </c>
      <c r="V9" s="373">
        <v>45875</v>
      </c>
      <c r="W9" s="327" t="s">
        <v>426</v>
      </c>
      <c r="X9" s="370" t="s">
        <v>291</v>
      </c>
      <c r="Y9" s="327" t="s">
        <v>295</v>
      </c>
      <c r="Z9" s="373">
        <v>45876</v>
      </c>
      <c r="AA9" s="370" t="s">
        <v>291</v>
      </c>
      <c r="AB9" s="327" t="s">
        <v>291</v>
      </c>
      <c r="AC9" s="327" t="s">
        <v>291</v>
      </c>
      <c r="AD9" s="388" t="s">
        <v>1083</v>
      </c>
    </row>
    <row r="10" spans="1:30" ht="58.5">
      <c r="A10" s="369">
        <v>9</v>
      </c>
      <c r="B10" s="369" t="s">
        <v>5</v>
      </c>
      <c r="C10" s="372">
        <v>45869</v>
      </c>
      <c r="D10" s="430">
        <v>45883</v>
      </c>
      <c r="E10" s="203" t="s">
        <v>144</v>
      </c>
      <c r="F10" s="203" t="s">
        <v>298</v>
      </c>
      <c r="G10" s="247" t="s">
        <v>1084</v>
      </c>
      <c r="H10" s="321" t="s">
        <v>1085</v>
      </c>
      <c r="I10" s="327" t="s">
        <v>289</v>
      </c>
      <c r="K10" s="327"/>
      <c r="L10" s="327">
        <v>5</v>
      </c>
      <c r="M10" s="476">
        <v>45874</v>
      </c>
      <c r="N10" s="373">
        <v>45874</v>
      </c>
      <c r="O10" s="229" t="s">
        <v>290</v>
      </c>
      <c r="P10" s="329" t="s">
        <v>457</v>
      </c>
      <c r="Q10" s="327" t="s">
        <v>291</v>
      </c>
      <c r="R10" s="229" t="s">
        <v>437</v>
      </c>
      <c r="S10" t="s">
        <v>291</v>
      </c>
      <c r="T10" s="432" t="s">
        <v>1086</v>
      </c>
      <c r="U10" s="373">
        <v>45874</v>
      </c>
      <c r="V10" s="373">
        <v>45875</v>
      </c>
      <c r="W10" s="327" t="s">
        <v>426</v>
      </c>
      <c r="X10" s="370" t="s">
        <v>291</v>
      </c>
      <c r="Y10" s="327" t="s">
        <v>295</v>
      </c>
      <c r="Z10" s="373">
        <v>45876</v>
      </c>
      <c r="AA10" s="370" t="s">
        <v>291</v>
      </c>
      <c r="AB10" s="327" t="s">
        <v>291</v>
      </c>
      <c r="AC10" s="327" t="s">
        <v>291</v>
      </c>
      <c r="AD10" s="388" t="s">
        <v>1083</v>
      </c>
    </row>
    <row r="11" spans="1:30">
      <c r="A11" s="369">
        <v>10</v>
      </c>
      <c r="B11" s="369" t="s">
        <v>5</v>
      </c>
      <c r="C11" s="372">
        <v>45869</v>
      </c>
      <c r="D11" s="372">
        <v>45883</v>
      </c>
      <c r="E11" t="s">
        <v>144</v>
      </c>
      <c r="F11" t="s">
        <v>457</v>
      </c>
      <c r="G11" s="229" t="s">
        <v>1031</v>
      </c>
      <c r="H11" s="137" t="s">
        <v>1032</v>
      </c>
      <c r="I11" s="327" t="s">
        <v>549</v>
      </c>
      <c r="J11" s="181">
        <v>3</v>
      </c>
      <c r="K11" s="327"/>
      <c r="L11" s="327">
        <v>21</v>
      </c>
      <c r="M11" s="327"/>
      <c r="N11" s="327"/>
      <c r="O11" s="229"/>
      <c r="P11" s="329"/>
      <c r="Q11" s="327"/>
      <c r="R11" s="229"/>
      <c r="T11" s="432"/>
      <c r="U11" s="373"/>
      <c r="V11" s="373"/>
      <c r="W11" s="327"/>
      <c r="X11" s="370"/>
      <c r="Y11" s="327"/>
      <c r="Z11" s="373"/>
      <c r="AA11" s="370"/>
      <c r="AB11" s="327"/>
      <c r="AC11" s="327"/>
      <c r="AD11" s="249"/>
    </row>
    <row r="12" spans="1:30">
      <c r="A12" s="369">
        <v>11</v>
      </c>
      <c r="B12" s="369" t="s">
        <v>5</v>
      </c>
      <c r="C12" s="372">
        <v>45869</v>
      </c>
      <c r="D12" s="372">
        <v>45883</v>
      </c>
      <c r="E12" t="s">
        <v>144</v>
      </c>
      <c r="F12" t="s">
        <v>457</v>
      </c>
      <c r="G12" s="229" t="s">
        <v>1087</v>
      </c>
      <c r="H12" s="137" t="s">
        <v>1088</v>
      </c>
      <c r="I12" s="327" t="s">
        <v>289</v>
      </c>
      <c r="J12" s="181">
        <v>3</v>
      </c>
      <c r="K12" s="327"/>
      <c r="L12" s="327">
        <v>64</v>
      </c>
      <c r="M12" s="327"/>
      <c r="N12" s="327"/>
      <c r="O12" s="229"/>
      <c r="P12" s="329"/>
      <c r="Q12" s="327"/>
      <c r="R12" s="229"/>
      <c r="T12" s="432"/>
      <c r="U12" s="373"/>
      <c r="V12" s="373"/>
      <c r="W12" s="327"/>
      <c r="X12" s="370"/>
      <c r="Y12" s="327"/>
      <c r="Z12" s="373"/>
      <c r="AA12" s="370"/>
      <c r="AB12" s="327"/>
      <c r="AC12" s="327"/>
      <c r="AD12" s="249"/>
    </row>
  </sheetData>
  <hyperlinks>
    <hyperlink ref="T2" r:id="rId1" xr:uid="{8ACF5D24-B754-4EE5-AFF9-49AAABC7BB79}"/>
    <hyperlink ref="T3" r:id="rId2" xr:uid="{42ED4664-A5A3-4764-A3B7-F56BF7341F0A}"/>
    <hyperlink ref="T8" r:id="rId3" xr:uid="{92B2D8B1-5E3B-45EE-A718-B66AD6DC5ED7}"/>
    <hyperlink ref="T9" r:id="rId4" xr:uid="{6E4A37B1-DD19-4AA9-B5E1-4438B885F6A8}"/>
    <hyperlink ref="T10" r:id="rId5" xr:uid="{60016813-8015-44CD-86B1-DC102D371FCF}"/>
    <hyperlink ref="T6" r:id="rId6" xr:uid="{1C816837-F1BB-4CBA-9AEC-89B3AB4C7239}"/>
    <hyperlink ref="T5" r:id="rId7" xr:uid="{2D83CC86-6EB5-4823-B7FC-D9D7ED905CAC}"/>
    <hyperlink ref="T7" r:id="rId8" xr:uid="{98E5BDAA-D56D-4C67-BACF-E877CBDD918B}"/>
  </hyperlinks>
  <pageMargins left="0.7" right="0.7" top="0.75" bottom="0.75" header="0.3" footer="0.3"/>
  <tableParts count="1">
    <tablePart r:id="rId9"/>
  </tableParts>
  <extLst>
    <ext xmlns:x14="http://schemas.microsoft.com/office/spreadsheetml/2009/9/main" uri="{CCE6A557-97BC-4b89-ADB6-D9C93CAAB3DF}">
      <x14:dataValidations xmlns:xm="http://schemas.microsoft.com/office/excel/2006/main" count="1">
        <x14:dataValidation type="list" allowBlank="1" showErrorMessage="1" xr:uid="{6C0AC12B-C27B-4841-842D-67095B39601D}">
          <x14:formula1>
            <xm:f>Settings!$C$3:$C$20</xm:f>
          </x14:formula1>
          <xm:sqref>I2:I12</xm:sqref>
        </x14:dataValidation>
      </x14:dataValidations>
    </ext>
  </extLs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AC4DD-2877-41B1-9329-9924CCD60146}">
  <sheetPr>
    <outlinePr summaryBelow="0" summaryRight="0"/>
  </sheetPr>
  <dimension ref="A1:AB988"/>
  <sheetViews>
    <sheetView topLeftCell="I1" workbookViewId="0">
      <selection activeCell="O3" sqref="O3"/>
    </sheetView>
  </sheetViews>
  <sheetFormatPr defaultColWidth="12.5703125" defaultRowHeight="15" customHeight="1"/>
  <cols>
    <col min="1" max="1" width="12.5703125" hidden="1" customWidth="1"/>
    <col min="2" max="2" width="21.42578125" customWidth="1"/>
    <col min="3" max="3" width="23.5703125" customWidth="1"/>
    <col min="4" max="4" width="14.42578125" customWidth="1"/>
    <col min="5" max="5" width="19.140625" customWidth="1"/>
    <col min="6" max="6" width="37.5703125" customWidth="1"/>
    <col min="7" max="7" width="41.140625" customWidth="1"/>
    <col min="8" max="9" width="18.7109375" customWidth="1"/>
    <col min="10" max="10" width="9.140625" bestFit="1" customWidth="1"/>
    <col min="11" max="11" width="19" customWidth="1"/>
    <col min="12" max="12" width="18" customWidth="1"/>
    <col min="13" max="13" width="41" customWidth="1"/>
    <col min="14" max="14" width="14.140625" style="122" customWidth="1"/>
    <col min="15" max="15" width="29" customWidth="1"/>
  </cols>
  <sheetData>
    <row r="1" spans="1:28" ht="13.5">
      <c r="A1" s="434" t="s">
        <v>254</v>
      </c>
      <c r="B1" s="1" t="s">
        <v>321</v>
      </c>
      <c r="C1" s="198" t="s">
        <v>322</v>
      </c>
      <c r="D1" s="198" t="s">
        <v>323</v>
      </c>
      <c r="E1" s="1" t="s">
        <v>256</v>
      </c>
      <c r="F1" s="198" t="s">
        <v>324</v>
      </c>
      <c r="G1" s="198" t="s">
        <v>325</v>
      </c>
      <c r="H1" s="1" t="s">
        <v>326</v>
      </c>
      <c r="I1" s="1" t="s">
        <v>327</v>
      </c>
      <c r="J1" s="1" t="s">
        <v>328</v>
      </c>
      <c r="K1" s="1" t="s">
        <v>259</v>
      </c>
      <c r="L1" s="156" t="s">
        <v>329</v>
      </c>
      <c r="M1" s="8" t="s">
        <v>280</v>
      </c>
      <c r="N1" s="487" t="s">
        <v>330</v>
      </c>
      <c r="O1" s="487" t="s">
        <v>331</v>
      </c>
      <c r="P1" s="35"/>
      <c r="Q1" s="35"/>
      <c r="R1" s="35"/>
      <c r="S1" s="35"/>
      <c r="T1" s="35"/>
      <c r="U1" s="35"/>
      <c r="V1" s="35"/>
      <c r="W1" s="35"/>
      <c r="X1" s="35"/>
      <c r="Y1" s="35"/>
      <c r="Z1" s="35"/>
      <c r="AA1" s="35"/>
      <c r="AB1" s="35"/>
    </row>
    <row r="2" spans="1:28" ht="56.25" customHeight="1">
      <c r="B2" s="126" t="s">
        <v>144</v>
      </c>
      <c r="C2" s="481" t="s">
        <v>1089</v>
      </c>
      <c r="D2" s="481" t="s">
        <v>1054</v>
      </c>
      <c r="E2" s="126" t="s">
        <v>298</v>
      </c>
      <c r="F2" s="221" t="s">
        <v>380</v>
      </c>
      <c r="G2" s="305" t="s">
        <v>1081</v>
      </c>
      <c r="H2" s="126" t="s">
        <v>381</v>
      </c>
      <c r="I2" s="126" t="s">
        <v>382</v>
      </c>
      <c r="J2" s="126" t="s">
        <v>383</v>
      </c>
      <c r="K2" s="126" t="s">
        <v>384</v>
      </c>
      <c r="L2" s="126" t="s">
        <v>385</v>
      </c>
      <c r="M2" s="333" t="s">
        <v>1090</v>
      </c>
      <c r="N2" s="91" t="s">
        <v>457</v>
      </c>
      <c r="O2" s="216" t="s">
        <v>1091</v>
      </c>
    </row>
    <row r="3" spans="1:28" ht="66.75" customHeight="1">
      <c r="B3" s="126" t="s">
        <v>144</v>
      </c>
      <c r="C3" s="481" t="s">
        <v>1092</v>
      </c>
      <c r="D3" s="481" t="s">
        <v>1061</v>
      </c>
      <c r="E3" s="126" t="s">
        <v>298</v>
      </c>
      <c r="F3" s="221" t="s">
        <v>380</v>
      </c>
      <c r="G3" s="305" t="s">
        <v>1085</v>
      </c>
      <c r="H3" s="126" t="s">
        <v>381</v>
      </c>
      <c r="I3" s="126" t="s">
        <v>382</v>
      </c>
      <c r="J3" s="126" t="s">
        <v>383</v>
      </c>
      <c r="K3" s="126" t="s">
        <v>384</v>
      </c>
      <c r="L3" s="126" t="s">
        <v>385</v>
      </c>
      <c r="M3" s="333" t="s">
        <v>1093</v>
      </c>
      <c r="N3" s="122" t="s">
        <v>457</v>
      </c>
      <c r="O3" s="144" t="s">
        <v>1094</v>
      </c>
    </row>
    <row r="4" spans="1:28" ht="15.75" customHeight="1"/>
    <row r="5" spans="1:28" ht="15.75" customHeight="1"/>
    <row r="6" spans="1:28" ht="15.75" customHeight="1">
      <c r="K6" s="144"/>
    </row>
    <row r="7" spans="1:28" ht="15.75" customHeight="1"/>
    <row r="8" spans="1:28" ht="15.75" customHeight="1"/>
    <row r="9" spans="1:28" ht="15.75" customHeight="1"/>
    <row r="10" spans="1:28" ht="15.75" customHeight="1"/>
    <row r="11" spans="1:28" ht="15.75" customHeight="1"/>
    <row r="12" spans="1:28" ht="15.75" customHeight="1"/>
    <row r="13" spans="1:28" ht="15.75" customHeight="1"/>
    <row r="14" spans="1:28" ht="15.75" customHeight="1"/>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sheetData>
  <autoFilter ref="A1:M1" xr:uid="{3A2BB050-11AC-4ED7-A296-96B42C7FCFBA}"/>
  <dataValidations count="5">
    <dataValidation type="list" allowBlank="1" showErrorMessage="1" sqref="J2:J3" xr:uid="{6BB204A0-162B-445F-B2F8-6A512E5AD086}">
      <formula1>"Internal,External"</formula1>
    </dataValidation>
    <dataValidation type="list" allowBlank="1" showErrorMessage="1" sqref="H2:H3" xr:uid="{1EC0F97D-264E-4AED-9B69-7366060368B5}">
      <formula1>"Minor,Significant,Major"</formula1>
    </dataValidation>
    <dataValidation type="list" allowBlank="1" showErrorMessage="1" sqref="I2:I3" xr:uid="{AD6EADB3-BFAE-4179-BA6F-327993C3FCCB}">
      <formula1>"Manual, Automation"</formula1>
    </dataValidation>
    <dataValidation type="list" allowBlank="1" showErrorMessage="1" sqref="K2:K3" xr:uid="{80B84A06-64B5-441D-BBB3-2F76927E9EA0}">
      <formula1>"Open,Inprogress,Closed"</formula1>
    </dataValidation>
    <dataValidation type="list" allowBlank="1" showErrorMessage="1" sqref="F2:F3" xr:uid="{9DBB601B-BFC1-41EC-8951-7D8CA2F32748}">
      <formula1>"Bounceback,Defect,None"</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DC03D2F4-2053-40CE-AC1F-5A6330AD1285}">
          <x14:formula1>
            <xm:f>Details!$A$2:$A$10</xm:f>
          </x14:formula1>
          <xm:sqref>L2:L3</xm:sqref>
        </x14:dataValidation>
      </x14:dataValidations>
    </ext>
  </extLs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CE5CB-BEC9-479A-846F-954409E9D570}">
  <dimension ref="A1:AD9"/>
  <sheetViews>
    <sheetView workbookViewId="0">
      <pane xSplit="7" ySplit="1" topLeftCell="I2" activePane="bottomRight" state="frozen"/>
      <selection pane="bottomRight" activeCell="I2" sqref="I2"/>
      <selection pane="bottomLeft"/>
      <selection pane="topRight"/>
    </sheetView>
  </sheetViews>
  <sheetFormatPr defaultRowHeight="12.75"/>
  <cols>
    <col min="2" max="2" width="13.28515625" customWidth="1"/>
    <col min="3" max="3" width="10.85546875" customWidth="1"/>
    <col min="4" max="4" width="12.140625" customWidth="1"/>
    <col min="5" max="5" width="40.7109375" customWidth="1"/>
    <col min="6" max="6" width="29.7109375" customWidth="1"/>
    <col min="7" max="7" width="18.85546875" customWidth="1"/>
    <col min="8" max="8" width="41.7109375" style="137" customWidth="1"/>
    <col min="9" max="9" width="16.85546875" customWidth="1"/>
    <col min="10" max="11" width="11.42578125" bestFit="1" customWidth="1"/>
    <col min="12" max="14" width="11.42578125" customWidth="1"/>
    <col min="15" max="15" width="13.140625" customWidth="1"/>
    <col min="16" max="16" width="13.42578125" style="144" customWidth="1"/>
    <col min="17" max="17" width="29.140625" customWidth="1"/>
    <col min="18" max="18" width="16.42578125" customWidth="1"/>
    <col min="19" max="19" width="14.85546875" customWidth="1"/>
    <col min="20" max="20" width="24.42578125" style="144" customWidth="1"/>
    <col min="21" max="22" width="12.7109375" bestFit="1" customWidth="1"/>
    <col min="23" max="23" width="11.42578125" bestFit="1" customWidth="1"/>
    <col min="24" max="24" width="11.42578125" style="144" bestFit="1" customWidth="1"/>
    <col min="25" max="25" width="11.42578125" bestFit="1" customWidth="1"/>
    <col min="26" max="26" width="12.7109375" bestFit="1" customWidth="1"/>
    <col min="27" max="29" width="11.42578125" bestFit="1" customWidth="1"/>
    <col min="30" max="30" width="27.42578125" customWidth="1"/>
  </cols>
  <sheetData>
    <row r="1" spans="1:30" ht="46.5">
      <c r="A1" s="379" t="s">
        <v>254</v>
      </c>
      <c r="B1" s="404" t="s">
        <v>4</v>
      </c>
      <c r="C1" s="404" t="s">
        <v>2</v>
      </c>
      <c r="D1" s="404" t="s">
        <v>3</v>
      </c>
      <c r="E1" s="380" t="s">
        <v>255</v>
      </c>
      <c r="F1" s="381" t="s">
        <v>256</v>
      </c>
      <c r="G1" s="382" t="s">
        <v>257</v>
      </c>
      <c r="H1" s="383" t="s">
        <v>258</v>
      </c>
      <c r="I1" s="383" t="s">
        <v>259</v>
      </c>
      <c r="J1" s="384" t="s">
        <v>260</v>
      </c>
      <c r="K1" s="384" t="s">
        <v>261</v>
      </c>
      <c r="L1" s="384" t="s">
        <v>262</v>
      </c>
      <c r="M1" s="384" t="s">
        <v>263</v>
      </c>
      <c r="N1" s="384" t="s">
        <v>264</v>
      </c>
      <c r="O1" s="385" t="s">
        <v>265</v>
      </c>
      <c r="P1" s="385" t="s">
        <v>266</v>
      </c>
      <c r="Q1" s="385" t="s">
        <v>267</v>
      </c>
      <c r="R1" s="385" t="s">
        <v>268</v>
      </c>
      <c r="S1" s="385" t="s">
        <v>269</v>
      </c>
      <c r="T1" s="385" t="s">
        <v>270</v>
      </c>
      <c r="U1" s="385" t="s">
        <v>271</v>
      </c>
      <c r="V1" s="385" t="s">
        <v>272</v>
      </c>
      <c r="W1" s="385" t="s">
        <v>273</v>
      </c>
      <c r="X1" s="385" t="s">
        <v>274</v>
      </c>
      <c r="Y1" s="385" t="s">
        <v>275</v>
      </c>
      <c r="Z1" s="385" t="s">
        <v>276</v>
      </c>
      <c r="AA1" s="385" t="s">
        <v>277</v>
      </c>
      <c r="AB1" s="385" t="s">
        <v>278</v>
      </c>
      <c r="AC1" s="385" t="s">
        <v>279</v>
      </c>
      <c r="AD1" s="386" t="s">
        <v>280</v>
      </c>
    </row>
    <row r="2" spans="1:30" s="256" customFormat="1" ht="128.25" customHeight="1">
      <c r="A2" s="369">
        <v>1</v>
      </c>
      <c r="B2" s="444" t="s">
        <v>5</v>
      </c>
      <c r="C2" s="445">
        <v>45855</v>
      </c>
      <c r="D2" s="445">
        <v>45869</v>
      </c>
      <c r="E2" s="469" t="s">
        <v>140</v>
      </c>
      <c r="F2" s="376" t="s">
        <v>286</v>
      </c>
      <c r="G2" s="203" t="s">
        <v>1054</v>
      </c>
      <c r="H2" s="90" t="s">
        <v>1055</v>
      </c>
      <c r="I2" s="471" t="s">
        <v>532</v>
      </c>
      <c r="J2" s="369">
        <v>8</v>
      </c>
      <c r="K2" s="486"/>
      <c r="L2" s="327">
        <v>89</v>
      </c>
      <c r="M2" s="372">
        <v>45856</v>
      </c>
      <c r="N2" s="372">
        <v>45862</v>
      </c>
      <c r="O2" s="229" t="s">
        <v>290</v>
      </c>
      <c r="P2" s="329" t="s">
        <v>457</v>
      </c>
      <c r="Q2" s="370" t="s">
        <v>1095</v>
      </c>
      <c r="R2" s="250" t="s">
        <v>437</v>
      </c>
      <c r="S2" s="152" t="s">
        <v>291</v>
      </c>
      <c r="T2" s="200" t="s">
        <v>1058</v>
      </c>
      <c r="U2" s="372">
        <v>45862</v>
      </c>
      <c r="V2" s="373"/>
      <c r="W2" s="370" t="s">
        <v>426</v>
      </c>
      <c r="X2" s="370" t="s">
        <v>291</v>
      </c>
      <c r="Y2" s="327" t="s">
        <v>1059</v>
      </c>
      <c r="Z2" s="373"/>
      <c r="AA2" s="370"/>
      <c r="AB2" s="327"/>
      <c r="AC2" s="327"/>
      <c r="AD2" s="390" t="s">
        <v>1096</v>
      </c>
    </row>
    <row r="3" spans="1:30" ht="117" customHeight="1">
      <c r="A3" s="369">
        <v>2</v>
      </c>
      <c r="B3" s="369" t="s">
        <v>5</v>
      </c>
      <c r="C3" s="372">
        <v>45855</v>
      </c>
      <c r="D3" s="430">
        <v>45869</v>
      </c>
      <c r="E3" s="250" t="s">
        <v>140</v>
      </c>
      <c r="F3" s="203" t="s">
        <v>437</v>
      </c>
      <c r="G3" s="247" t="s">
        <v>1061</v>
      </c>
      <c r="H3" s="321" t="s">
        <v>1062</v>
      </c>
      <c r="I3" s="374" t="s">
        <v>532</v>
      </c>
      <c r="J3" s="228">
        <v>3</v>
      </c>
      <c r="K3" s="369"/>
      <c r="L3" s="327">
        <v>35.25</v>
      </c>
      <c r="M3" s="372">
        <v>45862</v>
      </c>
      <c r="N3" s="372">
        <v>45863</v>
      </c>
      <c r="O3" s="229" t="s">
        <v>290</v>
      </c>
      <c r="P3" s="329" t="s">
        <v>457</v>
      </c>
      <c r="Q3" s="370" t="s">
        <v>1097</v>
      </c>
      <c r="R3" s="250" t="s">
        <v>286</v>
      </c>
      <c r="S3" s="228" t="s">
        <v>291</v>
      </c>
      <c r="T3" s="200" t="s">
        <v>1063</v>
      </c>
      <c r="U3" s="372">
        <v>45863</v>
      </c>
      <c r="V3" s="373"/>
      <c r="W3" s="327" t="s">
        <v>426</v>
      </c>
      <c r="X3" s="370" t="s">
        <v>291</v>
      </c>
      <c r="Y3" s="327" t="s">
        <v>1059</v>
      </c>
      <c r="Z3" s="373"/>
      <c r="AA3" s="370"/>
      <c r="AB3" s="327"/>
      <c r="AC3" s="327"/>
      <c r="AD3" s="388" t="s">
        <v>1098</v>
      </c>
    </row>
    <row r="4" spans="1:30" ht="66" customHeight="1">
      <c r="A4" s="369">
        <v>3</v>
      </c>
      <c r="B4" s="369" t="s">
        <v>5</v>
      </c>
      <c r="C4" s="372">
        <v>45855</v>
      </c>
      <c r="D4" s="430">
        <v>45869</v>
      </c>
      <c r="E4" s="203" t="s">
        <v>140</v>
      </c>
      <c r="F4" s="137" t="s">
        <v>437</v>
      </c>
      <c r="G4" s="250" t="s">
        <v>1099</v>
      </c>
      <c r="H4" s="490" t="s">
        <v>1065</v>
      </c>
      <c r="I4" s="228" t="s">
        <v>289</v>
      </c>
      <c r="J4" s="181">
        <v>1</v>
      </c>
      <c r="K4" s="327"/>
      <c r="L4" s="327">
        <v>13</v>
      </c>
      <c r="M4" s="372">
        <v>45868</v>
      </c>
      <c r="N4" s="372"/>
      <c r="O4" s="229"/>
      <c r="P4" s="329"/>
      <c r="Q4" s="370"/>
      <c r="R4" s="250"/>
      <c r="S4" s="216"/>
      <c r="T4" s="200"/>
      <c r="U4" s="372"/>
      <c r="V4" s="373"/>
      <c r="W4" s="327"/>
      <c r="X4" s="370"/>
      <c r="Y4" s="327"/>
      <c r="Z4" s="373"/>
      <c r="AA4" s="370"/>
      <c r="AB4" s="327"/>
      <c r="AC4" s="327"/>
      <c r="AD4" s="388"/>
    </row>
    <row r="5" spans="1:30" ht="72.75" customHeight="1">
      <c r="A5" s="369">
        <v>4</v>
      </c>
      <c r="B5" s="369" t="s">
        <v>5</v>
      </c>
      <c r="C5" s="372">
        <v>45855</v>
      </c>
      <c r="D5" s="430">
        <v>45869</v>
      </c>
      <c r="E5" s="250" t="s">
        <v>140</v>
      </c>
      <c r="F5" s="203" t="s">
        <v>426</v>
      </c>
      <c r="G5" s="431" t="s">
        <v>1100</v>
      </c>
      <c r="H5" s="203" t="s">
        <v>1101</v>
      </c>
      <c r="I5" s="181" t="s">
        <v>289</v>
      </c>
      <c r="J5" s="228">
        <v>1</v>
      </c>
      <c r="K5" s="369"/>
      <c r="L5" s="327">
        <v>47.25</v>
      </c>
      <c r="M5" s="372">
        <v>45856</v>
      </c>
      <c r="N5" s="372">
        <v>45861</v>
      </c>
      <c r="O5" s="229" t="s">
        <v>290</v>
      </c>
      <c r="P5" s="329" t="s">
        <v>457</v>
      </c>
      <c r="Q5" s="370" t="s">
        <v>1102</v>
      </c>
      <c r="R5" s="250" t="s">
        <v>298</v>
      </c>
      <c r="S5" s="218" t="s">
        <v>291</v>
      </c>
      <c r="T5" s="271" t="s">
        <v>1103</v>
      </c>
      <c r="U5" s="372">
        <v>45860</v>
      </c>
      <c r="V5" s="373">
        <v>45861</v>
      </c>
      <c r="W5" s="327" t="s">
        <v>294</v>
      </c>
      <c r="X5" s="370" t="s">
        <v>291</v>
      </c>
      <c r="Y5" s="327" t="s">
        <v>295</v>
      </c>
      <c r="Z5" s="373">
        <v>45861</v>
      </c>
      <c r="AA5" s="370" t="s">
        <v>291</v>
      </c>
      <c r="AB5" s="327" t="s">
        <v>291</v>
      </c>
      <c r="AC5" s="327" t="s">
        <v>291</v>
      </c>
      <c r="AD5" s="509" t="s">
        <v>1104</v>
      </c>
    </row>
    <row r="6" spans="1:30" ht="23.25">
      <c r="A6" s="369">
        <v>5</v>
      </c>
      <c r="B6" s="369" t="s">
        <v>5</v>
      </c>
      <c r="C6" s="372">
        <v>45855</v>
      </c>
      <c r="D6" s="430">
        <v>45869</v>
      </c>
      <c r="E6" s="250" t="s">
        <v>140</v>
      </c>
      <c r="F6" s="505" t="s">
        <v>295</v>
      </c>
      <c r="G6" s="502" t="s">
        <v>1105</v>
      </c>
      <c r="H6" s="137" t="s">
        <v>1106</v>
      </c>
      <c r="I6" s="327" t="s">
        <v>289</v>
      </c>
      <c r="J6" s="181">
        <v>1</v>
      </c>
      <c r="K6" s="327"/>
      <c r="L6" s="327">
        <v>72.5</v>
      </c>
      <c r="M6" s="372"/>
      <c r="N6" s="372"/>
      <c r="O6" s="229"/>
      <c r="P6" s="329"/>
      <c r="Q6" s="327"/>
      <c r="R6" s="250"/>
      <c r="S6" s="58"/>
      <c r="T6" s="200"/>
      <c r="U6" s="372"/>
      <c r="V6" s="373"/>
      <c r="W6" s="327"/>
      <c r="X6" s="370"/>
      <c r="Y6" s="327"/>
      <c r="Z6" s="373"/>
      <c r="AA6" s="370"/>
      <c r="AB6" s="327"/>
      <c r="AC6" s="327"/>
      <c r="AD6" s="388" t="s">
        <v>1107</v>
      </c>
    </row>
    <row r="7" spans="1:30">
      <c r="A7" s="369">
        <v>6</v>
      </c>
      <c r="B7" s="369" t="s">
        <v>5</v>
      </c>
      <c r="C7" s="372">
        <v>45855</v>
      </c>
      <c r="D7" s="372">
        <v>45869</v>
      </c>
      <c r="E7" s="256" t="s">
        <v>1108</v>
      </c>
      <c r="F7" s="62" t="s">
        <v>426</v>
      </c>
      <c r="G7" s="431" t="s">
        <v>1077</v>
      </c>
      <c r="H7" s="229" t="s">
        <v>1109</v>
      </c>
      <c r="I7" s="506" t="s">
        <v>301</v>
      </c>
      <c r="J7" s="228">
        <v>1</v>
      </c>
      <c r="K7" s="369"/>
      <c r="L7" s="327">
        <v>29.25</v>
      </c>
      <c r="M7" s="372"/>
      <c r="N7" s="372"/>
      <c r="O7" s="229"/>
      <c r="P7" s="329"/>
      <c r="Q7" s="370"/>
      <c r="R7" s="229"/>
      <c r="T7" s="432"/>
      <c r="U7" s="373"/>
      <c r="V7" s="373"/>
      <c r="W7" s="327"/>
      <c r="X7" s="370"/>
      <c r="Y7" s="327"/>
      <c r="Z7" s="373"/>
      <c r="AA7" s="370"/>
      <c r="AB7" s="327"/>
      <c r="AC7" s="327"/>
      <c r="AD7" s="388"/>
    </row>
    <row r="8" spans="1:30">
      <c r="A8" s="369"/>
      <c r="B8" s="369"/>
      <c r="C8" s="372"/>
      <c r="D8" s="430"/>
      <c r="E8" s="490"/>
      <c r="F8" s="305"/>
      <c r="G8" s="431"/>
      <c r="H8" s="187"/>
      <c r="I8" s="506"/>
      <c r="J8" s="228"/>
      <c r="K8" s="369"/>
      <c r="L8" s="327"/>
      <c r="M8" s="373"/>
      <c r="N8" s="373"/>
      <c r="O8" s="229"/>
      <c r="P8" s="329"/>
      <c r="Q8" s="327"/>
      <c r="R8" s="250"/>
      <c r="S8" s="58"/>
      <c r="T8" s="200"/>
      <c r="U8" s="372"/>
      <c r="V8" s="373"/>
      <c r="W8" s="327"/>
      <c r="X8" s="370"/>
      <c r="Y8" s="327"/>
      <c r="Z8" s="373"/>
      <c r="AA8" s="370"/>
      <c r="AB8" s="327"/>
      <c r="AC8" s="327"/>
      <c r="AD8" s="249"/>
    </row>
    <row r="9" spans="1:30">
      <c r="A9" s="369"/>
      <c r="B9" s="369"/>
      <c r="C9" s="372"/>
      <c r="D9" s="430"/>
      <c r="E9" s="203"/>
      <c r="F9" s="203"/>
      <c r="G9" s="431"/>
      <c r="H9" s="268"/>
      <c r="I9" s="369"/>
      <c r="J9" s="181"/>
      <c r="K9" s="327"/>
      <c r="L9" s="327"/>
      <c r="M9" s="327"/>
      <c r="N9" s="327"/>
      <c r="O9" s="229"/>
      <c r="P9" s="329"/>
      <c r="Q9" s="327"/>
      <c r="R9" s="229"/>
      <c r="T9" s="432"/>
      <c r="U9" s="373"/>
      <c r="V9" s="373"/>
      <c r="W9" s="327"/>
      <c r="X9" s="370"/>
      <c r="Y9" s="327"/>
      <c r="Z9" s="373"/>
      <c r="AA9" s="370"/>
      <c r="AB9" s="327"/>
      <c r="AC9" s="327"/>
      <c r="AD9" s="388"/>
    </row>
  </sheetData>
  <hyperlinks>
    <hyperlink ref="T5" r:id="rId1" xr:uid="{18BCDCB0-B3B7-4E4B-BECB-4061FF20854F}"/>
    <hyperlink ref="T2" r:id="rId2" xr:uid="{FBBB36E2-1417-48CF-81B3-FAE703BC6776}"/>
    <hyperlink ref="T3" r:id="rId3" xr:uid="{29FCBD72-2D6F-44D6-A0BA-A7FCDB4ADCE6}"/>
  </hyperlinks>
  <pageMargins left="0.7" right="0.7" top="0.75" bottom="0.75" header="0.3" footer="0.3"/>
  <tableParts count="1">
    <tablePart r:id="rId4"/>
  </tableParts>
  <extLst>
    <ext xmlns:x14="http://schemas.microsoft.com/office/spreadsheetml/2009/9/main" uri="{CCE6A557-97BC-4b89-ADB6-D9C93CAAB3DF}">
      <x14:dataValidations xmlns:xm="http://schemas.microsoft.com/office/excel/2006/main" count="1">
        <x14:dataValidation type="list" allowBlank="1" showErrorMessage="1" xr:uid="{4A5AE6C6-5CCE-47B0-9795-3F574BB657FC}">
          <x14:formula1>
            <xm:f>Settings!$C$3:$C$20</xm:f>
          </x14:formula1>
          <xm:sqref>I2:I9</xm:sqref>
        </x14:dataValidation>
      </x14:dataValidations>
    </ext>
  </extLs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E8B4B-0600-4CB0-B2D5-21199D76DDA8}">
  <sheetPr>
    <outlinePr summaryBelow="0" summaryRight="0"/>
  </sheetPr>
  <dimension ref="A1:AB988"/>
  <sheetViews>
    <sheetView topLeftCell="B1" workbookViewId="0">
      <selection activeCell="A2" sqref="A2"/>
    </sheetView>
  </sheetViews>
  <sheetFormatPr defaultColWidth="12.5703125" defaultRowHeight="15" customHeight="1"/>
  <cols>
    <col min="1" max="1" width="12.5703125" hidden="1" customWidth="1"/>
    <col min="2" max="2" width="21.42578125" customWidth="1"/>
    <col min="3" max="3" width="23.5703125" customWidth="1"/>
    <col min="4" max="4" width="14.42578125" customWidth="1"/>
    <col min="5" max="5" width="19.140625" customWidth="1"/>
    <col min="6" max="6" width="37.5703125" customWidth="1"/>
    <col min="7" max="7" width="41.140625" customWidth="1"/>
    <col min="8" max="9" width="18.7109375" customWidth="1"/>
    <col min="10" max="10" width="9.140625" bestFit="1" customWidth="1"/>
    <col min="11" max="11" width="19" customWidth="1"/>
    <col min="12" max="12" width="18" customWidth="1"/>
    <col min="13" max="13" width="41" customWidth="1"/>
    <col min="14" max="14" width="14.140625" style="122" customWidth="1"/>
    <col min="15" max="15" width="29" customWidth="1"/>
  </cols>
  <sheetData>
    <row r="1" spans="1:28" ht="13.5">
      <c r="A1" s="434" t="s">
        <v>254</v>
      </c>
      <c r="B1" s="1" t="s">
        <v>321</v>
      </c>
      <c r="C1" s="198" t="s">
        <v>322</v>
      </c>
      <c r="D1" s="198" t="s">
        <v>323</v>
      </c>
      <c r="E1" s="1" t="s">
        <v>256</v>
      </c>
      <c r="F1" s="198" t="s">
        <v>324</v>
      </c>
      <c r="G1" s="198" t="s">
        <v>325</v>
      </c>
      <c r="H1" s="1" t="s">
        <v>326</v>
      </c>
      <c r="I1" s="1" t="s">
        <v>327</v>
      </c>
      <c r="J1" s="1" t="s">
        <v>328</v>
      </c>
      <c r="K1" s="1" t="s">
        <v>259</v>
      </c>
      <c r="L1" s="156" t="s">
        <v>329</v>
      </c>
      <c r="M1" s="8" t="s">
        <v>280</v>
      </c>
      <c r="N1" s="487" t="s">
        <v>330</v>
      </c>
      <c r="O1" s="487" t="s">
        <v>331</v>
      </c>
      <c r="P1" s="35"/>
      <c r="Q1" s="35"/>
      <c r="R1" s="35"/>
      <c r="S1" s="35"/>
      <c r="T1" s="35"/>
      <c r="U1" s="35"/>
      <c r="V1" s="35"/>
      <c r="W1" s="35"/>
      <c r="X1" s="35"/>
      <c r="Y1" s="35"/>
      <c r="Z1" s="35"/>
      <c r="AA1" s="35"/>
      <c r="AB1" s="35"/>
    </row>
    <row r="2" spans="1:28" ht="56.25" customHeight="1">
      <c r="B2" s="126"/>
      <c r="C2" s="481"/>
      <c r="D2" s="481"/>
      <c r="E2" s="126"/>
      <c r="F2" s="221"/>
      <c r="G2" s="305"/>
      <c r="H2" s="126"/>
      <c r="I2" s="126"/>
      <c r="J2" s="126"/>
      <c r="K2" s="126"/>
      <c r="L2" s="126"/>
      <c r="M2" s="333"/>
      <c r="N2" s="91"/>
      <c r="O2" s="216"/>
    </row>
    <row r="3" spans="1:28" ht="66.75" customHeight="1">
      <c r="B3" s="126"/>
      <c r="C3" s="481"/>
      <c r="D3" s="481"/>
      <c r="E3" s="126"/>
      <c r="F3" s="221"/>
      <c r="G3" s="305"/>
      <c r="H3" s="126"/>
      <c r="I3" s="126"/>
      <c r="J3" s="126"/>
      <c r="K3" s="126"/>
      <c r="L3" s="126"/>
      <c r="M3" s="333"/>
    </row>
    <row r="4" spans="1:28" ht="15.75" customHeight="1"/>
    <row r="5" spans="1:28" ht="15.75" customHeight="1"/>
    <row r="6" spans="1:28" ht="15.75" customHeight="1">
      <c r="K6" s="144"/>
    </row>
    <row r="7" spans="1:28" ht="15.75" customHeight="1"/>
    <row r="8" spans="1:28" ht="15.75" customHeight="1"/>
    <row r="9" spans="1:28" ht="15.75" customHeight="1"/>
    <row r="10" spans="1:28" ht="15.75" customHeight="1"/>
    <row r="11" spans="1:28" ht="15.75" customHeight="1"/>
    <row r="12" spans="1:28" ht="15.75" customHeight="1"/>
    <row r="13" spans="1:28" ht="15.75" customHeight="1"/>
    <row r="14" spans="1:28" ht="15.75" customHeight="1"/>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sheetData>
  <autoFilter ref="A1:M1" xr:uid="{3A2BB050-11AC-4ED7-A296-96B42C7FCFBA}"/>
  <dataValidations count="5">
    <dataValidation type="list" allowBlank="1" showErrorMessage="1" sqref="F2:F3" xr:uid="{96C72529-0200-4CBD-AF98-91887A305D40}">
      <formula1>"Bounceback,Defect,None"</formula1>
    </dataValidation>
    <dataValidation type="list" allowBlank="1" showErrorMessage="1" sqref="K2:K3" xr:uid="{06AE8CD3-F52A-4D29-A565-22FF398B33FF}">
      <formula1>"Open,Inprogress,Closed"</formula1>
    </dataValidation>
    <dataValidation type="list" allowBlank="1" showErrorMessage="1" sqref="I2:I3" xr:uid="{A05C6F19-1ED0-46FC-A05B-968F8D3EDCE9}">
      <formula1>"Manual, Automation"</formula1>
    </dataValidation>
    <dataValidation type="list" allowBlank="1" showErrorMessage="1" sqref="H2:H3" xr:uid="{CA24F6C6-3AA9-413D-8CFB-2E03A3AD8539}">
      <formula1>"Minor,Significant,Major"</formula1>
    </dataValidation>
    <dataValidation type="list" allowBlank="1" showErrorMessage="1" sqref="J2:J3" xr:uid="{D1B7BAFD-8212-4F9C-89FE-78CED397E9BC}">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13C594E1-4702-4F9C-88A0-EA0010FA1DC1}">
          <x14:formula1>
            <xm:f>Details!$A$2:$A$10</xm:f>
          </x14:formula1>
          <xm:sqref>L2:L3</xm:sqref>
        </x14:dataValidation>
      </x14:dataValidations>
    </ext>
  </extLs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127CC-45B6-47FB-93B8-F3910C959F62}">
  <dimension ref="A1:AD9"/>
  <sheetViews>
    <sheetView workbookViewId="0">
      <pane xSplit="7" ySplit="1" topLeftCell="L8" activePane="bottomRight" state="frozen"/>
      <selection pane="bottomRight" activeCell="L8" sqref="L8"/>
      <selection pane="bottomLeft"/>
      <selection pane="topRight"/>
    </sheetView>
  </sheetViews>
  <sheetFormatPr defaultRowHeight="12.75"/>
  <cols>
    <col min="2" max="2" width="13.28515625" customWidth="1"/>
    <col min="3" max="3" width="10.85546875" customWidth="1"/>
    <col min="4" max="4" width="12.140625" customWidth="1"/>
    <col min="5" max="5" width="40.7109375" customWidth="1"/>
    <col min="6" max="6" width="29.7109375" customWidth="1"/>
    <col min="7" max="7" width="18.85546875" customWidth="1"/>
    <col min="8" max="8" width="41.7109375" style="137" customWidth="1"/>
    <col min="9" max="9" width="16.85546875" customWidth="1"/>
    <col min="10" max="11" width="11.42578125" bestFit="1" customWidth="1"/>
    <col min="12" max="14" width="11.42578125" customWidth="1"/>
    <col min="15" max="15" width="13.140625" customWidth="1"/>
    <col min="16" max="16" width="13.42578125" style="144" customWidth="1"/>
    <col min="17" max="17" width="29.140625" customWidth="1"/>
    <col min="18" max="18" width="16.42578125" customWidth="1"/>
    <col min="19" max="19" width="14.85546875" customWidth="1"/>
    <col min="20" max="20" width="24.42578125" style="144" customWidth="1"/>
    <col min="21" max="22" width="12.7109375" bestFit="1" customWidth="1"/>
    <col min="23" max="23" width="11.42578125" bestFit="1" customWidth="1"/>
    <col min="24" max="24" width="11.42578125" style="144" bestFit="1" customWidth="1"/>
    <col min="25" max="25" width="11.42578125" bestFit="1" customWidth="1"/>
    <col min="26" max="26" width="12.7109375" bestFit="1" customWidth="1"/>
    <col min="27" max="29" width="11.42578125" bestFit="1" customWidth="1"/>
    <col min="30" max="30" width="27.42578125" customWidth="1"/>
  </cols>
  <sheetData>
    <row r="1" spans="1:30" ht="46.5">
      <c r="A1" s="379" t="s">
        <v>254</v>
      </c>
      <c r="B1" s="404" t="s">
        <v>4</v>
      </c>
      <c r="C1" s="404" t="s">
        <v>2</v>
      </c>
      <c r="D1" s="404" t="s">
        <v>3</v>
      </c>
      <c r="E1" s="380" t="s">
        <v>255</v>
      </c>
      <c r="F1" s="381" t="s">
        <v>256</v>
      </c>
      <c r="G1" s="382" t="s">
        <v>257</v>
      </c>
      <c r="H1" s="383" t="s">
        <v>258</v>
      </c>
      <c r="I1" s="383" t="s">
        <v>259</v>
      </c>
      <c r="J1" s="384" t="s">
        <v>260</v>
      </c>
      <c r="K1" s="384" t="s">
        <v>261</v>
      </c>
      <c r="L1" s="384" t="s">
        <v>262</v>
      </c>
      <c r="M1" s="384" t="s">
        <v>263</v>
      </c>
      <c r="N1" s="384" t="s">
        <v>264</v>
      </c>
      <c r="O1" s="385" t="s">
        <v>265</v>
      </c>
      <c r="P1" s="385" t="s">
        <v>266</v>
      </c>
      <c r="Q1" s="385" t="s">
        <v>267</v>
      </c>
      <c r="R1" s="385" t="s">
        <v>268</v>
      </c>
      <c r="S1" s="385" t="s">
        <v>269</v>
      </c>
      <c r="T1" s="385" t="s">
        <v>270</v>
      </c>
      <c r="U1" s="385" t="s">
        <v>271</v>
      </c>
      <c r="V1" s="385" t="s">
        <v>272</v>
      </c>
      <c r="W1" s="385" t="s">
        <v>273</v>
      </c>
      <c r="X1" s="385" t="s">
        <v>274</v>
      </c>
      <c r="Y1" s="385" t="s">
        <v>275</v>
      </c>
      <c r="Z1" s="385" t="s">
        <v>276</v>
      </c>
      <c r="AA1" s="385" t="s">
        <v>277</v>
      </c>
      <c r="AB1" s="385" t="s">
        <v>278</v>
      </c>
      <c r="AC1" s="385" t="s">
        <v>279</v>
      </c>
      <c r="AD1" s="386" t="s">
        <v>280</v>
      </c>
    </row>
    <row r="2" spans="1:30" s="256" customFormat="1" ht="128.25" customHeight="1">
      <c r="A2" s="369">
        <v>1</v>
      </c>
      <c r="B2" s="444" t="s">
        <v>5</v>
      </c>
      <c r="C2" s="445">
        <v>45841</v>
      </c>
      <c r="D2" s="445">
        <v>45855</v>
      </c>
      <c r="E2" s="469" t="s">
        <v>136</v>
      </c>
      <c r="F2" s="376" t="s">
        <v>292</v>
      </c>
      <c r="G2" s="203" t="s">
        <v>1110</v>
      </c>
      <c r="H2" s="90" t="s">
        <v>1111</v>
      </c>
      <c r="I2" s="471" t="s">
        <v>289</v>
      </c>
      <c r="J2" s="369">
        <v>5</v>
      </c>
      <c r="K2" s="486">
        <v>5</v>
      </c>
      <c r="L2" s="327">
        <v>70</v>
      </c>
      <c r="M2" s="372">
        <v>45842</v>
      </c>
      <c r="N2" s="372">
        <v>45849</v>
      </c>
      <c r="O2" s="229" t="s">
        <v>290</v>
      </c>
      <c r="P2" s="329" t="s">
        <v>457</v>
      </c>
      <c r="Q2" s="370"/>
      <c r="R2" s="250" t="s">
        <v>298</v>
      </c>
      <c r="S2" s="152" t="s">
        <v>291</v>
      </c>
      <c r="T2" s="200" t="s">
        <v>1112</v>
      </c>
      <c r="U2" s="372">
        <v>45848</v>
      </c>
      <c r="V2" s="373">
        <v>45849</v>
      </c>
      <c r="W2" s="370" t="s">
        <v>426</v>
      </c>
      <c r="X2" s="370" t="s">
        <v>291</v>
      </c>
      <c r="Y2" s="327" t="s">
        <v>295</v>
      </c>
      <c r="Z2" s="373">
        <v>45849</v>
      </c>
      <c r="AA2" s="370" t="s">
        <v>291</v>
      </c>
      <c r="AB2" s="327" t="s">
        <v>291</v>
      </c>
      <c r="AC2" s="327" t="s">
        <v>291</v>
      </c>
      <c r="AD2" s="390" t="s">
        <v>1113</v>
      </c>
    </row>
    <row r="3" spans="1:30" ht="117" customHeight="1">
      <c r="A3" s="369">
        <v>2</v>
      </c>
      <c r="B3" s="369" t="s">
        <v>5</v>
      </c>
      <c r="C3" s="372">
        <v>45841</v>
      </c>
      <c r="D3" s="430">
        <v>45855</v>
      </c>
      <c r="E3" s="250" t="s">
        <v>136</v>
      </c>
      <c r="F3" s="203" t="s">
        <v>298</v>
      </c>
      <c r="G3" s="247" t="s">
        <v>1114</v>
      </c>
      <c r="H3" s="321" t="s">
        <v>1115</v>
      </c>
      <c r="I3" s="374" t="s">
        <v>289</v>
      </c>
      <c r="J3" s="228">
        <v>3</v>
      </c>
      <c r="K3" s="369">
        <v>3</v>
      </c>
      <c r="L3" s="327">
        <v>58.75</v>
      </c>
      <c r="M3" s="372">
        <v>45842</v>
      </c>
      <c r="N3" s="372">
        <v>45849</v>
      </c>
      <c r="O3" s="229" t="s">
        <v>290</v>
      </c>
      <c r="P3" s="329" t="s">
        <v>457</v>
      </c>
      <c r="Q3" s="370" t="s">
        <v>1116</v>
      </c>
      <c r="R3" s="250" t="s">
        <v>292</v>
      </c>
      <c r="S3" s="228" t="s">
        <v>291</v>
      </c>
      <c r="T3" s="200" t="s">
        <v>1117</v>
      </c>
      <c r="U3" s="372">
        <v>45848</v>
      </c>
      <c r="V3" s="373">
        <v>45852</v>
      </c>
      <c r="W3" s="327" t="s">
        <v>426</v>
      </c>
      <c r="X3" s="370" t="s">
        <v>291</v>
      </c>
      <c r="Y3" s="327" t="s">
        <v>295</v>
      </c>
      <c r="Z3" s="373">
        <v>45852</v>
      </c>
      <c r="AA3" s="370" t="s">
        <v>291</v>
      </c>
      <c r="AB3" s="327" t="s">
        <v>291</v>
      </c>
      <c r="AC3" s="327" t="s">
        <v>291</v>
      </c>
      <c r="AD3" s="388" t="s">
        <v>1118</v>
      </c>
    </row>
    <row r="4" spans="1:30" ht="66" customHeight="1">
      <c r="A4" s="369">
        <v>3</v>
      </c>
      <c r="B4" s="369" t="s">
        <v>5</v>
      </c>
      <c r="C4" s="372">
        <v>45841</v>
      </c>
      <c r="D4" s="430">
        <v>45855</v>
      </c>
      <c r="E4" s="203" t="s">
        <v>136</v>
      </c>
      <c r="F4" s="137" t="s">
        <v>426</v>
      </c>
      <c r="G4" s="250" t="s">
        <v>1100</v>
      </c>
      <c r="H4" s="490" t="s">
        <v>1101</v>
      </c>
      <c r="I4" s="228" t="s">
        <v>301</v>
      </c>
      <c r="J4" s="181">
        <v>3</v>
      </c>
      <c r="K4" s="327"/>
      <c r="L4" s="327">
        <v>19.75</v>
      </c>
      <c r="M4" s="372">
        <v>45847</v>
      </c>
      <c r="N4" s="372"/>
      <c r="O4" s="229"/>
      <c r="P4" s="329"/>
      <c r="Q4" s="370"/>
      <c r="R4" s="250"/>
      <c r="S4" s="216"/>
      <c r="T4" s="200"/>
      <c r="U4" s="372"/>
      <c r="V4" s="373"/>
      <c r="W4" s="327"/>
      <c r="X4" s="370"/>
      <c r="Y4" s="327"/>
      <c r="Z4" s="373"/>
      <c r="AA4" s="370"/>
      <c r="AB4" s="327"/>
      <c r="AC4" s="327"/>
      <c r="AD4" s="388" t="s">
        <v>1119</v>
      </c>
    </row>
    <row r="5" spans="1:30" ht="72.75" customHeight="1">
      <c r="A5" s="369">
        <v>4</v>
      </c>
      <c r="B5" s="369" t="s">
        <v>5</v>
      </c>
      <c r="C5" s="372">
        <v>45841</v>
      </c>
      <c r="D5" s="430">
        <v>45855</v>
      </c>
      <c r="E5" s="250" t="s">
        <v>136</v>
      </c>
      <c r="F5" s="203" t="s">
        <v>286</v>
      </c>
      <c r="G5" s="431" t="s">
        <v>1120</v>
      </c>
      <c r="H5" s="203" t="s">
        <v>1121</v>
      </c>
      <c r="I5" s="181" t="s">
        <v>289</v>
      </c>
      <c r="J5" s="228">
        <v>1</v>
      </c>
      <c r="K5" s="369">
        <v>1</v>
      </c>
      <c r="L5" s="327">
        <v>25</v>
      </c>
      <c r="M5" s="372">
        <v>45853</v>
      </c>
      <c r="N5" s="372"/>
      <c r="O5" s="229"/>
      <c r="P5" s="329"/>
      <c r="Q5" s="327"/>
      <c r="R5" s="250"/>
      <c r="S5" s="218"/>
      <c r="T5" s="271"/>
      <c r="U5" s="372"/>
      <c r="V5" s="373"/>
      <c r="W5" s="327"/>
      <c r="X5" s="370"/>
      <c r="Y5" s="327"/>
      <c r="Z5" s="373"/>
      <c r="AA5" s="370"/>
      <c r="AB5" s="327"/>
      <c r="AC5" s="327"/>
      <c r="AD5" s="388" t="s">
        <v>1122</v>
      </c>
    </row>
    <row r="6" spans="1:30" ht="58.5">
      <c r="A6" s="369">
        <v>5</v>
      </c>
      <c r="B6" s="369" t="s">
        <v>5</v>
      </c>
      <c r="C6" s="372">
        <v>45841</v>
      </c>
      <c r="D6" s="430">
        <v>45855</v>
      </c>
      <c r="E6" s="203" t="s">
        <v>136</v>
      </c>
      <c r="F6" s="505" t="s">
        <v>292</v>
      </c>
      <c r="G6" s="502" t="s">
        <v>1123</v>
      </c>
      <c r="H6" s="137" t="s">
        <v>1124</v>
      </c>
      <c r="I6" s="327" t="s">
        <v>289</v>
      </c>
      <c r="J6" s="181">
        <v>5</v>
      </c>
      <c r="K6" s="327">
        <v>5</v>
      </c>
      <c r="L6" s="327">
        <v>39.25</v>
      </c>
      <c r="M6" s="372">
        <v>45848</v>
      </c>
      <c r="N6" s="372">
        <v>45852</v>
      </c>
      <c r="O6" s="229" t="s">
        <v>290</v>
      </c>
      <c r="P6" s="329" t="s">
        <v>457</v>
      </c>
      <c r="Q6" s="327" t="s">
        <v>1125</v>
      </c>
      <c r="R6" s="250" t="s">
        <v>298</v>
      </c>
      <c r="S6" s="58" t="s">
        <v>291</v>
      </c>
      <c r="T6" s="200" t="s">
        <v>1126</v>
      </c>
      <c r="U6" s="372">
        <v>45852</v>
      </c>
      <c r="V6" s="373">
        <v>45854</v>
      </c>
      <c r="W6" s="327" t="s">
        <v>426</v>
      </c>
      <c r="X6" s="370" t="s">
        <v>291</v>
      </c>
      <c r="Y6" s="327" t="s">
        <v>295</v>
      </c>
      <c r="Z6" s="373">
        <v>45853</v>
      </c>
      <c r="AA6" s="370" t="s">
        <v>291</v>
      </c>
      <c r="AB6" s="327" t="s">
        <v>291</v>
      </c>
      <c r="AC6" s="327" t="s">
        <v>291</v>
      </c>
      <c r="AD6" s="388" t="s">
        <v>1127</v>
      </c>
    </row>
    <row r="7" spans="1:30" ht="58.5">
      <c r="A7" s="369">
        <v>6</v>
      </c>
      <c r="B7" s="369" t="s">
        <v>5</v>
      </c>
      <c r="C7" s="372">
        <v>45841</v>
      </c>
      <c r="D7" s="372">
        <v>45855</v>
      </c>
      <c r="E7" s="256" t="s">
        <v>1128</v>
      </c>
      <c r="F7" s="62" t="s">
        <v>298</v>
      </c>
      <c r="G7" s="431" t="s">
        <v>1129</v>
      </c>
      <c r="H7" s="229" t="s">
        <v>1130</v>
      </c>
      <c r="I7" s="506" t="s">
        <v>289</v>
      </c>
      <c r="J7" s="228">
        <v>2</v>
      </c>
      <c r="K7" s="369">
        <v>2</v>
      </c>
      <c r="L7" s="327">
        <v>7.25</v>
      </c>
      <c r="M7" s="372">
        <v>45849</v>
      </c>
      <c r="N7" s="372">
        <v>45852</v>
      </c>
      <c r="O7" s="229" t="s">
        <v>290</v>
      </c>
      <c r="P7" s="329" t="s">
        <v>457</v>
      </c>
      <c r="Q7" s="370" t="s">
        <v>1131</v>
      </c>
      <c r="R7" s="229" t="s">
        <v>292</v>
      </c>
      <c r="S7" t="s">
        <v>291</v>
      </c>
      <c r="T7" s="432" t="s">
        <v>1132</v>
      </c>
      <c r="U7" s="373">
        <v>45852</v>
      </c>
      <c r="V7" s="373">
        <v>45854</v>
      </c>
      <c r="W7" s="327" t="s">
        <v>426</v>
      </c>
      <c r="X7" s="370" t="s">
        <v>291</v>
      </c>
      <c r="Y7" s="327" t="s">
        <v>295</v>
      </c>
      <c r="Z7" s="373">
        <v>45853</v>
      </c>
      <c r="AA7" s="370" t="s">
        <v>291</v>
      </c>
      <c r="AB7" s="327" t="s">
        <v>291</v>
      </c>
      <c r="AC7" s="327" t="s">
        <v>291</v>
      </c>
      <c r="AD7" s="388" t="s">
        <v>1127</v>
      </c>
    </row>
    <row r="8" spans="1:30" ht="58.5">
      <c r="A8" s="369">
        <v>7</v>
      </c>
      <c r="B8" s="369" t="s">
        <v>5</v>
      </c>
      <c r="C8" s="372">
        <v>45841</v>
      </c>
      <c r="D8" s="430">
        <v>45855</v>
      </c>
      <c r="E8" s="490" t="s">
        <v>136</v>
      </c>
      <c r="F8" s="305" t="s">
        <v>298</v>
      </c>
      <c r="G8" s="431" t="s">
        <v>1133</v>
      </c>
      <c r="H8" s="187" t="s">
        <v>1134</v>
      </c>
      <c r="I8" s="506" t="s">
        <v>289</v>
      </c>
      <c r="J8" s="228"/>
      <c r="K8" s="369"/>
      <c r="L8" s="327">
        <v>6.5</v>
      </c>
      <c r="M8" s="373">
        <v>45854</v>
      </c>
      <c r="N8" s="373">
        <v>45854</v>
      </c>
      <c r="O8" s="229" t="s">
        <v>290</v>
      </c>
      <c r="P8" s="329" t="s">
        <v>457</v>
      </c>
      <c r="Q8" s="327" t="s">
        <v>291</v>
      </c>
      <c r="R8" s="250" t="s">
        <v>292</v>
      </c>
      <c r="S8" s="58" t="s">
        <v>291</v>
      </c>
      <c r="T8" s="200" t="s">
        <v>1135</v>
      </c>
      <c r="U8" s="372">
        <v>45854</v>
      </c>
      <c r="V8" s="373">
        <v>45854</v>
      </c>
      <c r="W8" s="327" t="s">
        <v>426</v>
      </c>
      <c r="X8" s="370" t="s">
        <v>291</v>
      </c>
      <c r="Y8" s="327" t="s">
        <v>295</v>
      </c>
      <c r="Z8" s="373">
        <v>45854</v>
      </c>
      <c r="AA8" s="370" t="s">
        <v>291</v>
      </c>
      <c r="AB8" s="327" t="s">
        <v>291</v>
      </c>
      <c r="AC8" s="327" t="s">
        <v>291</v>
      </c>
      <c r="AD8" s="249"/>
    </row>
    <row r="9" spans="1:30">
      <c r="A9" s="369"/>
      <c r="B9" s="369"/>
      <c r="C9" s="372"/>
      <c r="D9" s="430"/>
      <c r="E9" s="203"/>
      <c r="F9" s="203"/>
      <c r="G9" s="431"/>
      <c r="H9" s="268"/>
      <c r="I9" s="369"/>
      <c r="J9" s="181"/>
      <c r="K9" s="327"/>
      <c r="L9" s="327"/>
      <c r="M9" s="327"/>
      <c r="N9" s="327"/>
      <c r="O9" s="229"/>
      <c r="P9" s="329"/>
      <c r="Q9" s="327"/>
      <c r="R9" s="229"/>
      <c r="T9" s="432"/>
      <c r="U9" s="373"/>
      <c r="V9" s="373"/>
      <c r="W9" s="327"/>
      <c r="X9" s="370"/>
      <c r="Y9" s="327"/>
      <c r="Z9" s="373"/>
      <c r="AA9" s="370"/>
      <c r="AB9" s="327"/>
      <c r="AC9" s="327"/>
      <c r="AD9" s="388"/>
    </row>
  </sheetData>
  <hyperlinks>
    <hyperlink ref="T3" r:id="rId1" xr:uid="{AE40E5D8-A216-4333-89B1-A98D66203F47}"/>
    <hyperlink ref="T2" r:id="rId2" xr:uid="{6D387292-E8D6-4E80-96A2-42FF7AFB03F4}"/>
    <hyperlink ref="T6" r:id="rId3" xr:uid="{AF73AB94-7025-43E7-86AA-7454D6FB3265}"/>
    <hyperlink ref="T7" r:id="rId4" xr:uid="{0C138559-58D3-4BE0-AA78-84A4FD97CA4F}"/>
    <hyperlink ref="T8" r:id="rId5" xr:uid="{B02B2B66-BCD3-4374-938E-F659B67F8F30}"/>
  </hyperlinks>
  <pageMargins left="0.7" right="0.7" top="0.75" bottom="0.75" header="0.3" footer="0.3"/>
  <tableParts count="1">
    <tablePart r:id="rId6"/>
  </tableParts>
  <extLst>
    <ext xmlns:x14="http://schemas.microsoft.com/office/spreadsheetml/2009/9/main" uri="{CCE6A557-97BC-4b89-ADB6-D9C93CAAB3DF}">
      <x14:dataValidations xmlns:xm="http://schemas.microsoft.com/office/excel/2006/main" count="1">
        <x14:dataValidation type="list" allowBlank="1" showErrorMessage="1" xr:uid="{3FECAAE0-047B-4AFA-88D3-07C3E37687C9}">
          <x14:formula1>
            <xm:f>Settings!$C$3:$C$20</xm:f>
          </x14:formula1>
          <xm:sqref>I2:I9</xm:sqref>
        </x14:dataValidation>
      </x14:dataValidations>
    </ext>
  </extLs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3F433-030C-4254-9216-48FA709DDE0B}">
  <sheetPr>
    <outlinePr summaryBelow="0" summaryRight="0"/>
  </sheetPr>
  <dimension ref="A1:AB988"/>
  <sheetViews>
    <sheetView topLeftCell="B1" workbookViewId="0">
      <selection activeCell="C2" activeCellId="1" sqref="K2 C2"/>
    </sheetView>
  </sheetViews>
  <sheetFormatPr defaultColWidth="12.5703125" defaultRowHeight="15" customHeight="1"/>
  <cols>
    <col min="1" max="1" width="12.5703125" hidden="1" customWidth="1"/>
    <col min="2" max="2" width="21.42578125" customWidth="1"/>
    <col min="3" max="3" width="23.5703125" customWidth="1"/>
    <col min="4" max="4" width="14.42578125" customWidth="1"/>
    <col min="5" max="5" width="19.140625" customWidth="1"/>
    <col min="6" max="6" width="37.5703125" customWidth="1"/>
    <col min="7" max="7" width="41.140625" customWidth="1"/>
    <col min="8" max="9" width="18.7109375" customWidth="1"/>
    <col min="10" max="10" width="9.140625" bestFit="1" customWidth="1"/>
    <col min="11" max="11" width="19" customWidth="1"/>
    <col min="12" max="12" width="18" customWidth="1"/>
    <col min="13" max="13" width="41" customWidth="1"/>
    <col min="14" max="14" width="14.140625" style="122" customWidth="1"/>
    <col min="15" max="15" width="29" customWidth="1"/>
  </cols>
  <sheetData>
    <row r="1" spans="1:28" ht="13.5">
      <c r="A1" s="434" t="s">
        <v>254</v>
      </c>
      <c r="B1" s="1" t="s">
        <v>321</v>
      </c>
      <c r="C1" s="198" t="s">
        <v>322</v>
      </c>
      <c r="D1" s="198" t="s">
        <v>323</v>
      </c>
      <c r="E1" s="1" t="s">
        <v>256</v>
      </c>
      <c r="F1" s="198" t="s">
        <v>324</v>
      </c>
      <c r="G1" s="198" t="s">
        <v>325</v>
      </c>
      <c r="H1" s="1" t="s">
        <v>326</v>
      </c>
      <c r="I1" s="1" t="s">
        <v>327</v>
      </c>
      <c r="J1" s="1" t="s">
        <v>328</v>
      </c>
      <c r="K1" s="1" t="s">
        <v>259</v>
      </c>
      <c r="L1" s="156" t="s">
        <v>329</v>
      </c>
      <c r="M1" s="8" t="s">
        <v>280</v>
      </c>
      <c r="N1" s="487" t="s">
        <v>330</v>
      </c>
      <c r="O1" s="487" t="s">
        <v>331</v>
      </c>
      <c r="P1" s="35"/>
      <c r="Q1" s="35"/>
      <c r="R1" s="35"/>
      <c r="S1" s="35"/>
      <c r="T1" s="35"/>
      <c r="U1" s="35"/>
      <c r="V1" s="35"/>
      <c r="W1" s="35"/>
      <c r="X1" s="35"/>
      <c r="Y1" s="35"/>
      <c r="Z1" s="35"/>
      <c r="AA1" s="35"/>
      <c r="AB1" s="35"/>
    </row>
    <row r="2" spans="1:28" ht="56.25" customHeight="1">
      <c r="B2" s="126" t="s">
        <v>136</v>
      </c>
      <c r="C2" s="481" t="s">
        <v>1136</v>
      </c>
      <c r="D2" s="481" t="s">
        <v>1137</v>
      </c>
      <c r="E2" s="126" t="s">
        <v>298</v>
      </c>
      <c r="F2" s="221" t="s">
        <v>380</v>
      </c>
      <c r="G2" s="305" t="s">
        <v>1134</v>
      </c>
      <c r="H2" s="126" t="s">
        <v>843</v>
      </c>
      <c r="I2" s="126" t="s">
        <v>382</v>
      </c>
      <c r="J2" s="126" t="s">
        <v>383</v>
      </c>
      <c r="K2" s="126" t="s">
        <v>384</v>
      </c>
      <c r="L2" s="126" t="s">
        <v>385</v>
      </c>
      <c r="M2" s="333" t="s">
        <v>1138</v>
      </c>
      <c r="N2" s="91" t="s">
        <v>457</v>
      </c>
      <c r="O2" s="216" t="s">
        <v>1139</v>
      </c>
    </row>
    <row r="3" spans="1:28" ht="66.75" customHeight="1">
      <c r="B3" s="126"/>
      <c r="C3" s="481"/>
      <c r="D3" s="481"/>
      <c r="E3" s="126"/>
      <c r="F3" s="221"/>
      <c r="G3" s="305"/>
      <c r="H3" s="126"/>
      <c r="I3" s="126"/>
      <c r="J3" s="126"/>
      <c r="K3" s="126"/>
      <c r="L3" s="126"/>
      <c r="M3" s="333"/>
    </row>
    <row r="4" spans="1:28" ht="15.75" customHeight="1"/>
    <row r="5" spans="1:28" ht="15.75" customHeight="1"/>
    <row r="6" spans="1:28" ht="15.75" customHeight="1">
      <c r="K6" s="144"/>
    </row>
    <row r="7" spans="1:28" ht="15.75" customHeight="1"/>
    <row r="8" spans="1:28" ht="15.75" customHeight="1"/>
    <row r="9" spans="1:28" ht="15.75" customHeight="1"/>
    <row r="10" spans="1:28" ht="15.75" customHeight="1"/>
    <row r="11" spans="1:28" ht="15.75" customHeight="1"/>
    <row r="12" spans="1:28" ht="15.75" customHeight="1"/>
    <row r="13" spans="1:28" ht="15.75" customHeight="1"/>
    <row r="14" spans="1:28" ht="15.75" customHeight="1"/>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sheetData>
  <autoFilter ref="A1:M1" xr:uid="{3A2BB050-11AC-4ED7-A296-96B42C7FCFBA}"/>
  <dataValidations count="5">
    <dataValidation type="list" allowBlank="1" showErrorMessage="1" sqref="J2:J3" xr:uid="{89A3E6C3-0852-485E-8631-BC61F6C2B5C5}">
      <formula1>"Internal,External"</formula1>
    </dataValidation>
    <dataValidation type="list" allowBlank="1" showErrorMessage="1" sqref="H2:H3" xr:uid="{6CB36AEE-F325-4209-9ADE-25BC33E8AEB7}">
      <formula1>"Minor,Significant,Major"</formula1>
    </dataValidation>
    <dataValidation type="list" allowBlank="1" showErrorMessage="1" sqref="I2:I3" xr:uid="{7DB82AA0-D9BB-4A9B-9D83-D3EDB3293EF2}">
      <formula1>"Manual, Automation"</formula1>
    </dataValidation>
    <dataValidation type="list" allowBlank="1" showErrorMessage="1" sqref="K2:K3" xr:uid="{029B3A26-D40B-4ED0-BE60-D98786AD7D4A}">
      <formula1>"Open,Inprogress,Closed"</formula1>
    </dataValidation>
    <dataValidation type="list" allowBlank="1" showErrorMessage="1" sqref="F2:F3" xr:uid="{A76D9532-963E-4579-92FE-F08D297490D3}">
      <formula1>"Bounceback,Defect,None"</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96B2443B-3C66-422B-A7D9-3207FEDCF748}">
          <x14:formula1>
            <xm:f>Details!$A$2:$A$10</xm:f>
          </x14:formula1>
          <xm:sqref>L2:L3</xm:sqref>
        </x14:dataValidation>
      </x14:dataValidations>
    </ext>
  </extLs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7A96B-82CB-4658-88F1-D8FE385D50DE}">
  <dimension ref="A1:AB9"/>
  <sheetViews>
    <sheetView workbookViewId="0">
      <pane xSplit="7" ySplit="1" topLeftCell="M3" activePane="bottomRight" state="frozen"/>
      <selection pane="bottomRight" activeCell="O7" sqref="O7"/>
      <selection pane="bottomLeft"/>
      <selection pane="topRight"/>
    </sheetView>
  </sheetViews>
  <sheetFormatPr defaultRowHeight="12.75"/>
  <cols>
    <col min="2" max="2" width="13.28515625" customWidth="1"/>
    <col min="3" max="3" width="10.85546875" customWidth="1"/>
    <col min="4" max="4" width="12.140625" customWidth="1"/>
    <col min="5" max="5" width="40.7109375" customWidth="1"/>
    <col min="6" max="6" width="29.7109375" customWidth="1"/>
    <col min="7" max="7" width="18.85546875" customWidth="1"/>
    <col min="8" max="8" width="41.7109375" style="137" customWidth="1"/>
    <col min="9" max="9" width="16.85546875" customWidth="1"/>
    <col min="10" max="11" width="11.42578125" bestFit="1" customWidth="1"/>
    <col min="12" max="12" width="11.42578125" customWidth="1"/>
    <col min="13" max="13" width="13.140625" customWidth="1"/>
    <col min="14" max="14" width="13.42578125" style="144" customWidth="1"/>
    <col min="15" max="15" width="29.140625" customWidth="1"/>
    <col min="16" max="16" width="16.42578125" customWidth="1"/>
    <col min="17" max="17" width="14.85546875" customWidth="1"/>
    <col min="18" max="18" width="24.42578125" style="144" customWidth="1"/>
    <col min="19" max="20" width="12.7109375" bestFit="1" customWidth="1"/>
    <col min="21" max="21" width="11.42578125" bestFit="1" customWidth="1"/>
    <col min="22" max="22" width="11.42578125" style="144" bestFit="1" customWidth="1"/>
    <col min="23" max="23" width="11.42578125" bestFit="1" customWidth="1"/>
    <col min="24" max="24" width="12.7109375" bestFit="1" customWidth="1"/>
    <col min="25" max="27" width="11.42578125" bestFit="1" customWidth="1"/>
    <col min="28" max="28" width="27.42578125" customWidth="1"/>
  </cols>
  <sheetData>
    <row r="1" spans="1:28" ht="46.5">
      <c r="A1" s="379" t="s">
        <v>254</v>
      </c>
      <c r="B1" s="404" t="s">
        <v>4</v>
      </c>
      <c r="C1" s="404" t="s">
        <v>2</v>
      </c>
      <c r="D1" s="404" t="s">
        <v>3</v>
      </c>
      <c r="E1" s="380" t="s">
        <v>255</v>
      </c>
      <c r="F1" s="381" t="s">
        <v>256</v>
      </c>
      <c r="G1" s="382" t="s">
        <v>257</v>
      </c>
      <c r="H1" s="383" t="s">
        <v>258</v>
      </c>
      <c r="I1" s="383" t="s">
        <v>259</v>
      </c>
      <c r="J1" s="384" t="s">
        <v>260</v>
      </c>
      <c r="K1" s="384" t="s">
        <v>261</v>
      </c>
      <c r="L1" s="384" t="s">
        <v>262</v>
      </c>
      <c r="M1" s="385" t="s">
        <v>265</v>
      </c>
      <c r="N1" s="385" t="s">
        <v>266</v>
      </c>
      <c r="O1" s="385" t="s">
        <v>267</v>
      </c>
      <c r="P1" s="385" t="s">
        <v>268</v>
      </c>
      <c r="Q1" s="385" t="s">
        <v>269</v>
      </c>
      <c r="R1" s="385" t="s">
        <v>270</v>
      </c>
      <c r="S1" s="385" t="s">
        <v>271</v>
      </c>
      <c r="T1" s="385" t="s">
        <v>272</v>
      </c>
      <c r="U1" s="385" t="s">
        <v>273</v>
      </c>
      <c r="V1" s="385" t="s">
        <v>274</v>
      </c>
      <c r="W1" s="385" t="s">
        <v>275</v>
      </c>
      <c r="X1" s="385" t="s">
        <v>276</v>
      </c>
      <c r="Y1" s="385" t="s">
        <v>277</v>
      </c>
      <c r="Z1" s="385" t="s">
        <v>278</v>
      </c>
      <c r="AA1" s="385" t="s">
        <v>279</v>
      </c>
      <c r="AB1" s="386" t="s">
        <v>280</v>
      </c>
    </row>
    <row r="2" spans="1:28" s="256" customFormat="1" ht="128.25" customHeight="1">
      <c r="A2" s="369">
        <v>1</v>
      </c>
      <c r="B2" s="444" t="s">
        <v>5</v>
      </c>
      <c r="C2" s="445">
        <v>45826</v>
      </c>
      <c r="D2" s="445">
        <v>45841</v>
      </c>
      <c r="E2" s="469" t="s">
        <v>132</v>
      </c>
      <c r="F2" s="376" t="s">
        <v>1140</v>
      </c>
      <c r="G2" s="203" t="s">
        <v>1141</v>
      </c>
      <c r="H2" s="90" t="s">
        <v>1142</v>
      </c>
      <c r="I2" s="471" t="s">
        <v>289</v>
      </c>
      <c r="J2" s="369">
        <v>1</v>
      </c>
      <c r="K2" s="486"/>
      <c r="L2" s="327">
        <v>12.25</v>
      </c>
      <c r="M2" s="229"/>
      <c r="N2" s="329"/>
      <c r="O2" s="370"/>
      <c r="P2" s="250"/>
      <c r="Q2" s="152"/>
      <c r="R2" s="200"/>
      <c r="S2" s="372"/>
      <c r="T2" s="373"/>
      <c r="U2" s="370"/>
      <c r="V2" s="370"/>
      <c r="W2" s="327"/>
      <c r="X2" s="373"/>
      <c r="Y2" s="370"/>
      <c r="Z2" s="327"/>
      <c r="AA2" s="327"/>
      <c r="AB2" s="390" t="s">
        <v>1143</v>
      </c>
    </row>
    <row r="3" spans="1:28" ht="117" customHeight="1">
      <c r="A3" s="369">
        <v>2</v>
      </c>
      <c r="B3" s="369" t="s">
        <v>5</v>
      </c>
      <c r="C3" s="372">
        <v>45826</v>
      </c>
      <c r="D3" s="430">
        <v>45841</v>
      </c>
      <c r="E3" s="250" t="s">
        <v>132</v>
      </c>
      <c r="F3" s="203" t="s">
        <v>298</v>
      </c>
      <c r="G3" s="247" t="s">
        <v>1144</v>
      </c>
      <c r="H3" s="321" t="s">
        <v>1145</v>
      </c>
      <c r="I3" s="374" t="s">
        <v>289</v>
      </c>
      <c r="J3" s="228">
        <v>5</v>
      </c>
      <c r="K3" s="369"/>
      <c r="L3" s="327">
        <v>106.5</v>
      </c>
      <c r="M3" s="229" t="s">
        <v>290</v>
      </c>
      <c r="N3" s="329" t="s">
        <v>457</v>
      </c>
      <c r="O3" s="370" t="s">
        <v>1146</v>
      </c>
      <c r="P3" s="250" t="s">
        <v>292</v>
      </c>
      <c r="Q3" s="58" t="s">
        <v>291</v>
      </c>
      <c r="R3" s="200" t="s">
        <v>1147</v>
      </c>
      <c r="S3" s="372">
        <v>45838</v>
      </c>
      <c r="T3" s="373">
        <v>45839</v>
      </c>
      <c r="U3" s="327" t="s">
        <v>426</v>
      </c>
      <c r="V3" s="370" t="s">
        <v>291</v>
      </c>
      <c r="W3" s="327" t="s">
        <v>295</v>
      </c>
      <c r="X3" s="373">
        <v>45839</v>
      </c>
      <c r="Y3" s="370" t="s">
        <v>291</v>
      </c>
      <c r="Z3" s="327" t="s">
        <v>291</v>
      </c>
      <c r="AA3" s="327" t="s">
        <v>291</v>
      </c>
      <c r="AB3" s="388" t="s">
        <v>1148</v>
      </c>
    </row>
    <row r="4" spans="1:28" ht="66" customHeight="1">
      <c r="A4" s="369">
        <v>3</v>
      </c>
      <c r="B4" s="369" t="s">
        <v>5</v>
      </c>
      <c r="C4" s="372">
        <v>45826</v>
      </c>
      <c r="D4" s="430">
        <v>45841</v>
      </c>
      <c r="E4" s="203" t="s">
        <v>132</v>
      </c>
      <c r="F4" s="137" t="s">
        <v>292</v>
      </c>
      <c r="G4" s="250" t="s">
        <v>1149</v>
      </c>
      <c r="H4" s="490" t="s">
        <v>1150</v>
      </c>
      <c r="I4" s="228" t="s">
        <v>289</v>
      </c>
      <c r="J4" s="181">
        <v>8</v>
      </c>
      <c r="K4" s="327"/>
      <c r="L4" s="327">
        <v>99.75</v>
      </c>
      <c r="M4" s="229" t="s">
        <v>290</v>
      </c>
      <c r="N4" s="329" t="s">
        <v>457</v>
      </c>
      <c r="O4" s="370" t="s">
        <v>1151</v>
      </c>
      <c r="P4" s="250" t="s">
        <v>298</v>
      </c>
      <c r="Q4" s="216" t="s">
        <v>291</v>
      </c>
      <c r="R4" s="200" t="s">
        <v>1152</v>
      </c>
      <c r="S4" s="372">
        <v>45838</v>
      </c>
      <c r="T4" s="373">
        <v>45841</v>
      </c>
      <c r="U4" s="327" t="s">
        <v>426</v>
      </c>
      <c r="V4" s="370" t="s">
        <v>291</v>
      </c>
      <c r="W4" s="327" t="s">
        <v>295</v>
      </c>
      <c r="X4" s="373">
        <v>45841</v>
      </c>
      <c r="Y4" s="370" t="s">
        <v>291</v>
      </c>
      <c r="Z4" s="327" t="s">
        <v>291</v>
      </c>
      <c r="AA4" s="327" t="s">
        <v>291</v>
      </c>
      <c r="AB4" s="388" t="s">
        <v>1153</v>
      </c>
    </row>
    <row r="5" spans="1:28" ht="72.75" customHeight="1">
      <c r="A5" s="369">
        <v>4</v>
      </c>
      <c r="B5" s="369" t="s">
        <v>5</v>
      </c>
      <c r="C5" s="372">
        <v>45826</v>
      </c>
      <c r="D5" s="430">
        <v>45841</v>
      </c>
      <c r="E5" s="250" t="s">
        <v>132</v>
      </c>
      <c r="F5" s="203" t="s">
        <v>298</v>
      </c>
      <c r="G5" s="431" t="s">
        <v>1154</v>
      </c>
      <c r="H5" s="203" t="s">
        <v>897</v>
      </c>
      <c r="I5" s="181" t="s">
        <v>289</v>
      </c>
      <c r="J5" s="228">
        <v>1</v>
      </c>
      <c r="K5" s="369"/>
      <c r="L5" s="327">
        <v>10</v>
      </c>
      <c r="M5" s="229"/>
      <c r="N5" s="329"/>
      <c r="O5" s="327"/>
      <c r="P5" s="250"/>
      <c r="Q5" s="218"/>
      <c r="R5" s="271"/>
      <c r="S5" s="372"/>
      <c r="T5" s="373"/>
      <c r="U5" s="327"/>
      <c r="V5" s="370"/>
      <c r="W5" s="327"/>
      <c r="X5" s="373"/>
      <c r="Y5" s="370"/>
      <c r="Z5" s="327"/>
      <c r="AA5" s="327"/>
      <c r="AB5" s="388" t="s">
        <v>1155</v>
      </c>
    </row>
    <row r="6" spans="1:28">
      <c r="A6" s="369">
        <v>5</v>
      </c>
      <c r="B6" s="369" t="s">
        <v>5</v>
      </c>
      <c r="C6" s="372">
        <v>45826</v>
      </c>
      <c r="D6" s="430">
        <v>45841</v>
      </c>
      <c r="E6" s="203" t="s">
        <v>1156</v>
      </c>
      <c r="F6" s="505" t="s">
        <v>292</v>
      </c>
      <c r="G6" s="502" t="s">
        <v>1110</v>
      </c>
      <c r="H6" s="137" t="s">
        <v>1111</v>
      </c>
      <c r="I6" s="327" t="s">
        <v>301</v>
      </c>
      <c r="J6" s="181">
        <v>5</v>
      </c>
      <c r="K6" s="327"/>
      <c r="L6" s="327">
        <v>18</v>
      </c>
      <c r="M6" s="229"/>
      <c r="N6" s="329"/>
      <c r="O6" s="327"/>
      <c r="P6" s="250"/>
      <c r="Q6" s="58"/>
      <c r="R6" s="200"/>
      <c r="S6" s="372"/>
      <c r="T6" s="373"/>
      <c r="U6" s="327"/>
      <c r="V6" s="370"/>
      <c r="W6" s="327"/>
      <c r="X6" s="373"/>
      <c r="Y6" s="370"/>
      <c r="Z6" s="327"/>
      <c r="AA6" s="327"/>
      <c r="AB6" s="388"/>
    </row>
    <row r="7" spans="1:28">
      <c r="A7" s="369">
        <v>6</v>
      </c>
      <c r="B7" s="369" t="s">
        <v>5</v>
      </c>
      <c r="C7" s="372">
        <v>45826</v>
      </c>
      <c r="D7" s="372">
        <v>45841</v>
      </c>
      <c r="E7" t="s">
        <v>132</v>
      </c>
      <c r="F7" s="58" t="s">
        <v>1140</v>
      </c>
      <c r="G7" s="431" t="s">
        <v>1157</v>
      </c>
      <c r="H7" s="203" t="s">
        <v>1158</v>
      </c>
      <c r="I7" s="506" t="s">
        <v>289</v>
      </c>
      <c r="J7" s="228">
        <v>2</v>
      </c>
      <c r="K7" s="369"/>
      <c r="L7" s="327"/>
      <c r="M7" s="229"/>
      <c r="N7" s="329"/>
      <c r="O7" s="327"/>
      <c r="P7" s="229"/>
      <c r="R7" s="432"/>
      <c r="S7" s="373"/>
      <c r="T7" s="373"/>
      <c r="U7" s="327"/>
      <c r="V7" s="370"/>
      <c r="W7" s="327"/>
      <c r="X7" s="373"/>
      <c r="Y7" s="370"/>
      <c r="Z7" s="327"/>
      <c r="AA7" s="327"/>
      <c r="AB7" s="249" t="s">
        <v>1159</v>
      </c>
    </row>
    <row r="8" spans="1:28">
      <c r="A8" s="369"/>
      <c r="B8" s="369"/>
      <c r="C8" s="372"/>
      <c r="D8" s="430"/>
      <c r="E8" s="249"/>
      <c r="F8" s="218"/>
      <c r="G8" s="431"/>
      <c r="H8" s="203"/>
      <c r="I8" s="506"/>
      <c r="J8" s="228"/>
      <c r="K8" s="369"/>
      <c r="L8" s="327"/>
      <c r="M8" s="229"/>
      <c r="N8" s="329"/>
      <c r="O8" s="327"/>
      <c r="P8" s="250"/>
      <c r="Q8" s="58"/>
      <c r="R8" s="200"/>
      <c r="S8" s="372"/>
      <c r="T8" s="373"/>
      <c r="U8" s="327"/>
      <c r="V8" s="370"/>
      <c r="W8" s="327"/>
      <c r="X8" s="373"/>
      <c r="Y8" s="370"/>
      <c r="Z8" s="327"/>
      <c r="AA8" s="327"/>
      <c r="AB8" s="249"/>
    </row>
    <row r="9" spans="1:28">
      <c r="A9" s="369"/>
      <c r="B9" s="369"/>
      <c r="C9" s="372"/>
      <c r="D9" s="430"/>
      <c r="E9" s="203"/>
      <c r="F9" s="203"/>
      <c r="G9" s="431"/>
      <c r="H9" s="203"/>
      <c r="I9" s="369"/>
      <c r="J9" s="181"/>
      <c r="K9" s="327"/>
      <c r="L9" s="327"/>
      <c r="M9" s="229"/>
      <c r="N9" s="329"/>
      <c r="O9" s="327"/>
      <c r="P9" s="229"/>
      <c r="R9" s="432"/>
      <c r="S9" s="373"/>
      <c r="T9" s="373"/>
      <c r="U9" s="327"/>
      <c r="V9" s="370"/>
      <c r="W9" s="327"/>
      <c r="X9" s="373"/>
      <c r="Y9" s="370"/>
      <c r="Z9" s="327"/>
      <c r="AA9" s="327"/>
      <c r="AB9" s="388"/>
    </row>
  </sheetData>
  <hyperlinks>
    <hyperlink ref="R3" r:id="rId1" xr:uid="{FBC54299-BAB1-4216-A1D0-73326F8D2A76}"/>
    <hyperlink ref="R4" r:id="rId2" xr:uid="{4C42E209-8C2E-44AC-B4CF-10F157FD4877}"/>
  </hyperlinks>
  <pageMargins left="0.7" right="0.7" top="0.75" bottom="0.75" header="0.3" footer="0.3"/>
  <tableParts count="1">
    <tablePart r:id="rId3"/>
  </tableParts>
  <extLst>
    <ext xmlns:x14="http://schemas.microsoft.com/office/spreadsheetml/2009/9/main" uri="{CCE6A557-97BC-4b89-ADB6-D9C93CAAB3DF}">
      <x14:dataValidations xmlns:xm="http://schemas.microsoft.com/office/excel/2006/main" count="1">
        <x14:dataValidation type="list" allowBlank="1" showErrorMessage="1" xr:uid="{39321458-E5F0-4075-BA8A-D6CD393AF602}">
          <x14:formula1>
            <xm:f>Settings!$C$3:$C$20</xm:f>
          </x14:formula1>
          <xm:sqref>I2:I9</xm:sqref>
        </x14:dataValidation>
      </x14:dataValidations>
    </ext>
  </extLs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CB96A-132B-4CE1-93D1-348284EDD4D9}">
  <sheetPr>
    <outlinePr summaryBelow="0" summaryRight="0"/>
  </sheetPr>
  <dimension ref="A1:AB988"/>
  <sheetViews>
    <sheetView topLeftCell="B1" workbookViewId="0"/>
  </sheetViews>
  <sheetFormatPr defaultColWidth="12.5703125" defaultRowHeight="15" customHeight="1"/>
  <cols>
    <col min="1" max="1" width="12.5703125" hidden="1" customWidth="1"/>
    <col min="2" max="2" width="21.42578125" customWidth="1"/>
    <col min="3" max="3" width="23.5703125" customWidth="1"/>
    <col min="4" max="4" width="14.42578125" customWidth="1"/>
    <col min="5" max="5" width="19.140625" customWidth="1"/>
    <col min="6" max="6" width="37.5703125" customWidth="1"/>
    <col min="7" max="7" width="41.140625" customWidth="1"/>
    <col min="8" max="9" width="18.7109375" customWidth="1"/>
    <col min="10" max="10" width="9.140625" bestFit="1" customWidth="1"/>
    <col min="11" max="11" width="19" customWidth="1"/>
    <col min="12" max="12" width="18" customWidth="1"/>
    <col min="13" max="13" width="41" customWidth="1"/>
    <col min="14" max="14" width="14.140625" style="122" customWidth="1"/>
    <col min="15" max="15" width="29" customWidth="1"/>
  </cols>
  <sheetData>
    <row r="1" spans="1:28" ht="13.5">
      <c r="A1" s="434" t="s">
        <v>254</v>
      </c>
      <c r="B1" s="1" t="s">
        <v>321</v>
      </c>
      <c r="C1" s="198" t="s">
        <v>322</v>
      </c>
      <c r="D1" s="198" t="s">
        <v>323</v>
      </c>
      <c r="E1" s="1" t="s">
        <v>256</v>
      </c>
      <c r="F1" s="198" t="s">
        <v>324</v>
      </c>
      <c r="G1" s="198" t="s">
        <v>325</v>
      </c>
      <c r="H1" s="1" t="s">
        <v>326</v>
      </c>
      <c r="I1" s="1" t="s">
        <v>327</v>
      </c>
      <c r="J1" s="1" t="s">
        <v>328</v>
      </c>
      <c r="K1" s="1" t="s">
        <v>259</v>
      </c>
      <c r="L1" s="156" t="s">
        <v>329</v>
      </c>
      <c r="M1" s="8" t="s">
        <v>280</v>
      </c>
      <c r="N1" s="487" t="s">
        <v>330</v>
      </c>
      <c r="O1" s="487" t="s">
        <v>331</v>
      </c>
      <c r="P1" s="35"/>
      <c r="Q1" s="35"/>
      <c r="R1" s="35"/>
      <c r="S1" s="35"/>
      <c r="T1" s="35"/>
      <c r="U1" s="35"/>
      <c r="V1" s="35"/>
      <c r="W1" s="35"/>
      <c r="X1" s="35"/>
      <c r="Y1" s="35"/>
      <c r="Z1" s="35"/>
      <c r="AA1" s="35"/>
      <c r="AB1" s="35"/>
    </row>
    <row r="2" spans="1:28" ht="56.25" customHeight="1">
      <c r="B2" s="126"/>
      <c r="C2" s="481"/>
      <c r="D2" s="481"/>
      <c r="E2" s="126"/>
      <c r="F2" s="221"/>
      <c r="G2" s="305"/>
      <c r="H2" s="126"/>
      <c r="I2" s="126"/>
      <c r="J2" s="126"/>
      <c r="K2" s="126"/>
      <c r="L2" s="126"/>
      <c r="M2" s="333"/>
      <c r="N2" s="91"/>
      <c r="O2" s="216"/>
    </row>
    <row r="3" spans="1:28" ht="66.75" customHeight="1">
      <c r="B3" s="126"/>
      <c r="C3" s="481"/>
      <c r="D3" s="481"/>
      <c r="E3" s="126"/>
      <c r="F3" s="221"/>
      <c r="G3" s="305"/>
      <c r="H3" s="126"/>
      <c r="I3" s="126"/>
      <c r="J3" s="126"/>
      <c r="K3" s="126"/>
      <c r="L3" s="126"/>
      <c r="M3" s="333"/>
    </row>
    <row r="4" spans="1:28" ht="15.75" customHeight="1"/>
    <row r="5" spans="1:28" ht="15.75" customHeight="1"/>
    <row r="6" spans="1:28" ht="15.75" customHeight="1">
      <c r="K6" s="144"/>
    </row>
    <row r="7" spans="1:28" ht="15.75" customHeight="1"/>
    <row r="8" spans="1:28" ht="15.75" customHeight="1"/>
    <row r="9" spans="1:28" ht="15.75" customHeight="1"/>
    <row r="10" spans="1:28" ht="15.75" customHeight="1"/>
    <row r="11" spans="1:28" ht="15.75" customHeight="1"/>
    <row r="12" spans="1:28" ht="15.75" customHeight="1"/>
    <row r="13" spans="1:28" ht="15.75" customHeight="1"/>
    <row r="14" spans="1:28" ht="15.75" customHeight="1"/>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sheetData>
  <autoFilter ref="A1:M1" xr:uid="{3A2BB050-11AC-4ED7-A296-96B42C7FCFBA}"/>
  <dataValidations count="5">
    <dataValidation type="list" allowBlank="1" showErrorMessage="1" sqref="F2:F3" xr:uid="{87621527-4B53-40F8-A36A-2C053F34ABFB}">
      <formula1>"Bounceback,Defect,None"</formula1>
    </dataValidation>
    <dataValidation type="list" allowBlank="1" showErrorMessage="1" sqref="K2:K3" xr:uid="{BC6816C4-7B1F-4E7C-843A-654B74DB9244}">
      <formula1>"Open,Inprogress,Closed"</formula1>
    </dataValidation>
    <dataValidation type="list" allowBlank="1" showErrorMessage="1" sqref="I2:I3" xr:uid="{5178A653-F78E-4F8E-9BD4-C9EB40E3C864}">
      <formula1>"Manual, Automation"</formula1>
    </dataValidation>
    <dataValidation type="list" allowBlank="1" showErrorMessage="1" sqref="H2:H3" xr:uid="{72F92DEC-E9BB-4A65-B510-915519E19E77}">
      <formula1>"Minor,Significant,Major"</formula1>
    </dataValidation>
    <dataValidation type="list" allowBlank="1" showErrorMessage="1" sqref="J2:J3" xr:uid="{09F5281E-68EE-43EE-90AC-2E2520D745CA}">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7B1AA928-833D-4773-82C6-C3656D55656A}">
          <x14:formula1>
            <xm:f>Details!$A$2:$A$10</xm:f>
          </x14:formula1>
          <xm:sqref>L2:L3</xm:sqref>
        </x14:dataValidation>
      </x14:dataValidations>
    </ext>
  </extLs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18E5F-43BC-44A7-BC3E-565B30FBA601}">
  <dimension ref="A1:AB9"/>
  <sheetViews>
    <sheetView workbookViewId="0">
      <pane xSplit="7" ySplit="1" topLeftCell="H4" activePane="bottomRight" state="frozen"/>
      <selection pane="bottomRight" activeCell="H8" sqref="H8"/>
      <selection pane="bottomLeft"/>
      <selection pane="topRight"/>
    </sheetView>
  </sheetViews>
  <sheetFormatPr defaultRowHeight="12.75"/>
  <cols>
    <col min="2" max="2" width="13.28515625" customWidth="1"/>
    <col min="3" max="3" width="10.85546875" customWidth="1"/>
    <col min="4" max="4" width="12.140625" customWidth="1"/>
    <col min="5" max="5" width="18.42578125" customWidth="1"/>
    <col min="6" max="6" width="13.7109375" customWidth="1"/>
    <col min="7" max="7" width="13" customWidth="1"/>
    <col min="8" max="8" width="24.7109375" style="137" customWidth="1"/>
    <col min="9" max="9" width="16.85546875" customWidth="1"/>
    <col min="10" max="11" width="11.42578125" bestFit="1" customWidth="1"/>
    <col min="12" max="12" width="11.42578125" customWidth="1"/>
    <col min="13" max="13" width="13.140625" customWidth="1"/>
    <col min="14" max="14" width="13.42578125" style="144" customWidth="1"/>
    <col min="15" max="15" width="29.140625" customWidth="1"/>
    <col min="16" max="16" width="16.42578125" customWidth="1"/>
    <col min="17" max="17" width="14.85546875" customWidth="1"/>
    <col min="18" max="18" width="24.42578125" style="144" customWidth="1"/>
    <col min="19" max="20" width="12.7109375" bestFit="1" customWidth="1"/>
    <col min="21" max="21" width="11.42578125" bestFit="1" customWidth="1"/>
    <col min="22" max="22" width="11.42578125" style="144" bestFit="1" customWidth="1"/>
    <col min="23" max="23" width="11.42578125" bestFit="1" customWidth="1"/>
    <col min="24" max="24" width="12.7109375" bestFit="1" customWidth="1"/>
    <col min="25" max="27" width="11.42578125" bestFit="1" customWidth="1"/>
    <col min="28" max="28" width="27.42578125" customWidth="1"/>
  </cols>
  <sheetData>
    <row r="1" spans="1:28" ht="46.5">
      <c r="A1" s="379" t="s">
        <v>254</v>
      </c>
      <c r="B1" s="404" t="s">
        <v>4</v>
      </c>
      <c r="C1" s="404" t="s">
        <v>2</v>
      </c>
      <c r="D1" s="404" t="s">
        <v>3</v>
      </c>
      <c r="E1" s="380" t="s">
        <v>255</v>
      </c>
      <c r="F1" s="381" t="s">
        <v>256</v>
      </c>
      <c r="G1" s="382" t="s">
        <v>257</v>
      </c>
      <c r="H1" s="383" t="s">
        <v>258</v>
      </c>
      <c r="I1" s="383" t="s">
        <v>259</v>
      </c>
      <c r="J1" s="384" t="s">
        <v>260</v>
      </c>
      <c r="K1" s="384" t="s">
        <v>261</v>
      </c>
      <c r="L1" s="384" t="s">
        <v>262</v>
      </c>
      <c r="M1" s="385" t="s">
        <v>265</v>
      </c>
      <c r="N1" s="385" t="s">
        <v>266</v>
      </c>
      <c r="O1" s="385" t="s">
        <v>267</v>
      </c>
      <c r="P1" s="385" t="s">
        <v>268</v>
      </c>
      <c r="Q1" s="385" t="s">
        <v>269</v>
      </c>
      <c r="R1" s="385" t="s">
        <v>270</v>
      </c>
      <c r="S1" s="385" t="s">
        <v>271</v>
      </c>
      <c r="T1" s="385" t="s">
        <v>272</v>
      </c>
      <c r="U1" s="385" t="s">
        <v>273</v>
      </c>
      <c r="V1" s="385" t="s">
        <v>274</v>
      </c>
      <c r="W1" s="385" t="s">
        <v>275</v>
      </c>
      <c r="X1" s="385" t="s">
        <v>276</v>
      </c>
      <c r="Y1" s="385" t="s">
        <v>277</v>
      </c>
      <c r="Z1" s="385" t="s">
        <v>278</v>
      </c>
      <c r="AA1" s="385" t="s">
        <v>279</v>
      </c>
      <c r="AB1" s="386" t="s">
        <v>280</v>
      </c>
    </row>
    <row r="2" spans="1:28" s="256" customFormat="1" ht="128.25" customHeight="1">
      <c r="A2" s="369">
        <v>1</v>
      </c>
      <c r="B2" s="444" t="s">
        <v>5</v>
      </c>
      <c r="C2" s="445">
        <v>45813</v>
      </c>
      <c r="D2" s="445">
        <v>45826</v>
      </c>
      <c r="E2" s="469" t="s">
        <v>128</v>
      </c>
      <c r="F2" s="376" t="s">
        <v>890</v>
      </c>
      <c r="G2" s="203" t="s">
        <v>1160</v>
      </c>
      <c r="H2" s="90" t="s">
        <v>1161</v>
      </c>
      <c r="I2" s="471" t="s">
        <v>289</v>
      </c>
      <c r="J2" s="369">
        <v>3</v>
      </c>
      <c r="K2" s="486"/>
      <c r="L2" s="327">
        <v>50.75</v>
      </c>
      <c r="M2" s="229" t="s">
        <v>290</v>
      </c>
      <c r="N2" s="329" t="s">
        <v>457</v>
      </c>
      <c r="O2" s="370" t="s">
        <v>291</v>
      </c>
      <c r="P2" s="250" t="s">
        <v>426</v>
      </c>
      <c r="Q2" s="152" t="s">
        <v>291</v>
      </c>
      <c r="R2" s="200" t="s">
        <v>1162</v>
      </c>
      <c r="S2" s="372">
        <v>45819</v>
      </c>
      <c r="T2" s="373">
        <v>45820</v>
      </c>
      <c r="U2" s="370" t="s">
        <v>426</v>
      </c>
      <c r="V2" s="370" t="s">
        <v>291</v>
      </c>
      <c r="W2" s="327" t="s">
        <v>295</v>
      </c>
      <c r="X2" s="373">
        <v>45820</v>
      </c>
      <c r="Y2" s="370" t="s">
        <v>291</v>
      </c>
      <c r="Z2" s="327" t="s">
        <v>291</v>
      </c>
      <c r="AA2" s="327" t="s">
        <v>291</v>
      </c>
      <c r="AB2" s="390" t="s">
        <v>1163</v>
      </c>
    </row>
    <row r="3" spans="1:28" ht="117" customHeight="1">
      <c r="A3" s="369">
        <v>3</v>
      </c>
      <c r="B3" s="369" t="s">
        <v>5</v>
      </c>
      <c r="C3" s="445">
        <v>45813</v>
      </c>
      <c r="D3" s="430">
        <v>45826</v>
      </c>
      <c r="E3" s="250" t="s">
        <v>128</v>
      </c>
      <c r="F3" s="203" t="s">
        <v>426</v>
      </c>
      <c r="G3" s="247" t="s">
        <v>1164</v>
      </c>
      <c r="H3" s="321" t="s">
        <v>1165</v>
      </c>
      <c r="I3" s="374" t="s">
        <v>289</v>
      </c>
      <c r="J3" s="228">
        <v>1</v>
      </c>
      <c r="K3" s="369"/>
      <c r="L3" s="327">
        <v>1.25</v>
      </c>
      <c r="M3" s="229"/>
      <c r="N3" s="329"/>
      <c r="O3" s="370"/>
      <c r="P3" s="250"/>
      <c r="Q3" s="58"/>
      <c r="R3" s="200"/>
      <c r="S3" s="372"/>
      <c r="T3" s="373"/>
      <c r="U3" s="327"/>
      <c r="V3" s="370"/>
      <c r="W3" s="327"/>
      <c r="X3" s="373"/>
      <c r="Y3" s="370"/>
      <c r="Z3" s="327"/>
      <c r="AA3" s="327"/>
      <c r="AB3" s="388" t="s">
        <v>1166</v>
      </c>
    </row>
    <row r="4" spans="1:28" ht="66" customHeight="1">
      <c r="A4" s="369">
        <v>4</v>
      </c>
      <c r="B4" s="369" t="s">
        <v>5</v>
      </c>
      <c r="C4" s="445">
        <v>45813</v>
      </c>
      <c r="D4" s="430">
        <v>45826</v>
      </c>
      <c r="E4" s="203" t="s">
        <v>128</v>
      </c>
      <c r="F4" s="137" t="s">
        <v>298</v>
      </c>
      <c r="G4" s="250" t="s">
        <v>1167</v>
      </c>
      <c r="H4" s="490" t="s">
        <v>1168</v>
      </c>
      <c r="I4" s="228" t="s">
        <v>289</v>
      </c>
      <c r="J4" s="181">
        <v>5</v>
      </c>
      <c r="K4" s="327"/>
      <c r="L4" s="327">
        <v>63</v>
      </c>
      <c r="M4" s="229" t="s">
        <v>290</v>
      </c>
      <c r="N4" s="329" t="s">
        <v>457</v>
      </c>
      <c r="O4" s="370" t="s">
        <v>1169</v>
      </c>
      <c r="P4" s="250" t="s">
        <v>292</v>
      </c>
      <c r="Q4" s="216" t="s">
        <v>1170</v>
      </c>
      <c r="R4" s="200" t="s">
        <v>1171</v>
      </c>
      <c r="S4" s="372">
        <v>45819</v>
      </c>
      <c r="T4" s="373">
        <v>45821</v>
      </c>
      <c r="U4" s="327" t="s">
        <v>426</v>
      </c>
      <c r="V4" s="370" t="s">
        <v>1172</v>
      </c>
      <c r="W4" s="327" t="s">
        <v>295</v>
      </c>
      <c r="X4" s="373">
        <v>45821</v>
      </c>
      <c r="Y4" s="370" t="s">
        <v>291</v>
      </c>
      <c r="Z4" s="327" t="s">
        <v>291</v>
      </c>
      <c r="AA4" s="327" t="s">
        <v>291</v>
      </c>
      <c r="AB4" s="388" t="s">
        <v>1173</v>
      </c>
    </row>
    <row r="5" spans="1:28" ht="72.75" customHeight="1">
      <c r="A5" s="369">
        <v>5</v>
      </c>
      <c r="B5" s="369" t="s">
        <v>5</v>
      </c>
      <c r="C5" s="445">
        <v>45813</v>
      </c>
      <c r="D5" s="430">
        <v>45826</v>
      </c>
      <c r="E5" s="250" t="s">
        <v>128</v>
      </c>
      <c r="F5" s="203" t="s">
        <v>437</v>
      </c>
      <c r="G5" s="431" t="s">
        <v>1141</v>
      </c>
      <c r="H5" s="203" t="s">
        <v>1142</v>
      </c>
      <c r="I5" s="507" t="s">
        <v>1174</v>
      </c>
      <c r="J5" s="228">
        <v>5</v>
      </c>
      <c r="K5" s="369"/>
      <c r="L5" s="327">
        <v>47.5</v>
      </c>
      <c r="M5" s="229"/>
      <c r="N5" s="329" t="s">
        <v>457</v>
      </c>
      <c r="O5" s="327"/>
      <c r="P5" s="250"/>
      <c r="Q5" s="218"/>
      <c r="R5" s="271" t="s">
        <v>1175</v>
      </c>
      <c r="S5" s="372">
        <v>45825</v>
      </c>
      <c r="T5" s="373">
        <v>45826</v>
      </c>
      <c r="U5" s="327" t="s">
        <v>294</v>
      </c>
      <c r="V5" s="370" t="s">
        <v>291</v>
      </c>
      <c r="W5" s="327" t="s">
        <v>295</v>
      </c>
      <c r="X5" s="373">
        <v>45826</v>
      </c>
      <c r="Y5" s="370" t="s">
        <v>291</v>
      </c>
      <c r="Z5" s="327" t="s">
        <v>291</v>
      </c>
      <c r="AA5" s="327" t="s">
        <v>291</v>
      </c>
      <c r="AB5" s="388" t="s">
        <v>1176</v>
      </c>
    </row>
    <row r="6" spans="1:28" ht="23.25">
      <c r="A6" s="369">
        <v>6</v>
      </c>
      <c r="B6" s="369" t="s">
        <v>5</v>
      </c>
      <c r="C6" s="445">
        <v>45813</v>
      </c>
      <c r="D6" s="430">
        <v>45826</v>
      </c>
      <c r="E6" s="203" t="s">
        <v>128</v>
      </c>
      <c r="F6" s="505" t="s">
        <v>1177</v>
      </c>
      <c r="G6" s="502" t="s">
        <v>1178</v>
      </c>
      <c r="H6" s="137" t="s">
        <v>1179</v>
      </c>
      <c r="I6" s="327" t="s">
        <v>289</v>
      </c>
      <c r="J6" s="181">
        <v>1</v>
      </c>
      <c r="K6" s="327">
        <v>1</v>
      </c>
      <c r="L6" s="327">
        <v>42.75</v>
      </c>
      <c r="M6" s="229"/>
      <c r="N6" s="329" t="s">
        <v>457</v>
      </c>
      <c r="O6" s="327"/>
      <c r="P6" s="250"/>
      <c r="Q6" s="58"/>
      <c r="R6" s="200"/>
      <c r="S6" s="372"/>
      <c r="T6" s="373"/>
      <c r="U6" s="327"/>
      <c r="V6" s="370"/>
      <c r="W6" s="327"/>
      <c r="X6" s="373"/>
      <c r="Y6" s="370"/>
      <c r="Z6" s="327"/>
      <c r="AA6" s="327"/>
      <c r="AB6" s="388" t="s">
        <v>1180</v>
      </c>
    </row>
    <row r="7" spans="1:28">
      <c r="A7" s="369">
        <v>7</v>
      </c>
      <c r="B7" s="369" t="s">
        <v>5</v>
      </c>
      <c r="C7" s="445">
        <v>45813</v>
      </c>
      <c r="D7" s="372">
        <v>45826</v>
      </c>
      <c r="E7" t="s">
        <v>128</v>
      </c>
      <c r="F7" s="58" t="s">
        <v>1177</v>
      </c>
      <c r="G7" s="431" t="s">
        <v>1181</v>
      </c>
      <c r="H7" s="203" t="s">
        <v>1182</v>
      </c>
      <c r="I7" s="506" t="s">
        <v>289</v>
      </c>
      <c r="J7" s="228">
        <v>3</v>
      </c>
      <c r="K7" s="369">
        <v>1</v>
      </c>
      <c r="L7" s="327">
        <v>25.5</v>
      </c>
      <c r="M7" s="229"/>
      <c r="N7" s="329"/>
      <c r="O7" s="327"/>
      <c r="P7" s="229"/>
      <c r="R7" s="432"/>
      <c r="S7" s="373"/>
      <c r="T7" s="373"/>
      <c r="U7" s="327"/>
      <c r="V7" s="370"/>
      <c r="W7" s="327"/>
      <c r="X7" s="373"/>
      <c r="Y7" s="370"/>
      <c r="Z7" s="327"/>
      <c r="AA7" s="327"/>
      <c r="AB7" s="249"/>
    </row>
    <row r="8" spans="1:28">
      <c r="A8" s="369">
        <v>8</v>
      </c>
      <c r="B8" s="369" t="s">
        <v>5</v>
      </c>
      <c r="C8" s="445">
        <v>45813</v>
      </c>
      <c r="D8" s="430">
        <v>45826</v>
      </c>
      <c r="E8" s="249" t="s">
        <v>128</v>
      </c>
      <c r="F8" s="218" t="s">
        <v>1177</v>
      </c>
      <c r="G8" s="431" t="s">
        <v>1157</v>
      </c>
      <c r="H8" s="203" t="s">
        <v>1158</v>
      </c>
      <c r="I8" s="508" t="s">
        <v>549</v>
      </c>
      <c r="J8" s="228">
        <v>2</v>
      </c>
      <c r="K8" s="369">
        <v>1</v>
      </c>
      <c r="L8" s="327">
        <v>16</v>
      </c>
      <c r="M8" s="229"/>
      <c r="N8" s="329"/>
      <c r="O8" s="327"/>
      <c r="P8" s="250"/>
      <c r="Q8" s="58"/>
      <c r="R8" s="200"/>
      <c r="S8" s="372"/>
      <c r="T8" s="373"/>
      <c r="U8" s="327"/>
      <c r="V8" s="370"/>
      <c r="W8" s="327"/>
      <c r="X8" s="373"/>
      <c r="Y8" s="370"/>
      <c r="Z8" s="327"/>
      <c r="AA8" s="327"/>
      <c r="AB8" s="249"/>
    </row>
    <row r="9" spans="1:28" ht="46.5">
      <c r="A9" s="369">
        <v>9</v>
      </c>
      <c r="B9" s="369" t="s">
        <v>5</v>
      </c>
      <c r="C9" s="445">
        <v>45813</v>
      </c>
      <c r="D9" s="430">
        <v>45826</v>
      </c>
      <c r="E9" s="203" t="s">
        <v>1183</v>
      </c>
      <c r="F9" s="203" t="s">
        <v>437</v>
      </c>
      <c r="G9" s="431" t="s">
        <v>1154</v>
      </c>
      <c r="H9" s="203" t="s">
        <v>897</v>
      </c>
      <c r="I9" s="369" t="s">
        <v>301</v>
      </c>
      <c r="J9" s="181">
        <v>1</v>
      </c>
      <c r="K9" s="327"/>
      <c r="L9" s="327">
        <v>10</v>
      </c>
      <c r="M9" s="229"/>
      <c r="N9" s="329"/>
      <c r="O9" s="327"/>
      <c r="P9" s="229"/>
      <c r="R9" s="432"/>
      <c r="S9" s="373"/>
      <c r="T9" s="373"/>
      <c r="U9" s="327"/>
      <c r="V9" s="370"/>
      <c r="W9" s="327"/>
      <c r="X9" s="373"/>
      <c r="Y9" s="370"/>
      <c r="Z9" s="327"/>
      <c r="AA9" s="327"/>
      <c r="AB9" s="388" t="s">
        <v>1184</v>
      </c>
    </row>
  </sheetData>
  <hyperlinks>
    <hyperlink ref="R4" r:id="rId1" xr:uid="{D3BE2DE9-9F3B-408A-AAC1-C29814403393}"/>
    <hyperlink ref="R2" r:id="rId2" xr:uid="{7516F3A7-84B4-45AD-899F-0751F0A0E1CC}"/>
    <hyperlink ref="R5" r:id="rId3" xr:uid="{BE4CAF65-CA81-47BE-91F8-D0E92D01B842}"/>
  </hyperlinks>
  <pageMargins left="0.7" right="0.7" top="0.75" bottom="0.75" header="0.3" footer="0.3"/>
  <tableParts count="1">
    <tablePart r:id="rId4"/>
  </tableParts>
  <extLst>
    <ext xmlns:x14="http://schemas.microsoft.com/office/spreadsheetml/2009/9/main" uri="{CCE6A557-97BC-4b89-ADB6-D9C93CAAB3DF}">
      <x14:dataValidations xmlns:xm="http://schemas.microsoft.com/office/excel/2006/main" count="1">
        <x14:dataValidation type="list" allowBlank="1" showErrorMessage="1" xr:uid="{3C43DD4B-27A8-48D8-9641-85EB7DA357B5}">
          <x14:formula1>
            <xm:f>Settings!$C$3:$C$20</xm:f>
          </x14:formula1>
          <xm:sqref>I2:I9</xm:sqref>
        </x14:dataValidation>
      </x14:dataValidations>
    </ext>
  </extLs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6FAEF-1138-4B18-89A9-4C14AF4EF017}">
  <sheetPr>
    <outlinePr summaryBelow="0" summaryRight="0"/>
  </sheetPr>
  <dimension ref="A1:AB988"/>
  <sheetViews>
    <sheetView topLeftCell="B1" workbookViewId="0">
      <selection activeCell="F5" sqref="F5"/>
    </sheetView>
  </sheetViews>
  <sheetFormatPr defaultColWidth="12.5703125" defaultRowHeight="15" customHeight="1"/>
  <cols>
    <col min="1" max="1" width="12.5703125" hidden="1" customWidth="1"/>
    <col min="2" max="2" width="21.42578125" customWidth="1"/>
    <col min="3" max="3" width="23.5703125" customWidth="1"/>
    <col min="4" max="4" width="14.42578125" customWidth="1"/>
    <col min="5" max="5" width="19.140625" customWidth="1"/>
    <col min="6" max="6" width="37.5703125" customWidth="1"/>
    <col min="7" max="7" width="41.140625" customWidth="1"/>
    <col min="8" max="9" width="18.7109375" customWidth="1"/>
    <col min="10" max="10" width="9.140625" bestFit="1" customWidth="1"/>
    <col min="11" max="11" width="19" customWidth="1"/>
    <col min="12" max="12" width="18" customWidth="1"/>
    <col min="13" max="13" width="41" customWidth="1"/>
    <col min="14" max="14" width="14.140625" style="122" customWidth="1"/>
    <col min="15" max="15" width="29" customWidth="1"/>
  </cols>
  <sheetData>
    <row r="1" spans="1:28" ht="13.5">
      <c r="A1" s="434" t="s">
        <v>254</v>
      </c>
      <c r="B1" s="1" t="s">
        <v>321</v>
      </c>
      <c r="C1" s="198" t="s">
        <v>322</v>
      </c>
      <c r="D1" s="198" t="s">
        <v>323</v>
      </c>
      <c r="E1" s="1" t="s">
        <v>256</v>
      </c>
      <c r="F1" s="198" t="s">
        <v>324</v>
      </c>
      <c r="G1" s="198" t="s">
        <v>325</v>
      </c>
      <c r="H1" s="1" t="s">
        <v>326</v>
      </c>
      <c r="I1" s="1" t="s">
        <v>327</v>
      </c>
      <c r="J1" s="1" t="s">
        <v>328</v>
      </c>
      <c r="K1" s="1" t="s">
        <v>259</v>
      </c>
      <c r="L1" s="156" t="s">
        <v>329</v>
      </c>
      <c r="M1" s="8" t="s">
        <v>280</v>
      </c>
      <c r="N1" s="487" t="s">
        <v>330</v>
      </c>
      <c r="O1" s="487" t="s">
        <v>331</v>
      </c>
      <c r="P1" s="35"/>
      <c r="Q1" s="35"/>
      <c r="R1" s="35"/>
      <c r="S1" s="35"/>
      <c r="T1" s="35"/>
      <c r="U1" s="35"/>
      <c r="V1" s="35"/>
      <c r="W1" s="35"/>
      <c r="X1" s="35"/>
      <c r="Y1" s="35"/>
      <c r="Z1" s="35"/>
      <c r="AA1" s="35"/>
      <c r="AB1" s="35"/>
    </row>
    <row r="2" spans="1:28" ht="56.25" customHeight="1">
      <c r="B2" s="126"/>
      <c r="C2" s="481"/>
      <c r="D2" s="481"/>
      <c r="E2" s="126"/>
      <c r="F2" s="221"/>
      <c r="G2" s="305"/>
      <c r="H2" s="126"/>
      <c r="I2" s="126"/>
      <c r="J2" s="126"/>
      <c r="K2" s="126"/>
      <c r="L2" s="126"/>
      <c r="M2" s="333"/>
      <c r="N2" s="91"/>
      <c r="O2" s="216"/>
    </row>
    <row r="3" spans="1:28" ht="66.75" customHeight="1">
      <c r="B3" s="126"/>
      <c r="C3" s="481"/>
      <c r="D3" s="481"/>
      <c r="E3" s="126"/>
      <c r="F3" s="221"/>
      <c r="G3" s="305"/>
      <c r="H3" s="126"/>
      <c r="I3" s="126"/>
      <c r="J3" s="126"/>
      <c r="K3" s="126"/>
      <c r="L3" s="126"/>
      <c r="M3" s="333"/>
    </row>
    <row r="4" spans="1:28" ht="15.75" customHeight="1"/>
    <row r="5" spans="1:28" ht="15.75" customHeight="1"/>
    <row r="6" spans="1:28" ht="15.75" customHeight="1">
      <c r="K6" s="144"/>
    </row>
    <row r="7" spans="1:28" ht="15.75" customHeight="1"/>
    <row r="8" spans="1:28" ht="15.75" customHeight="1"/>
    <row r="9" spans="1:28" ht="15.75" customHeight="1"/>
    <row r="10" spans="1:28" ht="15.75" customHeight="1"/>
    <row r="11" spans="1:28" ht="15.75" customHeight="1"/>
    <row r="12" spans="1:28" ht="15.75" customHeight="1"/>
    <row r="13" spans="1:28" ht="15.75" customHeight="1"/>
    <row r="14" spans="1:28" ht="15.75" customHeight="1"/>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sheetData>
  <autoFilter ref="A1:M1" xr:uid="{3A2BB050-11AC-4ED7-A296-96B42C7FCFBA}"/>
  <dataValidations count="5">
    <dataValidation type="list" allowBlank="1" showErrorMessage="1" sqref="J2:J3" xr:uid="{9953F66E-577C-4581-93AB-5BD9A33E92DC}">
      <formula1>"Internal,External"</formula1>
    </dataValidation>
    <dataValidation type="list" allowBlank="1" showErrorMessage="1" sqref="H2:H3" xr:uid="{17ECE499-327E-46D6-B732-C45F800A8C5B}">
      <formula1>"Minor,Significant,Major"</formula1>
    </dataValidation>
    <dataValidation type="list" allowBlank="1" showErrorMessage="1" sqref="I2:I3" xr:uid="{F26F86D1-5C0E-4A4A-B959-AAAB4831DCAC}">
      <formula1>"Manual, Automation"</formula1>
    </dataValidation>
    <dataValidation type="list" allowBlank="1" showErrorMessage="1" sqref="K2:K3" xr:uid="{86912481-61F8-438B-86DE-9309181DF1E7}">
      <formula1>"Open,Inprogress,Closed"</formula1>
    </dataValidation>
    <dataValidation type="list" allowBlank="1" showErrorMessage="1" sqref="F2:F3" xr:uid="{E1F141A2-16D0-443A-A49F-DB5A3E1E6BBF}">
      <formula1>"Bounceback,Defect,None"</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D73EA6F5-ECBF-47C0-9A78-3C5B5BBDC072}">
          <x14:formula1>
            <xm:f>Details!$A$2:$A$10</xm:f>
          </x14:formula1>
          <xm:sqref>L2:L3</xm:sqref>
        </x14:dataValidation>
      </x14:dataValidations>
    </ext>
  </extLs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EB21D-C4D8-4B06-956C-DCE8F5AECFFF}">
  <dimension ref="A1:AB9"/>
  <sheetViews>
    <sheetView workbookViewId="0">
      <pane xSplit="7" ySplit="1" topLeftCell="AC6" activePane="bottomRight" state="frozen"/>
      <selection pane="bottomRight" activeCell="AC3" sqref="AC3"/>
      <selection pane="bottomLeft"/>
      <selection pane="topRight"/>
    </sheetView>
  </sheetViews>
  <sheetFormatPr defaultRowHeight="12.75"/>
  <cols>
    <col min="2" max="2" width="13.28515625" customWidth="1"/>
    <col min="3" max="3" width="10.85546875" customWidth="1"/>
    <col min="4" max="4" width="12.140625" customWidth="1"/>
    <col min="5" max="5" width="40.7109375" customWidth="1"/>
    <col min="6" max="6" width="29.7109375" customWidth="1"/>
    <col min="7" max="7" width="18.85546875" customWidth="1"/>
    <col min="8" max="8" width="41.7109375" style="137" customWidth="1"/>
    <col min="9" max="9" width="16.85546875" customWidth="1"/>
    <col min="10" max="11" width="11.42578125" bestFit="1" customWidth="1"/>
    <col min="12" max="12" width="11.42578125" customWidth="1"/>
    <col min="13" max="13" width="13.140625" customWidth="1"/>
    <col min="14" max="14" width="13.42578125" style="144" customWidth="1"/>
    <col min="15" max="15" width="21.85546875" customWidth="1"/>
    <col min="16" max="16" width="16.42578125" customWidth="1"/>
    <col min="17" max="17" width="14.85546875" customWidth="1"/>
    <col min="18" max="18" width="24.42578125" style="144" customWidth="1"/>
    <col min="19" max="20" width="12.7109375" bestFit="1" customWidth="1"/>
    <col min="21" max="21" width="11.42578125" bestFit="1" customWidth="1"/>
    <col min="22" max="22" width="11.42578125" style="144" bestFit="1" customWidth="1"/>
    <col min="23" max="23" width="11.42578125" bestFit="1" customWidth="1"/>
    <col min="24" max="24" width="12.7109375" bestFit="1" customWidth="1"/>
    <col min="25" max="27" width="11.42578125" bestFit="1" customWidth="1"/>
    <col min="28" max="28" width="27.42578125" customWidth="1"/>
  </cols>
  <sheetData>
    <row r="1" spans="1:28" ht="46.5">
      <c r="A1" s="379" t="s">
        <v>254</v>
      </c>
      <c r="B1" s="404" t="s">
        <v>4</v>
      </c>
      <c r="C1" s="404" t="s">
        <v>2</v>
      </c>
      <c r="D1" s="404" t="s">
        <v>3</v>
      </c>
      <c r="E1" s="380" t="s">
        <v>255</v>
      </c>
      <c r="F1" s="381" t="s">
        <v>256</v>
      </c>
      <c r="G1" s="382" t="s">
        <v>257</v>
      </c>
      <c r="H1" s="383" t="s">
        <v>258</v>
      </c>
      <c r="I1" s="383" t="s">
        <v>259</v>
      </c>
      <c r="J1" s="384" t="s">
        <v>260</v>
      </c>
      <c r="K1" s="384" t="s">
        <v>261</v>
      </c>
      <c r="L1" s="384" t="s">
        <v>262</v>
      </c>
      <c r="M1" s="385" t="s">
        <v>265</v>
      </c>
      <c r="N1" s="385" t="s">
        <v>266</v>
      </c>
      <c r="O1" s="385" t="s">
        <v>267</v>
      </c>
      <c r="P1" s="385" t="s">
        <v>268</v>
      </c>
      <c r="Q1" s="385" t="s">
        <v>269</v>
      </c>
      <c r="R1" s="385" t="s">
        <v>270</v>
      </c>
      <c r="S1" s="385" t="s">
        <v>271</v>
      </c>
      <c r="T1" s="385" t="s">
        <v>272</v>
      </c>
      <c r="U1" s="385" t="s">
        <v>273</v>
      </c>
      <c r="V1" s="385" t="s">
        <v>274</v>
      </c>
      <c r="W1" s="385" t="s">
        <v>275</v>
      </c>
      <c r="X1" s="385" t="s">
        <v>276</v>
      </c>
      <c r="Y1" s="385" t="s">
        <v>277</v>
      </c>
      <c r="Z1" s="385" t="s">
        <v>278</v>
      </c>
      <c r="AA1" s="385" t="s">
        <v>279</v>
      </c>
      <c r="AB1" s="386" t="s">
        <v>280</v>
      </c>
    </row>
    <row r="2" spans="1:28" s="256" customFormat="1" ht="128.25" customHeight="1">
      <c r="A2" s="369">
        <v>1</v>
      </c>
      <c r="B2" s="444" t="s">
        <v>5</v>
      </c>
      <c r="C2" s="445">
        <v>45800</v>
      </c>
      <c r="D2" s="445">
        <v>45813</v>
      </c>
      <c r="E2" s="469" t="s">
        <v>124</v>
      </c>
      <c r="F2" s="90" t="s">
        <v>298</v>
      </c>
      <c r="G2" s="431" t="s">
        <v>1185</v>
      </c>
      <c r="H2" s="90" t="s">
        <v>897</v>
      </c>
      <c r="I2" s="478" t="s">
        <v>289</v>
      </c>
      <c r="J2" s="327">
        <v>3</v>
      </c>
      <c r="K2" s="327">
        <v>3</v>
      </c>
      <c r="L2" s="327">
        <v>57</v>
      </c>
      <c r="M2" s="229"/>
      <c r="N2" s="329"/>
      <c r="O2" s="370"/>
      <c r="P2" s="250"/>
      <c r="Q2" s="152"/>
      <c r="R2" s="200"/>
      <c r="S2" s="372"/>
      <c r="T2" s="373"/>
      <c r="U2" s="370"/>
      <c r="V2" s="370"/>
      <c r="W2" s="327"/>
      <c r="X2" s="373"/>
      <c r="Y2" s="370"/>
      <c r="Z2" s="327"/>
      <c r="AA2" s="327"/>
      <c r="AB2" s="390" t="s">
        <v>1186</v>
      </c>
    </row>
    <row r="3" spans="1:28" s="256" customFormat="1" ht="128.25" customHeight="1">
      <c r="A3" s="369">
        <v>2</v>
      </c>
      <c r="B3" s="442" t="s">
        <v>5</v>
      </c>
      <c r="C3" s="443">
        <v>45800</v>
      </c>
      <c r="D3" s="443">
        <v>45813</v>
      </c>
      <c r="E3" s="257" t="s">
        <v>124</v>
      </c>
      <c r="F3" s="256" t="s">
        <v>1187</v>
      </c>
      <c r="G3" s="250" t="s">
        <v>1160</v>
      </c>
      <c r="H3" s="305" t="s">
        <v>1161</v>
      </c>
      <c r="I3" s="478" t="s">
        <v>532</v>
      </c>
      <c r="J3" s="181">
        <v>5</v>
      </c>
      <c r="K3" s="327"/>
      <c r="L3" s="327">
        <v>141.75</v>
      </c>
      <c r="M3" s="329" t="s">
        <v>290</v>
      </c>
      <c r="N3" s="329" t="s">
        <v>457</v>
      </c>
      <c r="O3" s="370" t="s">
        <v>1188</v>
      </c>
      <c r="P3" s="329" t="s">
        <v>519</v>
      </c>
      <c r="Q3" s="484" t="s">
        <v>291</v>
      </c>
      <c r="R3" s="358" t="s">
        <v>1189</v>
      </c>
      <c r="S3" s="373">
        <v>45812</v>
      </c>
      <c r="T3" s="373">
        <v>45813</v>
      </c>
      <c r="U3" s="327" t="s">
        <v>426</v>
      </c>
      <c r="V3" s="370" t="s">
        <v>291</v>
      </c>
      <c r="W3" s="327" t="s">
        <v>295</v>
      </c>
      <c r="X3" s="373">
        <v>45813</v>
      </c>
      <c r="Y3" s="370" t="s">
        <v>1190</v>
      </c>
      <c r="Z3" s="327"/>
      <c r="AA3" s="327"/>
      <c r="AB3" s="390" t="s">
        <v>1191</v>
      </c>
    </row>
    <row r="4" spans="1:28" s="256" customFormat="1" ht="128.25" customHeight="1">
      <c r="A4" s="228">
        <v>3</v>
      </c>
      <c r="B4" s="500" t="s">
        <v>5</v>
      </c>
      <c r="C4" s="501">
        <v>45800</v>
      </c>
      <c r="D4" s="501">
        <v>45813</v>
      </c>
      <c r="E4" s="62" t="s">
        <v>124</v>
      </c>
      <c r="F4" s="90" t="s">
        <v>292</v>
      </c>
      <c r="G4" s="203" t="s">
        <v>1192</v>
      </c>
      <c r="H4" s="90" t="s">
        <v>1193</v>
      </c>
      <c r="I4" s="471" t="s">
        <v>289</v>
      </c>
      <c r="J4" s="228">
        <v>2</v>
      </c>
      <c r="K4" s="228">
        <v>2</v>
      </c>
      <c r="L4" s="228">
        <v>39.25</v>
      </c>
      <c r="M4" s="203" t="s">
        <v>290</v>
      </c>
      <c r="N4" s="316" t="s">
        <v>457</v>
      </c>
      <c r="O4" s="228" t="s">
        <v>291</v>
      </c>
      <c r="P4" s="203" t="s">
        <v>298</v>
      </c>
      <c r="Q4" s="352" t="s">
        <v>291</v>
      </c>
      <c r="R4" s="200" t="s">
        <v>1194</v>
      </c>
      <c r="S4" s="360">
        <v>45803</v>
      </c>
      <c r="T4" s="360">
        <v>45805</v>
      </c>
      <c r="U4" s="228" t="s">
        <v>426</v>
      </c>
      <c r="V4" s="352" t="s">
        <v>291</v>
      </c>
      <c r="W4" s="228" t="s">
        <v>295</v>
      </c>
      <c r="X4" s="360">
        <v>45805</v>
      </c>
      <c r="Y4" s="352" t="s">
        <v>291</v>
      </c>
      <c r="Z4" s="228" t="s">
        <v>291</v>
      </c>
      <c r="AA4" s="228" t="s">
        <v>291</v>
      </c>
      <c r="AB4" s="90" t="s">
        <v>1195</v>
      </c>
    </row>
    <row r="5" spans="1:28" s="256" customFormat="1" ht="128.25" customHeight="1">
      <c r="A5" s="491">
        <v>4</v>
      </c>
      <c r="B5" s="492" t="s">
        <v>5</v>
      </c>
      <c r="C5" s="493">
        <v>45800</v>
      </c>
      <c r="D5" s="494">
        <v>45813</v>
      </c>
      <c r="E5" s="495" t="s">
        <v>124</v>
      </c>
      <c r="F5" s="482" t="s">
        <v>1196</v>
      </c>
      <c r="G5" s="137" t="s">
        <v>1197</v>
      </c>
      <c r="H5" s="472" t="s">
        <v>1198</v>
      </c>
      <c r="I5" s="467" t="s">
        <v>289</v>
      </c>
      <c r="J5" s="473">
        <v>1</v>
      </c>
      <c r="K5" s="473">
        <v>1</v>
      </c>
      <c r="L5" s="486">
        <v>24.75</v>
      </c>
      <c r="M5" s="496"/>
      <c r="N5" s="497"/>
      <c r="O5" s="486"/>
      <c r="P5" s="498"/>
      <c r="Q5" s="484"/>
      <c r="R5" s="504"/>
      <c r="S5" s="475"/>
      <c r="T5" s="476"/>
      <c r="U5" s="486"/>
      <c r="V5" s="484"/>
      <c r="W5" s="486"/>
      <c r="X5" s="476"/>
      <c r="Y5" s="484"/>
      <c r="Z5" s="486"/>
      <c r="AA5" s="486"/>
      <c r="AB5" s="499" t="s">
        <v>1199</v>
      </c>
    </row>
    <row r="6" spans="1:28" ht="117" customHeight="1">
      <c r="A6" s="369">
        <v>5</v>
      </c>
      <c r="B6" s="369" t="s">
        <v>5</v>
      </c>
      <c r="C6" s="372">
        <v>45800</v>
      </c>
      <c r="D6" s="430">
        <v>45813</v>
      </c>
      <c r="E6" s="250" t="s">
        <v>124</v>
      </c>
      <c r="F6" s="203" t="s">
        <v>1200</v>
      </c>
      <c r="G6" s="247" t="s">
        <v>1201</v>
      </c>
      <c r="H6" s="321" t="s">
        <v>1202</v>
      </c>
      <c r="I6" s="374" t="s">
        <v>289</v>
      </c>
      <c r="J6" s="228">
        <v>5</v>
      </c>
      <c r="K6" s="228">
        <v>5</v>
      </c>
      <c r="L6" s="327">
        <v>66</v>
      </c>
      <c r="M6" s="229"/>
      <c r="N6" s="329"/>
      <c r="O6" s="370"/>
      <c r="P6" s="250"/>
      <c r="Q6" s="58"/>
      <c r="R6" s="200"/>
      <c r="S6" s="372"/>
      <c r="T6" s="373"/>
      <c r="U6" s="327"/>
      <c r="V6" s="370"/>
      <c r="W6" s="327"/>
      <c r="X6" s="373"/>
      <c r="Y6" s="370"/>
      <c r="Z6" s="327"/>
      <c r="AA6" s="327"/>
      <c r="AB6" s="388" t="s">
        <v>1199</v>
      </c>
    </row>
    <row r="7" spans="1:28" ht="66" customHeight="1">
      <c r="A7" s="369">
        <v>6</v>
      </c>
      <c r="B7" s="369" t="s">
        <v>5</v>
      </c>
      <c r="C7" s="372">
        <v>45800</v>
      </c>
      <c r="D7" s="430">
        <v>45813</v>
      </c>
      <c r="E7" s="203" t="s">
        <v>1203</v>
      </c>
      <c r="F7" s="137" t="s">
        <v>1204</v>
      </c>
      <c r="G7" s="250" t="s">
        <v>1205</v>
      </c>
      <c r="H7" s="377" t="s">
        <v>1206</v>
      </c>
      <c r="I7" s="228" t="s">
        <v>301</v>
      </c>
      <c r="J7" s="181">
        <v>3</v>
      </c>
      <c r="K7" s="181"/>
      <c r="L7" s="327">
        <v>102.5</v>
      </c>
      <c r="M7" s="229"/>
      <c r="N7" s="329"/>
      <c r="O7" s="327"/>
      <c r="P7" s="250"/>
      <c r="Q7" s="58"/>
      <c r="R7" s="200"/>
      <c r="S7" s="372"/>
      <c r="T7" s="373"/>
      <c r="U7" s="327"/>
      <c r="V7" s="370"/>
      <c r="W7" s="327"/>
      <c r="X7" s="373"/>
      <c r="Y7" s="370"/>
      <c r="Z7" s="327"/>
      <c r="AA7" s="327"/>
      <c r="AB7" s="388" t="s">
        <v>1207</v>
      </c>
    </row>
    <row r="8" spans="1:28" ht="72.75" customHeight="1">
      <c r="A8" s="369">
        <v>7</v>
      </c>
      <c r="B8" s="369" t="s">
        <v>5</v>
      </c>
      <c r="C8" s="372">
        <v>45800</v>
      </c>
      <c r="D8" s="430">
        <v>45813</v>
      </c>
      <c r="E8" s="229" t="s">
        <v>1203</v>
      </c>
      <c r="F8" s="137" t="s">
        <v>426</v>
      </c>
      <c r="G8" s="229" t="s">
        <v>1208</v>
      </c>
      <c r="H8" s="137" t="s">
        <v>1209</v>
      </c>
      <c r="I8" s="503" t="s">
        <v>289</v>
      </c>
      <c r="J8" s="228">
        <v>2</v>
      </c>
      <c r="K8" s="228">
        <v>2</v>
      </c>
      <c r="L8" s="327">
        <v>7.25</v>
      </c>
      <c r="M8" s="229"/>
      <c r="N8" s="329"/>
      <c r="O8" s="327"/>
      <c r="P8" s="250"/>
      <c r="Q8" s="218"/>
      <c r="R8" s="271"/>
      <c r="S8" s="372"/>
      <c r="T8" s="373"/>
      <c r="U8" s="327"/>
      <c r="V8" s="370"/>
      <c r="W8" s="327"/>
      <c r="X8" s="373"/>
      <c r="Y8" s="370"/>
      <c r="Z8" s="327"/>
      <c r="AA8" s="327"/>
      <c r="AB8" s="388" t="s">
        <v>1210</v>
      </c>
    </row>
    <row r="9" spans="1:28" ht="58.5">
      <c r="A9" s="369">
        <v>8</v>
      </c>
      <c r="B9" s="369" t="s">
        <v>5</v>
      </c>
      <c r="C9" s="372">
        <v>45800</v>
      </c>
      <c r="D9" s="430">
        <v>45813</v>
      </c>
      <c r="E9" s="203" t="s">
        <v>1203</v>
      </c>
      <c r="F9" s="502" t="s">
        <v>426</v>
      </c>
      <c r="G9" s="502" t="s">
        <v>1211</v>
      </c>
      <c r="H9" s="137" t="s">
        <v>1212</v>
      </c>
      <c r="I9" s="327" t="s">
        <v>289</v>
      </c>
      <c r="J9" s="181">
        <v>1</v>
      </c>
      <c r="K9" s="181">
        <v>1</v>
      </c>
      <c r="L9" s="327"/>
      <c r="M9" s="229"/>
      <c r="N9" s="329"/>
      <c r="O9" s="327"/>
      <c r="P9" s="250"/>
      <c r="Q9" s="58"/>
      <c r="R9" s="200"/>
      <c r="S9" s="372"/>
      <c r="T9" s="373"/>
      <c r="U9" s="327"/>
      <c r="V9" s="370"/>
      <c r="W9" s="327"/>
      <c r="X9" s="373"/>
      <c r="Y9" s="370"/>
      <c r="Z9" s="327"/>
      <c r="AA9" s="327"/>
      <c r="AB9" s="388" t="s">
        <v>1210</v>
      </c>
    </row>
  </sheetData>
  <hyperlinks>
    <hyperlink ref="R4" r:id="rId1" xr:uid="{C2BACBD7-6202-462C-BEF9-E11FEEBB151A}"/>
    <hyperlink ref="R3" r:id="rId2" xr:uid="{0F7C91CB-DBA7-473B-8995-DDC3E48A7F8B}"/>
  </hyperlinks>
  <pageMargins left="0.7" right="0.7" top="0.75" bottom="0.75" header="0.3" footer="0.3"/>
  <tableParts count="1">
    <tablePart r:id="rId3"/>
  </tableParts>
  <extLst>
    <ext xmlns:x14="http://schemas.microsoft.com/office/spreadsheetml/2009/9/main" uri="{CCE6A557-97BC-4b89-ADB6-D9C93CAAB3DF}">
      <x14:dataValidations xmlns:xm="http://schemas.microsoft.com/office/excel/2006/main" count="1">
        <x14:dataValidation type="list" allowBlank="1" showErrorMessage="1" xr:uid="{AD6A3314-EB19-44A5-B51D-780D8DB25F74}">
          <x14:formula1>
            <xm:f>Settings!$C$3:$C$20</xm:f>
          </x14:formula1>
          <xm:sqref>I2:I9</xm:sqref>
        </x14:dataValidation>
      </x14:dataValidations>
    </ext>
  </extLs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88E50-B6F8-4F41-B0EE-F89F5600523A}">
  <sheetPr>
    <outlinePr summaryBelow="0" summaryRight="0"/>
  </sheetPr>
  <dimension ref="A1:AB988"/>
  <sheetViews>
    <sheetView topLeftCell="B1" workbookViewId="0">
      <selection activeCell="C7" sqref="C7"/>
    </sheetView>
  </sheetViews>
  <sheetFormatPr defaultColWidth="12.5703125" defaultRowHeight="15" customHeight="1"/>
  <cols>
    <col min="1" max="1" width="12.5703125" hidden="1" customWidth="1"/>
    <col min="2" max="2" width="21.42578125" customWidth="1"/>
    <col min="3" max="3" width="23.5703125" customWidth="1"/>
    <col min="4" max="4" width="14.42578125" customWidth="1"/>
    <col min="5" max="5" width="19.140625" customWidth="1"/>
    <col min="6" max="6" width="37.5703125" customWidth="1"/>
    <col min="7" max="7" width="41.140625" customWidth="1"/>
    <col min="8" max="9" width="18.7109375" customWidth="1"/>
    <col min="10" max="10" width="9.140625" bestFit="1" customWidth="1"/>
    <col min="11" max="11" width="19" customWidth="1"/>
    <col min="12" max="12" width="18" customWidth="1"/>
    <col min="13" max="13" width="41" customWidth="1"/>
    <col min="14" max="14" width="14.140625" style="122" customWidth="1"/>
    <col min="15" max="15" width="29" customWidth="1"/>
  </cols>
  <sheetData>
    <row r="1" spans="1:28" ht="13.5">
      <c r="A1" s="434" t="s">
        <v>254</v>
      </c>
      <c r="B1" s="1" t="s">
        <v>321</v>
      </c>
      <c r="C1" s="198" t="s">
        <v>322</v>
      </c>
      <c r="D1" s="198" t="s">
        <v>323</v>
      </c>
      <c r="E1" s="1" t="s">
        <v>256</v>
      </c>
      <c r="F1" s="198" t="s">
        <v>324</v>
      </c>
      <c r="G1" s="198" t="s">
        <v>325</v>
      </c>
      <c r="H1" s="1" t="s">
        <v>326</v>
      </c>
      <c r="I1" s="1" t="s">
        <v>327</v>
      </c>
      <c r="J1" s="1" t="s">
        <v>328</v>
      </c>
      <c r="K1" s="1" t="s">
        <v>259</v>
      </c>
      <c r="L1" s="156" t="s">
        <v>329</v>
      </c>
      <c r="M1" s="8" t="s">
        <v>280</v>
      </c>
      <c r="N1" s="487" t="s">
        <v>330</v>
      </c>
      <c r="O1" s="487" t="s">
        <v>331</v>
      </c>
      <c r="P1" s="35"/>
      <c r="Q1" s="35"/>
      <c r="R1" s="35"/>
      <c r="S1" s="35"/>
      <c r="T1" s="35"/>
      <c r="U1" s="35"/>
      <c r="V1" s="35"/>
      <c r="W1" s="35"/>
      <c r="X1" s="35"/>
      <c r="Y1" s="35"/>
      <c r="Z1" s="35"/>
      <c r="AA1" s="35"/>
      <c r="AB1" s="35"/>
    </row>
    <row r="2" spans="1:28" ht="56.25" customHeight="1">
      <c r="B2" s="126"/>
      <c r="C2" s="481"/>
      <c r="D2" s="481"/>
      <c r="E2" s="126"/>
      <c r="F2" s="221"/>
      <c r="G2" s="305"/>
      <c r="H2" s="126"/>
      <c r="I2" s="126"/>
      <c r="J2" s="126"/>
      <c r="K2" s="126"/>
      <c r="L2" s="126"/>
      <c r="M2" s="333"/>
      <c r="N2" s="91"/>
      <c r="O2" s="216"/>
    </row>
    <row r="3" spans="1:28" ht="66.75" customHeight="1">
      <c r="B3" s="126"/>
      <c r="C3" s="481"/>
      <c r="D3" s="481"/>
      <c r="E3" s="126"/>
      <c r="F3" s="221"/>
      <c r="G3" s="305"/>
      <c r="H3" s="126"/>
      <c r="I3" s="126"/>
      <c r="J3" s="126"/>
      <c r="K3" s="126"/>
      <c r="L3" s="126"/>
      <c r="M3" s="333"/>
    </row>
    <row r="4" spans="1:28" ht="15.75" customHeight="1"/>
    <row r="5" spans="1:28" ht="15.75" customHeight="1"/>
    <row r="6" spans="1:28" ht="15.75" customHeight="1">
      <c r="K6" s="144"/>
    </row>
    <row r="7" spans="1:28" ht="15.75" customHeight="1"/>
    <row r="8" spans="1:28" ht="15.75" customHeight="1"/>
    <row r="9" spans="1:28" ht="15.75" customHeight="1"/>
    <row r="10" spans="1:28" ht="15.75" customHeight="1"/>
    <row r="11" spans="1:28" ht="15.75" customHeight="1"/>
    <row r="12" spans="1:28" ht="15.75" customHeight="1"/>
    <row r="13" spans="1:28" ht="15.75" customHeight="1"/>
    <row r="14" spans="1:28" ht="15.75" customHeight="1"/>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sheetData>
  <autoFilter ref="A1:M1" xr:uid="{3A2BB050-11AC-4ED7-A296-96B42C7FCFBA}"/>
  <dataValidations count="5">
    <dataValidation type="list" allowBlank="1" showErrorMessage="1" sqref="F2:F3" xr:uid="{851D39D2-DB4A-4495-822F-205656C42EEB}">
      <formula1>"Bounceback,Defect,None"</formula1>
    </dataValidation>
    <dataValidation type="list" allowBlank="1" showErrorMessage="1" sqref="K2:K3" xr:uid="{DFF87F33-BACC-4366-9CD4-8AFDB83CB277}">
      <formula1>"Open,Inprogress,Closed"</formula1>
    </dataValidation>
    <dataValidation type="list" allowBlank="1" showErrorMessage="1" sqref="I2:I3" xr:uid="{3A923A8B-37C0-4EC1-9F04-F8EA32D86081}">
      <formula1>"Manual, Automation"</formula1>
    </dataValidation>
    <dataValidation type="list" allowBlank="1" showErrorMessage="1" sqref="H2:H3" xr:uid="{711C9DED-FEB5-4748-B79D-AE2006FFACA0}">
      <formula1>"Minor,Significant,Major"</formula1>
    </dataValidation>
    <dataValidation type="list" allowBlank="1" showErrorMessage="1" sqref="J2:J3" xr:uid="{D88AA105-4D9F-4E08-894B-8176C0F0EA23}">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CED30E2A-2632-4AD1-96E2-D671D131EB4C}">
          <x14:formula1>
            <xm:f>Details!$A$2:$A$10</xm:f>
          </x14:formula1>
          <xm:sqref>L2:L3</xm:sqref>
        </x14:dataValidation>
      </x14:dataValidations>
    </ext>
  </extLs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37AB5-F12B-4DBF-AD20-BE8B8C9748E4}">
  <dimension ref="A1:AB16"/>
  <sheetViews>
    <sheetView workbookViewId="0">
      <pane xSplit="7" ySplit="1" topLeftCell="L2" activePane="bottomRight" state="frozen"/>
      <selection pane="bottomRight" activeCell="L8" sqref="L8"/>
      <selection pane="bottomLeft"/>
      <selection pane="topRight"/>
    </sheetView>
  </sheetViews>
  <sheetFormatPr defaultRowHeight="12.75"/>
  <cols>
    <col min="2" max="2" width="13.28515625" customWidth="1"/>
    <col min="3" max="3" width="10.85546875" customWidth="1"/>
    <col min="4" max="4" width="12.140625" customWidth="1"/>
    <col min="5" max="5" width="40.7109375" customWidth="1"/>
    <col min="6" max="6" width="21.140625" customWidth="1"/>
    <col min="7" max="7" width="18.85546875" customWidth="1"/>
    <col min="8" max="8" width="41.7109375" style="137" customWidth="1"/>
    <col min="9" max="9" width="16.85546875" customWidth="1"/>
    <col min="10" max="11" width="11.42578125" bestFit="1" customWidth="1"/>
    <col min="12" max="12" width="11.42578125" customWidth="1"/>
    <col min="13" max="13" width="13.140625" customWidth="1"/>
    <col min="14" max="14" width="13.42578125" style="144" customWidth="1"/>
    <col min="15" max="15" width="21.85546875" customWidth="1"/>
    <col min="16" max="16" width="16.42578125" customWidth="1"/>
    <col min="17" max="17" width="14.85546875" customWidth="1"/>
    <col min="18" max="18" width="24.42578125" style="144" customWidth="1"/>
    <col min="19" max="20" width="12.7109375" bestFit="1" customWidth="1"/>
    <col min="21" max="21" width="11.42578125" bestFit="1" customWidth="1"/>
    <col min="22" max="22" width="11.42578125" style="144" bestFit="1" customWidth="1"/>
    <col min="23" max="23" width="11.42578125" bestFit="1" customWidth="1"/>
    <col min="24" max="24" width="12.7109375" bestFit="1" customWidth="1"/>
    <col min="25" max="27" width="11.42578125" bestFit="1" customWidth="1"/>
    <col min="28" max="28" width="27.42578125" customWidth="1"/>
  </cols>
  <sheetData>
    <row r="1" spans="1:28" ht="46.5">
      <c r="A1" s="379" t="s">
        <v>254</v>
      </c>
      <c r="B1" s="404" t="s">
        <v>4</v>
      </c>
      <c r="C1" s="404" t="s">
        <v>2</v>
      </c>
      <c r="D1" s="404" t="s">
        <v>3</v>
      </c>
      <c r="E1" s="380" t="s">
        <v>255</v>
      </c>
      <c r="F1" s="381" t="s">
        <v>256</v>
      </c>
      <c r="G1" s="382" t="s">
        <v>257</v>
      </c>
      <c r="H1" s="383" t="s">
        <v>258</v>
      </c>
      <c r="I1" s="383" t="s">
        <v>259</v>
      </c>
      <c r="J1" s="384" t="s">
        <v>260</v>
      </c>
      <c r="K1" s="384" t="s">
        <v>261</v>
      </c>
      <c r="L1" s="384" t="s">
        <v>262</v>
      </c>
      <c r="M1" s="385" t="s">
        <v>265</v>
      </c>
      <c r="N1" s="385" t="s">
        <v>266</v>
      </c>
      <c r="O1" s="385" t="s">
        <v>267</v>
      </c>
      <c r="P1" s="385" t="s">
        <v>268</v>
      </c>
      <c r="Q1" s="385" t="s">
        <v>269</v>
      </c>
      <c r="R1" s="385" t="s">
        <v>270</v>
      </c>
      <c r="S1" s="385" t="s">
        <v>271</v>
      </c>
      <c r="T1" s="385" t="s">
        <v>272</v>
      </c>
      <c r="U1" s="385" t="s">
        <v>273</v>
      </c>
      <c r="V1" s="385" t="s">
        <v>274</v>
      </c>
      <c r="W1" s="385" t="s">
        <v>275</v>
      </c>
      <c r="X1" s="385" t="s">
        <v>276</v>
      </c>
      <c r="Y1" s="385" t="s">
        <v>277</v>
      </c>
      <c r="Z1" s="385" t="s">
        <v>278</v>
      </c>
      <c r="AA1" s="385" t="s">
        <v>279</v>
      </c>
      <c r="AB1" s="386" t="s">
        <v>280</v>
      </c>
    </row>
    <row r="2" spans="1:28" s="256" customFormat="1" ht="38.25" customHeight="1">
      <c r="A2" s="369">
        <v>1</v>
      </c>
      <c r="B2" s="444" t="s">
        <v>5</v>
      </c>
      <c r="C2" s="445">
        <v>45786</v>
      </c>
      <c r="D2" s="445">
        <v>45799</v>
      </c>
      <c r="E2" s="469" t="s">
        <v>120</v>
      </c>
      <c r="F2" s="90" t="s">
        <v>286</v>
      </c>
      <c r="G2" s="431" t="s">
        <v>1213</v>
      </c>
      <c r="H2" s="90" t="s">
        <v>897</v>
      </c>
      <c r="I2" s="478" t="s">
        <v>289</v>
      </c>
      <c r="J2" s="327">
        <v>3</v>
      </c>
      <c r="K2" s="486">
        <v>3</v>
      </c>
      <c r="L2" s="327">
        <v>58.25</v>
      </c>
      <c r="M2" s="229"/>
      <c r="N2" s="329"/>
      <c r="O2" s="370"/>
      <c r="P2" s="229"/>
      <c r="Q2" s="485"/>
      <c r="R2" s="271"/>
      <c r="S2" s="373"/>
      <c r="T2" s="373"/>
      <c r="U2" s="370"/>
      <c r="V2" s="370"/>
      <c r="W2" s="327"/>
      <c r="X2" s="373"/>
      <c r="Y2" s="370"/>
      <c r="Z2" s="327"/>
      <c r="AA2" s="327"/>
      <c r="AB2" s="390" t="s">
        <v>1214</v>
      </c>
    </row>
    <row r="3" spans="1:28" s="256" customFormat="1" ht="38.25" customHeight="1">
      <c r="A3" s="369">
        <v>2</v>
      </c>
      <c r="B3" s="442" t="s">
        <v>5</v>
      </c>
      <c r="C3" s="443">
        <v>45786</v>
      </c>
      <c r="D3" s="443">
        <v>45799</v>
      </c>
      <c r="E3" s="257" t="s">
        <v>120</v>
      </c>
      <c r="F3" s="256" t="s">
        <v>426</v>
      </c>
      <c r="G3" s="250" t="s">
        <v>1215</v>
      </c>
      <c r="H3" s="305" t="s">
        <v>1216</v>
      </c>
      <c r="I3" s="478" t="s">
        <v>289</v>
      </c>
      <c r="J3" s="181">
        <v>2</v>
      </c>
      <c r="K3" s="327">
        <v>2</v>
      </c>
      <c r="L3" s="327">
        <v>13</v>
      </c>
      <c r="M3" s="329" t="s">
        <v>290</v>
      </c>
      <c r="N3" s="329" t="s">
        <v>457</v>
      </c>
      <c r="O3" s="327" t="s">
        <v>291</v>
      </c>
      <c r="P3" s="329" t="s">
        <v>294</v>
      </c>
      <c r="Q3" s="484" t="s">
        <v>291</v>
      </c>
      <c r="R3" s="358" t="s">
        <v>1217</v>
      </c>
      <c r="S3" s="373">
        <v>45798</v>
      </c>
      <c r="T3" s="373">
        <v>45798</v>
      </c>
      <c r="U3" s="327" t="s">
        <v>294</v>
      </c>
      <c r="V3" s="370" t="s">
        <v>291</v>
      </c>
      <c r="W3" s="327" t="s">
        <v>295</v>
      </c>
      <c r="X3" s="373">
        <v>45798</v>
      </c>
      <c r="Y3" s="370" t="s">
        <v>291</v>
      </c>
      <c r="Z3" s="327" t="s">
        <v>291</v>
      </c>
      <c r="AA3" s="327" t="s">
        <v>291</v>
      </c>
      <c r="AB3" s="390"/>
    </row>
    <row r="4" spans="1:28" s="256" customFormat="1" ht="38.25" customHeight="1">
      <c r="A4" s="228">
        <v>3</v>
      </c>
      <c r="B4" s="500" t="s">
        <v>5</v>
      </c>
      <c r="C4" s="501">
        <v>45786</v>
      </c>
      <c r="D4" s="501">
        <v>45799</v>
      </c>
      <c r="E4" s="62" t="s">
        <v>120</v>
      </c>
      <c r="F4" s="90" t="s">
        <v>426</v>
      </c>
      <c r="G4" s="203" t="s">
        <v>1218</v>
      </c>
      <c r="H4" s="90" t="s">
        <v>1219</v>
      </c>
      <c r="I4" s="471" t="s">
        <v>289</v>
      </c>
      <c r="J4" s="228">
        <v>2</v>
      </c>
      <c r="K4" s="228">
        <v>2</v>
      </c>
      <c r="L4" s="228">
        <v>50.75</v>
      </c>
      <c r="M4" s="203"/>
      <c r="N4" s="316"/>
      <c r="O4" s="228"/>
      <c r="P4" s="203"/>
      <c r="Q4" s="352"/>
      <c r="R4" s="200"/>
      <c r="S4" s="360"/>
      <c r="T4" s="360"/>
      <c r="U4" s="228"/>
      <c r="V4" s="352"/>
      <c r="W4" s="228"/>
      <c r="X4" s="360"/>
      <c r="Y4" s="352"/>
      <c r="Z4" s="228"/>
      <c r="AA4" s="228"/>
      <c r="AB4" s="90" t="s">
        <v>1220</v>
      </c>
    </row>
    <row r="5" spans="1:28" s="256" customFormat="1" ht="38.25" customHeight="1">
      <c r="A5" s="491">
        <v>4</v>
      </c>
      <c r="B5" s="492" t="s">
        <v>5</v>
      </c>
      <c r="C5" s="493">
        <v>45786</v>
      </c>
      <c r="D5" s="494">
        <v>45799</v>
      </c>
      <c r="E5" s="495" t="s">
        <v>120</v>
      </c>
      <c r="F5" s="482" t="s">
        <v>298</v>
      </c>
      <c r="G5" s="137" t="s">
        <v>1221</v>
      </c>
      <c r="H5" s="472" t="s">
        <v>1222</v>
      </c>
      <c r="I5" s="467" t="s">
        <v>289</v>
      </c>
      <c r="J5" s="473"/>
      <c r="K5" s="491"/>
      <c r="L5" s="486">
        <v>23.5</v>
      </c>
      <c r="M5" s="496" t="s">
        <v>290</v>
      </c>
      <c r="N5" s="497" t="s">
        <v>457</v>
      </c>
      <c r="O5" s="486" t="s">
        <v>291</v>
      </c>
      <c r="P5" s="498" t="s">
        <v>292</v>
      </c>
      <c r="Q5" s="401" t="s">
        <v>291</v>
      </c>
      <c r="R5" s="474" t="s">
        <v>1223</v>
      </c>
      <c r="S5" s="475">
        <v>45786</v>
      </c>
      <c r="T5" s="476">
        <v>45787</v>
      </c>
      <c r="U5" s="486" t="s">
        <v>426</v>
      </c>
      <c r="V5" s="484" t="s">
        <v>291</v>
      </c>
      <c r="W5" s="486" t="s">
        <v>295</v>
      </c>
      <c r="X5" s="476">
        <v>45787</v>
      </c>
      <c r="Y5" s="484" t="s">
        <v>291</v>
      </c>
      <c r="Z5" s="486" t="s">
        <v>291</v>
      </c>
      <c r="AA5" s="486" t="s">
        <v>291</v>
      </c>
      <c r="AB5" s="499" t="s">
        <v>1224</v>
      </c>
    </row>
    <row r="6" spans="1:28" ht="38.25" customHeight="1">
      <c r="A6" s="369">
        <v>5</v>
      </c>
      <c r="B6" s="369" t="s">
        <v>5</v>
      </c>
      <c r="C6" s="372">
        <v>45786</v>
      </c>
      <c r="D6" s="430">
        <v>45799</v>
      </c>
      <c r="E6" s="246" t="s">
        <v>120</v>
      </c>
      <c r="F6" s="203" t="s">
        <v>1187</v>
      </c>
      <c r="G6" s="247" t="s">
        <v>1225</v>
      </c>
      <c r="H6" s="321" t="s">
        <v>1226</v>
      </c>
      <c r="I6" s="374" t="s">
        <v>289</v>
      </c>
      <c r="J6" s="228">
        <v>3</v>
      </c>
      <c r="K6" s="369">
        <v>3</v>
      </c>
      <c r="L6" s="327">
        <v>72</v>
      </c>
      <c r="M6" s="229" t="s">
        <v>290</v>
      </c>
      <c r="N6" s="329" t="s">
        <v>457</v>
      </c>
      <c r="O6" s="370" t="s">
        <v>291</v>
      </c>
      <c r="P6" s="250" t="s">
        <v>294</v>
      </c>
      <c r="Q6" s="226" t="s">
        <v>291</v>
      </c>
      <c r="R6" s="358" t="s">
        <v>1227</v>
      </c>
      <c r="S6" s="373">
        <v>45798</v>
      </c>
      <c r="T6" s="373">
        <v>45799</v>
      </c>
      <c r="U6" s="327" t="s">
        <v>426</v>
      </c>
      <c r="V6" s="370" t="s">
        <v>1228</v>
      </c>
      <c r="W6" s="327" t="s">
        <v>295</v>
      </c>
      <c r="X6" s="373">
        <v>45799</v>
      </c>
      <c r="Y6" s="370" t="s">
        <v>291</v>
      </c>
      <c r="Z6" s="327" t="s">
        <v>291</v>
      </c>
      <c r="AA6" s="327" t="s">
        <v>291</v>
      </c>
      <c r="AB6" s="388" t="s">
        <v>1229</v>
      </c>
    </row>
    <row r="7" spans="1:28" ht="38.25" customHeight="1">
      <c r="A7" s="369">
        <v>6</v>
      </c>
      <c r="B7" s="369" t="s">
        <v>5</v>
      </c>
      <c r="C7" s="372">
        <v>45786</v>
      </c>
      <c r="D7" s="430">
        <v>45799</v>
      </c>
      <c r="E7" s="246" t="s">
        <v>120</v>
      </c>
      <c r="F7" s="137" t="s">
        <v>426</v>
      </c>
      <c r="G7" s="229" t="s">
        <v>1230</v>
      </c>
      <c r="H7" s="321" t="s">
        <v>1231</v>
      </c>
      <c r="I7" s="374" t="s">
        <v>289</v>
      </c>
      <c r="J7" s="181">
        <v>3</v>
      </c>
      <c r="K7" s="327">
        <v>3</v>
      </c>
      <c r="L7" s="327">
        <v>38.5</v>
      </c>
      <c r="M7" s="229" t="s">
        <v>290</v>
      </c>
      <c r="N7" s="329" t="s">
        <v>457</v>
      </c>
      <c r="O7" s="327" t="s">
        <v>291</v>
      </c>
      <c r="P7" s="229" t="s">
        <v>294</v>
      </c>
      <c r="Q7" s="218" t="s">
        <v>291</v>
      </c>
      <c r="R7" s="358" t="s">
        <v>1232</v>
      </c>
      <c r="S7" s="373">
        <v>45796</v>
      </c>
      <c r="T7" s="373">
        <v>45798</v>
      </c>
      <c r="U7" s="327" t="s">
        <v>294</v>
      </c>
      <c r="V7" s="370" t="s">
        <v>291</v>
      </c>
      <c r="W7" s="327" t="s">
        <v>295</v>
      </c>
      <c r="X7" s="373">
        <v>45798</v>
      </c>
      <c r="Y7" s="370" t="s">
        <v>291</v>
      </c>
      <c r="Z7" s="327" t="s">
        <v>291</v>
      </c>
      <c r="AA7" s="327" t="s">
        <v>291</v>
      </c>
      <c r="AB7" s="388"/>
    </row>
    <row r="8" spans="1:28" ht="38.25" customHeight="1">
      <c r="A8" s="369">
        <v>7</v>
      </c>
      <c r="B8" s="369" t="s">
        <v>5</v>
      </c>
      <c r="C8" s="372">
        <v>45786</v>
      </c>
      <c r="D8" s="372">
        <v>45799</v>
      </c>
      <c r="E8" t="s">
        <v>120</v>
      </c>
      <c r="F8" t="s">
        <v>426</v>
      </c>
      <c r="G8" s="229" t="s">
        <v>1233</v>
      </c>
      <c r="H8" s="137" t="s">
        <v>1234</v>
      </c>
      <c r="I8" s="327" t="s">
        <v>289</v>
      </c>
      <c r="J8" s="181">
        <v>2</v>
      </c>
      <c r="K8" s="327">
        <v>2</v>
      </c>
      <c r="L8" s="327"/>
      <c r="M8" s="229"/>
      <c r="N8" s="329"/>
      <c r="O8" s="327"/>
      <c r="P8" s="229"/>
      <c r="R8" s="432"/>
      <c r="S8" s="373"/>
      <c r="T8" s="373"/>
      <c r="U8" s="327"/>
      <c r="V8" s="370"/>
      <c r="W8" s="327"/>
      <c r="X8" s="373"/>
      <c r="Y8" s="370"/>
      <c r="Z8" s="327"/>
      <c r="AA8" s="327"/>
      <c r="AB8" s="249"/>
    </row>
    <row r="9" spans="1:28" ht="38.25" customHeight="1"/>
    <row r="10" spans="1:28" ht="38.25" customHeight="1"/>
    <row r="11" spans="1:28" ht="38.25" customHeight="1"/>
    <row r="12" spans="1:28" ht="38.25" customHeight="1"/>
    <row r="13" spans="1:28" ht="38.25" customHeight="1"/>
    <row r="14" spans="1:28" ht="38.25" customHeight="1"/>
    <row r="15" spans="1:28" ht="38.25" customHeight="1"/>
    <row r="16" spans="1:28" ht="38.25" customHeight="1"/>
  </sheetData>
  <hyperlinks>
    <hyperlink ref="R5" r:id="rId1" xr:uid="{E17B4BB4-5981-463C-A95D-A54189F385A8}"/>
    <hyperlink ref="R7" r:id="rId2" xr:uid="{16C9B404-4D27-49FD-89E9-AA5B22BA47FB}"/>
    <hyperlink ref="R3" r:id="rId3" xr:uid="{971E819D-619C-4301-BA02-6924111AFAC0}"/>
    <hyperlink ref="R6" r:id="rId4" xr:uid="{C2E0FC46-6EFD-4589-A595-B744182C82E4}"/>
  </hyperlinks>
  <pageMargins left="0.7" right="0.7" top="0.75" bottom="0.75" header="0.3" footer="0.3"/>
  <tableParts count="1">
    <tablePart r:id="rId5"/>
  </tableParts>
  <extLst>
    <ext xmlns:x14="http://schemas.microsoft.com/office/spreadsheetml/2009/9/main" uri="{CCE6A557-97BC-4b89-ADB6-D9C93CAAB3DF}">
      <x14:dataValidations xmlns:xm="http://schemas.microsoft.com/office/excel/2006/main" count="1">
        <x14:dataValidation type="list" allowBlank="1" showErrorMessage="1" xr:uid="{2CF089F0-326B-4B08-9BD1-3F377ABF98CE}">
          <x14:formula1>
            <xm:f>Settings!$C$3:$C$20</xm:f>
          </x14:formula1>
          <xm:sqref>I2:I8</xm:sqref>
        </x14:dataValidation>
      </x14:dataValidations>
    </ext>
  </extLs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DCBE1-1C8F-40AD-8468-997F5E8C2644}">
  <sheetPr>
    <outlinePr summaryBelow="0" summaryRight="0"/>
  </sheetPr>
  <dimension ref="A1:AB988"/>
  <sheetViews>
    <sheetView topLeftCell="B1" workbookViewId="0">
      <selection activeCell="E4" sqref="E4"/>
    </sheetView>
  </sheetViews>
  <sheetFormatPr defaultColWidth="12.5703125" defaultRowHeight="15" customHeight="1"/>
  <cols>
    <col min="1" max="1" width="12.5703125" hidden="1" customWidth="1"/>
    <col min="2" max="2" width="21.42578125" customWidth="1"/>
    <col min="3" max="3" width="23.5703125" customWidth="1"/>
    <col min="4" max="4" width="14.42578125" customWidth="1"/>
    <col min="5" max="5" width="19.140625" customWidth="1"/>
    <col min="6" max="6" width="37.5703125" customWidth="1"/>
    <col min="7" max="7" width="41.140625" customWidth="1"/>
    <col min="8" max="9" width="18.7109375" customWidth="1"/>
    <col min="10" max="10" width="9.140625" bestFit="1" customWidth="1"/>
    <col min="11" max="11" width="19" customWidth="1"/>
    <col min="12" max="12" width="18" customWidth="1"/>
    <col min="13" max="13" width="41" customWidth="1"/>
    <col min="14" max="14" width="14.140625" style="122" customWidth="1"/>
    <col min="15" max="15" width="29" customWidth="1"/>
  </cols>
  <sheetData>
    <row r="1" spans="1:28" ht="13.5">
      <c r="A1" s="434" t="s">
        <v>254</v>
      </c>
      <c r="B1" s="1" t="s">
        <v>321</v>
      </c>
      <c r="C1" s="198" t="s">
        <v>322</v>
      </c>
      <c r="D1" s="198" t="s">
        <v>323</v>
      </c>
      <c r="E1" s="1" t="s">
        <v>256</v>
      </c>
      <c r="F1" s="198" t="s">
        <v>324</v>
      </c>
      <c r="G1" s="198" t="s">
        <v>325</v>
      </c>
      <c r="H1" s="1" t="s">
        <v>326</v>
      </c>
      <c r="I1" s="1" t="s">
        <v>327</v>
      </c>
      <c r="J1" s="1" t="s">
        <v>328</v>
      </c>
      <c r="K1" s="1" t="s">
        <v>259</v>
      </c>
      <c r="L1" s="156" t="s">
        <v>329</v>
      </c>
      <c r="M1" s="8" t="s">
        <v>280</v>
      </c>
      <c r="N1" s="487" t="s">
        <v>330</v>
      </c>
      <c r="O1" s="487" t="s">
        <v>331</v>
      </c>
      <c r="P1" s="35"/>
      <c r="Q1" s="35"/>
      <c r="R1" s="35"/>
      <c r="S1" s="35"/>
      <c r="T1" s="35"/>
      <c r="U1" s="35"/>
      <c r="V1" s="35"/>
      <c r="W1" s="35"/>
      <c r="X1" s="35"/>
      <c r="Y1" s="35"/>
      <c r="Z1" s="35"/>
      <c r="AA1" s="35"/>
      <c r="AB1" s="35"/>
    </row>
    <row r="2" spans="1:28" ht="56.25" customHeight="1">
      <c r="B2" s="126" t="s">
        <v>1235</v>
      </c>
      <c r="C2" s="481" t="s">
        <v>1221</v>
      </c>
      <c r="D2" s="481" t="s">
        <v>1218</v>
      </c>
      <c r="E2" s="126" t="s">
        <v>298</v>
      </c>
      <c r="F2" s="221" t="s">
        <v>380</v>
      </c>
      <c r="G2" s="305" t="s">
        <v>1222</v>
      </c>
      <c r="H2" s="126" t="s">
        <v>381</v>
      </c>
      <c r="I2" s="126" t="s">
        <v>1236</v>
      </c>
      <c r="J2" s="126" t="s">
        <v>383</v>
      </c>
      <c r="K2" s="126" t="s">
        <v>384</v>
      </c>
      <c r="L2" s="126" t="s">
        <v>385</v>
      </c>
      <c r="M2" s="333" t="s">
        <v>1237</v>
      </c>
      <c r="N2" s="91" t="s">
        <v>387</v>
      </c>
      <c r="O2" s="216" t="s">
        <v>1238</v>
      </c>
    </row>
    <row r="3" spans="1:28" ht="66.75" customHeight="1">
      <c r="B3" s="126"/>
      <c r="C3" s="481"/>
      <c r="D3" s="481"/>
      <c r="E3" s="126"/>
      <c r="F3" s="221"/>
      <c r="G3" s="305"/>
      <c r="H3" s="126"/>
      <c r="I3" s="126"/>
      <c r="J3" s="126"/>
      <c r="K3" s="126"/>
      <c r="L3" s="126"/>
      <c r="M3" s="333"/>
    </row>
    <row r="4" spans="1:28" ht="15.75" customHeight="1"/>
    <row r="5" spans="1:28" ht="15.75" customHeight="1"/>
    <row r="6" spans="1:28" ht="15.75" customHeight="1">
      <c r="K6" s="144"/>
    </row>
    <row r="7" spans="1:28" ht="15.75" customHeight="1"/>
    <row r="8" spans="1:28" ht="15.75" customHeight="1"/>
    <row r="9" spans="1:28" ht="15.75" customHeight="1"/>
    <row r="10" spans="1:28" ht="15.75" customHeight="1"/>
    <row r="11" spans="1:28" ht="15.75" customHeight="1"/>
    <row r="12" spans="1:28" ht="15.75" customHeight="1"/>
    <row r="13" spans="1:28" ht="15.75" customHeight="1"/>
    <row r="14" spans="1:28" ht="15.75" customHeight="1"/>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sheetData>
  <autoFilter ref="A1:M1" xr:uid="{3A2BB050-11AC-4ED7-A296-96B42C7FCFBA}"/>
  <dataValidations count="5">
    <dataValidation type="list" allowBlank="1" showErrorMessage="1" sqref="J2:J3" xr:uid="{56676E4A-1906-4876-9DE2-83DE4D65AB81}">
      <formula1>"Internal,External"</formula1>
    </dataValidation>
    <dataValidation type="list" allowBlank="1" showErrorMessage="1" sqref="H2:H3" xr:uid="{BA8F8E36-2E57-4834-B354-B0E145389269}">
      <formula1>"Minor,Significant,Major"</formula1>
    </dataValidation>
    <dataValidation type="list" allowBlank="1" showErrorMessage="1" sqref="I2:I3" xr:uid="{92BF6F33-D8CF-49CB-96D1-29066280CAA2}">
      <formula1>"Manual, Automation"</formula1>
    </dataValidation>
    <dataValidation type="list" allowBlank="1" showErrorMessage="1" sqref="K2:K3" xr:uid="{40D73040-3611-4B7D-A7E7-DC61C1253E8B}">
      <formula1>"Open,Inprogress,Closed"</formula1>
    </dataValidation>
    <dataValidation type="list" allowBlank="1" showErrorMessage="1" sqref="F2:F3" xr:uid="{9BF0D88E-7465-49B6-A32E-3C7BF0A56E65}">
      <formula1>"Bounceback,Defect,None"</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F2216E05-F71F-4635-86C8-FC488C16ED3B}">
          <x14:formula1>
            <xm:f>Details!$A$2:$A$10</xm:f>
          </x14:formula1>
          <xm:sqref>L2:L3</xm:sqref>
        </x14:dataValidation>
      </x14:dataValidations>
    </ext>
  </extLs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356C2A-5F72-48D1-BF8F-F1C426C074AF}">
  <dimension ref="A1:AB7"/>
  <sheetViews>
    <sheetView workbookViewId="0">
      <pane xSplit="7" ySplit="1" topLeftCell="L4" activePane="bottomRight" state="frozen"/>
      <selection pane="bottomRight" activeCell="L12" sqref="L12"/>
      <selection pane="bottomLeft"/>
      <selection pane="topRight"/>
    </sheetView>
  </sheetViews>
  <sheetFormatPr defaultRowHeight="12.75"/>
  <cols>
    <col min="2" max="2" width="13.28515625" customWidth="1"/>
    <col min="3" max="3" width="10.85546875" customWidth="1"/>
    <col min="4" max="4" width="12.140625" customWidth="1"/>
    <col min="5" max="5" width="40.7109375" customWidth="1"/>
    <col min="6" max="6" width="21.140625" customWidth="1"/>
    <col min="7" max="7" width="18.85546875" customWidth="1"/>
    <col min="8" max="8" width="41.7109375" style="137" customWidth="1"/>
    <col min="9" max="9" width="16.85546875" customWidth="1"/>
    <col min="10" max="11" width="11.42578125" bestFit="1" customWidth="1"/>
    <col min="12" max="12" width="11.42578125" customWidth="1"/>
    <col min="13" max="13" width="13.140625" customWidth="1"/>
    <col min="14" max="14" width="13.42578125" style="144" customWidth="1"/>
    <col min="15" max="15" width="21.85546875" customWidth="1"/>
    <col min="16" max="16" width="16.42578125" customWidth="1"/>
    <col min="17" max="17" width="14.85546875" customWidth="1"/>
    <col min="18" max="18" width="24.42578125" style="144" customWidth="1"/>
    <col min="19" max="20" width="12.7109375" bestFit="1" customWidth="1"/>
    <col min="21" max="21" width="11.42578125" bestFit="1" customWidth="1"/>
    <col min="22" max="22" width="11.42578125" style="144" bestFit="1" customWidth="1"/>
    <col min="23" max="23" width="11.42578125" bestFit="1" customWidth="1"/>
    <col min="24" max="24" width="12.7109375" bestFit="1" customWidth="1"/>
    <col min="25" max="27" width="11.42578125" bestFit="1" customWidth="1"/>
    <col min="28" max="28" width="27.42578125" customWidth="1"/>
  </cols>
  <sheetData>
    <row r="1" spans="1:28" ht="46.5">
      <c r="A1" s="379" t="s">
        <v>254</v>
      </c>
      <c r="B1" s="404" t="s">
        <v>4</v>
      </c>
      <c r="C1" s="404" t="s">
        <v>2</v>
      </c>
      <c r="D1" s="404" t="s">
        <v>3</v>
      </c>
      <c r="E1" s="380" t="s">
        <v>255</v>
      </c>
      <c r="F1" s="381" t="s">
        <v>256</v>
      </c>
      <c r="G1" s="382" t="s">
        <v>257</v>
      </c>
      <c r="H1" s="383" t="s">
        <v>258</v>
      </c>
      <c r="I1" s="383" t="s">
        <v>259</v>
      </c>
      <c r="J1" s="384" t="s">
        <v>260</v>
      </c>
      <c r="K1" s="384" t="s">
        <v>261</v>
      </c>
      <c r="L1" s="384" t="s">
        <v>262</v>
      </c>
      <c r="M1" s="385" t="s">
        <v>265</v>
      </c>
      <c r="N1" s="385" t="s">
        <v>266</v>
      </c>
      <c r="O1" s="385" t="s">
        <v>267</v>
      </c>
      <c r="P1" s="385" t="s">
        <v>268</v>
      </c>
      <c r="Q1" s="385" t="s">
        <v>269</v>
      </c>
      <c r="R1" s="385" t="s">
        <v>270</v>
      </c>
      <c r="S1" s="385" t="s">
        <v>271</v>
      </c>
      <c r="T1" s="385" t="s">
        <v>272</v>
      </c>
      <c r="U1" s="385" t="s">
        <v>273</v>
      </c>
      <c r="V1" s="385" t="s">
        <v>274</v>
      </c>
      <c r="W1" s="385" t="s">
        <v>275</v>
      </c>
      <c r="X1" s="385" t="s">
        <v>276</v>
      </c>
      <c r="Y1" s="385" t="s">
        <v>277</v>
      </c>
      <c r="Z1" s="385" t="s">
        <v>278</v>
      </c>
      <c r="AA1" s="385" t="s">
        <v>279</v>
      </c>
      <c r="AB1" s="386" t="s">
        <v>280</v>
      </c>
    </row>
    <row r="2" spans="1:28" s="256" customFormat="1" ht="128.25" customHeight="1">
      <c r="A2" s="369">
        <v>1</v>
      </c>
      <c r="B2" s="444" t="s">
        <v>5</v>
      </c>
      <c r="C2" s="445">
        <v>45771</v>
      </c>
      <c r="D2" s="445">
        <v>45785</v>
      </c>
      <c r="E2" s="257" t="s">
        <v>116</v>
      </c>
      <c r="F2" s="305" t="s">
        <v>298</v>
      </c>
      <c r="G2" s="250" t="s">
        <v>1239</v>
      </c>
      <c r="H2" s="90" t="s">
        <v>1240</v>
      </c>
      <c r="I2" s="478" t="s">
        <v>289</v>
      </c>
      <c r="J2" s="327">
        <v>3</v>
      </c>
      <c r="K2" s="486"/>
      <c r="L2" s="327">
        <v>50</v>
      </c>
      <c r="M2" s="229"/>
      <c r="N2" s="329"/>
      <c r="O2" s="370"/>
      <c r="P2" s="229"/>
      <c r="Q2" s="485"/>
      <c r="R2" s="271"/>
      <c r="S2" s="373"/>
      <c r="T2" s="373"/>
      <c r="U2" s="370"/>
      <c r="V2" s="370"/>
      <c r="W2" s="327"/>
      <c r="X2" s="373"/>
      <c r="Y2" s="370"/>
      <c r="Z2" s="327"/>
      <c r="AA2" s="327"/>
      <c r="AB2" s="390" t="s">
        <v>1241</v>
      </c>
    </row>
    <row r="3" spans="1:28" s="256" customFormat="1" ht="128.25" customHeight="1">
      <c r="A3" s="369">
        <v>2</v>
      </c>
      <c r="B3" s="442" t="s">
        <v>5</v>
      </c>
      <c r="C3" s="443">
        <v>45771</v>
      </c>
      <c r="D3" s="468">
        <v>45785</v>
      </c>
      <c r="E3" s="469" t="s">
        <v>116</v>
      </c>
      <c r="F3" s="62" t="s">
        <v>292</v>
      </c>
      <c r="G3" s="248" t="s">
        <v>1242</v>
      </c>
      <c r="H3" s="465" t="s">
        <v>1243</v>
      </c>
      <c r="I3" s="470" t="s">
        <v>289</v>
      </c>
      <c r="J3" s="228">
        <v>2</v>
      </c>
      <c r="K3" s="327">
        <v>2</v>
      </c>
      <c r="L3" s="369">
        <v>47.25</v>
      </c>
      <c r="M3" s="329" t="s">
        <v>290</v>
      </c>
      <c r="N3" s="329" t="s">
        <v>457</v>
      </c>
      <c r="O3" s="370" t="s">
        <v>1244</v>
      </c>
      <c r="P3" s="490" t="s">
        <v>298</v>
      </c>
      <c r="Q3" s="370" t="s">
        <v>291</v>
      </c>
      <c r="R3" s="200" t="s">
        <v>1245</v>
      </c>
      <c r="S3" s="372">
        <v>45776</v>
      </c>
      <c r="T3" s="373">
        <v>45778</v>
      </c>
      <c r="U3" s="327" t="s">
        <v>426</v>
      </c>
      <c r="V3" s="370" t="s">
        <v>291</v>
      </c>
      <c r="W3" s="370" t="s">
        <v>295</v>
      </c>
      <c r="X3" s="373">
        <v>45778</v>
      </c>
      <c r="Y3" s="370" t="s">
        <v>1246</v>
      </c>
      <c r="Z3" s="327" t="s">
        <v>291</v>
      </c>
      <c r="AA3" s="327" t="s">
        <v>291</v>
      </c>
      <c r="AB3" s="390" t="s">
        <v>1247</v>
      </c>
    </row>
    <row r="4" spans="1:28" s="256" customFormat="1" ht="128.25" customHeight="1">
      <c r="A4" s="369">
        <v>3</v>
      </c>
      <c r="B4" s="442" t="s">
        <v>5</v>
      </c>
      <c r="C4" s="443">
        <v>45771</v>
      </c>
      <c r="D4" s="443">
        <v>45785</v>
      </c>
      <c r="E4" s="257" t="s">
        <v>116</v>
      </c>
      <c r="F4" s="256" t="s">
        <v>426</v>
      </c>
      <c r="G4" s="246" t="s">
        <v>1215</v>
      </c>
      <c r="H4" s="305" t="s">
        <v>1216</v>
      </c>
      <c r="I4" s="478" t="s">
        <v>301</v>
      </c>
      <c r="J4" s="181">
        <v>2</v>
      </c>
      <c r="K4" s="327"/>
      <c r="L4" s="327">
        <v>2.5</v>
      </c>
      <c r="M4" s="329"/>
      <c r="N4" s="329"/>
      <c r="O4" s="327"/>
      <c r="P4" s="329"/>
      <c r="Q4" s="484"/>
      <c r="R4" s="358"/>
      <c r="S4" s="360"/>
      <c r="T4" s="373"/>
      <c r="U4" s="228"/>
      <c r="V4" s="370"/>
      <c r="W4" s="327"/>
      <c r="X4" s="373"/>
      <c r="Y4" s="370"/>
      <c r="Z4" s="327"/>
      <c r="AA4" s="327"/>
      <c r="AB4" s="390"/>
    </row>
    <row r="5" spans="1:28" s="256" customFormat="1" ht="128.25" customHeight="1">
      <c r="A5" s="369">
        <v>4</v>
      </c>
      <c r="B5" s="442" t="s">
        <v>5</v>
      </c>
      <c r="C5" s="443">
        <v>45771</v>
      </c>
      <c r="D5" s="468">
        <v>45785</v>
      </c>
      <c r="E5" s="469" t="s">
        <v>116</v>
      </c>
      <c r="F5" s="305" t="s">
        <v>1187</v>
      </c>
      <c r="G5" s="431" t="s">
        <v>1218</v>
      </c>
      <c r="H5" s="90" t="s">
        <v>1219</v>
      </c>
      <c r="I5" s="480" t="s">
        <v>1174</v>
      </c>
      <c r="J5" s="228">
        <v>5</v>
      </c>
      <c r="K5" s="369">
        <v>3</v>
      </c>
      <c r="L5" s="327">
        <v>65.25</v>
      </c>
      <c r="M5" s="229" t="s">
        <v>290</v>
      </c>
      <c r="N5" s="329" t="s">
        <v>457</v>
      </c>
      <c r="O5" s="327"/>
      <c r="P5" s="250" t="s">
        <v>298</v>
      </c>
      <c r="Q5" s="352" t="s">
        <v>291</v>
      </c>
      <c r="R5" s="200" t="s">
        <v>1248</v>
      </c>
      <c r="S5" s="372">
        <v>45784</v>
      </c>
      <c r="T5" s="373">
        <v>45785</v>
      </c>
      <c r="U5" s="327" t="s">
        <v>294</v>
      </c>
      <c r="V5" s="370" t="s">
        <v>291</v>
      </c>
      <c r="W5" s="327" t="s">
        <v>295</v>
      </c>
      <c r="X5" s="373">
        <v>45785</v>
      </c>
      <c r="Y5" s="370" t="s">
        <v>1249</v>
      </c>
      <c r="Z5" s="327" t="s">
        <v>291</v>
      </c>
      <c r="AA5" s="327" t="s">
        <v>291</v>
      </c>
      <c r="AB5" s="390" t="s">
        <v>1250</v>
      </c>
    </row>
    <row r="6" spans="1:28" ht="69.75" customHeight="1">
      <c r="A6" s="369">
        <v>5</v>
      </c>
      <c r="B6" s="369" t="s">
        <v>5</v>
      </c>
      <c r="C6" s="372">
        <v>45771</v>
      </c>
      <c r="D6" s="430">
        <v>45785</v>
      </c>
      <c r="E6" s="246" t="s">
        <v>116</v>
      </c>
      <c r="F6" s="203" t="s">
        <v>1251</v>
      </c>
      <c r="G6" s="247" t="s">
        <v>1252</v>
      </c>
      <c r="H6" s="321" t="s">
        <v>1253</v>
      </c>
      <c r="I6" s="374" t="s">
        <v>289</v>
      </c>
      <c r="J6" s="228">
        <v>3</v>
      </c>
      <c r="K6" s="369"/>
      <c r="L6" s="327">
        <v>16</v>
      </c>
      <c r="M6" s="229" t="s">
        <v>290</v>
      </c>
      <c r="N6" s="329" t="s">
        <v>457</v>
      </c>
      <c r="O6" s="370" t="s">
        <v>1254</v>
      </c>
      <c r="P6" s="250" t="s">
        <v>298</v>
      </c>
      <c r="Q6" s="226" t="s">
        <v>291</v>
      </c>
      <c r="R6" s="358" t="s">
        <v>1255</v>
      </c>
      <c r="S6" s="373">
        <v>45782</v>
      </c>
      <c r="T6" s="373">
        <v>45784</v>
      </c>
      <c r="U6" s="327" t="s">
        <v>294</v>
      </c>
      <c r="V6" s="370" t="s">
        <v>291</v>
      </c>
      <c r="W6" s="327" t="s">
        <v>295</v>
      </c>
      <c r="X6" s="373">
        <v>45784</v>
      </c>
      <c r="Y6" s="370" t="s">
        <v>291</v>
      </c>
      <c r="Z6" s="327" t="s">
        <v>291</v>
      </c>
      <c r="AA6" s="327" t="s">
        <v>291</v>
      </c>
      <c r="AB6" s="388" t="s">
        <v>1256</v>
      </c>
    </row>
    <row r="7" spans="1:28">
      <c r="A7" s="369"/>
      <c r="B7" s="369"/>
      <c r="C7" s="372"/>
      <c r="D7" s="430"/>
      <c r="E7" s="246"/>
      <c r="F7" s="137"/>
      <c r="G7" s="229"/>
      <c r="H7" s="321"/>
      <c r="I7" s="374"/>
      <c r="J7" s="181"/>
      <c r="K7" s="327"/>
      <c r="L7" s="327"/>
      <c r="M7" s="229"/>
      <c r="N7" s="329"/>
      <c r="O7" s="327"/>
      <c r="P7" s="229"/>
      <c r="Q7" s="218"/>
      <c r="R7" s="358"/>
      <c r="S7" s="373"/>
      <c r="T7" s="373"/>
      <c r="U7" s="327"/>
      <c r="V7" s="370"/>
      <c r="W7" s="327"/>
      <c r="X7" s="373"/>
      <c r="Y7" s="370"/>
      <c r="Z7" s="327"/>
      <c r="AA7" s="327"/>
      <c r="AB7" s="388"/>
    </row>
  </sheetData>
  <hyperlinks>
    <hyperlink ref="R3" r:id="rId1" xr:uid="{6750B396-084B-49A4-AD6D-C24D5B80D8FD}"/>
    <hyperlink ref="R6" r:id="rId2" xr:uid="{6E9F7744-FDAE-43B0-BAEA-279A1022E452}"/>
    <hyperlink ref="R5" r:id="rId3" xr:uid="{053F6A95-C92C-4252-B4C4-79E4AEFF1F18}"/>
  </hyperlinks>
  <pageMargins left="0.7" right="0.7" top="0.75" bottom="0.75" header="0.3" footer="0.3"/>
  <tableParts count="1">
    <tablePart r:id="rId4"/>
  </tableParts>
  <extLst>
    <ext xmlns:x14="http://schemas.microsoft.com/office/spreadsheetml/2009/9/main" uri="{CCE6A557-97BC-4b89-ADB6-D9C93CAAB3DF}">
      <x14:dataValidations xmlns:xm="http://schemas.microsoft.com/office/excel/2006/main" count="1">
        <x14:dataValidation type="list" allowBlank="1" showErrorMessage="1" xr:uid="{318A4EAE-6D5C-45A0-9602-400452BF87FA}">
          <x14:formula1>
            <xm:f>Settings!$C$3:$C$20</xm:f>
          </x14:formula1>
          <xm:sqref>I2:I7</xm:sqref>
        </x14:dataValidation>
      </x14:dataValidations>
    </ext>
  </extLs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21607-7F8F-4416-BC45-EE4EB296EB0E}">
  <sheetPr>
    <outlinePr summaryBelow="0" summaryRight="0"/>
  </sheetPr>
  <dimension ref="A1:AB988"/>
  <sheetViews>
    <sheetView topLeftCell="B2" workbookViewId="0">
      <selection activeCell="A2" sqref="A2"/>
    </sheetView>
  </sheetViews>
  <sheetFormatPr defaultColWidth="12.5703125" defaultRowHeight="15" customHeight="1"/>
  <cols>
    <col min="1" max="1" width="12.5703125" hidden="1" customWidth="1"/>
    <col min="2" max="2" width="21.42578125" customWidth="1"/>
    <col min="3" max="3" width="23.5703125" customWidth="1"/>
    <col min="4" max="4" width="14.42578125" customWidth="1"/>
    <col min="5" max="5" width="19.140625" customWidth="1"/>
    <col min="6" max="6" width="37.5703125" customWidth="1"/>
    <col min="7" max="7" width="41.140625" customWidth="1"/>
    <col min="8" max="9" width="18.7109375" customWidth="1"/>
    <col min="10" max="10" width="9.140625" bestFit="1" customWidth="1"/>
    <col min="11" max="11" width="19" customWidth="1"/>
    <col min="12" max="12" width="18" customWidth="1"/>
    <col min="13" max="13" width="41" customWidth="1"/>
    <col min="14" max="14" width="14.140625" style="122" customWidth="1"/>
    <col min="15" max="15" width="29" customWidth="1"/>
  </cols>
  <sheetData>
    <row r="1" spans="1:28" ht="13.5">
      <c r="A1" s="434" t="s">
        <v>254</v>
      </c>
      <c r="B1" s="1" t="s">
        <v>321</v>
      </c>
      <c r="C1" s="198" t="s">
        <v>322</v>
      </c>
      <c r="D1" s="198" t="s">
        <v>323</v>
      </c>
      <c r="E1" s="1" t="s">
        <v>256</v>
      </c>
      <c r="F1" s="198" t="s">
        <v>324</v>
      </c>
      <c r="G1" s="198" t="s">
        <v>325</v>
      </c>
      <c r="H1" s="1" t="s">
        <v>326</v>
      </c>
      <c r="I1" s="1" t="s">
        <v>327</v>
      </c>
      <c r="J1" s="1" t="s">
        <v>328</v>
      </c>
      <c r="K1" s="1" t="s">
        <v>259</v>
      </c>
      <c r="L1" s="156" t="s">
        <v>329</v>
      </c>
      <c r="M1" s="8" t="s">
        <v>280</v>
      </c>
      <c r="N1" s="487" t="s">
        <v>330</v>
      </c>
      <c r="O1" s="487" t="s">
        <v>331</v>
      </c>
      <c r="P1" s="35"/>
      <c r="Q1" s="35"/>
      <c r="R1" s="35"/>
      <c r="S1" s="35"/>
      <c r="T1" s="35"/>
      <c r="U1" s="35"/>
      <c r="V1" s="35"/>
      <c r="W1" s="35"/>
      <c r="X1" s="35"/>
      <c r="Y1" s="35"/>
      <c r="Z1" s="35"/>
      <c r="AA1" s="35"/>
      <c r="AB1" s="35"/>
    </row>
    <row r="2" spans="1:28" ht="56.25" customHeight="1">
      <c r="B2" s="126"/>
      <c r="C2" s="481"/>
      <c r="D2" s="481"/>
      <c r="E2" s="126"/>
      <c r="F2" s="221"/>
      <c r="G2" s="305"/>
      <c r="H2" s="126"/>
      <c r="I2" s="126"/>
      <c r="J2" s="126"/>
      <c r="K2" s="126"/>
      <c r="L2" s="126"/>
      <c r="M2" s="333"/>
      <c r="N2" s="91"/>
      <c r="O2" s="216"/>
    </row>
    <row r="3" spans="1:28" ht="66.75" customHeight="1">
      <c r="B3" s="126"/>
      <c r="C3" s="481"/>
      <c r="D3" s="481"/>
      <c r="E3" s="126"/>
      <c r="F3" s="221"/>
      <c r="G3" s="305"/>
      <c r="H3" s="126"/>
      <c r="I3" s="126"/>
      <c r="J3" s="126"/>
      <c r="K3" s="126"/>
      <c r="L3" s="126"/>
      <c r="M3" s="333"/>
    </row>
    <row r="4" spans="1:28" ht="15.75" customHeight="1"/>
    <row r="5" spans="1:28" ht="15.75" customHeight="1"/>
    <row r="6" spans="1:28" ht="15.75" customHeight="1">
      <c r="K6" s="144"/>
    </row>
    <row r="7" spans="1:28" ht="15.75" customHeight="1"/>
    <row r="8" spans="1:28" ht="15.75" customHeight="1"/>
    <row r="9" spans="1:28" ht="15.75" customHeight="1"/>
    <row r="10" spans="1:28" ht="15.75" customHeight="1"/>
    <row r="11" spans="1:28" ht="15.75" customHeight="1"/>
    <row r="12" spans="1:28" ht="15.75" customHeight="1"/>
    <row r="13" spans="1:28" ht="15.75" customHeight="1"/>
    <row r="14" spans="1:28" ht="15.75" customHeight="1"/>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sheetData>
  <autoFilter ref="A1:M1" xr:uid="{3A2BB050-11AC-4ED7-A296-96B42C7FCFBA}"/>
  <dataValidations count="5">
    <dataValidation type="list" allowBlank="1" showErrorMessage="1" sqref="F2:F3" xr:uid="{85822404-A6DC-4248-88D9-2226B1584659}">
      <formula1>"Bounceback,Defect,None"</formula1>
    </dataValidation>
    <dataValidation type="list" allowBlank="1" showErrorMessage="1" sqref="K2:K3" xr:uid="{89A44261-0AA3-42E7-A5BC-0CEA3A95E484}">
      <formula1>"Open,Inprogress,Closed"</formula1>
    </dataValidation>
    <dataValidation type="list" allowBlank="1" showErrorMessage="1" sqref="I2:I3" xr:uid="{5FCA6C63-020C-442C-96E4-FE8CFF0AC02E}">
      <formula1>"Manual, Automation"</formula1>
    </dataValidation>
    <dataValidation type="list" allowBlank="1" showErrorMessage="1" sqref="H2:H3" xr:uid="{36DBFAD7-DDD1-43EE-9268-250FECA41007}">
      <formula1>"Minor,Significant,Major"</formula1>
    </dataValidation>
    <dataValidation type="list" allowBlank="1" showErrorMessage="1" sqref="J2:J3" xr:uid="{014297F0-D4E7-48E7-BDC3-16FC9D173598}">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3ECAF615-7A73-46A8-8654-6FD96848AAC4}">
          <x14:formula1>
            <xm:f>Details!$A$2:$A$10</xm:f>
          </x14:formula1>
          <xm:sqref>L2:L3</xm:sqref>
        </x14:dataValidation>
      </x14:dataValidations>
    </ext>
  </extLs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4178B-8112-48D0-BFF6-272472B19E79}">
  <dimension ref="A1:AB7"/>
  <sheetViews>
    <sheetView workbookViewId="0">
      <pane xSplit="7" topLeftCell="N4" activePane="topRight" state="frozen"/>
      <selection pane="topRight" activeCell="F5" sqref="F5"/>
    </sheetView>
  </sheetViews>
  <sheetFormatPr defaultRowHeight="12.75"/>
  <cols>
    <col min="2" max="2" width="13.28515625" customWidth="1"/>
    <col min="3" max="3" width="10.85546875" customWidth="1"/>
    <col min="4" max="4" width="12.140625" customWidth="1"/>
    <col min="5" max="5" width="21.5703125" customWidth="1"/>
    <col min="6" max="6" width="21.140625" customWidth="1"/>
    <col min="7" max="7" width="18.85546875" customWidth="1"/>
    <col min="8" max="8" width="41.7109375" style="137" customWidth="1"/>
    <col min="9" max="9" width="16.85546875" customWidth="1"/>
    <col min="10" max="11" width="11.42578125" bestFit="1" customWidth="1"/>
    <col min="12" max="12" width="11.42578125" customWidth="1"/>
    <col min="13" max="13" width="13.140625" customWidth="1"/>
    <col min="14" max="14" width="13.42578125" style="144" customWidth="1"/>
    <col min="15" max="15" width="21.85546875" customWidth="1"/>
    <col min="16" max="16" width="16.42578125" customWidth="1"/>
    <col min="17" max="17" width="14.85546875" customWidth="1"/>
    <col min="18" max="18" width="24.42578125" style="144" customWidth="1"/>
    <col min="19" max="20" width="12.7109375" bestFit="1" customWidth="1"/>
    <col min="21" max="21" width="11.42578125" bestFit="1" customWidth="1"/>
    <col min="22" max="22" width="11.42578125" style="144" bestFit="1" customWidth="1"/>
    <col min="23" max="23" width="11.42578125" bestFit="1" customWidth="1"/>
    <col min="24" max="24" width="12.7109375" bestFit="1" customWidth="1"/>
    <col min="25" max="27" width="11.42578125" bestFit="1" customWidth="1"/>
    <col min="28" max="28" width="44.5703125" customWidth="1"/>
  </cols>
  <sheetData>
    <row r="1" spans="1:28" ht="46.5">
      <c r="A1" s="379" t="s">
        <v>254</v>
      </c>
      <c r="B1" s="404" t="s">
        <v>4</v>
      </c>
      <c r="C1" s="404" t="s">
        <v>2</v>
      </c>
      <c r="D1" s="404" t="s">
        <v>3</v>
      </c>
      <c r="E1" s="380" t="s">
        <v>255</v>
      </c>
      <c r="F1" s="381" t="s">
        <v>256</v>
      </c>
      <c r="G1" s="382" t="s">
        <v>257</v>
      </c>
      <c r="H1" s="383" t="s">
        <v>258</v>
      </c>
      <c r="I1" s="383" t="s">
        <v>259</v>
      </c>
      <c r="J1" s="384" t="s">
        <v>260</v>
      </c>
      <c r="K1" s="384" t="s">
        <v>261</v>
      </c>
      <c r="L1" s="384" t="s">
        <v>262</v>
      </c>
      <c r="M1" s="385" t="s">
        <v>265</v>
      </c>
      <c r="N1" s="385" t="s">
        <v>266</v>
      </c>
      <c r="O1" s="385" t="s">
        <v>267</v>
      </c>
      <c r="P1" s="385" t="s">
        <v>268</v>
      </c>
      <c r="Q1" s="385" t="s">
        <v>269</v>
      </c>
      <c r="R1" s="385" t="s">
        <v>270</v>
      </c>
      <c r="S1" s="385" t="s">
        <v>271</v>
      </c>
      <c r="T1" s="385" t="s">
        <v>272</v>
      </c>
      <c r="U1" s="385" t="s">
        <v>273</v>
      </c>
      <c r="V1" s="385" t="s">
        <v>274</v>
      </c>
      <c r="W1" s="385" t="s">
        <v>275</v>
      </c>
      <c r="X1" s="385" t="s">
        <v>276</v>
      </c>
      <c r="Y1" s="385" t="s">
        <v>277</v>
      </c>
      <c r="Z1" s="385" t="s">
        <v>278</v>
      </c>
      <c r="AA1" s="385" t="s">
        <v>279</v>
      </c>
      <c r="AB1" s="386" t="s">
        <v>280</v>
      </c>
    </row>
    <row r="2" spans="1:28" s="256" customFormat="1" ht="128.25" customHeight="1">
      <c r="A2" s="369">
        <v>1</v>
      </c>
      <c r="B2" s="444" t="s">
        <v>5</v>
      </c>
      <c r="C2" s="445">
        <v>45757</v>
      </c>
      <c r="D2" s="445">
        <v>45771</v>
      </c>
      <c r="E2" s="257" t="s">
        <v>112</v>
      </c>
      <c r="F2" s="305" t="s">
        <v>292</v>
      </c>
      <c r="G2" s="250" t="s">
        <v>1257</v>
      </c>
      <c r="H2" s="90" t="s">
        <v>1258</v>
      </c>
      <c r="I2" s="478" t="s">
        <v>289</v>
      </c>
      <c r="J2" s="327">
        <v>3</v>
      </c>
      <c r="K2" s="486"/>
      <c r="L2" s="327">
        <v>25.73</v>
      </c>
      <c r="M2" s="229"/>
      <c r="N2" s="329" t="s">
        <v>457</v>
      </c>
      <c r="O2" s="370" t="s">
        <v>291</v>
      </c>
      <c r="P2" s="229" t="s">
        <v>298</v>
      </c>
      <c r="Q2" s="485" t="s">
        <v>291</v>
      </c>
      <c r="R2" s="271" t="s">
        <v>1259</v>
      </c>
      <c r="S2" s="373">
        <v>45762</v>
      </c>
      <c r="T2" s="373">
        <v>45763</v>
      </c>
      <c r="U2" s="370" t="s">
        <v>426</v>
      </c>
      <c r="V2" s="370" t="s">
        <v>291</v>
      </c>
      <c r="W2" s="327" t="s">
        <v>295</v>
      </c>
      <c r="X2" s="373">
        <v>45763</v>
      </c>
      <c r="Y2" s="370" t="s">
        <v>291</v>
      </c>
      <c r="Z2" s="327" t="s">
        <v>291</v>
      </c>
      <c r="AA2" s="327" t="s">
        <v>291</v>
      </c>
      <c r="AB2" s="390" t="s">
        <v>1260</v>
      </c>
    </row>
    <row r="3" spans="1:28" s="256" customFormat="1" ht="128.25" customHeight="1">
      <c r="A3" s="369">
        <v>2</v>
      </c>
      <c r="B3" s="442" t="s">
        <v>5</v>
      </c>
      <c r="C3" s="443">
        <v>45757</v>
      </c>
      <c r="D3" s="468">
        <v>45771</v>
      </c>
      <c r="E3" s="469" t="s">
        <v>112</v>
      </c>
      <c r="F3" s="62" t="s">
        <v>298</v>
      </c>
      <c r="G3" s="248" t="s">
        <v>1261</v>
      </c>
      <c r="H3" s="465" t="s">
        <v>1262</v>
      </c>
      <c r="I3" s="470" t="s">
        <v>289</v>
      </c>
      <c r="J3" s="228">
        <v>2</v>
      </c>
      <c r="K3" s="327">
        <v>2</v>
      </c>
      <c r="L3" s="369">
        <v>2.25</v>
      </c>
      <c r="M3" s="329" t="s">
        <v>1263</v>
      </c>
      <c r="N3" s="329"/>
      <c r="O3" s="327"/>
      <c r="P3" s="490" t="s">
        <v>1264</v>
      </c>
      <c r="Q3" s="370"/>
      <c r="R3" s="200"/>
      <c r="S3" s="372"/>
      <c r="T3" s="373"/>
      <c r="U3" s="327"/>
      <c r="V3" s="370"/>
      <c r="W3" s="327"/>
      <c r="X3" s="373"/>
      <c r="Y3" s="370"/>
      <c r="Z3" s="327"/>
      <c r="AA3" s="327"/>
      <c r="AB3" s="390"/>
    </row>
    <row r="4" spans="1:28" s="256" customFormat="1" ht="128.25" customHeight="1">
      <c r="A4" s="369">
        <v>3</v>
      </c>
      <c r="B4" s="442" t="s">
        <v>5</v>
      </c>
      <c r="C4" s="443">
        <v>45757</v>
      </c>
      <c r="D4" s="443">
        <v>45771</v>
      </c>
      <c r="E4" s="257" t="s">
        <v>112</v>
      </c>
      <c r="F4" s="256" t="s">
        <v>519</v>
      </c>
      <c r="G4" s="246" t="s">
        <v>1265</v>
      </c>
      <c r="H4" s="305" t="s">
        <v>1266</v>
      </c>
      <c r="I4" s="478" t="s">
        <v>289</v>
      </c>
      <c r="J4" s="181">
        <v>2</v>
      </c>
      <c r="K4" s="327">
        <v>2</v>
      </c>
      <c r="L4" s="327">
        <v>26.5</v>
      </c>
      <c r="M4" s="329" t="s">
        <v>290</v>
      </c>
      <c r="N4" s="329" t="s">
        <v>457</v>
      </c>
      <c r="O4" s="327" t="s">
        <v>291</v>
      </c>
      <c r="P4" s="329" t="s">
        <v>292</v>
      </c>
      <c r="Q4" s="484" t="s">
        <v>291</v>
      </c>
      <c r="R4" s="358" t="s">
        <v>1267</v>
      </c>
      <c r="S4" s="360">
        <v>45765</v>
      </c>
      <c r="T4" s="373">
        <v>45768</v>
      </c>
      <c r="U4" s="228" t="s">
        <v>294</v>
      </c>
      <c r="V4" s="370" t="s">
        <v>291</v>
      </c>
      <c r="W4" s="327" t="s">
        <v>295</v>
      </c>
      <c r="X4" s="373">
        <v>45768</v>
      </c>
      <c r="Y4" s="370" t="s">
        <v>291</v>
      </c>
      <c r="Z4" s="327" t="s">
        <v>291</v>
      </c>
      <c r="AA4" s="327" t="s">
        <v>291</v>
      </c>
      <c r="AB4" s="390" t="s">
        <v>1268</v>
      </c>
    </row>
    <row r="5" spans="1:28" s="256" customFormat="1" ht="128.25" customHeight="1">
      <c r="A5" s="369">
        <v>4</v>
      </c>
      <c r="B5" s="442" t="s">
        <v>5</v>
      </c>
      <c r="C5" s="443">
        <v>45757</v>
      </c>
      <c r="D5" s="468">
        <v>45771</v>
      </c>
      <c r="E5" s="469" t="s">
        <v>112</v>
      </c>
      <c r="F5" s="305" t="s">
        <v>1177</v>
      </c>
      <c r="G5" s="431" t="s">
        <v>1269</v>
      </c>
      <c r="H5" s="90" t="s">
        <v>1270</v>
      </c>
      <c r="I5" s="480" t="s">
        <v>289</v>
      </c>
      <c r="J5" s="228">
        <v>2</v>
      </c>
      <c r="K5" s="369">
        <v>2</v>
      </c>
      <c r="L5" s="327">
        <v>18.5</v>
      </c>
      <c r="M5" s="229"/>
      <c r="N5" s="329"/>
      <c r="O5" s="327"/>
      <c r="P5" s="250"/>
      <c r="Q5" s="352"/>
      <c r="R5" s="200"/>
      <c r="S5" s="372"/>
      <c r="T5" s="373"/>
      <c r="U5" s="327"/>
      <c r="V5" s="370"/>
      <c r="W5" s="327"/>
      <c r="X5" s="373"/>
      <c r="Y5" s="370"/>
      <c r="Z5" s="327"/>
      <c r="AA5" s="327"/>
      <c r="AB5" s="390" t="s">
        <v>1271</v>
      </c>
    </row>
    <row r="6" spans="1:28" ht="69.75" customHeight="1">
      <c r="A6" s="369">
        <v>5</v>
      </c>
      <c r="B6" s="369" t="s">
        <v>5</v>
      </c>
      <c r="C6" s="372">
        <v>45757</v>
      </c>
      <c r="D6" s="430">
        <v>45771</v>
      </c>
      <c r="E6" s="246" t="s">
        <v>1272</v>
      </c>
      <c r="F6" s="203" t="s">
        <v>895</v>
      </c>
      <c r="G6" s="247" t="s">
        <v>1273</v>
      </c>
      <c r="H6" s="321" t="s">
        <v>1274</v>
      </c>
      <c r="I6" s="374" t="s">
        <v>289</v>
      </c>
      <c r="J6" s="228">
        <v>5</v>
      </c>
      <c r="K6" s="369">
        <v>5</v>
      </c>
      <c r="L6" s="327">
        <v>77</v>
      </c>
      <c r="M6" s="229"/>
      <c r="N6" s="329"/>
      <c r="O6" s="327"/>
      <c r="P6" s="250"/>
      <c r="Q6" s="226"/>
      <c r="R6" s="358"/>
      <c r="S6" s="373"/>
      <c r="T6" s="373"/>
      <c r="U6" s="327"/>
      <c r="V6" s="370"/>
      <c r="W6" s="327"/>
      <c r="X6" s="373"/>
      <c r="Y6" s="370"/>
      <c r="Z6" s="327"/>
      <c r="AA6" s="327"/>
      <c r="AB6" s="388" t="s">
        <v>1275</v>
      </c>
    </row>
    <row r="7" spans="1:28" ht="185.25">
      <c r="A7" s="369">
        <v>6</v>
      </c>
      <c r="B7" s="369" t="s">
        <v>5</v>
      </c>
      <c r="C7" s="372">
        <v>45757</v>
      </c>
      <c r="D7" s="430">
        <v>45771</v>
      </c>
      <c r="E7" s="246" t="s">
        <v>112</v>
      </c>
      <c r="F7" s="137" t="s">
        <v>426</v>
      </c>
      <c r="G7" s="229" t="s">
        <v>1215</v>
      </c>
      <c r="H7" s="321" t="s">
        <v>1216</v>
      </c>
      <c r="I7" s="374" t="s">
        <v>301</v>
      </c>
      <c r="J7" s="181">
        <v>2</v>
      </c>
      <c r="K7" s="327">
        <v>2</v>
      </c>
      <c r="L7" s="327">
        <v>18.5</v>
      </c>
      <c r="M7" s="229"/>
      <c r="N7" s="329"/>
      <c r="O7" s="327"/>
      <c r="P7" s="229"/>
      <c r="Q7" s="218"/>
      <c r="R7" s="358"/>
      <c r="S7" s="373"/>
      <c r="T7" s="373"/>
      <c r="U7" s="327"/>
      <c r="V7" s="370"/>
      <c r="W7" s="327"/>
      <c r="X7" s="373"/>
      <c r="Y7" s="370"/>
      <c r="Z7" s="327"/>
      <c r="AA7" s="327"/>
      <c r="AB7" s="388" t="s">
        <v>1276</v>
      </c>
    </row>
  </sheetData>
  <hyperlinks>
    <hyperlink ref="R4" r:id="rId1" xr:uid="{73DF1D2E-EF11-4EFE-BAAE-3402E0A674F4}"/>
    <hyperlink ref="R2" r:id="rId2" xr:uid="{152B31CC-ADBF-41CA-8572-502B3090A73C}"/>
  </hyperlinks>
  <pageMargins left="0.7" right="0.7" top="0.75" bottom="0.75" header="0.3" footer="0.3"/>
  <tableParts count="1">
    <tablePart r:id="rId3"/>
  </tableParts>
  <extLst>
    <ext xmlns:x14="http://schemas.microsoft.com/office/spreadsheetml/2009/9/main" uri="{CCE6A557-97BC-4b89-ADB6-D9C93CAAB3DF}">
      <x14:dataValidations xmlns:xm="http://schemas.microsoft.com/office/excel/2006/main" count="1">
        <x14:dataValidation type="list" allowBlank="1" showErrorMessage="1" xr:uid="{D71E04FA-411C-4B59-9D34-21361AFE84BC}">
          <x14:formula1>
            <xm:f>Settings!$C$3:$C$20</xm:f>
          </x14:formula1>
          <xm:sqref>I2:I7</xm:sqref>
        </x14:dataValidation>
      </x14:dataValidations>
    </ext>
  </extLs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8F645-235A-416F-A2A1-0F6566E8AA10}">
  <sheetPr>
    <outlinePr summaryBelow="0" summaryRight="0"/>
  </sheetPr>
  <dimension ref="A1:AB988"/>
  <sheetViews>
    <sheetView topLeftCell="G1" workbookViewId="0">
      <selection activeCell="M3" sqref="M3"/>
    </sheetView>
  </sheetViews>
  <sheetFormatPr defaultColWidth="12.5703125" defaultRowHeight="15" customHeight="1"/>
  <cols>
    <col min="1" max="1" width="12.5703125" hidden="1" customWidth="1"/>
    <col min="2" max="2" width="21.42578125" customWidth="1"/>
    <col min="3" max="3" width="23.5703125" customWidth="1"/>
    <col min="4" max="4" width="14.42578125" customWidth="1"/>
    <col min="5" max="5" width="19.140625" customWidth="1"/>
    <col min="6" max="6" width="37.5703125" customWidth="1"/>
    <col min="7" max="7" width="41.140625" customWidth="1"/>
    <col min="8" max="9" width="18.7109375" customWidth="1"/>
    <col min="10" max="10" width="9.140625" bestFit="1" customWidth="1"/>
    <col min="11" max="11" width="19" customWidth="1"/>
    <col min="12" max="12" width="18" customWidth="1"/>
    <col min="13" max="13" width="41" customWidth="1"/>
    <col min="14" max="14" width="14.140625" style="122" customWidth="1"/>
    <col min="15" max="15" width="29" customWidth="1"/>
  </cols>
  <sheetData>
    <row r="1" spans="1:28" ht="13.5">
      <c r="A1" s="434" t="s">
        <v>254</v>
      </c>
      <c r="B1" s="1" t="s">
        <v>321</v>
      </c>
      <c r="C1" s="198" t="s">
        <v>322</v>
      </c>
      <c r="D1" s="198" t="s">
        <v>323</v>
      </c>
      <c r="E1" s="1" t="s">
        <v>256</v>
      </c>
      <c r="F1" s="198" t="s">
        <v>324</v>
      </c>
      <c r="G1" s="198" t="s">
        <v>325</v>
      </c>
      <c r="H1" s="1" t="s">
        <v>326</v>
      </c>
      <c r="I1" s="1" t="s">
        <v>327</v>
      </c>
      <c r="J1" s="1" t="s">
        <v>328</v>
      </c>
      <c r="K1" s="1" t="s">
        <v>259</v>
      </c>
      <c r="L1" s="156" t="s">
        <v>329</v>
      </c>
      <c r="M1" s="8" t="s">
        <v>280</v>
      </c>
      <c r="N1" s="487" t="s">
        <v>330</v>
      </c>
      <c r="O1" s="487" t="s">
        <v>331</v>
      </c>
      <c r="P1" s="35"/>
      <c r="Q1" s="35"/>
      <c r="R1" s="35"/>
      <c r="S1" s="35"/>
      <c r="T1" s="35"/>
      <c r="U1" s="35"/>
      <c r="V1" s="35"/>
      <c r="W1" s="35"/>
      <c r="X1" s="35"/>
      <c r="Y1" s="35"/>
      <c r="Z1" s="35"/>
      <c r="AA1" s="35"/>
      <c r="AB1" s="35"/>
    </row>
    <row r="2" spans="1:28" ht="56.25" customHeight="1">
      <c r="B2" s="126"/>
      <c r="C2" s="481"/>
      <c r="D2" s="481"/>
      <c r="E2" s="126"/>
      <c r="F2" s="221"/>
      <c r="G2" s="305"/>
      <c r="H2" s="126"/>
      <c r="I2" s="126"/>
      <c r="J2" s="126"/>
      <c r="K2" s="126"/>
      <c r="L2" s="126"/>
      <c r="M2" s="333"/>
      <c r="N2" s="91"/>
      <c r="O2" s="216"/>
    </row>
    <row r="3" spans="1:28" ht="66.75" customHeight="1">
      <c r="B3" s="126"/>
      <c r="C3" s="481"/>
      <c r="D3" s="481"/>
      <c r="E3" s="126"/>
      <c r="F3" s="221"/>
      <c r="G3" s="305"/>
      <c r="H3" s="126"/>
      <c r="I3" s="126"/>
      <c r="J3" s="126"/>
      <c r="K3" s="126"/>
      <c r="L3" s="126"/>
      <c r="M3" s="333"/>
    </row>
    <row r="4" spans="1:28" ht="15.75" customHeight="1"/>
    <row r="5" spans="1:28" ht="15.75" customHeight="1"/>
    <row r="6" spans="1:28" ht="15.75" customHeight="1">
      <c r="K6" s="144"/>
    </row>
    <row r="7" spans="1:28" ht="15.75" customHeight="1"/>
    <row r="8" spans="1:28" ht="15.75" customHeight="1"/>
    <row r="9" spans="1:28" ht="15.75" customHeight="1"/>
    <row r="10" spans="1:28" ht="15.75" customHeight="1"/>
    <row r="11" spans="1:28" ht="15.75" customHeight="1"/>
    <row r="12" spans="1:28" ht="15.75" customHeight="1"/>
    <row r="13" spans="1:28" ht="15.75" customHeight="1"/>
    <row r="14" spans="1:28" ht="15.75" customHeight="1"/>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sheetData>
  <autoFilter ref="A1:M1" xr:uid="{3A2BB050-11AC-4ED7-A296-96B42C7FCFBA}"/>
  <dataValidations count="5">
    <dataValidation type="list" allowBlank="1" showErrorMessage="1" sqref="K2:K3" xr:uid="{6E34FF1A-F046-4136-860D-D992DFAAA606}">
      <formula1>"Open,Inprogress,Closed"</formula1>
    </dataValidation>
    <dataValidation type="list" allowBlank="1" showErrorMessage="1" sqref="F2:F3" xr:uid="{06628545-E41D-4C2D-A275-CD8AFBCEEF21}">
      <formula1>"Bounceback,Defect,None"</formula1>
    </dataValidation>
    <dataValidation type="list" allowBlank="1" showErrorMessage="1" sqref="J2:J3" xr:uid="{704409D3-1F01-4B32-9ABB-A3D23A3E3FA9}">
      <formula1>"Internal,External"</formula1>
    </dataValidation>
    <dataValidation type="list" allowBlank="1" showErrorMessage="1" sqref="H2:H3" xr:uid="{06BA577B-ABCF-4F65-8FEA-CC8161F9B30D}">
      <formula1>"Minor,Significant,Major"</formula1>
    </dataValidation>
    <dataValidation type="list" allowBlank="1" showErrorMessage="1" sqref="I2:I3" xr:uid="{8886F317-9C33-441B-A66C-CD5E373BBC0B}">
      <formula1>"Manual, Automation"</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7F3AFE50-4AA5-4F63-8179-4CD52BA67763}">
          <x14:formula1>
            <xm:f>Details!$A$2:$A$10</xm:f>
          </x14:formula1>
          <xm:sqref>L2:L3</xm:sqref>
        </x14:dataValidation>
      </x14:dataValidations>
    </ext>
  </extLs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C815F-F4A5-4F92-886D-6D8F062C049E}">
  <dimension ref="A1:AB7"/>
  <sheetViews>
    <sheetView workbookViewId="0">
      <pane xSplit="7" ySplit="1" topLeftCell="R4" activePane="bottomRight" state="frozen"/>
      <selection pane="bottomRight" activeCell="T10" sqref="T10"/>
      <selection pane="bottomLeft"/>
      <selection pane="topRight"/>
    </sheetView>
  </sheetViews>
  <sheetFormatPr defaultRowHeight="12.75"/>
  <cols>
    <col min="2" max="2" width="13.28515625" customWidth="1"/>
    <col min="3" max="3" width="23.140625" customWidth="1"/>
    <col min="4" max="4" width="33.42578125" customWidth="1"/>
    <col min="5" max="5" width="40.7109375" customWidth="1"/>
    <col min="6" max="6" width="21.140625" customWidth="1"/>
    <col min="7" max="7" width="18.85546875" customWidth="1"/>
    <col min="8" max="8" width="41.7109375" style="137" customWidth="1"/>
    <col min="9" max="9" width="16.85546875" customWidth="1"/>
    <col min="10" max="11" width="11.42578125" bestFit="1" customWidth="1"/>
    <col min="12" max="12" width="11.42578125" customWidth="1"/>
    <col min="13" max="13" width="13.140625" customWidth="1"/>
    <col min="14" max="14" width="13.42578125" style="144" customWidth="1"/>
    <col min="15" max="15" width="21.85546875" customWidth="1"/>
    <col min="16" max="16" width="16.42578125" customWidth="1"/>
    <col min="17" max="17" width="14.85546875" customWidth="1"/>
    <col min="18" max="18" width="24.42578125" style="144" customWidth="1"/>
    <col min="19" max="20" width="12.7109375" bestFit="1" customWidth="1"/>
    <col min="21" max="21" width="11.42578125" bestFit="1" customWidth="1"/>
    <col min="22" max="22" width="11.42578125" style="144" bestFit="1" customWidth="1"/>
    <col min="23" max="23" width="11.42578125" bestFit="1" customWidth="1"/>
    <col min="24" max="24" width="12.7109375" bestFit="1" customWidth="1"/>
    <col min="25" max="27" width="11.42578125" bestFit="1" customWidth="1"/>
    <col min="28" max="28" width="27.42578125" customWidth="1"/>
  </cols>
  <sheetData>
    <row r="1" spans="1:28" ht="46.5">
      <c r="A1" s="379" t="s">
        <v>254</v>
      </c>
      <c r="B1" s="404" t="s">
        <v>4</v>
      </c>
      <c r="C1" s="404" t="s">
        <v>2</v>
      </c>
      <c r="D1" s="404" t="s">
        <v>3</v>
      </c>
      <c r="E1" s="380" t="s">
        <v>255</v>
      </c>
      <c r="F1" s="381" t="s">
        <v>256</v>
      </c>
      <c r="G1" s="382" t="s">
        <v>257</v>
      </c>
      <c r="H1" s="383" t="s">
        <v>258</v>
      </c>
      <c r="I1" s="383" t="s">
        <v>259</v>
      </c>
      <c r="J1" s="384" t="s">
        <v>260</v>
      </c>
      <c r="K1" s="384" t="s">
        <v>261</v>
      </c>
      <c r="L1" s="384" t="s">
        <v>262</v>
      </c>
      <c r="M1" s="385" t="s">
        <v>265</v>
      </c>
      <c r="N1" s="385" t="s">
        <v>266</v>
      </c>
      <c r="O1" s="385" t="s">
        <v>267</v>
      </c>
      <c r="P1" s="385" t="s">
        <v>268</v>
      </c>
      <c r="Q1" s="385" t="s">
        <v>269</v>
      </c>
      <c r="R1" s="385" t="s">
        <v>270</v>
      </c>
      <c r="S1" s="385" t="s">
        <v>271</v>
      </c>
      <c r="T1" s="385" t="s">
        <v>272</v>
      </c>
      <c r="U1" s="385" t="s">
        <v>273</v>
      </c>
      <c r="V1" s="385" t="s">
        <v>274</v>
      </c>
      <c r="W1" s="385" t="s">
        <v>275</v>
      </c>
      <c r="X1" s="385" t="s">
        <v>276</v>
      </c>
      <c r="Y1" s="385" t="s">
        <v>277</v>
      </c>
      <c r="Z1" s="385" t="s">
        <v>278</v>
      </c>
      <c r="AA1" s="385" t="s">
        <v>279</v>
      </c>
      <c r="AB1" s="386" t="s">
        <v>280</v>
      </c>
    </row>
    <row r="2" spans="1:28" s="256" customFormat="1" ht="128.25" customHeight="1">
      <c r="A2" s="369">
        <v>1</v>
      </c>
      <c r="B2" s="444" t="s">
        <v>5</v>
      </c>
      <c r="C2" s="445">
        <v>45744</v>
      </c>
      <c r="D2" s="445">
        <v>45757</v>
      </c>
      <c r="E2" s="257" t="s">
        <v>108</v>
      </c>
      <c r="F2" s="305" t="s">
        <v>437</v>
      </c>
      <c r="G2" s="250" t="s">
        <v>1277</v>
      </c>
      <c r="H2" s="90" t="s">
        <v>1278</v>
      </c>
      <c r="I2" s="478" t="s">
        <v>289</v>
      </c>
      <c r="J2" s="327">
        <v>8</v>
      </c>
      <c r="K2" s="486"/>
      <c r="L2" s="327">
        <v>168</v>
      </c>
      <c r="M2" s="229" t="s">
        <v>290</v>
      </c>
      <c r="N2" s="329" t="s">
        <v>457</v>
      </c>
      <c r="O2" s="370" t="s">
        <v>1279</v>
      </c>
      <c r="P2" s="229" t="s">
        <v>286</v>
      </c>
      <c r="Q2" s="485" t="s">
        <v>291</v>
      </c>
      <c r="R2" s="271" t="s">
        <v>1280</v>
      </c>
      <c r="S2" s="373">
        <v>45755</v>
      </c>
      <c r="T2" s="373">
        <v>45756</v>
      </c>
      <c r="U2" s="370" t="s">
        <v>426</v>
      </c>
      <c r="V2" s="370" t="s">
        <v>291</v>
      </c>
      <c r="W2" s="327" t="s">
        <v>1281</v>
      </c>
      <c r="X2" s="373">
        <v>45756</v>
      </c>
      <c r="Y2" s="370" t="s">
        <v>291</v>
      </c>
      <c r="Z2" s="327" t="s">
        <v>291</v>
      </c>
      <c r="AA2" s="327" t="s">
        <v>291</v>
      </c>
      <c r="AB2" s="390" t="s">
        <v>1282</v>
      </c>
    </row>
    <row r="3" spans="1:28" s="256" customFormat="1" ht="128.25" customHeight="1">
      <c r="A3" s="369">
        <v>2</v>
      </c>
      <c r="B3" s="442" t="s">
        <v>5</v>
      </c>
      <c r="C3" s="443">
        <v>45744</v>
      </c>
      <c r="D3" s="468">
        <v>45757</v>
      </c>
      <c r="E3" s="469" t="s">
        <v>108</v>
      </c>
      <c r="F3" s="62" t="s">
        <v>426</v>
      </c>
      <c r="G3" s="248" t="s">
        <v>1269</v>
      </c>
      <c r="H3" s="465" t="s">
        <v>1270</v>
      </c>
      <c r="I3" s="470" t="s">
        <v>1283</v>
      </c>
      <c r="J3" s="228">
        <v>3</v>
      </c>
      <c r="K3" s="327"/>
      <c r="L3" s="369">
        <v>24.5</v>
      </c>
      <c r="M3" s="229" t="s">
        <v>290</v>
      </c>
      <c r="N3" s="329" t="s">
        <v>426</v>
      </c>
      <c r="O3" s="327" t="s">
        <v>291</v>
      </c>
      <c r="P3" s="250" t="s">
        <v>294</v>
      </c>
      <c r="Q3" s="370" t="s">
        <v>291</v>
      </c>
      <c r="R3" s="200" t="s">
        <v>1284</v>
      </c>
      <c r="S3" s="372">
        <v>45757</v>
      </c>
      <c r="T3" s="373">
        <v>45757</v>
      </c>
      <c r="U3" s="327" t="s">
        <v>294</v>
      </c>
      <c r="V3" s="370" t="s">
        <v>291</v>
      </c>
      <c r="W3" s="327" t="s">
        <v>1281</v>
      </c>
      <c r="X3" s="373">
        <v>45757</v>
      </c>
      <c r="Y3" s="370" t="s">
        <v>291</v>
      </c>
      <c r="Z3" s="327" t="s">
        <v>291</v>
      </c>
      <c r="AA3" s="327" t="s">
        <v>291</v>
      </c>
      <c r="AB3" s="390" t="s">
        <v>1285</v>
      </c>
    </row>
    <row r="4" spans="1:28" s="256" customFormat="1" ht="128.25" customHeight="1">
      <c r="A4" s="369">
        <v>3</v>
      </c>
      <c r="B4" s="442" t="s">
        <v>5</v>
      </c>
      <c r="C4" s="443">
        <v>45744</v>
      </c>
      <c r="D4" s="468">
        <v>45757</v>
      </c>
      <c r="E4" s="257" t="s">
        <v>108</v>
      </c>
      <c r="F4" s="256" t="s">
        <v>298</v>
      </c>
      <c r="G4" s="203" t="s">
        <v>1286</v>
      </c>
      <c r="H4" s="465" t="s">
        <v>1287</v>
      </c>
      <c r="I4" s="439" t="s">
        <v>289</v>
      </c>
      <c r="J4" s="181"/>
      <c r="K4" s="327"/>
      <c r="L4" s="327">
        <v>11.5</v>
      </c>
      <c r="M4" s="229" t="s">
        <v>290</v>
      </c>
      <c r="N4" s="329" t="s">
        <v>457</v>
      </c>
      <c r="O4" s="327" t="s">
        <v>291</v>
      </c>
      <c r="P4" s="229" t="s">
        <v>426</v>
      </c>
      <c r="Q4" s="484" t="s">
        <v>291</v>
      </c>
      <c r="R4" s="432" t="s">
        <v>1288</v>
      </c>
      <c r="S4" s="360">
        <v>45756</v>
      </c>
      <c r="T4" s="373">
        <v>45757</v>
      </c>
      <c r="U4" s="228" t="s">
        <v>426</v>
      </c>
      <c r="V4" s="370" t="s">
        <v>291</v>
      </c>
      <c r="W4" s="327" t="s">
        <v>1281</v>
      </c>
      <c r="X4" s="373">
        <v>45757</v>
      </c>
      <c r="Y4" s="370" t="s">
        <v>291</v>
      </c>
      <c r="Z4" s="327" t="s">
        <v>291</v>
      </c>
      <c r="AA4" s="327" t="s">
        <v>291</v>
      </c>
      <c r="AB4" s="390" t="s">
        <v>1289</v>
      </c>
    </row>
    <row r="5" spans="1:28" s="256" customFormat="1" ht="128.25" customHeight="1">
      <c r="A5" s="369">
        <v>4</v>
      </c>
      <c r="B5" s="442" t="s">
        <v>5</v>
      </c>
      <c r="C5" s="443">
        <v>45744</v>
      </c>
      <c r="D5" s="468">
        <v>45757</v>
      </c>
      <c r="E5" s="257" t="s">
        <v>108</v>
      </c>
      <c r="F5" s="465" t="s">
        <v>1290</v>
      </c>
      <c r="G5" s="229" t="s">
        <v>1291</v>
      </c>
      <c r="H5" s="465" t="s">
        <v>1292</v>
      </c>
      <c r="I5" s="439" t="s">
        <v>289</v>
      </c>
      <c r="J5" s="181">
        <v>1</v>
      </c>
      <c r="K5" s="327">
        <v>1</v>
      </c>
      <c r="L5" s="327">
        <v>21.5</v>
      </c>
      <c r="M5" s="229"/>
      <c r="N5" s="329"/>
      <c r="O5" s="327"/>
      <c r="P5" s="250"/>
      <c r="Q5" s="484"/>
      <c r="R5" s="432"/>
      <c r="S5" s="373"/>
      <c r="T5" s="373"/>
      <c r="U5" s="327"/>
      <c r="V5" s="370"/>
      <c r="W5" s="327"/>
      <c r="X5" s="373"/>
      <c r="Y5" s="370"/>
      <c r="Z5" s="327"/>
      <c r="AA5" s="327"/>
      <c r="AB5" s="390" t="s">
        <v>1293</v>
      </c>
    </row>
    <row r="6" spans="1:28" ht="45" customHeight="1">
      <c r="A6" s="369">
        <v>5</v>
      </c>
      <c r="B6" s="369" t="s">
        <v>5</v>
      </c>
      <c r="C6" s="443">
        <v>45744</v>
      </c>
      <c r="D6" s="468">
        <v>45757</v>
      </c>
      <c r="E6" s="250" t="s">
        <v>108</v>
      </c>
      <c r="F6" s="203" t="s">
        <v>426</v>
      </c>
      <c r="G6" s="247" t="s">
        <v>1294</v>
      </c>
      <c r="H6" s="321" t="s">
        <v>1295</v>
      </c>
      <c r="I6" s="327" t="s">
        <v>289</v>
      </c>
      <c r="J6" s="181">
        <v>1</v>
      </c>
      <c r="K6" s="327">
        <v>1</v>
      </c>
      <c r="L6" s="327">
        <v>25.25</v>
      </c>
      <c r="M6" s="229"/>
      <c r="N6" s="329"/>
      <c r="O6" s="327"/>
      <c r="P6" s="250"/>
      <c r="Q6" s="58"/>
      <c r="R6" s="432"/>
      <c r="S6" s="373"/>
      <c r="T6" s="373"/>
      <c r="U6" s="327"/>
      <c r="V6" s="370"/>
      <c r="W6" s="327"/>
      <c r="X6" s="373"/>
      <c r="Y6" s="370"/>
      <c r="Z6" s="327"/>
      <c r="AA6" s="327"/>
      <c r="AB6" s="249"/>
    </row>
    <row r="7" spans="1:28" ht="46.5">
      <c r="A7" s="369">
        <v>6</v>
      </c>
      <c r="B7" s="369" t="s">
        <v>5</v>
      </c>
      <c r="C7" s="443">
        <v>45744</v>
      </c>
      <c r="D7" s="468">
        <v>45757</v>
      </c>
      <c r="E7" s="203" t="s">
        <v>108</v>
      </c>
      <c r="F7" s="137" t="s">
        <v>426</v>
      </c>
      <c r="G7" s="229" t="s">
        <v>1296</v>
      </c>
      <c r="H7" s="321" t="s">
        <v>1297</v>
      </c>
      <c r="I7" s="327" t="s">
        <v>289</v>
      </c>
      <c r="J7" s="181">
        <v>1</v>
      </c>
      <c r="K7" s="327">
        <v>1</v>
      </c>
      <c r="L7" s="327">
        <v>11</v>
      </c>
      <c r="M7" s="229"/>
      <c r="N7" s="329"/>
      <c r="O7" s="327"/>
      <c r="P7" s="229"/>
      <c r="Q7" s="218"/>
      <c r="R7" s="432"/>
      <c r="S7" s="373"/>
      <c r="T7" s="373"/>
      <c r="U7" s="327"/>
      <c r="V7" s="370"/>
      <c r="W7" s="327"/>
      <c r="X7" s="373"/>
      <c r="Y7" s="370"/>
      <c r="Z7" s="327"/>
      <c r="AA7" s="327"/>
      <c r="AB7" s="388" t="s">
        <v>1298</v>
      </c>
    </row>
  </sheetData>
  <hyperlinks>
    <hyperlink ref="R2" r:id="rId1" xr:uid="{D7A13EDF-0A64-4188-A43A-8735975FE544}"/>
    <hyperlink ref="R4" r:id="rId2" xr:uid="{61E2E95E-8F7D-45FF-AFE0-E26E746F472E}"/>
    <hyperlink ref="R3" r:id="rId3" xr:uid="{D698C868-B134-4961-97DD-99BD671ED813}"/>
  </hyperlinks>
  <pageMargins left="0.7" right="0.7" top="0.75" bottom="0.75" header="0.3" footer="0.3"/>
  <tableParts count="1">
    <tablePart r:id="rId4"/>
  </tableParts>
  <extLst>
    <ext xmlns:x14="http://schemas.microsoft.com/office/spreadsheetml/2009/9/main" uri="{CCE6A557-97BC-4b89-ADB6-D9C93CAAB3DF}">
      <x14:dataValidations xmlns:xm="http://schemas.microsoft.com/office/excel/2006/main" count="1">
        <x14:dataValidation type="list" allowBlank="1" showErrorMessage="1" xr:uid="{FAD0BE6E-16D4-472E-B90B-82FB0F31D855}">
          <x14:formula1>
            <xm:f>Settings!$C$3:$C$20</xm:f>
          </x14:formula1>
          <xm:sqref>I2:I7</xm:sqref>
        </x14:dataValidation>
      </x14:dataValidations>
    </ext>
  </extLs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BEB42-F07A-4CEB-8502-ACBAB7341D92}">
  <sheetPr>
    <outlinePr summaryBelow="0" summaryRight="0"/>
  </sheetPr>
  <dimension ref="A1:AB989"/>
  <sheetViews>
    <sheetView workbookViewId="0">
      <pane xSplit="3" topLeftCell="D8" activePane="topRight" state="frozen"/>
      <selection pane="topRight" activeCell="C8" sqref="C8"/>
    </sheetView>
  </sheetViews>
  <sheetFormatPr defaultColWidth="12.5703125" defaultRowHeight="15" customHeight="1"/>
  <cols>
    <col min="1" max="1" width="12.5703125" hidden="1" customWidth="1"/>
    <col min="2" max="2" width="21.42578125" customWidth="1"/>
    <col min="3" max="3" width="23.5703125" customWidth="1"/>
    <col min="4" max="4" width="14.42578125" customWidth="1"/>
    <col min="5" max="5" width="19.140625" customWidth="1"/>
    <col min="6" max="6" width="37.5703125" customWidth="1"/>
    <col min="7" max="7" width="41.140625" customWidth="1"/>
    <col min="8" max="9" width="18.7109375" customWidth="1"/>
    <col min="10" max="10" width="9.140625" bestFit="1" customWidth="1"/>
    <col min="11" max="11" width="19" customWidth="1"/>
    <col min="12" max="12" width="18" customWidth="1"/>
    <col min="13" max="13" width="41" customWidth="1"/>
    <col min="14" max="14" width="14.140625" style="122" customWidth="1"/>
    <col min="15" max="15" width="29" customWidth="1"/>
  </cols>
  <sheetData>
    <row r="1" spans="1:28" ht="13.5">
      <c r="A1" s="434" t="s">
        <v>254</v>
      </c>
      <c r="B1" s="1" t="s">
        <v>321</v>
      </c>
      <c r="C1" s="198" t="s">
        <v>322</v>
      </c>
      <c r="D1" s="198" t="s">
        <v>323</v>
      </c>
      <c r="E1" s="1" t="s">
        <v>256</v>
      </c>
      <c r="F1" s="198" t="s">
        <v>324</v>
      </c>
      <c r="G1" s="198" t="s">
        <v>325</v>
      </c>
      <c r="H1" s="1" t="s">
        <v>326</v>
      </c>
      <c r="I1" s="1" t="s">
        <v>327</v>
      </c>
      <c r="J1" s="1" t="s">
        <v>328</v>
      </c>
      <c r="K1" s="1" t="s">
        <v>259</v>
      </c>
      <c r="L1" s="156" t="s">
        <v>329</v>
      </c>
      <c r="M1" s="8" t="s">
        <v>280</v>
      </c>
      <c r="N1" s="487" t="s">
        <v>330</v>
      </c>
      <c r="O1" s="487" t="s">
        <v>331</v>
      </c>
      <c r="P1" s="35"/>
      <c r="Q1" s="35"/>
      <c r="R1" s="35"/>
      <c r="S1" s="35"/>
      <c r="T1" s="35"/>
      <c r="U1" s="35"/>
      <c r="V1" s="35"/>
      <c r="W1" s="35"/>
      <c r="X1" s="35"/>
      <c r="Y1" s="35"/>
      <c r="Z1" s="35"/>
      <c r="AA1" s="35"/>
      <c r="AB1" s="35"/>
    </row>
    <row r="2" spans="1:28" ht="84" customHeight="1">
      <c r="B2" s="41" t="s">
        <v>108</v>
      </c>
      <c r="C2" s="455" t="s">
        <v>1286</v>
      </c>
      <c r="D2" s="456" t="s">
        <v>1277</v>
      </c>
      <c r="E2" s="203" t="s">
        <v>298</v>
      </c>
      <c r="F2" s="453" t="s">
        <v>1299</v>
      </c>
      <c r="G2" s="90" t="s">
        <v>1287</v>
      </c>
      <c r="H2" s="41" t="s">
        <v>381</v>
      </c>
      <c r="I2" s="454" t="s">
        <v>382</v>
      </c>
      <c r="J2" s="41" t="s">
        <v>383</v>
      </c>
      <c r="K2" s="454" t="s">
        <v>1300</v>
      </c>
      <c r="L2" s="329" t="s">
        <v>451</v>
      </c>
      <c r="M2" s="90" t="s">
        <v>1301</v>
      </c>
      <c r="N2" s="91" t="s">
        <v>457</v>
      </c>
      <c r="O2" s="333" t="s">
        <v>1302</v>
      </c>
    </row>
    <row r="3" spans="1:28" ht="56.25" customHeight="1">
      <c r="B3" s="126" t="s">
        <v>108</v>
      </c>
      <c r="C3" s="481" t="s">
        <v>1294</v>
      </c>
      <c r="D3" s="481"/>
      <c r="E3" s="126" t="s">
        <v>426</v>
      </c>
      <c r="F3" s="221" t="s">
        <v>380</v>
      </c>
      <c r="G3" s="305" t="s">
        <v>1295</v>
      </c>
      <c r="H3" s="126" t="s">
        <v>381</v>
      </c>
      <c r="I3" s="126" t="s">
        <v>382</v>
      </c>
      <c r="J3" s="126" t="s">
        <v>421</v>
      </c>
      <c r="K3" s="126" t="s">
        <v>384</v>
      </c>
      <c r="L3" s="126" t="s">
        <v>390</v>
      </c>
      <c r="M3" s="333" t="s">
        <v>1303</v>
      </c>
      <c r="N3" s="488" t="s">
        <v>423</v>
      </c>
      <c r="O3" s="333" t="s">
        <v>1304</v>
      </c>
    </row>
    <row r="4" spans="1:28" ht="66.75" customHeight="1">
      <c r="B4" s="41" t="s">
        <v>108</v>
      </c>
      <c r="C4" s="455" t="s">
        <v>1296</v>
      </c>
      <c r="D4" s="455"/>
      <c r="E4" s="41" t="s">
        <v>426</v>
      </c>
      <c r="F4" s="489" t="s">
        <v>380</v>
      </c>
      <c r="G4" s="90" t="s">
        <v>1297</v>
      </c>
      <c r="H4" s="41" t="s">
        <v>381</v>
      </c>
      <c r="I4" s="41" t="s">
        <v>382</v>
      </c>
      <c r="J4" s="41" t="s">
        <v>421</v>
      </c>
      <c r="K4" s="41" t="s">
        <v>384</v>
      </c>
      <c r="L4" s="41" t="s">
        <v>390</v>
      </c>
      <c r="M4" s="216" t="s">
        <v>1305</v>
      </c>
      <c r="N4" s="91" t="s">
        <v>423</v>
      </c>
      <c r="O4" s="216" t="s">
        <v>1306</v>
      </c>
    </row>
    <row r="5" spans="1:28" ht="15.75" customHeight="1"/>
    <row r="6" spans="1:28" ht="15.75" customHeight="1"/>
    <row r="7" spans="1:28" ht="15.75" customHeight="1">
      <c r="K7" s="144"/>
    </row>
    <row r="8" spans="1:28" ht="15.75" customHeight="1"/>
    <row r="9" spans="1:28" ht="15.75" customHeight="1"/>
    <row r="10" spans="1:28" ht="15.75" customHeight="1"/>
    <row r="11" spans="1:28" ht="15.75" customHeight="1"/>
    <row r="12" spans="1:28" ht="15.75" customHeight="1"/>
    <row r="13" spans="1:28" ht="15.75" customHeight="1"/>
    <row r="14" spans="1:28" ht="15.75" customHeight="1"/>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sheetData>
  <autoFilter ref="A1:M1" xr:uid="{3A2BB050-11AC-4ED7-A296-96B42C7FCFBA}"/>
  <dataValidations count="7">
    <dataValidation type="list" allowBlank="1" showErrorMessage="1" sqref="K2" xr:uid="{E4AA48BE-4580-46BC-822C-560E289F8DBD}">
      <formula1>"Open,Inprogress,Closed/Rejected"</formula1>
    </dataValidation>
    <dataValidation type="list" allowBlank="1" showErrorMessage="1" sqref="F2" xr:uid="{6ACAB26C-54B7-40D0-884B-ACD70DDA2D5C}">
      <formula1>"Bounceback/Sub-Defect,Defect,None"</formula1>
    </dataValidation>
    <dataValidation type="list" allowBlank="1" showErrorMessage="1" sqref="I2:I4" xr:uid="{7757B6D8-F6DC-4E1C-84FB-4F3B0717F19C}">
      <formula1>"Manual, Automation"</formula1>
    </dataValidation>
    <dataValidation type="list" allowBlank="1" showErrorMessage="1" sqref="F3:F4" xr:uid="{78EEDBD3-3DC9-4AF4-8286-E44496F46C58}">
      <formula1>"Bounceback,Defect,None"</formula1>
    </dataValidation>
    <dataValidation type="list" allowBlank="1" showErrorMessage="1" sqref="H2:H4" xr:uid="{93735547-7FED-4AE0-B078-B160CE4835FC}">
      <formula1>"Minor,Significant,Major"</formula1>
    </dataValidation>
    <dataValidation type="list" allowBlank="1" showErrorMessage="1" sqref="K3:K4" xr:uid="{4FB09D97-7434-4436-8D4C-4984B804D8E0}">
      <formula1>"Open,Inprogress,Closed"</formula1>
    </dataValidation>
    <dataValidation type="list" allowBlank="1" showErrorMessage="1" sqref="J2:J4" xr:uid="{A9152C0A-4931-4D18-8B9E-07D0C39806EC}">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BF87045E-EAFE-49D7-B392-8083C17FE882}">
          <x14:formula1>
            <xm:f>Details!$A$2:$A$10</xm:f>
          </x14:formula1>
          <xm:sqref>L2:L4</xm:sqref>
        </x14:dataValidation>
      </x14:dataValidations>
    </ext>
  </extLs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814AA-A00D-4659-A2E8-9EA5F46D030B}">
  <dimension ref="A1:AB9"/>
  <sheetViews>
    <sheetView workbookViewId="0">
      <pane xSplit="7" ySplit="1" topLeftCell="H7" activePane="bottomRight" state="frozen"/>
      <selection pane="bottomRight" activeCell="R11" sqref="R11"/>
      <selection pane="bottomLeft"/>
      <selection pane="topRight"/>
    </sheetView>
  </sheetViews>
  <sheetFormatPr defaultRowHeight="12.75"/>
  <cols>
    <col min="2" max="2" width="13.28515625" customWidth="1"/>
    <col min="3" max="3" width="10.85546875" customWidth="1"/>
    <col min="4" max="4" width="12.140625" customWidth="1"/>
    <col min="5" max="5" width="40.7109375" customWidth="1"/>
    <col min="6" max="6" width="21.140625" customWidth="1"/>
    <col min="7" max="7" width="18.85546875" customWidth="1"/>
    <col min="8" max="8" width="41.7109375" style="137" customWidth="1"/>
    <col min="9" max="9" width="16.85546875" customWidth="1"/>
    <col min="10" max="11" width="11.42578125" bestFit="1" customWidth="1"/>
    <col min="12" max="12" width="11.42578125" customWidth="1"/>
    <col min="13" max="13" width="13.140625" customWidth="1"/>
    <col min="14" max="14" width="13.42578125" style="144" customWidth="1"/>
    <col min="15" max="15" width="15.42578125" customWidth="1"/>
    <col min="16" max="16" width="16.42578125" customWidth="1"/>
    <col min="17" max="17" width="14.85546875" customWidth="1"/>
    <col min="18" max="18" width="24.42578125" style="144" customWidth="1"/>
    <col min="19" max="20" width="12.7109375" bestFit="1" customWidth="1"/>
    <col min="21" max="21" width="11.42578125" bestFit="1" customWidth="1"/>
    <col min="22" max="22" width="11.42578125" style="144" bestFit="1" customWidth="1"/>
    <col min="23" max="23" width="11.42578125" bestFit="1" customWidth="1"/>
    <col min="24" max="24" width="12.7109375" bestFit="1" customWidth="1"/>
    <col min="25" max="27" width="11.42578125" bestFit="1" customWidth="1"/>
    <col min="28" max="28" width="27.42578125" customWidth="1"/>
  </cols>
  <sheetData>
    <row r="1" spans="1:28" ht="46.5">
      <c r="A1" s="379" t="s">
        <v>254</v>
      </c>
      <c r="B1" s="404" t="s">
        <v>4</v>
      </c>
      <c r="C1" s="404" t="s">
        <v>2</v>
      </c>
      <c r="D1" s="404" t="s">
        <v>3</v>
      </c>
      <c r="E1" s="380" t="s">
        <v>255</v>
      </c>
      <c r="F1" s="381" t="s">
        <v>256</v>
      </c>
      <c r="G1" s="382" t="s">
        <v>257</v>
      </c>
      <c r="H1" s="383" t="s">
        <v>258</v>
      </c>
      <c r="I1" s="383" t="s">
        <v>259</v>
      </c>
      <c r="J1" s="384" t="s">
        <v>260</v>
      </c>
      <c r="K1" s="384" t="s">
        <v>261</v>
      </c>
      <c r="L1" s="384" t="s">
        <v>262</v>
      </c>
      <c r="M1" s="385" t="s">
        <v>265</v>
      </c>
      <c r="N1" s="385" t="s">
        <v>266</v>
      </c>
      <c r="O1" s="385" t="s">
        <v>267</v>
      </c>
      <c r="P1" s="385" t="s">
        <v>268</v>
      </c>
      <c r="Q1" s="385" t="s">
        <v>269</v>
      </c>
      <c r="R1" s="385" t="s">
        <v>270</v>
      </c>
      <c r="S1" s="385" t="s">
        <v>271</v>
      </c>
      <c r="T1" s="385" t="s">
        <v>272</v>
      </c>
      <c r="U1" s="385" t="s">
        <v>273</v>
      </c>
      <c r="V1" s="385" t="s">
        <v>274</v>
      </c>
      <c r="W1" s="385" t="s">
        <v>275</v>
      </c>
      <c r="X1" s="385" t="s">
        <v>276</v>
      </c>
      <c r="Y1" s="385" t="s">
        <v>277</v>
      </c>
      <c r="Z1" s="385" t="s">
        <v>278</v>
      </c>
      <c r="AA1" s="385" t="s">
        <v>279</v>
      </c>
      <c r="AB1" s="386" t="s">
        <v>280</v>
      </c>
    </row>
    <row r="2" spans="1:28" s="256" customFormat="1" ht="128.25" customHeight="1">
      <c r="A2" s="369">
        <v>1</v>
      </c>
      <c r="B2" s="444" t="str">
        <f>Dashboard!$J$1</f>
        <v>OnlineBidding</v>
      </c>
      <c r="C2" s="445">
        <f ca="1">Dashboard!$F$1</f>
        <v>46149</v>
      </c>
      <c r="D2" s="445">
        <f ca="1">Dashboard!$H$1</f>
        <v>46163</v>
      </c>
      <c r="E2" s="257" t="s">
        <v>104</v>
      </c>
      <c r="F2" s="257" t="s">
        <v>426</v>
      </c>
      <c r="G2" s="250" t="s">
        <v>1307</v>
      </c>
      <c r="H2" s="90" t="s">
        <v>1308</v>
      </c>
      <c r="I2" s="478" t="s">
        <v>289</v>
      </c>
      <c r="J2" s="327">
        <v>1</v>
      </c>
      <c r="K2" s="327">
        <v>1</v>
      </c>
      <c r="L2" s="327">
        <v>35.25</v>
      </c>
      <c r="M2" s="229" t="s">
        <v>290</v>
      </c>
      <c r="N2" s="329" t="s">
        <v>457</v>
      </c>
      <c r="O2" s="370" t="s">
        <v>291</v>
      </c>
      <c r="P2" s="229" t="s">
        <v>292</v>
      </c>
      <c r="Q2" s="370" t="s">
        <v>291</v>
      </c>
      <c r="R2" s="271" t="s">
        <v>1309</v>
      </c>
      <c r="S2" s="373">
        <v>45729</v>
      </c>
      <c r="T2" s="373">
        <v>45730</v>
      </c>
      <c r="U2" s="370" t="s">
        <v>426</v>
      </c>
      <c r="V2" s="370" t="s">
        <v>291</v>
      </c>
      <c r="W2" s="327" t="s">
        <v>295</v>
      </c>
      <c r="X2" s="373">
        <v>45730</v>
      </c>
      <c r="Y2" s="370" t="s">
        <v>291</v>
      </c>
      <c r="Z2" s="327" t="s">
        <v>291</v>
      </c>
      <c r="AA2" s="327" t="s">
        <v>291</v>
      </c>
      <c r="AB2" s="390"/>
    </row>
    <row r="3" spans="1:28" s="256" customFormat="1" ht="128.25" customHeight="1">
      <c r="A3" s="369">
        <v>2</v>
      </c>
      <c r="B3" s="442" t="str">
        <f>Dashboard!$J$1</f>
        <v>OnlineBidding</v>
      </c>
      <c r="C3" s="443">
        <f ca="1">Dashboard!$F$1</f>
        <v>46149</v>
      </c>
      <c r="D3" s="468">
        <f ca="1">Dashboard!$H$1</f>
        <v>46163</v>
      </c>
      <c r="E3" s="257" t="s">
        <v>104</v>
      </c>
      <c r="F3" s="257" t="s">
        <v>1310</v>
      </c>
      <c r="G3" s="203" t="s">
        <v>1311</v>
      </c>
      <c r="H3" s="465" t="s">
        <v>1312</v>
      </c>
      <c r="I3" s="470" t="s">
        <v>289</v>
      </c>
      <c r="J3" s="228">
        <v>2</v>
      </c>
      <c r="K3" s="369">
        <v>2</v>
      </c>
      <c r="L3" s="327">
        <v>16.75</v>
      </c>
      <c r="M3" s="229" t="s">
        <v>290</v>
      </c>
      <c r="N3" s="329" t="s">
        <v>1313</v>
      </c>
      <c r="O3" s="327" t="s">
        <v>291</v>
      </c>
      <c r="P3" s="250" t="s">
        <v>292</v>
      </c>
      <c r="Q3" s="370" t="s">
        <v>291</v>
      </c>
      <c r="R3" s="200" t="s">
        <v>1314</v>
      </c>
      <c r="S3" s="372">
        <v>45733</v>
      </c>
      <c r="T3" s="373">
        <v>45734</v>
      </c>
      <c r="U3" s="327" t="s">
        <v>426</v>
      </c>
      <c r="V3" s="370" t="s">
        <v>291</v>
      </c>
      <c r="W3" s="327" t="s">
        <v>1315</v>
      </c>
      <c r="X3" s="373">
        <v>45734</v>
      </c>
      <c r="Y3" s="370" t="s">
        <v>291</v>
      </c>
      <c r="Z3" s="327" t="s">
        <v>291</v>
      </c>
      <c r="AA3" s="327" t="s">
        <v>291</v>
      </c>
      <c r="AB3" s="390"/>
    </row>
    <row r="4" spans="1:28" s="256" customFormat="1" ht="128.25" customHeight="1">
      <c r="A4" s="369">
        <v>3</v>
      </c>
      <c r="B4" s="442" t="str">
        <f>Dashboard!$J$1</f>
        <v>OnlineBidding</v>
      </c>
      <c r="C4" s="443">
        <f ca="1">Dashboard!$F$1</f>
        <v>46149</v>
      </c>
      <c r="D4" s="468">
        <f ca="1">Dashboard!$H$1</f>
        <v>46163</v>
      </c>
      <c r="E4" s="257" t="s">
        <v>104</v>
      </c>
      <c r="F4" s="90" t="s">
        <v>1316</v>
      </c>
      <c r="G4" s="137" t="s">
        <v>1317</v>
      </c>
      <c r="H4" s="90" t="s">
        <v>1318</v>
      </c>
      <c r="I4" s="478" t="s">
        <v>289</v>
      </c>
      <c r="J4" s="181">
        <v>2</v>
      </c>
      <c r="K4" s="327">
        <v>2</v>
      </c>
      <c r="L4" s="327">
        <v>46.25</v>
      </c>
      <c r="M4" s="229" t="s">
        <v>290</v>
      </c>
      <c r="N4" s="329" t="s">
        <v>457</v>
      </c>
      <c r="O4" s="327" t="s">
        <v>291</v>
      </c>
      <c r="P4" s="250" t="s">
        <v>298</v>
      </c>
      <c r="Q4" s="352" t="s">
        <v>291</v>
      </c>
      <c r="R4" s="432" t="s">
        <v>1319</v>
      </c>
      <c r="S4" s="373">
        <v>45734</v>
      </c>
      <c r="T4" s="373">
        <v>45736</v>
      </c>
      <c r="U4" s="327" t="s">
        <v>426</v>
      </c>
      <c r="V4" s="370" t="s">
        <v>291</v>
      </c>
      <c r="W4" s="327" t="s">
        <v>1315</v>
      </c>
      <c r="X4" s="373">
        <v>45736</v>
      </c>
      <c r="Y4" s="370" t="s">
        <v>291</v>
      </c>
      <c r="Z4" s="327" t="s">
        <v>291</v>
      </c>
      <c r="AA4" s="327" t="s">
        <v>291</v>
      </c>
      <c r="AB4" s="390"/>
    </row>
    <row r="5" spans="1:28" s="256" customFormat="1" ht="128.25" customHeight="1">
      <c r="A5" s="369">
        <v>4</v>
      </c>
      <c r="B5" s="442" t="str">
        <f>Dashboard!$J$1</f>
        <v>OnlineBidding</v>
      </c>
      <c r="C5" s="443">
        <f ca="1">Dashboard!$F$1</f>
        <v>46149</v>
      </c>
      <c r="D5" s="468">
        <f ca="1">Dashboard!$H$1</f>
        <v>46163</v>
      </c>
      <c r="E5" s="257" t="s">
        <v>104</v>
      </c>
      <c r="F5" s="465" t="s">
        <v>1320</v>
      </c>
      <c r="G5" s="229" t="s">
        <v>1321</v>
      </c>
      <c r="H5" s="465" t="s">
        <v>1322</v>
      </c>
      <c r="I5" s="439" t="s">
        <v>289</v>
      </c>
      <c r="J5" s="181">
        <v>8</v>
      </c>
      <c r="K5" s="181">
        <v>8</v>
      </c>
      <c r="L5" s="327">
        <v>99</v>
      </c>
      <c r="M5" s="229" t="s">
        <v>290</v>
      </c>
      <c r="N5" s="329" t="s">
        <v>457</v>
      </c>
      <c r="O5" s="327" t="s">
        <v>291</v>
      </c>
      <c r="P5" s="250" t="s">
        <v>437</v>
      </c>
      <c r="Q5" s="401" t="s">
        <v>291</v>
      </c>
      <c r="R5" s="432" t="s">
        <v>1323</v>
      </c>
      <c r="S5" s="373">
        <v>45741</v>
      </c>
      <c r="T5" s="373">
        <v>45742</v>
      </c>
      <c r="U5" s="327" t="s">
        <v>426</v>
      </c>
      <c r="V5" s="370" t="s">
        <v>1324</v>
      </c>
      <c r="W5" s="327" t="s">
        <v>1315</v>
      </c>
      <c r="X5" s="373">
        <v>45742</v>
      </c>
      <c r="Y5" s="370" t="s">
        <v>291</v>
      </c>
      <c r="Z5" s="327" t="s">
        <v>291</v>
      </c>
      <c r="AA5" s="327" t="s">
        <v>291</v>
      </c>
      <c r="AB5" s="390"/>
    </row>
    <row r="6" spans="1:28" s="256" customFormat="1" ht="128.25" customHeight="1">
      <c r="A6" s="369">
        <v>5</v>
      </c>
      <c r="B6" s="442" t="str">
        <f>Dashboard!$J$1</f>
        <v>OnlineBidding</v>
      </c>
      <c r="C6" s="443">
        <f ca="1">Dashboard!$F$1</f>
        <v>46149</v>
      </c>
      <c r="D6" s="468">
        <f ca="1">Dashboard!$H$1</f>
        <v>46163</v>
      </c>
      <c r="E6" s="257" t="s">
        <v>104</v>
      </c>
      <c r="F6" s="256" t="s">
        <v>426</v>
      </c>
      <c r="G6" s="250" t="s">
        <v>1325</v>
      </c>
      <c r="H6" s="90" t="s">
        <v>1326</v>
      </c>
      <c r="I6" s="478" t="s">
        <v>289</v>
      </c>
      <c r="J6" s="181">
        <v>1</v>
      </c>
      <c r="K6" s="327">
        <v>11.5</v>
      </c>
      <c r="L6" s="327"/>
      <c r="M6" s="229"/>
      <c r="N6" s="329"/>
      <c r="O6" s="327"/>
      <c r="P6" s="229"/>
      <c r="Q6" s="466"/>
      <c r="R6" s="200"/>
      <c r="S6" s="372"/>
      <c r="T6" s="373"/>
      <c r="U6" s="327"/>
      <c r="V6" s="370"/>
      <c r="W6" s="327"/>
      <c r="X6" s="373"/>
      <c r="Y6" s="370"/>
      <c r="Z6" s="327"/>
      <c r="AA6" s="327"/>
      <c r="AB6" s="390"/>
    </row>
    <row r="7" spans="1:28" s="256" customFormat="1" ht="128.25" customHeight="1">
      <c r="A7" s="369">
        <v>6</v>
      </c>
      <c r="B7" s="442" t="str">
        <f>Dashboard!$J$1</f>
        <v>OnlineBidding</v>
      </c>
      <c r="C7" s="443">
        <f ca="1">Dashboard!$F$1</f>
        <v>46149</v>
      </c>
      <c r="D7" s="468">
        <f ca="1">Dashboard!$H$1</f>
        <v>46163</v>
      </c>
      <c r="E7" s="257" t="s">
        <v>1327</v>
      </c>
      <c r="F7" s="62" t="s">
        <v>1310</v>
      </c>
      <c r="G7" s="431" t="s">
        <v>1328</v>
      </c>
      <c r="H7" s="482" t="s">
        <v>1329</v>
      </c>
      <c r="I7" s="480" t="s">
        <v>289</v>
      </c>
      <c r="J7" s="228">
        <v>2</v>
      </c>
      <c r="K7" s="369">
        <v>9.25</v>
      </c>
      <c r="L7" s="327"/>
      <c r="M7" s="229" t="s">
        <v>290</v>
      </c>
      <c r="N7" s="329" t="s">
        <v>457</v>
      </c>
      <c r="O7" s="327" t="s">
        <v>291</v>
      </c>
      <c r="P7" s="250" t="s">
        <v>298</v>
      </c>
      <c r="Q7" s="370" t="s">
        <v>291</v>
      </c>
      <c r="R7" s="474" t="s">
        <v>1323</v>
      </c>
      <c r="S7" s="372">
        <v>45741</v>
      </c>
      <c r="T7" s="373">
        <v>45742</v>
      </c>
      <c r="U7" s="327" t="s">
        <v>426</v>
      </c>
      <c r="V7" s="370" t="s">
        <v>291</v>
      </c>
      <c r="W7" s="327" t="s">
        <v>1315</v>
      </c>
      <c r="X7" s="373">
        <v>45742</v>
      </c>
      <c r="Y7" s="370" t="s">
        <v>291</v>
      </c>
      <c r="Z7" s="327" t="s">
        <v>291</v>
      </c>
      <c r="AA7" s="327" t="s">
        <v>291</v>
      </c>
      <c r="AB7" s="390"/>
    </row>
    <row r="8" spans="1:28" s="256" customFormat="1" ht="128.25" customHeight="1">
      <c r="A8" s="369">
        <v>7</v>
      </c>
      <c r="B8" s="442" t="str">
        <f>Dashboard!$J$1</f>
        <v>OnlineBidding</v>
      </c>
      <c r="C8" s="443">
        <f ca="1">Dashboard!$F$1</f>
        <v>46149</v>
      </c>
      <c r="D8" s="468">
        <f ca="1">Dashboard!$H$1</f>
        <v>46163</v>
      </c>
      <c r="E8" s="257" t="s">
        <v>1327</v>
      </c>
      <c r="F8" s="256" t="s">
        <v>1330</v>
      </c>
      <c r="G8" s="250" t="s">
        <v>1331</v>
      </c>
      <c r="H8" s="376" t="s">
        <v>1332</v>
      </c>
      <c r="I8" s="471" t="s">
        <v>289</v>
      </c>
      <c r="J8" s="181">
        <v>3</v>
      </c>
      <c r="K8" s="327">
        <v>17.5</v>
      </c>
      <c r="L8" s="327"/>
      <c r="M8" s="229" t="s">
        <v>290</v>
      </c>
      <c r="N8" s="329" t="s">
        <v>457</v>
      </c>
      <c r="O8" s="327" t="s">
        <v>291</v>
      </c>
      <c r="P8" s="250" t="s">
        <v>292</v>
      </c>
      <c r="Q8" s="352" t="s">
        <v>291</v>
      </c>
      <c r="R8" s="432" t="s">
        <v>1333</v>
      </c>
      <c r="S8" s="373">
        <v>45742</v>
      </c>
      <c r="T8" s="373">
        <v>45743</v>
      </c>
      <c r="U8" s="327" t="s">
        <v>426</v>
      </c>
      <c r="V8" s="370" t="s">
        <v>291</v>
      </c>
      <c r="W8" s="327" t="s">
        <v>295</v>
      </c>
      <c r="X8" s="373">
        <v>45743</v>
      </c>
      <c r="Y8" s="370" t="s">
        <v>291</v>
      </c>
      <c r="Z8" s="327" t="s">
        <v>291</v>
      </c>
      <c r="AA8" s="327" t="s">
        <v>291</v>
      </c>
      <c r="AB8" s="390"/>
    </row>
    <row r="9" spans="1:28" ht="80.25" customHeight="1">
      <c r="A9" s="369">
        <v>8</v>
      </c>
      <c r="B9" s="369" t="str">
        <f>Dashboard!$J$1</f>
        <v>OnlineBidding</v>
      </c>
      <c r="C9" s="372">
        <f ca="1">Dashboard!$F$1</f>
        <v>46149</v>
      </c>
      <c r="D9" s="430">
        <f ca="1">Dashboard!$H$1</f>
        <v>46163</v>
      </c>
      <c r="E9" s="203" t="s">
        <v>1327</v>
      </c>
      <c r="F9" s="203" t="s">
        <v>292</v>
      </c>
      <c r="G9" s="203" t="s">
        <v>1291</v>
      </c>
      <c r="H9" s="268" t="s">
        <v>1292</v>
      </c>
      <c r="I9" s="473" t="s">
        <v>549</v>
      </c>
      <c r="J9" s="228">
        <v>2</v>
      </c>
      <c r="K9" s="228">
        <v>19.25</v>
      </c>
      <c r="L9" s="369"/>
      <c r="M9" s="229" t="s">
        <v>290</v>
      </c>
      <c r="N9" s="329" t="s">
        <v>457</v>
      </c>
      <c r="O9" s="327" t="s">
        <v>291</v>
      </c>
      <c r="P9" s="229" t="s">
        <v>298</v>
      </c>
      <c r="Q9" t="s">
        <v>291</v>
      </c>
      <c r="R9" s="432" t="s">
        <v>1334</v>
      </c>
      <c r="S9" s="373">
        <v>45742</v>
      </c>
      <c r="T9" s="373">
        <v>45743</v>
      </c>
      <c r="U9" s="327" t="s">
        <v>426</v>
      </c>
      <c r="V9" s="370" t="s">
        <v>291</v>
      </c>
      <c r="W9" s="327" t="s">
        <v>295</v>
      </c>
      <c r="X9" s="373">
        <v>45743</v>
      </c>
      <c r="Y9" s="483" t="s">
        <v>1335</v>
      </c>
      <c r="Z9" s="327" t="s">
        <v>291</v>
      </c>
      <c r="AA9" s="327" t="s">
        <v>291</v>
      </c>
      <c r="AB9" s="388" t="s">
        <v>1336</v>
      </c>
    </row>
  </sheetData>
  <hyperlinks>
    <hyperlink ref="R9" r:id="rId1" xr:uid="{6FF5CC50-F5EA-4A3A-BD3B-5F8D7AD99BC2}"/>
    <hyperlink ref="R8" r:id="rId2" xr:uid="{D7EF6F4C-1FC8-452B-8E48-D08CC2A58586}"/>
    <hyperlink ref="R7" r:id="rId3" xr:uid="{9ECFB3B1-FB14-4281-9EE2-89AC0F4C3B45}"/>
    <hyperlink ref="R5" r:id="rId4" xr:uid="{87F3DB6E-58AB-4B2D-B916-A420FC8B9351}"/>
    <hyperlink ref="R4" r:id="rId5" xr:uid="{E1FB5CB4-691C-4764-8355-19ECA8CFC333}"/>
    <hyperlink ref="R3" r:id="rId6" xr:uid="{B7F00500-DB72-4A52-B3B4-928FE6502BB5}"/>
    <hyperlink ref="R2" r:id="rId7" display="https://greatergiving.visualstudio.com/Greater%20Giving/_git/OP/pullrequest/8310" xr:uid="{105B59BE-C424-40CE-B3E8-14ECE68BB423}"/>
  </hyperlinks>
  <pageMargins left="0.7" right="0.7" top="0.75" bottom="0.75" header="0.3" footer="0.3"/>
  <tableParts count="1">
    <tablePart r:id="rId8"/>
  </tableParts>
  <extLst>
    <ext xmlns:x14="http://schemas.microsoft.com/office/spreadsheetml/2009/9/main" uri="{CCE6A557-97BC-4b89-ADB6-D9C93CAAB3DF}">
      <x14:dataValidations xmlns:xm="http://schemas.microsoft.com/office/excel/2006/main" count="1">
        <x14:dataValidation type="list" allowBlank="1" showErrorMessage="1" xr:uid="{DF64EAD9-DA94-44FF-A1C7-EB8010B13234}">
          <x14:formula1>
            <xm:f>Settings!$C$3:$C$20</xm:f>
          </x14:formula1>
          <xm:sqref>I2:I9</xm:sqref>
        </x14:dataValidation>
      </x14:dataValidations>
    </ext>
  </extLs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D2E03-B995-4594-A8ED-9CEF551922E8}">
  <sheetPr>
    <outlinePr summaryBelow="0" summaryRight="0"/>
  </sheetPr>
  <dimension ref="A1:AB989"/>
  <sheetViews>
    <sheetView topLeftCell="B3" workbookViewId="0">
      <selection activeCell="G13" sqref="G13"/>
    </sheetView>
  </sheetViews>
  <sheetFormatPr defaultColWidth="12.5703125" defaultRowHeight="15" customHeight="1"/>
  <cols>
    <col min="1" max="1" width="12.5703125" hidden="1" customWidth="1"/>
    <col min="2" max="2" width="21.42578125" customWidth="1"/>
    <col min="3" max="3" width="23.5703125" customWidth="1"/>
    <col min="4" max="4" width="14.42578125" customWidth="1"/>
    <col min="5" max="5" width="19.140625" customWidth="1"/>
    <col min="6" max="6" width="37.5703125" customWidth="1"/>
    <col min="7" max="7" width="41.140625" customWidth="1"/>
    <col min="8" max="9" width="18.7109375" customWidth="1"/>
    <col min="10" max="10" width="9.140625" bestFit="1" customWidth="1"/>
    <col min="11" max="11" width="19" customWidth="1"/>
    <col min="12" max="12" width="18" customWidth="1"/>
    <col min="13" max="13" width="41" customWidth="1"/>
  </cols>
  <sheetData>
    <row r="1" spans="1:28" ht="13.5">
      <c r="A1" s="434" t="s">
        <v>254</v>
      </c>
      <c r="B1" s="1" t="s">
        <v>321</v>
      </c>
      <c r="C1" s="198" t="s">
        <v>322</v>
      </c>
      <c r="D1" s="198" t="s">
        <v>323</v>
      </c>
      <c r="E1" s="1" t="s">
        <v>256</v>
      </c>
      <c r="F1" s="198" t="s">
        <v>324</v>
      </c>
      <c r="G1" s="198" t="s">
        <v>325</v>
      </c>
      <c r="H1" s="1" t="s">
        <v>326</v>
      </c>
      <c r="I1" s="1" t="s">
        <v>327</v>
      </c>
      <c r="J1" s="1" t="s">
        <v>328</v>
      </c>
      <c r="K1" s="1" t="s">
        <v>259</v>
      </c>
      <c r="L1" s="156" t="s">
        <v>329</v>
      </c>
      <c r="M1" s="8" t="s">
        <v>280</v>
      </c>
      <c r="N1" s="35"/>
      <c r="O1" s="35"/>
      <c r="P1" s="35"/>
      <c r="Q1" s="35"/>
      <c r="R1" s="35"/>
      <c r="S1" s="35"/>
      <c r="T1" s="35"/>
      <c r="U1" s="35"/>
      <c r="V1" s="35"/>
      <c r="W1" s="35"/>
      <c r="X1" s="35"/>
      <c r="Y1" s="35"/>
      <c r="Z1" s="35"/>
      <c r="AA1" s="35"/>
      <c r="AB1" s="35"/>
    </row>
    <row r="2" spans="1:28" ht="84" customHeight="1">
      <c r="B2" s="41"/>
      <c r="C2" s="455"/>
      <c r="D2" s="456"/>
      <c r="E2" s="203"/>
      <c r="F2" s="453"/>
      <c r="G2" s="90"/>
      <c r="H2" s="41"/>
      <c r="I2" s="454"/>
      <c r="J2" s="41"/>
      <c r="K2" s="454"/>
      <c r="L2" s="329"/>
      <c r="M2" s="216"/>
    </row>
    <row r="3" spans="1:28" ht="56.25" customHeight="1">
      <c r="B3" s="126"/>
      <c r="C3" s="481"/>
      <c r="D3" s="481"/>
      <c r="E3" s="126"/>
      <c r="F3" s="221"/>
      <c r="G3" s="305"/>
      <c r="H3" s="126"/>
      <c r="I3" s="126"/>
      <c r="J3" s="126"/>
      <c r="K3" s="126"/>
      <c r="L3" s="126"/>
      <c r="M3" s="333"/>
    </row>
    <row r="4" spans="1:28" ht="66.75" customHeight="1">
      <c r="B4" s="126"/>
      <c r="C4" s="481"/>
      <c r="D4" s="481"/>
      <c r="E4" s="126"/>
      <c r="F4" s="221"/>
      <c r="G4" s="305"/>
      <c r="H4" s="126"/>
      <c r="I4" s="126"/>
      <c r="J4" s="126"/>
      <c r="K4" s="126"/>
      <c r="L4" s="126"/>
      <c r="M4" s="333"/>
    </row>
    <row r="5" spans="1:28" ht="15.75" customHeight="1"/>
    <row r="6" spans="1:28" ht="15.75" customHeight="1"/>
    <row r="7" spans="1:28" ht="15.75" customHeight="1">
      <c r="K7" s="144"/>
    </row>
    <row r="8" spans="1:28" ht="15.75" customHeight="1"/>
    <row r="9" spans="1:28" ht="15.75" customHeight="1"/>
    <row r="10" spans="1:28" ht="15.75" customHeight="1"/>
    <row r="11" spans="1:28" ht="15.75" customHeight="1">
      <c r="N11" s="144"/>
    </row>
    <row r="12" spans="1:28" ht="15.75" customHeight="1"/>
    <row r="13" spans="1:28" ht="15.75" customHeight="1"/>
    <row r="14" spans="1:28" ht="15.75" customHeight="1"/>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sheetData>
  <autoFilter ref="A1:M1" xr:uid="{3A2BB050-11AC-4ED7-A296-96B42C7FCFBA}"/>
  <dataValidations count="7">
    <dataValidation type="list" allowBlank="1" showErrorMessage="1" sqref="J2:J3 J4" xr:uid="{34B4767B-BA34-4FB2-9B77-33D1F6CD6669}">
      <formula1>"Internal,External"</formula1>
    </dataValidation>
    <dataValidation type="list" allowBlank="1" showErrorMessage="1" sqref="K3 K4" xr:uid="{49EFBFF8-FA87-40F7-ACDA-D1F5C8092A9F}">
      <formula1>"Open,Inprogress,Closed"</formula1>
    </dataValidation>
    <dataValidation type="list" allowBlank="1" showErrorMessage="1" sqref="H2:H3 H4" xr:uid="{3CA6CED4-4024-4699-9EFD-1E89F64B305A}">
      <formula1>"Minor,Significant,Major"</formula1>
    </dataValidation>
    <dataValidation type="list" allowBlank="1" showErrorMessage="1" sqref="F3 F4" xr:uid="{C8A67A81-11B6-4031-BAF2-9478D1C42C8D}">
      <formula1>"Bounceback,Defect,None"</formula1>
    </dataValidation>
    <dataValidation type="list" allowBlank="1" showErrorMessage="1" sqref="I2:I3 I4" xr:uid="{A88DAA52-4DFD-4FA6-A7E0-10357C19A478}">
      <formula1>"Manual, Automation"</formula1>
    </dataValidation>
    <dataValidation type="list" allowBlank="1" showErrorMessage="1" sqref="F2" xr:uid="{44B9545D-8BA6-4F53-BB9C-2F47EB28C014}">
      <formula1>"Bounceback/Sub-Defect,Defect,None"</formula1>
    </dataValidation>
    <dataValidation type="list" allowBlank="1" showErrorMessage="1" sqref="K2" xr:uid="{76F95B4F-D071-4698-B795-6E300C6F3C4B}">
      <formula1>"Open,Inprogress,Closed/Rejected"</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45620E30-3968-4977-944B-88E610CF03CA}">
          <x14:formula1>
            <xm:f>Details!$A$2:$A$10</xm:f>
          </x14:formula1>
          <xm:sqref>L2:L3 L4</xm:sqref>
        </x14:dataValidation>
      </x14:dataValidations>
    </ext>
  </extLs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6148C-A8A6-4AA3-8103-2226AA325326}">
  <dimension ref="A1:AB6"/>
  <sheetViews>
    <sheetView workbookViewId="0">
      <pane xSplit="7" ySplit="1" topLeftCell="H2" activePane="bottomRight" state="frozen"/>
      <selection pane="bottomRight" activeCell="D2" sqref="D2"/>
      <selection pane="bottomLeft"/>
      <selection pane="topRight"/>
    </sheetView>
  </sheetViews>
  <sheetFormatPr defaultRowHeight="12.75"/>
  <cols>
    <col min="2" max="2" width="13.28515625" customWidth="1"/>
    <col min="3" max="3" width="10.85546875" customWidth="1"/>
    <col min="4" max="4" width="12.140625" customWidth="1"/>
    <col min="5" max="5" width="40.7109375" customWidth="1"/>
    <col min="6" max="6" width="21.140625" customWidth="1"/>
    <col min="7" max="7" width="18.85546875" customWidth="1"/>
    <col min="8" max="8" width="41.7109375" style="137" customWidth="1"/>
    <col min="9" max="9" width="16.85546875" customWidth="1"/>
    <col min="10" max="11" width="11.42578125" bestFit="1" customWidth="1"/>
    <col min="12" max="12" width="11.42578125" customWidth="1"/>
    <col min="13" max="13" width="13.140625" customWidth="1"/>
    <col min="14" max="14" width="13.42578125" style="144" customWidth="1"/>
    <col min="15" max="15" width="15.42578125" customWidth="1"/>
    <col min="16" max="16" width="16.42578125" customWidth="1"/>
    <col min="17" max="17" width="14.85546875" customWidth="1"/>
    <col min="18" max="18" width="11.42578125" style="144" bestFit="1" customWidth="1"/>
    <col min="19" max="20" width="12.7109375" bestFit="1" customWidth="1"/>
    <col min="21" max="21" width="11.42578125" bestFit="1" customWidth="1"/>
    <col min="22" max="22" width="11.42578125" style="144" bestFit="1" customWidth="1"/>
    <col min="23" max="23" width="11.42578125" bestFit="1" customWidth="1"/>
    <col min="24" max="24" width="12.7109375" bestFit="1" customWidth="1"/>
    <col min="25" max="27" width="11.42578125" bestFit="1" customWidth="1"/>
    <col min="28" max="28" width="27.42578125" customWidth="1"/>
  </cols>
  <sheetData>
    <row r="1" spans="1:28" ht="46.5">
      <c r="A1" s="379" t="s">
        <v>254</v>
      </c>
      <c r="B1" s="404" t="s">
        <v>4</v>
      </c>
      <c r="C1" s="404" t="s">
        <v>2</v>
      </c>
      <c r="D1" s="404" t="s">
        <v>3</v>
      </c>
      <c r="E1" s="380" t="s">
        <v>255</v>
      </c>
      <c r="F1" s="381" t="s">
        <v>256</v>
      </c>
      <c r="G1" s="382" t="s">
        <v>257</v>
      </c>
      <c r="H1" s="383" t="s">
        <v>258</v>
      </c>
      <c r="I1" s="383" t="s">
        <v>259</v>
      </c>
      <c r="J1" s="384" t="s">
        <v>260</v>
      </c>
      <c r="K1" s="384" t="s">
        <v>261</v>
      </c>
      <c r="L1" s="384" t="s">
        <v>262</v>
      </c>
      <c r="M1" s="385" t="s">
        <v>265</v>
      </c>
      <c r="N1" s="385" t="s">
        <v>266</v>
      </c>
      <c r="O1" s="385" t="s">
        <v>267</v>
      </c>
      <c r="P1" s="385" t="s">
        <v>268</v>
      </c>
      <c r="Q1" s="385" t="s">
        <v>269</v>
      </c>
      <c r="R1" s="385" t="s">
        <v>270</v>
      </c>
      <c r="S1" s="385" t="s">
        <v>271</v>
      </c>
      <c r="T1" s="385" t="s">
        <v>272</v>
      </c>
      <c r="U1" s="385" t="s">
        <v>273</v>
      </c>
      <c r="V1" s="385" t="s">
        <v>274</v>
      </c>
      <c r="W1" s="385" t="s">
        <v>275</v>
      </c>
      <c r="X1" s="385" t="s">
        <v>276</v>
      </c>
      <c r="Y1" s="385" t="s">
        <v>277</v>
      </c>
      <c r="Z1" s="385" t="s">
        <v>278</v>
      </c>
      <c r="AA1" s="385" t="s">
        <v>279</v>
      </c>
      <c r="AB1" s="386" t="s">
        <v>280</v>
      </c>
    </row>
    <row r="2" spans="1:28" s="256" customFormat="1" ht="128.25" customHeight="1">
      <c r="A2" s="369">
        <v>1</v>
      </c>
      <c r="B2" s="444" t="str">
        <f>Dashboard!$J$1</f>
        <v>OnlineBidding</v>
      </c>
      <c r="C2" s="445">
        <f ca="1">Dashboard!$F$1</f>
        <v>46149</v>
      </c>
      <c r="D2" s="445">
        <f ca="1">Dashboard!$H$1</f>
        <v>46163</v>
      </c>
      <c r="E2" s="257" t="s">
        <v>101</v>
      </c>
      <c r="F2" s="257" t="s">
        <v>1310</v>
      </c>
      <c r="G2" s="229" t="s">
        <v>1307</v>
      </c>
      <c r="H2" s="305" t="s">
        <v>1308</v>
      </c>
      <c r="I2" s="439" t="s">
        <v>532</v>
      </c>
      <c r="J2" s="327">
        <v>3</v>
      </c>
      <c r="K2" s="327"/>
      <c r="L2" s="327">
        <v>64</v>
      </c>
      <c r="M2" s="229"/>
      <c r="N2" s="329"/>
      <c r="O2" s="370"/>
      <c r="P2" s="229"/>
      <c r="Q2" s="370"/>
      <c r="R2" s="271"/>
      <c r="S2" s="373"/>
      <c r="T2" s="373"/>
      <c r="U2" s="370"/>
      <c r="V2" s="370"/>
      <c r="W2" s="327"/>
      <c r="X2" s="373"/>
      <c r="Y2" s="370"/>
      <c r="Z2" s="327"/>
      <c r="AA2" s="327"/>
      <c r="AB2" s="390" t="s">
        <v>1337</v>
      </c>
    </row>
    <row r="3" spans="1:28" s="256" customFormat="1" ht="128.25" customHeight="1">
      <c r="A3" s="369">
        <v>2</v>
      </c>
      <c r="B3" s="442" t="str">
        <f>Dashboard!$J$1</f>
        <v>OnlineBidding</v>
      </c>
      <c r="C3" s="443">
        <f ca="1">Dashboard!$F$1</f>
        <v>46149</v>
      </c>
      <c r="D3" s="468">
        <f ca="1">Dashboard!$H$1</f>
        <v>46163</v>
      </c>
      <c r="E3" s="469" t="s">
        <v>101</v>
      </c>
      <c r="F3" s="62" t="s">
        <v>292</v>
      </c>
      <c r="G3" s="431" t="s">
        <v>1338</v>
      </c>
      <c r="H3" s="90" t="s">
        <v>1339</v>
      </c>
      <c r="I3" s="471" t="s">
        <v>289</v>
      </c>
      <c r="J3" s="228">
        <v>3</v>
      </c>
      <c r="K3" s="369"/>
      <c r="L3" s="327">
        <v>51.5</v>
      </c>
      <c r="M3" s="229"/>
      <c r="N3" s="329"/>
      <c r="O3" s="327"/>
      <c r="P3" s="250"/>
      <c r="Q3" s="352"/>
      <c r="R3" s="200"/>
      <c r="S3" s="372"/>
      <c r="T3" s="373"/>
      <c r="U3" s="327"/>
      <c r="V3" s="370"/>
      <c r="W3" s="327"/>
      <c r="X3" s="373"/>
      <c r="Y3" s="370"/>
      <c r="Z3" s="327"/>
      <c r="AA3" s="327"/>
      <c r="AB3" s="390" t="s">
        <v>1340</v>
      </c>
    </row>
    <row r="4" spans="1:28" s="256" customFormat="1" ht="128.25" customHeight="1">
      <c r="A4" s="369">
        <v>3</v>
      </c>
      <c r="B4" s="442" t="str">
        <f>Dashboard!$J$1</f>
        <v>OnlineBidding</v>
      </c>
      <c r="C4" s="443">
        <f ca="1">Dashboard!$F$1</f>
        <v>46149</v>
      </c>
      <c r="D4" s="468">
        <f ca="1">Dashboard!$H$1</f>
        <v>46163</v>
      </c>
      <c r="E4" s="257" t="s">
        <v>101</v>
      </c>
      <c r="F4" s="256" t="s">
        <v>298</v>
      </c>
      <c r="G4" s="250" t="s">
        <v>1341</v>
      </c>
      <c r="H4" s="472" t="s">
        <v>1342</v>
      </c>
      <c r="I4" s="467" t="s">
        <v>289</v>
      </c>
      <c r="J4" s="473">
        <v>3</v>
      </c>
      <c r="K4" s="369">
        <v>3</v>
      </c>
      <c r="L4" s="327">
        <v>62</v>
      </c>
      <c r="M4" s="229" t="s">
        <v>290</v>
      </c>
      <c r="N4" s="329" t="s">
        <v>457</v>
      </c>
      <c r="O4" s="370" t="s">
        <v>1343</v>
      </c>
      <c r="P4" s="250" t="s">
        <v>292</v>
      </c>
      <c r="Q4" s="401" t="s">
        <v>291</v>
      </c>
      <c r="R4" s="474" t="s">
        <v>1344</v>
      </c>
      <c r="S4" s="360">
        <v>45727</v>
      </c>
      <c r="T4" s="360">
        <v>45728</v>
      </c>
      <c r="U4" s="369" t="s">
        <v>426</v>
      </c>
      <c r="V4" s="370" t="s">
        <v>1345</v>
      </c>
      <c r="W4" s="327" t="s">
        <v>295</v>
      </c>
      <c r="X4" s="373">
        <v>45728</v>
      </c>
      <c r="Y4" s="370" t="s">
        <v>291</v>
      </c>
      <c r="Z4" s="327" t="s">
        <v>291</v>
      </c>
      <c r="AA4" s="327" t="s">
        <v>291</v>
      </c>
      <c r="AB4" s="390"/>
    </row>
    <row r="5" spans="1:28" s="256" customFormat="1" ht="128.25" customHeight="1">
      <c r="A5" s="369">
        <v>4</v>
      </c>
      <c r="B5" s="442" t="str">
        <f>Dashboard!$J$1</f>
        <v>OnlineBidding</v>
      </c>
      <c r="C5" s="443">
        <f ca="1">Dashboard!$F$1</f>
        <v>46149</v>
      </c>
      <c r="D5" s="468">
        <f ca="1">Dashboard!$H$1</f>
        <v>46163</v>
      </c>
      <c r="E5" s="257" t="s">
        <v>101</v>
      </c>
      <c r="F5" s="257" t="s">
        <v>286</v>
      </c>
      <c r="G5" s="247" t="s">
        <v>1346</v>
      </c>
      <c r="H5" s="465" t="s">
        <v>1347</v>
      </c>
      <c r="I5" s="470" t="s">
        <v>289</v>
      </c>
      <c r="J5" s="228">
        <v>2</v>
      </c>
      <c r="K5" s="369"/>
      <c r="L5" s="327">
        <v>24.75</v>
      </c>
      <c r="M5" s="229"/>
      <c r="N5" s="329"/>
      <c r="O5" s="327"/>
      <c r="P5" s="250"/>
      <c r="Q5" s="401"/>
      <c r="R5" s="474"/>
      <c r="S5" s="475"/>
      <c r="T5" s="476"/>
      <c r="U5" s="327"/>
      <c r="V5" s="370"/>
      <c r="W5" s="327"/>
      <c r="X5" s="373"/>
      <c r="Y5" s="370"/>
      <c r="Z5" s="327"/>
      <c r="AA5" s="327"/>
      <c r="AB5" s="390" t="s">
        <v>1348</v>
      </c>
    </row>
    <row r="6" spans="1:28" s="256" customFormat="1" ht="128.25" customHeight="1">
      <c r="A6" s="369">
        <v>5</v>
      </c>
      <c r="B6" s="442" t="str">
        <f>Dashboard!$J$1</f>
        <v>OnlineBidding</v>
      </c>
      <c r="C6" s="443">
        <f ca="1">Dashboard!$F$1</f>
        <v>46149</v>
      </c>
      <c r="D6" s="468">
        <f ca="1">Dashboard!$H$1</f>
        <v>46163</v>
      </c>
      <c r="E6" s="62" t="s">
        <v>101</v>
      </c>
      <c r="F6" s="62" t="s">
        <v>292</v>
      </c>
      <c r="G6" s="247" t="s">
        <v>1349</v>
      </c>
      <c r="H6" s="465" t="s">
        <v>1350</v>
      </c>
      <c r="I6" s="439" t="s">
        <v>289</v>
      </c>
      <c r="J6" s="181">
        <v>3</v>
      </c>
      <c r="K6" s="327">
        <v>3</v>
      </c>
      <c r="L6" s="327">
        <v>39</v>
      </c>
      <c r="M6" s="229" t="s">
        <v>290</v>
      </c>
      <c r="N6" s="329" t="s">
        <v>457</v>
      </c>
      <c r="O6" s="370" t="s">
        <v>1351</v>
      </c>
      <c r="P6" s="250" t="s">
        <v>298</v>
      </c>
      <c r="Q6" s="401" t="s">
        <v>291</v>
      </c>
      <c r="R6" s="474" t="s">
        <v>1352</v>
      </c>
      <c r="S6" s="372">
        <v>45726</v>
      </c>
      <c r="T6" s="373">
        <v>45726</v>
      </c>
      <c r="U6" s="327" t="s">
        <v>426</v>
      </c>
      <c r="V6" s="370" t="s">
        <v>291</v>
      </c>
      <c r="W6" s="327" t="s">
        <v>295</v>
      </c>
      <c r="X6" s="373">
        <v>45726</v>
      </c>
      <c r="Y6" s="370" t="s">
        <v>291</v>
      </c>
      <c r="Z6" s="327" t="s">
        <v>291</v>
      </c>
      <c r="AA6" s="327" t="s">
        <v>291</v>
      </c>
      <c r="AB6" s="390"/>
    </row>
  </sheetData>
  <hyperlinks>
    <hyperlink ref="R6" r:id="rId1" xr:uid="{31948AC0-A334-491A-B0F7-58D446DAF9AF}"/>
    <hyperlink ref="R4" r:id="rId2" xr:uid="{42E91997-7323-4492-A89D-55BF3B8932A1}"/>
  </hyperlinks>
  <pageMargins left="0.7" right="0.7" top="0.75" bottom="0.75" header="0.3" footer="0.3"/>
  <tableParts count="1">
    <tablePart r:id="rId3"/>
  </tableParts>
  <extLst>
    <ext xmlns:x14="http://schemas.microsoft.com/office/spreadsheetml/2009/9/main" uri="{CCE6A557-97BC-4b89-ADB6-D9C93CAAB3DF}">
      <x14:dataValidations xmlns:xm="http://schemas.microsoft.com/office/excel/2006/main" count="1">
        <x14:dataValidation type="list" allowBlank="1" showErrorMessage="1" xr:uid="{B1FA1EF1-ADCD-4CC1-ABF1-9FEE8DFCB8CA}">
          <x14:formula1>
            <xm:f>Settings!$C$3:$C$20</xm:f>
          </x14:formula1>
          <xm:sqref>I2:I6</xm:sqref>
        </x14:dataValidation>
      </x14:dataValidations>
    </ext>
  </extLs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583A8-4F15-4351-AA3F-CFADFBE75C25}">
  <sheetPr>
    <outlinePr summaryBelow="0" summaryRight="0"/>
  </sheetPr>
  <dimension ref="A1:AB992"/>
  <sheetViews>
    <sheetView topLeftCell="B1" workbookViewId="0">
      <selection activeCell="M2" sqref="M2"/>
    </sheetView>
  </sheetViews>
  <sheetFormatPr defaultColWidth="12.5703125" defaultRowHeight="15" customHeight="1"/>
  <cols>
    <col min="1" max="1" width="12.5703125" hidden="1" customWidth="1"/>
    <col min="2" max="2" width="21.42578125" customWidth="1"/>
    <col min="3" max="3" width="23.5703125" customWidth="1"/>
    <col min="4" max="4" width="14.42578125" customWidth="1"/>
    <col min="5" max="5" width="19.140625" customWidth="1"/>
    <col min="6" max="6" width="37.5703125" customWidth="1"/>
    <col min="7" max="7" width="41.140625" customWidth="1"/>
    <col min="8" max="9" width="18.7109375" customWidth="1"/>
    <col min="10" max="10" width="9.140625" bestFit="1" customWidth="1"/>
    <col min="11" max="11" width="19" customWidth="1"/>
    <col min="12" max="12" width="18" customWidth="1"/>
    <col min="13" max="13" width="29.85546875" customWidth="1"/>
  </cols>
  <sheetData>
    <row r="1" spans="1:28" ht="13.5">
      <c r="A1" s="434" t="s">
        <v>254</v>
      </c>
      <c r="B1" s="1" t="s">
        <v>321</v>
      </c>
      <c r="C1" s="198" t="s">
        <v>322</v>
      </c>
      <c r="D1" s="198" t="s">
        <v>323</v>
      </c>
      <c r="E1" s="1" t="s">
        <v>256</v>
      </c>
      <c r="F1" s="198" t="s">
        <v>324</v>
      </c>
      <c r="G1" s="198" t="s">
        <v>325</v>
      </c>
      <c r="H1" s="1" t="s">
        <v>326</v>
      </c>
      <c r="I1" s="1" t="s">
        <v>327</v>
      </c>
      <c r="J1" s="1" t="s">
        <v>328</v>
      </c>
      <c r="K1" s="1" t="s">
        <v>259</v>
      </c>
      <c r="L1" s="156" t="s">
        <v>329</v>
      </c>
      <c r="M1" s="8" t="s">
        <v>280</v>
      </c>
      <c r="N1" s="35"/>
      <c r="O1" s="35"/>
      <c r="P1" s="35"/>
      <c r="Q1" s="35"/>
      <c r="R1" s="35"/>
      <c r="S1" s="35"/>
      <c r="T1" s="35"/>
      <c r="U1" s="35"/>
      <c r="V1" s="35"/>
      <c r="W1" s="35"/>
      <c r="X1" s="35"/>
      <c r="Y1" s="35"/>
      <c r="Z1" s="35"/>
      <c r="AA1" s="35"/>
      <c r="AB1" s="35"/>
    </row>
    <row r="2" spans="1:28" ht="164.25" customHeight="1">
      <c r="B2" s="41" t="s">
        <v>101</v>
      </c>
      <c r="C2" s="455" t="s">
        <v>1307</v>
      </c>
      <c r="D2" s="479" t="s">
        <v>1353</v>
      </c>
      <c r="E2" s="203" t="s">
        <v>298</v>
      </c>
      <c r="F2" s="185" t="s">
        <v>380</v>
      </c>
      <c r="G2" s="90" t="s">
        <v>1308</v>
      </c>
      <c r="H2" s="41" t="s">
        <v>381</v>
      </c>
      <c r="I2" s="41" t="s">
        <v>382</v>
      </c>
      <c r="J2" s="41" t="s">
        <v>421</v>
      </c>
      <c r="K2" s="41" t="s">
        <v>500</v>
      </c>
      <c r="L2" s="329" t="s">
        <v>540</v>
      </c>
      <c r="M2" s="90" t="s">
        <v>1354</v>
      </c>
    </row>
    <row r="3" spans="1:28" ht="144.75" customHeight="1">
      <c r="B3" s="41" t="s">
        <v>101</v>
      </c>
      <c r="C3" s="455" t="s">
        <v>1349</v>
      </c>
      <c r="D3" s="455" t="s">
        <v>1355</v>
      </c>
      <c r="E3" s="41" t="s">
        <v>292</v>
      </c>
      <c r="F3" s="185" t="s">
        <v>380</v>
      </c>
      <c r="G3" s="90" t="s">
        <v>1350</v>
      </c>
      <c r="H3" s="41" t="s">
        <v>381</v>
      </c>
      <c r="I3" s="41" t="s">
        <v>382</v>
      </c>
      <c r="J3" s="41" t="s">
        <v>421</v>
      </c>
      <c r="K3" s="41" t="s">
        <v>384</v>
      </c>
      <c r="L3" s="41" t="s">
        <v>390</v>
      </c>
      <c r="M3" s="316" t="s">
        <v>1356</v>
      </c>
    </row>
    <row r="4" spans="1:28" ht="15.75" customHeight="1">
      <c r="B4" s="41"/>
      <c r="C4" s="455"/>
      <c r="D4" s="455"/>
      <c r="E4" s="41"/>
      <c r="F4" s="185"/>
      <c r="G4" s="90"/>
      <c r="H4" s="41"/>
      <c r="I4" s="41"/>
      <c r="J4" s="41"/>
      <c r="K4" s="41"/>
      <c r="L4" s="41"/>
      <c r="M4" s="216"/>
    </row>
    <row r="5" spans="1:28" ht="56.25" customHeight="1">
      <c r="B5" s="41"/>
      <c r="C5" s="455"/>
      <c r="D5" s="455"/>
      <c r="E5" s="41"/>
      <c r="F5" s="185"/>
      <c r="G5" s="90"/>
      <c r="H5" s="41"/>
      <c r="I5" s="41"/>
      <c r="J5" s="41"/>
      <c r="K5" s="41"/>
      <c r="L5" s="41"/>
      <c r="M5" s="216"/>
    </row>
    <row r="6" spans="1:28" ht="15.75" customHeight="1"/>
    <row r="7" spans="1:28" ht="15.75" customHeight="1">
      <c r="F7" s="144"/>
    </row>
    <row r="8" spans="1:28" ht="15.75" customHeight="1"/>
    <row r="9" spans="1:28" ht="15.75" customHeight="1"/>
    <row r="10" spans="1:28" ht="15.75" customHeight="1">
      <c r="K10" s="144"/>
    </row>
    <row r="11" spans="1:28" ht="15.75" customHeight="1"/>
    <row r="12" spans="1:28" ht="15.75" customHeight="1"/>
    <row r="13" spans="1:28" ht="15.75" customHeight="1"/>
    <row r="14" spans="1:28" ht="15.75" customHeight="1">
      <c r="N14" s="144"/>
    </row>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autoFilter ref="A1:M2" xr:uid="{3A2BB050-11AC-4ED7-A296-96B42C7FCFBA}"/>
  <dataValidations count="7">
    <dataValidation type="list" allowBlank="1" showErrorMessage="1" sqref="K2" xr:uid="{6A7260DF-10B2-4209-851B-D79D787253E6}">
      <formula1>"Open,Inprogress,Closed/Rejected"</formula1>
    </dataValidation>
    <dataValidation type="list" allowBlank="1" showErrorMessage="1" sqref="I2:I5" xr:uid="{059DF5CA-B150-441C-8D26-5DEFECA0EB55}">
      <formula1>"Manual, Automation"</formula1>
    </dataValidation>
    <dataValidation type="list" allowBlank="1" showErrorMessage="1" sqref="F2" xr:uid="{9F1241FD-4003-4D6F-8E4F-F22FBDEEB1DA}">
      <formula1>"Bounceback/Sub-Defect,Defect,None"</formula1>
    </dataValidation>
    <dataValidation type="list" allowBlank="1" showErrorMessage="1" sqref="F3:F5" xr:uid="{2489FBC1-949F-41C1-9ACB-E37A560FF165}">
      <formula1>"Bounceback,Defect,None"</formula1>
    </dataValidation>
    <dataValidation type="list" allowBlank="1" showErrorMessage="1" sqref="H2:H5" xr:uid="{B3BA9C87-458C-4DF8-8264-1A0194087444}">
      <formula1>"Minor,Significant,Major"</formula1>
    </dataValidation>
    <dataValidation type="list" allowBlank="1" showErrorMessage="1" sqref="K3:K5" xr:uid="{CE6F35E9-4446-4DFC-9274-50E1E179D5E2}">
      <formula1>"Open,Inprogress,Closed"</formula1>
    </dataValidation>
    <dataValidation type="list" allowBlank="1" showErrorMessage="1" sqref="J2:J5" xr:uid="{4F8ECCEA-7C38-42D4-A55F-651963A9CFE9}">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40563C5D-E664-4470-A98E-24ECB504645E}">
          <x14:formula1>
            <xm:f>Details!$A$2:$A$10</xm:f>
          </x14:formula1>
          <xm:sqref>L2:L5</xm:sqref>
        </x14:dataValidation>
      </x14:dataValidations>
    </ext>
  </extLs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50595-60E7-403B-A611-173E6418A81E}">
  <dimension ref="A1:AB9"/>
  <sheetViews>
    <sheetView workbookViewId="0">
      <pane xSplit="7" ySplit="1" topLeftCell="H2" activePane="bottomRight" state="frozen"/>
      <selection pane="bottomRight" activeCell="J2" sqref="J2"/>
      <selection pane="bottomLeft"/>
      <selection pane="topRight"/>
    </sheetView>
  </sheetViews>
  <sheetFormatPr defaultRowHeight="12.75"/>
  <cols>
    <col min="2" max="2" width="13.28515625" customWidth="1"/>
    <col min="3" max="3" width="10.85546875" customWidth="1"/>
    <col min="4" max="4" width="12.140625" customWidth="1"/>
    <col min="5" max="5" width="40.7109375" customWidth="1"/>
    <col min="6" max="6" width="21.140625" customWidth="1"/>
    <col min="7" max="7" width="18.85546875" customWidth="1"/>
    <col min="8" max="8" width="41.7109375" style="137" customWidth="1"/>
    <col min="9" max="9" width="16.85546875" customWidth="1"/>
    <col min="10" max="11" width="11.42578125" bestFit="1" customWidth="1"/>
    <col min="12" max="12" width="11.42578125" customWidth="1"/>
    <col min="13" max="13" width="13.140625" customWidth="1"/>
    <col min="14" max="14" width="13.42578125" style="144" customWidth="1"/>
    <col min="15" max="15" width="15.42578125" customWidth="1"/>
    <col min="16" max="16" width="16.42578125" customWidth="1"/>
    <col min="17" max="17" width="14.85546875" customWidth="1"/>
    <col min="18" max="18" width="11.42578125" style="144" bestFit="1" customWidth="1"/>
    <col min="19" max="20" width="12.7109375" bestFit="1" customWidth="1"/>
    <col min="21" max="21" width="11.42578125" bestFit="1" customWidth="1"/>
    <col min="22" max="22" width="11.42578125" style="144" bestFit="1" customWidth="1"/>
    <col min="23" max="23" width="11.42578125" bestFit="1" customWidth="1"/>
    <col min="24" max="24" width="12.7109375" bestFit="1" customWidth="1"/>
    <col min="25" max="27" width="11.42578125" bestFit="1" customWidth="1"/>
    <col min="28" max="28" width="27.42578125" customWidth="1"/>
  </cols>
  <sheetData>
    <row r="1" spans="1:28" ht="46.5">
      <c r="A1" s="379" t="s">
        <v>254</v>
      </c>
      <c r="B1" s="404" t="s">
        <v>4</v>
      </c>
      <c r="C1" s="404" t="s">
        <v>2</v>
      </c>
      <c r="D1" s="404" t="s">
        <v>3</v>
      </c>
      <c r="E1" s="380" t="s">
        <v>255</v>
      </c>
      <c r="F1" s="381" t="s">
        <v>256</v>
      </c>
      <c r="G1" s="382" t="s">
        <v>257</v>
      </c>
      <c r="H1" s="383" t="s">
        <v>258</v>
      </c>
      <c r="I1" s="383" t="s">
        <v>259</v>
      </c>
      <c r="J1" s="384" t="s">
        <v>260</v>
      </c>
      <c r="K1" s="384" t="s">
        <v>261</v>
      </c>
      <c r="L1" s="384" t="s">
        <v>262</v>
      </c>
      <c r="M1" s="385" t="s">
        <v>265</v>
      </c>
      <c r="N1" s="385" t="s">
        <v>266</v>
      </c>
      <c r="O1" s="385" t="s">
        <v>267</v>
      </c>
      <c r="P1" s="385" t="s">
        <v>268</v>
      </c>
      <c r="Q1" s="385" t="s">
        <v>269</v>
      </c>
      <c r="R1" s="385" t="s">
        <v>270</v>
      </c>
      <c r="S1" s="385" t="s">
        <v>271</v>
      </c>
      <c r="T1" s="385" t="s">
        <v>272</v>
      </c>
      <c r="U1" s="385" t="s">
        <v>273</v>
      </c>
      <c r="V1" s="385" t="s">
        <v>274</v>
      </c>
      <c r="W1" s="385" t="s">
        <v>275</v>
      </c>
      <c r="X1" s="385" t="s">
        <v>276</v>
      </c>
      <c r="Y1" s="385" t="s">
        <v>277</v>
      </c>
      <c r="Z1" s="385" t="s">
        <v>278</v>
      </c>
      <c r="AA1" s="385" t="s">
        <v>279</v>
      </c>
      <c r="AB1" s="386" t="s">
        <v>280</v>
      </c>
    </row>
    <row r="2" spans="1:28" s="256" customFormat="1" ht="128.25" customHeight="1">
      <c r="A2" s="369">
        <v>1</v>
      </c>
      <c r="B2" s="444" t="str">
        <f>Dashboard!$J$1</f>
        <v>OnlineBidding</v>
      </c>
      <c r="C2" s="445">
        <f ca="1">Dashboard!$F$1</f>
        <v>46149</v>
      </c>
      <c r="D2" s="445">
        <f ca="1">Dashboard!$H$1</f>
        <v>46163</v>
      </c>
      <c r="E2" s="257" t="s">
        <v>97</v>
      </c>
      <c r="F2" s="257" t="s">
        <v>298</v>
      </c>
      <c r="G2" s="229" t="s">
        <v>1357</v>
      </c>
      <c r="H2" s="305" t="s">
        <v>1358</v>
      </c>
      <c r="I2" s="439" t="s">
        <v>289</v>
      </c>
      <c r="J2" s="327">
        <v>2</v>
      </c>
      <c r="K2" s="327">
        <v>5</v>
      </c>
      <c r="L2" s="327">
        <v>19.75</v>
      </c>
      <c r="M2" s="229" t="s">
        <v>290</v>
      </c>
      <c r="N2" s="329" t="s">
        <v>457</v>
      </c>
      <c r="O2" s="370" t="s">
        <v>291</v>
      </c>
      <c r="P2" s="229" t="s">
        <v>292</v>
      </c>
      <c r="Q2" s="370" t="s">
        <v>291</v>
      </c>
      <c r="R2" s="271" t="s">
        <v>1359</v>
      </c>
      <c r="S2" s="373">
        <v>45705</v>
      </c>
      <c r="T2" s="373">
        <v>45708</v>
      </c>
      <c r="U2" s="370" t="s">
        <v>294</v>
      </c>
      <c r="V2" s="370" t="s">
        <v>291</v>
      </c>
      <c r="W2" s="327" t="s">
        <v>295</v>
      </c>
      <c r="X2" s="373">
        <v>45708</v>
      </c>
      <c r="Y2" s="370" t="s">
        <v>291</v>
      </c>
      <c r="Z2" s="327" t="s">
        <v>291</v>
      </c>
      <c r="AA2" s="327" t="s">
        <v>291</v>
      </c>
      <c r="AB2" s="390"/>
    </row>
    <row r="3" spans="1:28" ht="104.25">
      <c r="A3" s="369">
        <v>2</v>
      </c>
      <c r="B3" s="442" t="str">
        <f>Dashboard!$J$1</f>
        <v>OnlineBidding</v>
      </c>
      <c r="C3" s="443">
        <f ca="1">Dashboard!$F$1</f>
        <v>46149</v>
      </c>
      <c r="D3" s="443">
        <f ca="1">Dashboard!$H$1</f>
        <v>46163</v>
      </c>
      <c r="E3" s="257" t="s">
        <v>97</v>
      </c>
      <c r="F3" s="257" t="s">
        <v>292</v>
      </c>
      <c r="G3" s="229" t="s">
        <v>1360</v>
      </c>
      <c r="H3" s="305" t="s">
        <v>1361</v>
      </c>
      <c r="I3" s="439" t="s">
        <v>289</v>
      </c>
      <c r="J3" s="327">
        <v>3</v>
      </c>
      <c r="K3" s="327">
        <v>8</v>
      </c>
      <c r="L3" s="327">
        <v>32</v>
      </c>
      <c r="M3" s="229" t="s">
        <v>290</v>
      </c>
      <c r="N3" s="329" t="s">
        <v>457</v>
      </c>
      <c r="O3" s="327" t="s">
        <v>291</v>
      </c>
      <c r="P3" s="229" t="s">
        <v>298</v>
      </c>
      <c r="Q3" s="370" t="s">
        <v>291</v>
      </c>
      <c r="R3" s="271" t="s">
        <v>1362</v>
      </c>
      <c r="S3" s="373">
        <v>45707</v>
      </c>
      <c r="T3" s="373">
        <v>45708</v>
      </c>
      <c r="U3" s="327" t="s">
        <v>294</v>
      </c>
      <c r="V3" s="370" t="s">
        <v>291</v>
      </c>
      <c r="W3" s="327" t="s">
        <v>295</v>
      </c>
      <c r="X3" s="373">
        <v>45708</v>
      </c>
      <c r="Y3" s="370" t="s">
        <v>291</v>
      </c>
      <c r="Z3" s="327" t="s">
        <v>291</v>
      </c>
      <c r="AA3" s="327" t="s">
        <v>291</v>
      </c>
      <c r="AB3" s="390"/>
    </row>
    <row r="4" spans="1:28" ht="23.25">
      <c r="A4" s="369">
        <v>3</v>
      </c>
      <c r="B4" s="442" t="str">
        <f>Dashboard!$J$1</f>
        <v>OnlineBidding</v>
      </c>
      <c r="C4" s="443">
        <f ca="1">Dashboard!$F$1</f>
        <v>46149</v>
      </c>
      <c r="D4" s="443">
        <f ca="1">Dashboard!$H$1</f>
        <v>46163</v>
      </c>
      <c r="E4" s="257" t="s">
        <v>97</v>
      </c>
      <c r="F4" s="257" t="s">
        <v>294</v>
      </c>
      <c r="G4" s="229" t="s">
        <v>1363</v>
      </c>
      <c r="H4" s="305" t="s">
        <v>1364</v>
      </c>
      <c r="I4" s="439" t="s">
        <v>301</v>
      </c>
      <c r="J4" s="327">
        <v>3</v>
      </c>
      <c r="K4" s="327">
        <v>5.5</v>
      </c>
      <c r="L4" s="327">
        <v>22</v>
      </c>
      <c r="M4" s="229"/>
      <c r="N4" s="329"/>
      <c r="O4" s="327"/>
      <c r="P4" s="229"/>
      <c r="Q4" s="370"/>
      <c r="R4" s="271"/>
      <c r="S4" s="373"/>
      <c r="T4" s="373"/>
      <c r="U4" s="327"/>
      <c r="V4" s="370"/>
      <c r="W4" s="327"/>
      <c r="X4" s="373"/>
      <c r="Y4" s="370"/>
      <c r="Z4" s="327"/>
      <c r="AA4" s="327"/>
      <c r="AB4" s="390" t="s">
        <v>1365</v>
      </c>
    </row>
    <row r="5" spans="1:28" ht="46.5">
      <c r="A5" s="369">
        <v>4</v>
      </c>
      <c r="B5" s="442" t="str">
        <f>Dashboard!$J$1</f>
        <v>OnlineBidding</v>
      </c>
      <c r="C5" s="443">
        <f ca="1">Dashboard!$F$1</f>
        <v>46149</v>
      </c>
      <c r="D5" s="443">
        <f ca="1">Dashboard!$H$1</f>
        <v>46163</v>
      </c>
      <c r="E5" s="257" t="s">
        <v>1366</v>
      </c>
      <c r="F5" s="257" t="s">
        <v>1367</v>
      </c>
      <c r="G5" s="329" t="s">
        <v>1368</v>
      </c>
      <c r="H5" s="305" t="s">
        <v>1308</v>
      </c>
      <c r="I5" s="439" t="s">
        <v>301</v>
      </c>
      <c r="J5" s="327">
        <v>3</v>
      </c>
      <c r="K5" s="327">
        <v>19.5</v>
      </c>
      <c r="L5" s="327">
        <v>78</v>
      </c>
      <c r="M5" s="229"/>
      <c r="N5" s="329"/>
      <c r="O5" s="327"/>
      <c r="P5" s="229"/>
      <c r="Q5" s="370"/>
      <c r="R5" s="271"/>
      <c r="S5" s="373"/>
      <c r="T5" s="373"/>
      <c r="U5" s="327"/>
      <c r="V5" s="370"/>
      <c r="W5" s="327"/>
      <c r="X5" s="373"/>
      <c r="Y5" s="370"/>
      <c r="Z5" s="327"/>
      <c r="AA5" s="327"/>
      <c r="AB5" s="390" t="s">
        <v>1369</v>
      </c>
    </row>
    <row r="6" spans="1:28" ht="104.25">
      <c r="A6" s="369">
        <v>5</v>
      </c>
      <c r="B6" s="442" t="str">
        <f>Dashboard!$J$1</f>
        <v>OnlineBidding</v>
      </c>
      <c r="C6" s="443">
        <f ca="1">Dashboard!$F$1</f>
        <v>46149</v>
      </c>
      <c r="D6" s="443">
        <f ca="1">Dashboard!$H$1</f>
        <v>46163</v>
      </c>
      <c r="E6" s="257" t="s">
        <v>1366</v>
      </c>
      <c r="F6" s="257" t="s">
        <v>292</v>
      </c>
      <c r="G6" s="229" t="s">
        <v>1370</v>
      </c>
      <c r="H6" s="305" t="s">
        <v>1371</v>
      </c>
      <c r="I6" s="439" t="s">
        <v>289</v>
      </c>
      <c r="J6" s="327">
        <v>1</v>
      </c>
      <c r="K6" s="327">
        <v>1</v>
      </c>
      <c r="L6" s="327">
        <v>5.5</v>
      </c>
      <c r="M6" s="229" t="s">
        <v>290</v>
      </c>
      <c r="N6" s="329" t="s">
        <v>298</v>
      </c>
      <c r="O6" s="327" t="s">
        <v>291</v>
      </c>
      <c r="P6" s="229" t="s">
        <v>298</v>
      </c>
      <c r="Q6" s="370" t="s">
        <v>291</v>
      </c>
      <c r="R6" s="271" t="s">
        <v>1372</v>
      </c>
      <c r="S6" s="373">
        <v>45708</v>
      </c>
      <c r="T6" s="373">
        <v>45708</v>
      </c>
      <c r="U6" s="327" t="s">
        <v>294</v>
      </c>
      <c r="V6" s="370" t="s">
        <v>291</v>
      </c>
      <c r="W6" s="327" t="s">
        <v>295</v>
      </c>
      <c r="X6" s="373">
        <v>45708</v>
      </c>
      <c r="Y6" s="370" t="s">
        <v>358</v>
      </c>
      <c r="Z6" s="327" t="s">
        <v>291</v>
      </c>
      <c r="AA6" s="327" t="s">
        <v>291</v>
      </c>
      <c r="AB6" s="390"/>
    </row>
    <row r="7" spans="1:28" ht="23.25">
      <c r="A7" s="369">
        <v>6</v>
      </c>
      <c r="B7" s="442" t="str">
        <f>Dashboard!$J$1</f>
        <v>OnlineBidding</v>
      </c>
      <c r="C7" s="443">
        <f ca="1">Dashboard!$F$1</f>
        <v>46149</v>
      </c>
      <c r="D7" s="443">
        <f ca="1">Dashboard!$H$1</f>
        <v>46163</v>
      </c>
      <c r="E7" s="257" t="s">
        <v>1366</v>
      </c>
      <c r="F7" s="305" t="s">
        <v>1373</v>
      </c>
      <c r="G7" s="229" t="s">
        <v>1374</v>
      </c>
      <c r="H7" s="305" t="s">
        <v>1375</v>
      </c>
      <c r="I7" s="439" t="s">
        <v>289</v>
      </c>
      <c r="J7" s="327">
        <v>1</v>
      </c>
      <c r="K7" s="327">
        <v>1</v>
      </c>
      <c r="L7" s="327">
        <v>12</v>
      </c>
      <c r="M7" s="229"/>
      <c r="N7" s="329"/>
      <c r="O7" s="327"/>
      <c r="P7" s="229"/>
      <c r="Q7" s="370"/>
      <c r="R7" s="271"/>
      <c r="S7" s="373"/>
      <c r="T7" s="373"/>
      <c r="U7" s="327"/>
      <c r="V7" s="370"/>
      <c r="W7" s="327"/>
      <c r="X7" s="373"/>
      <c r="Y7" s="370"/>
      <c r="Z7" s="327"/>
      <c r="AA7" s="327"/>
      <c r="AB7" s="390"/>
    </row>
    <row r="8" spans="1:28" ht="23.25">
      <c r="A8" s="369">
        <v>7</v>
      </c>
      <c r="B8" s="442" t="str">
        <f>Dashboard!$J$1</f>
        <v>OnlineBidding</v>
      </c>
      <c r="C8" s="443">
        <f ca="1">Dashboard!$F$1</f>
        <v>46149</v>
      </c>
      <c r="D8" s="443">
        <f ca="1">Dashboard!$H$1</f>
        <v>46163</v>
      </c>
      <c r="E8" s="256" t="s">
        <v>97</v>
      </c>
      <c r="F8" s="465" t="s">
        <v>1373</v>
      </c>
      <c r="G8" s="229" t="s">
        <v>1376</v>
      </c>
      <c r="H8" s="465" t="s">
        <v>1377</v>
      </c>
      <c r="I8" s="439" t="s">
        <v>289</v>
      </c>
      <c r="J8" s="181">
        <v>1</v>
      </c>
      <c r="K8" s="327">
        <v>1</v>
      </c>
      <c r="L8" s="327">
        <v>8.25</v>
      </c>
      <c r="M8" s="229"/>
      <c r="N8" s="329"/>
      <c r="O8" s="327"/>
      <c r="P8" s="229"/>
      <c r="Q8" s="466"/>
      <c r="R8" s="432"/>
      <c r="S8" s="373"/>
      <c r="T8" s="373"/>
      <c r="U8" s="327"/>
      <c r="V8" s="370"/>
      <c r="W8" s="327"/>
      <c r="X8" s="373"/>
      <c r="Y8" s="370"/>
      <c r="Z8" s="327"/>
      <c r="AA8" s="327"/>
      <c r="AB8" s="390"/>
    </row>
    <row r="9" spans="1:28">
      <c r="A9" s="369">
        <v>8</v>
      </c>
      <c r="B9" s="442" t="str">
        <f>Dashboard!$J$1</f>
        <v>OnlineBidding</v>
      </c>
      <c r="C9" s="443">
        <f ca="1">Dashboard!$F$1</f>
        <v>46149</v>
      </c>
      <c r="D9" s="443">
        <f ca="1">Dashboard!$H$1</f>
        <v>46163</v>
      </c>
      <c r="E9" s="256" t="s">
        <v>1366</v>
      </c>
      <c r="F9" s="465" t="s">
        <v>294</v>
      </c>
      <c r="G9" s="229" t="s">
        <v>1378</v>
      </c>
      <c r="H9" s="465" t="s">
        <v>1326</v>
      </c>
      <c r="I9" s="439" t="s">
        <v>289</v>
      </c>
      <c r="J9" s="181">
        <v>1</v>
      </c>
      <c r="K9" s="327">
        <v>1</v>
      </c>
      <c r="L9" s="327">
        <v>6</v>
      </c>
      <c r="M9" s="229"/>
      <c r="N9" s="329"/>
      <c r="O9" s="327"/>
      <c r="P9" s="229"/>
      <c r="Q9" s="466"/>
      <c r="R9" s="432"/>
      <c r="S9" s="373"/>
      <c r="T9" s="373"/>
      <c r="U9" s="327"/>
      <c r="V9" s="370"/>
      <c r="W9" s="327"/>
      <c r="X9" s="373"/>
      <c r="Y9" s="370"/>
      <c r="Z9" s="327"/>
      <c r="AA9" s="327"/>
      <c r="AB9" s="390"/>
    </row>
  </sheetData>
  <hyperlinks>
    <hyperlink ref="R2" r:id="rId1" xr:uid="{58FA7531-B2B8-4194-A19C-12C7AABFD032}"/>
    <hyperlink ref="R3" r:id="rId2" xr:uid="{87D51682-DCA5-4A0F-8DCF-D0C28377AD7C}"/>
    <hyperlink ref="R6" r:id="rId3" xr:uid="{7A0B3F87-2E23-41E0-8538-9332E01ABAA9}"/>
  </hyperlinks>
  <pageMargins left="0.7" right="0.7" top="0.75" bottom="0.75" header="0.3" footer="0.3"/>
  <tableParts count="1">
    <tablePart r:id="rId4"/>
  </tableParts>
  <extLst>
    <ext xmlns:x14="http://schemas.microsoft.com/office/spreadsheetml/2009/9/main" uri="{CCE6A557-97BC-4b89-ADB6-D9C93CAAB3DF}">
      <x14:dataValidations xmlns:xm="http://schemas.microsoft.com/office/excel/2006/main" count="1">
        <x14:dataValidation type="list" allowBlank="1" showErrorMessage="1" xr:uid="{FB2FA160-5F03-4442-BB61-D22A3C882D03}">
          <x14:formula1>
            <xm:f>Settings!$C$3:$C$20</xm:f>
          </x14:formula1>
          <xm:sqref>I2:I9</xm:sqref>
        </x14:dataValidation>
      </x14:dataValidations>
    </ext>
  </extLs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1C342-1C61-4D22-9BE1-FFB813ACEAF5}">
  <sheetPr>
    <outlinePr summaryBelow="0" summaryRight="0"/>
  </sheetPr>
  <dimension ref="A1:AB992"/>
  <sheetViews>
    <sheetView topLeftCell="B1" workbookViewId="0">
      <selection activeCell="M5" sqref="M5"/>
    </sheetView>
  </sheetViews>
  <sheetFormatPr defaultColWidth="12.5703125" defaultRowHeight="15" customHeight="1"/>
  <cols>
    <col min="1" max="1" width="12.5703125" hidden="1" customWidth="1"/>
    <col min="2" max="2" width="21.42578125" customWidth="1"/>
    <col min="3" max="3" width="23.5703125" customWidth="1"/>
    <col min="4" max="4" width="14.42578125" customWidth="1"/>
    <col min="5" max="5" width="19.140625" customWidth="1"/>
    <col min="6" max="6" width="37.5703125" customWidth="1"/>
    <col min="7" max="7" width="41.140625" customWidth="1"/>
    <col min="8" max="9" width="18.7109375" customWidth="1"/>
    <col min="10" max="10" width="9.140625" bestFit="1" customWidth="1"/>
    <col min="11" max="11" width="19" customWidth="1"/>
    <col min="12" max="12" width="18" customWidth="1"/>
    <col min="13" max="13" width="14.140625" customWidth="1"/>
  </cols>
  <sheetData>
    <row r="1" spans="1:28" ht="13.5">
      <c r="A1" s="434" t="s">
        <v>254</v>
      </c>
      <c r="B1" s="1" t="s">
        <v>321</v>
      </c>
      <c r="C1" s="198" t="s">
        <v>322</v>
      </c>
      <c r="D1" s="198" t="s">
        <v>323</v>
      </c>
      <c r="E1" s="1" t="s">
        <v>256</v>
      </c>
      <c r="F1" s="198" t="s">
        <v>324</v>
      </c>
      <c r="G1" s="198" t="s">
        <v>325</v>
      </c>
      <c r="H1" s="1" t="s">
        <v>326</v>
      </c>
      <c r="I1" s="1" t="s">
        <v>327</v>
      </c>
      <c r="J1" s="1" t="s">
        <v>328</v>
      </c>
      <c r="K1" s="1" t="s">
        <v>259</v>
      </c>
      <c r="L1" s="156" t="s">
        <v>329</v>
      </c>
      <c r="M1" s="8" t="s">
        <v>280</v>
      </c>
      <c r="N1" s="35"/>
      <c r="O1" s="35"/>
      <c r="P1" s="35"/>
      <c r="Q1" s="35"/>
      <c r="R1" s="35"/>
      <c r="S1" s="35"/>
      <c r="T1" s="35"/>
      <c r="U1" s="35"/>
      <c r="V1" s="35"/>
      <c r="W1" s="35"/>
      <c r="X1" s="35"/>
      <c r="Y1" s="35"/>
      <c r="Z1" s="35"/>
      <c r="AA1" s="35"/>
      <c r="AB1" s="35"/>
    </row>
    <row r="2" spans="1:28" ht="95.25" customHeight="1">
      <c r="B2" s="41" t="s">
        <v>97</v>
      </c>
      <c r="C2" s="455" t="s">
        <v>1360</v>
      </c>
      <c r="D2" s="456" t="s">
        <v>1353</v>
      </c>
      <c r="E2" s="203" t="s">
        <v>292</v>
      </c>
      <c r="F2" s="453" t="s">
        <v>380</v>
      </c>
      <c r="G2" s="90" t="s">
        <v>1361</v>
      </c>
      <c r="H2" s="41" t="s">
        <v>381</v>
      </c>
      <c r="I2" s="454" t="s">
        <v>382</v>
      </c>
      <c r="J2" s="41" t="s">
        <v>421</v>
      </c>
      <c r="K2" s="454" t="s">
        <v>1300</v>
      </c>
      <c r="L2" s="329" t="s">
        <v>1379</v>
      </c>
      <c r="M2" s="216" t="s">
        <v>1380</v>
      </c>
    </row>
    <row r="3" spans="1:28" ht="147" customHeight="1">
      <c r="B3" s="41" t="s">
        <v>97</v>
      </c>
      <c r="C3" s="455" t="s">
        <v>1363</v>
      </c>
      <c r="D3" s="455" t="s">
        <v>1353</v>
      </c>
      <c r="E3" s="41" t="s">
        <v>294</v>
      </c>
      <c r="F3" s="185" t="s">
        <v>380</v>
      </c>
      <c r="G3" s="90" t="s">
        <v>1364</v>
      </c>
      <c r="H3" s="41" t="s">
        <v>381</v>
      </c>
      <c r="I3" s="41" t="s">
        <v>382</v>
      </c>
      <c r="J3" s="41" t="s">
        <v>421</v>
      </c>
      <c r="K3" s="41" t="s">
        <v>500</v>
      </c>
      <c r="L3" s="41"/>
      <c r="M3" s="216" t="s">
        <v>1381</v>
      </c>
    </row>
    <row r="4" spans="1:28" ht="89.25" customHeight="1">
      <c r="B4" s="41" t="s">
        <v>97</v>
      </c>
      <c r="C4" s="455" t="s">
        <v>1382</v>
      </c>
      <c r="D4" s="455" t="s">
        <v>1353</v>
      </c>
      <c r="E4" s="41" t="s">
        <v>298</v>
      </c>
      <c r="F4" s="185" t="s">
        <v>380</v>
      </c>
      <c r="G4" s="90" t="s">
        <v>1308</v>
      </c>
      <c r="H4" s="41" t="s">
        <v>381</v>
      </c>
      <c r="I4" s="41" t="s">
        <v>382</v>
      </c>
      <c r="J4" s="41" t="s">
        <v>421</v>
      </c>
      <c r="K4" s="41" t="s">
        <v>500</v>
      </c>
      <c r="L4" s="41"/>
      <c r="M4" s="216" t="s">
        <v>1383</v>
      </c>
    </row>
    <row r="5" spans="1:28" ht="56.25" customHeight="1">
      <c r="B5" s="41" t="s">
        <v>97</v>
      </c>
      <c r="C5" s="455" t="s">
        <v>1370</v>
      </c>
      <c r="D5" s="455"/>
      <c r="E5" s="41" t="s">
        <v>292</v>
      </c>
      <c r="F5" s="185" t="s">
        <v>380</v>
      </c>
      <c r="G5" s="90" t="s">
        <v>1371</v>
      </c>
      <c r="H5" s="41" t="s">
        <v>381</v>
      </c>
      <c r="I5" s="41" t="s">
        <v>382</v>
      </c>
      <c r="J5" s="41" t="s">
        <v>383</v>
      </c>
      <c r="K5" s="41" t="s">
        <v>384</v>
      </c>
      <c r="L5" s="41"/>
      <c r="M5" s="216" t="s">
        <v>1384</v>
      </c>
    </row>
    <row r="6" spans="1:28" ht="15.75" customHeight="1"/>
    <row r="7" spans="1:28" ht="15.75" customHeight="1">
      <c r="F7" s="144"/>
    </row>
    <row r="8" spans="1:28" ht="15.75" customHeight="1"/>
    <row r="9" spans="1:28" ht="15.75" customHeight="1"/>
    <row r="10" spans="1:28" ht="15.75" customHeight="1">
      <c r="K10" s="144"/>
    </row>
    <row r="11" spans="1:28" ht="15.75" customHeight="1"/>
    <row r="12" spans="1:28" ht="15.75" customHeight="1"/>
    <row r="13" spans="1:28" ht="15.75" customHeight="1"/>
    <row r="14" spans="1:28" ht="15.75" customHeight="1">
      <c r="N14" s="144"/>
    </row>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autoFilter ref="A1:M2" xr:uid="{3A2BB050-11AC-4ED7-A296-96B42C7FCFBA}"/>
  <dataValidations count="7">
    <dataValidation type="list" allowBlank="1" showErrorMessage="1" sqref="J2:J5" xr:uid="{69F3B589-31B3-49EC-AA25-1350BE1A86D0}">
      <formula1>"Internal,External"</formula1>
    </dataValidation>
    <dataValidation type="list" allowBlank="1" showErrorMessage="1" sqref="K3:K5" xr:uid="{EC5AE06B-2A18-40A3-830E-5AEB8305D91E}">
      <formula1>"Open,Inprogress,Closed"</formula1>
    </dataValidation>
    <dataValidation type="list" allowBlank="1" showErrorMessage="1" sqref="H2:H5" xr:uid="{ED5B90E5-2367-4C4F-BE77-01567EE49295}">
      <formula1>"Minor,Significant,Major"</formula1>
    </dataValidation>
    <dataValidation type="list" allowBlank="1" showErrorMessage="1" sqref="F3:F5" xr:uid="{65CA059E-F3F8-4969-98CC-55128B4DB4AE}">
      <formula1>"Bounceback,Defect,None"</formula1>
    </dataValidation>
    <dataValidation type="list" allowBlank="1" showErrorMessage="1" sqref="F2" xr:uid="{1D48DF48-CCF3-47B0-A2C7-822CD2F63D19}">
      <formula1>"Bounceback/Sub-Defect,Defect,None"</formula1>
    </dataValidation>
    <dataValidation type="list" allowBlank="1" showErrorMessage="1" sqref="I2:I5" xr:uid="{B7D3920A-6684-4960-A9E7-E1D26078C6C2}">
      <formula1>"Manual, Automation"</formula1>
    </dataValidation>
    <dataValidation type="list" allowBlank="1" showErrorMessage="1" sqref="K2" xr:uid="{E958A8BB-D9FE-4F56-9DB4-9A1F90C825D1}">
      <formula1>"Open,Inprogress,Closed/Rejected"</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4FB12BFF-4535-423D-906C-CDAF30F334DB}">
          <x14:formula1>
            <xm:f>Details!$A$2:$A$10</xm:f>
          </x14:formula1>
          <xm:sqref>L2:L5</xm:sqref>
        </x14:dataValidation>
      </x14:dataValidations>
    </ext>
  </extLst>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27570-4654-4ACB-8768-040D017A7212}">
  <dimension ref="A1:AB6"/>
  <sheetViews>
    <sheetView workbookViewId="0">
      <pane xSplit="7" ySplit="1" topLeftCell="H5" activePane="bottomRight" state="frozen"/>
      <selection pane="bottomRight" activeCell="AH14" sqref="AH14"/>
      <selection pane="bottomLeft"/>
      <selection pane="topRight"/>
    </sheetView>
  </sheetViews>
  <sheetFormatPr defaultRowHeight="12.75"/>
  <cols>
    <col min="2" max="2" width="13.28515625" customWidth="1"/>
    <col min="3" max="3" width="10.85546875" customWidth="1"/>
    <col min="4" max="4" width="12.140625" customWidth="1"/>
    <col min="5" max="5" width="40.7109375" customWidth="1"/>
    <col min="6" max="6" width="26.28515625" customWidth="1"/>
    <col min="7" max="7" width="11.42578125" bestFit="1" customWidth="1"/>
    <col min="8" max="8" width="41.7109375" style="137" customWidth="1"/>
    <col min="9" max="9" width="16.85546875" customWidth="1"/>
    <col min="10" max="11" width="11.42578125" bestFit="1" customWidth="1"/>
    <col min="12" max="12" width="11.42578125" customWidth="1"/>
    <col min="13" max="13" width="13.140625" customWidth="1"/>
    <col min="14" max="14" width="13.42578125" style="144" customWidth="1"/>
    <col min="15" max="15" width="15.42578125" customWidth="1"/>
    <col min="16" max="16" width="16.42578125" customWidth="1"/>
    <col min="17" max="17" width="14.85546875" customWidth="1"/>
    <col min="18" max="18" width="11.42578125" style="144" bestFit="1" customWidth="1"/>
    <col min="19" max="20" width="12.7109375" bestFit="1" customWidth="1"/>
    <col min="21" max="21" width="11.42578125" bestFit="1" customWidth="1"/>
    <col min="22" max="22" width="11.42578125" style="144" bestFit="1" customWidth="1"/>
    <col min="23" max="23" width="11.42578125" bestFit="1" customWidth="1"/>
    <col min="24" max="24" width="12.7109375" bestFit="1" customWidth="1"/>
    <col min="25" max="27" width="11.42578125" bestFit="1" customWidth="1"/>
    <col min="28" max="28" width="27.42578125" customWidth="1"/>
  </cols>
  <sheetData>
    <row r="1" spans="1:28" ht="46.5">
      <c r="A1" s="379" t="s">
        <v>254</v>
      </c>
      <c r="B1" s="404" t="s">
        <v>4</v>
      </c>
      <c r="C1" s="404" t="s">
        <v>2</v>
      </c>
      <c r="D1" s="404" t="s">
        <v>3</v>
      </c>
      <c r="E1" s="380" t="s">
        <v>255</v>
      </c>
      <c r="F1" s="381" t="s">
        <v>256</v>
      </c>
      <c r="G1" s="382" t="s">
        <v>257</v>
      </c>
      <c r="H1" s="383" t="s">
        <v>258</v>
      </c>
      <c r="I1" s="383" t="s">
        <v>259</v>
      </c>
      <c r="J1" s="384" t="s">
        <v>260</v>
      </c>
      <c r="K1" s="384" t="s">
        <v>261</v>
      </c>
      <c r="L1" s="384" t="s">
        <v>262</v>
      </c>
      <c r="M1" s="385" t="s">
        <v>265</v>
      </c>
      <c r="N1" s="385" t="s">
        <v>266</v>
      </c>
      <c r="O1" s="385" t="s">
        <v>267</v>
      </c>
      <c r="P1" s="385" t="s">
        <v>268</v>
      </c>
      <c r="Q1" s="385" t="s">
        <v>269</v>
      </c>
      <c r="R1" s="385" t="s">
        <v>270</v>
      </c>
      <c r="S1" s="385" t="s">
        <v>271</v>
      </c>
      <c r="T1" s="385" t="s">
        <v>272</v>
      </c>
      <c r="U1" s="385" t="s">
        <v>273</v>
      </c>
      <c r="V1" s="385" t="s">
        <v>274</v>
      </c>
      <c r="W1" s="385" t="s">
        <v>275</v>
      </c>
      <c r="X1" s="385" t="s">
        <v>276</v>
      </c>
      <c r="Y1" s="385" t="s">
        <v>277</v>
      </c>
      <c r="Z1" s="385" t="s">
        <v>278</v>
      </c>
      <c r="AA1" s="385" t="s">
        <v>279</v>
      </c>
      <c r="AB1" s="386" t="s">
        <v>280</v>
      </c>
    </row>
    <row r="2" spans="1:28" s="256" customFormat="1" ht="153.75" customHeight="1">
      <c r="A2" s="369">
        <v>1</v>
      </c>
      <c r="B2" s="444" t="str">
        <f>Dashboard!$J$1</f>
        <v>OnlineBidding</v>
      </c>
      <c r="C2" s="445">
        <f ca="1">Dashboard!$F$1</f>
        <v>46149</v>
      </c>
      <c r="D2" s="445">
        <f ca="1">Dashboard!$H$1</f>
        <v>46163</v>
      </c>
      <c r="E2" s="257" t="s">
        <v>94</v>
      </c>
      <c r="F2" s="257" t="s">
        <v>286</v>
      </c>
      <c r="G2" s="229" t="s">
        <v>1385</v>
      </c>
      <c r="H2" s="305" t="s">
        <v>1386</v>
      </c>
      <c r="I2" s="439" t="s">
        <v>289</v>
      </c>
      <c r="J2" s="327">
        <v>5</v>
      </c>
      <c r="K2" s="327">
        <v>11.25</v>
      </c>
      <c r="L2" s="327">
        <v>45</v>
      </c>
      <c r="M2" s="229" t="s">
        <v>290</v>
      </c>
      <c r="N2" s="329" t="s">
        <v>457</v>
      </c>
      <c r="O2" s="452" t="s">
        <v>1387</v>
      </c>
      <c r="P2" s="229" t="s">
        <v>437</v>
      </c>
      <c r="Q2" s="370" t="s">
        <v>1388</v>
      </c>
      <c r="R2" s="271" t="s">
        <v>1389</v>
      </c>
      <c r="S2" s="373">
        <v>45695</v>
      </c>
      <c r="T2" s="373">
        <v>45698</v>
      </c>
      <c r="U2" s="370" t="s">
        <v>294</v>
      </c>
      <c r="V2" s="370" t="s">
        <v>1390</v>
      </c>
      <c r="W2" s="327" t="s">
        <v>295</v>
      </c>
      <c r="X2" s="373">
        <v>45698</v>
      </c>
      <c r="Y2" s="370" t="s">
        <v>291</v>
      </c>
      <c r="Z2" s="327" t="s">
        <v>291</v>
      </c>
      <c r="AA2" s="327" t="s">
        <v>291</v>
      </c>
      <c r="AB2" s="390" t="s">
        <v>1391</v>
      </c>
    </row>
    <row r="3" spans="1:28" s="58" customFormat="1" ht="135" customHeight="1">
      <c r="A3" s="228">
        <v>2</v>
      </c>
      <c r="B3" s="228" t="str">
        <f>Dashboard!$J$1</f>
        <v>OnlineBidding</v>
      </c>
      <c r="C3" s="360">
        <f ca="1">Dashboard!$F$1</f>
        <v>46149</v>
      </c>
      <c r="D3" s="360">
        <f ca="1">Dashboard!$H$1</f>
        <v>46163</v>
      </c>
      <c r="E3" s="203" t="s">
        <v>94</v>
      </c>
      <c r="F3" s="203" t="s">
        <v>437</v>
      </c>
      <c r="G3" s="203" t="s">
        <v>1392</v>
      </c>
      <c r="H3" s="203" t="s">
        <v>1393</v>
      </c>
      <c r="I3" s="228" t="s">
        <v>289</v>
      </c>
      <c r="J3" s="228">
        <v>3</v>
      </c>
      <c r="K3" s="228">
        <v>11.25</v>
      </c>
      <c r="L3" s="228">
        <v>45</v>
      </c>
      <c r="M3" s="203" t="s">
        <v>290</v>
      </c>
      <c r="N3" s="316" t="s">
        <v>457</v>
      </c>
      <c r="O3" s="316" t="s">
        <v>1394</v>
      </c>
      <c r="P3" s="203" t="s">
        <v>286</v>
      </c>
      <c r="Q3" s="316" t="s">
        <v>1395</v>
      </c>
      <c r="R3" s="200" t="s">
        <v>1396</v>
      </c>
      <c r="S3" s="360">
        <v>45699</v>
      </c>
      <c r="T3" s="360">
        <v>45700</v>
      </c>
      <c r="U3" s="228" t="s">
        <v>294</v>
      </c>
      <c r="V3" s="352" t="s">
        <v>1397</v>
      </c>
      <c r="W3" s="228" t="s">
        <v>295</v>
      </c>
      <c r="X3" s="360">
        <v>45700</v>
      </c>
      <c r="Y3" s="352" t="s">
        <v>291</v>
      </c>
      <c r="Z3" s="228" t="s">
        <v>291</v>
      </c>
      <c r="AA3" s="228" t="s">
        <v>291</v>
      </c>
      <c r="AB3" s="216" t="s">
        <v>1398</v>
      </c>
    </row>
    <row r="4" spans="1:28" ht="35.25">
      <c r="A4" s="369">
        <v>3</v>
      </c>
      <c r="B4" s="369" t="str">
        <f>Dashboard!$J$1</f>
        <v>OnlineBidding</v>
      </c>
      <c r="C4" s="372">
        <f ca="1">Dashboard!$F$1</f>
        <v>46149</v>
      </c>
      <c r="D4" s="372">
        <f ca="1">Dashboard!$H$1</f>
        <v>46163</v>
      </c>
      <c r="E4" s="229" t="s">
        <v>94</v>
      </c>
      <c r="F4" s="229" t="s">
        <v>392</v>
      </c>
      <c r="G4" s="229" t="s">
        <v>1399</v>
      </c>
      <c r="H4" s="229" t="s">
        <v>1364</v>
      </c>
      <c r="I4" s="327" t="s">
        <v>301</v>
      </c>
      <c r="J4" s="327">
        <v>3</v>
      </c>
      <c r="K4" s="327"/>
      <c r="L4" s="327"/>
      <c r="M4" s="229"/>
      <c r="N4" s="329"/>
      <c r="O4" s="327"/>
      <c r="P4" s="229"/>
      <c r="Q4" s="329"/>
      <c r="R4" s="271"/>
      <c r="S4" s="373"/>
      <c r="T4" s="373"/>
      <c r="U4" s="327"/>
      <c r="V4" s="370"/>
      <c r="W4" s="327"/>
      <c r="X4" s="373"/>
      <c r="Y4" s="370"/>
      <c r="Z4" s="327"/>
      <c r="AA4" s="327" t="s">
        <v>291</v>
      </c>
      <c r="AB4" s="388" t="s">
        <v>1400</v>
      </c>
    </row>
    <row r="5" spans="1:28" ht="92.25">
      <c r="A5" s="369">
        <v>4</v>
      </c>
      <c r="B5" s="369" t="str">
        <f>Dashboard!$J$1</f>
        <v>OnlineBidding</v>
      </c>
      <c r="C5" s="372">
        <f ca="1">Dashboard!$F$1</f>
        <v>46149</v>
      </c>
      <c r="D5" s="372">
        <f ca="1">Dashboard!$H$1</f>
        <v>46163</v>
      </c>
      <c r="E5" s="229" t="s">
        <v>94</v>
      </c>
      <c r="F5" s="229" t="s">
        <v>392</v>
      </c>
      <c r="G5" s="229" t="s">
        <v>1401</v>
      </c>
      <c r="H5" s="229" t="s">
        <v>1402</v>
      </c>
      <c r="I5" s="327" t="s">
        <v>289</v>
      </c>
      <c r="J5" s="327">
        <v>3</v>
      </c>
      <c r="K5" s="327">
        <v>3</v>
      </c>
      <c r="L5" s="327"/>
      <c r="M5" s="229"/>
      <c r="N5" s="329"/>
      <c r="O5" s="327"/>
      <c r="P5" s="229"/>
      <c r="Q5" s="329"/>
      <c r="R5" s="271"/>
      <c r="S5" s="373"/>
      <c r="T5" s="373"/>
      <c r="U5" s="327"/>
      <c r="V5" s="370"/>
      <c r="W5" s="327"/>
      <c r="X5" s="373"/>
      <c r="Y5" s="370"/>
      <c r="Z5" s="327"/>
      <c r="AA5" s="327" t="s">
        <v>291</v>
      </c>
      <c r="AB5" s="388" t="s">
        <v>1403</v>
      </c>
    </row>
    <row r="6" spans="1:28" ht="35.25">
      <c r="A6" s="369">
        <v>5</v>
      </c>
      <c r="B6" s="369" t="str">
        <f>Dashboard!$J$1</f>
        <v>OnlineBidding</v>
      </c>
      <c r="C6" s="372">
        <f ca="1">Dashboard!$F$1</f>
        <v>46149</v>
      </c>
      <c r="D6" s="372">
        <f ca="1">Dashboard!$H$1</f>
        <v>46163</v>
      </c>
      <c r="E6" s="229" t="s">
        <v>1404</v>
      </c>
      <c r="F6" s="229" t="s">
        <v>1405</v>
      </c>
      <c r="G6" s="203" t="s">
        <v>1406</v>
      </c>
      <c r="H6" s="229" t="s">
        <v>1407</v>
      </c>
      <c r="I6" s="327" t="s">
        <v>289</v>
      </c>
      <c r="J6" s="327">
        <v>1</v>
      </c>
      <c r="K6" s="327">
        <v>1</v>
      </c>
      <c r="L6" s="327"/>
      <c r="M6" s="229"/>
      <c r="N6" s="329"/>
      <c r="O6" s="327"/>
      <c r="P6" s="229"/>
      <c r="R6" s="358"/>
      <c r="S6" s="360"/>
      <c r="T6" s="373"/>
      <c r="U6" s="228"/>
      <c r="V6" s="370"/>
      <c r="W6" s="327"/>
      <c r="X6" s="373"/>
      <c r="Y6" s="370"/>
      <c r="Z6" s="327"/>
      <c r="AA6" s="327"/>
      <c r="AB6" s="388" t="s">
        <v>1408</v>
      </c>
    </row>
  </sheetData>
  <hyperlinks>
    <hyperlink ref="R2" r:id="rId1" xr:uid="{278A6077-0EA3-4E4F-822D-A7E780BF728C}"/>
    <hyperlink ref="R3" r:id="rId2" xr:uid="{5FFF508B-70AF-49AA-B86C-AC3DBDB3F353}"/>
  </hyperlinks>
  <pageMargins left="0.7" right="0.7" top="0.75" bottom="0.75" header="0.3" footer="0.3"/>
  <tableParts count="1">
    <tablePart r:id="rId3"/>
  </tableParts>
  <extLst>
    <ext xmlns:x14="http://schemas.microsoft.com/office/spreadsheetml/2009/9/main" uri="{CCE6A557-97BC-4b89-ADB6-D9C93CAAB3DF}">
      <x14:dataValidations xmlns:xm="http://schemas.microsoft.com/office/excel/2006/main" count="1">
        <x14:dataValidation type="list" allowBlank="1" showErrorMessage="1" xr:uid="{36DDC2E7-DC5A-4427-839C-D55D71967B3F}">
          <x14:formula1>
            <xm:f>Settings!$C$3:$C$20</xm:f>
          </x14:formula1>
          <xm:sqref>I2:I6</xm:sqref>
        </x14:dataValidation>
      </x14:dataValidations>
    </ext>
  </extLs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85DEC-0AB2-439B-8883-6EAA5328E465}">
  <sheetPr>
    <outlinePr summaryBelow="0" summaryRight="0"/>
  </sheetPr>
  <dimension ref="A1:AB992"/>
  <sheetViews>
    <sheetView topLeftCell="G1" workbookViewId="0">
      <selection activeCell="M3" sqref="M3"/>
    </sheetView>
  </sheetViews>
  <sheetFormatPr defaultColWidth="12.5703125" defaultRowHeight="15" customHeight="1"/>
  <cols>
    <col min="1" max="1" width="12.5703125" hidden="1" customWidth="1"/>
    <col min="2" max="2" width="21.42578125" customWidth="1"/>
    <col min="3" max="4" width="14.42578125" customWidth="1"/>
    <col min="5" max="5" width="19.140625" customWidth="1"/>
    <col min="6" max="6" width="37.5703125" customWidth="1"/>
    <col min="7" max="7" width="41.140625" customWidth="1"/>
    <col min="8" max="9" width="18.7109375" customWidth="1"/>
    <col min="10" max="10" width="9.140625" bestFit="1" customWidth="1"/>
    <col min="11" max="11" width="19" customWidth="1"/>
    <col min="12" max="12" width="18" customWidth="1"/>
    <col min="13" max="13" width="14.140625" customWidth="1"/>
  </cols>
  <sheetData>
    <row r="1" spans="1:28" ht="13.5">
      <c r="A1" s="434" t="s">
        <v>254</v>
      </c>
      <c r="B1" s="1" t="s">
        <v>321</v>
      </c>
      <c r="C1" s="198" t="s">
        <v>322</v>
      </c>
      <c r="D1" s="198" t="s">
        <v>323</v>
      </c>
      <c r="E1" s="1" t="s">
        <v>256</v>
      </c>
      <c r="F1" s="198" t="s">
        <v>324</v>
      </c>
      <c r="G1" s="198" t="s">
        <v>325</v>
      </c>
      <c r="H1" s="1" t="s">
        <v>326</v>
      </c>
      <c r="I1" s="1" t="s">
        <v>327</v>
      </c>
      <c r="J1" s="1" t="s">
        <v>328</v>
      </c>
      <c r="K1" s="1" t="s">
        <v>259</v>
      </c>
      <c r="L1" s="156" t="s">
        <v>329</v>
      </c>
      <c r="M1" s="8" t="s">
        <v>280</v>
      </c>
      <c r="N1" s="35"/>
      <c r="O1" s="35"/>
      <c r="P1" s="35"/>
      <c r="Q1" s="35"/>
      <c r="R1" s="35"/>
      <c r="S1" s="35"/>
      <c r="T1" s="35"/>
      <c r="U1" s="35"/>
      <c r="V1" s="35"/>
      <c r="W1" s="35"/>
      <c r="X1" s="35"/>
      <c r="Y1" s="35"/>
      <c r="Z1" s="35"/>
      <c r="AA1" s="35"/>
      <c r="AB1" s="35"/>
    </row>
    <row r="2" spans="1:28" ht="95.25" customHeight="1">
      <c r="B2" s="41" t="s">
        <v>94</v>
      </c>
      <c r="C2" s="455" t="s">
        <v>1363</v>
      </c>
      <c r="D2" s="456" t="s">
        <v>1353</v>
      </c>
      <c r="E2" s="203" t="s">
        <v>294</v>
      </c>
      <c r="F2" s="453" t="s">
        <v>380</v>
      </c>
      <c r="G2" s="90" t="s">
        <v>1364</v>
      </c>
      <c r="H2" s="41" t="s">
        <v>381</v>
      </c>
      <c r="I2" s="454" t="s">
        <v>382</v>
      </c>
      <c r="J2" s="41" t="s">
        <v>421</v>
      </c>
      <c r="K2" s="454" t="s">
        <v>500</v>
      </c>
      <c r="L2" s="329"/>
      <c r="M2" s="216" t="s">
        <v>1409</v>
      </c>
    </row>
    <row r="3" spans="1:28" ht="147" customHeight="1">
      <c r="B3" s="41" t="s">
        <v>94</v>
      </c>
      <c r="C3" s="455" t="s">
        <v>1401</v>
      </c>
      <c r="D3" s="455" t="s">
        <v>1353</v>
      </c>
      <c r="E3" s="41" t="s">
        <v>294</v>
      </c>
      <c r="F3" s="185" t="s">
        <v>380</v>
      </c>
      <c r="G3" s="90" t="s">
        <v>1402</v>
      </c>
      <c r="H3" s="41" t="s">
        <v>381</v>
      </c>
      <c r="I3" s="41" t="s">
        <v>382</v>
      </c>
      <c r="J3" s="41" t="s">
        <v>421</v>
      </c>
      <c r="K3" s="41" t="s">
        <v>384</v>
      </c>
      <c r="L3" s="41"/>
      <c r="M3" s="216" t="s">
        <v>1410</v>
      </c>
    </row>
    <row r="4" spans="1:28" ht="15.75" customHeight="1"/>
    <row r="5" spans="1:28" ht="15.75" customHeight="1"/>
    <row r="6" spans="1:28" ht="15.75" customHeight="1"/>
    <row r="7" spans="1:28" ht="15.75" customHeight="1">
      <c r="F7" s="144"/>
    </row>
    <row r="8" spans="1:28" ht="15.75" customHeight="1"/>
    <row r="9" spans="1:28" ht="15.75" customHeight="1"/>
    <row r="10" spans="1:28" ht="15.75" customHeight="1">
      <c r="K10" s="144"/>
    </row>
    <row r="11" spans="1:28" ht="15.75" customHeight="1"/>
    <row r="12" spans="1:28" ht="15.75" customHeight="1"/>
    <row r="13" spans="1:28" ht="15.75" customHeight="1"/>
    <row r="14" spans="1:28" ht="15.75" customHeight="1">
      <c r="N14" s="144"/>
    </row>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autoFilter ref="A1:M2" xr:uid="{3A2BB050-11AC-4ED7-A296-96B42C7FCFBA}"/>
  <dataValidations count="7">
    <dataValidation type="list" allowBlank="1" showErrorMessage="1" sqref="K2" xr:uid="{168C4AAA-A412-4609-98A8-A53BB2BA353F}">
      <formula1>"Open,Inprogress,Closed/Rejected"</formula1>
    </dataValidation>
    <dataValidation type="list" allowBlank="1" showErrorMessage="1" sqref="I2:I3" xr:uid="{ED0BFE2E-A0ED-416A-B657-4ED92B1660B1}">
      <formula1>"Manual, Automation"</formula1>
    </dataValidation>
    <dataValidation type="list" allowBlank="1" showErrorMessage="1" sqref="F2" xr:uid="{5FC09061-FEAF-4457-8C47-A00228AC4CF9}">
      <formula1>"Bounceback/Sub-Defect,Defect,None"</formula1>
    </dataValidation>
    <dataValidation type="list" allowBlank="1" showErrorMessage="1" sqref="F3" xr:uid="{7527302D-CC57-46FD-9B37-5B4BEC2EF8AC}">
      <formula1>"Bounceback,Defect,None"</formula1>
    </dataValidation>
    <dataValidation type="list" allowBlank="1" showErrorMessage="1" sqref="H2:H3" xr:uid="{9EDA52DE-EB2C-4B79-9997-58257C47548A}">
      <formula1>"Minor,Significant,Major"</formula1>
    </dataValidation>
    <dataValidation type="list" allowBlank="1" showErrorMessage="1" sqref="K3" xr:uid="{D1C16E2F-9306-4B4D-8B72-7FDAC5D04C2A}">
      <formula1>"Open,Inprogress,Closed"</formula1>
    </dataValidation>
    <dataValidation type="list" allowBlank="1" showErrorMessage="1" sqref="J2:J3" xr:uid="{0555839F-106B-4A4F-A2E3-3AF2CE6561DD}">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7BD296D3-E531-4853-9FBC-3F3477D1D43F}">
          <x14:formula1>
            <xm:f>Details!$A$2:$A$10</xm:f>
          </x14:formula1>
          <xm:sqref>L2:L3</xm:sqref>
        </x14:dataValidation>
      </x14:dataValidations>
    </ext>
  </extLst>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3765D-890F-4CAD-BDDC-81DF3FCA0CB6}">
  <dimension ref="A1:AB8"/>
  <sheetViews>
    <sheetView workbookViewId="0">
      <pane xSplit="7" ySplit="1" topLeftCell="L2" activePane="bottomRight" state="frozen"/>
      <selection pane="bottomRight" activeCell="L1" sqref="L1"/>
      <selection pane="bottomLeft"/>
      <selection pane="topRight"/>
    </sheetView>
  </sheetViews>
  <sheetFormatPr defaultRowHeight="12.75"/>
  <cols>
    <col min="2" max="2" width="13.28515625" customWidth="1"/>
    <col min="3" max="3" width="10.85546875" customWidth="1"/>
    <col min="4" max="4" width="12.140625" customWidth="1"/>
    <col min="5" max="5" width="40.7109375" customWidth="1"/>
    <col min="6" max="6" width="26.28515625" customWidth="1"/>
    <col min="7" max="7" width="11.42578125" bestFit="1" customWidth="1"/>
    <col min="8" max="8" width="41.7109375" style="137" customWidth="1"/>
    <col min="9" max="9" width="16.85546875" customWidth="1"/>
    <col min="10" max="11" width="11.42578125" bestFit="1" customWidth="1"/>
    <col min="12" max="12" width="11.42578125" customWidth="1"/>
    <col min="13" max="13" width="13.140625" customWidth="1"/>
    <col min="14" max="14" width="13.42578125" style="144" customWidth="1"/>
    <col min="15" max="15" width="15.42578125" customWidth="1"/>
    <col min="16" max="16" width="16.42578125" customWidth="1"/>
    <col min="17" max="17" width="14.85546875" customWidth="1"/>
    <col min="18" max="18" width="11.42578125" style="144" bestFit="1" customWidth="1"/>
    <col min="19" max="20" width="12.7109375" bestFit="1" customWidth="1"/>
    <col min="21" max="21" width="11.42578125" bestFit="1" customWidth="1"/>
    <col min="22" max="22" width="11.42578125" style="144" bestFit="1" customWidth="1"/>
    <col min="23" max="23" width="11.42578125" bestFit="1" customWidth="1"/>
    <col min="24" max="24" width="12.7109375" bestFit="1" customWidth="1"/>
    <col min="25" max="27" width="11.42578125" bestFit="1" customWidth="1"/>
    <col min="28" max="28" width="27.42578125" customWidth="1"/>
  </cols>
  <sheetData>
    <row r="1" spans="1:28" ht="46.5">
      <c r="A1" s="379" t="s">
        <v>254</v>
      </c>
      <c r="B1" s="404" t="s">
        <v>4</v>
      </c>
      <c r="C1" s="404" t="s">
        <v>2</v>
      </c>
      <c r="D1" s="404" t="s">
        <v>3</v>
      </c>
      <c r="E1" s="380" t="s">
        <v>255</v>
      </c>
      <c r="F1" s="381" t="s">
        <v>256</v>
      </c>
      <c r="G1" s="382" t="s">
        <v>257</v>
      </c>
      <c r="H1" s="383" t="s">
        <v>258</v>
      </c>
      <c r="I1" s="383" t="s">
        <v>259</v>
      </c>
      <c r="J1" s="384" t="s">
        <v>260</v>
      </c>
      <c r="K1" s="384" t="s">
        <v>261</v>
      </c>
      <c r="L1" s="384" t="s">
        <v>1411</v>
      </c>
      <c r="M1" s="385" t="s">
        <v>265</v>
      </c>
      <c r="N1" s="385" t="s">
        <v>266</v>
      </c>
      <c r="O1" s="385" t="s">
        <v>267</v>
      </c>
      <c r="P1" s="385" t="s">
        <v>268</v>
      </c>
      <c r="Q1" s="385" t="s">
        <v>269</v>
      </c>
      <c r="R1" s="385" t="s">
        <v>270</v>
      </c>
      <c r="S1" s="385" t="s">
        <v>271</v>
      </c>
      <c r="T1" s="385" t="s">
        <v>272</v>
      </c>
      <c r="U1" s="385" t="s">
        <v>273</v>
      </c>
      <c r="V1" s="385" t="s">
        <v>274</v>
      </c>
      <c r="W1" s="385" t="s">
        <v>275</v>
      </c>
      <c r="X1" s="385" t="s">
        <v>276</v>
      </c>
      <c r="Y1" s="385" t="s">
        <v>277</v>
      </c>
      <c r="Z1" s="385" t="s">
        <v>278</v>
      </c>
      <c r="AA1" s="385" t="s">
        <v>279</v>
      </c>
      <c r="AB1" s="386" t="s">
        <v>280</v>
      </c>
    </row>
    <row r="2" spans="1:28" s="256" customFormat="1" ht="38.25" customHeight="1">
      <c r="A2" s="369">
        <v>1</v>
      </c>
      <c r="B2" s="444" t="str">
        <f>Dashboard!$J$1</f>
        <v>OnlineBidding</v>
      </c>
      <c r="C2" s="445">
        <f ca="1">Dashboard!$F$1</f>
        <v>46149</v>
      </c>
      <c r="D2" s="445">
        <f ca="1">Dashboard!$H$1</f>
        <v>46163</v>
      </c>
      <c r="E2" s="257" t="s">
        <v>91</v>
      </c>
      <c r="F2" s="257" t="s">
        <v>286</v>
      </c>
      <c r="G2" s="257" t="s">
        <v>1385</v>
      </c>
      <c r="H2" s="305" t="s">
        <v>1386</v>
      </c>
      <c r="I2" s="446" t="s">
        <v>301</v>
      </c>
      <c r="J2" s="327">
        <v>8</v>
      </c>
      <c r="K2" s="327"/>
      <c r="L2" s="327"/>
      <c r="M2" s="257"/>
      <c r="N2" s="329"/>
      <c r="O2" s="327"/>
      <c r="P2" s="257"/>
      <c r="Q2" s="370"/>
      <c r="R2" s="440"/>
      <c r="S2" s="441"/>
      <c r="T2" s="441"/>
      <c r="U2" s="370"/>
      <c r="V2" s="370"/>
      <c r="W2" s="327"/>
      <c r="X2" s="373"/>
      <c r="Y2" s="327"/>
      <c r="Z2" s="327"/>
      <c r="AA2" s="327"/>
      <c r="AB2" s="390" t="s">
        <v>1412</v>
      </c>
    </row>
    <row r="3" spans="1:28" s="257" customFormat="1" ht="38.25" customHeight="1">
      <c r="A3" s="369">
        <v>2</v>
      </c>
      <c r="B3" s="442" t="str">
        <f>Dashboard!$J$1</f>
        <v>OnlineBidding</v>
      </c>
      <c r="C3" s="443">
        <f ca="1">Dashboard!$F$1</f>
        <v>46149</v>
      </c>
      <c r="D3" s="443">
        <f ca="1">Dashboard!$H$1</f>
        <v>46163</v>
      </c>
      <c r="E3" s="257" t="s">
        <v>91</v>
      </c>
      <c r="F3" s="257" t="s">
        <v>292</v>
      </c>
      <c r="G3" s="229" t="s">
        <v>1392</v>
      </c>
      <c r="H3" s="305" t="s">
        <v>1393</v>
      </c>
      <c r="I3" s="439" t="s">
        <v>289</v>
      </c>
      <c r="J3" s="327">
        <v>3</v>
      </c>
      <c r="K3" s="327">
        <v>3</v>
      </c>
      <c r="L3" s="327"/>
      <c r="M3" s="329" t="s">
        <v>1413</v>
      </c>
      <c r="N3" s="329"/>
      <c r="O3" s="327"/>
      <c r="P3" s="229"/>
      <c r="Q3" s="370"/>
      <c r="R3" s="271"/>
      <c r="S3" s="373"/>
      <c r="T3" s="373"/>
      <c r="U3" s="327"/>
      <c r="V3" s="370"/>
      <c r="W3" s="327"/>
      <c r="X3" s="373"/>
      <c r="Y3" s="370"/>
      <c r="Z3" s="327"/>
      <c r="AA3" s="327"/>
      <c r="AB3" s="390" t="s">
        <v>1414</v>
      </c>
    </row>
    <row r="4" spans="1:28" s="257" customFormat="1" ht="38.25" customHeight="1">
      <c r="A4" s="369">
        <v>3</v>
      </c>
      <c r="B4" s="442" t="str">
        <f>Dashboard!$J$1</f>
        <v>OnlineBidding</v>
      </c>
      <c r="C4" s="443">
        <f ca="1">Dashboard!$F$1</f>
        <v>46149</v>
      </c>
      <c r="D4" s="443">
        <f ca="1">Dashboard!$H$1</f>
        <v>46163</v>
      </c>
      <c r="E4" s="257" t="s">
        <v>91</v>
      </c>
      <c r="F4" s="257" t="s">
        <v>294</v>
      </c>
      <c r="G4" s="229" t="s">
        <v>1415</v>
      </c>
      <c r="H4" s="305" t="s">
        <v>1416</v>
      </c>
      <c r="I4" s="439" t="s">
        <v>301</v>
      </c>
      <c r="J4" s="327">
        <v>3</v>
      </c>
      <c r="K4" s="327"/>
      <c r="L4" s="327"/>
      <c r="M4" s="229"/>
      <c r="N4" s="329"/>
      <c r="O4" s="327"/>
      <c r="P4" s="229"/>
      <c r="Q4" s="370"/>
      <c r="R4" s="271"/>
      <c r="S4" s="373"/>
      <c r="T4" s="373"/>
      <c r="U4" s="327"/>
      <c r="V4" s="370"/>
      <c r="W4" s="327"/>
      <c r="X4" s="373"/>
      <c r="Y4" s="370"/>
      <c r="Z4" s="327"/>
      <c r="AA4" s="327"/>
      <c r="AB4" s="390" t="s">
        <v>1417</v>
      </c>
    </row>
    <row r="5" spans="1:28" s="218" customFormat="1" ht="35.25">
      <c r="A5" s="327">
        <v>4</v>
      </c>
      <c r="B5" s="327" t="str">
        <f>Dashboard!$J$1</f>
        <v>OnlineBidding</v>
      </c>
      <c r="C5" s="373">
        <f ca="1">Dashboard!$F$1</f>
        <v>46149</v>
      </c>
      <c r="D5" s="373">
        <f ca="1">Dashboard!$H$1</f>
        <v>46163</v>
      </c>
      <c r="E5" s="218" t="s">
        <v>91</v>
      </c>
      <c r="F5" s="218" t="s">
        <v>1418</v>
      </c>
      <c r="G5" s="229" t="s">
        <v>1419</v>
      </c>
      <c r="H5" s="229" t="s">
        <v>1420</v>
      </c>
      <c r="I5" s="327" t="s">
        <v>289</v>
      </c>
      <c r="J5" s="218">
        <v>0.5</v>
      </c>
      <c r="K5" s="327">
        <v>0.5</v>
      </c>
      <c r="L5" s="327"/>
      <c r="M5" s="229" t="s">
        <v>290</v>
      </c>
      <c r="N5" s="329" t="s">
        <v>457</v>
      </c>
      <c r="O5" s="370"/>
      <c r="P5" s="229" t="s">
        <v>291</v>
      </c>
      <c r="Q5" s="218" t="s">
        <v>291</v>
      </c>
      <c r="R5" s="271" t="s">
        <v>291</v>
      </c>
      <c r="S5" s="373" t="s">
        <v>291</v>
      </c>
      <c r="T5" s="373" t="s">
        <v>291</v>
      </c>
      <c r="U5" s="327" t="s">
        <v>291</v>
      </c>
      <c r="V5" s="370" t="s">
        <v>291</v>
      </c>
      <c r="W5" s="327" t="s">
        <v>291</v>
      </c>
      <c r="X5" s="373"/>
      <c r="Y5" s="370"/>
      <c r="Z5" s="327"/>
      <c r="AA5" s="327"/>
      <c r="AB5" s="333" t="s">
        <v>1421</v>
      </c>
    </row>
    <row r="6" spans="1:28" s="58" customFormat="1" ht="35.25">
      <c r="A6" s="228">
        <v>5</v>
      </c>
      <c r="B6" s="228" t="str">
        <f>Dashboard!$J$1</f>
        <v>OnlineBidding</v>
      </c>
      <c r="C6" s="360">
        <f ca="1">Dashboard!$F$1</f>
        <v>46149</v>
      </c>
      <c r="D6" s="360">
        <f ca="1">Dashboard!$H$1</f>
        <v>46163</v>
      </c>
      <c r="E6" s="58" t="s">
        <v>91</v>
      </c>
      <c r="F6" s="58" t="s">
        <v>1418</v>
      </c>
      <c r="G6" s="203" t="s">
        <v>1422</v>
      </c>
      <c r="H6" s="203" t="s">
        <v>1423</v>
      </c>
      <c r="I6" s="228" t="s">
        <v>289</v>
      </c>
      <c r="J6" s="58">
        <v>0.5</v>
      </c>
      <c r="K6" s="228">
        <v>0.5</v>
      </c>
      <c r="L6" s="228"/>
      <c r="M6" s="203" t="s">
        <v>290</v>
      </c>
      <c r="N6" s="316" t="s">
        <v>457</v>
      </c>
      <c r="O6" s="228"/>
      <c r="P6" s="203" t="s">
        <v>291</v>
      </c>
      <c r="Q6" s="58" t="s">
        <v>291</v>
      </c>
      <c r="R6" s="200" t="s">
        <v>291</v>
      </c>
      <c r="S6" s="360" t="s">
        <v>291</v>
      </c>
      <c r="T6" s="360" t="s">
        <v>291</v>
      </c>
      <c r="U6" s="228" t="s">
        <v>291</v>
      </c>
      <c r="V6" s="352" t="s">
        <v>291</v>
      </c>
      <c r="W6" s="228" t="s">
        <v>291</v>
      </c>
      <c r="X6" s="360"/>
      <c r="Y6" s="352"/>
      <c r="Z6" s="228"/>
      <c r="AA6" s="228"/>
      <c r="AB6" s="216" t="s">
        <v>1421</v>
      </c>
    </row>
    <row r="7" spans="1:28" ht="35.25">
      <c r="A7" s="369">
        <v>6</v>
      </c>
      <c r="B7" s="369" t="str">
        <f>Dashboard!$J$1</f>
        <v>OnlineBidding</v>
      </c>
      <c r="C7" s="372">
        <f ca="1">Dashboard!$F$1</f>
        <v>46149</v>
      </c>
      <c r="D7" s="372">
        <f ca="1">Dashboard!$H$1</f>
        <v>46163</v>
      </c>
      <c r="E7" s="58" t="s">
        <v>91</v>
      </c>
      <c r="F7" s="58" t="s">
        <v>1418</v>
      </c>
      <c r="G7" s="229" t="s">
        <v>1424</v>
      </c>
      <c r="H7" s="321" t="s">
        <v>1425</v>
      </c>
      <c r="I7" s="327" t="s">
        <v>289</v>
      </c>
      <c r="J7">
        <v>1</v>
      </c>
      <c r="K7" s="327">
        <v>1</v>
      </c>
      <c r="L7" s="327"/>
      <c r="M7" s="203" t="s">
        <v>290</v>
      </c>
      <c r="N7" s="316" t="s">
        <v>457</v>
      </c>
      <c r="O7" s="327"/>
      <c r="P7" s="229" t="s">
        <v>291</v>
      </c>
      <c r="Q7" t="s">
        <v>291</v>
      </c>
      <c r="R7" s="432" t="s">
        <v>291</v>
      </c>
      <c r="S7" s="373" t="s">
        <v>291</v>
      </c>
      <c r="T7" s="373" t="s">
        <v>291</v>
      </c>
      <c r="U7" s="327" t="s">
        <v>291</v>
      </c>
      <c r="V7" s="370" t="s">
        <v>291</v>
      </c>
      <c r="W7" s="327" t="s">
        <v>291</v>
      </c>
      <c r="X7" s="373"/>
      <c r="Y7" s="370"/>
      <c r="Z7" s="327"/>
      <c r="AA7" s="327"/>
      <c r="AB7" s="216" t="s">
        <v>1421</v>
      </c>
    </row>
    <row r="8" spans="1:28">
      <c r="A8" s="369">
        <v>7</v>
      </c>
      <c r="B8" s="369" t="str">
        <f>Dashboard!$J$1</f>
        <v>OnlineBidding</v>
      </c>
      <c r="C8" s="372">
        <f ca="1">Dashboard!$F$1</f>
        <v>46149</v>
      </c>
      <c r="D8" s="372">
        <f ca="1">Dashboard!$H$1</f>
        <v>46163</v>
      </c>
      <c r="E8" t="s">
        <v>91</v>
      </c>
      <c r="F8" t="s">
        <v>294</v>
      </c>
      <c r="G8" s="229" t="s">
        <v>1426</v>
      </c>
      <c r="H8" s="137" t="s">
        <v>1427</v>
      </c>
      <c r="I8" s="327" t="s">
        <v>289</v>
      </c>
      <c r="J8">
        <v>5</v>
      </c>
      <c r="K8" s="327">
        <v>5</v>
      </c>
      <c r="L8" s="327"/>
      <c r="M8" s="229"/>
      <c r="N8" s="329"/>
      <c r="O8" s="327"/>
      <c r="P8" s="229"/>
      <c r="R8" s="432"/>
      <c r="S8" s="373"/>
      <c r="T8" s="373"/>
      <c r="U8" s="327"/>
      <c r="V8" s="370"/>
      <c r="W8" s="327"/>
      <c r="X8" s="373"/>
      <c r="Y8" s="370"/>
      <c r="Z8" s="327"/>
      <c r="AA8" s="327"/>
      <c r="AB8" s="249"/>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ErrorMessage="1" xr:uid="{F31346A4-C3C1-410E-855E-8B6BAF80EE35}">
          <x14:formula1>
            <xm:f>Settings!$C$3:$C$20</xm:f>
          </x14:formula1>
          <xm:sqref>I2:I8</xm:sqref>
        </x14:dataValidation>
      </x14:dataValidations>
    </ext>
  </extLst>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E647C-6B13-4153-8B63-51B50A30FAEB}">
  <sheetPr>
    <outlinePr summaryBelow="0" summaryRight="0"/>
  </sheetPr>
  <dimension ref="A1:AB992"/>
  <sheetViews>
    <sheetView topLeftCell="B1" workbookViewId="0">
      <selection activeCell="L2" sqref="L2"/>
    </sheetView>
  </sheetViews>
  <sheetFormatPr defaultColWidth="12.5703125" defaultRowHeight="15" customHeight="1"/>
  <cols>
    <col min="1" max="1" width="12.5703125" hidden="1" customWidth="1"/>
    <col min="2" max="2" width="21.42578125" customWidth="1"/>
    <col min="3" max="4" width="14.42578125" customWidth="1"/>
    <col min="5" max="5" width="19.140625" customWidth="1"/>
    <col min="6" max="6" width="37.5703125" customWidth="1"/>
    <col min="7" max="7" width="41.140625" customWidth="1"/>
    <col min="8" max="9" width="18.7109375" customWidth="1"/>
    <col min="10" max="10" width="9.140625" bestFit="1" customWidth="1"/>
    <col min="11" max="11" width="19" customWidth="1"/>
    <col min="12" max="12" width="18" customWidth="1"/>
    <col min="13" max="13" width="14.140625" customWidth="1"/>
  </cols>
  <sheetData>
    <row r="1" spans="1:28" ht="13.5">
      <c r="A1" s="434" t="s">
        <v>254</v>
      </c>
      <c r="B1" s="1" t="s">
        <v>11</v>
      </c>
      <c r="C1" s="198" t="s">
        <v>322</v>
      </c>
      <c r="D1" s="198" t="s">
        <v>323</v>
      </c>
      <c r="E1" s="1" t="s">
        <v>256</v>
      </c>
      <c r="F1" s="198" t="s">
        <v>324</v>
      </c>
      <c r="G1" s="198" t="s">
        <v>325</v>
      </c>
      <c r="H1" s="1" t="s">
        <v>326</v>
      </c>
      <c r="I1" s="1" t="s">
        <v>327</v>
      </c>
      <c r="J1" s="1" t="s">
        <v>328</v>
      </c>
      <c r="K1" s="1" t="s">
        <v>259</v>
      </c>
      <c r="L1" s="435" t="s">
        <v>329</v>
      </c>
      <c r="M1" s="8" t="s">
        <v>280</v>
      </c>
      <c r="N1" s="35"/>
      <c r="O1" s="35"/>
      <c r="P1" s="35"/>
      <c r="Q1" s="35"/>
      <c r="R1" s="35"/>
      <c r="S1" s="35"/>
      <c r="T1" s="35"/>
      <c r="U1" s="35"/>
      <c r="V1" s="35"/>
      <c r="W1" s="35"/>
      <c r="X1" s="35"/>
      <c r="Y1" s="35"/>
      <c r="Z1" s="35"/>
      <c r="AA1" s="35"/>
      <c r="AB1" s="35"/>
    </row>
    <row r="2" spans="1:28" ht="70.5" customHeight="1">
      <c r="B2" s="19" t="s">
        <v>91</v>
      </c>
      <c r="C2" s="436" t="s">
        <v>1428</v>
      </c>
      <c r="D2" s="437" t="s">
        <v>1426</v>
      </c>
      <c r="E2" s="58" t="s">
        <v>1429</v>
      </c>
      <c r="F2" s="438" t="s">
        <v>380</v>
      </c>
      <c r="G2" s="186" t="s">
        <v>1430</v>
      </c>
      <c r="H2" s="19" t="s">
        <v>381</v>
      </c>
      <c r="I2" s="438" t="s">
        <v>382</v>
      </c>
      <c r="J2" s="19" t="s">
        <v>383</v>
      </c>
      <c r="K2" s="438" t="s">
        <v>768</v>
      </c>
      <c r="L2" s="19"/>
      <c r="M2" s="216" t="s">
        <v>1431</v>
      </c>
    </row>
    <row r="3" spans="1:28" ht="33.75" customHeight="1">
      <c r="B3" s="19"/>
      <c r="C3" s="436"/>
      <c r="D3" s="436"/>
      <c r="E3" s="19"/>
      <c r="F3" s="19"/>
      <c r="G3" s="186"/>
      <c r="H3" s="19"/>
      <c r="I3" s="19"/>
      <c r="J3" s="19"/>
      <c r="K3" s="19"/>
      <c r="L3" s="19"/>
      <c r="M3" s="58"/>
    </row>
    <row r="4" spans="1:28" ht="15.75" customHeight="1"/>
    <row r="5" spans="1:28" ht="15.75" customHeight="1"/>
    <row r="6" spans="1:28" ht="15.75" customHeight="1"/>
    <row r="7" spans="1:28" ht="15.75" customHeight="1">
      <c r="F7" s="144"/>
    </row>
    <row r="8" spans="1:28" ht="15.75" customHeight="1"/>
    <row r="9" spans="1:28" ht="15.75" customHeight="1"/>
    <row r="10" spans="1:28" ht="15.75" customHeight="1">
      <c r="K10" s="144"/>
    </row>
    <row r="11" spans="1:28" ht="15.75" customHeight="1"/>
    <row r="12" spans="1:28" ht="15.75" customHeight="1"/>
    <row r="13" spans="1:28" ht="15.75" customHeight="1"/>
    <row r="14" spans="1:28" ht="15.75" customHeight="1">
      <c r="N14" s="144"/>
    </row>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autoFilter ref="A1:M2" xr:uid="{3A2BB050-11AC-4ED7-A296-96B42C7FCFBA}"/>
  <dataValidations count="8">
    <dataValidation type="list" allowBlank="1" showErrorMessage="1" sqref="J2:J3" xr:uid="{4E28E08D-2F75-470C-BCFA-06FD322EC0A8}">
      <formula1>"Internal,External"</formula1>
    </dataValidation>
    <dataValidation type="list" allowBlank="1" showErrorMessage="1" sqref="K3" xr:uid="{FADDBF2C-5B59-4603-BDFB-19E624624D3A}">
      <formula1>"Open,Inprogress,Closed"</formula1>
    </dataValidation>
    <dataValidation type="list" allowBlank="1" showErrorMessage="1" sqref="H2:H3" xr:uid="{CC8A92D8-5EB1-4EFF-ADB5-EBD9BE552986}">
      <formula1>"Minor,Significant,Major"</formula1>
    </dataValidation>
    <dataValidation type="list" allowBlank="1" showErrorMessage="1" sqref="F3" xr:uid="{A892F065-C632-499E-8F79-A6042920F41D}">
      <formula1>"Bounceback,Defect,None"</formula1>
    </dataValidation>
    <dataValidation type="list" allowBlank="1" showErrorMessage="1" sqref="F2" xr:uid="{BF8CC4C3-14B9-439F-97F5-99514DBBE4AF}">
      <formula1>"Bounceback/Sub-Defect,Defect,None"</formula1>
    </dataValidation>
    <dataValidation type="list" allowBlank="1" showErrorMessage="1" sqref="I2:I3" xr:uid="{03C11B8A-B19C-426D-80FE-7CB2EE7DE2CE}">
      <formula1>"Manual, Automation"</formula1>
    </dataValidation>
    <dataValidation type="list" allowBlank="1" showErrorMessage="1" sqref="K2" xr:uid="{EA738377-CF75-4120-A9E8-AC490CBDF2C7}">
      <formula1>"Open,Inprogress,Closed/Rejected"</formula1>
    </dataValidation>
    <dataValidation type="list" allowBlank="1" showErrorMessage="1" sqref="L2:L3" xr:uid="{C2619226-EA73-46AE-9D2E-0BF512BD8303}">
      <formula1>$A$2:$A$10</formula1>
    </dataValidation>
  </dataValidations>
  <pageMargins left="0" right="0" top="0" bottom="0" header="0" footer="0"/>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6358E-AE22-47E5-A490-FEC9BB149DB2}">
  <dimension ref="A1:AB9"/>
  <sheetViews>
    <sheetView workbookViewId="0">
      <pane xSplit="7" ySplit="1" topLeftCell="H3" activePane="bottomRight" state="frozen"/>
      <selection pane="bottomRight" activeCell="L1" sqref="L1:L1048576"/>
      <selection pane="bottomLeft"/>
      <selection pane="topRight"/>
    </sheetView>
  </sheetViews>
  <sheetFormatPr defaultRowHeight="12.75"/>
  <cols>
    <col min="2" max="2" width="13.28515625" customWidth="1"/>
    <col min="3" max="3" width="10.85546875" customWidth="1"/>
    <col min="4" max="4" width="12.140625" customWidth="1"/>
    <col min="5" max="5" width="27.5703125" customWidth="1"/>
    <col min="6" max="6" width="20.85546875" customWidth="1"/>
    <col min="7" max="7" width="11.42578125" bestFit="1" customWidth="1"/>
    <col min="8" max="8" width="41.7109375" style="137" customWidth="1"/>
    <col min="9" max="9" width="14.28515625" customWidth="1"/>
    <col min="10" max="11" width="11.42578125" bestFit="1" customWidth="1"/>
    <col min="12" max="12" width="11.42578125" customWidth="1"/>
    <col min="13" max="13" width="13.140625" customWidth="1"/>
    <col min="14" max="14" width="13.42578125" style="144" customWidth="1"/>
    <col min="15" max="15" width="15.42578125" customWidth="1"/>
    <col min="16" max="16" width="16.42578125" customWidth="1"/>
    <col min="17" max="17" width="14.85546875" customWidth="1"/>
    <col min="18" max="18" width="11.42578125" style="144" bestFit="1" customWidth="1"/>
    <col min="19" max="20" width="12.7109375" bestFit="1" customWidth="1"/>
    <col min="21" max="21" width="11.42578125" bestFit="1" customWidth="1"/>
    <col min="22" max="22" width="11.42578125" style="144" bestFit="1" customWidth="1"/>
    <col min="23" max="23" width="11.42578125" bestFit="1" customWidth="1"/>
    <col min="24" max="24" width="12.7109375" bestFit="1" customWidth="1"/>
    <col min="25" max="27" width="11.42578125" bestFit="1" customWidth="1"/>
    <col min="28" max="28" width="27.42578125" customWidth="1"/>
  </cols>
  <sheetData>
    <row r="1" spans="1:28" ht="46.5">
      <c r="A1" s="379" t="s">
        <v>254</v>
      </c>
      <c r="B1" s="404" t="s">
        <v>4</v>
      </c>
      <c r="C1" s="404" t="s">
        <v>2</v>
      </c>
      <c r="D1" s="404" t="s">
        <v>3</v>
      </c>
      <c r="E1" s="380" t="s">
        <v>255</v>
      </c>
      <c r="F1" s="381" t="s">
        <v>256</v>
      </c>
      <c r="G1" s="382" t="s">
        <v>257</v>
      </c>
      <c r="H1" s="383" t="s">
        <v>258</v>
      </c>
      <c r="I1" s="383" t="s">
        <v>259</v>
      </c>
      <c r="J1" s="384" t="s">
        <v>260</v>
      </c>
      <c r="K1" s="384" t="s">
        <v>261</v>
      </c>
      <c r="L1" s="384" t="s">
        <v>1411</v>
      </c>
      <c r="M1" s="385" t="s">
        <v>265</v>
      </c>
      <c r="N1" s="385" t="s">
        <v>266</v>
      </c>
      <c r="O1" s="385" t="s">
        <v>267</v>
      </c>
      <c r="P1" s="385" t="s">
        <v>268</v>
      </c>
      <c r="Q1" s="385" t="s">
        <v>269</v>
      </c>
      <c r="R1" s="385" t="s">
        <v>270</v>
      </c>
      <c r="S1" s="385" t="s">
        <v>271</v>
      </c>
      <c r="T1" s="385" t="s">
        <v>272</v>
      </c>
      <c r="U1" s="385" t="s">
        <v>273</v>
      </c>
      <c r="V1" s="385" t="s">
        <v>274</v>
      </c>
      <c r="W1" s="385" t="s">
        <v>275</v>
      </c>
      <c r="X1" s="385" t="s">
        <v>276</v>
      </c>
      <c r="Y1" s="385" t="s">
        <v>277</v>
      </c>
      <c r="Z1" s="385" t="s">
        <v>278</v>
      </c>
      <c r="AA1" s="385" t="s">
        <v>279</v>
      </c>
      <c r="AB1" s="386" t="s">
        <v>280</v>
      </c>
    </row>
    <row r="2" spans="1:28" s="256" customFormat="1" ht="38.25" customHeight="1">
      <c r="A2" s="357">
        <v>1</v>
      </c>
      <c r="B2" s="405" t="str">
        <f>Dashboard!$J$1</f>
        <v>OnlineBidding</v>
      </c>
      <c r="C2" s="406">
        <f ca="1">Dashboard!$F$1</f>
        <v>46149</v>
      </c>
      <c r="D2" s="406">
        <f ca="1">Dashboard!$H$1</f>
        <v>46163</v>
      </c>
      <c r="E2" s="62" t="s">
        <v>1432</v>
      </c>
      <c r="F2" s="62" t="s">
        <v>519</v>
      </c>
      <c r="G2" s="62" t="s">
        <v>1433</v>
      </c>
      <c r="H2" s="90" t="s">
        <v>1434</v>
      </c>
      <c r="I2" s="433" t="s">
        <v>289</v>
      </c>
      <c r="J2" s="228">
        <v>3</v>
      </c>
      <c r="K2" s="228">
        <v>3</v>
      </c>
      <c r="L2" s="228"/>
      <c r="M2" s="62"/>
      <c r="N2" s="316"/>
      <c r="O2" s="228"/>
      <c r="P2" s="62"/>
      <c r="Q2" s="352"/>
      <c r="R2" s="279"/>
      <c r="S2" s="359"/>
      <c r="T2" s="359"/>
      <c r="U2" s="352"/>
      <c r="V2" s="352"/>
      <c r="W2" s="228"/>
      <c r="X2" s="360"/>
      <c r="Y2" s="228"/>
      <c r="Z2" s="327"/>
      <c r="AA2" s="327"/>
      <c r="AB2" s="376" t="s">
        <v>1435</v>
      </c>
    </row>
    <row r="3" spans="1:28" s="218" customFormat="1" ht="39" customHeight="1">
      <c r="A3" s="327">
        <v>2</v>
      </c>
      <c r="B3" s="327" t="str">
        <f>Dashboard!$J$1</f>
        <v>OnlineBidding</v>
      </c>
      <c r="C3" s="373">
        <f ca="1">Dashboard!$F$1</f>
        <v>46149</v>
      </c>
      <c r="D3" s="373">
        <f ca="1">Dashboard!$H$1</f>
        <v>46163</v>
      </c>
      <c r="E3" s="203" t="s">
        <v>88</v>
      </c>
      <c r="F3" s="229" t="s">
        <v>890</v>
      </c>
      <c r="G3" s="229" t="s">
        <v>1436</v>
      </c>
      <c r="H3" s="329" t="s">
        <v>1437</v>
      </c>
      <c r="I3" s="433" t="s">
        <v>301</v>
      </c>
      <c r="J3" s="327">
        <v>3</v>
      </c>
      <c r="K3" s="327"/>
      <c r="L3" s="327"/>
      <c r="M3" s="229"/>
      <c r="N3" s="329"/>
      <c r="O3" s="327"/>
      <c r="P3" s="229"/>
      <c r="Q3" s="374"/>
      <c r="R3" s="271"/>
      <c r="S3" s="373"/>
      <c r="T3" s="373"/>
      <c r="U3" s="327"/>
      <c r="V3" s="370"/>
      <c r="W3" s="327"/>
      <c r="X3" s="373"/>
      <c r="Y3" s="352"/>
      <c r="Z3" s="228"/>
      <c r="AA3" s="228"/>
      <c r="AB3" s="333" t="s">
        <v>1438</v>
      </c>
    </row>
    <row r="4" spans="1:28" ht="40.5" customHeight="1">
      <c r="A4" s="369">
        <v>3</v>
      </c>
      <c r="B4" s="369" t="str">
        <f>Dashboard!$J$1</f>
        <v>OnlineBidding</v>
      </c>
      <c r="C4" s="372">
        <f ca="1">Dashboard!$F$1</f>
        <v>46149</v>
      </c>
      <c r="D4" s="372">
        <f ca="1">Dashboard!$H$1</f>
        <v>46163</v>
      </c>
      <c r="E4" s="229" t="s">
        <v>88</v>
      </c>
      <c r="F4" s="229" t="s">
        <v>519</v>
      </c>
      <c r="G4" s="229" t="s">
        <v>1419</v>
      </c>
      <c r="H4" s="329" t="s">
        <v>1420</v>
      </c>
      <c r="I4" s="433" t="s">
        <v>289</v>
      </c>
      <c r="J4" s="327">
        <v>3</v>
      </c>
      <c r="K4" s="327">
        <v>3</v>
      </c>
      <c r="L4" s="327"/>
      <c r="M4" s="229" t="s">
        <v>290</v>
      </c>
      <c r="N4" s="329" t="s">
        <v>292</v>
      </c>
      <c r="O4" s="327" t="s">
        <v>291</v>
      </c>
      <c r="P4" s="229" t="s">
        <v>292</v>
      </c>
      <c r="Q4" s="374" t="s">
        <v>291</v>
      </c>
      <c r="R4" s="271" t="s">
        <v>1439</v>
      </c>
      <c r="S4" s="373">
        <v>45672</v>
      </c>
      <c r="T4" s="373">
        <v>45673</v>
      </c>
      <c r="U4" s="327" t="s">
        <v>426</v>
      </c>
      <c r="V4" s="370" t="s">
        <v>1440</v>
      </c>
      <c r="W4" s="327" t="s">
        <v>295</v>
      </c>
      <c r="X4" s="373">
        <v>45673</v>
      </c>
      <c r="Y4" s="370" t="s">
        <v>291</v>
      </c>
      <c r="Z4" s="327" t="s">
        <v>291</v>
      </c>
      <c r="AA4" s="327" t="s">
        <v>291</v>
      </c>
      <c r="AB4" s="388"/>
    </row>
    <row r="5" spans="1:28" ht="42.75" customHeight="1">
      <c r="A5" s="369">
        <v>4</v>
      </c>
      <c r="B5" s="369" t="str">
        <f>Dashboard!$J$1</f>
        <v>OnlineBidding</v>
      </c>
      <c r="C5" s="372">
        <f ca="1">Dashboard!$F$1</f>
        <v>46149</v>
      </c>
      <c r="D5" s="372">
        <f ca="1">Dashboard!$H$1</f>
        <v>46163</v>
      </c>
      <c r="E5" s="229" t="s">
        <v>88</v>
      </c>
      <c r="F5" s="229" t="s">
        <v>292</v>
      </c>
      <c r="G5" s="229" t="s">
        <v>1422</v>
      </c>
      <c r="H5" s="329" t="s">
        <v>1423</v>
      </c>
      <c r="I5" s="433" t="s">
        <v>289</v>
      </c>
      <c r="J5" s="327">
        <v>2</v>
      </c>
      <c r="K5" s="327">
        <v>2</v>
      </c>
      <c r="L5" s="327"/>
      <c r="M5" s="229" t="s">
        <v>290</v>
      </c>
      <c r="N5" s="329" t="s">
        <v>298</v>
      </c>
      <c r="O5" s="327" t="s">
        <v>291</v>
      </c>
      <c r="P5" s="229" t="s">
        <v>298</v>
      </c>
      <c r="Q5" s="374" t="s">
        <v>291</v>
      </c>
      <c r="R5" s="271" t="s">
        <v>1441</v>
      </c>
      <c r="S5" s="373">
        <v>45666</v>
      </c>
      <c r="T5" s="373">
        <v>45667</v>
      </c>
      <c r="U5" s="327" t="s">
        <v>426</v>
      </c>
      <c r="V5" s="370" t="s">
        <v>291</v>
      </c>
      <c r="W5" s="327" t="s">
        <v>295</v>
      </c>
      <c r="X5" s="373">
        <v>45667</v>
      </c>
      <c r="Y5" s="370" t="s">
        <v>291</v>
      </c>
      <c r="Z5" s="327" t="s">
        <v>291</v>
      </c>
      <c r="AA5" s="327" t="s">
        <v>291</v>
      </c>
      <c r="AB5" s="388"/>
    </row>
    <row r="6" spans="1:28" s="58" customFormat="1" ht="36" customHeight="1">
      <c r="A6" s="228">
        <v>5</v>
      </c>
      <c r="B6" s="228" t="str">
        <f>Dashboard!$J$1</f>
        <v>OnlineBidding</v>
      </c>
      <c r="C6" s="360">
        <f ca="1">Dashboard!$F$1</f>
        <v>46149</v>
      </c>
      <c r="D6" s="360">
        <f ca="1">Dashboard!$H$1</f>
        <v>46163</v>
      </c>
      <c r="E6" s="257" t="s">
        <v>88</v>
      </c>
      <c r="F6" s="257" t="s">
        <v>519</v>
      </c>
      <c r="G6" s="203" t="s">
        <v>1442</v>
      </c>
      <c r="H6" s="229" t="s">
        <v>1443</v>
      </c>
      <c r="I6" s="433" t="s">
        <v>289</v>
      </c>
      <c r="J6" s="327">
        <v>1</v>
      </c>
      <c r="K6" s="228">
        <v>1</v>
      </c>
      <c r="L6" s="228"/>
      <c r="M6" s="203" t="s">
        <v>290</v>
      </c>
      <c r="N6" s="316" t="s">
        <v>292</v>
      </c>
      <c r="O6" s="228" t="s">
        <v>291</v>
      </c>
      <c r="P6" s="203" t="s">
        <v>292</v>
      </c>
      <c r="Q6" s="327" t="s">
        <v>291</v>
      </c>
      <c r="R6" s="271" t="s">
        <v>1444</v>
      </c>
      <c r="S6" s="360">
        <v>45671</v>
      </c>
      <c r="T6" s="360">
        <v>45671</v>
      </c>
      <c r="U6" s="228" t="s">
        <v>426</v>
      </c>
      <c r="V6" s="352" t="s">
        <v>1445</v>
      </c>
      <c r="W6" s="228" t="s">
        <v>295</v>
      </c>
      <c r="X6" s="360">
        <v>45672</v>
      </c>
      <c r="Y6" s="352" t="s">
        <v>291</v>
      </c>
      <c r="Z6" s="228" t="s">
        <v>291</v>
      </c>
      <c r="AA6" s="228" t="s">
        <v>291</v>
      </c>
      <c r="AB6" s="216"/>
    </row>
    <row r="7" spans="1:28" ht="36" customHeight="1">
      <c r="A7" s="369">
        <v>6</v>
      </c>
      <c r="B7" s="369" t="str">
        <f>Dashboard!$J$1</f>
        <v>OnlineBidding</v>
      </c>
      <c r="C7" s="372">
        <f ca="1">Dashboard!$F$1</f>
        <v>46149</v>
      </c>
      <c r="D7" s="430">
        <f ca="1">Dashboard!$H$1</f>
        <v>46163</v>
      </c>
      <c r="E7" s="257" t="s">
        <v>88</v>
      </c>
      <c r="F7" s="257" t="s">
        <v>1187</v>
      </c>
      <c r="G7" s="431" t="s">
        <v>1446</v>
      </c>
      <c r="H7" s="203" t="s">
        <v>1447</v>
      </c>
      <c r="I7" s="433" t="s">
        <v>289</v>
      </c>
      <c r="J7" s="228">
        <v>2</v>
      </c>
      <c r="K7" s="369">
        <v>2</v>
      </c>
      <c r="L7" s="369"/>
      <c r="M7" s="229" t="s">
        <v>290</v>
      </c>
      <c r="N7" s="329" t="s">
        <v>426</v>
      </c>
      <c r="O7" s="327" t="s">
        <v>291</v>
      </c>
      <c r="P7" s="250" t="s">
        <v>426</v>
      </c>
      <c r="Q7" s="228" t="s">
        <v>291</v>
      </c>
      <c r="R7" s="200" t="s">
        <v>1448</v>
      </c>
      <c r="S7" s="372">
        <v>45671</v>
      </c>
      <c r="T7" s="373">
        <v>45672</v>
      </c>
      <c r="U7" s="327" t="s">
        <v>294</v>
      </c>
      <c r="V7" s="370" t="s">
        <v>291</v>
      </c>
      <c r="W7" s="327" t="s">
        <v>295</v>
      </c>
      <c r="X7" s="373">
        <v>45672</v>
      </c>
      <c r="Y7" s="370" t="s">
        <v>291</v>
      </c>
      <c r="Z7" s="327" t="s">
        <v>291</v>
      </c>
      <c r="AA7" s="327" t="s">
        <v>291</v>
      </c>
      <c r="AB7" s="388"/>
    </row>
    <row r="8" spans="1:28" ht="31.5" customHeight="1">
      <c r="A8" s="369">
        <v>7</v>
      </c>
      <c r="B8" s="369" t="str">
        <f>Dashboard!$J$1</f>
        <v>OnlineBidding</v>
      </c>
      <c r="C8" s="372">
        <f ca="1">Dashboard!$F$1</f>
        <v>46149</v>
      </c>
      <c r="D8" s="430">
        <f ca="1">Dashboard!$H$1</f>
        <v>46163</v>
      </c>
      <c r="E8" s="62" t="s">
        <v>88</v>
      </c>
      <c r="F8" s="62" t="s">
        <v>1187</v>
      </c>
      <c r="G8" s="247" t="s">
        <v>1449</v>
      </c>
      <c r="H8" s="137" t="s">
        <v>1450</v>
      </c>
      <c r="I8" s="433" t="s">
        <v>289</v>
      </c>
      <c r="J8" s="181">
        <v>2</v>
      </c>
      <c r="K8" s="327">
        <v>2</v>
      </c>
      <c r="L8" s="327"/>
      <c r="M8" s="229" t="s">
        <v>290</v>
      </c>
      <c r="N8" s="329" t="s">
        <v>298</v>
      </c>
      <c r="O8" s="327" t="s">
        <v>291</v>
      </c>
      <c r="P8" s="250" t="s">
        <v>298</v>
      </c>
      <c r="Q8" s="228" t="s">
        <v>291</v>
      </c>
      <c r="R8" s="200" t="s">
        <v>1451</v>
      </c>
      <c r="S8" s="372">
        <v>45671</v>
      </c>
      <c r="T8" s="373">
        <v>45672</v>
      </c>
      <c r="U8" s="327" t="s">
        <v>426</v>
      </c>
      <c r="V8" s="370" t="s">
        <v>291</v>
      </c>
      <c r="W8" s="327" t="s">
        <v>295</v>
      </c>
      <c r="X8" s="373">
        <v>45671</v>
      </c>
      <c r="Y8" s="370" t="s">
        <v>291</v>
      </c>
      <c r="Z8" s="327" t="s">
        <v>291</v>
      </c>
      <c r="AA8" s="327" t="s">
        <v>291</v>
      </c>
      <c r="AB8" s="388"/>
    </row>
    <row r="9" spans="1:28">
      <c r="A9" s="369"/>
      <c r="B9" s="369"/>
      <c r="C9" s="372"/>
      <c r="D9" s="372"/>
      <c r="G9" s="229"/>
      <c r="I9" s="327"/>
      <c r="K9" s="327"/>
      <c r="L9" s="327"/>
      <c r="M9" s="229"/>
      <c r="N9" s="329"/>
      <c r="O9" s="327"/>
      <c r="P9" s="229"/>
      <c r="R9" s="432"/>
      <c r="S9" s="373"/>
      <c r="T9" s="373"/>
      <c r="U9" s="327"/>
      <c r="V9" s="370"/>
      <c r="W9" s="327"/>
      <c r="X9" s="373"/>
      <c r="Y9" s="370"/>
      <c r="Z9" s="327"/>
      <c r="AA9" s="327"/>
      <c r="AB9" s="249"/>
    </row>
  </sheetData>
  <dataValidations count="1">
    <dataValidation type="list" allowBlank="1" showErrorMessage="1" sqref="I2:I8" xr:uid="{FA8E1CDE-D4EB-421D-9FCF-B1895038655C}">
      <formula1>"Refinement,Ready,Being Developed,Peer Review,,Verify,Ready for testing,Being Tested,Completed"</formula1>
    </dataValidation>
  </dataValidations>
  <hyperlinks>
    <hyperlink ref="R5" r:id="rId1" xr:uid="{4D232A8B-DAC3-4D59-A6DB-F9CB53EB65EA}"/>
    <hyperlink ref="R6" r:id="rId2" xr:uid="{5019562D-D92D-4771-B2FD-6E0139178E17}"/>
    <hyperlink ref="R7" r:id="rId3" xr:uid="{858CAC83-29CE-42C5-B70A-DC9A23BB250A}"/>
    <hyperlink ref="R8" r:id="rId4" xr:uid="{F07C4771-0E78-4C20-85EF-13F2E1EC4910}"/>
    <hyperlink ref="R4" r:id="rId5" xr:uid="{6774ABEC-B2D1-4B70-8CBF-AE6F022E4523}"/>
  </hyperlinks>
  <pageMargins left="0.7" right="0.7" top="0.75" bottom="0.75" header="0.3" footer="0.3"/>
  <tableParts count="1">
    <tablePart r:id="rId6"/>
  </tableParts>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2B2B3-D604-4D49-9EE1-7D0A8EF5F0DE}">
  <dimension ref="A1:Z2"/>
  <sheetViews>
    <sheetView workbookViewId="0">
      <selection sqref="A1:K2"/>
    </sheetView>
  </sheetViews>
  <sheetFormatPr defaultRowHeight="12.75"/>
  <cols>
    <col min="1" max="1" width="9.42578125" customWidth="1"/>
    <col min="2" max="2" width="29.7109375" customWidth="1"/>
    <col min="3" max="3" width="17.5703125" customWidth="1"/>
    <col min="4" max="4" width="12.28515625" customWidth="1"/>
    <col min="5" max="5" width="15.7109375" customWidth="1"/>
    <col min="6" max="6" width="54.85546875" customWidth="1"/>
    <col min="7" max="7" width="13.7109375" customWidth="1"/>
    <col min="8" max="8" width="10" customWidth="1"/>
    <col min="9" max="9" width="12" customWidth="1"/>
    <col min="10" max="10" width="14.7109375" customWidth="1"/>
    <col min="11" max="11" width="22.85546875" customWidth="1"/>
  </cols>
  <sheetData>
    <row r="1" spans="1:26" ht="27">
      <c r="A1" s="59" t="s">
        <v>254</v>
      </c>
      <c r="B1" s="154" t="s">
        <v>11</v>
      </c>
      <c r="C1" s="155" t="s">
        <v>322</v>
      </c>
      <c r="D1" s="154" t="s">
        <v>256</v>
      </c>
      <c r="E1" s="155" t="s">
        <v>324</v>
      </c>
      <c r="F1" s="155" t="s">
        <v>325</v>
      </c>
      <c r="G1" s="154" t="s">
        <v>326</v>
      </c>
      <c r="H1" s="154" t="s">
        <v>328</v>
      </c>
      <c r="I1" s="154" t="s">
        <v>259</v>
      </c>
      <c r="J1" s="156" t="s">
        <v>329</v>
      </c>
      <c r="K1" s="157" t="s">
        <v>280</v>
      </c>
      <c r="L1" s="35"/>
      <c r="M1" s="35"/>
      <c r="N1" s="35"/>
      <c r="O1" s="35"/>
      <c r="P1" s="35"/>
      <c r="Q1" s="35"/>
      <c r="R1" s="35"/>
      <c r="S1" s="35"/>
      <c r="T1" s="35"/>
      <c r="U1" s="35"/>
      <c r="V1" s="35"/>
      <c r="W1" s="35"/>
      <c r="X1" s="35"/>
      <c r="Y1" s="35"/>
      <c r="Z1" s="35"/>
    </row>
    <row r="2" spans="1:26">
      <c r="A2" s="61"/>
      <c r="B2" s="203"/>
      <c r="C2" s="58"/>
      <c r="D2" s="304"/>
      <c r="E2" s="41"/>
      <c r="F2" s="216"/>
      <c r="G2" s="19"/>
      <c r="H2" s="41"/>
      <c r="I2" s="41"/>
      <c r="J2" s="41"/>
      <c r="K2" s="19"/>
    </row>
  </sheetData>
  <dataValidations count="4">
    <dataValidation type="list" allowBlank="1" showErrorMessage="1" sqref="E2" xr:uid="{F94E3D1C-EB70-4148-A4BE-43C6AA824C01}">
      <formula1>"Bounceback,Defect,None"</formula1>
    </dataValidation>
    <dataValidation type="list" allowBlank="1" showErrorMessage="1" sqref="H2" xr:uid="{90333CEA-C465-464C-A608-09B136A81610}">
      <formula1>"Internal,External"</formula1>
    </dataValidation>
    <dataValidation type="list" allowBlank="1" showErrorMessage="1" sqref="I2" xr:uid="{997C3530-12C6-4FFF-9943-E95C5A66F93C}">
      <formula1>"Open,Inprogress,Closed"</formula1>
    </dataValidation>
    <dataValidation type="list" allowBlank="1" showErrorMessage="1" sqref="G2" xr:uid="{6BFE9D96-84BF-47B8-8A12-029D9FC403DD}">
      <formula1>"Minor,Significant,Major"</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F3A5DC70-8BAB-4647-AE93-FD265D7AC74C}">
          <x14:formula1>
            <xm:f>Details!$A$2:$A$10</xm:f>
          </x14:formula1>
          <xm:sqref>J2</xm:sqref>
        </x14:dataValidation>
      </x14:dataValidations>
    </ext>
  </extLst>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802FB-568E-4D25-A27E-F0F7F6A5F3DF}">
  <dimension ref="A1:ABY11"/>
  <sheetViews>
    <sheetView workbookViewId="0">
      <pane xSplit="7" ySplit="1" topLeftCell="UL8" activePane="bottomRight" state="frozen"/>
      <selection pane="bottomRight" activeCell="B14" sqref="B14"/>
      <selection pane="bottomLeft"/>
      <selection pane="topRight"/>
    </sheetView>
  </sheetViews>
  <sheetFormatPr defaultRowHeight="12.75"/>
  <cols>
    <col min="2" max="2" width="13.28515625" customWidth="1"/>
    <col min="3" max="3" width="10.85546875" customWidth="1"/>
    <col min="4" max="4" width="12.140625" customWidth="1"/>
    <col min="5" max="5" width="27.5703125" customWidth="1"/>
    <col min="6" max="6" width="14.42578125" customWidth="1"/>
    <col min="7" max="7" width="11.42578125" bestFit="1" customWidth="1"/>
    <col min="8" max="8" width="41.7109375" style="137" customWidth="1"/>
    <col min="9" max="9" width="14.28515625" customWidth="1"/>
    <col min="10" max="11" width="11.42578125" bestFit="1" customWidth="1"/>
    <col min="12" max="12" width="11.42578125" customWidth="1"/>
    <col min="13" max="13" width="13.140625" customWidth="1"/>
    <col min="14" max="14" width="13.42578125" style="144" customWidth="1"/>
    <col min="15" max="15" width="15.42578125" customWidth="1"/>
    <col min="16" max="16" width="16.42578125" customWidth="1"/>
    <col min="17" max="17" width="14.85546875" customWidth="1"/>
    <col min="18" max="18" width="11.42578125" style="144" bestFit="1" customWidth="1"/>
    <col min="19" max="20" width="12.7109375" bestFit="1" customWidth="1"/>
    <col min="21" max="21" width="11.42578125" bestFit="1" customWidth="1"/>
    <col min="22" max="22" width="11.42578125" style="144" bestFit="1" customWidth="1"/>
    <col min="23" max="23" width="11.42578125" bestFit="1" customWidth="1"/>
    <col min="24" max="24" width="12.7109375" bestFit="1" customWidth="1"/>
    <col min="25" max="27" width="11.42578125" bestFit="1" customWidth="1"/>
    <col min="28" max="28" width="27.42578125" customWidth="1"/>
  </cols>
  <sheetData>
    <row r="1" spans="1:753" ht="46.5">
      <c r="A1" s="379" t="s">
        <v>254</v>
      </c>
      <c r="B1" s="404" t="s">
        <v>4</v>
      </c>
      <c r="C1" s="404" t="s">
        <v>2</v>
      </c>
      <c r="D1" s="404" t="s">
        <v>3</v>
      </c>
      <c r="E1" s="380" t="s">
        <v>255</v>
      </c>
      <c r="F1" s="381" t="s">
        <v>256</v>
      </c>
      <c r="G1" s="382" t="s">
        <v>257</v>
      </c>
      <c r="H1" s="383" t="s">
        <v>258</v>
      </c>
      <c r="I1" s="383" t="s">
        <v>259</v>
      </c>
      <c r="J1" s="384" t="s">
        <v>260</v>
      </c>
      <c r="K1" s="384" t="s">
        <v>261</v>
      </c>
      <c r="L1" s="384" t="s">
        <v>1411</v>
      </c>
      <c r="M1" s="385" t="s">
        <v>265</v>
      </c>
      <c r="N1" s="385" t="s">
        <v>266</v>
      </c>
      <c r="O1" s="385" t="s">
        <v>267</v>
      </c>
      <c r="P1" s="385" t="s">
        <v>268</v>
      </c>
      <c r="Q1" s="385" t="s">
        <v>269</v>
      </c>
      <c r="R1" s="385" t="s">
        <v>270</v>
      </c>
      <c r="S1" s="385" t="s">
        <v>271</v>
      </c>
      <c r="T1" s="385" t="s">
        <v>272</v>
      </c>
      <c r="U1" s="385" t="s">
        <v>273</v>
      </c>
      <c r="V1" s="385" t="s">
        <v>274</v>
      </c>
      <c r="W1" s="385" t="s">
        <v>275</v>
      </c>
      <c r="X1" s="385" t="s">
        <v>276</v>
      </c>
      <c r="Y1" s="385" t="s">
        <v>277</v>
      </c>
      <c r="Z1" s="385" t="s">
        <v>278</v>
      </c>
      <c r="AA1" s="385" t="s">
        <v>279</v>
      </c>
      <c r="AB1" s="386" t="s">
        <v>280</v>
      </c>
    </row>
    <row r="2" spans="1:753" s="256" customFormat="1" ht="38.25" customHeight="1">
      <c r="A2" s="357">
        <v>1</v>
      </c>
      <c r="B2" s="405" t="str">
        <f>Dashboard!$J$1</f>
        <v>OnlineBidding</v>
      </c>
      <c r="C2" s="406">
        <f ca="1">Dashboard!$F$1</f>
        <v>46149</v>
      </c>
      <c r="D2" s="406">
        <f ca="1">Dashboard!$H$1</f>
        <v>46163</v>
      </c>
      <c r="E2" s="62" t="s">
        <v>1452</v>
      </c>
      <c r="F2" s="62" t="s">
        <v>519</v>
      </c>
      <c r="G2" s="62" t="s">
        <v>1433</v>
      </c>
      <c r="H2" s="90" t="s">
        <v>1434</v>
      </c>
      <c r="I2" s="391" t="s">
        <v>1453</v>
      </c>
      <c r="J2" s="228">
        <v>3</v>
      </c>
      <c r="K2" s="228"/>
      <c r="L2" s="228"/>
      <c r="M2" s="62"/>
      <c r="N2" s="316"/>
      <c r="O2" s="228"/>
      <c r="P2" s="62"/>
      <c r="Q2" s="352"/>
      <c r="R2" s="279"/>
      <c r="S2" s="359"/>
      <c r="T2" s="359"/>
      <c r="U2" s="352"/>
      <c r="V2" s="352"/>
      <c r="W2" s="228"/>
      <c r="X2" s="360"/>
      <c r="Y2" s="228"/>
      <c r="Z2" s="327"/>
      <c r="AA2" s="327"/>
      <c r="AB2" s="376" t="s">
        <v>1454</v>
      </c>
    </row>
    <row r="3" spans="1:753" s="137" customFormat="1" ht="41.25" customHeight="1">
      <c r="A3" s="357">
        <v>2</v>
      </c>
      <c r="B3" s="357" t="str">
        <f>Dashboard!$J$1</f>
        <v>OnlineBidding</v>
      </c>
      <c r="C3" s="407">
        <f ca="1">Dashboard!$F$1</f>
        <v>46149</v>
      </c>
      <c r="D3" s="407">
        <f ca="1">Dashboard!$H$1</f>
        <v>46163</v>
      </c>
      <c r="E3" s="62" t="s">
        <v>84</v>
      </c>
      <c r="F3" s="203" t="s">
        <v>292</v>
      </c>
      <c r="G3" s="229" t="s">
        <v>1455</v>
      </c>
      <c r="H3" s="305" t="s">
        <v>1456</v>
      </c>
      <c r="I3" s="391" t="s">
        <v>289</v>
      </c>
      <c r="J3" s="228">
        <v>2</v>
      </c>
      <c r="K3" s="228">
        <v>2</v>
      </c>
      <c r="L3" s="228"/>
      <c r="M3" s="62" t="s">
        <v>290</v>
      </c>
      <c r="N3" s="335" t="s">
        <v>298</v>
      </c>
      <c r="O3" s="228" t="s">
        <v>291</v>
      </c>
      <c r="P3" s="62" t="s">
        <v>426</v>
      </c>
      <c r="Q3" s="352" t="s">
        <v>1457</v>
      </c>
      <c r="R3" s="392" t="s">
        <v>1458</v>
      </c>
      <c r="S3" s="360">
        <v>45635</v>
      </c>
      <c r="T3" s="360">
        <v>45635</v>
      </c>
      <c r="U3" s="228" t="s">
        <v>426</v>
      </c>
      <c r="V3" s="352" t="s">
        <v>860</v>
      </c>
      <c r="W3" s="228" t="s">
        <v>1059</v>
      </c>
      <c r="X3" s="360">
        <v>45636</v>
      </c>
      <c r="Y3" s="362" t="s">
        <v>291</v>
      </c>
      <c r="Z3" s="363" t="s">
        <v>291</v>
      </c>
      <c r="AA3" s="363" t="s">
        <v>291</v>
      </c>
      <c r="AB3" s="377"/>
    </row>
    <row r="4" spans="1:753" ht="36.75" customHeight="1">
      <c r="A4" s="357">
        <v>3</v>
      </c>
      <c r="B4" s="357" t="str">
        <f>Dashboard!$J$1</f>
        <v>OnlineBidding</v>
      </c>
      <c r="C4" s="407">
        <f ca="1">Dashboard!$F$1</f>
        <v>46149</v>
      </c>
      <c r="D4" s="407">
        <f ca="1">Dashboard!$H$1</f>
        <v>46163</v>
      </c>
      <c r="E4" s="62" t="s">
        <v>84</v>
      </c>
      <c r="F4" s="203" t="s">
        <v>1459</v>
      </c>
      <c r="G4" s="229" t="s">
        <v>1460</v>
      </c>
      <c r="H4" s="305" t="s">
        <v>1461</v>
      </c>
      <c r="I4" s="391" t="s">
        <v>289</v>
      </c>
      <c r="J4" s="228">
        <v>3</v>
      </c>
      <c r="K4" s="228">
        <v>3</v>
      </c>
      <c r="L4" s="327"/>
      <c r="M4" s="229" t="s">
        <v>290</v>
      </c>
      <c r="N4" s="305" t="s">
        <v>1462</v>
      </c>
      <c r="O4" s="327" t="s">
        <v>291</v>
      </c>
      <c r="P4" s="229" t="s">
        <v>1463</v>
      </c>
      <c r="Q4" s="374" t="s">
        <v>291</v>
      </c>
      <c r="R4" s="271" t="s">
        <v>1464</v>
      </c>
      <c r="S4" s="373">
        <v>45635</v>
      </c>
      <c r="T4" s="373">
        <v>45635</v>
      </c>
      <c r="U4" s="327" t="s">
        <v>1463</v>
      </c>
      <c r="V4" s="370" t="s">
        <v>291</v>
      </c>
      <c r="W4" s="327" t="s">
        <v>1315</v>
      </c>
      <c r="X4" s="373">
        <v>45636</v>
      </c>
      <c r="Y4" s="352" t="s">
        <v>291</v>
      </c>
      <c r="Z4" s="228" t="s">
        <v>291</v>
      </c>
      <c r="AA4" s="228" t="s">
        <v>291</v>
      </c>
      <c r="AB4" s="377"/>
      <c r="AC4" s="137"/>
      <c r="AD4" s="137"/>
      <c r="AE4" s="137"/>
      <c r="AF4" s="137"/>
      <c r="AG4" s="137"/>
      <c r="AH4" s="137"/>
      <c r="AI4" s="137"/>
      <c r="AJ4" s="137"/>
      <c r="AK4" s="137"/>
      <c r="AL4" s="137"/>
      <c r="AM4" s="137"/>
      <c r="AN4" s="137"/>
      <c r="AO4" s="137"/>
      <c r="AP4" s="137"/>
      <c r="AQ4" s="137"/>
      <c r="AR4" s="137"/>
      <c r="AS4" s="137"/>
      <c r="AT4" s="137"/>
      <c r="AU4" s="137"/>
      <c r="AV4" s="137"/>
      <c r="AW4" s="137"/>
      <c r="AX4" s="137"/>
      <c r="AY4" s="137"/>
      <c r="AZ4" s="137"/>
      <c r="BA4" s="137"/>
      <c r="BB4" s="137"/>
      <c r="BC4" s="137"/>
      <c r="BD4" s="137"/>
      <c r="BE4" s="137"/>
      <c r="BF4" s="137"/>
      <c r="BG4" s="137"/>
      <c r="BH4" s="137"/>
      <c r="BI4" s="137"/>
      <c r="BJ4" s="137"/>
      <c r="BK4" s="137"/>
      <c r="BL4" s="137"/>
      <c r="BM4" s="137"/>
      <c r="BN4" s="137"/>
      <c r="BO4" s="137"/>
      <c r="BP4" s="137"/>
      <c r="BQ4" s="137"/>
      <c r="BR4" s="137"/>
      <c r="BS4" s="137"/>
      <c r="BT4" s="137"/>
      <c r="BU4" s="137"/>
      <c r="BV4" s="137"/>
      <c r="BW4" s="137"/>
      <c r="BX4" s="137"/>
      <c r="BY4" s="137"/>
      <c r="BZ4" s="137"/>
      <c r="CA4" s="137"/>
      <c r="CB4" s="137"/>
      <c r="CC4" s="137"/>
      <c r="CD4" s="137"/>
      <c r="CE4" s="137"/>
      <c r="CF4" s="137"/>
      <c r="CG4" s="137"/>
      <c r="CH4" s="137"/>
      <c r="CI4" s="137"/>
      <c r="CJ4" s="137"/>
      <c r="CK4" s="137"/>
      <c r="CL4" s="137"/>
      <c r="CM4" s="137"/>
      <c r="CN4" s="137"/>
      <c r="CO4" s="137"/>
      <c r="CP4" s="137"/>
      <c r="CQ4" s="137"/>
      <c r="CR4" s="137"/>
      <c r="CS4" s="137"/>
      <c r="CT4" s="137"/>
      <c r="CU4" s="137"/>
      <c r="CV4" s="137"/>
      <c r="CW4" s="137"/>
      <c r="CX4" s="137"/>
      <c r="CY4" s="137"/>
      <c r="CZ4" s="137"/>
      <c r="DA4" s="137"/>
      <c r="DB4" s="137"/>
      <c r="DC4" s="137"/>
      <c r="DD4" s="137"/>
      <c r="DE4" s="137"/>
      <c r="DF4" s="137"/>
      <c r="DG4" s="137"/>
      <c r="DH4" s="137"/>
      <c r="DI4" s="137"/>
      <c r="DJ4" s="137"/>
      <c r="DK4" s="137"/>
      <c r="DL4" s="137"/>
      <c r="DM4" s="137"/>
      <c r="DN4" s="137"/>
      <c r="DO4" s="137"/>
      <c r="DP4" s="137"/>
      <c r="DQ4" s="137"/>
      <c r="DR4" s="137"/>
      <c r="DS4" s="137"/>
      <c r="DT4" s="137"/>
      <c r="DU4" s="137"/>
      <c r="DV4" s="137"/>
      <c r="DW4" s="137"/>
      <c r="DX4" s="137"/>
      <c r="DY4" s="137"/>
      <c r="DZ4" s="137"/>
      <c r="EA4" s="137"/>
      <c r="EB4" s="137"/>
      <c r="EC4" s="137"/>
      <c r="ED4" s="137"/>
      <c r="EE4" s="137"/>
      <c r="EF4" s="137"/>
      <c r="EG4" s="137"/>
      <c r="EH4" s="137"/>
      <c r="EI4" s="137"/>
      <c r="EJ4" s="137"/>
      <c r="EK4" s="137"/>
      <c r="EL4" s="137"/>
      <c r="EM4" s="137"/>
      <c r="EN4" s="137"/>
      <c r="EO4" s="137"/>
      <c r="EP4" s="137"/>
      <c r="EQ4" s="137"/>
      <c r="ER4" s="137"/>
      <c r="ES4" s="137"/>
      <c r="ET4" s="137"/>
      <c r="EU4" s="137"/>
      <c r="EV4" s="137"/>
      <c r="EW4" s="137"/>
      <c r="EX4" s="137"/>
      <c r="EY4" s="137"/>
      <c r="EZ4" s="137"/>
      <c r="FA4" s="137"/>
      <c r="FB4" s="137"/>
      <c r="FC4" s="137"/>
      <c r="FD4" s="137"/>
      <c r="FE4" s="137"/>
      <c r="FF4" s="137"/>
      <c r="FG4" s="137"/>
      <c r="FH4" s="137"/>
      <c r="FI4" s="137"/>
      <c r="FJ4" s="137"/>
      <c r="FK4" s="137"/>
      <c r="FL4" s="137"/>
      <c r="FM4" s="137"/>
      <c r="FN4" s="137"/>
      <c r="FO4" s="137"/>
      <c r="FP4" s="137"/>
      <c r="FQ4" s="137"/>
      <c r="FR4" s="137"/>
      <c r="FS4" s="137"/>
      <c r="FT4" s="137"/>
      <c r="FU4" s="137"/>
      <c r="FV4" s="137"/>
      <c r="FW4" s="137"/>
      <c r="FX4" s="137"/>
      <c r="FY4" s="137"/>
      <c r="FZ4" s="137"/>
      <c r="GA4" s="137"/>
      <c r="GB4" s="137"/>
      <c r="GC4" s="137"/>
      <c r="GD4" s="137"/>
      <c r="GE4" s="137"/>
      <c r="GF4" s="137"/>
      <c r="GG4" s="137"/>
      <c r="GH4" s="137"/>
      <c r="GI4" s="137"/>
      <c r="GJ4" s="137"/>
      <c r="GK4" s="137"/>
      <c r="GL4" s="137"/>
      <c r="GM4" s="137"/>
      <c r="GN4" s="137"/>
      <c r="GO4" s="137"/>
      <c r="GP4" s="137"/>
      <c r="GQ4" s="137"/>
      <c r="GR4" s="137"/>
      <c r="GS4" s="137"/>
      <c r="GT4" s="137"/>
      <c r="GU4" s="137"/>
      <c r="GV4" s="137"/>
      <c r="GW4" s="137"/>
      <c r="GX4" s="137"/>
      <c r="GY4" s="137"/>
      <c r="GZ4" s="137"/>
      <c r="HA4" s="137"/>
      <c r="HB4" s="137"/>
      <c r="HC4" s="137"/>
      <c r="HD4" s="137"/>
      <c r="HE4" s="137"/>
      <c r="HF4" s="137"/>
      <c r="HG4" s="137"/>
      <c r="HH4" s="137"/>
      <c r="HI4" s="137"/>
      <c r="HJ4" s="137"/>
      <c r="HK4" s="137"/>
      <c r="HL4" s="137"/>
      <c r="HM4" s="137"/>
      <c r="HN4" s="137"/>
      <c r="HO4" s="137"/>
      <c r="HP4" s="137"/>
      <c r="HQ4" s="137"/>
      <c r="HR4" s="137"/>
      <c r="HS4" s="137"/>
      <c r="HT4" s="137"/>
      <c r="HU4" s="137"/>
      <c r="HV4" s="137"/>
      <c r="HW4" s="137"/>
      <c r="HX4" s="137"/>
      <c r="HY4" s="137"/>
      <c r="HZ4" s="137"/>
      <c r="IA4" s="137"/>
      <c r="IB4" s="137"/>
      <c r="IC4" s="137"/>
      <c r="ID4" s="137"/>
      <c r="IE4" s="137"/>
      <c r="IF4" s="137"/>
      <c r="IG4" s="137"/>
      <c r="IH4" s="137"/>
      <c r="II4" s="137"/>
      <c r="IJ4" s="137"/>
      <c r="IK4" s="137"/>
      <c r="IL4" s="137"/>
      <c r="IM4" s="137"/>
      <c r="IN4" s="137"/>
      <c r="IO4" s="137"/>
      <c r="IP4" s="137"/>
      <c r="IQ4" s="137"/>
      <c r="IR4" s="137"/>
      <c r="IS4" s="137"/>
      <c r="IT4" s="137"/>
      <c r="IU4" s="137"/>
      <c r="IV4" s="137"/>
      <c r="IW4" s="137"/>
      <c r="IX4" s="137"/>
      <c r="IY4" s="137"/>
      <c r="IZ4" s="137"/>
      <c r="JA4" s="137"/>
      <c r="JB4" s="137"/>
      <c r="JC4" s="137"/>
      <c r="JD4" s="137"/>
      <c r="JE4" s="137"/>
      <c r="JF4" s="137"/>
      <c r="JG4" s="137"/>
      <c r="JH4" s="137"/>
      <c r="JI4" s="137"/>
      <c r="JJ4" s="137"/>
      <c r="JK4" s="137"/>
      <c r="JL4" s="137"/>
      <c r="JM4" s="137"/>
      <c r="JN4" s="137"/>
      <c r="JO4" s="137"/>
      <c r="JP4" s="137"/>
      <c r="JQ4" s="137"/>
      <c r="JR4" s="137"/>
      <c r="JS4" s="137"/>
      <c r="JT4" s="137"/>
      <c r="JU4" s="137"/>
      <c r="JV4" s="137"/>
      <c r="JW4" s="137"/>
      <c r="JX4" s="137"/>
      <c r="JY4" s="137"/>
      <c r="JZ4" s="137"/>
      <c r="KA4" s="137"/>
      <c r="KB4" s="137"/>
      <c r="KC4" s="137"/>
      <c r="KD4" s="137"/>
      <c r="KE4" s="137"/>
      <c r="KF4" s="137"/>
      <c r="KG4" s="137"/>
      <c r="KH4" s="137"/>
      <c r="KI4" s="137"/>
      <c r="KJ4" s="137"/>
      <c r="KK4" s="137"/>
      <c r="KL4" s="137"/>
      <c r="KM4" s="137"/>
      <c r="KN4" s="137"/>
      <c r="KO4" s="137"/>
      <c r="KP4" s="137"/>
      <c r="KQ4" s="137"/>
      <c r="KR4" s="137"/>
      <c r="KS4" s="137"/>
      <c r="KT4" s="137"/>
      <c r="KU4" s="137"/>
      <c r="KV4" s="137"/>
      <c r="KW4" s="137"/>
      <c r="KX4" s="137"/>
      <c r="KY4" s="137"/>
      <c r="KZ4" s="137"/>
      <c r="LA4" s="137"/>
      <c r="LB4" s="137"/>
      <c r="LC4" s="137"/>
      <c r="LD4" s="137"/>
      <c r="LE4" s="137"/>
      <c r="LF4" s="137"/>
      <c r="LG4" s="137"/>
      <c r="LH4" s="137"/>
      <c r="LI4" s="137"/>
      <c r="LJ4" s="137"/>
      <c r="LK4" s="137"/>
      <c r="LL4" s="137"/>
      <c r="LM4" s="137"/>
      <c r="LN4" s="137"/>
      <c r="LO4" s="137"/>
      <c r="LP4" s="137"/>
      <c r="LQ4" s="137"/>
      <c r="LR4" s="137"/>
      <c r="LS4" s="137"/>
      <c r="LT4" s="137"/>
      <c r="LU4" s="137"/>
      <c r="LV4" s="137"/>
      <c r="LW4" s="137"/>
      <c r="LX4" s="137"/>
      <c r="LY4" s="137"/>
      <c r="LZ4" s="137"/>
      <c r="MA4" s="137"/>
      <c r="MB4" s="137"/>
      <c r="MC4" s="137"/>
      <c r="MD4" s="137"/>
      <c r="ME4" s="137"/>
      <c r="MF4" s="137"/>
      <c r="MG4" s="137"/>
      <c r="MH4" s="137"/>
      <c r="MI4" s="137"/>
      <c r="MJ4" s="137"/>
      <c r="MK4" s="137"/>
      <c r="ML4" s="137"/>
      <c r="MM4" s="137"/>
      <c r="MN4" s="137"/>
      <c r="MO4" s="137"/>
      <c r="MP4" s="137"/>
      <c r="MQ4" s="137"/>
      <c r="MR4" s="137"/>
      <c r="MS4" s="137"/>
      <c r="MT4" s="137"/>
      <c r="MU4" s="137"/>
      <c r="MV4" s="137"/>
      <c r="MW4" s="137"/>
      <c r="MX4" s="137"/>
      <c r="MY4" s="137"/>
      <c r="MZ4" s="137"/>
      <c r="NA4" s="137"/>
      <c r="NB4" s="137"/>
      <c r="NC4" s="137"/>
      <c r="ND4" s="137"/>
      <c r="NE4" s="137"/>
      <c r="NF4" s="137"/>
      <c r="NG4" s="137"/>
      <c r="NH4" s="137"/>
      <c r="NI4" s="137"/>
      <c r="NJ4" s="137"/>
      <c r="NK4" s="137"/>
      <c r="NL4" s="137"/>
      <c r="NM4" s="137"/>
      <c r="NN4" s="137"/>
      <c r="NO4" s="137"/>
      <c r="NP4" s="137"/>
      <c r="NQ4" s="137"/>
      <c r="NR4" s="137"/>
      <c r="NS4" s="137"/>
      <c r="NT4" s="137"/>
      <c r="NU4" s="137"/>
      <c r="NV4" s="137"/>
      <c r="NW4" s="137"/>
      <c r="NX4" s="137"/>
      <c r="NY4" s="137"/>
      <c r="NZ4" s="137"/>
      <c r="OA4" s="137"/>
      <c r="OB4" s="137"/>
      <c r="OC4" s="137"/>
      <c r="OD4" s="137"/>
      <c r="OE4" s="137"/>
      <c r="OF4" s="137"/>
      <c r="OG4" s="137"/>
      <c r="OH4" s="137"/>
      <c r="OI4" s="137"/>
      <c r="OJ4" s="137"/>
      <c r="OK4" s="137"/>
      <c r="OL4" s="137"/>
      <c r="OM4" s="137"/>
      <c r="ON4" s="137"/>
      <c r="OO4" s="137"/>
      <c r="OP4" s="137"/>
      <c r="OQ4" s="137"/>
      <c r="OR4" s="137"/>
      <c r="OS4" s="137"/>
      <c r="OT4" s="137"/>
      <c r="OU4" s="137"/>
      <c r="OV4" s="137"/>
      <c r="OW4" s="137"/>
      <c r="OX4" s="137"/>
      <c r="OY4" s="137"/>
      <c r="OZ4" s="137"/>
      <c r="PA4" s="137"/>
      <c r="PB4" s="137"/>
      <c r="PC4" s="137"/>
      <c r="PD4" s="137"/>
      <c r="PE4" s="137"/>
      <c r="PF4" s="137"/>
      <c r="PG4" s="137"/>
      <c r="PH4" s="137"/>
      <c r="PI4" s="137"/>
      <c r="PJ4" s="137"/>
      <c r="PK4" s="137"/>
      <c r="PL4" s="137"/>
      <c r="PM4" s="137"/>
      <c r="PN4" s="137"/>
      <c r="PO4" s="137"/>
      <c r="PP4" s="137"/>
      <c r="PQ4" s="137"/>
      <c r="PR4" s="137"/>
      <c r="PS4" s="137"/>
      <c r="PT4" s="137"/>
      <c r="PU4" s="137"/>
      <c r="PV4" s="137"/>
      <c r="PW4" s="137"/>
      <c r="PX4" s="137"/>
      <c r="PY4" s="137"/>
      <c r="PZ4" s="137"/>
      <c r="QA4" s="137"/>
      <c r="QB4" s="137"/>
      <c r="QC4" s="137"/>
      <c r="QD4" s="137"/>
      <c r="QE4" s="137"/>
      <c r="QF4" s="137"/>
      <c r="QG4" s="137"/>
      <c r="QH4" s="137"/>
      <c r="QI4" s="137"/>
      <c r="QJ4" s="137"/>
      <c r="QK4" s="137"/>
      <c r="QL4" s="137"/>
      <c r="QM4" s="137"/>
      <c r="QN4" s="137"/>
      <c r="QO4" s="137"/>
      <c r="QP4" s="137"/>
      <c r="QQ4" s="137"/>
      <c r="QR4" s="137"/>
      <c r="QS4" s="137"/>
      <c r="QT4" s="137"/>
      <c r="QU4" s="137"/>
      <c r="QV4" s="137"/>
      <c r="QW4" s="137"/>
      <c r="QX4" s="137"/>
      <c r="QY4" s="137"/>
      <c r="QZ4" s="137"/>
      <c r="RA4" s="137"/>
      <c r="RB4" s="137"/>
      <c r="RC4" s="137"/>
      <c r="RD4" s="137"/>
      <c r="RE4" s="137"/>
      <c r="RF4" s="137"/>
      <c r="RG4" s="137"/>
      <c r="RH4" s="137"/>
      <c r="RI4" s="137"/>
      <c r="RJ4" s="137"/>
      <c r="RK4" s="137"/>
      <c r="RL4" s="137"/>
      <c r="RM4" s="137"/>
      <c r="RN4" s="137"/>
      <c r="RO4" s="137"/>
      <c r="RP4" s="137"/>
      <c r="RQ4" s="137"/>
      <c r="RR4" s="137"/>
      <c r="RS4" s="137"/>
      <c r="RT4" s="137"/>
      <c r="RU4" s="137"/>
      <c r="RV4" s="137"/>
      <c r="RW4" s="137"/>
      <c r="RX4" s="137"/>
      <c r="RY4" s="137"/>
      <c r="RZ4" s="137"/>
      <c r="SA4" s="137"/>
      <c r="SB4" s="137"/>
      <c r="SC4" s="137"/>
      <c r="SD4" s="137"/>
      <c r="SE4" s="137"/>
      <c r="SF4" s="137"/>
      <c r="SG4" s="137"/>
      <c r="SH4" s="137"/>
      <c r="SI4" s="137"/>
      <c r="SJ4" s="137"/>
      <c r="SK4" s="137"/>
      <c r="SL4" s="137"/>
      <c r="SM4" s="137"/>
      <c r="SN4" s="137"/>
      <c r="SO4" s="137"/>
      <c r="SP4" s="137"/>
      <c r="SQ4" s="137"/>
      <c r="SR4" s="137"/>
      <c r="SS4" s="137"/>
      <c r="ST4" s="137"/>
      <c r="SU4" s="137"/>
      <c r="SV4" s="137"/>
      <c r="SW4" s="137"/>
      <c r="SX4" s="137"/>
      <c r="SY4" s="137"/>
      <c r="SZ4" s="137"/>
      <c r="TA4" s="137"/>
      <c r="TB4" s="137"/>
      <c r="TC4" s="137"/>
      <c r="TD4" s="137"/>
      <c r="TE4" s="137"/>
      <c r="TF4" s="137"/>
      <c r="TG4" s="137"/>
      <c r="TH4" s="137"/>
      <c r="TI4" s="137"/>
      <c r="TJ4" s="137"/>
      <c r="TK4" s="137"/>
      <c r="TL4" s="137"/>
      <c r="TM4" s="137"/>
      <c r="TN4" s="137"/>
      <c r="TO4" s="137"/>
      <c r="TP4" s="137"/>
      <c r="TQ4" s="137"/>
      <c r="TR4" s="137"/>
      <c r="TS4" s="137"/>
      <c r="TT4" s="137"/>
      <c r="TU4" s="137"/>
      <c r="TV4" s="137"/>
      <c r="TW4" s="137"/>
      <c r="TX4" s="137"/>
      <c r="TY4" s="137"/>
      <c r="TZ4" s="137"/>
      <c r="UA4" s="137"/>
      <c r="UB4" s="137"/>
      <c r="UC4" s="137"/>
      <c r="UD4" s="137"/>
      <c r="UE4" s="137"/>
      <c r="UF4" s="137"/>
      <c r="UG4" s="137"/>
      <c r="UH4" s="137"/>
      <c r="UI4" s="137"/>
      <c r="UJ4" s="137"/>
      <c r="UK4" s="137"/>
      <c r="UL4" s="137"/>
      <c r="UM4" s="137"/>
      <c r="UN4" s="137"/>
      <c r="UO4" s="137"/>
      <c r="UP4" s="137"/>
      <c r="UQ4" s="137"/>
      <c r="UR4" s="137"/>
      <c r="US4" s="137"/>
      <c r="UT4" s="137"/>
      <c r="UU4" s="137"/>
      <c r="UV4" s="137"/>
      <c r="UW4" s="137"/>
      <c r="UX4" s="137"/>
      <c r="UY4" s="137"/>
      <c r="UZ4" s="137"/>
      <c r="VA4" s="137"/>
      <c r="VB4" s="137"/>
      <c r="VC4" s="137"/>
      <c r="VD4" s="137"/>
      <c r="VE4" s="137"/>
      <c r="VF4" s="137"/>
      <c r="VG4" s="137"/>
      <c r="VH4" s="137"/>
      <c r="VI4" s="137"/>
      <c r="VJ4" s="137"/>
      <c r="VK4" s="137"/>
      <c r="VL4" s="137"/>
      <c r="VM4" s="137"/>
      <c r="VN4" s="137"/>
      <c r="VO4" s="137"/>
      <c r="VP4" s="137"/>
      <c r="VQ4" s="137"/>
      <c r="VR4" s="137"/>
      <c r="VS4" s="137"/>
      <c r="VT4" s="137"/>
      <c r="VU4" s="137"/>
      <c r="VV4" s="137"/>
      <c r="VW4" s="137"/>
      <c r="VX4" s="137"/>
      <c r="VY4" s="137"/>
      <c r="VZ4" s="137"/>
      <c r="WA4" s="137"/>
      <c r="WB4" s="137"/>
      <c r="WC4" s="137"/>
      <c r="WD4" s="137"/>
      <c r="WE4" s="137"/>
      <c r="WF4" s="137"/>
      <c r="WG4" s="137"/>
      <c r="WH4" s="137"/>
      <c r="WI4" s="137"/>
      <c r="WJ4" s="137"/>
      <c r="WK4" s="137"/>
      <c r="WL4" s="137"/>
      <c r="WM4" s="137"/>
      <c r="WN4" s="137"/>
      <c r="WO4" s="137"/>
      <c r="WP4" s="137"/>
      <c r="WQ4" s="137"/>
      <c r="WR4" s="137"/>
      <c r="WS4" s="137"/>
      <c r="WT4" s="137"/>
      <c r="WU4" s="137"/>
      <c r="WV4" s="137"/>
      <c r="WW4" s="137"/>
      <c r="WX4" s="137"/>
      <c r="WY4" s="137"/>
      <c r="WZ4" s="137"/>
      <c r="XA4" s="137"/>
      <c r="XB4" s="137"/>
      <c r="XC4" s="137"/>
      <c r="XD4" s="137"/>
      <c r="XE4" s="137"/>
      <c r="XF4" s="137"/>
      <c r="XG4" s="137"/>
      <c r="XH4" s="137"/>
      <c r="XI4" s="137"/>
      <c r="XJ4" s="137"/>
      <c r="XK4" s="137"/>
      <c r="XL4" s="137"/>
      <c r="XM4" s="137"/>
      <c r="XN4" s="137"/>
      <c r="XO4" s="137"/>
      <c r="XP4" s="137"/>
      <c r="XQ4" s="137"/>
      <c r="XR4" s="137"/>
      <c r="XS4" s="137"/>
      <c r="XT4" s="137"/>
      <c r="XU4" s="137"/>
      <c r="XV4" s="137"/>
      <c r="XW4" s="137"/>
      <c r="XX4" s="137"/>
      <c r="XY4" s="137"/>
      <c r="XZ4" s="137"/>
      <c r="YA4" s="137"/>
      <c r="YB4" s="137"/>
      <c r="YC4" s="137"/>
      <c r="YD4" s="137"/>
      <c r="YE4" s="137"/>
      <c r="YF4" s="137"/>
      <c r="YG4" s="137"/>
      <c r="YH4" s="137"/>
      <c r="YI4" s="137"/>
      <c r="YJ4" s="137"/>
      <c r="YK4" s="137"/>
      <c r="YL4" s="137"/>
      <c r="YM4" s="137"/>
      <c r="YN4" s="137"/>
      <c r="YO4" s="137"/>
      <c r="YP4" s="137"/>
      <c r="YQ4" s="137"/>
      <c r="YR4" s="137"/>
      <c r="YS4" s="137"/>
      <c r="YT4" s="137"/>
      <c r="YU4" s="137"/>
      <c r="YV4" s="137"/>
      <c r="YW4" s="137"/>
      <c r="YX4" s="137"/>
      <c r="YY4" s="137"/>
      <c r="YZ4" s="137"/>
      <c r="ZA4" s="137"/>
      <c r="ZB4" s="137"/>
      <c r="ZC4" s="137"/>
      <c r="ZD4" s="137"/>
      <c r="ZE4" s="137"/>
      <c r="ZF4" s="137"/>
      <c r="ZG4" s="137"/>
      <c r="ZH4" s="137"/>
      <c r="ZI4" s="137"/>
      <c r="ZJ4" s="137"/>
      <c r="ZK4" s="137"/>
      <c r="ZL4" s="137"/>
      <c r="ZM4" s="137"/>
      <c r="ZN4" s="137"/>
      <c r="ZO4" s="137"/>
      <c r="ZP4" s="137"/>
      <c r="ZQ4" s="137"/>
      <c r="ZR4" s="137"/>
      <c r="ZS4" s="137"/>
      <c r="ZT4" s="137"/>
      <c r="ZU4" s="137"/>
      <c r="ZV4" s="137"/>
      <c r="ZW4" s="137"/>
      <c r="ZX4" s="137"/>
      <c r="ZY4" s="137"/>
      <c r="ZZ4" s="137"/>
      <c r="AAA4" s="137"/>
      <c r="AAB4" s="137"/>
      <c r="AAC4" s="137"/>
      <c r="AAD4" s="137"/>
      <c r="AAE4" s="137"/>
      <c r="AAF4" s="137"/>
      <c r="AAG4" s="137"/>
      <c r="AAH4" s="137"/>
      <c r="AAI4" s="137"/>
      <c r="AAJ4" s="137"/>
      <c r="AAK4" s="137"/>
      <c r="AAL4" s="137"/>
      <c r="AAM4" s="137"/>
      <c r="AAN4" s="137"/>
      <c r="AAO4" s="137"/>
      <c r="AAP4" s="137"/>
      <c r="AAQ4" s="137"/>
      <c r="AAR4" s="137"/>
      <c r="AAS4" s="137"/>
      <c r="AAT4" s="137"/>
      <c r="AAU4" s="137"/>
      <c r="AAV4" s="137"/>
      <c r="AAW4" s="137"/>
      <c r="AAX4" s="137"/>
      <c r="AAY4" s="137"/>
      <c r="AAZ4" s="137"/>
      <c r="ABA4" s="137"/>
      <c r="ABB4" s="137"/>
      <c r="ABC4" s="137"/>
      <c r="ABD4" s="137"/>
      <c r="ABE4" s="137"/>
      <c r="ABF4" s="137"/>
      <c r="ABG4" s="137"/>
      <c r="ABH4" s="137"/>
      <c r="ABI4" s="137"/>
      <c r="ABJ4" s="137"/>
      <c r="ABK4" s="137"/>
      <c r="ABL4" s="137"/>
      <c r="ABM4" s="137"/>
      <c r="ABN4" s="137"/>
      <c r="ABO4" s="137"/>
      <c r="ABP4" s="137"/>
      <c r="ABQ4" s="137"/>
      <c r="ABR4" s="137"/>
      <c r="ABS4" s="137"/>
      <c r="ABT4" s="137"/>
      <c r="ABU4" s="137"/>
      <c r="ABV4" s="137"/>
      <c r="ABW4" s="137"/>
      <c r="ABX4" s="137"/>
      <c r="ABY4" s="137"/>
    </row>
    <row r="5" spans="1:753" ht="41.25" customHeight="1">
      <c r="A5" s="357">
        <v>4</v>
      </c>
      <c r="B5" s="357" t="str">
        <f>Dashboard!$J$1</f>
        <v>OnlineBidding</v>
      </c>
      <c r="C5" s="407">
        <f ca="1">Dashboard!$F$1</f>
        <v>46149</v>
      </c>
      <c r="D5" s="407">
        <f ca="1">Dashboard!$H$1</f>
        <v>46163</v>
      </c>
      <c r="E5" s="62" t="s">
        <v>84</v>
      </c>
      <c r="F5" s="229" t="s">
        <v>1462</v>
      </c>
      <c r="G5" s="229" t="s">
        <v>1465</v>
      </c>
      <c r="H5" s="305" t="s">
        <v>1466</v>
      </c>
      <c r="I5" s="391" t="s">
        <v>289</v>
      </c>
      <c r="J5" s="181">
        <v>2</v>
      </c>
      <c r="K5" s="228">
        <v>2</v>
      </c>
      <c r="L5" s="228"/>
      <c r="M5" s="203" t="s">
        <v>290</v>
      </c>
      <c r="N5" s="316" t="s">
        <v>1459</v>
      </c>
      <c r="O5" s="228" t="s">
        <v>291</v>
      </c>
      <c r="P5" s="203" t="s">
        <v>1463</v>
      </c>
      <c r="Q5" s="352" t="s">
        <v>291</v>
      </c>
      <c r="R5" s="358" t="s">
        <v>1467</v>
      </c>
      <c r="S5" s="360">
        <v>45635</v>
      </c>
      <c r="T5" s="360">
        <v>45636</v>
      </c>
      <c r="U5" s="362" t="s">
        <v>1463</v>
      </c>
      <c r="V5" s="402" t="s">
        <v>860</v>
      </c>
      <c r="W5" s="357" t="s">
        <v>1315</v>
      </c>
      <c r="X5" s="360">
        <v>45636</v>
      </c>
      <c r="Y5" s="352" t="s">
        <v>291</v>
      </c>
      <c r="Z5" s="228" t="s">
        <v>291</v>
      </c>
      <c r="AA5" s="228" t="s">
        <v>291</v>
      </c>
      <c r="AB5" s="378"/>
    </row>
    <row r="6" spans="1:753" s="58" customFormat="1" ht="30.75" customHeight="1">
      <c r="A6" s="357">
        <v>5</v>
      </c>
      <c r="B6" s="357" t="str">
        <f>Dashboard!$J$1</f>
        <v>OnlineBidding</v>
      </c>
      <c r="C6" s="407">
        <f ca="1">Dashboard!$F$1</f>
        <v>46149</v>
      </c>
      <c r="D6" s="407">
        <f ca="1">Dashboard!$H$1</f>
        <v>46163</v>
      </c>
      <c r="E6" s="203" t="s">
        <v>84</v>
      </c>
      <c r="F6" s="246" t="s">
        <v>298</v>
      </c>
      <c r="G6" s="203" t="s">
        <v>1211</v>
      </c>
      <c r="H6" s="90" t="s">
        <v>1468</v>
      </c>
      <c r="I6" s="352" t="s">
        <v>289</v>
      </c>
      <c r="J6" s="357">
        <v>1</v>
      </c>
      <c r="K6" s="228">
        <v>1</v>
      </c>
      <c r="L6" s="228"/>
      <c r="M6" s="203" t="s">
        <v>290</v>
      </c>
      <c r="N6" s="316" t="s">
        <v>292</v>
      </c>
      <c r="O6" s="228" t="s">
        <v>291</v>
      </c>
      <c r="P6" s="203" t="s">
        <v>426</v>
      </c>
      <c r="Q6" s="352" t="s">
        <v>1469</v>
      </c>
      <c r="R6" s="358" t="s">
        <v>1470</v>
      </c>
      <c r="S6" s="360">
        <v>45643</v>
      </c>
      <c r="T6" s="360">
        <v>45645</v>
      </c>
      <c r="U6" s="228" t="s">
        <v>426</v>
      </c>
      <c r="V6" s="401" t="s">
        <v>860</v>
      </c>
      <c r="W6" s="228" t="s">
        <v>295</v>
      </c>
      <c r="X6" s="360">
        <v>45645</v>
      </c>
      <c r="Y6" s="352" t="s">
        <v>291</v>
      </c>
      <c r="Z6" s="228" t="s">
        <v>291</v>
      </c>
      <c r="AA6" s="228" t="s">
        <v>291</v>
      </c>
      <c r="AB6" s="245"/>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s="227"/>
    </row>
    <row r="7" spans="1:753" ht="32.25" customHeight="1">
      <c r="A7" s="369">
        <v>6</v>
      </c>
      <c r="B7" s="369" t="str">
        <f>Dashboard!$J$1</f>
        <v>OnlineBidding</v>
      </c>
      <c r="C7" s="372">
        <f ca="1">Dashboard!$F$1</f>
        <v>46149</v>
      </c>
      <c r="D7" s="372">
        <f ca="1">Dashboard!$H$1</f>
        <v>46163</v>
      </c>
      <c r="E7" s="203" t="s">
        <v>1471</v>
      </c>
      <c r="F7" s="250" t="s">
        <v>1459</v>
      </c>
      <c r="G7" s="329" t="s">
        <v>1472</v>
      </c>
      <c r="H7" s="329" t="s">
        <v>1473</v>
      </c>
      <c r="I7" s="352" t="s">
        <v>1474</v>
      </c>
      <c r="J7" s="327">
        <v>3</v>
      </c>
      <c r="K7" s="327">
        <v>3</v>
      </c>
      <c r="L7" s="327"/>
      <c r="M7" s="203" t="s">
        <v>290</v>
      </c>
      <c r="N7" s="333" t="s">
        <v>1462</v>
      </c>
      <c r="O7" s="327" t="s">
        <v>291</v>
      </c>
      <c r="P7" s="229" t="s">
        <v>1463</v>
      </c>
      <c r="Q7" s="374" t="s">
        <v>291</v>
      </c>
      <c r="R7" s="271" t="s">
        <v>1475</v>
      </c>
      <c r="S7" s="360">
        <v>45643</v>
      </c>
      <c r="T7" s="373">
        <v>45645</v>
      </c>
      <c r="U7" s="327" t="s">
        <v>1463</v>
      </c>
      <c r="V7" s="370" t="s">
        <v>860</v>
      </c>
      <c r="W7" s="327" t="s">
        <v>295</v>
      </c>
      <c r="X7" s="373">
        <v>45645</v>
      </c>
      <c r="Y7" s="352" t="s">
        <v>291</v>
      </c>
      <c r="Z7" s="228" t="s">
        <v>291</v>
      </c>
      <c r="AA7" s="228" t="s">
        <v>291</v>
      </c>
      <c r="AB7" s="388" t="s">
        <v>1476</v>
      </c>
    </row>
    <row r="8" spans="1:753" ht="39" customHeight="1">
      <c r="A8" s="327">
        <v>7</v>
      </c>
      <c r="B8" s="327" t="str">
        <f>Dashboard!$J$1</f>
        <v>OnlineBidding</v>
      </c>
      <c r="C8" s="373">
        <f ca="1">Dashboard!$F$1</f>
        <v>46149</v>
      </c>
      <c r="D8" s="373">
        <f ca="1">Dashboard!$H$1</f>
        <v>46163</v>
      </c>
      <c r="E8" s="203" t="s">
        <v>1471</v>
      </c>
      <c r="F8" s="229" t="s">
        <v>890</v>
      </c>
      <c r="G8" s="229" t="s">
        <v>1436</v>
      </c>
      <c r="H8" s="329" t="s">
        <v>1437</v>
      </c>
      <c r="I8" s="327" t="s">
        <v>1453</v>
      </c>
      <c r="J8" s="327">
        <v>5</v>
      </c>
      <c r="K8" s="327"/>
      <c r="L8" s="327"/>
      <c r="M8" s="229"/>
      <c r="N8" s="329"/>
      <c r="O8" s="327"/>
      <c r="P8" s="229"/>
      <c r="Q8" s="374"/>
      <c r="R8" s="271"/>
      <c r="S8" s="373"/>
      <c r="T8" s="373"/>
      <c r="U8" s="327"/>
      <c r="V8" s="370"/>
      <c r="W8" s="327"/>
      <c r="X8" s="373"/>
      <c r="Y8" s="352"/>
      <c r="Z8" s="228"/>
      <c r="AA8" s="228"/>
      <c r="AB8" s="388" t="s">
        <v>1477</v>
      </c>
    </row>
    <row r="9" spans="1:753" ht="32.25" customHeight="1">
      <c r="A9" s="228">
        <v>8</v>
      </c>
      <c r="B9" s="228" t="str">
        <f>Dashboard!$J$1</f>
        <v>OnlineBidding</v>
      </c>
      <c r="C9" s="360">
        <f ca="1">Dashboard!$F$1</f>
        <v>46149</v>
      </c>
      <c r="D9" s="360">
        <f ca="1">Dashboard!$H$1</f>
        <v>46163</v>
      </c>
      <c r="E9" s="203" t="s">
        <v>1471</v>
      </c>
      <c r="F9" s="58" t="s">
        <v>1459</v>
      </c>
      <c r="G9" s="203" t="s">
        <v>1478</v>
      </c>
      <c r="H9" s="316" t="s">
        <v>1479</v>
      </c>
      <c r="I9" s="327" t="s">
        <v>532</v>
      </c>
      <c r="J9" s="228">
        <v>2</v>
      </c>
      <c r="K9" s="228">
        <v>2</v>
      </c>
      <c r="L9" s="228"/>
      <c r="M9" s="203" t="s">
        <v>290</v>
      </c>
      <c r="N9" s="316" t="s">
        <v>1462</v>
      </c>
      <c r="O9" s="228" t="s">
        <v>291</v>
      </c>
      <c r="P9" s="203" t="s">
        <v>426</v>
      </c>
      <c r="Q9" s="58"/>
      <c r="R9" s="200" t="s">
        <v>1480</v>
      </c>
      <c r="S9" s="360">
        <v>45656</v>
      </c>
      <c r="T9" s="360">
        <v>45657</v>
      </c>
      <c r="U9" s="228" t="s">
        <v>426</v>
      </c>
      <c r="V9" s="393" t="s">
        <v>1481</v>
      </c>
      <c r="W9" s="228" t="s">
        <v>295</v>
      </c>
      <c r="X9" s="360">
        <v>45659</v>
      </c>
      <c r="Y9" s="352" t="s">
        <v>291</v>
      </c>
      <c r="Z9" s="352" t="s">
        <v>291</v>
      </c>
      <c r="AA9" s="352" t="s">
        <v>291</v>
      </c>
      <c r="AB9" s="378" t="s">
        <v>1482</v>
      </c>
    </row>
    <row r="10" spans="1:753" ht="33.75" customHeight="1">
      <c r="A10" s="228">
        <v>9</v>
      </c>
      <c r="B10" s="77" t="str">
        <f>Dashboard!$J$1</f>
        <v>OnlineBidding</v>
      </c>
      <c r="C10" s="140">
        <f ca="1">Dashboard!$F$1</f>
        <v>46149</v>
      </c>
      <c r="D10" s="140">
        <f ca="1">Dashboard!$H$1</f>
        <v>46163</v>
      </c>
      <c r="E10" s="203" t="s">
        <v>1471</v>
      </c>
      <c r="F10" s="58" t="s">
        <v>1462</v>
      </c>
      <c r="G10" s="203" t="s">
        <v>1483</v>
      </c>
      <c r="H10" s="316" t="s">
        <v>1484</v>
      </c>
      <c r="I10" s="77" t="s">
        <v>532</v>
      </c>
      <c r="J10" s="228">
        <v>3</v>
      </c>
      <c r="K10" s="228">
        <v>3</v>
      </c>
      <c r="L10" s="228"/>
      <c r="M10" s="83" t="s">
        <v>290</v>
      </c>
      <c r="N10" s="316" t="s">
        <v>1459</v>
      </c>
      <c r="O10" s="228" t="s">
        <v>291</v>
      </c>
      <c r="P10" s="203" t="s">
        <v>426</v>
      </c>
      <c r="Q10" s="58"/>
      <c r="R10" s="200" t="s">
        <v>1485</v>
      </c>
      <c r="S10" s="140">
        <v>45656</v>
      </c>
      <c r="T10" s="140">
        <v>45657</v>
      </c>
      <c r="U10" s="228" t="s">
        <v>426</v>
      </c>
      <c r="V10" s="352"/>
      <c r="W10" s="228" t="s">
        <v>295</v>
      </c>
      <c r="X10" s="140">
        <v>45659</v>
      </c>
      <c r="Y10" s="84" t="s">
        <v>291</v>
      </c>
      <c r="Z10" s="84" t="s">
        <v>291</v>
      </c>
      <c r="AA10" s="84" t="s">
        <v>291</v>
      </c>
      <c r="AB10" s="464" t="s">
        <v>1482</v>
      </c>
    </row>
    <row r="11" spans="1:753" ht="66.75" customHeight="1">
      <c r="A11" s="228">
        <v>10</v>
      </c>
      <c r="B11" s="77" t="str">
        <f>Dashboard!$J$1</f>
        <v>OnlineBidding</v>
      </c>
      <c r="C11" s="140">
        <f ca="1">Dashboard!$F$1</f>
        <v>46149</v>
      </c>
      <c r="D11" s="140">
        <f ca="1">Dashboard!$H$1</f>
        <v>46163</v>
      </c>
      <c r="E11" s="203" t="s">
        <v>1471</v>
      </c>
      <c r="F11" s="83" t="s">
        <v>292</v>
      </c>
      <c r="G11" s="203" t="s">
        <v>1486</v>
      </c>
      <c r="H11" s="316" t="s">
        <v>1487</v>
      </c>
      <c r="I11" s="77" t="s">
        <v>289</v>
      </c>
      <c r="J11" s="228">
        <v>2</v>
      </c>
      <c r="K11" s="228">
        <v>2</v>
      </c>
      <c r="L11" s="228"/>
      <c r="M11" s="83" t="s">
        <v>290</v>
      </c>
      <c r="N11" s="316" t="s">
        <v>298</v>
      </c>
      <c r="O11" s="228" t="s">
        <v>291</v>
      </c>
      <c r="P11" s="203" t="s">
        <v>426</v>
      </c>
      <c r="Q11" s="58"/>
      <c r="R11" s="200" t="s">
        <v>1488</v>
      </c>
      <c r="S11" s="140">
        <v>45636</v>
      </c>
      <c r="T11" s="140">
        <v>45639</v>
      </c>
      <c r="U11" s="228" t="s">
        <v>426</v>
      </c>
      <c r="V11" s="352"/>
      <c r="W11" s="228" t="s">
        <v>295</v>
      </c>
      <c r="X11" s="140">
        <v>45639</v>
      </c>
      <c r="Y11" s="84" t="s">
        <v>291</v>
      </c>
      <c r="Z11" s="84" t="s">
        <v>291</v>
      </c>
      <c r="AA11" s="84" t="s">
        <v>291</v>
      </c>
      <c r="AB11" s="390" t="s">
        <v>1489</v>
      </c>
    </row>
  </sheetData>
  <hyperlinks>
    <hyperlink ref="R4" r:id="rId1" xr:uid="{7C94F8E7-78FA-4F7B-A2CC-6D74D1E58A61}"/>
    <hyperlink ref="R3" r:id="rId2" xr:uid="{FBB42E3C-831A-428A-A8F3-8E018A01BB7C}"/>
    <hyperlink ref="R5" r:id="rId3" xr:uid="{A1DFCDFE-2DAD-485D-95E0-A683C2319207}"/>
    <hyperlink ref="R6" r:id="rId4" xr:uid="{B38C64B1-C5A9-4DA9-9F51-C44DE46BE6E8}"/>
    <hyperlink ref="R7" r:id="rId5" xr:uid="{FB10C990-B289-471B-9CD3-36D7AD009866}"/>
    <hyperlink ref="R9" r:id="rId6" xr:uid="{472424ED-89EC-487C-A2CC-CF4FEC6D848E}"/>
    <hyperlink ref="R10" r:id="rId7" xr:uid="{227EE646-B322-433F-842E-F3E34D17C182}"/>
    <hyperlink ref="R11" r:id="rId8" xr:uid="{B472B547-C174-43B4-AC18-C1FA5211F129}"/>
  </hyperlinks>
  <pageMargins left="0.7" right="0.7" top="0.75" bottom="0.75" header="0.3" footer="0.3"/>
  <tableParts count="1">
    <tablePart r:id="rId9"/>
  </tableParts>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72E79-24D6-4095-9395-6387B7B3F038}">
  <dimension ref="A1:ABU3"/>
  <sheetViews>
    <sheetView workbookViewId="0">
      <selection activeCell="J1" sqref="J1:J1048576"/>
    </sheetView>
  </sheetViews>
  <sheetFormatPr defaultRowHeight="12.75"/>
  <cols>
    <col min="1" max="1" width="9.42578125" customWidth="1"/>
    <col min="2" max="2" width="29.7109375" customWidth="1"/>
    <col min="3" max="3" width="17.5703125" customWidth="1"/>
    <col min="4" max="4" width="12.28515625" customWidth="1"/>
    <col min="5" max="5" width="15.7109375" customWidth="1"/>
    <col min="6" max="6" width="54.85546875" customWidth="1"/>
    <col min="7" max="7" width="13.7109375" customWidth="1"/>
    <col min="8" max="8" width="10" customWidth="1"/>
    <col min="9" max="9" width="12" customWidth="1"/>
    <col min="10" max="10" width="14.7109375" customWidth="1"/>
    <col min="11" max="11" width="22.85546875" customWidth="1"/>
  </cols>
  <sheetData>
    <row r="1" spans="1:749" ht="27">
      <c r="A1" s="59" t="s">
        <v>254</v>
      </c>
      <c r="B1" s="154" t="s">
        <v>11</v>
      </c>
      <c r="C1" s="155" t="s">
        <v>322</v>
      </c>
      <c r="D1" s="154" t="s">
        <v>256</v>
      </c>
      <c r="E1" s="155" t="s">
        <v>324</v>
      </c>
      <c r="F1" s="155" t="s">
        <v>325</v>
      </c>
      <c r="G1" s="154" t="s">
        <v>326</v>
      </c>
      <c r="H1" s="154" t="s">
        <v>328</v>
      </c>
      <c r="I1" s="154" t="s">
        <v>259</v>
      </c>
      <c r="J1" s="156" t="s">
        <v>329</v>
      </c>
      <c r="K1" s="157" t="s">
        <v>280</v>
      </c>
      <c r="L1" s="35"/>
      <c r="M1" s="35"/>
      <c r="N1" s="35"/>
      <c r="O1" s="35"/>
      <c r="P1" s="35"/>
      <c r="Q1" s="35"/>
      <c r="R1" s="35"/>
      <c r="S1" s="35"/>
      <c r="T1" s="35"/>
      <c r="U1" s="35"/>
      <c r="V1" s="35"/>
      <c r="W1" s="35"/>
      <c r="X1" s="35"/>
      <c r="Y1" s="35"/>
      <c r="Z1" s="35"/>
    </row>
    <row r="2" spans="1:749">
      <c r="A2" s="369"/>
      <c r="B2" s="203"/>
      <c r="C2" s="250"/>
      <c r="D2" s="329"/>
      <c r="E2" s="305"/>
      <c r="F2" s="90"/>
      <c r="G2" s="369"/>
      <c r="H2" s="327"/>
      <c r="I2" s="229"/>
      <c r="J2" s="329"/>
      <c r="K2" s="390"/>
      <c r="L2" s="316"/>
      <c r="M2" s="403"/>
      <c r="N2" s="271"/>
      <c r="O2" s="372"/>
      <c r="P2" s="373"/>
      <c r="Q2" s="370"/>
      <c r="R2" s="370"/>
      <c r="S2" s="327"/>
      <c r="T2" s="373"/>
      <c r="U2" s="370"/>
      <c r="V2" s="327"/>
      <c r="W2" s="327"/>
      <c r="X2" s="249"/>
      <c r="ABU2" s="242"/>
    </row>
    <row r="3" spans="1:749">
      <c r="A3" s="61"/>
      <c r="B3" s="203"/>
      <c r="C3" s="58"/>
      <c r="D3" s="304"/>
      <c r="E3" s="41"/>
      <c r="F3" s="216"/>
      <c r="G3" s="19"/>
      <c r="H3" s="41"/>
      <c r="I3" s="41"/>
      <c r="J3" s="41"/>
      <c r="K3" s="19"/>
    </row>
  </sheetData>
  <dataValidations count="5">
    <dataValidation type="list" allowBlank="1" showErrorMessage="1" sqref="E3" xr:uid="{270CA56D-CB4B-463C-80A3-FBEB30E7375C}">
      <formula1>"Bounceback,Defect,None"</formula1>
    </dataValidation>
    <dataValidation type="list" allowBlank="1" showErrorMessage="1" sqref="E2" xr:uid="{EB0870B2-D31B-4840-B8BA-E8C1E13E9ACF}">
      <formula1>"Bounceback,Defect,Sub Task,None"</formula1>
    </dataValidation>
    <dataValidation type="list" allowBlank="1" showErrorMessage="1" sqref="G2:G3" xr:uid="{8A873BD7-85B3-4DC4-9664-29D51964F21A}">
      <formula1>"Minor,Significant,Major"</formula1>
    </dataValidation>
    <dataValidation type="list" allowBlank="1" showErrorMessage="1" sqref="I2:I3" xr:uid="{A22E7FA0-41CE-42B8-A4A9-9A53D14A27D4}">
      <formula1>"Open,Inprogress,Closed"</formula1>
    </dataValidation>
    <dataValidation type="list" allowBlank="1" showErrorMessage="1" sqref="H2:H3" xr:uid="{E433CB94-050B-4A59-8B4F-0E47EDEB8652}">
      <formula1>"Internal,External"</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5A1BA021-4F41-483B-8B56-0B7737F74ED9}">
          <x14:formula1>
            <xm:f>Details!$A$2:$A$10</xm:f>
          </x14:formula1>
          <xm:sqref>J2:J3</xm:sqref>
        </x14:dataValidation>
      </x14:dataValidations>
    </ext>
  </extLst>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CFB8E-367B-4B43-A497-DE53085A1E10}">
  <dimension ref="A1:ABU10"/>
  <sheetViews>
    <sheetView workbookViewId="0">
      <pane xSplit="4" ySplit="1" topLeftCell="F2" activePane="bottomRight" state="frozen"/>
      <selection pane="bottomRight" activeCell="F2" sqref="F2"/>
      <selection pane="bottomLeft"/>
      <selection pane="topRight"/>
    </sheetView>
  </sheetViews>
  <sheetFormatPr defaultRowHeight="12.75"/>
  <cols>
    <col min="2" max="2" width="27.5703125" customWidth="1"/>
    <col min="3" max="3" width="14.42578125" customWidth="1"/>
    <col min="4" max="4" width="11.42578125" bestFit="1" customWidth="1"/>
    <col min="5" max="5" width="41.7109375" style="137" customWidth="1"/>
    <col min="6" max="6" width="14.28515625" customWidth="1"/>
    <col min="7" max="8" width="11.42578125" bestFit="1" customWidth="1"/>
    <col min="9" max="9" width="13.140625" customWidth="1"/>
    <col min="10" max="10" width="13.42578125" style="144" customWidth="1"/>
    <col min="11" max="11" width="15.42578125" customWidth="1"/>
    <col min="12" max="12" width="16.42578125" customWidth="1"/>
    <col min="13" max="13" width="14.85546875" customWidth="1"/>
    <col min="14" max="14" width="11.42578125" style="144" bestFit="1" customWidth="1"/>
    <col min="15" max="16" width="12.7109375" bestFit="1" customWidth="1"/>
    <col min="17" max="17" width="11.42578125" bestFit="1" customWidth="1"/>
    <col min="18" max="18" width="11.42578125" style="144" bestFit="1" customWidth="1"/>
    <col min="19" max="19" width="11.42578125" bestFit="1" customWidth="1"/>
    <col min="20" max="20" width="12.7109375" bestFit="1" customWidth="1"/>
    <col min="21" max="23" width="11.42578125" bestFit="1" customWidth="1"/>
    <col min="24" max="24" width="27.42578125" customWidth="1"/>
  </cols>
  <sheetData>
    <row r="1" spans="1:749" ht="46.5">
      <c r="A1" s="379" t="s">
        <v>254</v>
      </c>
      <c r="B1" s="380" t="s">
        <v>255</v>
      </c>
      <c r="C1" s="381" t="s">
        <v>256</v>
      </c>
      <c r="D1" s="382" t="s">
        <v>257</v>
      </c>
      <c r="E1" s="383" t="s">
        <v>258</v>
      </c>
      <c r="F1" s="383" t="s">
        <v>259</v>
      </c>
      <c r="G1" s="384" t="s">
        <v>260</v>
      </c>
      <c r="H1" s="384" t="s">
        <v>261</v>
      </c>
      <c r="I1" s="385" t="s">
        <v>265</v>
      </c>
      <c r="J1" s="385" t="s">
        <v>266</v>
      </c>
      <c r="K1" s="385" t="s">
        <v>267</v>
      </c>
      <c r="L1" s="385" t="s">
        <v>268</v>
      </c>
      <c r="M1" s="385" t="s">
        <v>269</v>
      </c>
      <c r="N1" s="385" t="s">
        <v>270</v>
      </c>
      <c r="O1" s="385" t="s">
        <v>271</v>
      </c>
      <c r="P1" s="385" t="s">
        <v>272</v>
      </c>
      <c r="Q1" s="385" t="s">
        <v>273</v>
      </c>
      <c r="R1" s="385" t="s">
        <v>274</v>
      </c>
      <c r="S1" s="385" t="s">
        <v>275</v>
      </c>
      <c r="T1" s="385" t="s">
        <v>276</v>
      </c>
      <c r="U1" s="385" t="s">
        <v>277</v>
      </c>
      <c r="V1" s="385" t="s">
        <v>278</v>
      </c>
      <c r="W1" s="385" t="s">
        <v>279</v>
      </c>
      <c r="X1" s="386" t="s">
        <v>280</v>
      </c>
    </row>
    <row r="2" spans="1:749" s="256" customFormat="1" ht="38.25" customHeight="1">
      <c r="A2" s="357">
        <v>1</v>
      </c>
      <c r="B2" s="62" t="s">
        <v>80</v>
      </c>
      <c r="C2" s="62" t="s">
        <v>298</v>
      </c>
      <c r="D2" s="62" t="s">
        <v>1490</v>
      </c>
      <c r="E2" s="90" t="s">
        <v>1491</v>
      </c>
      <c r="F2" s="391" t="s">
        <v>289</v>
      </c>
      <c r="G2" s="228">
        <v>2</v>
      </c>
      <c r="H2" s="228">
        <v>2</v>
      </c>
      <c r="I2" s="62" t="s">
        <v>290</v>
      </c>
      <c r="J2" s="316" t="s">
        <v>457</v>
      </c>
      <c r="K2" s="228" t="s">
        <v>291</v>
      </c>
      <c r="L2" s="62" t="s">
        <v>292</v>
      </c>
      <c r="M2" s="352" t="s">
        <v>291</v>
      </c>
      <c r="N2" s="279" t="s">
        <v>1492</v>
      </c>
      <c r="O2" s="359">
        <v>45622</v>
      </c>
      <c r="P2" s="359">
        <v>45623</v>
      </c>
      <c r="Q2" s="352" t="s">
        <v>426</v>
      </c>
      <c r="R2" s="352" t="s">
        <v>291</v>
      </c>
      <c r="S2" s="228" t="s">
        <v>295</v>
      </c>
      <c r="T2" s="360">
        <v>45623</v>
      </c>
      <c r="U2" s="228" t="s">
        <v>291</v>
      </c>
      <c r="V2" s="327" t="s">
        <v>291</v>
      </c>
      <c r="W2" s="327" t="s">
        <v>291</v>
      </c>
      <c r="X2" s="376"/>
    </row>
    <row r="3" spans="1:749" s="137" customFormat="1" ht="41.25" customHeight="1">
      <c r="A3" s="357">
        <v>2</v>
      </c>
      <c r="B3" s="62" t="s">
        <v>80</v>
      </c>
      <c r="C3" s="203" t="s">
        <v>292</v>
      </c>
      <c r="D3" s="229" t="s">
        <v>1493</v>
      </c>
      <c r="E3" s="305" t="s">
        <v>1494</v>
      </c>
      <c r="F3" s="391" t="s">
        <v>289</v>
      </c>
      <c r="G3" s="228">
        <v>3</v>
      </c>
      <c r="H3" s="228">
        <v>3</v>
      </c>
      <c r="I3" s="62" t="s">
        <v>290</v>
      </c>
      <c r="J3" s="335" t="s">
        <v>298</v>
      </c>
      <c r="K3" s="228" t="s">
        <v>291</v>
      </c>
      <c r="L3" s="62" t="s">
        <v>426</v>
      </c>
      <c r="M3" s="352" t="s">
        <v>291</v>
      </c>
      <c r="N3" s="392" t="s">
        <v>1495</v>
      </c>
      <c r="O3" s="360">
        <v>45623</v>
      </c>
      <c r="P3" s="360">
        <v>45624</v>
      </c>
      <c r="Q3" s="228" t="s">
        <v>426</v>
      </c>
      <c r="R3" s="352" t="s">
        <v>291</v>
      </c>
      <c r="S3" s="228" t="s">
        <v>1496</v>
      </c>
      <c r="T3" s="360">
        <v>45624</v>
      </c>
      <c r="U3" s="362" t="s">
        <v>291</v>
      </c>
      <c r="V3" s="363" t="s">
        <v>291</v>
      </c>
      <c r="W3" s="363" t="s">
        <v>291</v>
      </c>
      <c r="X3" s="377"/>
    </row>
    <row r="4" spans="1:749" ht="36.75" customHeight="1">
      <c r="A4" s="357">
        <v>3</v>
      </c>
      <c r="B4" s="62" t="s">
        <v>80</v>
      </c>
      <c r="C4" s="203" t="s">
        <v>1462</v>
      </c>
      <c r="D4" s="229" t="s">
        <v>1497</v>
      </c>
      <c r="E4" s="305" t="s">
        <v>1498</v>
      </c>
      <c r="F4" s="391" t="s">
        <v>289</v>
      </c>
      <c r="G4" s="228">
        <v>5</v>
      </c>
      <c r="H4" s="228">
        <v>5</v>
      </c>
      <c r="I4" s="203" t="s">
        <v>290</v>
      </c>
      <c r="J4" s="316" t="s">
        <v>457</v>
      </c>
      <c r="K4" s="352" t="s">
        <v>291</v>
      </c>
      <c r="L4" s="203" t="s">
        <v>1463</v>
      </c>
      <c r="M4" s="352" t="s">
        <v>291</v>
      </c>
      <c r="N4" s="358" t="s">
        <v>1499</v>
      </c>
      <c r="O4" s="360">
        <v>45623</v>
      </c>
      <c r="P4" s="360">
        <v>45629</v>
      </c>
      <c r="Q4" s="228" t="s">
        <v>1463</v>
      </c>
      <c r="R4" s="375" t="s">
        <v>291</v>
      </c>
      <c r="S4" s="228" t="s">
        <v>1315</v>
      </c>
      <c r="T4" s="360">
        <v>45629</v>
      </c>
      <c r="U4" s="362" t="s">
        <v>291</v>
      </c>
      <c r="V4" s="363" t="s">
        <v>291</v>
      </c>
      <c r="W4" s="363" t="s">
        <v>291</v>
      </c>
      <c r="X4" s="377"/>
      <c r="Y4" s="137"/>
      <c r="Z4" s="137"/>
      <c r="AA4" s="137"/>
      <c r="AB4" s="137"/>
      <c r="AC4" s="137"/>
      <c r="AD4" s="137"/>
      <c r="AE4" s="137"/>
      <c r="AF4" s="137"/>
      <c r="AG4" s="137"/>
      <c r="AH4" s="137"/>
      <c r="AI4" s="137"/>
      <c r="AJ4" s="137"/>
      <c r="AK4" s="137"/>
      <c r="AL4" s="137"/>
      <c r="AM4" s="137"/>
      <c r="AN4" s="137"/>
      <c r="AO4" s="137"/>
      <c r="AP4" s="137"/>
      <c r="AQ4" s="137"/>
      <c r="AR4" s="137"/>
      <c r="AS4" s="137"/>
      <c r="AT4" s="137"/>
      <c r="AU4" s="137"/>
      <c r="AV4" s="137"/>
      <c r="AW4" s="137"/>
      <c r="AX4" s="137"/>
      <c r="AY4" s="137"/>
      <c r="AZ4" s="137"/>
      <c r="BA4" s="137"/>
      <c r="BB4" s="137"/>
      <c r="BC4" s="137"/>
      <c r="BD4" s="137"/>
      <c r="BE4" s="137"/>
      <c r="BF4" s="137"/>
      <c r="BG4" s="137"/>
      <c r="BH4" s="137"/>
      <c r="BI4" s="137"/>
      <c r="BJ4" s="137"/>
      <c r="BK4" s="137"/>
      <c r="BL4" s="137"/>
      <c r="BM4" s="137"/>
      <c r="BN4" s="137"/>
      <c r="BO4" s="137"/>
      <c r="BP4" s="137"/>
      <c r="BQ4" s="137"/>
      <c r="BR4" s="137"/>
      <c r="BS4" s="137"/>
      <c r="BT4" s="137"/>
      <c r="BU4" s="137"/>
      <c r="BV4" s="137"/>
      <c r="BW4" s="137"/>
      <c r="BX4" s="137"/>
      <c r="BY4" s="137"/>
      <c r="BZ4" s="137"/>
      <c r="CA4" s="137"/>
      <c r="CB4" s="137"/>
      <c r="CC4" s="137"/>
      <c r="CD4" s="137"/>
      <c r="CE4" s="137"/>
      <c r="CF4" s="137"/>
      <c r="CG4" s="137"/>
      <c r="CH4" s="137"/>
      <c r="CI4" s="137"/>
      <c r="CJ4" s="137"/>
      <c r="CK4" s="137"/>
      <c r="CL4" s="137"/>
      <c r="CM4" s="137"/>
      <c r="CN4" s="137"/>
      <c r="CO4" s="137"/>
      <c r="CP4" s="137"/>
      <c r="CQ4" s="137"/>
      <c r="CR4" s="137"/>
      <c r="CS4" s="137"/>
      <c r="CT4" s="137"/>
      <c r="CU4" s="137"/>
      <c r="CV4" s="137"/>
      <c r="CW4" s="137"/>
      <c r="CX4" s="137"/>
      <c r="CY4" s="137"/>
      <c r="CZ4" s="137"/>
      <c r="DA4" s="137"/>
      <c r="DB4" s="137"/>
      <c r="DC4" s="137"/>
      <c r="DD4" s="137"/>
      <c r="DE4" s="137"/>
      <c r="DF4" s="137"/>
      <c r="DG4" s="137"/>
      <c r="DH4" s="137"/>
      <c r="DI4" s="137"/>
      <c r="DJ4" s="137"/>
      <c r="DK4" s="137"/>
      <c r="DL4" s="137"/>
      <c r="DM4" s="137"/>
      <c r="DN4" s="137"/>
      <c r="DO4" s="137"/>
      <c r="DP4" s="137"/>
      <c r="DQ4" s="137"/>
      <c r="DR4" s="137"/>
      <c r="DS4" s="137"/>
      <c r="DT4" s="137"/>
      <c r="DU4" s="137"/>
      <c r="DV4" s="137"/>
      <c r="DW4" s="137"/>
      <c r="DX4" s="137"/>
      <c r="DY4" s="137"/>
      <c r="DZ4" s="137"/>
      <c r="EA4" s="137"/>
      <c r="EB4" s="137"/>
      <c r="EC4" s="137"/>
      <c r="ED4" s="137"/>
      <c r="EE4" s="137"/>
      <c r="EF4" s="137"/>
      <c r="EG4" s="137"/>
      <c r="EH4" s="137"/>
      <c r="EI4" s="137"/>
      <c r="EJ4" s="137"/>
      <c r="EK4" s="137"/>
      <c r="EL4" s="137"/>
      <c r="EM4" s="137"/>
      <c r="EN4" s="137"/>
      <c r="EO4" s="137"/>
      <c r="EP4" s="137"/>
      <c r="EQ4" s="137"/>
      <c r="ER4" s="137"/>
      <c r="ES4" s="137"/>
      <c r="ET4" s="137"/>
      <c r="EU4" s="137"/>
      <c r="EV4" s="137"/>
      <c r="EW4" s="137"/>
      <c r="EX4" s="137"/>
      <c r="EY4" s="137"/>
      <c r="EZ4" s="137"/>
      <c r="FA4" s="137"/>
      <c r="FB4" s="137"/>
      <c r="FC4" s="137"/>
      <c r="FD4" s="137"/>
      <c r="FE4" s="137"/>
      <c r="FF4" s="137"/>
      <c r="FG4" s="137"/>
      <c r="FH4" s="137"/>
      <c r="FI4" s="137"/>
      <c r="FJ4" s="137"/>
      <c r="FK4" s="137"/>
      <c r="FL4" s="137"/>
      <c r="FM4" s="137"/>
      <c r="FN4" s="137"/>
      <c r="FO4" s="137"/>
      <c r="FP4" s="137"/>
      <c r="FQ4" s="137"/>
      <c r="FR4" s="137"/>
      <c r="FS4" s="137"/>
      <c r="FT4" s="137"/>
      <c r="FU4" s="137"/>
      <c r="FV4" s="137"/>
      <c r="FW4" s="137"/>
      <c r="FX4" s="137"/>
      <c r="FY4" s="137"/>
      <c r="FZ4" s="137"/>
      <c r="GA4" s="137"/>
      <c r="GB4" s="137"/>
      <c r="GC4" s="137"/>
      <c r="GD4" s="137"/>
      <c r="GE4" s="137"/>
      <c r="GF4" s="137"/>
      <c r="GG4" s="137"/>
      <c r="GH4" s="137"/>
      <c r="GI4" s="137"/>
      <c r="GJ4" s="137"/>
      <c r="GK4" s="137"/>
      <c r="GL4" s="137"/>
      <c r="GM4" s="137"/>
      <c r="GN4" s="137"/>
      <c r="GO4" s="137"/>
      <c r="GP4" s="137"/>
      <c r="GQ4" s="137"/>
      <c r="GR4" s="137"/>
      <c r="GS4" s="137"/>
      <c r="GT4" s="137"/>
      <c r="GU4" s="137"/>
      <c r="GV4" s="137"/>
      <c r="GW4" s="137"/>
      <c r="GX4" s="137"/>
      <c r="GY4" s="137"/>
      <c r="GZ4" s="137"/>
      <c r="HA4" s="137"/>
      <c r="HB4" s="137"/>
      <c r="HC4" s="137"/>
      <c r="HD4" s="137"/>
      <c r="HE4" s="137"/>
      <c r="HF4" s="137"/>
      <c r="HG4" s="137"/>
      <c r="HH4" s="137"/>
      <c r="HI4" s="137"/>
      <c r="HJ4" s="137"/>
      <c r="HK4" s="137"/>
      <c r="HL4" s="137"/>
      <c r="HM4" s="137"/>
      <c r="HN4" s="137"/>
      <c r="HO4" s="137"/>
      <c r="HP4" s="137"/>
      <c r="HQ4" s="137"/>
      <c r="HR4" s="137"/>
      <c r="HS4" s="137"/>
      <c r="HT4" s="137"/>
      <c r="HU4" s="137"/>
      <c r="HV4" s="137"/>
      <c r="HW4" s="137"/>
      <c r="HX4" s="137"/>
      <c r="HY4" s="137"/>
      <c r="HZ4" s="137"/>
      <c r="IA4" s="137"/>
      <c r="IB4" s="137"/>
      <c r="IC4" s="137"/>
      <c r="ID4" s="137"/>
      <c r="IE4" s="137"/>
      <c r="IF4" s="137"/>
      <c r="IG4" s="137"/>
      <c r="IH4" s="137"/>
      <c r="II4" s="137"/>
      <c r="IJ4" s="137"/>
      <c r="IK4" s="137"/>
      <c r="IL4" s="137"/>
      <c r="IM4" s="137"/>
      <c r="IN4" s="137"/>
      <c r="IO4" s="137"/>
      <c r="IP4" s="137"/>
      <c r="IQ4" s="137"/>
      <c r="IR4" s="137"/>
      <c r="IS4" s="137"/>
      <c r="IT4" s="137"/>
      <c r="IU4" s="137"/>
      <c r="IV4" s="137"/>
      <c r="IW4" s="137"/>
      <c r="IX4" s="137"/>
      <c r="IY4" s="137"/>
      <c r="IZ4" s="137"/>
      <c r="JA4" s="137"/>
      <c r="JB4" s="137"/>
      <c r="JC4" s="137"/>
      <c r="JD4" s="137"/>
      <c r="JE4" s="137"/>
      <c r="JF4" s="137"/>
      <c r="JG4" s="137"/>
      <c r="JH4" s="137"/>
      <c r="JI4" s="137"/>
      <c r="JJ4" s="137"/>
      <c r="JK4" s="137"/>
      <c r="JL4" s="137"/>
      <c r="JM4" s="137"/>
      <c r="JN4" s="137"/>
      <c r="JO4" s="137"/>
      <c r="JP4" s="137"/>
      <c r="JQ4" s="137"/>
      <c r="JR4" s="137"/>
      <c r="JS4" s="137"/>
      <c r="JT4" s="137"/>
      <c r="JU4" s="137"/>
      <c r="JV4" s="137"/>
      <c r="JW4" s="137"/>
      <c r="JX4" s="137"/>
      <c r="JY4" s="137"/>
      <c r="JZ4" s="137"/>
      <c r="KA4" s="137"/>
      <c r="KB4" s="137"/>
      <c r="KC4" s="137"/>
      <c r="KD4" s="137"/>
      <c r="KE4" s="137"/>
      <c r="KF4" s="137"/>
      <c r="KG4" s="137"/>
      <c r="KH4" s="137"/>
      <c r="KI4" s="137"/>
      <c r="KJ4" s="137"/>
      <c r="KK4" s="137"/>
      <c r="KL4" s="137"/>
      <c r="KM4" s="137"/>
      <c r="KN4" s="137"/>
      <c r="KO4" s="137"/>
      <c r="KP4" s="137"/>
      <c r="KQ4" s="137"/>
      <c r="KR4" s="137"/>
      <c r="KS4" s="137"/>
      <c r="KT4" s="137"/>
      <c r="KU4" s="137"/>
      <c r="KV4" s="137"/>
      <c r="KW4" s="137"/>
      <c r="KX4" s="137"/>
      <c r="KY4" s="137"/>
      <c r="KZ4" s="137"/>
      <c r="LA4" s="137"/>
      <c r="LB4" s="137"/>
      <c r="LC4" s="137"/>
      <c r="LD4" s="137"/>
      <c r="LE4" s="137"/>
      <c r="LF4" s="137"/>
      <c r="LG4" s="137"/>
      <c r="LH4" s="137"/>
      <c r="LI4" s="137"/>
      <c r="LJ4" s="137"/>
      <c r="LK4" s="137"/>
      <c r="LL4" s="137"/>
      <c r="LM4" s="137"/>
      <c r="LN4" s="137"/>
      <c r="LO4" s="137"/>
      <c r="LP4" s="137"/>
      <c r="LQ4" s="137"/>
      <c r="LR4" s="137"/>
      <c r="LS4" s="137"/>
      <c r="LT4" s="137"/>
      <c r="LU4" s="137"/>
      <c r="LV4" s="137"/>
      <c r="LW4" s="137"/>
      <c r="LX4" s="137"/>
      <c r="LY4" s="137"/>
      <c r="LZ4" s="137"/>
      <c r="MA4" s="137"/>
      <c r="MB4" s="137"/>
      <c r="MC4" s="137"/>
      <c r="MD4" s="137"/>
      <c r="ME4" s="137"/>
      <c r="MF4" s="137"/>
      <c r="MG4" s="137"/>
      <c r="MH4" s="137"/>
      <c r="MI4" s="137"/>
      <c r="MJ4" s="137"/>
      <c r="MK4" s="137"/>
      <c r="ML4" s="137"/>
      <c r="MM4" s="137"/>
      <c r="MN4" s="137"/>
      <c r="MO4" s="137"/>
      <c r="MP4" s="137"/>
      <c r="MQ4" s="137"/>
      <c r="MR4" s="137"/>
      <c r="MS4" s="137"/>
      <c r="MT4" s="137"/>
      <c r="MU4" s="137"/>
      <c r="MV4" s="137"/>
      <c r="MW4" s="137"/>
      <c r="MX4" s="137"/>
      <c r="MY4" s="137"/>
      <c r="MZ4" s="137"/>
      <c r="NA4" s="137"/>
      <c r="NB4" s="137"/>
      <c r="NC4" s="137"/>
      <c r="ND4" s="137"/>
      <c r="NE4" s="137"/>
      <c r="NF4" s="137"/>
      <c r="NG4" s="137"/>
      <c r="NH4" s="137"/>
      <c r="NI4" s="137"/>
      <c r="NJ4" s="137"/>
      <c r="NK4" s="137"/>
      <c r="NL4" s="137"/>
      <c r="NM4" s="137"/>
      <c r="NN4" s="137"/>
      <c r="NO4" s="137"/>
      <c r="NP4" s="137"/>
      <c r="NQ4" s="137"/>
      <c r="NR4" s="137"/>
      <c r="NS4" s="137"/>
      <c r="NT4" s="137"/>
      <c r="NU4" s="137"/>
      <c r="NV4" s="137"/>
      <c r="NW4" s="137"/>
      <c r="NX4" s="137"/>
      <c r="NY4" s="137"/>
      <c r="NZ4" s="137"/>
      <c r="OA4" s="137"/>
      <c r="OB4" s="137"/>
      <c r="OC4" s="137"/>
      <c r="OD4" s="137"/>
      <c r="OE4" s="137"/>
      <c r="OF4" s="137"/>
      <c r="OG4" s="137"/>
      <c r="OH4" s="137"/>
      <c r="OI4" s="137"/>
      <c r="OJ4" s="137"/>
      <c r="OK4" s="137"/>
      <c r="OL4" s="137"/>
      <c r="OM4" s="137"/>
      <c r="ON4" s="137"/>
      <c r="OO4" s="137"/>
      <c r="OP4" s="137"/>
      <c r="OQ4" s="137"/>
      <c r="OR4" s="137"/>
      <c r="OS4" s="137"/>
      <c r="OT4" s="137"/>
      <c r="OU4" s="137"/>
      <c r="OV4" s="137"/>
      <c r="OW4" s="137"/>
      <c r="OX4" s="137"/>
      <c r="OY4" s="137"/>
      <c r="OZ4" s="137"/>
      <c r="PA4" s="137"/>
      <c r="PB4" s="137"/>
      <c r="PC4" s="137"/>
      <c r="PD4" s="137"/>
      <c r="PE4" s="137"/>
      <c r="PF4" s="137"/>
      <c r="PG4" s="137"/>
      <c r="PH4" s="137"/>
      <c r="PI4" s="137"/>
      <c r="PJ4" s="137"/>
      <c r="PK4" s="137"/>
      <c r="PL4" s="137"/>
      <c r="PM4" s="137"/>
      <c r="PN4" s="137"/>
      <c r="PO4" s="137"/>
      <c r="PP4" s="137"/>
      <c r="PQ4" s="137"/>
      <c r="PR4" s="137"/>
      <c r="PS4" s="137"/>
      <c r="PT4" s="137"/>
      <c r="PU4" s="137"/>
      <c r="PV4" s="137"/>
      <c r="PW4" s="137"/>
      <c r="PX4" s="137"/>
      <c r="PY4" s="137"/>
      <c r="PZ4" s="137"/>
      <c r="QA4" s="137"/>
      <c r="QB4" s="137"/>
      <c r="QC4" s="137"/>
      <c r="QD4" s="137"/>
      <c r="QE4" s="137"/>
      <c r="QF4" s="137"/>
      <c r="QG4" s="137"/>
      <c r="QH4" s="137"/>
      <c r="QI4" s="137"/>
      <c r="QJ4" s="137"/>
      <c r="QK4" s="137"/>
      <c r="QL4" s="137"/>
      <c r="QM4" s="137"/>
      <c r="QN4" s="137"/>
      <c r="QO4" s="137"/>
      <c r="QP4" s="137"/>
      <c r="QQ4" s="137"/>
      <c r="QR4" s="137"/>
      <c r="QS4" s="137"/>
      <c r="QT4" s="137"/>
      <c r="QU4" s="137"/>
      <c r="QV4" s="137"/>
      <c r="QW4" s="137"/>
      <c r="QX4" s="137"/>
      <c r="QY4" s="137"/>
      <c r="QZ4" s="137"/>
      <c r="RA4" s="137"/>
      <c r="RB4" s="137"/>
      <c r="RC4" s="137"/>
      <c r="RD4" s="137"/>
      <c r="RE4" s="137"/>
      <c r="RF4" s="137"/>
      <c r="RG4" s="137"/>
      <c r="RH4" s="137"/>
      <c r="RI4" s="137"/>
      <c r="RJ4" s="137"/>
      <c r="RK4" s="137"/>
      <c r="RL4" s="137"/>
      <c r="RM4" s="137"/>
      <c r="RN4" s="137"/>
      <c r="RO4" s="137"/>
      <c r="RP4" s="137"/>
      <c r="RQ4" s="137"/>
      <c r="RR4" s="137"/>
      <c r="RS4" s="137"/>
      <c r="RT4" s="137"/>
      <c r="RU4" s="137"/>
      <c r="RV4" s="137"/>
      <c r="RW4" s="137"/>
      <c r="RX4" s="137"/>
      <c r="RY4" s="137"/>
      <c r="RZ4" s="137"/>
      <c r="SA4" s="137"/>
      <c r="SB4" s="137"/>
      <c r="SC4" s="137"/>
      <c r="SD4" s="137"/>
      <c r="SE4" s="137"/>
      <c r="SF4" s="137"/>
      <c r="SG4" s="137"/>
      <c r="SH4" s="137"/>
      <c r="SI4" s="137"/>
      <c r="SJ4" s="137"/>
      <c r="SK4" s="137"/>
      <c r="SL4" s="137"/>
      <c r="SM4" s="137"/>
      <c r="SN4" s="137"/>
      <c r="SO4" s="137"/>
      <c r="SP4" s="137"/>
      <c r="SQ4" s="137"/>
      <c r="SR4" s="137"/>
      <c r="SS4" s="137"/>
      <c r="ST4" s="137"/>
      <c r="SU4" s="137"/>
      <c r="SV4" s="137"/>
      <c r="SW4" s="137"/>
      <c r="SX4" s="137"/>
      <c r="SY4" s="137"/>
      <c r="SZ4" s="137"/>
      <c r="TA4" s="137"/>
      <c r="TB4" s="137"/>
      <c r="TC4" s="137"/>
      <c r="TD4" s="137"/>
      <c r="TE4" s="137"/>
      <c r="TF4" s="137"/>
      <c r="TG4" s="137"/>
      <c r="TH4" s="137"/>
      <c r="TI4" s="137"/>
      <c r="TJ4" s="137"/>
      <c r="TK4" s="137"/>
      <c r="TL4" s="137"/>
      <c r="TM4" s="137"/>
      <c r="TN4" s="137"/>
      <c r="TO4" s="137"/>
      <c r="TP4" s="137"/>
      <c r="TQ4" s="137"/>
      <c r="TR4" s="137"/>
      <c r="TS4" s="137"/>
      <c r="TT4" s="137"/>
      <c r="TU4" s="137"/>
      <c r="TV4" s="137"/>
      <c r="TW4" s="137"/>
      <c r="TX4" s="137"/>
      <c r="TY4" s="137"/>
      <c r="TZ4" s="137"/>
      <c r="UA4" s="137"/>
      <c r="UB4" s="137"/>
      <c r="UC4" s="137"/>
      <c r="UD4" s="137"/>
      <c r="UE4" s="137"/>
      <c r="UF4" s="137"/>
      <c r="UG4" s="137"/>
      <c r="UH4" s="137"/>
      <c r="UI4" s="137"/>
      <c r="UJ4" s="137"/>
      <c r="UK4" s="137"/>
      <c r="UL4" s="137"/>
      <c r="UM4" s="137"/>
      <c r="UN4" s="137"/>
      <c r="UO4" s="137"/>
      <c r="UP4" s="137"/>
      <c r="UQ4" s="137"/>
      <c r="UR4" s="137"/>
      <c r="US4" s="137"/>
      <c r="UT4" s="137"/>
      <c r="UU4" s="137"/>
      <c r="UV4" s="137"/>
      <c r="UW4" s="137"/>
      <c r="UX4" s="137"/>
      <c r="UY4" s="137"/>
      <c r="UZ4" s="137"/>
      <c r="VA4" s="137"/>
      <c r="VB4" s="137"/>
      <c r="VC4" s="137"/>
      <c r="VD4" s="137"/>
      <c r="VE4" s="137"/>
      <c r="VF4" s="137"/>
      <c r="VG4" s="137"/>
      <c r="VH4" s="137"/>
      <c r="VI4" s="137"/>
      <c r="VJ4" s="137"/>
      <c r="VK4" s="137"/>
      <c r="VL4" s="137"/>
      <c r="VM4" s="137"/>
      <c r="VN4" s="137"/>
      <c r="VO4" s="137"/>
      <c r="VP4" s="137"/>
      <c r="VQ4" s="137"/>
      <c r="VR4" s="137"/>
      <c r="VS4" s="137"/>
      <c r="VT4" s="137"/>
      <c r="VU4" s="137"/>
      <c r="VV4" s="137"/>
      <c r="VW4" s="137"/>
      <c r="VX4" s="137"/>
      <c r="VY4" s="137"/>
      <c r="VZ4" s="137"/>
      <c r="WA4" s="137"/>
      <c r="WB4" s="137"/>
      <c r="WC4" s="137"/>
      <c r="WD4" s="137"/>
      <c r="WE4" s="137"/>
      <c r="WF4" s="137"/>
      <c r="WG4" s="137"/>
      <c r="WH4" s="137"/>
      <c r="WI4" s="137"/>
      <c r="WJ4" s="137"/>
      <c r="WK4" s="137"/>
      <c r="WL4" s="137"/>
      <c r="WM4" s="137"/>
      <c r="WN4" s="137"/>
      <c r="WO4" s="137"/>
      <c r="WP4" s="137"/>
      <c r="WQ4" s="137"/>
      <c r="WR4" s="137"/>
      <c r="WS4" s="137"/>
      <c r="WT4" s="137"/>
      <c r="WU4" s="137"/>
      <c r="WV4" s="137"/>
      <c r="WW4" s="137"/>
      <c r="WX4" s="137"/>
      <c r="WY4" s="137"/>
      <c r="WZ4" s="137"/>
      <c r="XA4" s="137"/>
      <c r="XB4" s="137"/>
      <c r="XC4" s="137"/>
      <c r="XD4" s="137"/>
      <c r="XE4" s="137"/>
      <c r="XF4" s="137"/>
      <c r="XG4" s="137"/>
      <c r="XH4" s="137"/>
      <c r="XI4" s="137"/>
      <c r="XJ4" s="137"/>
      <c r="XK4" s="137"/>
      <c r="XL4" s="137"/>
      <c r="XM4" s="137"/>
      <c r="XN4" s="137"/>
      <c r="XO4" s="137"/>
      <c r="XP4" s="137"/>
      <c r="XQ4" s="137"/>
      <c r="XR4" s="137"/>
      <c r="XS4" s="137"/>
      <c r="XT4" s="137"/>
      <c r="XU4" s="137"/>
      <c r="XV4" s="137"/>
      <c r="XW4" s="137"/>
      <c r="XX4" s="137"/>
      <c r="XY4" s="137"/>
      <c r="XZ4" s="137"/>
      <c r="YA4" s="137"/>
      <c r="YB4" s="137"/>
      <c r="YC4" s="137"/>
      <c r="YD4" s="137"/>
      <c r="YE4" s="137"/>
      <c r="YF4" s="137"/>
      <c r="YG4" s="137"/>
      <c r="YH4" s="137"/>
      <c r="YI4" s="137"/>
      <c r="YJ4" s="137"/>
      <c r="YK4" s="137"/>
      <c r="YL4" s="137"/>
      <c r="YM4" s="137"/>
      <c r="YN4" s="137"/>
      <c r="YO4" s="137"/>
      <c r="YP4" s="137"/>
      <c r="YQ4" s="137"/>
      <c r="YR4" s="137"/>
      <c r="YS4" s="137"/>
      <c r="YT4" s="137"/>
      <c r="YU4" s="137"/>
      <c r="YV4" s="137"/>
      <c r="YW4" s="137"/>
      <c r="YX4" s="137"/>
      <c r="YY4" s="137"/>
      <c r="YZ4" s="137"/>
      <c r="ZA4" s="137"/>
      <c r="ZB4" s="137"/>
      <c r="ZC4" s="137"/>
      <c r="ZD4" s="137"/>
      <c r="ZE4" s="137"/>
      <c r="ZF4" s="137"/>
      <c r="ZG4" s="137"/>
      <c r="ZH4" s="137"/>
      <c r="ZI4" s="137"/>
      <c r="ZJ4" s="137"/>
      <c r="ZK4" s="137"/>
      <c r="ZL4" s="137"/>
      <c r="ZM4" s="137"/>
      <c r="ZN4" s="137"/>
      <c r="ZO4" s="137"/>
      <c r="ZP4" s="137"/>
      <c r="ZQ4" s="137"/>
      <c r="ZR4" s="137"/>
      <c r="ZS4" s="137"/>
      <c r="ZT4" s="137"/>
      <c r="ZU4" s="137"/>
      <c r="ZV4" s="137"/>
      <c r="ZW4" s="137"/>
      <c r="ZX4" s="137"/>
      <c r="ZY4" s="137"/>
      <c r="ZZ4" s="137"/>
      <c r="AAA4" s="137"/>
      <c r="AAB4" s="137"/>
      <c r="AAC4" s="137"/>
      <c r="AAD4" s="137"/>
      <c r="AAE4" s="137"/>
      <c r="AAF4" s="137"/>
      <c r="AAG4" s="137"/>
      <c r="AAH4" s="137"/>
      <c r="AAI4" s="137"/>
      <c r="AAJ4" s="137"/>
      <c r="AAK4" s="137"/>
      <c r="AAL4" s="137"/>
      <c r="AAM4" s="137"/>
      <c r="AAN4" s="137"/>
      <c r="AAO4" s="137"/>
      <c r="AAP4" s="137"/>
      <c r="AAQ4" s="137"/>
      <c r="AAR4" s="137"/>
      <c r="AAS4" s="137"/>
      <c r="AAT4" s="137"/>
      <c r="AAU4" s="137"/>
      <c r="AAV4" s="137"/>
      <c r="AAW4" s="137"/>
      <c r="AAX4" s="137"/>
      <c r="AAY4" s="137"/>
      <c r="AAZ4" s="137"/>
      <c r="ABA4" s="137"/>
      <c r="ABB4" s="137"/>
      <c r="ABC4" s="137"/>
      <c r="ABD4" s="137"/>
      <c r="ABE4" s="137"/>
      <c r="ABF4" s="137"/>
      <c r="ABG4" s="137"/>
      <c r="ABH4" s="137"/>
      <c r="ABI4" s="137"/>
      <c r="ABJ4" s="137"/>
      <c r="ABK4" s="137"/>
      <c r="ABL4" s="137"/>
      <c r="ABM4" s="137"/>
      <c r="ABN4" s="137"/>
      <c r="ABO4" s="137"/>
      <c r="ABP4" s="137"/>
      <c r="ABQ4" s="137"/>
      <c r="ABR4" s="137"/>
      <c r="ABS4" s="137"/>
      <c r="ABT4" s="137"/>
      <c r="ABU4" s="137"/>
    </row>
    <row r="5" spans="1:749" ht="41.25" customHeight="1">
      <c r="A5" s="357">
        <v>4</v>
      </c>
      <c r="B5" s="62" t="s">
        <v>80</v>
      </c>
      <c r="C5" s="229" t="s">
        <v>1459</v>
      </c>
      <c r="D5" s="229" t="s">
        <v>1500</v>
      </c>
      <c r="E5" s="305" t="s">
        <v>1501</v>
      </c>
      <c r="F5" s="352" t="s">
        <v>289</v>
      </c>
      <c r="G5" s="181">
        <v>3</v>
      </c>
      <c r="H5" s="228">
        <v>3</v>
      </c>
      <c r="I5" s="203" t="s">
        <v>290</v>
      </c>
      <c r="J5" s="316" t="s">
        <v>1462</v>
      </c>
      <c r="K5" s="228" t="s">
        <v>291</v>
      </c>
      <c r="L5" s="203" t="s">
        <v>1462</v>
      </c>
      <c r="M5" s="352" t="s">
        <v>291</v>
      </c>
      <c r="N5" s="358" t="s">
        <v>1502</v>
      </c>
      <c r="O5" s="360">
        <v>45622</v>
      </c>
      <c r="P5" s="360">
        <v>45623</v>
      </c>
      <c r="Q5" s="228" t="s">
        <v>294</v>
      </c>
      <c r="R5" s="393" t="s">
        <v>1503</v>
      </c>
      <c r="S5" s="228" t="s">
        <v>1315</v>
      </c>
      <c r="T5" s="360">
        <v>45623</v>
      </c>
      <c r="U5" s="352" t="s">
        <v>291</v>
      </c>
      <c r="V5" s="228" t="s">
        <v>291</v>
      </c>
      <c r="W5" s="228" t="s">
        <v>291</v>
      </c>
      <c r="X5" s="378"/>
    </row>
    <row r="6" spans="1:749" s="58" customFormat="1" ht="30.75" customHeight="1">
      <c r="A6" s="357">
        <v>5</v>
      </c>
      <c r="B6" s="203" t="s">
        <v>1504</v>
      </c>
      <c r="C6" s="246" t="s">
        <v>298</v>
      </c>
      <c r="D6" s="203" t="s">
        <v>1505</v>
      </c>
      <c r="E6" s="186" t="s">
        <v>1506</v>
      </c>
      <c r="F6" s="352" t="s">
        <v>289</v>
      </c>
      <c r="G6" s="357">
        <v>2</v>
      </c>
      <c r="H6" s="228">
        <v>2</v>
      </c>
      <c r="I6" s="203" t="s">
        <v>290</v>
      </c>
      <c r="J6" s="316" t="s">
        <v>457</v>
      </c>
      <c r="K6" s="228" t="s">
        <v>291</v>
      </c>
      <c r="L6" s="203" t="s">
        <v>292</v>
      </c>
      <c r="M6" s="228" t="s">
        <v>291</v>
      </c>
      <c r="N6" s="358" t="s">
        <v>1507</v>
      </c>
      <c r="O6" s="360">
        <v>45624</v>
      </c>
      <c r="P6" s="360">
        <v>45624</v>
      </c>
      <c r="Q6" s="228" t="s">
        <v>294</v>
      </c>
      <c r="R6" s="352" t="s">
        <v>1503</v>
      </c>
      <c r="S6" s="228" t="s">
        <v>1496</v>
      </c>
      <c r="T6" s="360">
        <v>45624</v>
      </c>
      <c r="U6" s="352" t="s">
        <v>291</v>
      </c>
      <c r="V6" s="228" t="s">
        <v>291</v>
      </c>
      <c r="W6" s="228" t="s">
        <v>291</v>
      </c>
      <c r="X6" s="245"/>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s="227"/>
    </row>
    <row r="7" spans="1:749" s="218" customFormat="1" ht="37.5" customHeight="1">
      <c r="A7" s="369">
        <v>6</v>
      </c>
      <c r="B7" s="229" t="s">
        <v>1508</v>
      </c>
      <c r="C7" s="250" t="s">
        <v>292</v>
      </c>
      <c r="D7" s="329" t="s">
        <v>1509</v>
      </c>
      <c r="E7" s="305" t="s">
        <v>1510</v>
      </c>
      <c r="F7" s="327" t="s">
        <v>289</v>
      </c>
      <c r="G7" s="369">
        <v>3</v>
      </c>
      <c r="H7" s="327">
        <v>3</v>
      </c>
      <c r="I7" s="229" t="s">
        <v>290</v>
      </c>
      <c r="J7" s="329" t="s">
        <v>457</v>
      </c>
      <c r="K7" s="327" t="s">
        <v>291</v>
      </c>
      <c r="L7" s="229" t="s">
        <v>298</v>
      </c>
      <c r="M7" s="374" t="s">
        <v>291</v>
      </c>
      <c r="N7" s="271" t="s">
        <v>1511</v>
      </c>
      <c r="O7" s="372">
        <v>45628</v>
      </c>
      <c r="P7" s="373">
        <v>45630</v>
      </c>
      <c r="Q7" s="370" t="s">
        <v>426</v>
      </c>
      <c r="R7" s="370" t="s">
        <v>291</v>
      </c>
      <c r="S7" s="327" t="s">
        <v>1315</v>
      </c>
      <c r="T7" s="373">
        <v>45630</v>
      </c>
      <c r="U7" s="370" t="s">
        <v>291</v>
      </c>
      <c r="V7" s="327" t="s">
        <v>291</v>
      </c>
      <c r="W7" s="327" t="s">
        <v>291</v>
      </c>
      <c r="X7" s="249"/>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s="242"/>
    </row>
    <row r="8" spans="1:749" ht="51.75" customHeight="1">
      <c r="A8" s="387">
        <v>7</v>
      </c>
      <c r="B8" s="218" t="s">
        <v>1508</v>
      </c>
      <c r="C8" s="218" t="s">
        <v>1462</v>
      </c>
      <c r="D8" s="218" t="s">
        <v>1512</v>
      </c>
      <c r="E8" s="329" t="s">
        <v>1513</v>
      </c>
      <c r="F8" s="327" t="s">
        <v>289</v>
      </c>
      <c r="G8" s="327">
        <v>2</v>
      </c>
      <c r="H8" s="327">
        <v>2</v>
      </c>
      <c r="I8" s="229" t="s">
        <v>290</v>
      </c>
      <c r="J8" s="333" t="s">
        <v>1459</v>
      </c>
      <c r="K8" s="327" t="s">
        <v>291</v>
      </c>
      <c r="L8" s="229" t="s">
        <v>426</v>
      </c>
      <c r="M8" s="374" t="s">
        <v>291</v>
      </c>
      <c r="N8" s="271" t="s">
        <v>1514</v>
      </c>
      <c r="O8" s="373">
        <v>45631</v>
      </c>
      <c r="P8" s="373">
        <v>45631</v>
      </c>
      <c r="Q8" s="327" t="s">
        <v>426</v>
      </c>
      <c r="R8" s="370" t="s">
        <v>291</v>
      </c>
      <c r="S8" s="327" t="s">
        <v>295</v>
      </c>
      <c r="T8" s="373">
        <v>45631</v>
      </c>
      <c r="U8" s="352" t="s">
        <v>291</v>
      </c>
      <c r="V8" s="228" t="s">
        <v>291</v>
      </c>
      <c r="W8" s="228" t="s">
        <v>291</v>
      </c>
      <c r="X8" s="388"/>
    </row>
    <row r="9" spans="1:749" s="218" customFormat="1" ht="39" customHeight="1">
      <c r="A9" s="327">
        <v>8</v>
      </c>
      <c r="B9" s="218" t="s">
        <v>1508</v>
      </c>
      <c r="C9" s="218" t="s">
        <v>1459</v>
      </c>
      <c r="D9" s="229" t="s">
        <v>1515</v>
      </c>
      <c r="E9" s="329" t="s">
        <v>1516</v>
      </c>
      <c r="F9" s="327" t="s">
        <v>289</v>
      </c>
      <c r="G9" s="327">
        <v>1</v>
      </c>
      <c r="H9" s="327">
        <v>1</v>
      </c>
      <c r="I9" s="229" t="s">
        <v>290</v>
      </c>
      <c r="J9" s="329" t="s">
        <v>1462</v>
      </c>
      <c r="K9" s="327" t="s">
        <v>291</v>
      </c>
      <c r="L9" s="229" t="s">
        <v>426</v>
      </c>
      <c r="M9" s="374" t="s">
        <v>291</v>
      </c>
      <c r="N9" s="271" t="s">
        <v>1517</v>
      </c>
      <c r="O9" s="373">
        <v>45631</v>
      </c>
      <c r="P9" s="373">
        <v>45631</v>
      </c>
      <c r="Q9" s="327" t="s">
        <v>426</v>
      </c>
      <c r="R9" s="370" t="s">
        <v>291</v>
      </c>
      <c r="S9" s="327" t="s">
        <v>295</v>
      </c>
      <c r="T9" s="373">
        <v>45631</v>
      </c>
      <c r="U9" s="352" t="s">
        <v>291</v>
      </c>
      <c r="V9" s="228" t="s">
        <v>291</v>
      </c>
      <c r="W9" s="228" t="s">
        <v>291</v>
      </c>
    </row>
    <row r="10" spans="1:749" s="58" customFormat="1" ht="35.25">
      <c r="A10" s="228">
        <v>9</v>
      </c>
      <c r="B10" s="58" t="s">
        <v>1508</v>
      </c>
      <c r="C10" s="58" t="s">
        <v>437</v>
      </c>
      <c r="D10" s="203" t="s">
        <v>1211</v>
      </c>
      <c r="E10" s="316" t="s">
        <v>1468</v>
      </c>
      <c r="F10" s="228" t="s">
        <v>1518</v>
      </c>
      <c r="G10" s="228">
        <v>2</v>
      </c>
      <c r="H10" s="228"/>
      <c r="I10" s="203"/>
      <c r="J10" s="316"/>
      <c r="K10" s="228"/>
      <c r="L10" s="203"/>
      <c r="N10" s="200"/>
      <c r="O10" s="360"/>
      <c r="P10" s="360"/>
      <c r="Q10" s="228"/>
      <c r="R10" s="352"/>
      <c r="S10" s="228"/>
      <c r="T10" s="360"/>
      <c r="U10" s="352"/>
      <c r="V10" s="228"/>
      <c r="W10" s="228"/>
      <c r="X10" s="216" t="s">
        <v>1519</v>
      </c>
    </row>
  </sheetData>
  <hyperlinks>
    <hyperlink ref="N2" r:id="rId1" xr:uid="{1F6F2BA0-25D6-4094-B720-F3B070C2FCBD}"/>
    <hyperlink ref="N3" r:id="rId2" xr:uid="{DEC5E959-0C67-4B7B-9BB1-61D59B692952}"/>
    <hyperlink ref="N6" r:id="rId3" xr:uid="{7A639382-91CB-4706-9866-0F9B441BE89D}"/>
    <hyperlink ref="N7" r:id="rId4" xr:uid="{3047010D-C257-49F4-B5A4-AD80CA5640ED}"/>
    <hyperlink ref="N9" r:id="rId5" xr:uid="{6417B134-23A7-46D3-998C-81FDF6D1E79C}"/>
    <hyperlink ref="N8" r:id="rId6" xr:uid="{339E0262-600B-42C6-A6F9-F055B39090A8}"/>
    <hyperlink ref="N5" r:id="rId7" xr:uid="{1478E7AC-FA59-4EEB-B481-8A3DE517AA31}"/>
    <hyperlink ref="N4" r:id="rId8" xr:uid="{9A50C299-8BE6-443E-BC0B-FFBCF294FBC7}"/>
  </hyperlinks>
  <pageMargins left="0.7" right="0.7" top="0.75" bottom="0.75" header="0.3" footer="0.3"/>
  <tableParts count="1">
    <tablePart r:id="rId9"/>
  </tableParts>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9C359-A068-4D33-BE4E-7BA6AE450968}">
  <dimension ref="A1:Z4"/>
  <sheetViews>
    <sheetView workbookViewId="0">
      <selection activeCell="J2" sqref="J2"/>
    </sheetView>
  </sheetViews>
  <sheetFormatPr defaultRowHeight="12.75"/>
  <cols>
    <col min="1" max="1" width="9.42578125" customWidth="1"/>
    <col min="2" max="2" width="17.140625" customWidth="1"/>
    <col min="3" max="3" width="21.5703125" customWidth="1"/>
    <col min="4" max="4" width="12.28515625" customWidth="1"/>
    <col min="5" max="5" width="15.7109375" customWidth="1"/>
    <col min="6" max="6" width="54.85546875" customWidth="1"/>
    <col min="7" max="7" width="13.7109375" customWidth="1"/>
    <col min="8" max="8" width="10" customWidth="1"/>
    <col min="9" max="9" width="12" customWidth="1"/>
    <col min="10" max="10" width="14.7109375" customWidth="1"/>
    <col min="11" max="11" width="22.85546875" customWidth="1"/>
  </cols>
  <sheetData>
    <row r="1" spans="1:26" ht="27">
      <c r="A1" s="59" t="s">
        <v>254</v>
      </c>
      <c r="B1" s="154" t="s">
        <v>11</v>
      </c>
      <c r="C1" s="155" t="s">
        <v>322</v>
      </c>
      <c r="D1" s="154" t="s">
        <v>256</v>
      </c>
      <c r="E1" s="155" t="s">
        <v>324</v>
      </c>
      <c r="F1" s="155" t="s">
        <v>325</v>
      </c>
      <c r="G1" s="154" t="s">
        <v>326</v>
      </c>
      <c r="H1" s="154" t="s">
        <v>328</v>
      </c>
      <c r="I1" s="154" t="s">
        <v>259</v>
      </c>
      <c r="J1" s="156" t="s">
        <v>329</v>
      </c>
      <c r="K1" s="157" t="s">
        <v>280</v>
      </c>
      <c r="L1" s="35"/>
      <c r="M1" s="35"/>
      <c r="N1" s="35"/>
      <c r="O1" s="35"/>
      <c r="P1" s="35"/>
      <c r="Q1" s="35"/>
      <c r="R1" s="35"/>
      <c r="S1" s="35"/>
      <c r="T1" s="35"/>
      <c r="U1" s="35"/>
      <c r="V1" s="35"/>
      <c r="W1" s="35"/>
      <c r="X1" s="35"/>
      <c r="Y1" s="35"/>
      <c r="Z1" s="35"/>
    </row>
    <row r="2" spans="1:26" ht="23.25">
      <c r="A2" s="46">
        <v>1</v>
      </c>
      <c r="B2" s="203" t="s">
        <v>80</v>
      </c>
      <c r="C2" s="62" t="s">
        <v>1520</v>
      </c>
      <c r="D2" s="304" t="s">
        <v>1459</v>
      </c>
      <c r="E2" s="41" t="s">
        <v>380</v>
      </c>
      <c r="F2" s="11" t="s">
        <v>1521</v>
      </c>
      <c r="G2" s="41" t="s">
        <v>381</v>
      </c>
      <c r="H2" s="41" t="s">
        <v>383</v>
      </c>
      <c r="I2" s="41" t="s">
        <v>384</v>
      </c>
      <c r="J2" s="41" t="s">
        <v>540</v>
      </c>
      <c r="K2" s="11"/>
      <c r="L2" s="244"/>
      <c r="M2" s="244"/>
      <c r="N2" s="244"/>
      <c r="O2" s="244"/>
      <c r="P2" s="244"/>
      <c r="Q2" s="244"/>
      <c r="R2" s="244"/>
      <c r="S2" s="244"/>
      <c r="T2" s="244"/>
      <c r="U2" s="244"/>
      <c r="V2" s="244"/>
      <c r="W2" s="137"/>
      <c r="X2" s="137"/>
      <c r="Y2" s="137"/>
      <c r="Z2" s="137"/>
    </row>
    <row r="3" spans="1:26">
      <c r="A3" s="62"/>
      <c r="B3" s="203"/>
      <c r="C3" s="62"/>
      <c r="D3" s="304"/>
      <c r="E3" s="41"/>
      <c r="F3" s="316"/>
      <c r="G3" s="41"/>
      <c r="H3" s="41"/>
      <c r="I3" s="41"/>
      <c r="J3" s="41"/>
      <c r="K3" s="11"/>
      <c r="L3" s="137"/>
      <c r="M3" s="137"/>
      <c r="N3" s="137"/>
      <c r="O3" s="137"/>
      <c r="P3" s="137"/>
      <c r="Q3" s="137"/>
      <c r="R3" s="137"/>
      <c r="S3" s="137"/>
      <c r="T3" s="137"/>
      <c r="U3" s="137"/>
      <c r="V3" s="137"/>
      <c r="W3" s="137"/>
      <c r="X3" s="137"/>
      <c r="Y3" s="137"/>
      <c r="Z3" s="137"/>
    </row>
    <row r="4" spans="1:26">
      <c r="A4" s="61"/>
      <c r="B4" s="203"/>
      <c r="C4" s="58"/>
      <c r="D4" s="304"/>
      <c r="E4" s="41"/>
      <c r="F4" s="216"/>
      <c r="G4" s="19"/>
      <c r="H4" s="41"/>
      <c r="I4" s="41"/>
      <c r="J4" s="41"/>
      <c r="K4" s="19"/>
    </row>
  </sheetData>
  <dataValidations count="4">
    <dataValidation type="list" allowBlank="1" showErrorMessage="1" sqref="H2:H4" xr:uid="{C291453F-68BA-4DBD-8681-8B6FA13FAE00}">
      <formula1>"Internal,External"</formula1>
    </dataValidation>
    <dataValidation type="list" allowBlank="1" showErrorMessage="1" sqref="E2:E4" xr:uid="{5E02A401-2D0F-4222-A1D0-FAA61D70F14C}">
      <formula1>"Bounceback,Defect,None"</formula1>
    </dataValidation>
    <dataValidation type="list" allowBlank="1" showErrorMessage="1" sqref="I2:I4" xr:uid="{7EFE2CF0-6F68-44D3-B4A0-CA0218B7BE15}">
      <formula1>"Open,Inprogress,Closed"</formula1>
    </dataValidation>
    <dataValidation type="list" allowBlank="1" showErrorMessage="1" sqref="G2:G4" xr:uid="{BE834365-2207-4CC1-9270-1EB2FBAB3F7F}">
      <formula1>"Minor,Significant,Major"</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B4C1871E-0191-4F21-BACA-67B76E162386}">
          <x14:formula1>
            <xm:f>Details!$A$2:$A$10</xm:f>
          </x14:formula1>
          <xm:sqref>J2:J4</xm:sqref>
        </x14:dataValidation>
      </x14:dataValidations>
    </ext>
  </extLst>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0E285-5A73-4A7E-BE6E-A16D6BDCDA83}">
  <dimension ref="A1:ABU8"/>
  <sheetViews>
    <sheetView workbookViewId="0">
      <pane xSplit="4" ySplit="1" topLeftCell="E2" activePane="bottomRight" state="frozen"/>
      <selection pane="bottomRight" activeCell="U3" sqref="U3"/>
      <selection pane="bottomLeft"/>
      <selection pane="topRight"/>
    </sheetView>
  </sheetViews>
  <sheetFormatPr defaultRowHeight="12.75"/>
  <cols>
    <col min="2" max="2" width="27.5703125" customWidth="1"/>
    <col min="3" max="3" width="14.42578125" customWidth="1"/>
    <col min="4" max="4" width="11.42578125" bestFit="1" customWidth="1"/>
    <col min="5" max="5" width="41.7109375" style="137" customWidth="1"/>
    <col min="6" max="7" width="11.42578125" bestFit="1" customWidth="1"/>
    <col min="8" max="8" width="13.140625" customWidth="1"/>
    <col min="9" max="9" width="13.42578125" style="144" customWidth="1"/>
    <col min="10" max="10" width="15.42578125" customWidth="1"/>
    <col min="11" max="11" width="16.42578125" customWidth="1"/>
    <col min="12" max="12" width="14.85546875" customWidth="1"/>
    <col min="13" max="13" width="11.42578125" style="144" bestFit="1" customWidth="1"/>
    <col min="14" max="15" width="12.7109375" bestFit="1" customWidth="1"/>
    <col min="16" max="16" width="11.42578125" bestFit="1" customWidth="1"/>
    <col min="17" max="17" width="11.42578125" style="144" bestFit="1" customWidth="1"/>
    <col min="18" max="18" width="11.42578125" bestFit="1" customWidth="1"/>
    <col min="19" max="19" width="12.7109375" bestFit="1" customWidth="1"/>
    <col min="20" max="22" width="11.42578125" bestFit="1" customWidth="1"/>
    <col min="23" max="23" width="14.28515625" customWidth="1"/>
    <col min="24" max="24" width="27.42578125" customWidth="1"/>
  </cols>
  <sheetData>
    <row r="1" spans="1:749" ht="58.5">
      <c r="A1" s="379" t="s">
        <v>254</v>
      </c>
      <c r="B1" s="380" t="s">
        <v>255</v>
      </c>
      <c r="C1" s="381" t="s">
        <v>256</v>
      </c>
      <c r="D1" s="382" t="s">
        <v>257</v>
      </c>
      <c r="E1" s="383" t="s">
        <v>258</v>
      </c>
      <c r="F1" s="384" t="s">
        <v>260</v>
      </c>
      <c r="G1" s="384" t="s">
        <v>261</v>
      </c>
      <c r="H1" s="385" t="s">
        <v>265</v>
      </c>
      <c r="I1" s="385" t="s">
        <v>266</v>
      </c>
      <c r="J1" s="385" t="s">
        <v>267</v>
      </c>
      <c r="K1" s="385" t="s">
        <v>268</v>
      </c>
      <c r="L1" s="385" t="s">
        <v>269</v>
      </c>
      <c r="M1" s="385" t="s">
        <v>270</v>
      </c>
      <c r="N1" s="385" t="s">
        <v>271</v>
      </c>
      <c r="O1" s="385" t="s">
        <v>272</v>
      </c>
      <c r="P1" s="385" t="s">
        <v>273</v>
      </c>
      <c r="Q1" s="385" t="s">
        <v>274</v>
      </c>
      <c r="R1" s="385" t="s">
        <v>275</v>
      </c>
      <c r="S1" s="385" t="s">
        <v>276</v>
      </c>
      <c r="T1" s="385" t="s">
        <v>277</v>
      </c>
      <c r="U1" s="385" t="s">
        <v>278</v>
      </c>
      <c r="V1" s="385" t="s">
        <v>279</v>
      </c>
      <c r="W1" s="383" t="s">
        <v>259</v>
      </c>
      <c r="X1" s="386" t="s">
        <v>280</v>
      </c>
    </row>
    <row r="2" spans="1:749" s="256" customFormat="1" ht="38.25" customHeight="1">
      <c r="A2" s="357">
        <v>1</v>
      </c>
      <c r="B2" s="62" t="s">
        <v>1522</v>
      </c>
      <c r="C2" s="62" t="s">
        <v>1523</v>
      </c>
      <c r="D2" s="62" t="s">
        <v>1524</v>
      </c>
      <c r="E2" s="90" t="s">
        <v>1525</v>
      </c>
      <c r="F2" s="228">
        <v>3</v>
      </c>
      <c r="G2" s="228">
        <v>3</v>
      </c>
      <c r="H2" s="62" t="s">
        <v>290</v>
      </c>
      <c r="I2" s="316" t="s">
        <v>292</v>
      </c>
      <c r="J2" s="228" t="s">
        <v>291</v>
      </c>
      <c r="K2" s="62" t="s">
        <v>292</v>
      </c>
      <c r="L2" s="352" t="s">
        <v>291</v>
      </c>
      <c r="M2" s="176" t="s">
        <v>1526</v>
      </c>
      <c r="N2" s="359">
        <v>45604</v>
      </c>
      <c r="O2" s="359">
        <v>45610</v>
      </c>
      <c r="P2" s="352" t="s">
        <v>426</v>
      </c>
      <c r="Q2" s="352" t="s">
        <v>291</v>
      </c>
      <c r="R2" s="228" t="s">
        <v>295</v>
      </c>
      <c r="S2" s="360">
        <v>45610</v>
      </c>
      <c r="T2" s="228" t="s">
        <v>291</v>
      </c>
      <c r="U2" s="327" t="s">
        <v>291</v>
      </c>
      <c r="V2" s="327" t="s">
        <v>291</v>
      </c>
      <c r="W2" s="357" t="s">
        <v>289</v>
      </c>
      <c r="X2" s="376"/>
    </row>
    <row r="3" spans="1:749" s="137" customFormat="1" ht="41.25" customHeight="1">
      <c r="A3" s="357">
        <v>2</v>
      </c>
      <c r="B3" s="62" t="s">
        <v>1522</v>
      </c>
      <c r="C3" s="203" t="s">
        <v>862</v>
      </c>
      <c r="D3" s="229" t="s">
        <v>1527</v>
      </c>
      <c r="E3" s="305" t="s">
        <v>1528</v>
      </c>
      <c r="F3" s="228">
        <v>2</v>
      </c>
      <c r="G3" s="228">
        <v>2</v>
      </c>
      <c r="H3" s="62" t="s">
        <v>290</v>
      </c>
      <c r="I3" s="335" t="s">
        <v>298</v>
      </c>
      <c r="J3" s="228" t="s">
        <v>291</v>
      </c>
      <c r="K3" s="62" t="s">
        <v>294</v>
      </c>
      <c r="L3" s="352" t="s">
        <v>291</v>
      </c>
      <c r="M3" s="361" t="s">
        <v>1529</v>
      </c>
      <c r="N3" s="360">
        <v>45604</v>
      </c>
      <c r="O3" s="360">
        <v>45605</v>
      </c>
      <c r="P3" s="228" t="s">
        <v>294</v>
      </c>
      <c r="Q3" s="352" t="s">
        <v>291</v>
      </c>
      <c r="R3" s="228" t="s">
        <v>295</v>
      </c>
      <c r="S3" s="360">
        <v>45608</v>
      </c>
      <c r="T3" s="362" t="s">
        <v>291</v>
      </c>
      <c r="U3" s="363" t="s">
        <v>291</v>
      </c>
      <c r="V3" s="363" t="s">
        <v>291</v>
      </c>
      <c r="W3" s="357" t="s">
        <v>289</v>
      </c>
      <c r="X3" s="377"/>
    </row>
    <row r="4" spans="1:749" ht="36.75" customHeight="1">
      <c r="A4" s="357">
        <v>3</v>
      </c>
      <c r="B4" s="62" t="s">
        <v>1522</v>
      </c>
      <c r="C4" s="203" t="s">
        <v>1459</v>
      </c>
      <c r="D4" s="229" t="s">
        <v>1530</v>
      </c>
      <c r="E4" s="305" t="s">
        <v>1531</v>
      </c>
      <c r="F4" s="228">
        <v>3</v>
      </c>
      <c r="G4" s="228">
        <v>3</v>
      </c>
      <c r="H4" s="203" t="s">
        <v>290</v>
      </c>
      <c r="I4" s="316" t="s">
        <v>1462</v>
      </c>
      <c r="J4" s="228" t="s">
        <v>291</v>
      </c>
      <c r="K4" s="203" t="s">
        <v>1463</v>
      </c>
      <c r="L4" s="352" t="s">
        <v>358</v>
      </c>
      <c r="M4" s="358" t="s">
        <v>1532</v>
      </c>
      <c r="N4" s="360">
        <v>45615</v>
      </c>
      <c r="O4" s="360">
        <v>45615</v>
      </c>
      <c r="P4" s="228" t="s">
        <v>1533</v>
      </c>
      <c r="Q4" s="375" t="s">
        <v>291</v>
      </c>
      <c r="R4" s="228" t="s">
        <v>1315</v>
      </c>
      <c r="S4" s="360">
        <v>45615</v>
      </c>
      <c r="T4" s="371" t="s">
        <v>1534</v>
      </c>
      <c r="U4" s="363" t="s">
        <v>291</v>
      </c>
      <c r="V4" s="363" t="s">
        <v>291</v>
      </c>
      <c r="W4" s="357" t="s">
        <v>289</v>
      </c>
      <c r="X4" s="377"/>
      <c r="Y4" s="137"/>
      <c r="Z4" s="137"/>
      <c r="AA4" s="137"/>
      <c r="AB4" s="137"/>
      <c r="AC4" s="137"/>
      <c r="AD4" s="137"/>
      <c r="AE4" s="137"/>
      <c r="AF4" s="137"/>
      <c r="AG4" s="137"/>
      <c r="AH4" s="137"/>
      <c r="AI4" s="137"/>
      <c r="AJ4" s="137"/>
      <c r="AK4" s="137"/>
      <c r="AL4" s="137"/>
      <c r="AM4" s="137"/>
      <c r="AN4" s="137"/>
      <c r="AO4" s="137"/>
      <c r="AP4" s="137"/>
      <c r="AQ4" s="137"/>
      <c r="AR4" s="137"/>
      <c r="AS4" s="137"/>
      <c r="AT4" s="137"/>
      <c r="AU4" s="137"/>
      <c r="AV4" s="137"/>
      <c r="AW4" s="137"/>
      <c r="AX4" s="137"/>
      <c r="AY4" s="137"/>
      <c r="AZ4" s="137"/>
      <c r="BA4" s="137"/>
      <c r="BB4" s="137"/>
      <c r="BC4" s="137"/>
      <c r="BD4" s="137"/>
      <c r="BE4" s="137"/>
      <c r="BF4" s="137"/>
      <c r="BG4" s="137"/>
      <c r="BH4" s="137"/>
      <c r="BI4" s="137"/>
      <c r="BJ4" s="137"/>
      <c r="BK4" s="137"/>
      <c r="BL4" s="137"/>
      <c r="BM4" s="137"/>
      <c r="BN4" s="137"/>
      <c r="BO4" s="137"/>
      <c r="BP4" s="137"/>
      <c r="BQ4" s="137"/>
      <c r="BR4" s="137"/>
      <c r="BS4" s="137"/>
      <c r="BT4" s="137"/>
      <c r="BU4" s="137"/>
      <c r="BV4" s="137"/>
      <c r="BW4" s="137"/>
      <c r="BX4" s="137"/>
      <c r="BY4" s="137"/>
      <c r="BZ4" s="137"/>
      <c r="CA4" s="137"/>
      <c r="CB4" s="137"/>
      <c r="CC4" s="137"/>
      <c r="CD4" s="137"/>
      <c r="CE4" s="137"/>
      <c r="CF4" s="137"/>
      <c r="CG4" s="137"/>
      <c r="CH4" s="137"/>
      <c r="CI4" s="137"/>
      <c r="CJ4" s="137"/>
      <c r="CK4" s="137"/>
      <c r="CL4" s="137"/>
      <c r="CM4" s="137"/>
      <c r="CN4" s="137"/>
      <c r="CO4" s="137"/>
      <c r="CP4" s="137"/>
      <c r="CQ4" s="137"/>
      <c r="CR4" s="137"/>
      <c r="CS4" s="137"/>
      <c r="CT4" s="137"/>
      <c r="CU4" s="137"/>
      <c r="CV4" s="137"/>
      <c r="CW4" s="137"/>
      <c r="CX4" s="137"/>
      <c r="CY4" s="137"/>
      <c r="CZ4" s="137"/>
      <c r="DA4" s="137"/>
      <c r="DB4" s="137"/>
      <c r="DC4" s="137"/>
      <c r="DD4" s="137"/>
      <c r="DE4" s="137"/>
      <c r="DF4" s="137"/>
      <c r="DG4" s="137"/>
      <c r="DH4" s="137"/>
      <c r="DI4" s="137"/>
      <c r="DJ4" s="137"/>
      <c r="DK4" s="137"/>
      <c r="DL4" s="137"/>
      <c r="DM4" s="137"/>
      <c r="DN4" s="137"/>
      <c r="DO4" s="137"/>
      <c r="DP4" s="137"/>
      <c r="DQ4" s="137"/>
      <c r="DR4" s="137"/>
      <c r="DS4" s="137"/>
      <c r="DT4" s="137"/>
      <c r="DU4" s="137"/>
      <c r="DV4" s="137"/>
      <c r="DW4" s="137"/>
      <c r="DX4" s="137"/>
      <c r="DY4" s="137"/>
      <c r="DZ4" s="137"/>
      <c r="EA4" s="137"/>
      <c r="EB4" s="137"/>
      <c r="EC4" s="137"/>
      <c r="ED4" s="137"/>
      <c r="EE4" s="137"/>
      <c r="EF4" s="137"/>
      <c r="EG4" s="137"/>
      <c r="EH4" s="137"/>
      <c r="EI4" s="137"/>
      <c r="EJ4" s="137"/>
      <c r="EK4" s="137"/>
      <c r="EL4" s="137"/>
      <c r="EM4" s="137"/>
      <c r="EN4" s="137"/>
      <c r="EO4" s="137"/>
      <c r="EP4" s="137"/>
      <c r="EQ4" s="137"/>
      <c r="ER4" s="137"/>
      <c r="ES4" s="137"/>
      <c r="ET4" s="137"/>
      <c r="EU4" s="137"/>
      <c r="EV4" s="137"/>
      <c r="EW4" s="137"/>
      <c r="EX4" s="137"/>
      <c r="EY4" s="137"/>
      <c r="EZ4" s="137"/>
      <c r="FA4" s="137"/>
      <c r="FB4" s="137"/>
      <c r="FC4" s="137"/>
      <c r="FD4" s="137"/>
      <c r="FE4" s="137"/>
      <c r="FF4" s="137"/>
      <c r="FG4" s="137"/>
      <c r="FH4" s="137"/>
      <c r="FI4" s="137"/>
      <c r="FJ4" s="137"/>
      <c r="FK4" s="137"/>
      <c r="FL4" s="137"/>
      <c r="FM4" s="137"/>
      <c r="FN4" s="137"/>
      <c r="FO4" s="137"/>
      <c r="FP4" s="137"/>
      <c r="FQ4" s="137"/>
      <c r="FR4" s="137"/>
      <c r="FS4" s="137"/>
      <c r="FT4" s="137"/>
      <c r="FU4" s="137"/>
      <c r="FV4" s="137"/>
      <c r="FW4" s="137"/>
      <c r="FX4" s="137"/>
      <c r="FY4" s="137"/>
      <c r="FZ4" s="137"/>
      <c r="GA4" s="137"/>
      <c r="GB4" s="137"/>
      <c r="GC4" s="137"/>
      <c r="GD4" s="137"/>
      <c r="GE4" s="137"/>
      <c r="GF4" s="137"/>
      <c r="GG4" s="137"/>
      <c r="GH4" s="137"/>
      <c r="GI4" s="137"/>
      <c r="GJ4" s="137"/>
      <c r="GK4" s="137"/>
      <c r="GL4" s="137"/>
      <c r="GM4" s="137"/>
      <c r="GN4" s="137"/>
      <c r="GO4" s="137"/>
      <c r="GP4" s="137"/>
      <c r="GQ4" s="137"/>
      <c r="GR4" s="137"/>
      <c r="GS4" s="137"/>
      <c r="GT4" s="137"/>
      <c r="GU4" s="137"/>
      <c r="GV4" s="137"/>
      <c r="GW4" s="137"/>
      <c r="GX4" s="137"/>
      <c r="GY4" s="137"/>
      <c r="GZ4" s="137"/>
      <c r="HA4" s="137"/>
      <c r="HB4" s="137"/>
      <c r="HC4" s="137"/>
      <c r="HD4" s="137"/>
      <c r="HE4" s="137"/>
      <c r="HF4" s="137"/>
      <c r="HG4" s="137"/>
      <c r="HH4" s="137"/>
      <c r="HI4" s="137"/>
      <c r="HJ4" s="137"/>
      <c r="HK4" s="137"/>
      <c r="HL4" s="137"/>
      <c r="HM4" s="137"/>
      <c r="HN4" s="137"/>
      <c r="HO4" s="137"/>
      <c r="HP4" s="137"/>
      <c r="HQ4" s="137"/>
      <c r="HR4" s="137"/>
      <c r="HS4" s="137"/>
      <c r="HT4" s="137"/>
      <c r="HU4" s="137"/>
      <c r="HV4" s="137"/>
      <c r="HW4" s="137"/>
      <c r="HX4" s="137"/>
      <c r="HY4" s="137"/>
      <c r="HZ4" s="137"/>
      <c r="IA4" s="137"/>
      <c r="IB4" s="137"/>
      <c r="IC4" s="137"/>
      <c r="ID4" s="137"/>
      <c r="IE4" s="137"/>
      <c r="IF4" s="137"/>
      <c r="IG4" s="137"/>
      <c r="IH4" s="137"/>
      <c r="II4" s="137"/>
      <c r="IJ4" s="137"/>
      <c r="IK4" s="137"/>
      <c r="IL4" s="137"/>
      <c r="IM4" s="137"/>
      <c r="IN4" s="137"/>
      <c r="IO4" s="137"/>
      <c r="IP4" s="137"/>
      <c r="IQ4" s="137"/>
      <c r="IR4" s="137"/>
      <c r="IS4" s="137"/>
      <c r="IT4" s="137"/>
      <c r="IU4" s="137"/>
      <c r="IV4" s="137"/>
      <c r="IW4" s="137"/>
      <c r="IX4" s="137"/>
      <c r="IY4" s="137"/>
      <c r="IZ4" s="137"/>
      <c r="JA4" s="137"/>
      <c r="JB4" s="137"/>
      <c r="JC4" s="137"/>
      <c r="JD4" s="137"/>
      <c r="JE4" s="137"/>
      <c r="JF4" s="137"/>
      <c r="JG4" s="137"/>
      <c r="JH4" s="137"/>
      <c r="JI4" s="137"/>
      <c r="JJ4" s="137"/>
      <c r="JK4" s="137"/>
      <c r="JL4" s="137"/>
      <c r="JM4" s="137"/>
      <c r="JN4" s="137"/>
      <c r="JO4" s="137"/>
      <c r="JP4" s="137"/>
      <c r="JQ4" s="137"/>
      <c r="JR4" s="137"/>
      <c r="JS4" s="137"/>
      <c r="JT4" s="137"/>
      <c r="JU4" s="137"/>
      <c r="JV4" s="137"/>
      <c r="JW4" s="137"/>
      <c r="JX4" s="137"/>
      <c r="JY4" s="137"/>
      <c r="JZ4" s="137"/>
      <c r="KA4" s="137"/>
      <c r="KB4" s="137"/>
      <c r="KC4" s="137"/>
      <c r="KD4" s="137"/>
      <c r="KE4" s="137"/>
      <c r="KF4" s="137"/>
      <c r="KG4" s="137"/>
      <c r="KH4" s="137"/>
      <c r="KI4" s="137"/>
      <c r="KJ4" s="137"/>
      <c r="KK4" s="137"/>
      <c r="KL4" s="137"/>
      <c r="KM4" s="137"/>
      <c r="KN4" s="137"/>
      <c r="KO4" s="137"/>
      <c r="KP4" s="137"/>
      <c r="KQ4" s="137"/>
      <c r="KR4" s="137"/>
      <c r="KS4" s="137"/>
      <c r="KT4" s="137"/>
      <c r="KU4" s="137"/>
      <c r="KV4" s="137"/>
      <c r="KW4" s="137"/>
      <c r="KX4" s="137"/>
      <c r="KY4" s="137"/>
      <c r="KZ4" s="137"/>
      <c r="LA4" s="137"/>
      <c r="LB4" s="137"/>
      <c r="LC4" s="137"/>
      <c r="LD4" s="137"/>
      <c r="LE4" s="137"/>
      <c r="LF4" s="137"/>
      <c r="LG4" s="137"/>
      <c r="LH4" s="137"/>
      <c r="LI4" s="137"/>
      <c r="LJ4" s="137"/>
      <c r="LK4" s="137"/>
      <c r="LL4" s="137"/>
      <c r="LM4" s="137"/>
      <c r="LN4" s="137"/>
      <c r="LO4" s="137"/>
      <c r="LP4" s="137"/>
      <c r="LQ4" s="137"/>
      <c r="LR4" s="137"/>
      <c r="LS4" s="137"/>
      <c r="LT4" s="137"/>
      <c r="LU4" s="137"/>
      <c r="LV4" s="137"/>
      <c r="LW4" s="137"/>
      <c r="LX4" s="137"/>
      <c r="LY4" s="137"/>
      <c r="LZ4" s="137"/>
      <c r="MA4" s="137"/>
      <c r="MB4" s="137"/>
      <c r="MC4" s="137"/>
      <c r="MD4" s="137"/>
      <c r="ME4" s="137"/>
      <c r="MF4" s="137"/>
      <c r="MG4" s="137"/>
      <c r="MH4" s="137"/>
      <c r="MI4" s="137"/>
      <c r="MJ4" s="137"/>
      <c r="MK4" s="137"/>
      <c r="ML4" s="137"/>
      <c r="MM4" s="137"/>
      <c r="MN4" s="137"/>
      <c r="MO4" s="137"/>
      <c r="MP4" s="137"/>
      <c r="MQ4" s="137"/>
      <c r="MR4" s="137"/>
      <c r="MS4" s="137"/>
      <c r="MT4" s="137"/>
      <c r="MU4" s="137"/>
      <c r="MV4" s="137"/>
      <c r="MW4" s="137"/>
      <c r="MX4" s="137"/>
      <c r="MY4" s="137"/>
      <c r="MZ4" s="137"/>
      <c r="NA4" s="137"/>
      <c r="NB4" s="137"/>
      <c r="NC4" s="137"/>
      <c r="ND4" s="137"/>
      <c r="NE4" s="137"/>
      <c r="NF4" s="137"/>
      <c r="NG4" s="137"/>
      <c r="NH4" s="137"/>
      <c r="NI4" s="137"/>
      <c r="NJ4" s="137"/>
      <c r="NK4" s="137"/>
      <c r="NL4" s="137"/>
      <c r="NM4" s="137"/>
      <c r="NN4" s="137"/>
      <c r="NO4" s="137"/>
      <c r="NP4" s="137"/>
      <c r="NQ4" s="137"/>
      <c r="NR4" s="137"/>
      <c r="NS4" s="137"/>
      <c r="NT4" s="137"/>
      <c r="NU4" s="137"/>
      <c r="NV4" s="137"/>
      <c r="NW4" s="137"/>
      <c r="NX4" s="137"/>
      <c r="NY4" s="137"/>
      <c r="NZ4" s="137"/>
      <c r="OA4" s="137"/>
      <c r="OB4" s="137"/>
      <c r="OC4" s="137"/>
      <c r="OD4" s="137"/>
      <c r="OE4" s="137"/>
      <c r="OF4" s="137"/>
      <c r="OG4" s="137"/>
      <c r="OH4" s="137"/>
      <c r="OI4" s="137"/>
      <c r="OJ4" s="137"/>
      <c r="OK4" s="137"/>
      <c r="OL4" s="137"/>
      <c r="OM4" s="137"/>
      <c r="ON4" s="137"/>
      <c r="OO4" s="137"/>
      <c r="OP4" s="137"/>
      <c r="OQ4" s="137"/>
      <c r="OR4" s="137"/>
      <c r="OS4" s="137"/>
      <c r="OT4" s="137"/>
      <c r="OU4" s="137"/>
      <c r="OV4" s="137"/>
      <c r="OW4" s="137"/>
      <c r="OX4" s="137"/>
      <c r="OY4" s="137"/>
      <c r="OZ4" s="137"/>
      <c r="PA4" s="137"/>
      <c r="PB4" s="137"/>
      <c r="PC4" s="137"/>
      <c r="PD4" s="137"/>
      <c r="PE4" s="137"/>
      <c r="PF4" s="137"/>
      <c r="PG4" s="137"/>
      <c r="PH4" s="137"/>
      <c r="PI4" s="137"/>
      <c r="PJ4" s="137"/>
      <c r="PK4" s="137"/>
      <c r="PL4" s="137"/>
      <c r="PM4" s="137"/>
      <c r="PN4" s="137"/>
      <c r="PO4" s="137"/>
      <c r="PP4" s="137"/>
      <c r="PQ4" s="137"/>
      <c r="PR4" s="137"/>
      <c r="PS4" s="137"/>
      <c r="PT4" s="137"/>
      <c r="PU4" s="137"/>
      <c r="PV4" s="137"/>
      <c r="PW4" s="137"/>
      <c r="PX4" s="137"/>
      <c r="PY4" s="137"/>
      <c r="PZ4" s="137"/>
      <c r="QA4" s="137"/>
      <c r="QB4" s="137"/>
      <c r="QC4" s="137"/>
      <c r="QD4" s="137"/>
      <c r="QE4" s="137"/>
      <c r="QF4" s="137"/>
      <c r="QG4" s="137"/>
      <c r="QH4" s="137"/>
      <c r="QI4" s="137"/>
      <c r="QJ4" s="137"/>
      <c r="QK4" s="137"/>
      <c r="QL4" s="137"/>
      <c r="QM4" s="137"/>
      <c r="QN4" s="137"/>
      <c r="QO4" s="137"/>
      <c r="QP4" s="137"/>
      <c r="QQ4" s="137"/>
      <c r="QR4" s="137"/>
      <c r="QS4" s="137"/>
      <c r="QT4" s="137"/>
      <c r="QU4" s="137"/>
      <c r="QV4" s="137"/>
      <c r="QW4" s="137"/>
      <c r="QX4" s="137"/>
      <c r="QY4" s="137"/>
      <c r="QZ4" s="137"/>
      <c r="RA4" s="137"/>
      <c r="RB4" s="137"/>
      <c r="RC4" s="137"/>
      <c r="RD4" s="137"/>
      <c r="RE4" s="137"/>
      <c r="RF4" s="137"/>
      <c r="RG4" s="137"/>
      <c r="RH4" s="137"/>
      <c r="RI4" s="137"/>
      <c r="RJ4" s="137"/>
      <c r="RK4" s="137"/>
      <c r="RL4" s="137"/>
      <c r="RM4" s="137"/>
      <c r="RN4" s="137"/>
      <c r="RO4" s="137"/>
      <c r="RP4" s="137"/>
      <c r="RQ4" s="137"/>
      <c r="RR4" s="137"/>
      <c r="RS4" s="137"/>
      <c r="RT4" s="137"/>
      <c r="RU4" s="137"/>
      <c r="RV4" s="137"/>
      <c r="RW4" s="137"/>
      <c r="RX4" s="137"/>
      <c r="RY4" s="137"/>
      <c r="RZ4" s="137"/>
      <c r="SA4" s="137"/>
      <c r="SB4" s="137"/>
      <c r="SC4" s="137"/>
      <c r="SD4" s="137"/>
      <c r="SE4" s="137"/>
      <c r="SF4" s="137"/>
      <c r="SG4" s="137"/>
      <c r="SH4" s="137"/>
      <c r="SI4" s="137"/>
      <c r="SJ4" s="137"/>
      <c r="SK4" s="137"/>
      <c r="SL4" s="137"/>
      <c r="SM4" s="137"/>
      <c r="SN4" s="137"/>
      <c r="SO4" s="137"/>
      <c r="SP4" s="137"/>
      <c r="SQ4" s="137"/>
      <c r="SR4" s="137"/>
      <c r="SS4" s="137"/>
      <c r="ST4" s="137"/>
      <c r="SU4" s="137"/>
      <c r="SV4" s="137"/>
      <c r="SW4" s="137"/>
      <c r="SX4" s="137"/>
      <c r="SY4" s="137"/>
      <c r="SZ4" s="137"/>
      <c r="TA4" s="137"/>
      <c r="TB4" s="137"/>
      <c r="TC4" s="137"/>
      <c r="TD4" s="137"/>
      <c r="TE4" s="137"/>
      <c r="TF4" s="137"/>
      <c r="TG4" s="137"/>
      <c r="TH4" s="137"/>
      <c r="TI4" s="137"/>
      <c r="TJ4" s="137"/>
      <c r="TK4" s="137"/>
      <c r="TL4" s="137"/>
      <c r="TM4" s="137"/>
      <c r="TN4" s="137"/>
      <c r="TO4" s="137"/>
      <c r="TP4" s="137"/>
      <c r="TQ4" s="137"/>
      <c r="TR4" s="137"/>
      <c r="TS4" s="137"/>
      <c r="TT4" s="137"/>
      <c r="TU4" s="137"/>
      <c r="TV4" s="137"/>
      <c r="TW4" s="137"/>
      <c r="TX4" s="137"/>
      <c r="TY4" s="137"/>
      <c r="TZ4" s="137"/>
      <c r="UA4" s="137"/>
      <c r="UB4" s="137"/>
      <c r="UC4" s="137"/>
      <c r="UD4" s="137"/>
      <c r="UE4" s="137"/>
      <c r="UF4" s="137"/>
      <c r="UG4" s="137"/>
      <c r="UH4" s="137"/>
      <c r="UI4" s="137"/>
      <c r="UJ4" s="137"/>
      <c r="UK4" s="137"/>
      <c r="UL4" s="137"/>
      <c r="UM4" s="137"/>
      <c r="UN4" s="137"/>
      <c r="UO4" s="137"/>
      <c r="UP4" s="137"/>
      <c r="UQ4" s="137"/>
      <c r="UR4" s="137"/>
      <c r="US4" s="137"/>
      <c r="UT4" s="137"/>
      <c r="UU4" s="137"/>
      <c r="UV4" s="137"/>
      <c r="UW4" s="137"/>
      <c r="UX4" s="137"/>
      <c r="UY4" s="137"/>
      <c r="UZ4" s="137"/>
      <c r="VA4" s="137"/>
      <c r="VB4" s="137"/>
      <c r="VC4" s="137"/>
      <c r="VD4" s="137"/>
      <c r="VE4" s="137"/>
      <c r="VF4" s="137"/>
      <c r="VG4" s="137"/>
      <c r="VH4" s="137"/>
      <c r="VI4" s="137"/>
      <c r="VJ4" s="137"/>
      <c r="VK4" s="137"/>
      <c r="VL4" s="137"/>
      <c r="VM4" s="137"/>
      <c r="VN4" s="137"/>
      <c r="VO4" s="137"/>
      <c r="VP4" s="137"/>
      <c r="VQ4" s="137"/>
      <c r="VR4" s="137"/>
      <c r="VS4" s="137"/>
      <c r="VT4" s="137"/>
      <c r="VU4" s="137"/>
      <c r="VV4" s="137"/>
      <c r="VW4" s="137"/>
      <c r="VX4" s="137"/>
      <c r="VY4" s="137"/>
      <c r="VZ4" s="137"/>
      <c r="WA4" s="137"/>
      <c r="WB4" s="137"/>
      <c r="WC4" s="137"/>
      <c r="WD4" s="137"/>
      <c r="WE4" s="137"/>
      <c r="WF4" s="137"/>
      <c r="WG4" s="137"/>
      <c r="WH4" s="137"/>
      <c r="WI4" s="137"/>
      <c r="WJ4" s="137"/>
      <c r="WK4" s="137"/>
      <c r="WL4" s="137"/>
      <c r="WM4" s="137"/>
      <c r="WN4" s="137"/>
      <c r="WO4" s="137"/>
      <c r="WP4" s="137"/>
      <c r="WQ4" s="137"/>
      <c r="WR4" s="137"/>
      <c r="WS4" s="137"/>
      <c r="WT4" s="137"/>
      <c r="WU4" s="137"/>
      <c r="WV4" s="137"/>
      <c r="WW4" s="137"/>
      <c r="WX4" s="137"/>
      <c r="WY4" s="137"/>
      <c r="WZ4" s="137"/>
      <c r="XA4" s="137"/>
      <c r="XB4" s="137"/>
      <c r="XC4" s="137"/>
      <c r="XD4" s="137"/>
      <c r="XE4" s="137"/>
      <c r="XF4" s="137"/>
      <c r="XG4" s="137"/>
      <c r="XH4" s="137"/>
      <c r="XI4" s="137"/>
      <c r="XJ4" s="137"/>
      <c r="XK4" s="137"/>
      <c r="XL4" s="137"/>
      <c r="XM4" s="137"/>
      <c r="XN4" s="137"/>
      <c r="XO4" s="137"/>
      <c r="XP4" s="137"/>
      <c r="XQ4" s="137"/>
      <c r="XR4" s="137"/>
      <c r="XS4" s="137"/>
      <c r="XT4" s="137"/>
      <c r="XU4" s="137"/>
      <c r="XV4" s="137"/>
      <c r="XW4" s="137"/>
      <c r="XX4" s="137"/>
      <c r="XY4" s="137"/>
      <c r="XZ4" s="137"/>
      <c r="YA4" s="137"/>
      <c r="YB4" s="137"/>
      <c r="YC4" s="137"/>
      <c r="YD4" s="137"/>
      <c r="YE4" s="137"/>
      <c r="YF4" s="137"/>
      <c r="YG4" s="137"/>
      <c r="YH4" s="137"/>
      <c r="YI4" s="137"/>
      <c r="YJ4" s="137"/>
      <c r="YK4" s="137"/>
      <c r="YL4" s="137"/>
      <c r="YM4" s="137"/>
      <c r="YN4" s="137"/>
      <c r="YO4" s="137"/>
      <c r="YP4" s="137"/>
      <c r="YQ4" s="137"/>
      <c r="YR4" s="137"/>
      <c r="YS4" s="137"/>
      <c r="YT4" s="137"/>
      <c r="YU4" s="137"/>
      <c r="YV4" s="137"/>
      <c r="YW4" s="137"/>
      <c r="YX4" s="137"/>
      <c r="YY4" s="137"/>
      <c r="YZ4" s="137"/>
      <c r="ZA4" s="137"/>
      <c r="ZB4" s="137"/>
      <c r="ZC4" s="137"/>
      <c r="ZD4" s="137"/>
      <c r="ZE4" s="137"/>
      <c r="ZF4" s="137"/>
      <c r="ZG4" s="137"/>
      <c r="ZH4" s="137"/>
      <c r="ZI4" s="137"/>
      <c r="ZJ4" s="137"/>
      <c r="ZK4" s="137"/>
      <c r="ZL4" s="137"/>
      <c r="ZM4" s="137"/>
      <c r="ZN4" s="137"/>
      <c r="ZO4" s="137"/>
      <c r="ZP4" s="137"/>
      <c r="ZQ4" s="137"/>
      <c r="ZR4" s="137"/>
      <c r="ZS4" s="137"/>
      <c r="ZT4" s="137"/>
      <c r="ZU4" s="137"/>
      <c r="ZV4" s="137"/>
      <c r="ZW4" s="137"/>
      <c r="ZX4" s="137"/>
      <c r="ZY4" s="137"/>
      <c r="ZZ4" s="137"/>
      <c r="AAA4" s="137"/>
      <c r="AAB4" s="137"/>
      <c r="AAC4" s="137"/>
      <c r="AAD4" s="137"/>
      <c r="AAE4" s="137"/>
      <c r="AAF4" s="137"/>
      <c r="AAG4" s="137"/>
      <c r="AAH4" s="137"/>
      <c r="AAI4" s="137"/>
      <c r="AAJ4" s="137"/>
      <c r="AAK4" s="137"/>
      <c r="AAL4" s="137"/>
      <c r="AAM4" s="137"/>
      <c r="AAN4" s="137"/>
      <c r="AAO4" s="137"/>
      <c r="AAP4" s="137"/>
      <c r="AAQ4" s="137"/>
      <c r="AAR4" s="137"/>
      <c r="AAS4" s="137"/>
      <c r="AAT4" s="137"/>
      <c r="AAU4" s="137"/>
      <c r="AAV4" s="137"/>
      <c r="AAW4" s="137"/>
      <c r="AAX4" s="137"/>
      <c r="AAY4" s="137"/>
      <c r="AAZ4" s="137"/>
      <c r="ABA4" s="137"/>
      <c r="ABB4" s="137"/>
      <c r="ABC4" s="137"/>
      <c r="ABD4" s="137"/>
      <c r="ABE4" s="137"/>
      <c r="ABF4" s="137"/>
      <c r="ABG4" s="137"/>
      <c r="ABH4" s="137"/>
      <c r="ABI4" s="137"/>
      <c r="ABJ4" s="137"/>
      <c r="ABK4" s="137"/>
      <c r="ABL4" s="137"/>
      <c r="ABM4" s="137"/>
      <c r="ABN4" s="137"/>
      <c r="ABO4" s="137"/>
      <c r="ABP4" s="137"/>
      <c r="ABQ4" s="137"/>
      <c r="ABR4" s="137"/>
      <c r="ABS4" s="137"/>
      <c r="ABT4" s="137"/>
      <c r="ABU4" s="137"/>
    </row>
    <row r="5" spans="1:749" ht="41.25" customHeight="1">
      <c r="A5" s="357">
        <v>4</v>
      </c>
      <c r="B5" s="62" t="s">
        <v>1522</v>
      </c>
      <c r="C5" s="229" t="s">
        <v>1462</v>
      </c>
      <c r="D5" s="229" t="s">
        <v>1535</v>
      </c>
      <c r="E5" s="305" t="s">
        <v>1536</v>
      </c>
      <c r="F5" s="181">
        <v>1</v>
      </c>
      <c r="G5" s="228">
        <v>1</v>
      </c>
      <c r="H5" s="203" t="s">
        <v>290</v>
      </c>
      <c r="I5" s="316" t="s">
        <v>1459</v>
      </c>
      <c r="J5" s="228" t="s">
        <v>1537</v>
      </c>
      <c r="K5" s="203" t="s">
        <v>1463</v>
      </c>
      <c r="L5" s="352" t="s">
        <v>291</v>
      </c>
      <c r="M5" s="358" t="s">
        <v>1538</v>
      </c>
      <c r="N5" s="360">
        <v>45604</v>
      </c>
      <c r="O5" s="360">
        <v>45604</v>
      </c>
      <c r="P5" s="228" t="s">
        <v>1533</v>
      </c>
      <c r="Q5" s="352" t="s">
        <v>291</v>
      </c>
      <c r="R5" s="228" t="s">
        <v>1315</v>
      </c>
      <c r="S5" s="360">
        <v>45604</v>
      </c>
      <c r="T5" s="352" t="s">
        <v>291</v>
      </c>
      <c r="U5" s="228" t="s">
        <v>291</v>
      </c>
      <c r="V5" s="228" t="s">
        <v>291</v>
      </c>
      <c r="W5" s="228" t="s">
        <v>289</v>
      </c>
      <c r="X5" s="378"/>
    </row>
    <row r="6" spans="1:749" s="58" customFormat="1" ht="30.75" customHeight="1">
      <c r="A6" s="357">
        <v>5</v>
      </c>
      <c r="B6" s="203" t="s">
        <v>1522</v>
      </c>
      <c r="C6" s="246" t="s">
        <v>298</v>
      </c>
      <c r="D6" s="203" t="s">
        <v>1539</v>
      </c>
      <c r="E6" s="186" t="s">
        <v>1540</v>
      </c>
      <c r="F6" s="357">
        <v>2</v>
      </c>
      <c r="G6" s="228">
        <v>2</v>
      </c>
      <c r="H6" s="203" t="s">
        <v>290</v>
      </c>
      <c r="I6" s="316" t="s">
        <v>426</v>
      </c>
      <c r="J6" s="228" t="s">
        <v>291</v>
      </c>
      <c r="K6" s="203" t="s">
        <v>426</v>
      </c>
      <c r="L6" s="228" t="s">
        <v>291</v>
      </c>
      <c r="M6" s="358" t="s">
        <v>1541</v>
      </c>
      <c r="N6" s="360">
        <v>45614</v>
      </c>
      <c r="O6" s="360">
        <v>45614</v>
      </c>
      <c r="P6" s="228" t="s">
        <v>426</v>
      </c>
      <c r="Q6" s="352" t="s">
        <v>291</v>
      </c>
      <c r="R6" s="228" t="s">
        <v>1315</v>
      </c>
      <c r="S6" s="360">
        <v>45604</v>
      </c>
      <c r="T6" s="352" t="s">
        <v>291</v>
      </c>
      <c r="U6" s="228" t="s">
        <v>291</v>
      </c>
      <c r="V6" s="228" t="s">
        <v>291</v>
      </c>
      <c r="W6" s="352" t="s">
        <v>289</v>
      </c>
      <c r="X6" s="245"/>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s="227"/>
    </row>
    <row r="7" spans="1:749" s="218" customFormat="1" ht="37.5" customHeight="1">
      <c r="A7" s="369">
        <v>6</v>
      </c>
      <c r="B7" s="229" t="s">
        <v>1522</v>
      </c>
      <c r="C7" s="250" t="s">
        <v>292</v>
      </c>
      <c r="D7" s="329" t="s">
        <v>1542</v>
      </c>
      <c r="E7" s="257" t="s">
        <v>1543</v>
      </c>
      <c r="F7" s="369">
        <v>3</v>
      </c>
      <c r="G7" s="327">
        <v>3</v>
      </c>
      <c r="H7" s="229" t="s">
        <v>290</v>
      </c>
      <c r="I7" s="329" t="s">
        <v>298</v>
      </c>
      <c r="J7" s="327" t="s">
        <v>291</v>
      </c>
      <c r="K7" s="229" t="s">
        <v>298</v>
      </c>
      <c r="L7" s="374" t="s">
        <v>291</v>
      </c>
      <c r="M7" s="271" t="s">
        <v>1544</v>
      </c>
      <c r="N7" s="372">
        <v>45615</v>
      </c>
      <c r="O7" s="373">
        <v>45615</v>
      </c>
      <c r="P7" s="370" t="s">
        <v>1315</v>
      </c>
      <c r="Q7" s="370" t="s">
        <v>291</v>
      </c>
      <c r="R7" s="327" t="s">
        <v>1315</v>
      </c>
      <c r="S7" s="373">
        <v>45615</v>
      </c>
      <c r="T7" s="370" t="s">
        <v>291</v>
      </c>
      <c r="U7" s="327" t="s">
        <v>291</v>
      </c>
      <c r="V7" s="327" t="s">
        <v>291</v>
      </c>
      <c r="W7" s="327" t="s">
        <v>289</v>
      </c>
      <c r="X7" s="249"/>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s="242"/>
    </row>
    <row r="8" spans="1:749" ht="58.5">
      <c r="A8" s="387">
        <v>7</v>
      </c>
      <c r="B8" s="218" t="s">
        <v>1522</v>
      </c>
      <c r="C8" s="218" t="s">
        <v>298</v>
      </c>
      <c r="D8" s="218" t="s">
        <v>1490</v>
      </c>
      <c r="E8" s="329" t="s">
        <v>1491</v>
      </c>
      <c r="F8" s="327">
        <v>3</v>
      </c>
      <c r="G8" s="218"/>
      <c r="H8" s="218"/>
      <c r="I8" s="333"/>
      <c r="J8" s="218"/>
      <c r="K8" s="218"/>
      <c r="L8" s="218"/>
      <c r="M8" s="333"/>
      <c r="N8" s="218"/>
      <c r="O8" s="218"/>
      <c r="P8" s="218"/>
      <c r="Q8" s="333"/>
      <c r="R8" s="218"/>
      <c r="S8" s="218"/>
      <c r="T8" s="218"/>
      <c r="U8" s="218"/>
      <c r="V8" s="218"/>
      <c r="W8" s="327" t="s">
        <v>1518</v>
      </c>
      <c r="X8" s="388" t="s">
        <v>1545</v>
      </c>
    </row>
  </sheetData>
  <hyperlinks>
    <hyperlink ref="M3" r:id="rId1" xr:uid="{9213B1C4-8E5C-4E0B-BF59-53D783F9FEAD}"/>
    <hyperlink ref="M5" r:id="rId2" xr:uid="{00DB84B2-F710-4F64-98C1-BAB66B79B4EA}"/>
    <hyperlink ref="M2" r:id="rId3" xr:uid="{2468714B-FB24-4009-B358-6653AB2608FB}"/>
    <hyperlink ref="M6" r:id="rId4" xr:uid="{8C2D9F2E-2F3F-472D-99DC-2AF8D5CAC509}"/>
    <hyperlink ref="M4" r:id="rId5" xr:uid="{0F5F81CC-0D1F-478A-B73A-AD68476A38EB}"/>
    <hyperlink ref="M7" r:id="rId6" xr:uid="{D0BCDBDC-09FF-49E6-818A-57CE5D08BCA3}"/>
  </hyperlinks>
  <pageMargins left="0.7" right="0.7" top="0.75" bottom="0.75" header="0.3" footer="0.3"/>
  <tableParts count="1">
    <tablePart r:id="rId7"/>
  </tableParts>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D6E17-DFFB-4D2C-96E3-C00DB3773ADB}">
  <dimension ref="A1:Z4"/>
  <sheetViews>
    <sheetView workbookViewId="0">
      <selection activeCell="C9" sqref="C9"/>
    </sheetView>
  </sheetViews>
  <sheetFormatPr defaultRowHeight="12.75"/>
  <cols>
    <col min="1" max="1" width="9.42578125" customWidth="1"/>
    <col min="2" max="2" width="17.140625" customWidth="1"/>
    <col min="3" max="3" width="21.5703125" customWidth="1"/>
    <col min="4" max="4" width="12.28515625" customWidth="1"/>
    <col min="5" max="5" width="15.7109375" customWidth="1"/>
    <col min="6" max="6" width="54.85546875" customWidth="1"/>
    <col min="7" max="7" width="13.7109375" customWidth="1"/>
    <col min="8" max="8" width="10" customWidth="1"/>
    <col min="9" max="9" width="12" customWidth="1"/>
    <col min="10" max="10" width="14.7109375" customWidth="1"/>
    <col min="11" max="11" width="22.85546875" customWidth="1"/>
  </cols>
  <sheetData>
    <row r="1" spans="1:26" ht="27">
      <c r="A1" s="59" t="s">
        <v>254</v>
      </c>
      <c r="B1" s="154" t="s">
        <v>11</v>
      </c>
      <c r="C1" s="155" t="s">
        <v>322</v>
      </c>
      <c r="D1" s="154" t="s">
        <v>256</v>
      </c>
      <c r="E1" s="155" t="s">
        <v>324</v>
      </c>
      <c r="F1" s="155" t="s">
        <v>325</v>
      </c>
      <c r="G1" s="154" t="s">
        <v>326</v>
      </c>
      <c r="H1" s="154" t="s">
        <v>328</v>
      </c>
      <c r="I1" s="154" t="s">
        <v>259</v>
      </c>
      <c r="J1" s="156" t="s">
        <v>329</v>
      </c>
      <c r="K1" s="157" t="s">
        <v>280</v>
      </c>
      <c r="L1" s="35"/>
      <c r="M1" s="35"/>
      <c r="N1" s="35"/>
      <c r="O1" s="35"/>
      <c r="P1" s="35"/>
      <c r="Q1" s="35"/>
      <c r="R1" s="35"/>
      <c r="S1" s="35"/>
      <c r="T1" s="35"/>
      <c r="U1" s="35"/>
      <c r="V1" s="35"/>
      <c r="W1" s="35"/>
      <c r="X1" s="35"/>
      <c r="Y1" s="35"/>
      <c r="Z1" s="35"/>
    </row>
    <row r="2" spans="1:26" ht="23.25">
      <c r="A2" s="46">
        <v>1</v>
      </c>
      <c r="B2" s="203" t="s">
        <v>1546</v>
      </c>
      <c r="C2" s="62" t="s">
        <v>1547</v>
      </c>
      <c r="D2" s="304" t="s">
        <v>1548</v>
      </c>
      <c r="E2" s="41" t="s">
        <v>380</v>
      </c>
      <c r="F2" s="11" t="s">
        <v>1549</v>
      </c>
      <c r="G2" s="41" t="s">
        <v>381</v>
      </c>
      <c r="H2" s="41" t="s">
        <v>421</v>
      </c>
      <c r="I2" s="41" t="s">
        <v>384</v>
      </c>
      <c r="J2" s="41" t="s">
        <v>385</v>
      </c>
      <c r="K2" s="11" t="s">
        <v>1550</v>
      </c>
      <c r="L2" s="244"/>
      <c r="M2" s="244"/>
      <c r="N2" s="244"/>
      <c r="O2" s="244"/>
      <c r="P2" s="244"/>
      <c r="Q2" s="244"/>
      <c r="R2" s="244"/>
      <c r="S2" s="244"/>
      <c r="T2" s="244"/>
      <c r="U2" s="244"/>
      <c r="V2" s="244"/>
      <c r="W2" s="137"/>
      <c r="X2" s="137"/>
      <c r="Y2" s="137"/>
      <c r="Z2" s="137"/>
    </row>
    <row r="3" spans="1:26" ht="58.5">
      <c r="A3" s="62">
        <v>2</v>
      </c>
      <c r="B3" s="203" t="s">
        <v>1546</v>
      </c>
      <c r="C3" s="62" t="s">
        <v>1551</v>
      </c>
      <c r="D3" s="304" t="s">
        <v>292</v>
      </c>
      <c r="E3" s="41" t="s">
        <v>380</v>
      </c>
      <c r="F3" s="316" t="s">
        <v>1552</v>
      </c>
      <c r="G3" s="41" t="s">
        <v>381</v>
      </c>
      <c r="H3" s="41" t="s">
        <v>383</v>
      </c>
      <c r="I3" s="41" t="s">
        <v>384</v>
      </c>
      <c r="J3" s="41" t="s">
        <v>540</v>
      </c>
      <c r="K3" s="11" t="s">
        <v>1553</v>
      </c>
      <c r="L3" s="137"/>
      <c r="M3" s="137"/>
      <c r="N3" s="137"/>
      <c r="O3" s="137"/>
      <c r="P3" s="137"/>
      <c r="Q3" s="137"/>
      <c r="R3" s="137"/>
      <c r="S3" s="137"/>
      <c r="T3" s="137"/>
      <c r="U3" s="137"/>
      <c r="V3" s="137"/>
      <c r="W3" s="137"/>
      <c r="X3" s="137"/>
      <c r="Y3" s="137"/>
      <c r="Z3" s="137"/>
    </row>
    <row r="4" spans="1:26" ht="92.25">
      <c r="A4" s="61">
        <v>3</v>
      </c>
      <c r="B4" s="203" t="s">
        <v>1546</v>
      </c>
      <c r="C4" s="62" t="s">
        <v>1554</v>
      </c>
      <c r="D4" s="304" t="s">
        <v>292</v>
      </c>
      <c r="E4" s="41" t="s">
        <v>380</v>
      </c>
      <c r="F4" s="216" t="s">
        <v>1555</v>
      </c>
      <c r="G4" s="19" t="s">
        <v>622</v>
      </c>
      <c r="H4" s="41" t="s">
        <v>383</v>
      </c>
      <c r="I4" s="41" t="s">
        <v>384</v>
      </c>
      <c r="J4" s="41" t="s">
        <v>540</v>
      </c>
      <c r="K4" s="11" t="s">
        <v>1556</v>
      </c>
    </row>
  </sheetData>
  <dataValidations count="4">
    <dataValidation type="list" allowBlank="1" showErrorMessage="1" sqref="G2:G4" xr:uid="{50514E01-8DCC-4AF2-9E56-4C04AD639D81}">
      <formula1>"Minor,Significant,Major"</formula1>
    </dataValidation>
    <dataValidation type="list" allowBlank="1" showErrorMessage="1" sqref="I2:I4" xr:uid="{1ECCC015-84B1-4733-9737-C5D06269527E}">
      <formula1>"Open,Inprogress,Closed"</formula1>
    </dataValidation>
    <dataValidation type="list" allowBlank="1" showErrorMessage="1" sqref="E2:E4" xr:uid="{1EF16ED4-81A7-429B-9B10-042357811294}">
      <formula1>"Bounceback,Defect,None"</formula1>
    </dataValidation>
    <dataValidation type="list" allowBlank="1" showErrorMessage="1" sqref="H2:H4" xr:uid="{35C78128-0405-4FAD-ADEC-0DD12C4485A4}">
      <formula1>"Internal,External"</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FE95D8A9-1332-42CA-B82E-552F5B4212D9}">
          <x14:formula1>
            <xm:f>Details!$A$2:$A$10</xm:f>
          </x14:formula1>
          <xm:sqref>J2:J4</xm:sqref>
        </x14:dataValidation>
      </x14:dataValidations>
    </ext>
  </extLst>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10283-B132-4A91-8205-3AE1BBE3605F}">
  <dimension ref="A1:ABU8"/>
  <sheetViews>
    <sheetView workbookViewId="0">
      <pane xSplit="4" ySplit="2" topLeftCell="M7" activePane="bottomRight" state="frozen"/>
      <selection pane="bottomRight" activeCell="N8" sqref="N8"/>
      <selection pane="bottomLeft"/>
      <selection pane="topRight"/>
    </sheetView>
  </sheetViews>
  <sheetFormatPr defaultRowHeight="12.75"/>
  <cols>
    <col min="2" max="2" width="27.5703125" customWidth="1"/>
    <col min="3" max="3" width="16" customWidth="1"/>
    <col min="5" max="5" width="41.7109375" style="137" customWidth="1"/>
    <col min="8" max="8" width="10.85546875" customWidth="1"/>
    <col min="9" max="9" width="13.5703125" style="144" customWidth="1"/>
    <col min="10" max="10" width="13.7109375" customWidth="1"/>
    <col min="11" max="11" width="17.28515625" customWidth="1"/>
    <col min="12" max="12" width="17" customWidth="1"/>
    <col min="13" max="13" width="9.140625" style="144"/>
    <col min="14" max="15" width="10.42578125" bestFit="1" customWidth="1"/>
    <col min="17" max="17" width="9.140625" style="144"/>
    <col min="19" max="19" width="10.42578125" bestFit="1" customWidth="1"/>
    <col min="23" max="23" width="14.28515625" customWidth="1"/>
    <col min="24" max="24" width="27.42578125" customWidth="1"/>
  </cols>
  <sheetData>
    <row r="1" spans="1:749">
      <c r="A1" s="234"/>
      <c r="B1" s="1"/>
      <c r="C1" s="7"/>
      <c r="D1" s="7"/>
      <c r="E1" s="322"/>
      <c r="F1" s="49"/>
      <c r="G1" s="49"/>
      <c r="H1" s="198"/>
      <c r="I1" s="198"/>
      <c r="J1" s="198"/>
      <c r="K1" s="198"/>
      <c r="L1" s="198"/>
      <c r="M1" s="198"/>
      <c r="N1" s="198"/>
      <c r="O1" s="198"/>
      <c r="P1" s="198"/>
      <c r="Q1" s="198"/>
      <c r="R1" s="198"/>
      <c r="S1" s="198"/>
      <c r="T1" s="198"/>
      <c r="U1" s="198"/>
      <c r="V1" s="198"/>
      <c r="W1" s="322"/>
      <c r="X1" s="323"/>
    </row>
    <row r="2" spans="1:749" ht="48">
      <c r="A2" s="193" t="s">
        <v>254</v>
      </c>
      <c r="B2" s="59" t="s">
        <v>255</v>
      </c>
      <c r="C2" s="195" t="s">
        <v>256</v>
      </c>
      <c r="D2" s="68" t="s">
        <v>257</v>
      </c>
      <c r="E2" s="189" t="s">
        <v>258</v>
      </c>
      <c r="F2" s="71" t="s">
        <v>260</v>
      </c>
      <c r="G2" s="71" t="s">
        <v>261</v>
      </c>
      <c r="H2" s="199" t="s">
        <v>265</v>
      </c>
      <c r="I2" s="199" t="s">
        <v>266</v>
      </c>
      <c r="J2" s="199" t="s">
        <v>267</v>
      </c>
      <c r="K2" s="199" t="s">
        <v>268</v>
      </c>
      <c r="L2" s="199" t="s">
        <v>269</v>
      </c>
      <c r="M2" s="199" t="s">
        <v>270</v>
      </c>
      <c r="N2" s="199" t="s">
        <v>271</v>
      </c>
      <c r="O2" s="199" t="s">
        <v>272</v>
      </c>
      <c r="P2" s="199" t="s">
        <v>273</v>
      </c>
      <c r="Q2" s="199" t="s">
        <v>274</v>
      </c>
      <c r="R2" s="199" t="s">
        <v>275</v>
      </c>
      <c r="S2" s="199" t="s">
        <v>276</v>
      </c>
      <c r="T2" s="199" t="s">
        <v>274</v>
      </c>
      <c r="U2" s="199" t="s">
        <v>278</v>
      </c>
      <c r="V2" s="199" t="s">
        <v>279</v>
      </c>
      <c r="W2" s="189" t="s">
        <v>259</v>
      </c>
      <c r="X2" s="210" t="s">
        <v>280</v>
      </c>
    </row>
    <row r="3" spans="1:749" s="256" customFormat="1" ht="38.25" customHeight="1">
      <c r="A3" s="62">
        <v>1</v>
      </c>
      <c r="B3" s="62" t="s">
        <v>1557</v>
      </c>
      <c r="C3" s="62" t="s">
        <v>298</v>
      </c>
      <c r="D3" s="62" t="s">
        <v>1558</v>
      </c>
      <c r="E3" s="90" t="s">
        <v>1559</v>
      </c>
      <c r="F3" s="228">
        <v>3</v>
      </c>
      <c r="G3" s="228">
        <v>3</v>
      </c>
      <c r="H3" s="62" t="s">
        <v>290</v>
      </c>
      <c r="I3" s="90" t="s">
        <v>862</v>
      </c>
      <c r="J3" s="203" t="s">
        <v>1560</v>
      </c>
      <c r="K3" s="62" t="s">
        <v>862</v>
      </c>
      <c r="L3" s="90" t="s">
        <v>1560</v>
      </c>
      <c r="M3" s="176" t="s">
        <v>1561</v>
      </c>
      <c r="N3" s="359">
        <v>45602</v>
      </c>
      <c r="O3" s="359">
        <v>45602</v>
      </c>
      <c r="P3" s="90" t="s">
        <v>862</v>
      </c>
      <c r="Q3" s="90" t="s">
        <v>291</v>
      </c>
      <c r="R3" s="62" t="s">
        <v>295</v>
      </c>
      <c r="S3" s="359">
        <v>45603</v>
      </c>
      <c r="T3" s="62" t="s">
        <v>291</v>
      </c>
      <c r="U3" s="257" t="s">
        <v>291</v>
      </c>
      <c r="V3" s="257" t="s">
        <v>291</v>
      </c>
      <c r="W3" s="90" t="s">
        <v>1562</v>
      </c>
      <c r="X3" s="90" t="s">
        <v>1563</v>
      </c>
    </row>
    <row r="4" spans="1:749" s="137" customFormat="1" ht="41.25" customHeight="1">
      <c r="A4" s="203">
        <v>2</v>
      </c>
      <c r="B4" s="203" t="s">
        <v>1557</v>
      </c>
      <c r="C4" s="203" t="s">
        <v>292</v>
      </c>
      <c r="D4" s="229" t="s">
        <v>1564</v>
      </c>
      <c r="E4" s="305" t="s">
        <v>1565</v>
      </c>
      <c r="F4" s="228">
        <v>2</v>
      </c>
      <c r="G4" s="228">
        <v>2</v>
      </c>
      <c r="H4" s="203" t="s">
        <v>290</v>
      </c>
      <c r="I4" s="316" t="s">
        <v>298</v>
      </c>
      <c r="J4" s="203" t="s">
        <v>1560</v>
      </c>
      <c r="K4" s="203" t="s">
        <v>862</v>
      </c>
      <c r="L4" s="90" t="s">
        <v>1560</v>
      </c>
      <c r="M4" s="361" t="s">
        <v>1566</v>
      </c>
      <c r="N4" s="360">
        <v>45590</v>
      </c>
      <c r="O4" s="360">
        <v>45594</v>
      </c>
      <c r="P4" s="228" t="s">
        <v>294</v>
      </c>
      <c r="Q4" s="352" t="s">
        <v>291</v>
      </c>
      <c r="R4" s="228" t="s">
        <v>295</v>
      </c>
      <c r="S4" s="360">
        <v>45594</v>
      </c>
      <c r="T4" s="362" t="s">
        <v>291</v>
      </c>
      <c r="U4" s="363" t="s">
        <v>291</v>
      </c>
      <c r="V4" s="363" t="s">
        <v>291</v>
      </c>
      <c r="W4" s="357" t="s">
        <v>289</v>
      </c>
      <c r="X4" s="316"/>
    </row>
    <row r="5" spans="1:749" ht="36.75" customHeight="1">
      <c r="A5" s="203">
        <v>3</v>
      </c>
      <c r="B5" s="203" t="s">
        <v>1557</v>
      </c>
      <c r="C5" s="203" t="s">
        <v>1462</v>
      </c>
      <c r="D5" s="229" t="s">
        <v>1567</v>
      </c>
      <c r="E5" s="305" t="s">
        <v>1568</v>
      </c>
      <c r="F5" s="228">
        <v>3</v>
      </c>
      <c r="G5" s="228">
        <v>3</v>
      </c>
      <c r="H5" s="203" t="s">
        <v>290</v>
      </c>
      <c r="I5" s="316" t="s">
        <v>1459</v>
      </c>
      <c r="J5" s="203" t="s">
        <v>1560</v>
      </c>
      <c r="K5" s="203" t="s">
        <v>1533</v>
      </c>
      <c r="L5" s="90" t="s">
        <v>1560</v>
      </c>
      <c r="M5" s="361" t="s">
        <v>1569</v>
      </c>
      <c r="N5" s="360">
        <v>45601</v>
      </c>
      <c r="O5" s="360">
        <v>45602</v>
      </c>
      <c r="P5" s="228" t="s">
        <v>294</v>
      </c>
      <c r="Q5" s="352" t="s">
        <v>291</v>
      </c>
      <c r="R5" s="228" t="s">
        <v>295</v>
      </c>
      <c r="S5" s="360">
        <v>45602</v>
      </c>
      <c r="T5" s="362" t="s">
        <v>291</v>
      </c>
      <c r="U5" s="363" t="s">
        <v>291</v>
      </c>
      <c r="V5" s="363" t="s">
        <v>291</v>
      </c>
      <c r="W5" s="357" t="s">
        <v>289</v>
      </c>
      <c r="X5" s="316"/>
      <c r="Y5" s="137"/>
      <c r="Z5" s="137"/>
      <c r="AA5" s="137"/>
      <c r="AB5" s="137"/>
      <c r="AC5" s="137"/>
      <c r="AD5" s="137"/>
      <c r="AE5" s="137"/>
      <c r="AF5" s="137"/>
      <c r="AG5" s="137"/>
      <c r="AH5" s="137"/>
      <c r="AI5" s="137"/>
      <c r="AJ5" s="137"/>
      <c r="AK5" s="137"/>
      <c r="AL5" s="137"/>
      <c r="AM5" s="137"/>
      <c r="AN5" s="137"/>
      <c r="AO5" s="137"/>
      <c r="AP5" s="137"/>
      <c r="AQ5" s="137"/>
      <c r="AR5" s="137"/>
      <c r="AS5" s="137"/>
      <c r="AT5" s="137"/>
      <c r="AU5" s="137"/>
      <c r="AV5" s="137"/>
      <c r="AW5" s="137"/>
      <c r="AX5" s="137"/>
      <c r="AY5" s="137"/>
      <c r="AZ5" s="137"/>
      <c r="BA5" s="137"/>
      <c r="BB5" s="137"/>
      <c r="BC5" s="137"/>
      <c r="BD5" s="137"/>
      <c r="BE5" s="137"/>
      <c r="BF5" s="137"/>
      <c r="BG5" s="137"/>
      <c r="BH5" s="137"/>
      <c r="BI5" s="137"/>
      <c r="BJ5" s="137"/>
      <c r="BK5" s="137"/>
      <c r="BL5" s="137"/>
      <c r="BM5" s="137"/>
      <c r="BN5" s="137"/>
      <c r="BO5" s="137"/>
      <c r="BP5" s="137"/>
      <c r="BQ5" s="137"/>
      <c r="BR5" s="137"/>
      <c r="BS5" s="137"/>
      <c r="BT5" s="137"/>
      <c r="BU5" s="137"/>
      <c r="BV5" s="137"/>
      <c r="BW5" s="137"/>
      <c r="BX5" s="137"/>
      <c r="BY5" s="137"/>
      <c r="BZ5" s="137"/>
      <c r="CA5" s="137"/>
      <c r="CB5" s="137"/>
      <c r="CC5" s="137"/>
      <c r="CD5" s="137"/>
      <c r="CE5" s="137"/>
      <c r="CF5" s="137"/>
      <c r="CG5" s="137"/>
      <c r="CH5" s="137"/>
      <c r="CI5" s="137"/>
      <c r="CJ5" s="137"/>
      <c r="CK5" s="137"/>
      <c r="CL5" s="137"/>
      <c r="CM5" s="137"/>
      <c r="CN5" s="137"/>
      <c r="CO5" s="137"/>
      <c r="CP5" s="137"/>
      <c r="CQ5" s="137"/>
      <c r="CR5" s="137"/>
      <c r="CS5" s="137"/>
      <c r="CT5" s="137"/>
      <c r="CU5" s="137"/>
      <c r="CV5" s="137"/>
      <c r="CW5" s="137"/>
      <c r="CX5" s="137"/>
      <c r="CY5" s="137"/>
      <c r="CZ5" s="137"/>
      <c r="DA5" s="137"/>
      <c r="DB5" s="137"/>
      <c r="DC5" s="137"/>
      <c r="DD5" s="137"/>
      <c r="DE5" s="137"/>
      <c r="DF5" s="137"/>
      <c r="DG5" s="137"/>
      <c r="DH5" s="137"/>
      <c r="DI5" s="137"/>
      <c r="DJ5" s="137"/>
      <c r="DK5" s="137"/>
      <c r="DL5" s="137"/>
      <c r="DM5" s="137"/>
      <c r="DN5" s="137"/>
      <c r="DO5" s="137"/>
      <c r="DP5" s="137"/>
      <c r="DQ5" s="137"/>
      <c r="DR5" s="137"/>
      <c r="DS5" s="137"/>
      <c r="DT5" s="137"/>
      <c r="DU5" s="137"/>
      <c r="DV5" s="137"/>
      <c r="DW5" s="137"/>
      <c r="DX5" s="137"/>
      <c r="DY5" s="137"/>
      <c r="DZ5" s="137"/>
      <c r="EA5" s="137"/>
      <c r="EB5" s="137"/>
      <c r="EC5" s="137"/>
      <c r="ED5" s="137"/>
      <c r="EE5" s="137"/>
      <c r="EF5" s="137"/>
      <c r="EG5" s="137"/>
      <c r="EH5" s="137"/>
      <c r="EI5" s="137"/>
      <c r="EJ5" s="137"/>
      <c r="EK5" s="137"/>
      <c r="EL5" s="137"/>
      <c r="EM5" s="137"/>
      <c r="EN5" s="137"/>
      <c r="EO5" s="137"/>
      <c r="EP5" s="137"/>
      <c r="EQ5" s="137"/>
      <c r="ER5" s="137"/>
      <c r="ES5" s="137"/>
      <c r="ET5" s="137"/>
      <c r="EU5" s="137"/>
      <c r="EV5" s="137"/>
      <c r="EW5" s="137"/>
      <c r="EX5" s="137"/>
      <c r="EY5" s="137"/>
      <c r="EZ5" s="137"/>
      <c r="FA5" s="137"/>
      <c r="FB5" s="137"/>
      <c r="FC5" s="137"/>
      <c r="FD5" s="137"/>
      <c r="FE5" s="137"/>
      <c r="FF5" s="137"/>
      <c r="FG5" s="137"/>
      <c r="FH5" s="137"/>
      <c r="FI5" s="137"/>
      <c r="FJ5" s="137"/>
      <c r="FK5" s="137"/>
      <c r="FL5" s="137"/>
      <c r="FM5" s="137"/>
      <c r="FN5" s="137"/>
      <c r="FO5" s="137"/>
      <c r="FP5" s="137"/>
      <c r="FQ5" s="137"/>
      <c r="FR5" s="137"/>
      <c r="FS5" s="137"/>
      <c r="FT5" s="137"/>
      <c r="FU5" s="137"/>
      <c r="FV5" s="137"/>
      <c r="FW5" s="137"/>
      <c r="FX5" s="137"/>
      <c r="FY5" s="137"/>
      <c r="FZ5" s="137"/>
      <c r="GA5" s="137"/>
      <c r="GB5" s="137"/>
      <c r="GC5" s="137"/>
      <c r="GD5" s="137"/>
      <c r="GE5" s="137"/>
      <c r="GF5" s="137"/>
      <c r="GG5" s="137"/>
      <c r="GH5" s="137"/>
      <c r="GI5" s="137"/>
      <c r="GJ5" s="137"/>
      <c r="GK5" s="137"/>
      <c r="GL5" s="137"/>
      <c r="GM5" s="137"/>
      <c r="GN5" s="137"/>
      <c r="GO5" s="137"/>
      <c r="GP5" s="137"/>
      <c r="GQ5" s="137"/>
      <c r="GR5" s="137"/>
      <c r="GS5" s="137"/>
      <c r="GT5" s="137"/>
      <c r="GU5" s="137"/>
      <c r="GV5" s="137"/>
      <c r="GW5" s="137"/>
      <c r="GX5" s="137"/>
      <c r="GY5" s="137"/>
      <c r="GZ5" s="137"/>
      <c r="HA5" s="137"/>
      <c r="HB5" s="137"/>
      <c r="HC5" s="137"/>
      <c r="HD5" s="137"/>
      <c r="HE5" s="137"/>
      <c r="HF5" s="137"/>
      <c r="HG5" s="137"/>
      <c r="HH5" s="137"/>
      <c r="HI5" s="137"/>
      <c r="HJ5" s="137"/>
      <c r="HK5" s="137"/>
      <c r="HL5" s="137"/>
      <c r="HM5" s="137"/>
      <c r="HN5" s="137"/>
      <c r="HO5" s="137"/>
      <c r="HP5" s="137"/>
      <c r="HQ5" s="137"/>
      <c r="HR5" s="137"/>
      <c r="HS5" s="137"/>
      <c r="HT5" s="137"/>
      <c r="HU5" s="137"/>
      <c r="HV5" s="137"/>
      <c r="HW5" s="137"/>
      <c r="HX5" s="137"/>
      <c r="HY5" s="137"/>
      <c r="HZ5" s="137"/>
      <c r="IA5" s="137"/>
      <c r="IB5" s="137"/>
      <c r="IC5" s="137"/>
      <c r="ID5" s="137"/>
      <c r="IE5" s="137"/>
      <c r="IF5" s="137"/>
      <c r="IG5" s="137"/>
      <c r="IH5" s="137"/>
      <c r="II5" s="137"/>
      <c r="IJ5" s="137"/>
      <c r="IK5" s="137"/>
      <c r="IL5" s="137"/>
      <c r="IM5" s="137"/>
      <c r="IN5" s="137"/>
      <c r="IO5" s="137"/>
      <c r="IP5" s="137"/>
      <c r="IQ5" s="137"/>
      <c r="IR5" s="137"/>
      <c r="IS5" s="137"/>
      <c r="IT5" s="137"/>
      <c r="IU5" s="137"/>
      <c r="IV5" s="137"/>
      <c r="IW5" s="137"/>
      <c r="IX5" s="137"/>
      <c r="IY5" s="137"/>
      <c r="IZ5" s="137"/>
      <c r="JA5" s="137"/>
      <c r="JB5" s="137"/>
      <c r="JC5" s="137"/>
      <c r="JD5" s="137"/>
      <c r="JE5" s="137"/>
      <c r="JF5" s="137"/>
      <c r="JG5" s="137"/>
      <c r="JH5" s="137"/>
      <c r="JI5" s="137"/>
      <c r="JJ5" s="137"/>
      <c r="JK5" s="137"/>
      <c r="JL5" s="137"/>
      <c r="JM5" s="137"/>
      <c r="JN5" s="137"/>
      <c r="JO5" s="137"/>
      <c r="JP5" s="137"/>
      <c r="JQ5" s="137"/>
      <c r="JR5" s="137"/>
      <c r="JS5" s="137"/>
      <c r="JT5" s="137"/>
      <c r="JU5" s="137"/>
      <c r="JV5" s="137"/>
      <c r="JW5" s="137"/>
      <c r="JX5" s="137"/>
      <c r="JY5" s="137"/>
      <c r="JZ5" s="137"/>
      <c r="KA5" s="137"/>
      <c r="KB5" s="137"/>
      <c r="KC5" s="137"/>
      <c r="KD5" s="137"/>
      <c r="KE5" s="137"/>
      <c r="KF5" s="137"/>
      <c r="KG5" s="137"/>
      <c r="KH5" s="137"/>
      <c r="KI5" s="137"/>
      <c r="KJ5" s="137"/>
      <c r="KK5" s="137"/>
      <c r="KL5" s="137"/>
      <c r="KM5" s="137"/>
      <c r="KN5" s="137"/>
      <c r="KO5" s="137"/>
      <c r="KP5" s="137"/>
      <c r="KQ5" s="137"/>
      <c r="KR5" s="137"/>
      <c r="KS5" s="137"/>
      <c r="KT5" s="137"/>
      <c r="KU5" s="137"/>
      <c r="KV5" s="137"/>
      <c r="KW5" s="137"/>
      <c r="KX5" s="137"/>
      <c r="KY5" s="137"/>
      <c r="KZ5" s="137"/>
      <c r="LA5" s="137"/>
      <c r="LB5" s="137"/>
      <c r="LC5" s="137"/>
      <c r="LD5" s="137"/>
      <c r="LE5" s="137"/>
      <c r="LF5" s="137"/>
      <c r="LG5" s="137"/>
      <c r="LH5" s="137"/>
      <c r="LI5" s="137"/>
      <c r="LJ5" s="137"/>
      <c r="LK5" s="137"/>
      <c r="LL5" s="137"/>
      <c r="LM5" s="137"/>
      <c r="LN5" s="137"/>
      <c r="LO5" s="137"/>
      <c r="LP5" s="137"/>
      <c r="LQ5" s="137"/>
      <c r="LR5" s="137"/>
      <c r="LS5" s="137"/>
      <c r="LT5" s="137"/>
      <c r="LU5" s="137"/>
      <c r="LV5" s="137"/>
      <c r="LW5" s="137"/>
      <c r="LX5" s="137"/>
      <c r="LY5" s="137"/>
      <c r="LZ5" s="137"/>
      <c r="MA5" s="137"/>
      <c r="MB5" s="137"/>
      <c r="MC5" s="137"/>
      <c r="MD5" s="137"/>
      <c r="ME5" s="137"/>
      <c r="MF5" s="137"/>
      <c r="MG5" s="137"/>
      <c r="MH5" s="137"/>
      <c r="MI5" s="137"/>
      <c r="MJ5" s="137"/>
      <c r="MK5" s="137"/>
      <c r="ML5" s="137"/>
      <c r="MM5" s="137"/>
      <c r="MN5" s="137"/>
      <c r="MO5" s="137"/>
      <c r="MP5" s="137"/>
      <c r="MQ5" s="137"/>
      <c r="MR5" s="137"/>
      <c r="MS5" s="137"/>
      <c r="MT5" s="137"/>
      <c r="MU5" s="137"/>
      <c r="MV5" s="137"/>
      <c r="MW5" s="137"/>
      <c r="MX5" s="137"/>
      <c r="MY5" s="137"/>
      <c r="MZ5" s="137"/>
      <c r="NA5" s="137"/>
      <c r="NB5" s="137"/>
      <c r="NC5" s="137"/>
      <c r="ND5" s="137"/>
      <c r="NE5" s="137"/>
      <c r="NF5" s="137"/>
      <c r="NG5" s="137"/>
      <c r="NH5" s="137"/>
      <c r="NI5" s="137"/>
      <c r="NJ5" s="137"/>
      <c r="NK5" s="137"/>
      <c r="NL5" s="137"/>
      <c r="NM5" s="137"/>
      <c r="NN5" s="137"/>
      <c r="NO5" s="137"/>
      <c r="NP5" s="137"/>
      <c r="NQ5" s="137"/>
      <c r="NR5" s="137"/>
      <c r="NS5" s="137"/>
      <c r="NT5" s="137"/>
      <c r="NU5" s="137"/>
      <c r="NV5" s="137"/>
      <c r="NW5" s="137"/>
      <c r="NX5" s="137"/>
      <c r="NY5" s="137"/>
      <c r="NZ5" s="137"/>
      <c r="OA5" s="137"/>
      <c r="OB5" s="137"/>
      <c r="OC5" s="137"/>
      <c r="OD5" s="137"/>
      <c r="OE5" s="137"/>
      <c r="OF5" s="137"/>
      <c r="OG5" s="137"/>
      <c r="OH5" s="137"/>
      <c r="OI5" s="137"/>
      <c r="OJ5" s="137"/>
      <c r="OK5" s="137"/>
      <c r="OL5" s="137"/>
      <c r="OM5" s="137"/>
      <c r="ON5" s="137"/>
      <c r="OO5" s="137"/>
      <c r="OP5" s="137"/>
      <c r="OQ5" s="137"/>
      <c r="OR5" s="137"/>
      <c r="OS5" s="137"/>
      <c r="OT5" s="137"/>
      <c r="OU5" s="137"/>
      <c r="OV5" s="137"/>
      <c r="OW5" s="137"/>
      <c r="OX5" s="137"/>
      <c r="OY5" s="137"/>
      <c r="OZ5" s="137"/>
      <c r="PA5" s="137"/>
      <c r="PB5" s="137"/>
      <c r="PC5" s="137"/>
      <c r="PD5" s="137"/>
      <c r="PE5" s="137"/>
      <c r="PF5" s="137"/>
      <c r="PG5" s="137"/>
      <c r="PH5" s="137"/>
      <c r="PI5" s="137"/>
      <c r="PJ5" s="137"/>
      <c r="PK5" s="137"/>
      <c r="PL5" s="137"/>
      <c r="PM5" s="137"/>
      <c r="PN5" s="137"/>
      <c r="PO5" s="137"/>
      <c r="PP5" s="137"/>
      <c r="PQ5" s="137"/>
      <c r="PR5" s="137"/>
      <c r="PS5" s="137"/>
      <c r="PT5" s="137"/>
      <c r="PU5" s="137"/>
      <c r="PV5" s="137"/>
      <c r="PW5" s="137"/>
      <c r="PX5" s="137"/>
      <c r="PY5" s="137"/>
      <c r="PZ5" s="137"/>
      <c r="QA5" s="137"/>
      <c r="QB5" s="137"/>
      <c r="QC5" s="137"/>
      <c r="QD5" s="137"/>
      <c r="QE5" s="137"/>
      <c r="QF5" s="137"/>
      <c r="QG5" s="137"/>
      <c r="QH5" s="137"/>
      <c r="QI5" s="137"/>
      <c r="QJ5" s="137"/>
      <c r="QK5" s="137"/>
      <c r="QL5" s="137"/>
      <c r="QM5" s="137"/>
      <c r="QN5" s="137"/>
      <c r="QO5" s="137"/>
      <c r="QP5" s="137"/>
      <c r="QQ5" s="137"/>
      <c r="QR5" s="137"/>
      <c r="QS5" s="137"/>
      <c r="QT5" s="137"/>
      <c r="QU5" s="137"/>
      <c r="QV5" s="137"/>
      <c r="QW5" s="137"/>
      <c r="QX5" s="137"/>
      <c r="QY5" s="137"/>
      <c r="QZ5" s="137"/>
      <c r="RA5" s="137"/>
      <c r="RB5" s="137"/>
      <c r="RC5" s="137"/>
      <c r="RD5" s="137"/>
      <c r="RE5" s="137"/>
      <c r="RF5" s="137"/>
      <c r="RG5" s="137"/>
      <c r="RH5" s="137"/>
      <c r="RI5" s="137"/>
      <c r="RJ5" s="137"/>
      <c r="RK5" s="137"/>
      <c r="RL5" s="137"/>
      <c r="RM5" s="137"/>
      <c r="RN5" s="137"/>
      <c r="RO5" s="137"/>
      <c r="RP5" s="137"/>
      <c r="RQ5" s="137"/>
      <c r="RR5" s="137"/>
      <c r="RS5" s="137"/>
      <c r="RT5" s="137"/>
      <c r="RU5" s="137"/>
      <c r="RV5" s="137"/>
      <c r="RW5" s="137"/>
      <c r="RX5" s="137"/>
      <c r="RY5" s="137"/>
      <c r="RZ5" s="137"/>
      <c r="SA5" s="137"/>
      <c r="SB5" s="137"/>
      <c r="SC5" s="137"/>
      <c r="SD5" s="137"/>
      <c r="SE5" s="137"/>
      <c r="SF5" s="137"/>
      <c r="SG5" s="137"/>
      <c r="SH5" s="137"/>
      <c r="SI5" s="137"/>
      <c r="SJ5" s="137"/>
      <c r="SK5" s="137"/>
      <c r="SL5" s="137"/>
      <c r="SM5" s="137"/>
      <c r="SN5" s="137"/>
      <c r="SO5" s="137"/>
      <c r="SP5" s="137"/>
      <c r="SQ5" s="137"/>
      <c r="SR5" s="137"/>
      <c r="SS5" s="137"/>
      <c r="ST5" s="137"/>
      <c r="SU5" s="137"/>
      <c r="SV5" s="137"/>
      <c r="SW5" s="137"/>
      <c r="SX5" s="137"/>
      <c r="SY5" s="137"/>
      <c r="SZ5" s="137"/>
      <c r="TA5" s="137"/>
      <c r="TB5" s="137"/>
      <c r="TC5" s="137"/>
      <c r="TD5" s="137"/>
      <c r="TE5" s="137"/>
      <c r="TF5" s="137"/>
      <c r="TG5" s="137"/>
      <c r="TH5" s="137"/>
      <c r="TI5" s="137"/>
      <c r="TJ5" s="137"/>
      <c r="TK5" s="137"/>
      <c r="TL5" s="137"/>
      <c r="TM5" s="137"/>
      <c r="TN5" s="137"/>
      <c r="TO5" s="137"/>
      <c r="TP5" s="137"/>
      <c r="TQ5" s="137"/>
      <c r="TR5" s="137"/>
      <c r="TS5" s="137"/>
      <c r="TT5" s="137"/>
      <c r="TU5" s="137"/>
      <c r="TV5" s="137"/>
      <c r="TW5" s="137"/>
      <c r="TX5" s="137"/>
      <c r="TY5" s="137"/>
      <c r="TZ5" s="137"/>
      <c r="UA5" s="137"/>
      <c r="UB5" s="137"/>
      <c r="UC5" s="137"/>
      <c r="UD5" s="137"/>
      <c r="UE5" s="137"/>
      <c r="UF5" s="137"/>
      <c r="UG5" s="137"/>
      <c r="UH5" s="137"/>
      <c r="UI5" s="137"/>
      <c r="UJ5" s="137"/>
      <c r="UK5" s="137"/>
      <c r="UL5" s="137"/>
      <c r="UM5" s="137"/>
      <c r="UN5" s="137"/>
      <c r="UO5" s="137"/>
      <c r="UP5" s="137"/>
      <c r="UQ5" s="137"/>
      <c r="UR5" s="137"/>
      <c r="US5" s="137"/>
      <c r="UT5" s="137"/>
      <c r="UU5" s="137"/>
      <c r="UV5" s="137"/>
      <c r="UW5" s="137"/>
      <c r="UX5" s="137"/>
      <c r="UY5" s="137"/>
      <c r="UZ5" s="137"/>
      <c r="VA5" s="137"/>
      <c r="VB5" s="137"/>
      <c r="VC5" s="137"/>
      <c r="VD5" s="137"/>
      <c r="VE5" s="137"/>
      <c r="VF5" s="137"/>
      <c r="VG5" s="137"/>
      <c r="VH5" s="137"/>
      <c r="VI5" s="137"/>
      <c r="VJ5" s="137"/>
      <c r="VK5" s="137"/>
      <c r="VL5" s="137"/>
      <c r="VM5" s="137"/>
      <c r="VN5" s="137"/>
      <c r="VO5" s="137"/>
      <c r="VP5" s="137"/>
      <c r="VQ5" s="137"/>
      <c r="VR5" s="137"/>
      <c r="VS5" s="137"/>
      <c r="VT5" s="137"/>
      <c r="VU5" s="137"/>
      <c r="VV5" s="137"/>
      <c r="VW5" s="137"/>
      <c r="VX5" s="137"/>
      <c r="VY5" s="137"/>
      <c r="VZ5" s="137"/>
      <c r="WA5" s="137"/>
      <c r="WB5" s="137"/>
      <c r="WC5" s="137"/>
      <c r="WD5" s="137"/>
      <c r="WE5" s="137"/>
      <c r="WF5" s="137"/>
      <c r="WG5" s="137"/>
      <c r="WH5" s="137"/>
      <c r="WI5" s="137"/>
      <c r="WJ5" s="137"/>
      <c r="WK5" s="137"/>
      <c r="WL5" s="137"/>
      <c r="WM5" s="137"/>
      <c r="WN5" s="137"/>
      <c r="WO5" s="137"/>
      <c r="WP5" s="137"/>
      <c r="WQ5" s="137"/>
      <c r="WR5" s="137"/>
      <c r="WS5" s="137"/>
      <c r="WT5" s="137"/>
      <c r="WU5" s="137"/>
      <c r="WV5" s="137"/>
      <c r="WW5" s="137"/>
      <c r="WX5" s="137"/>
      <c r="WY5" s="137"/>
      <c r="WZ5" s="137"/>
      <c r="XA5" s="137"/>
      <c r="XB5" s="137"/>
      <c r="XC5" s="137"/>
      <c r="XD5" s="137"/>
      <c r="XE5" s="137"/>
      <c r="XF5" s="137"/>
      <c r="XG5" s="137"/>
      <c r="XH5" s="137"/>
      <c r="XI5" s="137"/>
      <c r="XJ5" s="137"/>
      <c r="XK5" s="137"/>
      <c r="XL5" s="137"/>
      <c r="XM5" s="137"/>
      <c r="XN5" s="137"/>
      <c r="XO5" s="137"/>
      <c r="XP5" s="137"/>
      <c r="XQ5" s="137"/>
      <c r="XR5" s="137"/>
      <c r="XS5" s="137"/>
      <c r="XT5" s="137"/>
      <c r="XU5" s="137"/>
      <c r="XV5" s="137"/>
      <c r="XW5" s="137"/>
      <c r="XX5" s="137"/>
      <c r="XY5" s="137"/>
      <c r="XZ5" s="137"/>
      <c r="YA5" s="137"/>
      <c r="YB5" s="137"/>
      <c r="YC5" s="137"/>
      <c r="YD5" s="137"/>
      <c r="YE5" s="137"/>
      <c r="YF5" s="137"/>
      <c r="YG5" s="137"/>
      <c r="YH5" s="137"/>
      <c r="YI5" s="137"/>
      <c r="YJ5" s="137"/>
      <c r="YK5" s="137"/>
      <c r="YL5" s="137"/>
      <c r="YM5" s="137"/>
      <c r="YN5" s="137"/>
      <c r="YO5" s="137"/>
      <c r="YP5" s="137"/>
      <c r="YQ5" s="137"/>
      <c r="YR5" s="137"/>
      <c r="YS5" s="137"/>
      <c r="YT5" s="137"/>
      <c r="YU5" s="137"/>
      <c r="YV5" s="137"/>
      <c r="YW5" s="137"/>
      <c r="YX5" s="137"/>
      <c r="YY5" s="137"/>
      <c r="YZ5" s="137"/>
      <c r="ZA5" s="137"/>
      <c r="ZB5" s="137"/>
      <c r="ZC5" s="137"/>
      <c r="ZD5" s="137"/>
      <c r="ZE5" s="137"/>
      <c r="ZF5" s="137"/>
      <c r="ZG5" s="137"/>
      <c r="ZH5" s="137"/>
      <c r="ZI5" s="137"/>
      <c r="ZJ5" s="137"/>
      <c r="ZK5" s="137"/>
      <c r="ZL5" s="137"/>
      <c r="ZM5" s="137"/>
      <c r="ZN5" s="137"/>
      <c r="ZO5" s="137"/>
      <c r="ZP5" s="137"/>
      <c r="ZQ5" s="137"/>
      <c r="ZR5" s="137"/>
      <c r="ZS5" s="137"/>
      <c r="ZT5" s="137"/>
      <c r="ZU5" s="137"/>
      <c r="ZV5" s="137"/>
      <c r="ZW5" s="137"/>
      <c r="ZX5" s="137"/>
      <c r="ZY5" s="137"/>
      <c r="ZZ5" s="137"/>
      <c r="AAA5" s="137"/>
      <c r="AAB5" s="137"/>
      <c r="AAC5" s="137"/>
      <c r="AAD5" s="137"/>
      <c r="AAE5" s="137"/>
      <c r="AAF5" s="137"/>
      <c r="AAG5" s="137"/>
      <c r="AAH5" s="137"/>
      <c r="AAI5" s="137"/>
      <c r="AAJ5" s="137"/>
      <c r="AAK5" s="137"/>
      <c r="AAL5" s="137"/>
      <c r="AAM5" s="137"/>
      <c r="AAN5" s="137"/>
      <c r="AAO5" s="137"/>
      <c r="AAP5" s="137"/>
      <c r="AAQ5" s="137"/>
      <c r="AAR5" s="137"/>
      <c r="AAS5" s="137"/>
      <c r="AAT5" s="137"/>
      <c r="AAU5" s="137"/>
      <c r="AAV5" s="137"/>
      <c r="AAW5" s="137"/>
      <c r="AAX5" s="137"/>
      <c r="AAY5" s="137"/>
      <c r="AAZ5" s="137"/>
      <c r="ABA5" s="137"/>
      <c r="ABB5" s="137"/>
      <c r="ABC5" s="137"/>
      <c r="ABD5" s="137"/>
      <c r="ABE5" s="137"/>
      <c r="ABF5" s="137"/>
      <c r="ABG5" s="137"/>
      <c r="ABH5" s="137"/>
      <c r="ABI5" s="137"/>
      <c r="ABJ5" s="137"/>
      <c r="ABK5" s="137"/>
      <c r="ABL5" s="137"/>
      <c r="ABM5" s="137"/>
      <c r="ABN5" s="137"/>
      <c r="ABO5" s="137"/>
      <c r="ABP5" s="137"/>
      <c r="ABQ5" s="137"/>
      <c r="ABR5" s="137"/>
      <c r="ABS5" s="137"/>
      <c r="ABT5" s="137"/>
      <c r="ABU5" s="137"/>
    </row>
    <row r="6" spans="1:749" ht="41.25" customHeight="1">
      <c r="A6" s="203">
        <v>4</v>
      </c>
      <c r="B6" s="203" t="s">
        <v>1557</v>
      </c>
      <c r="C6" s="229" t="s">
        <v>1459</v>
      </c>
      <c r="D6" s="229" t="s">
        <v>1570</v>
      </c>
      <c r="E6" s="305" t="s">
        <v>1571</v>
      </c>
      <c r="F6" s="181">
        <v>3</v>
      </c>
      <c r="G6" s="228">
        <v>3</v>
      </c>
      <c r="H6" s="203" t="s">
        <v>290</v>
      </c>
      <c r="I6" s="316" t="s">
        <v>1462</v>
      </c>
      <c r="J6" s="203" t="s">
        <v>1560</v>
      </c>
      <c r="K6" s="203" t="s">
        <v>1533</v>
      </c>
      <c r="L6" s="62" t="s">
        <v>1560</v>
      </c>
      <c r="M6" s="358" t="s">
        <v>1572</v>
      </c>
      <c r="N6" s="360">
        <v>45597</v>
      </c>
      <c r="O6" s="360">
        <v>45600</v>
      </c>
      <c r="P6" s="228" t="s">
        <v>294</v>
      </c>
      <c r="Q6" s="352" t="s">
        <v>291</v>
      </c>
      <c r="R6" s="228" t="s">
        <v>295</v>
      </c>
      <c r="S6" s="360">
        <v>45601</v>
      </c>
      <c r="T6" s="352" t="s">
        <v>291</v>
      </c>
      <c r="U6" s="228" t="s">
        <v>291</v>
      </c>
      <c r="V6" s="228" t="s">
        <v>291</v>
      </c>
      <c r="W6" s="228" t="s">
        <v>289</v>
      </c>
      <c r="X6" s="216"/>
    </row>
    <row r="7" spans="1:749" s="58" customFormat="1" ht="30.75" customHeight="1">
      <c r="A7" s="203"/>
      <c r="B7" s="203"/>
      <c r="C7" s="246"/>
      <c r="D7" s="203"/>
      <c r="E7" s="61"/>
      <c r="F7" s="357"/>
      <c r="G7" s="228"/>
      <c r="H7" s="203"/>
      <c r="I7" s="316"/>
      <c r="J7" s="203"/>
      <c r="K7" s="203"/>
      <c r="L7" s="62"/>
      <c r="M7" s="358"/>
      <c r="N7" s="93"/>
      <c r="O7" s="93"/>
      <c r="Q7" s="216"/>
      <c r="S7" s="93"/>
      <c r="W7" s="216"/>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s="227"/>
    </row>
    <row r="8" spans="1:749" s="58" customFormat="1" ht="37.5" customHeight="1">
      <c r="A8" s="203"/>
      <c r="B8" s="203"/>
      <c r="C8" s="246"/>
      <c r="D8" s="203"/>
      <c r="E8" s="61"/>
      <c r="F8" s="357"/>
      <c r="G8" s="228"/>
      <c r="H8" s="203"/>
      <c r="I8" s="316"/>
      <c r="J8" s="203"/>
      <c r="K8" s="203"/>
      <c r="L8" s="365"/>
      <c r="M8" s="200"/>
      <c r="N8" s="366"/>
      <c r="O8" s="93"/>
      <c r="Q8" s="216"/>
      <c r="S8" s="93"/>
      <c r="T8" s="216"/>
      <c r="W8" s="216"/>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c r="ZL8"/>
      <c r="ZM8"/>
      <c r="ZN8"/>
      <c r="ZO8"/>
      <c r="ZP8"/>
      <c r="ZQ8"/>
      <c r="ZR8"/>
      <c r="ZS8"/>
      <c r="ZT8"/>
      <c r="ZU8"/>
      <c r="ZV8"/>
      <c r="ZW8"/>
      <c r="ZX8"/>
      <c r="ZY8"/>
      <c r="ZZ8"/>
      <c r="AAA8"/>
      <c r="AAB8"/>
      <c r="AAC8"/>
      <c r="AAD8"/>
      <c r="AAE8"/>
      <c r="AAF8"/>
      <c r="AAG8"/>
      <c r="AAH8"/>
      <c r="AAI8"/>
      <c r="AAJ8"/>
      <c r="AAK8"/>
      <c r="AAL8"/>
      <c r="AAM8"/>
      <c r="AAN8"/>
      <c r="AAO8"/>
      <c r="AAP8"/>
      <c r="AAQ8"/>
      <c r="AAR8"/>
      <c r="AAS8"/>
      <c r="AAT8"/>
      <c r="AAU8"/>
      <c r="AAV8"/>
      <c r="AAW8"/>
      <c r="AAX8"/>
      <c r="AAY8"/>
      <c r="AAZ8"/>
      <c r="ABA8"/>
      <c r="ABB8"/>
      <c r="ABC8"/>
      <c r="ABD8"/>
      <c r="ABE8"/>
      <c r="ABF8"/>
      <c r="ABG8"/>
      <c r="ABH8"/>
      <c r="ABI8"/>
      <c r="ABJ8"/>
      <c r="ABK8"/>
      <c r="ABL8"/>
      <c r="ABM8"/>
      <c r="ABN8"/>
      <c r="ABO8"/>
      <c r="ABP8"/>
      <c r="ABQ8"/>
      <c r="ABR8"/>
      <c r="ABS8"/>
      <c r="ABT8"/>
      <c r="ABU8" s="227"/>
    </row>
  </sheetData>
  <hyperlinks>
    <hyperlink ref="M4" r:id="rId1" xr:uid="{32EBC01F-05F9-476A-8F93-FEB609EE9B28}"/>
    <hyperlink ref="M6" r:id="rId2" xr:uid="{0A4A5F48-904C-468D-8845-42FED00D8C24}"/>
    <hyperlink ref="M3" r:id="rId3" xr:uid="{71318995-BFCD-45A6-94CD-C416BD913025}"/>
    <hyperlink ref="M5" r:id="rId4" xr:uid="{518B1A91-4065-4573-A9AB-C324F3DEFB27}"/>
  </hyperlink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56789-50C0-4D95-B638-22BB4E6A59EA}">
  <dimension ref="A1:Z4"/>
  <sheetViews>
    <sheetView workbookViewId="0">
      <selection activeCell="B1" sqref="B1"/>
    </sheetView>
  </sheetViews>
  <sheetFormatPr defaultRowHeight="12.75"/>
  <cols>
    <col min="2" max="2" width="21" customWidth="1"/>
    <col min="3" max="3" width="20" customWidth="1"/>
    <col min="4" max="4" width="12.42578125" customWidth="1"/>
    <col min="5" max="5" width="14.7109375" customWidth="1"/>
    <col min="6" max="6" width="56.85546875" customWidth="1"/>
    <col min="7" max="7" width="12.28515625" customWidth="1"/>
    <col min="10" max="10" width="22.7109375" customWidth="1"/>
    <col min="11" max="11" width="19.140625" customWidth="1"/>
  </cols>
  <sheetData>
    <row r="1" spans="1:26" ht="13.5">
      <c r="A1" s="59" t="s">
        <v>254</v>
      </c>
      <c r="B1" s="154" t="s">
        <v>11</v>
      </c>
      <c r="C1" s="155" t="s">
        <v>322</v>
      </c>
      <c r="D1" s="154" t="s">
        <v>256</v>
      </c>
      <c r="E1" s="155" t="s">
        <v>324</v>
      </c>
      <c r="F1" s="155" t="s">
        <v>325</v>
      </c>
      <c r="G1" s="154" t="s">
        <v>326</v>
      </c>
      <c r="H1" s="154" t="s">
        <v>328</v>
      </c>
      <c r="I1" s="154" t="s">
        <v>259</v>
      </c>
      <c r="J1" s="156" t="s">
        <v>329</v>
      </c>
      <c r="K1" s="157" t="s">
        <v>280</v>
      </c>
      <c r="L1" s="35"/>
      <c r="M1" s="35"/>
      <c r="N1" s="35"/>
      <c r="O1" s="35"/>
      <c r="P1" s="35"/>
      <c r="Q1" s="35"/>
      <c r="R1" s="35"/>
      <c r="S1" s="35"/>
      <c r="T1" s="35"/>
      <c r="U1" s="35"/>
      <c r="V1" s="35"/>
      <c r="W1" s="35"/>
      <c r="X1" s="35"/>
      <c r="Y1" s="35"/>
      <c r="Z1" s="35"/>
    </row>
    <row r="2" spans="1:26" ht="24">
      <c r="A2" s="46">
        <v>1</v>
      </c>
      <c r="B2" s="203" t="s">
        <v>1573</v>
      </c>
      <c r="C2" s="62" t="s">
        <v>1574</v>
      </c>
      <c r="D2" s="304" t="s">
        <v>298</v>
      </c>
      <c r="E2" s="41" t="s">
        <v>380</v>
      </c>
      <c r="F2" s="11" t="s">
        <v>1575</v>
      </c>
      <c r="G2" s="41" t="s">
        <v>381</v>
      </c>
      <c r="H2" s="41" t="s">
        <v>383</v>
      </c>
      <c r="I2" s="41" t="s">
        <v>384</v>
      </c>
      <c r="J2" s="41" t="s">
        <v>385</v>
      </c>
      <c r="K2" s="41"/>
      <c r="L2" s="244"/>
      <c r="M2" s="244"/>
      <c r="N2" s="244"/>
      <c r="O2" s="244"/>
      <c r="P2" s="244"/>
      <c r="Q2" s="244"/>
      <c r="R2" s="244"/>
      <c r="S2" s="244"/>
      <c r="T2" s="244"/>
      <c r="U2" s="244"/>
      <c r="V2" s="244"/>
      <c r="W2" s="137"/>
      <c r="X2" s="137"/>
      <c r="Y2" s="137"/>
      <c r="Z2" s="137"/>
    </row>
    <row r="3" spans="1:26" ht="36">
      <c r="A3" s="62">
        <v>2</v>
      </c>
      <c r="B3" s="203" t="s">
        <v>1573</v>
      </c>
      <c r="C3" s="62" t="s">
        <v>1576</v>
      </c>
      <c r="D3" s="304" t="s">
        <v>1463</v>
      </c>
      <c r="E3" s="41" t="s">
        <v>380</v>
      </c>
      <c r="F3" s="316" t="s">
        <v>1577</v>
      </c>
      <c r="G3" s="41" t="s">
        <v>843</v>
      </c>
      <c r="H3" s="41" t="s">
        <v>383</v>
      </c>
      <c r="I3" s="41" t="s">
        <v>384</v>
      </c>
      <c r="J3" s="41" t="s">
        <v>540</v>
      </c>
      <c r="K3" s="11" t="s">
        <v>1578</v>
      </c>
      <c r="L3" s="137"/>
      <c r="M3" s="137"/>
      <c r="N3" s="137"/>
      <c r="O3" s="137"/>
      <c r="P3" s="137"/>
      <c r="Q3" s="137"/>
      <c r="R3" s="137"/>
      <c r="S3" s="137"/>
      <c r="T3" s="137"/>
      <c r="U3" s="137"/>
      <c r="V3" s="137"/>
      <c r="W3" s="137"/>
      <c r="X3" s="137"/>
      <c r="Y3" s="137"/>
      <c r="Z3" s="137"/>
    </row>
    <row r="4" spans="1:26">
      <c r="A4" s="61"/>
      <c r="B4" s="203"/>
      <c r="C4" s="58"/>
      <c r="D4" s="304"/>
      <c r="E4" s="41"/>
      <c r="F4" s="216"/>
      <c r="G4" s="19"/>
      <c r="H4" s="41"/>
      <c r="I4" s="41"/>
      <c r="J4" s="41"/>
      <c r="K4" s="19"/>
    </row>
  </sheetData>
  <dataValidations count="4">
    <dataValidation type="list" allowBlank="1" showErrorMessage="1" sqref="H2:H4" xr:uid="{FAB1783B-98EC-4963-89CB-D0CC89CD2F49}">
      <formula1>"Internal,External"</formula1>
    </dataValidation>
    <dataValidation type="list" allowBlank="1" showErrorMessage="1" sqref="E2:E4" xr:uid="{6CFE1AAB-D832-42EB-AB69-4B1C90FE40BC}">
      <formula1>"Bounceback,Defect,None"</formula1>
    </dataValidation>
    <dataValidation type="list" allowBlank="1" showErrorMessage="1" sqref="I2:I4" xr:uid="{27005ECC-5B0D-4236-9D0E-6536B685A0B5}">
      <formula1>"Open,Inprogress,Closed"</formula1>
    </dataValidation>
    <dataValidation type="list" allowBlank="1" showErrorMessage="1" sqref="G2:G4" xr:uid="{554D95CB-771B-4271-854B-0ADFE30ACBF6}">
      <formula1>"Minor,Significant,Major"</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B74D051F-99CC-4F5E-B94E-52F42EB5AA38}">
          <x14:formula1>
            <xm:f>Details!$A$2:$A$10</xm:f>
          </x14:formula1>
          <xm:sqref>J2:J4</xm:sqref>
        </x14:dataValidation>
      </x14:dataValidations>
    </ext>
  </extLst>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69546-2B03-4AD0-BD99-C963998E643F}">
  <dimension ref="A1:ABU8"/>
  <sheetViews>
    <sheetView workbookViewId="0">
      <pane xSplit="4" ySplit="2" topLeftCell="M4" activePane="bottomRight" state="frozen"/>
      <selection pane="bottomRight" activeCell="W6" sqref="W6"/>
      <selection pane="bottomLeft"/>
      <selection pane="topRight"/>
    </sheetView>
  </sheetViews>
  <sheetFormatPr defaultRowHeight="12.75"/>
  <cols>
    <col min="2" max="2" width="6.85546875" customWidth="1"/>
    <col min="3" max="3" width="16" customWidth="1"/>
    <col min="5" max="5" width="27.140625" style="137" customWidth="1"/>
    <col min="8" max="8" width="10.85546875" customWidth="1"/>
    <col min="9" max="9" width="13.5703125" style="144" customWidth="1"/>
    <col min="10" max="10" width="13.7109375" customWidth="1"/>
    <col min="11" max="11" width="17.28515625" customWidth="1"/>
    <col min="12" max="12" width="17" customWidth="1"/>
    <col min="13" max="13" width="9.140625" style="144"/>
    <col min="14" max="15" width="10.42578125" bestFit="1" customWidth="1"/>
    <col min="17" max="17" width="9.140625" style="144"/>
    <col min="19" max="19" width="10.42578125" bestFit="1" customWidth="1"/>
    <col min="23" max="23" width="14.28515625" customWidth="1"/>
    <col min="24" max="24" width="27.42578125" customWidth="1"/>
  </cols>
  <sheetData>
    <row r="1" spans="1:749">
      <c r="A1" s="234"/>
      <c r="B1" s="1"/>
      <c r="C1" s="7"/>
      <c r="D1" s="7"/>
      <c r="E1" s="322"/>
      <c r="F1" s="49"/>
      <c r="G1" s="49"/>
      <c r="H1" s="198"/>
      <c r="I1" s="198"/>
      <c r="J1" s="198"/>
      <c r="K1" s="198"/>
      <c r="L1" s="198"/>
      <c r="M1" s="198"/>
      <c r="N1" s="198"/>
      <c r="O1" s="198"/>
      <c r="P1" s="198"/>
      <c r="Q1" s="198"/>
      <c r="R1" s="198"/>
      <c r="S1" s="198"/>
      <c r="T1" s="198"/>
      <c r="U1" s="198"/>
      <c r="V1" s="198"/>
      <c r="W1" s="322"/>
      <c r="X1" s="323"/>
    </row>
    <row r="2" spans="1:749" ht="48">
      <c r="A2" s="193" t="s">
        <v>254</v>
      </c>
      <c r="B2" s="59" t="s">
        <v>255</v>
      </c>
      <c r="C2" s="195" t="s">
        <v>256</v>
      </c>
      <c r="D2" s="68" t="s">
        <v>257</v>
      </c>
      <c r="E2" s="189" t="s">
        <v>258</v>
      </c>
      <c r="F2" s="71" t="s">
        <v>260</v>
      </c>
      <c r="G2" s="71" t="s">
        <v>261</v>
      </c>
      <c r="H2" s="199" t="s">
        <v>265</v>
      </c>
      <c r="I2" s="199" t="s">
        <v>266</v>
      </c>
      <c r="J2" s="199" t="s">
        <v>267</v>
      </c>
      <c r="K2" s="199" t="s">
        <v>268</v>
      </c>
      <c r="L2" s="199" t="s">
        <v>269</v>
      </c>
      <c r="M2" s="199" t="s">
        <v>270</v>
      </c>
      <c r="N2" s="199" t="s">
        <v>271</v>
      </c>
      <c r="O2" s="199" t="s">
        <v>272</v>
      </c>
      <c r="P2" s="199" t="s">
        <v>273</v>
      </c>
      <c r="Q2" s="199" t="s">
        <v>274</v>
      </c>
      <c r="R2" s="199" t="s">
        <v>275</v>
      </c>
      <c r="S2" s="199" t="s">
        <v>276</v>
      </c>
      <c r="T2" s="199" t="s">
        <v>274</v>
      </c>
      <c r="U2" s="199" t="s">
        <v>278</v>
      </c>
      <c r="V2" s="199" t="s">
        <v>279</v>
      </c>
      <c r="W2" s="189" t="s">
        <v>259</v>
      </c>
      <c r="X2" s="210" t="s">
        <v>280</v>
      </c>
    </row>
    <row r="3" spans="1:749" s="256" customFormat="1" ht="38.25" customHeight="1">
      <c r="A3" s="62">
        <v>1</v>
      </c>
      <c r="B3" s="62" t="s">
        <v>1579</v>
      </c>
      <c r="C3" s="62" t="s">
        <v>298</v>
      </c>
      <c r="D3" s="62" t="s">
        <v>1580</v>
      </c>
      <c r="E3" s="90" t="s">
        <v>1581</v>
      </c>
      <c r="F3" s="228">
        <v>3</v>
      </c>
      <c r="G3" s="228">
        <v>3</v>
      </c>
      <c r="H3" s="62" t="s">
        <v>290</v>
      </c>
      <c r="I3" s="90" t="s">
        <v>1582</v>
      </c>
      <c r="J3" s="203" t="s">
        <v>1560</v>
      </c>
      <c r="K3" s="62" t="s">
        <v>1583</v>
      </c>
      <c r="L3" s="90" t="s">
        <v>1584</v>
      </c>
      <c r="M3" s="176" t="s">
        <v>1585</v>
      </c>
      <c r="N3" s="359">
        <v>45583</v>
      </c>
      <c r="O3" s="359">
        <v>45584</v>
      </c>
      <c r="P3" s="90" t="s">
        <v>294</v>
      </c>
      <c r="Q3" s="90" t="s">
        <v>1560</v>
      </c>
      <c r="R3" s="62" t="s">
        <v>295</v>
      </c>
      <c r="S3" s="359">
        <v>45584</v>
      </c>
      <c r="T3" s="62" t="s">
        <v>1560</v>
      </c>
      <c r="U3" s="257" t="s">
        <v>1560</v>
      </c>
      <c r="V3" s="257" t="s">
        <v>1560</v>
      </c>
      <c r="W3" s="90" t="s">
        <v>289</v>
      </c>
      <c r="X3" s="90"/>
    </row>
    <row r="4" spans="1:749" s="137" customFormat="1" ht="41.25" customHeight="1">
      <c r="A4" s="203">
        <v>2</v>
      </c>
      <c r="B4" s="203" t="s">
        <v>1579</v>
      </c>
      <c r="C4" s="203" t="s">
        <v>292</v>
      </c>
      <c r="D4" s="229" t="s">
        <v>1586</v>
      </c>
      <c r="E4" s="305" t="s">
        <v>1587</v>
      </c>
      <c r="F4" s="228">
        <v>2</v>
      </c>
      <c r="G4" s="228">
        <v>2</v>
      </c>
      <c r="H4" s="203" t="s">
        <v>290</v>
      </c>
      <c r="I4" s="316" t="s">
        <v>298</v>
      </c>
      <c r="J4" s="203" t="s">
        <v>1560</v>
      </c>
      <c r="K4" s="203" t="s">
        <v>862</v>
      </c>
      <c r="L4" s="90" t="s">
        <v>1588</v>
      </c>
      <c r="M4" s="361" t="s">
        <v>1589</v>
      </c>
      <c r="N4" s="360">
        <v>45580</v>
      </c>
      <c r="O4" s="360">
        <v>45581</v>
      </c>
      <c r="P4" s="228" t="s">
        <v>294</v>
      </c>
      <c r="Q4" s="352" t="s">
        <v>1560</v>
      </c>
      <c r="R4" s="228" t="s">
        <v>1590</v>
      </c>
      <c r="S4" s="360">
        <v>45582</v>
      </c>
      <c r="T4" s="362" t="s">
        <v>1560</v>
      </c>
      <c r="U4" s="363" t="s">
        <v>1560</v>
      </c>
      <c r="V4" s="363" t="s">
        <v>1560</v>
      </c>
      <c r="W4" s="357" t="s">
        <v>289</v>
      </c>
      <c r="X4" s="316"/>
    </row>
    <row r="5" spans="1:749" ht="36.75" customHeight="1">
      <c r="A5" s="203">
        <v>3</v>
      </c>
      <c r="B5" s="203" t="s">
        <v>1579</v>
      </c>
      <c r="C5" s="246" t="s">
        <v>1462</v>
      </c>
      <c r="D5" s="203" t="s">
        <v>1591</v>
      </c>
      <c r="E5" s="90" t="s">
        <v>1592</v>
      </c>
      <c r="F5" s="357">
        <v>2</v>
      </c>
      <c r="G5" s="228">
        <v>2</v>
      </c>
      <c r="H5" s="203" t="s">
        <v>290</v>
      </c>
      <c r="I5" s="316" t="s">
        <v>1459</v>
      </c>
      <c r="J5" s="350" t="s">
        <v>1560</v>
      </c>
      <c r="K5" s="203" t="s">
        <v>1593</v>
      </c>
      <c r="L5" s="62" t="s">
        <v>1560</v>
      </c>
      <c r="M5" s="364" t="s">
        <v>1594</v>
      </c>
      <c r="N5" s="93">
        <v>45583</v>
      </c>
      <c r="O5" s="93">
        <v>45584</v>
      </c>
      <c r="P5" s="228" t="s">
        <v>1463</v>
      </c>
      <c r="Q5" s="352" t="s">
        <v>1560</v>
      </c>
      <c r="R5" s="228" t="s">
        <v>295</v>
      </c>
      <c r="S5" s="93">
        <v>45584</v>
      </c>
      <c r="T5" s="352" t="s">
        <v>1560</v>
      </c>
      <c r="U5" s="228" t="s">
        <v>291</v>
      </c>
      <c r="V5" s="228" t="s">
        <v>291</v>
      </c>
      <c r="W5" s="228" t="s">
        <v>289</v>
      </c>
      <c r="X5" s="58"/>
    </row>
    <row r="6" spans="1:749" ht="41.25" customHeight="1">
      <c r="A6" s="203">
        <v>4</v>
      </c>
      <c r="B6" s="203" t="s">
        <v>1579</v>
      </c>
      <c r="C6" s="229" t="s">
        <v>1462</v>
      </c>
      <c r="D6" s="229" t="s">
        <v>1595</v>
      </c>
      <c r="E6" s="333" t="s">
        <v>1596</v>
      </c>
      <c r="F6" s="181">
        <v>2</v>
      </c>
      <c r="G6" s="228">
        <v>2</v>
      </c>
      <c r="H6" s="203" t="s">
        <v>290</v>
      </c>
      <c r="I6" s="316" t="s">
        <v>1459</v>
      </c>
      <c r="J6" s="203" t="s">
        <v>1560</v>
      </c>
      <c r="K6" s="203" t="s">
        <v>1593</v>
      </c>
      <c r="L6" s="62" t="s">
        <v>1560</v>
      </c>
      <c r="M6" s="358" t="s">
        <v>1597</v>
      </c>
      <c r="N6" s="360" t="s">
        <v>1598</v>
      </c>
      <c r="O6" s="360" t="s">
        <v>1599</v>
      </c>
      <c r="P6" s="228" t="s">
        <v>1463</v>
      </c>
      <c r="Q6" s="352" t="s">
        <v>1560</v>
      </c>
      <c r="R6" s="228" t="s">
        <v>295</v>
      </c>
      <c r="S6" s="360">
        <v>45581</v>
      </c>
      <c r="T6" s="352" t="s">
        <v>1560</v>
      </c>
      <c r="U6" s="228" t="s">
        <v>291</v>
      </c>
      <c r="V6" s="228" t="s">
        <v>291</v>
      </c>
      <c r="W6" s="228" t="s">
        <v>289</v>
      </c>
      <c r="X6" s="216"/>
    </row>
    <row r="7" spans="1:749" s="58" customFormat="1" ht="30.75" customHeight="1">
      <c r="A7" s="203">
        <v>5</v>
      </c>
      <c r="B7" s="203" t="s">
        <v>1579</v>
      </c>
      <c r="C7" s="246" t="s">
        <v>1459</v>
      </c>
      <c r="D7" s="203" t="s">
        <v>1600</v>
      </c>
      <c r="E7" s="61" t="s">
        <v>1601</v>
      </c>
      <c r="F7" s="357">
        <v>5</v>
      </c>
      <c r="G7" s="228">
        <v>5</v>
      </c>
      <c r="H7" s="203" t="s">
        <v>290</v>
      </c>
      <c r="I7" s="316" t="s">
        <v>1462</v>
      </c>
      <c r="J7" s="203" t="s">
        <v>1560</v>
      </c>
      <c r="K7" s="203" t="s">
        <v>1593</v>
      </c>
      <c r="L7" s="62" t="s">
        <v>1560</v>
      </c>
      <c r="M7" s="358" t="s">
        <v>1602</v>
      </c>
      <c r="N7" s="93">
        <v>45587</v>
      </c>
      <c r="O7" s="93">
        <v>45588</v>
      </c>
      <c r="P7" s="58" t="s">
        <v>294</v>
      </c>
      <c r="Q7" s="216" t="s">
        <v>1560</v>
      </c>
      <c r="R7" s="58" t="s">
        <v>295</v>
      </c>
      <c r="S7" s="93">
        <v>45588</v>
      </c>
      <c r="T7" s="58" t="s">
        <v>1560</v>
      </c>
      <c r="U7" s="58" t="s">
        <v>291</v>
      </c>
      <c r="V7" s="58" t="s">
        <v>291</v>
      </c>
      <c r="W7" s="216" t="s">
        <v>289</v>
      </c>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s="227"/>
    </row>
    <row r="8" spans="1:749" s="58" customFormat="1" ht="37.5" customHeight="1">
      <c r="A8" s="203">
        <v>6</v>
      </c>
      <c r="B8" s="203" t="s">
        <v>1579</v>
      </c>
      <c r="C8" s="246" t="s">
        <v>1459</v>
      </c>
      <c r="D8" s="203" t="s">
        <v>1603</v>
      </c>
      <c r="E8" s="61" t="s">
        <v>1604</v>
      </c>
      <c r="F8" s="357">
        <v>3</v>
      </c>
      <c r="G8" s="228">
        <v>3</v>
      </c>
      <c r="H8" s="203" t="s">
        <v>290</v>
      </c>
      <c r="I8" s="316" t="s">
        <v>1462</v>
      </c>
      <c r="J8" s="203" t="s">
        <v>1560</v>
      </c>
      <c r="K8" s="203" t="s">
        <v>1593</v>
      </c>
      <c r="L8" s="365" t="s">
        <v>1560</v>
      </c>
      <c r="M8" s="200" t="s">
        <v>1605</v>
      </c>
      <c r="N8" s="366">
        <v>45587</v>
      </c>
      <c r="O8" s="93">
        <v>45588</v>
      </c>
      <c r="P8" s="58" t="s">
        <v>294</v>
      </c>
      <c r="Q8" s="216" t="s">
        <v>1560</v>
      </c>
      <c r="R8" s="58" t="s">
        <v>295</v>
      </c>
      <c r="S8" s="93">
        <v>45588</v>
      </c>
      <c r="T8" s="216" t="s">
        <v>1560</v>
      </c>
      <c r="U8" s="58" t="s">
        <v>291</v>
      </c>
      <c r="V8" s="58" t="s">
        <v>291</v>
      </c>
      <c r="W8" s="216" t="s">
        <v>289</v>
      </c>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c r="ZL8"/>
      <c r="ZM8"/>
      <c r="ZN8"/>
      <c r="ZO8"/>
      <c r="ZP8"/>
      <c r="ZQ8"/>
      <c r="ZR8"/>
      <c r="ZS8"/>
      <c r="ZT8"/>
      <c r="ZU8"/>
      <c r="ZV8"/>
      <c r="ZW8"/>
      <c r="ZX8"/>
      <c r="ZY8"/>
      <c r="ZZ8"/>
      <c r="AAA8"/>
      <c r="AAB8"/>
      <c r="AAC8"/>
      <c r="AAD8"/>
      <c r="AAE8"/>
      <c r="AAF8"/>
      <c r="AAG8"/>
      <c r="AAH8"/>
      <c r="AAI8"/>
      <c r="AAJ8"/>
      <c r="AAK8"/>
      <c r="AAL8"/>
      <c r="AAM8"/>
      <c r="AAN8"/>
      <c r="AAO8"/>
      <c r="AAP8"/>
      <c r="AAQ8"/>
      <c r="AAR8"/>
      <c r="AAS8"/>
      <c r="AAT8"/>
      <c r="AAU8"/>
      <c r="AAV8"/>
      <c r="AAW8"/>
      <c r="AAX8"/>
      <c r="AAY8"/>
      <c r="AAZ8"/>
      <c r="ABA8"/>
      <c r="ABB8"/>
      <c r="ABC8"/>
      <c r="ABD8"/>
      <c r="ABE8"/>
      <c r="ABF8"/>
      <c r="ABG8"/>
      <c r="ABH8"/>
      <c r="ABI8"/>
      <c r="ABJ8"/>
      <c r="ABK8"/>
      <c r="ABL8"/>
      <c r="ABM8"/>
      <c r="ABN8"/>
      <c r="ABO8"/>
      <c r="ABP8"/>
      <c r="ABQ8"/>
      <c r="ABR8"/>
      <c r="ABS8"/>
      <c r="ABT8"/>
      <c r="ABU8" s="227"/>
    </row>
  </sheetData>
  <hyperlinks>
    <hyperlink ref="M4" r:id="rId1" xr:uid="{6E0E6153-6718-4D2F-AF40-F6EA1420EBA4}"/>
    <hyperlink ref="M6" r:id="rId2" xr:uid="{A6231A47-F310-4B72-A191-AF1DAF45AF5F}"/>
    <hyperlink ref="M3" r:id="rId3" xr:uid="{39D248B1-4CCB-4243-BD65-26231BB5B7C9}"/>
    <hyperlink ref="M5" r:id="rId4" xr:uid="{61CEF97C-AAC3-4F1C-8A16-EF05D0024FFC}"/>
    <hyperlink ref="M8" r:id="rId5" xr:uid="{F4581123-D363-4250-A6EA-3F7CB898D0AB}"/>
    <hyperlink ref="M7" r:id="rId6" xr:uid="{494511F4-C639-4792-AF44-A7733678DBDE}"/>
  </hyperlink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FA2AA-DA84-498E-9F6E-4D8C947F8505}">
  <dimension ref="A1:Z4"/>
  <sheetViews>
    <sheetView workbookViewId="0">
      <selection activeCell="H2" sqref="H2"/>
    </sheetView>
  </sheetViews>
  <sheetFormatPr defaultRowHeight="12.75"/>
  <cols>
    <col min="2" max="2" width="21" customWidth="1"/>
    <col min="3" max="3" width="20" customWidth="1"/>
    <col min="4" max="4" width="12.42578125" customWidth="1"/>
    <col min="5" max="5" width="14.7109375" customWidth="1"/>
    <col min="6" max="6" width="56.85546875" customWidth="1"/>
    <col min="7" max="7" width="12.28515625" customWidth="1"/>
    <col min="10" max="10" width="22.7109375" customWidth="1"/>
    <col min="11" max="11" width="19.140625" customWidth="1"/>
  </cols>
  <sheetData>
    <row r="1" spans="1:26" ht="13.5">
      <c r="A1" s="59" t="s">
        <v>254</v>
      </c>
      <c r="B1" s="154" t="s">
        <v>11</v>
      </c>
      <c r="C1" s="155" t="s">
        <v>322</v>
      </c>
      <c r="D1" s="154" t="s">
        <v>256</v>
      </c>
      <c r="E1" s="155" t="s">
        <v>324</v>
      </c>
      <c r="F1" s="155" t="s">
        <v>325</v>
      </c>
      <c r="G1" s="154" t="s">
        <v>326</v>
      </c>
      <c r="H1" s="154" t="s">
        <v>328</v>
      </c>
      <c r="I1" s="154" t="s">
        <v>259</v>
      </c>
      <c r="J1" s="156" t="s">
        <v>329</v>
      </c>
      <c r="K1" s="157" t="s">
        <v>280</v>
      </c>
      <c r="L1" s="35"/>
      <c r="M1" s="35"/>
      <c r="N1" s="35"/>
      <c r="O1" s="35"/>
      <c r="P1" s="35"/>
      <c r="Q1" s="35"/>
      <c r="R1" s="35"/>
      <c r="S1" s="35"/>
      <c r="T1" s="35"/>
      <c r="U1" s="35"/>
      <c r="V1" s="35"/>
      <c r="W1" s="35"/>
      <c r="X1" s="35"/>
      <c r="Y1" s="35"/>
      <c r="Z1" s="35"/>
    </row>
    <row r="2" spans="1:26">
      <c r="A2" s="46"/>
      <c r="B2" s="203"/>
      <c r="C2" s="62"/>
      <c r="D2" s="304"/>
      <c r="E2" s="41"/>
      <c r="F2" s="11"/>
      <c r="G2" s="41"/>
      <c r="H2" s="41"/>
      <c r="I2" s="41"/>
      <c r="J2" s="41"/>
      <c r="K2" s="41"/>
      <c r="L2" s="244"/>
      <c r="M2" s="244"/>
      <c r="N2" s="244"/>
      <c r="O2" s="244"/>
      <c r="P2" s="244"/>
      <c r="Q2" s="244"/>
      <c r="R2" s="244"/>
      <c r="S2" s="244"/>
      <c r="T2" s="244"/>
      <c r="U2" s="244"/>
      <c r="V2" s="244"/>
      <c r="W2" s="137"/>
      <c r="X2" s="137"/>
      <c r="Y2" s="137"/>
      <c r="Z2" s="137"/>
    </row>
    <row r="3" spans="1:26">
      <c r="A3" s="62"/>
      <c r="B3" s="203"/>
      <c r="C3" s="62"/>
      <c r="D3" s="304"/>
      <c r="E3" s="41"/>
      <c r="F3" s="316"/>
      <c r="G3" s="41"/>
      <c r="H3" s="41"/>
      <c r="I3" s="41"/>
      <c r="J3" s="41"/>
      <c r="K3" s="11"/>
      <c r="L3" s="137"/>
      <c r="M3" s="137"/>
      <c r="N3" s="137"/>
      <c r="O3" s="137"/>
      <c r="P3" s="137"/>
      <c r="Q3" s="137"/>
      <c r="R3" s="137"/>
      <c r="S3" s="137"/>
      <c r="T3" s="137"/>
      <c r="U3" s="137"/>
      <c r="V3" s="137"/>
      <c r="W3" s="137"/>
      <c r="X3" s="137"/>
      <c r="Y3" s="137"/>
      <c r="Z3" s="137"/>
    </row>
    <row r="4" spans="1:26">
      <c r="A4" s="61"/>
      <c r="B4" s="203"/>
      <c r="C4" s="58"/>
      <c r="D4" s="304"/>
      <c r="E4" s="41"/>
      <c r="F4" s="216"/>
      <c r="G4" s="19"/>
      <c r="H4" s="41"/>
      <c r="I4" s="41"/>
      <c r="J4" s="41"/>
      <c r="K4" s="19"/>
    </row>
  </sheetData>
  <dataValidations count="4">
    <dataValidation type="list" allowBlank="1" showErrorMessage="1" sqref="G2:G4" xr:uid="{90CE0854-1FB4-47A3-8E75-881B1D6D1DD3}">
      <formula1>"Minor,Significant,Major"</formula1>
    </dataValidation>
    <dataValidation type="list" allowBlank="1" showErrorMessage="1" sqref="I2:I4" xr:uid="{0635AB95-26A9-44E3-98A5-680589F48DAC}">
      <formula1>"Open,Inprogress,Closed"</formula1>
    </dataValidation>
    <dataValidation type="list" allowBlank="1" showErrorMessage="1" sqref="E2:E4" xr:uid="{F5EACBB1-6DFF-4D51-A74E-99D46EBAC798}">
      <formula1>"Bounceback,Defect,None"</formula1>
    </dataValidation>
    <dataValidation type="list" allowBlank="1" showErrorMessage="1" sqref="H2:H4" xr:uid="{AA3F6A52-A454-4B10-9AAD-3CC9A0ACA298}">
      <formula1>"Internal,External"</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7FC8F9F5-5A23-4C0E-B99C-C014CC2B3DA4}">
          <x14:formula1>
            <xm:f>Details!$A$2:$A$10</xm:f>
          </x14:formula1>
          <xm:sqref>J2:J4</xm:sqref>
        </x14:dataValidation>
      </x14:dataValidations>
    </ext>
  </extLst>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7EDFE-B204-4FA0-A823-76E3A1440C45}">
  <dimension ref="A1:ABU8"/>
  <sheetViews>
    <sheetView workbookViewId="0">
      <pane xSplit="4" ySplit="2" topLeftCell="E3" activePane="bottomRight" state="frozen"/>
      <selection pane="bottomRight" activeCell="E7" sqref="E7"/>
      <selection pane="bottomLeft"/>
      <selection pane="topRight"/>
    </sheetView>
  </sheetViews>
  <sheetFormatPr defaultRowHeight="12.75"/>
  <cols>
    <col min="2" max="2" width="5" customWidth="1"/>
    <col min="3" max="3" width="11.140625" customWidth="1"/>
    <col min="5" max="5" width="27" customWidth="1"/>
    <col min="6" max="6" width="5.7109375" customWidth="1"/>
    <col min="7" max="7" width="6" customWidth="1"/>
    <col min="9" max="9" width="5" style="144" customWidth="1"/>
    <col min="10" max="10" width="6.85546875" customWidth="1"/>
    <col min="11" max="11" width="8" customWidth="1"/>
    <col min="12" max="12" width="7" customWidth="1"/>
    <col min="13" max="13" width="9.140625" style="144"/>
    <col min="14" max="15" width="9.42578125" bestFit="1" customWidth="1"/>
    <col min="17" max="17" width="3.140625" style="144" customWidth="1"/>
    <col min="19" max="19" width="9.42578125" bestFit="1" customWidth="1"/>
    <col min="23" max="23" width="14.7109375" customWidth="1"/>
    <col min="24" max="24" width="18.28515625" customWidth="1"/>
  </cols>
  <sheetData>
    <row r="1" spans="1:749">
      <c r="A1" s="234"/>
      <c r="B1" s="1"/>
      <c r="C1" s="7"/>
      <c r="D1" s="7"/>
      <c r="E1" s="1"/>
      <c r="F1" s="49"/>
      <c r="G1" s="49"/>
      <c r="H1" s="198"/>
      <c r="I1" s="198"/>
      <c r="J1" s="198"/>
      <c r="K1" s="198"/>
      <c r="L1" s="198"/>
      <c r="M1" s="198"/>
      <c r="N1" s="198"/>
      <c r="O1" s="198"/>
      <c r="P1" s="198"/>
      <c r="Q1" s="198"/>
      <c r="R1" s="198"/>
      <c r="S1" s="198"/>
      <c r="T1" s="198"/>
      <c r="U1" s="198"/>
      <c r="V1" s="198"/>
      <c r="W1" s="322"/>
      <c r="X1" s="323"/>
    </row>
    <row r="2" spans="1:749" ht="58.5">
      <c r="A2" s="234" t="s">
        <v>254</v>
      </c>
      <c r="B2" s="1" t="s">
        <v>255</v>
      </c>
      <c r="C2" s="7" t="s">
        <v>256</v>
      </c>
      <c r="D2" s="235" t="s">
        <v>257</v>
      </c>
      <c r="E2" s="236" t="s">
        <v>258</v>
      </c>
      <c r="F2" s="237" t="s">
        <v>260</v>
      </c>
      <c r="G2" s="237" t="s">
        <v>261</v>
      </c>
      <c r="H2" s="238" t="s">
        <v>265</v>
      </c>
      <c r="I2" s="199" t="s">
        <v>266</v>
      </c>
      <c r="J2" s="199" t="s">
        <v>267</v>
      </c>
      <c r="K2" s="238" t="s">
        <v>268</v>
      </c>
      <c r="L2" s="238" t="s">
        <v>269</v>
      </c>
      <c r="M2" s="238" t="s">
        <v>270</v>
      </c>
      <c r="N2" s="238" t="s">
        <v>271</v>
      </c>
      <c r="O2" s="238" t="s">
        <v>272</v>
      </c>
      <c r="P2" s="238" t="s">
        <v>273</v>
      </c>
      <c r="Q2" s="238" t="s">
        <v>274</v>
      </c>
      <c r="R2" s="238" t="s">
        <v>275</v>
      </c>
      <c r="S2" s="238" t="s">
        <v>276</v>
      </c>
      <c r="T2" s="238" t="s">
        <v>274</v>
      </c>
      <c r="U2" s="238" t="s">
        <v>278</v>
      </c>
      <c r="V2" s="238" t="s">
        <v>279</v>
      </c>
      <c r="W2" s="239" t="s">
        <v>259</v>
      </c>
      <c r="X2" s="240" t="s">
        <v>280</v>
      </c>
    </row>
    <row r="3" spans="1:749" ht="85.5" customHeight="1">
      <c r="A3" s="203">
        <v>1</v>
      </c>
      <c r="B3" s="203" t="s">
        <v>1606</v>
      </c>
      <c r="C3" s="203" t="s">
        <v>1523</v>
      </c>
      <c r="D3" s="203" t="s">
        <v>1607</v>
      </c>
      <c r="E3" s="58" t="s">
        <v>1608</v>
      </c>
      <c r="F3" s="228">
        <v>3</v>
      </c>
      <c r="G3" s="228">
        <v>3</v>
      </c>
      <c r="H3" s="246" t="s">
        <v>290</v>
      </c>
      <c r="I3" s="316" t="s">
        <v>292</v>
      </c>
      <c r="J3" s="58" t="s">
        <v>291</v>
      </c>
      <c r="K3" s="248" t="s">
        <v>286</v>
      </c>
      <c r="L3" s="327" t="s">
        <v>1609</v>
      </c>
      <c r="M3" s="279" t="s">
        <v>1610</v>
      </c>
      <c r="N3" s="93">
        <v>45572</v>
      </c>
      <c r="O3" s="93">
        <v>45574</v>
      </c>
      <c r="P3" s="216" t="s">
        <v>862</v>
      </c>
      <c r="Q3" s="216" t="s">
        <v>1611</v>
      </c>
      <c r="R3" s="58" t="s">
        <v>295</v>
      </c>
      <c r="S3" s="93">
        <v>45574</v>
      </c>
      <c r="T3" s="58" t="s">
        <v>291</v>
      </c>
      <c r="U3" s="58" t="s">
        <v>291</v>
      </c>
      <c r="V3" s="58" t="s">
        <v>291</v>
      </c>
      <c r="W3" s="58" t="s">
        <v>289</v>
      </c>
      <c r="X3" s="216"/>
    </row>
    <row r="4" spans="1:749" ht="80.25" customHeight="1">
      <c r="A4" s="203">
        <v>2</v>
      </c>
      <c r="B4" s="203" t="s">
        <v>1606</v>
      </c>
      <c r="C4" s="203" t="s">
        <v>1612</v>
      </c>
      <c r="D4" s="203" t="s">
        <v>1613</v>
      </c>
      <c r="E4" s="216" t="s">
        <v>1614</v>
      </c>
      <c r="F4" s="228">
        <v>8</v>
      </c>
      <c r="G4" s="228">
        <v>8</v>
      </c>
      <c r="H4" s="246" t="s">
        <v>290</v>
      </c>
      <c r="I4" s="316" t="s">
        <v>298</v>
      </c>
      <c r="J4" s="58" t="s">
        <v>291</v>
      </c>
      <c r="K4" s="248" t="s">
        <v>286</v>
      </c>
      <c r="L4" s="327" t="s">
        <v>1609</v>
      </c>
      <c r="M4" s="279" t="s">
        <v>1610</v>
      </c>
      <c r="N4" s="93">
        <v>45572</v>
      </c>
      <c r="O4" s="93">
        <v>45574</v>
      </c>
      <c r="P4" s="58" t="s">
        <v>862</v>
      </c>
      <c r="Q4" s="216" t="s">
        <v>1615</v>
      </c>
      <c r="R4" s="58" t="s">
        <v>295</v>
      </c>
      <c r="S4" s="93">
        <v>45574</v>
      </c>
      <c r="T4" s="58" t="s">
        <v>291</v>
      </c>
      <c r="U4" s="58" t="s">
        <v>291</v>
      </c>
      <c r="V4" s="58" t="s">
        <v>291</v>
      </c>
      <c r="W4" s="58" t="s">
        <v>289</v>
      </c>
      <c r="X4" s="216"/>
    </row>
    <row r="5" spans="1:749" ht="123.75" customHeight="1">
      <c r="A5" s="203">
        <v>3</v>
      </c>
      <c r="B5" s="203" t="s">
        <v>1579</v>
      </c>
      <c r="C5" s="203" t="s">
        <v>1616</v>
      </c>
      <c r="D5" s="203" t="s">
        <v>1617</v>
      </c>
      <c r="E5" s="216" t="s">
        <v>1618</v>
      </c>
      <c r="F5" s="228">
        <v>3</v>
      </c>
      <c r="G5" s="228">
        <v>3</v>
      </c>
      <c r="H5" s="246" t="s">
        <v>290</v>
      </c>
      <c r="I5" s="316" t="s">
        <v>1619</v>
      </c>
      <c r="J5" s="350" t="s">
        <v>1620</v>
      </c>
      <c r="K5" s="248"/>
      <c r="L5" s="327" t="s">
        <v>1609</v>
      </c>
      <c r="M5" s="183" t="s">
        <v>1621</v>
      </c>
      <c r="N5" s="93">
        <v>45569</v>
      </c>
      <c r="O5" s="93">
        <v>45483</v>
      </c>
      <c r="P5" s="144" t="s">
        <v>1622</v>
      </c>
      <c r="Q5" s="350" t="s">
        <v>1623</v>
      </c>
      <c r="R5" t="s">
        <v>295</v>
      </c>
      <c r="S5" s="93">
        <v>45483</v>
      </c>
      <c r="T5" t="s">
        <v>291</v>
      </c>
      <c r="U5" s="58" t="s">
        <v>291</v>
      </c>
      <c r="V5" s="58" t="s">
        <v>291</v>
      </c>
      <c r="W5" s="58" t="s">
        <v>289</v>
      </c>
      <c r="X5" s="58"/>
    </row>
    <row r="6" spans="1:749" ht="118.5" customHeight="1">
      <c r="A6" s="229">
        <v>4</v>
      </c>
      <c r="B6" s="229" t="s">
        <v>1624</v>
      </c>
      <c r="C6" s="229" t="s">
        <v>1625</v>
      </c>
      <c r="D6" s="229" t="s">
        <v>1595</v>
      </c>
      <c r="E6" s="333" t="s">
        <v>1626</v>
      </c>
      <c r="F6" s="327">
        <v>3</v>
      </c>
      <c r="G6" s="327">
        <v>3</v>
      </c>
      <c r="H6" s="246" t="s">
        <v>290</v>
      </c>
      <c r="I6" s="316" t="s">
        <v>1627</v>
      </c>
      <c r="J6" s="228" t="s">
        <v>1609</v>
      </c>
      <c r="K6" s="247" t="s">
        <v>1628</v>
      </c>
      <c r="L6" s="327" t="s">
        <v>1609</v>
      </c>
      <c r="M6" s="356" t="s">
        <v>1629</v>
      </c>
      <c r="N6" s="349">
        <v>45483</v>
      </c>
      <c r="O6" s="349">
        <v>45483</v>
      </c>
      <c r="P6" s="58" t="s">
        <v>1593</v>
      </c>
      <c r="Q6" s="333" t="s">
        <v>291</v>
      </c>
      <c r="R6" s="218" t="s">
        <v>1630</v>
      </c>
      <c r="S6" s="349">
        <v>45483</v>
      </c>
      <c r="T6" s="144" t="s">
        <v>1631</v>
      </c>
      <c r="U6" s="58" t="s">
        <v>291</v>
      </c>
      <c r="V6" s="58" t="s">
        <v>291</v>
      </c>
      <c r="W6" s="58" t="s">
        <v>1283</v>
      </c>
      <c r="X6" s="333" t="s">
        <v>1632</v>
      </c>
    </row>
    <row r="7" spans="1:749" s="58" customFormat="1" ht="30.75" customHeight="1">
      <c r="A7" s="203">
        <v>5</v>
      </c>
      <c r="B7" s="203" t="s">
        <v>1624</v>
      </c>
      <c r="C7" s="203" t="s">
        <v>1459</v>
      </c>
      <c r="D7" s="203" t="s">
        <v>1633</v>
      </c>
      <c r="E7" s="216" t="s">
        <v>1634</v>
      </c>
      <c r="F7" s="228">
        <v>1</v>
      </c>
      <c r="G7" s="228">
        <v>1</v>
      </c>
      <c r="H7" s="246" t="s">
        <v>290</v>
      </c>
      <c r="I7" s="316" t="s">
        <v>1635</v>
      </c>
      <c r="J7" s="228" t="s">
        <v>1609</v>
      </c>
      <c r="K7" s="248" t="s">
        <v>1636</v>
      </c>
      <c r="L7" s="327" t="s">
        <v>1609</v>
      </c>
      <c r="M7" s="356" t="s">
        <v>1637</v>
      </c>
      <c r="N7" s="58" t="s">
        <v>1638</v>
      </c>
      <c r="O7" s="58" t="s">
        <v>1638</v>
      </c>
      <c r="P7" s="58" t="s">
        <v>1593</v>
      </c>
      <c r="Q7" s="216"/>
      <c r="R7" s="58" t="s">
        <v>291</v>
      </c>
      <c r="S7" s="58" t="s">
        <v>1638</v>
      </c>
      <c r="T7" s="58" t="s">
        <v>291</v>
      </c>
      <c r="U7" s="58" t="s">
        <v>291</v>
      </c>
      <c r="V7" s="58" t="s">
        <v>291</v>
      </c>
      <c r="W7" s="216" t="s">
        <v>289</v>
      </c>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s="227"/>
    </row>
    <row r="8" spans="1:749" s="58" customFormat="1" ht="111" customHeight="1">
      <c r="A8" s="203">
        <v>6</v>
      </c>
      <c r="B8" s="203" t="s">
        <v>1624</v>
      </c>
      <c r="C8" s="203" t="s">
        <v>1625</v>
      </c>
      <c r="D8" s="203" t="s">
        <v>1639</v>
      </c>
      <c r="E8" s="216" t="s">
        <v>1640</v>
      </c>
      <c r="F8" s="228">
        <v>2</v>
      </c>
      <c r="G8" s="228">
        <v>2</v>
      </c>
      <c r="H8" s="246" t="s">
        <v>290</v>
      </c>
      <c r="I8" s="316" t="s">
        <v>1627</v>
      </c>
      <c r="J8" s="228" t="s">
        <v>1609</v>
      </c>
      <c r="K8" s="351" t="s">
        <v>1641</v>
      </c>
      <c r="L8" s="228" t="s">
        <v>1609</v>
      </c>
      <c r="M8" s="356" t="s">
        <v>1642</v>
      </c>
      <c r="N8" s="58" t="s">
        <v>1638</v>
      </c>
      <c r="O8" s="58" t="s">
        <v>1643</v>
      </c>
      <c r="P8" s="58" t="s">
        <v>1593</v>
      </c>
      <c r="Q8" s="216"/>
      <c r="R8" s="58" t="s">
        <v>1315</v>
      </c>
      <c r="S8" s="58" t="s">
        <v>1643</v>
      </c>
      <c r="T8" s="144" t="s">
        <v>1644</v>
      </c>
      <c r="U8" s="58" t="s">
        <v>291</v>
      </c>
      <c r="V8" s="58" t="s">
        <v>291</v>
      </c>
      <c r="W8" s="216" t="s">
        <v>289</v>
      </c>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c r="ZL8"/>
      <c r="ZM8"/>
      <c r="ZN8"/>
      <c r="ZO8"/>
      <c r="ZP8"/>
      <c r="ZQ8"/>
      <c r="ZR8"/>
      <c r="ZS8"/>
      <c r="ZT8"/>
      <c r="ZU8"/>
      <c r="ZV8"/>
      <c r="ZW8"/>
      <c r="ZX8"/>
      <c r="ZY8"/>
      <c r="ZZ8"/>
      <c r="AAA8"/>
      <c r="AAB8"/>
      <c r="AAC8"/>
      <c r="AAD8"/>
      <c r="AAE8"/>
      <c r="AAF8"/>
      <c r="AAG8"/>
      <c r="AAH8"/>
      <c r="AAI8"/>
      <c r="AAJ8"/>
      <c r="AAK8"/>
      <c r="AAL8"/>
      <c r="AAM8"/>
      <c r="AAN8"/>
      <c r="AAO8"/>
      <c r="AAP8"/>
      <c r="AAQ8"/>
      <c r="AAR8"/>
      <c r="AAS8"/>
      <c r="AAT8"/>
      <c r="AAU8"/>
      <c r="AAV8"/>
      <c r="AAW8"/>
      <c r="AAX8"/>
      <c r="AAY8"/>
      <c r="AAZ8"/>
      <c r="ABA8"/>
      <c r="ABB8"/>
      <c r="ABC8"/>
      <c r="ABD8"/>
      <c r="ABE8"/>
      <c r="ABF8"/>
      <c r="ABG8"/>
      <c r="ABH8"/>
      <c r="ABI8"/>
      <c r="ABJ8"/>
      <c r="ABK8"/>
      <c r="ABL8"/>
      <c r="ABM8"/>
      <c r="ABN8"/>
      <c r="ABO8"/>
      <c r="ABP8"/>
      <c r="ABQ8"/>
      <c r="ABR8"/>
      <c r="ABS8"/>
      <c r="ABT8"/>
      <c r="ABU8" s="227"/>
    </row>
  </sheetData>
  <hyperlinks>
    <hyperlink ref="M3" r:id="rId1" xr:uid="{56188AD4-0E1C-4B1A-9CFE-03013F7E4467}"/>
    <hyperlink ref="M4" r:id="rId2" xr:uid="{60279ED0-76C9-4910-B4EF-3042FF57F4D0}"/>
    <hyperlink ref="M6" r:id="rId3" xr:uid="{0F5ECD34-953F-403C-A423-FCD212563F08}"/>
    <hyperlink ref="M7" r:id="rId4" xr:uid="{5DDAC753-4B0C-48F6-83AC-7AFD5C357450}"/>
    <hyperlink ref="M8" r:id="rId5" xr:uid="{0365960B-FFC6-4E4C-B6FF-B2F6561D3564}"/>
  </hyperlinks>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CC30F-03C1-4DAC-A062-9D4C9575B2DA}">
  <dimension ref="A1:Z4"/>
  <sheetViews>
    <sheetView topLeftCell="B1" workbookViewId="0">
      <selection activeCell="J7" sqref="J7"/>
    </sheetView>
  </sheetViews>
  <sheetFormatPr defaultRowHeight="12.75"/>
  <cols>
    <col min="2" max="2" width="21" customWidth="1"/>
    <col min="3" max="3" width="20" customWidth="1"/>
    <col min="4" max="4" width="12.42578125" customWidth="1"/>
    <col min="5" max="5" width="14.7109375" customWidth="1"/>
    <col min="6" max="6" width="56.85546875" customWidth="1"/>
    <col min="7" max="7" width="12.28515625" customWidth="1"/>
    <col min="10" max="10" width="22.7109375" customWidth="1"/>
    <col min="11" max="11" width="19.140625" customWidth="1"/>
  </cols>
  <sheetData>
    <row r="1" spans="1:26" ht="40.5">
      <c r="A1" s="59" t="s">
        <v>254</v>
      </c>
      <c r="B1" s="154" t="s">
        <v>11</v>
      </c>
      <c r="C1" s="155" t="s">
        <v>322</v>
      </c>
      <c r="D1" s="154" t="s">
        <v>256</v>
      </c>
      <c r="E1" s="155" t="s">
        <v>324</v>
      </c>
      <c r="F1" s="155" t="s">
        <v>325</v>
      </c>
      <c r="G1" s="154" t="s">
        <v>326</v>
      </c>
      <c r="H1" s="154" t="s">
        <v>328</v>
      </c>
      <c r="I1" s="154" t="s">
        <v>259</v>
      </c>
      <c r="J1" s="156" t="s">
        <v>329</v>
      </c>
      <c r="K1" s="157" t="s">
        <v>280</v>
      </c>
      <c r="L1" s="35"/>
      <c r="M1" s="35"/>
      <c r="N1" s="35"/>
      <c r="O1" s="35"/>
      <c r="P1" s="35"/>
      <c r="Q1" s="35"/>
      <c r="R1" s="35"/>
      <c r="S1" s="35"/>
      <c r="T1" s="35"/>
      <c r="U1" s="35"/>
      <c r="V1" s="35"/>
      <c r="W1" s="35"/>
      <c r="X1" s="35"/>
      <c r="Y1" s="35"/>
      <c r="Z1" s="35"/>
    </row>
    <row r="2" spans="1:26">
      <c r="A2" s="46">
        <v>1</v>
      </c>
      <c r="B2" s="203" t="s">
        <v>1645</v>
      </c>
      <c r="C2" s="62" t="s">
        <v>1646</v>
      </c>
      <c r="D2" s="304" t="s">
        <v>1459</v>
      </c>
      <c r="E2" s="41" t="s">
        <v>380</v>
      </c>
      <c r="F2" s="11" t="s">
        <v>1647</v>
      </c>
      <c r="G2" s="41" t="s">
        <v>381</v>
      </c>
      <c r="H2" s="41" t="s">
        <v>383</v>
      </c>
      <c r="I2" s="41" t="s">
        <v>384</v>
      </c>
      <c r="J2" s="41" t="s">
        <v>385</v>
      </c>
      <c r="K2" s="41"/>
      <c r="L2" s="244"/>
      <c r="M2" s="244"/>
      <c r="N2" s="244"/>
      <c r="O2" s="244"/>
      <c r="P2" s="244"/>
      <c r="Q2" s="244"/>
      <c r="R2" s="244"/>
      <c r="S2" s="244"/>
      <c r="T2" s="244"/>
      <c r="U2" s="244"/>
      <c r="V2" s="244"/>
      <c r="W2" s="137"/>
      <c r="X2" s="137"/>
      <c r="Y2" s="137"/>
      <c r="Z2" s="137"/>
    </row>
    <row r="3" spans="1:26" ht="60">
      <c r="A3" s="62">
        <v>2</v>
      </c>
      <c r="B3" s="203" t="s">
        <v>1645</v>
      </c>
      <c r="C3" s="62" t="s">
        <v>1648</v>
      </c>
      <c r="D3" s="304" t="s">
        <v>1462</v>
      </c>
      <c r="E3" s="41" t="s">
        <v>380</v>
      </c>
      <c r="F3" s="316" t="s">
        <v>1649</v>
      </c>
      <c r="G3" s="41" t="s">
        <v>381</v>
      </c>
      <c r="H3" s="41" t="s">
        <v>383</v>
      </c>
      <c r="I3" s="41" t="s">
        <v>384</v>
      </c>
      <c r="J3" s="41" t="s">
        <v>385</v>
      </c>
      <c r="K3" s="11" t="s">
        <v>1650</v>
      </c>
      <c r="L3" s="137"/>
      <c r="M3" s="137"/>
      <c r="N3" s="137"/>
      <c r="O3" s="137"/>
      <c r="P3" s="137"/>
      <c r="Q3" s="137"/>
      <c r="R3" s="137"/>
      <c r="S3" s="137"/>
      <c r="T3" s="137"/>
      <c r="U3" s="137"/>
      <c r="V3" s="137"/>
      <c r="W3" s="137"/>
      <c r="X3" s="137"/>
      <c r="Y3" s="137"/>
      <c r="Z3" s="137"/>
    </row>
    <row r="4" spans="1:26" ht="78" customHeight="1">
      <c r="A4" s="61">
        <v>3</v>
      </c>
      <c r="B4" s="203" t="s">
        <v>1645</v>
      </c>
      <c r="C4" s="58" t="s">
        <v>1651</v>
      </c>
      <c r="D4" s="304" t="s">
        <v>1462</v>
      </c>
      <c r="E4" s="41" t="s">
        <v>380</v>
      </c>
      <c r="F4" s="216" t="s">
        <v>1652</v>
      </c>
      <c r="G4" s="19" t="s">
        <v>381</v>
      </c>
      <c r="H4" s="41" t="s">
        <v>383</v>
      </c>
      <c r="I4" s="41" t="s">
        <v>384</v>
      </c>
      <c r="J4" s="41" t="s">
        <v>385</v>
      </c>
      <c r="K4" s="18" t="s">
        <v>1653</v>
      </c>
    </row>
  </sheetData>
  <dataValidations count="4">
    <dataValidation type="list" allowBlank="1" showErrorMessage="1" sqref="H2:H4" xr:uid="{FE2AE036-6CAD-427F-B434-102541CE054B}">
      <formula1>"Internal,External"</formula1>
    </dataValidation>
    <dataValidation type="list" allowBlank="1" showErrorMessage="1" sqref="E2:E4" xr:uid="{688DCB0D-096D-477D-8201-E41CF2D45FF2}">
      <formula1>"Bounceback,Defect,None"</formula1>
    </dataValidation>
    <dataValidation type="list" allowBlank="1" showErrorMessage="1" sqref="I2:I4" xr:uid="{2B69D52B-2D00-44A8-9900-8AA09C20E4ED}">
      <formula1>"Open,Inprogress,Closed"</formula1>
    </dataValidation>
    <dataValidation type="list" allowBlank="1" showErrorMessage="1" sqref="G2:G4" xr:uid="{E1643651-65D1-42E9-821D-D965FB8BE577}">
      <formula1>"Minor,Significant,Major"</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FDC4944C-8A56-49DF-9812-D74FB77FCA40}">
          <x14:formula1>
            <xm:f>Details!$A$2:$A$10</xm:f>
          </x14:formula1>
          <xm:sqref>J2:J4</xm:sqref>
        </x14:dataValidation>
      </x14:dataValidations>
    </ext>
  </extLst>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B5FB6-15B5-4D0F-92D3-14312B6F45F1}">
  <dimension ref="A1:X962"/>
  <sheetViews>
    <sheetView topLeftCell="I2" workbookViewId="0">
      <selection activeCell="Q13" sqref="Q13"/>
    </sheetView>
  </sheetViews>
  <sheetFormatPr defaultRowHeight="12.75"/>
  <cols>
    <col min="1" max="1" width="8.28515625" style="181" customWidth="1"/>
    <col min="2" max="2" width="20.42578125" customWidth="1"/>
    <col min="3" max="3" width="20" style="47" customWidth="1"/>
    <col min="4" max="4" width="16.28515625" customWidth="1"/>
    <col min="5" max="5" width="39.28515625" customWidth="1"/>
    <col min="6" max="7" width="9.140625" style="53"/>
    <col min="8" max="8" width="10.28515625" customWidth="1"/>
    <col min="9" max="9" width="19.42578125" customWidth="1"/>
    <col min="10" max="10" width="30.140625" customWidth="1"/>
    <col min="12" max="12" width="28" style="144" customWidth="1"/>
    <col min="13" max="13" width="22.7109375" customWidth="1"/>
    <col min="14" max="14" width="10.7109375" bestFit="1" customWidth="1"/>
    <col min="15" max="15" width="10.42578125" customWidth="1"/>
    <col min="17" max="17" width="31.7109375" customWidth="1"/>
    <col min="19" max="19" width="9.42578125" bestFit="1" customWidth="1"/>
    <col min="20" max="20" width="14.7109375" customWidth="1"/>
    <col min="21" max="21" width="15.28515625" customWidth="1"/>
    <col min="22" max="22" width="14.7109375" customWidth="1"/>
    <col min="23" max="23" width="11.5703125" style="137" customWidth="1"/>
    <col min="24" max="24" width="48.28515625" customWidth="1"/>
  </cols>
  <sheetData>
    <row r="1" spans="1:24">
      <c r="A1" s="234"/>
      <c r="B1" s="59"/>
      <c r="C1" s="195"/>
      <c r="D1" s="195"/>
      <c r="E1" s="59"/>
      <c r="F1" s="346"/>
      <c r="G1" s="346"/>
      <c r="H1" s="243"/>
      <c r="I1" s="243"/>
      <c r="J1" s="243"/>
      <c r="K1" s="243"/>
      <c r="L1" s="243"/>
      <c r="M1" s="243"/>
      <c r="N1" s="243"/>
      <c r="O1" s="243"/>
      <c r="P1" s="243"/>
      <c r="Q1" s="243"/>
      <c r="R1" s="243"/>
      <c r="S1" s="243"/>
      <c r="T1" s="243"/>
      <c r="U1" s="243"/>
      <c r="V1" s="243"/>
      <c r="W1" s="347"/>
      <c r="X1" s="348"/>
    </row>
    <row r="2" spans="1:24" ht="46.5">
      <c r="A2" s="344" t="s">
        <v>254</v>
      </c>
      <c r="B2" s="1" t="s">
        <v>255</v>
      </c>
      <c r="C2" s="7" t="s">
        <v>256</v>
      </c>
      <c r="D2" s="235" t="s">
        <v>257</v>
      </c>
      <c r="E2" s="236" t="s">
        <v>258</v>
      </c>
      <c r="F2" s="237" t="s">
        <v>260</v>
      </c>
      <c r="G2" s="237" t="s">
        <v>261</v>
      </c>
      <c r="H2" s="238" t="s">
        <v>265</v>
      </c>
      <c r="I2" s="238" t="s">
        <v>266</v>
      </c>
      <c r="J2" s="238" t="s">
        <v>267</v>
      </c>
      <c r="K2" s="238" t="s">
        <v>268</v>
      </c>
      <c r="L2" s="238" t="s">
        <v>269</v>
      </c>
      <c r="M2" s="238" t="s">
        <v>270</v>
      </c>
      <c r="N2" s="238" t="s">
        <v>271</v>
      </c>
      <c r="O2" s="238" t="s">
        <v>272</v>
      </c>
      <c r="P2" s="238" t="s">
        <v>273</v>
      </c>
      <c r="Q2" s="238" t="s">
        <v>274</v>
      </c>
      <c r="R2" s="238" t="s">
        <v>275</v>
      </c>
      <c r="S2" s="238" t="s">
        <v>276</v>
      </c>
      <c r="T2" s="238" t="s">
        <v>274</v>
      </c>
      <c r="U2" s="238" t="s">
        <v>278</v>
      </c>
      <c r="V2" s="238" t="s">
        <v>279</v>
      </c>
      <c r="W2" s="239" t="s">
        <v>259</v>
      </c>
      <c r="X2" s="240" t="s">
        <v>280</v>
      </c>
    </row>
    <row r="3" spans="1:24" s="137" customFormat="1" ht="30.75" customHeight="1">
      <c r="A3" s="345">
        <v>1</v>
      </c>
      <c r="B3" s="278" t="s">
        <v>1654</v>
      </c>
      <c r="C3" s="46" t="s">
        <v>1523</v>
      </c>
      <c r="D3" s="62" t="s">
        <v>1655</v>
      </c>
      <c r="E3" s="299" t="s">
        <v>1608</v>
      </c>
      <c r="F3" s="17">
        <v>5</v>
      </c>
      <c r="G3" s="17"/>
      <c r="H3" s="83"/>
      <c r="I3" s="41"/>
      <c r="J3" s="316"/>
      <c r="K3" s="41"/>
      <c r="L3" s="316"/>
      <c r="M3" s="231"/>
      <c r="N3" s="232"/>
      <c r="O3" s="232"/>
      <c r="P3" s="41"/>
      <c r="Q3" s="282"/>
      <c r="R3" s="203"/>
      <c r="S3" s="206"/>
      <c r="T3" s="342"/>
      <c r="U3" s="282"/>
      <c r="V3" s="282"/>
      <c r="W3" s="352" t="s">
        <v>1656</v>
      </c>
      <c r="X3" s="216" t="s">
        <v>1657</v>
      </c>
    </row>
    <row r="4" spans="1:24" s="137" customFormat="1" ht="30" customHeight="1">
      <c r="A4" s="345">
        <v>2</v>
      </c>
      <c r="B4" s="278" t="s">
        <v>1654</v>
      </c>
      <c r="C4" s="46" t="s">
        <v>1658</v>
      </c>
      <c r="D4" s="62" t="s">
        <v>1659</v>
      </c>
      <c r="E4" s="299" t="s">
        <v>1660</v>
      </c>
      <c r="F4" s="17">
        <v>5</v>
      </c>
      <c r="G4" s="17">
        <v>5</v>
      </c>
      <c r="H4" s="77" t="s">
        <v>290</v>
      </c>
      <c r="I4" s="46" t="s">
        <v>1661</v>
      </c>
      <c r="J4" s="350" t="s">
        <v>1662</v>
      </c>
      <c r="K4" s="41" t="s">
        <v>1593</v>
      </c>
      <c r="L4" s="203" t="s">
        <v>1663</v>
      </c>
      <c r="M4" s="231" t="s">
        <v>1664</v>
      </c>
      <c r="N4" s="232">
        <v>45555</v>
      </c>
      <c r="O4" s="232">
        <v>45559</v>
      </c>
      <c r="P4" s="46" t="s">
        <v>1463</v>
      </c>
      <c r="Q4" s="343" t="s">
        <v>1665</v>
      </c>
      <c r="R4" s="203" t="s">
        <v>1666</v>
      </c>
      <c r="S4" s="232">
        <v>45559</v>
      </c>
      <c r="T4" s="282" t="s">
        <v>291</v>
      </c>
      <c r="U4" s="282" t="s">
        <v>291</v>
      </c>
      <c r="V4" s="282" t="s">
        <v>291</v>
      </c>
      <c r="W4" s="228" t="s">
        <v>289</v>
      </c>
      <c r="X4" s="216"/>
    </row>
    <row r="5" spans="1:24" ht="43.5" customHeight="1">
      <c r="A5" s="345">
        <v>4</v>
      </c>
      <c r="B5" s="334" t="s">
        <v>1654</v>
      </c>
      <c r="C5" s="270" t="s">
        <v>1667</v>
      </c>
      <c r="D5" s="257" t="s">
        <v>1668</v>
      </c>
      <c r="E5" s="331" t="s">
        <v>1669</v>
      </c>
      <c r="F5" s="310">
        <v>3</v>
      </c>
      <c r="G5" s="310">
        <v>5</v>
      </c>
      <c r="H5" s="355" t="s">
        <v>290</v>
      </c>
      <c r="I5" s="270" t="s">
        <v>1670</v>
      </c>
      <c r="J5" s="329" t="s">
        <v>1663</v>
      </c>
      <c r="K5" s="126" t="s">
        <v>1462</v>
      </c>
      <c r="L5" s="333" t="s">
        <v>1663</v>
      </c>
      <c r="M5" s="330" t="s">
        <v>1671</v>
      </c>
      <c r="N5" s="306">
        <v>45551</v>
      </c>
      <c r="O5" s="306">
        <v>45555</v>
      </c>
      <c r="P5" s="270" t="s">
        <v>1463</v>
      </c>
      <c r="Q5" s="354" t="s">
        <v>1672</v>
      </c>
      <c r="R5" s="229" t="s">
        <v>1666</v>
      </c>
      <c r="S5" s="306">
        <v>45555</v>
      </c>
      <c r="T5" s="315" t="s">
        <v>291</v>
      </c>
      <c r="U5" s="315" t="s">
        <v>291</v>
      </c>
      <c r="V5" s="315" t="s">
        <v>291</v>
      </c>
      <c r="W5" s="327" t="s">
        <v>289</v>
      </c>
      <c r="X5" s="218"/>
    </row>
    <row r="6" spans="1:24" ht="39.75" customHeight="1">
      <c r="A6" s="228">
        <v>5</v>
      </c>
      <c r="B6" s="17" t="s">
        <v>1654</v>
      </c>
      <c r="C6" s="46" t="s">
        <v>292</v>
      </c>
      <c r="D6" s="62" t="s">
        <v>1673</v>
      </c>
      <c r="E6" s="225" t="s">
        <v>1674</v>
      </c>
      <c r="F6" s="17">
        <v>3</v>
      </c>
      <c r="G6" s="17">
        <v>3</v>
      </c>
      <c r="H6" s="77" t="s">
        <v>290</v>
      </c>
      <c r="I6" s="46" t="s">
        <v>457</v>
      </c>
      <c r="J6" s="203" t="s">
        <v>1663</v>
      </c>
      <c r="K6" s="41" t="s">
        <v>862</v>
      </c>
      <c r="L6" s="216" t="s">
        <v>1675</v>
      </c>
      <c r="M6" s="231" t="s">
        <v>1676</v>
      </c>
      <c r="N6" s="232">
        <v>45553</v>
      </c>
      <c r="O6" s="232">
        <v>45555</v>
      </c>
      <c r="P6" s="41" t="s">
        <v>294</v>
      </c>
      <c r="Q6" s="203" t="s">
        <v>1663</v>
      </c>
      <c r="R6" s="203" t="s">
        <v>1666</v>
      </c>
      <c r="S6" s="206">
        <v>45555</v>
      </c>
      <c r="T6" s="203" t="s">
        <v>291</v>
      </c>
      <c r="U6" s="203" t="s">
        <v>291</v>
      </c>
      <c r="V6" s="203" t="s">
        <v>291</v>
      </c>
      <c r="W6" s="203" t="s">
        <v>289</v>
      </c>
      <c r="X6" s="58"/>
    </row>
    <row r="7" spans="1:24" ht="31.5" customHeight="1">
      <c r="A7" s="228">
        <v>6</v>
      </c>
      <c r="B7" s="18" t="s">
        <v>1654</v>
      </c>
      <c r="C7" s="12" t="s">
        <v>862</v>
      </c>
      <c r="D7" s="61" t="s">
        <v>1677</v>
      </c>
      <c r="E7" s="353" t="s">
        <v>1678</v>
      </c>
      <c r="F7" s="17">
        <v>1</v>
      </c>
      <c r="G7" s="17">
        <v>1</v>
      </c>
      <c r="H7" s="77" t="s">
        <v>290</v>
      </c>
      <c r="I7" s="46" t="s">
        <v>862</v>
      </c>
      <c r="J7" s="58"/>
      <c r="K7" s="19"/>
      <c r="L7" s="216"/>
      <c r="M7" s="39"/>
      <c r="N7" s="19"/>
      <c r="O7" s="19"/>
      <c r="P7" s="19"/>
      <c r="Q7" s="58"/>
      <c r="R7" s="58"/>
      <c r="S7" s="58"/>
      <c r="T7" s="58"/>
      <c r="U7" s="58"/>
      <c r="V7" s="58"/>
      <c r="W7" s="203" t="s">
        <v>289</v>
      </c>
      <c r="X7" s="216" t="s">
        <v>1679</v>
      </c>
    </row>
    <row r="8" spans="1:24" ht="30.75" customHeight="1">
      <c r="A8" s="228">
        <v>7</v>
      </c>
      <c r="B8" s="18" t="s">
        <v>1654</v>
      </c>
      <c r="C8" s="12" t="s">
        <v>862</v>
      </c>
      <c r="D8" s="61" t="s">
        <v>1680</v>
      </c>
      <c r="E8" s="225" t="s">
        <v>1681</v>
      </c>
      <c r="F8" s="17">
        <v>3</v>
      </c>
      <c r="G8" s="17">
        <v>3</v>
      </c>
      <c r="H8" s="77" t="s">
        <v>290</v>
      </c>
      <c r="I8" s="46" t="s">
        <v>457</v>
      </c>
      <c r="J8" s="58" t="s">
        <v>1663</v>
      </c>
      <c r="K8" s="19" t="s">
        <v>294</v>
      </c>
      <c r="L8" s="216" t="s">
        <v>1663</v>
      </c>
      <c r="M8" s="231" t="s">
        <v>1682</v>
      </c>
      <c r="N8" s="254">
        <v>45559</v>
      </c>
      <c r="O8" s="254">
        <v>45559</v>
      </c>
      <c r="P8" s="19" t="s">
        <v>1463</v>
      </c>
      <c r="Q8" s="58" t="s">
        <v>1663</v>
      </c>
      <c r="R8" s="58" t="s">
        <v>1666</v>
      </c>
      <c r="S8" s="93">
        <v>45559</v>
      </c>
      <c r="T8" s="58" t="s">
        <v>291</v>
      </c>
      <c r="U8" s="58" t="s">
        <v>291</v>
      </c>
      <c r="V8" s="58" t="s">
        <v>291</v>
      </c>
      <c r="W8" s="203" t="s">
        <v>289</v>
      </c>
      <c r="X8" s="58"/>
    </row>
    <row r="9" spans="1:24">
      <c r="B9" s="28"/>
      <c r="C9" s="196"/>
      <c r="D9" s="47"/>
      <c r="E9" s="28"/>
      <c r="F9" s="215"/>
      <c r="G9" s="215"/>
      <c r="H9" s="2"/>
      <c r="I9" s="35"/>
      <c r="K9" s="35"/>
      <c r="M9" s="35"/>
      <c r="N9" s="35"/>
      <c r="O9" s="35"/>
      <c r="P9" s="35"/>
    </row>
    <row r="10" spans="1:24">
      <c r="B10" s="28"/>
      <c r="C10" s="196"/>
      <c r="D10" s="47"/>
      <c r="E10" s="28"/>
      <c r="F10" s="215"/>
      <c r="G10" s="215"/>
      <c r="H10" s="2"/>
      <c r="I10" s="35"/>
      <c r="K10" s="35"/>
      <c r="M10" s="35"/>
      <c r="N10" s="35"/>
      <c r="O10" s="35"/>
      <c r="P10" s="35"/>
    </row>
    <row r="11" spans="1:24">
      <c r="B11" s="28"/>
      <c r="C11" s="196"/>
      <c r="D11" s="47"/>
      <c r="E11" s="28"/>
      <c r="F11" s="215"/>
      <c r="G11" s="215"/>
      <c r="H11" s="2"/>
      <c r="I11" s="35"/>
      <c r="K11" s="35"/>
      <c r="M11" s="35"/>
      <c r="N11" s="35"/>
      <c r="O11" s="35"/>
      <c r="P11" s="35"/>
    </row>
    <row r="12" spans="1:24">
      <c r="B12" s="28"/>
      <c r="C12" s="196"/>
      <c r="D12" s="47"/>
      <c r="E12" s="28"/>
      <c r="F12" s="215"/>
      <c r="G12" s="215"/>
      <c r="H12" s="2"/>
      <c r="I12" s="35"/>
      <c r="K12" s="35"/>
      <c r="M12" s="35"/>
      <c r="N12" s="35"/>
      <c r="O12" s="35"/>
      <c r="P12" s="35"/>
    </row>
    <row r="13" spans="1:24">
      <c r="B13" s="28"/>
      <c r="C13" s="196"/>
      <c r="D13" s="47"/>
      <c r="E13" s="28"/>
      <c r="F13" s="215"/>
      <c r="G13" s="215"/>
      <c r="H13" s="2"/>
      <c r="I13" s="35"/>
      <c r="K13" s="35"/>
      <c r="M13" s="35"/>
      <c r="N13" s="35"/>
      <c r="O13" s="35"/>
      <c r="P13" s="35"/>
    </row>
    <row r="14" spans="1:24">
      <c r="B14" s="28"/>
      <c r="C14" s="196"/>
      <c r="D14" s="47"/>
      <c r="E14" s="28"/>
      <c r="F14" s="215"/>
      <c r="G14" s="215"/>
      <c r="H14" s="2"/>
      <c r="I14" s="35"/>
      <c r="K14" s="35"/>
      <c r="M14" s="35"/>
      <c r="N14" s="35"/>
      <c r="O14" s="35"/>
      <c r="P14" s="35"/>
    </row>
    <row r="15" spans="1:24">
      <c r="B15" s="28"/>
      <c r="C15" s="196"/>
      <c r="D15" s="47"/>
      <c r="E15" s="28"/>
      <c r="F15" s="215"/>
      <c r="G15" s="215"/>
      <c r="H15" s="2"/>
      <c r="I15" s="35"/>
      <c r="K15" s="35"/>
      <c r="M15" s="35"/>
      <c r="N15" s="35"/>
      <c r="O15" s="35"/>
      <c r="P15" s="35"/>
    </row>
    <row r="16" spans="1:24">
      <c r="B16" s="28"/>
      <c r="C16" s="196"/>
      <c r="D16" s="47"/>
      <c r="E16" s="28"/>
      <c r="F16" s="215"/>
      <c r="G16" s="215"/>
      <c r="H16" s="2"/>
      <c r="I16" s="35"/>
      <c r="K16" s="35"/>
      <c r="M16" s="35"/>
      <c r="N16" s="35"/>
      <c r="O16" s="35"/>
      <c r="P16" s="35"/>
    </row>
    <row r="17" spans="2:16">
      <c r="B17" s="28"/>
      <c r="C17" s="196"/>
      <c r="D17" s="47"/>
      <c r="E17" s="28"/>
      <c r="F17" s="215"/>
      <c r="G17" s="215"/>
      <c r="H17" s="2"/>
      <c r="I17" s="35"/>
      <c r="K17" s="35"/>
      <c r="M17" s="35"/>
      <c r="N17" s="35"/>
      <c r="O17" s="35"/>
      <c r="P17" s="35"/>
    </row>
    <row r="18" spans="2:16">
      <c r="B18" s="28"/>
      <c r="C18" s="196"/>
      <c r="D18" s="47"/>
      <c r="E18" s="28"/>
      <c r="F18" s="215"/>
      <c r="G18" s="215"/>
      <c r="H18" s="2"/>
      <c r="I18" s="35"/>
      <c r="K18" s="35"/>
      <c r="M18" s="35"/>
      <c r="N18" s="35"/>
      <c r="O18" s="35"/>
      <c r="P18" s="35"/>
    </row>
    <row r="19" spans="2:16">
      <c r="B19" s="28"/>
      <c r="C19" s="196"/>
      <c r="D19" s="47"/>
      <c r="E19" s="28"/>
      <c r="F19" s="215"/>
      <c r="G19" s="215"/>
      <c r="H19" s="2"/>
      <c r="I19" s="35"/>
      <c r="K19" s="35"/>
      <c r="M19" s="35"/>
      <c r="N19" s="35"/>
      <c r="O19" s="35"/>
      <c r="P19" s="35"/>
    </row>
    <row r="20" spans="2:16">
      <c r="B20" s="28"/>
      <c r="C20" s="196"/>
      <c r="D20" s="47"/>
      <c r="E20" s="28"/>
      <c r="F20" s="215"/>
      <c r="G20" s="215"/>
      <c r="H20" s="2"/>
      <c r="I20" s="35"/>
      <c r="K20" s="35"/>
      <c r="M20" s="35"/>
      <c r="N20" s="35"/>
      <c r="O20" s="35"/>
      <c r="P20" s="35"/>
    </row>
    <row r="21" spans="2:16">
      <c r="B21" s="28"/>
      <c r="C21" s="196"/>
      <c r="D21" s="47"/>
      <c r="E21" s="28"/>
      <c r="F21" s="215"/>
      <c r="G21" s="215"/>
      <c r="H21" s="2"/>
      <c r="I21" s="35"/>
      <c r="K21" s="35"/>
      <c r="M21" s="35"/>
      <c r="N21" s="35"/>
      <c r="O21" s="35"/>
      <c r="P21" s="35"/>
    </row>
    <row r="22" spans="2:16">
      <c r="B22" s="28"/>
      <c r="C22" s="196"/>
      <c r="D22" s="47"/>
      <c r="E22" s="28"/>
      <c r="F22" s="215"/>
      <c r="G22" s="215"/>
      <c r="H22" s="2"/>
      <c r="I22" s="35"/>
      <c r="K22" s="35"/>
      <c r="M22" s="35"/>
      <c r="N22" s="35"/>
      <c r="O22" s="35"/>
      <c r="P22" s="35"/>
    </row>
    <row r="23" spans="2:16">
      <c r="B23" s="28"/>
      <c r="C23" s="196"/>
      <c r="D23" s="47"/>
      <c r="E23" s="28"/>
      <c r="F23" s="215"/>
      <c r="G23" s="215"/>
      <c r="H23" s="2"/>
      <c r="I23" s="35"/>
      <c r="K23" s="35"/>
      <c r="M23" s="35"/>
      <c r="N23" s="35"/>
      <c r="O23" s="35"/>
      <c r="P23" s="35"/>
    </row>
    <row r="24" spans="2:16">
      <c r="B24" s="28"/>
      <c r="C24" s="196"/>
      <c r="D24" s="47"/>
      <c r="E24" s="28"/>
      <c r="F24" s="215"/>
      <c r="G24" s="215"/>
      <c r="H24" s="2"/>
      <c r="I24" s="35"/>
      <c r="K24" s="35"/>
      <c r="M24" s="35"/>
      <c r="N24" s="35"/>
      <c r="O24" s="35"/>
      <c r="P24" s="35"/>
    </row>
    <row r="25" spans="2:16">
      <c r="B25" s="28"/>
      <c r="C25" s="196"/>
      <c r="D25" s="47"/>
      <c r="E25" s="28"/>
      <c r="F25" s="215"/>
      <c r="G25" s="215"/>
      <c r="H25" s="2"/>
      <c r="I25" s="35"/>
      <c r="K25" s="35"/>
      <c r="M25" s="35"/>
      <c r="N25" s="35"/>
      <c r="O25" s="35"/>
      <c r="P25" s="35"/>
    </row>
    <row r="26" spans="2:16">
      <c r="B26" s="28"/>
      <c r="C26" s="196"/>
      <c r="D26" s="47"/>
      <c r="E26" s="28"/>
      <c r="F26" s="215"/>
      <c r="G26" s="215"/>
      <c r="H26" s="2"/>
      <c r="I26" s="35"/>
      <c r="K26" s="35"/>
      <c r="M26" s="35"/>
      <c r="N26" s="35"/>
      <c r="O26" s="35"/>
      <c r="P26" s="35"/>
    </row>
    <row r="27" spans="2:16">
      <c r="B27" s="28"/>
      <c r="C27" s="196"/>
      <c r="D27" s="47"/>
      <c r="E27" s="28"/>
      <c r="F27" s="215"/>
      <c r="G27" s="215"/>
      <c r="H27" s="2"/>
      <c r="I27" s="35"/>
      <c r="K27" s="35"/>
      <c r="M27" s="35"/>
      <c r="N27" s="35"/>
      <c r="O27" s="35"/>
      <c r="P27" s="35"/>
    </row>
    <row r="28" spans="2:16">
      <c r="B28" s="28"/>
      <c r="C28" s="196"/>
      <c r="D28" s="47"/>
      <c r="E28" s="28"/>
      <c r="F28" s="215"/>
      <c r="G28" s="215"/>
      <c r="H28" s="2"/>
      <c r="I28" s="35"/>
      <c r="K28" s="35"/>
      <c r="M28" s="35"/>
      <c r="N28" s="35"/>
      <c r="O28" s="35"/>
      <c r="P28" s="35"/>
    </row>
    <row r="29" spans="2:16">
      <c r="B29" s="28"/>
      <c r="C29" s="196"/>
      <c r="D29" s="47"/>
      <c r="E29" s="28"/>
      <c r="F29" s="215"/>
      <c r="G29" s="215"/>
      <c r="H29" s="2"/>
      <c r="I29" s="35"/>
      <c r="K29" s="35"/>
      <c r="M29" s="35"/>
      <c r="N29" s="35"/>
      <c r="O29" s="35"/>
      <c r="P29" s="35"/>
    </row>
    <row r="30" spans="2:16">
      <c r="B30" s="28"/>
      <c r="C30" s="196"/>
      <c r="D30" s="47"/>
      <c r="E30" s="28"/>
      <c r="F30" s="215"/>
      <c r="G30" s="215"/>
      <c r="H30" s="2"/>
      <c r="I30" s="35"/>
      <c r="K30" s="35"/>
      <c r="M30" s="35"/>
      <c r="N30" s="35"/>
      <c r="O30" s="35"/>
      <c r="P30" s="35"/>
    </row>
    <row r="31" spans="2:16">
      <c r="B31" s="28"/>
      <c r="C31" s="196"/>
      <c r="D31" s="47"/>
      <c r="E31" s="28"/>
      <c r="F31" s="215"/>
      <c r="G31" s="215"/>
      <c r="H31" s="2"/>
      <c r="I31" s="35"/>
      <c r="K31" s="35"/>
      <c r="M31" s="35"/>
      <c r="N31" s="35"/>
      <c r="O31" s="35"/>
      <c r="P31" s="35"/>
    </row>
    <row r="32" spans="2:16">
      <c r="B32" s="28"/>
      <c r="C32" s="196"/>
      <c r="D32" s="47"/>
      <c r="E32" s="28"/>
      <c r="F32" s="215"/>
      <c r="G32" s="215"/>
      <c r="H32" s="2"/>
      <c r="I32" s="35"/>
      <c r="K32" s="35"/>
      <c r="M32" s="35"/>
      <c r="N32" s="35"/>
      <c r="O32" s="35"/>
      <c r="P32" s="35"/>
    </row>
    <row r="33" spans="2:16">
      <c r="B33" s="28"/>
      <c r="C33" s="196"/>
      <c r="D33" s="47"/>
      <c r="E33" s="28"/>
      <c r="F33" s="215"/>
      <c r="G33" s="215"/>
      <c r="H33" s="2"/>
      <c r="I33" s="35"/>
      <c r="K33" s="35"/>
      <c r="M33" s="35"/>
      <c r="N33" s="35"/>
      <c r="O33" s="35"/>
      <c r="P33" s="35"/>
    </row>
    <row r="34" spans="2:16">
      <c r="B34" s="28"/>
      <c r="C34" s="196"/>
      <c r="D34" s="47"/>
      <c r="E34" s="28"/>
      <c r="F34" s="215"/>
      <c r="G34" s="215"/>
      <c r="H34" s="2"/>
      <c r="I34" s="35"/>
      <c r="K34" s="35"/>
      <c r="M34" s="35"/>
      <c r="N34" s="35"/>
      <c r="O34" s="35"/>
      <c r="P34" s="35"/>
    </row>
    <row r="35" spans="2:16">
      <c r="B35" s="28"/>
      <c r="C35" s="196"/>
      <c r="D35" s="47"/>
      <c r="E35" s="28"/>
      <c r="F35" s="215"/>
      <c r="G35" s="215"/>
      <c r="H35" s="2"/>
      <c r="I35" s="35"/>
      <c r="K35" s="35"/>
      <c r="M35" s="35"/>
      <c r="N35" s="35"/>
      <c r="O35" s="35"/>
      <c r="P35" s="35"/>
    </row>
    <row r="36" spans="2:16">
      <c r="B36" s="28"/>
      <c r="C36" s="196"/>
      <c r="D36" s="47"/>
      <c r="E36" s="28"/>
      <c r="F36" s="215"/>
      <c r="G36" s="215"/>
      <c r="H36" s="2"/>
      <c r="I36" s="35"/>
      <c r="K36" s="35"/>
      <c r="M36" s="35"/>
      <c r="N36" s="35"/>
      <c r="O36" s="35"/>
      <c r="P36" s="35"/>
    </row>
    <row r="37" spans="2:16">
      <c r="B37" s="28"/>
      <c r="C37" s="196"/>
      <c r="D37" s="47"/>
      <c r="E37" s="28"/>
      <c r="F37" s="215"/>
      <c r="G37" s="215"/>
      <c r="H37" s="2"/>
      <c r="I37" s="35"/>
      <c r="K37" s="35"/>
      <c r="M37" s="35"/>
      <c r="N37" s="35"/>
      <c r="O37" s="35"/>
      <c r="P37" s="35"/>
    </row>
    <row r="38" spans="2:16">
      <c r="B38" s="28"/>
      <c r="C38" s="196"/>
      <c r="D38" s="47"/>
      <c r="E38" s="28"/>
      <c r="F38" s="215"/>
      <c r="G38" s="215"/>
      <c r="H38" s="2"/>
      <c r="I38" s="35"/>
      <c r="K38" s="35"/>
      <c r="M38" s="35"/>
      <c r="N38" s="35"/>
      <c r="O38" s="35"/>
      <c r="P38" s="35"/>
    </row>
    <row r="39" spans="2:16">
      <c r="B39" s="28"/>
      <c r="C39" s="196"/>
      <c r="D39" s="47"/>
      <c r="E39" s="28"/>
      <c r="F39" s="215"/>
      <c r="G39" s="215"/>
      <c r="H39" s="2"/>
      <c r="I39" s="35"/>
      <c r="K39" s="35"/>
      <c r="M39" s="35"/>
      <c r="N39" s="35"/>
      <c r="O39" s="35"/>
      <c r="P39" s="35"/>
    </row>
    <row r="40" spans="2:16">
      <c r="B40" s="28"/>
      <c r="C40" s="196"/>
      <c r="D40" s="47"/>
      <c r="E40" s="28"/>
      <c r="F40" s="215"/>
      <c r="G40" s="215"/>
      <c r="H40" s="2"/>
      <c r="I40" s="35"/>
      <c r="K40" s="35"/>
      <c r="M40" s="35"/>
      <c r="N40" s="35"/>
      <c r="O40" s="35"/>
      <c r="P40" s="35"/>
    </row>
    <row r="41" spans="2:16">
      <c r="B41" s="28"/>
      <c r="C41" s="196"/>
      <c r="D41" s="47"/>
      <c r="E41" s="28"/>
      <c r="F41" s="215"/>
      <c r="G41" s="215"/>
      <c r="H41" s="2"/>
      <c r="I41" s="35"/>
      <c r="K41" s="35"/>
      <c r="M41" s="35"/>
      <c r="N41" s="35"/>
      <c r="O41" s="35"/>
      <c r="P41" s="35"/>
    </row>
    <row r="42" spans="2:16">
      <c r="B42" s="28"/>
      <c r="C42" s="196"/>
      <c r="D42" s="47"/>
      <c r="E42" s="28"/>
      <c r="F42" s="215"/>
      <c r="G42" s="215"/>
      <c r="H42" s="2"/>
      <c r="I42" s="35"/>
      <c r="K42" s="35"/>
      <c r="M42" s="35"/>
      <c r="N42" s="35"/>
      <c r="O42" s="35"/>
      <c r="P42" s="35"/>
    </row>
    <row r="43" spans="2:16">
      <c r="B43" s="28"/>
      <c r="C43" s="196"/>
      <c r="D43" s="47"/>
      <c r="E43" s="28"/>
      <c r="F43" s="215"/>
      <c r="G43" s="215"/>
      <c r="H43" s="2"/>
      <c r="I43" s="35"/>
      <c r="K43" s="35"/>
      <c r="M43" s="35"/>
      <c r="N43" s="35"/>
      <c r="O43" s="35"/>
      <c r="P43" s="35"/>
    </row>
    <row r="44" spans="2:16">
      <c r="B44" s="28"/>
      <c r="C44" s="196"/>
      <c r="D44" s="47"/>
      <c r="E44" s="28"/>
      <c r="F44" s="215"/>
      <c r="G44" s="215"/>
      <c r="H44" s="2"/>
      <c r="I44" s="35"/>
      <c r="K44" s="35"/>
      <c r="M44" s="35"/>
      <c r="N44" s="35"/>
      <c r="O44" s="35"/>
      <c r="P44" s="35"/>
    </row>
    <row r="45" spans="2:16">
      <c r="B45" s="28"/>
      <c r="C45" s="196"/>
      <c r="D45" s="47"/>
      <c r="E45" s="28"/>
      <c r="F45" s="215"/>
      <c r="G45" s="215"/>
      <c r="H45" s="2"/>
      <c r="I45" s="35"/>
      <c r="K45" s="35"/>
      <c r="M45" s="35"/>
      <c r="N45" s="35"/>
      <c r="O45" s="35"/>
      <c r="P45" s="35"/>
    </row>
    <row r="46" spans="2:16">
      <c r="B46" s="28"/>
      <c r="C46" s="196"/>
      <c r="D46" s="47"/>
      <c r="E46" s="28"/>
      <c r="F46" s="215"/>
      <c r="G46" s="215"/>
      <c r="H46" s="2"/>
      <c r="I46" s="35"/>
      <c r="K46" s="35"/>
      <c r="M46" s="35"/>
      <c r="N46" s="35"/>
      <c r="O46" s="35"/>
      <c r="P46" s="35"/>
    </row>
    <row r="47" spans="2:16">
      <c r="B47" s="28"/>
      <c r="C47" s="196"/>
      <c r="D47" s="47"/>
      <c r="E47" s="28"/>
      <c r="F47" s="215"/>
      <c r="G47" s="215"/>
      <c r="H47" s="2"/>
      <c r="I47" s="35"/>
      <c r="K47" s="35"/>
      <c r="M47" s="35"/>
      <c r="N47" s="35"/>
      <c r="O47" s="35"/>
      <c r="P47" s="35"/>
    </row>
    <row r="48" spans="2:16">
      <c r="B48" s="28"/>
      <c r="C48" s="196"/>
      <c r="D48" s="47"/>
      <c r="E48" s="28"/>
      <c r="F48" s="215"/>
      <c r="G48" s="215"/>
      <c r="H48" s="2"/>
      <c r="I48" s="35"/>
      <c r="K48" s="35"/>
      <c r="M48" s="35"/>
      <c r="N48" s="35"/>
      <c r="O48" s="35"/>
      <c r="P48" s="35"/>
    </row>
    <row r="49" spans="2:16">
      <c r="B49" s="28"/>
      <c r="C49" s="196"/>
      <c r="D49" s="47"/>
      <c r="E49" s="28"/>
      <c r="F49" s="215"/>
      <c r="G49" s="215"/>
      <c r="H49" s="2"/>
      <c r="I49" s="35"/>
      <c r="K49" s="35"/>
      <c r="M49" s="35"/>
      <c r="N49" s="35"/>
      <c r="O49" s="35"/>
      <c r="P49" s="35"/>
    </row>
    <row r="50" spans="2:16">
      <c r="B50" s="28"/>
      <c r="C50" s="196"/>
      <c r="D50" s="47"/>
      <c r="E50" s="28"/>
      <c r="F50" s="215"/>
      <c r="G50" s="215"/>
      <c r="H50" s="2"/>
      <c r="I50" s="35"/>
      <c r="K50" s="35"/>
      <c r="M50" s="35"/>
      <c r="N50" s="35"/>
      <c r="O50" s="35"/>
      <c r="P50" s="35"/>
    </row>
    <row r="51" spans="2:16">
      <c r="B51" s="28"/>
      <c r="C51" s="196"/>
      <c r="D51" s="47"/>
      <c r="E51" s="28"/>
      <c r="F51" s="215"/>
      <c r="G51" s="215"/>
      <c r="H51" s="2"/>
      <c r="I51" s="35"/>
      <c r="K51" s="35"/>
      <c r="M51" s="35"/>
      <c r="N51" s="35"/>
      <c r="O51" s="35"/>
      <c r="P51" s="35"/>
    </row>
    <row r="52" spans="2:16">
      <c r="B52" s="28"/>
      <c r="C52" s="196"/>
      <c r="D52" s="47"/>
      <c r="E52" s="28"/>
      <c r="F52" s="215"/>
      <c r="G52" s="215"/>
      <c r="H52" s="2"/>
      <c r="I52" s="35"/>
      <c r="K52" s="35"/>
      <c r="M52" s="35"/>
      <c r="N52" s="35"/>
      <c r="O52" s="35"/>
      <c r="P52" s="35"/>
    </row>
    <row r="53" spans="2:16">
      <c r="B53" s="28"/>
      <c r="C53" s="196"/>
      <c r="D53" s="47"/>
      <c r="E53" s="28"/>
      <c r="F53" s="215"/>
      <c r="G53" s="215"/>
      <c r="H53" s="2"/>
      <c r="I53" s="35"/>
      <c r="K53" s="35"/>
      <c r="M53" s="35"/>
      <c r="N53" s="35"/>
      <c r="O53" s="35"/>
      <c r="P53" s="35"/>
    </row>
    <row r="54" spans="2:16">
      <c r="B54" s="28"/>
      <c r="C54" s="196"/>
      <c r="D54" s="47"/>
      <c r="E54" s="28"/>
      <c r="F54" s="215"/>
      <c r="G54" s="215"/>
      <c r="H54" s="2"/>
      <c r="I54" s="35"/>
      <c r="K54" s="35"/>
      <c r="M54" s="35"/>
      <c r="N54" s="35"/>
      <c r="O54" s="35"/>
      <c r="P54" s="35"/>
    </row>
    <row r="55" spans="2:16">
      <c r="B55" s="28"/>
      <c r="C55" s="196"/>
      <c r="D55" s="47"/>
      <c r="E55" s="28"/>
      <c r="F55" s="215"/>
      <c r="G55" s="215"/>
      <c r="H55" s="2"/>
      <c r="I55" s="35"/>
      <c r="K55" s="35"/>
      <c r="M55" s="35"/>
      <c r="N55" s="35"/>
      <c r="O55" s="35"/>
      <c r="P55" s="35"/>
    </row>
    <row r="56" spans="2:16">
      <c r="B56" s="28"/>
      <c r="C56" s="196"/>
      <c r="D56" s="47"/>
      <c r="E56" s="28"/>
      <c r="F56" s="215"/>
      <c r="G56" s="215"/>
      <c r="H56" s="2"/>
      <c r="I56" s="35"/>
      <c r="K56" s="35"/>
      <c r="M56" s="35"/>
      <c r="N56" s="35"/>
      <c r="O56" s="35"/>
      <c r="P56" s="35"/>
    </row>
    <row r="57" spans="2:16">
      <c r="B57" s="28"/>
      <c r="C57" s="196"/>
      <c r="D57" s="47"/>
      <c r="E57" s="28"/>
      <c r="F57" s="215"/>
      <c r="G57" s="215"/>
      <c r="H57" s="2"/>
      <c r="I57" s="35"/>
      <c r="K57" s="35"/>
      <c r="M57" s="35"/>
      <c r="N57" s="35"/>
      <c r="O57" s="35"/>
      <c r="P57" s="35"/>
    </row>
    <row r="58" spans="2:16">
      <c r="B58" s="28"/>
      <c r="C58" s="196"/>
      <c r="D58" s="47"/>
      <c r="E58" s="28"/>
      <c r="F58" s="215"/>
      <c r="G58" s="215"/>
      <c r="H58" s="2"/>
      <c r="I58" s="35"/>
      <c r="K58" s="35"/>
      <c r="M58" s="35"/>
      <c r="N58" s="35"/>
      <c r="O58" s="35"/>
      <c r="P58" s="35"/>
    </row>
    <row r="59" spans="2:16">
      <c r="B59" s="28"/>
      <c r="C59" s="196"/>
      <c r="D59" s="47"/>
      <c r="E59" s="28"/>
      <c r="F59" s="215"/>
      <c r="G59" s="215"/>
      <c r="H59" s="2"/>
      <c r="I59" s="35"/>
      <c r="K59" s="35"/>
      <c r="M59" s="35"/>
      <c r="N59" s="35"/>
      <c r="O59" s="35"/>
      <c r="P59" s="35"/>
    </row>
    <row r="60" spans="2:16">
      <c r="B60" s="28"/>
      <c r="C60" s="196"/>
      <c r="D60" s="47"/>
      <c r="E60" s="28"/>
      <c r="F60" s="215"/>
      <c r="G60" s="215"/>
      <c r="H60" s="2"/>
      <c r="I60" s="35"/>
      <c r="K60" s="35"/>
      <c r="M60" s="35"/>
      <c r="N60" s="35"/>
      <c r="O60" s="35"/>
      <c r="P60" s="35"/>
    </row>
    <row r="61" spans="2:16">
      <c r="B61" s="28"/>
      <c r="C61" s="196"/>
      <c r="D61" s="47"/>
      <c r="E61" s="28"/>
      <c r="F61" s="215"/>
      <c r="G61" s="215"/>
      <c r="H61" s="2"/>
      <c r="I61" s="35"/>
      <c r="K61" s="35"/>
      <c r="M61" s="35"/>
      <c r="N61" s="35"/>
      <c r="O61" s="35"/>
      <c r="P61" s="35"/>
    </row>
    <row r="62" spans="2:16">
      <c r="B62" s="28"/>
      <c r="C62" s="196"/>
      <c r="D62" s="47"/>
      <c r="E62" s="28"/>
      <c r="F62" s="215"/>
      <c r="G62" s="215"/>
      <c r="H62" s="2"/>
      <c r="I62" s="35"/>
      <c r="K62" s="35"/>
      <c r="M62" s="35"/>
      <c r="N62" s="35"/>
      <c r="O62" s="35"/>
      <c r="P62" s="35"/>
    </row>
    <row r="63" spans="2:16">
      <c r="B63" s="28"/>
      <c r="C63" s="196"/>
      <c r="D63" s="47"/>
      <c r="E63" s="28"/>
      <c r="F63" s="215"/>
      <c r="G63" s="215"/>
      <c r="H63" s="2"/>
      <c r="I63" s="35"/>
      <c r="K63" s="35"/>
      <c r="M63" s="35"/>
      <c r="N63" s="35"/>
      <c r="O63" s="35"/>
      <c r="P63" s="35"/>
    </row>
    <row r="64" spans="2:16">
      <c r="B64" s="28"/>
      <c r="C64" s="196"/>
      <c r="D64" s="47"/>
      <c r="E64" s="28"/>
      <c r="F64" s="215"/>
      <c r="G64" s="215"/>
      <c r="H64" s="2"/>
      <c r="I64" s="35"/>
      <c r="K64" s="35"/>
      <c r="M64" s="35"/>
      <c r="N64" s="35"/>
      <c r="O64" s="35"/>
      <c r="P64" s="35"/>
    </row>
    <row r="65" spans="2:16">
      <c r="B65" s="28"/>
      <c r="C65" s="196"/>
      <c r="D65" s="47"/>
      <c r="E65" s="28"/>
      <c r="F65" s="215"/>
      <c r="G65" s="215"/>
      <c r="H65" s="2"/>
      <c r="I65" s="35"/>
      <c r="K65" s="35"/>
      <c r="M65" s="35"/>
      <c r="N65" s="35"/>
      <c r="O65" s="35"/>
      <c r="P65" s="35"/>
    </row>
    <row r="66" spans="2:16">
      <c r="B66" s="28"/>
      <c r="C66" s="196"/>
      <c r="D66" s="47"/>
      <c r="E66" s="28"/>
      <c r="F66" s="215"/>
      <c r="G66" s="215"/>
      <c r="H66" s="2"/>
      <c r="I66" s="35"/>
      <c r="K66" s="35"/>
      <c r="M66" s="35"/>
      <c r="N66" s="35"/>
      <c r="O66" s="35"/>
      <c r="P66" s="35"/>
    </row>
    <row r="67" spans="2:16">
      <c r="B67" s="28"/>
      <c r="C67" s="196"/>
      <c r="D67" s="47"/>
      <c r="E67" s="28"/>
      <c r="F67" s="215"/>
      <c r="G67" s="215"/>
      <c r="H67" s="2"/>
      <c r="I67" s="35"/>
      <c r="K67" s="35"/>
      <c r="M67" s="35"/>
      <c r="N67" s="35"/>
      <c r="O67" s="35"/>
      <c r="P67" s="35"/>
    </row>
    <row r="68" spans="2:16">
      <c r="B68" s="28"/>
      <c r="C68" s="196"/>
      <c r="D68" s="47"/>
      <c r="E68" s="28"/>
      <c r="F68" s="215"/>
      <c r="G68" s="215"/>
      <c r="H68" s="2"/>
      <c r="I68" s="35"/>
      <c r="K68" s="35"/>
      <c r="M68" s="35"/>
      <c r="N68" s="35"/>
      <c r="O68" s="35"/>
      <c r="P68" s="35"/>
    </row>
    <row r="69" spans="2:16">
      <c r="B69" s="28"/>
      <c r="C69" s="196"/>
      <c r="D69" s="47"/>
      <c r="E69" s="28"/>
      <c r="F69" s="215"/>
      <c r="G69" s="215"/>
      <c r="H69" s="2"/>
      <c r="I69" s="35"/>
      <c r="K69" s="35"/>
      <c r="M69" s="35"/>
      <c r="N69" s="35"/>
      <c r="O69" s="35"/>
      <c r="P69" s="35"/>
    </row>
    <row r="70" spans="2:16">
      <c r="B70" s="28"/>
      <c r="C70" s="196"/>
      <c r="D70" s="47"/>
      <c r="E70" s="28"/>
      <c r="F70" s="215"/>
      <c r="G70" s="215"/>
      <c r="H70" s="2"/>
      <c r="I70" s="35"/>
      <c r="K70" s="35"/>
      <c r="M70" s="35"/>
      <c r="N70" s="35"/>
      <c r="O70" s="35"/>
      <c r="P70" s="35"/>
    </row>
    <row r="71" spans="2:16">
      <c r="B71" s="28"/>
      <c r="C71" s="196"/>
      <c r="D71" s="47"/>
      <c r="E71" s="28"/>
      <c r="F71" s="215"/>
      <c r="G71" s="215"/>
      <c r="H71" s="2"/>
      <c r="I71" s="107"/>
      <c r="K71" s="35"/>
      <c r="M71" s="35"/>
      <c r="N71" s="35"/>
      <c r="O71" s="35"/>
      <c r="P71" s="35"/>
    </row>
    <row r="72" spans="2:16">
      <c r="B72" s="28"/>
      <c r="C72" s="196"/>
      <c r="D72" s="47"/>
      <c r="E72" s="28"/>
      <c r="F72" s="215"/>
      <c r="G72" s="215"/>
      <c r="H72" s="2"/>
      <c r="I72" s="19"/>
      <c r="K72" s="35"/>
      <c r="M72" s="35"/>
      <c r="N72" s="35"/>
      <c r="O72" s="35"/>
      <c r="P72" s="35"/>
    </row>
    <row r="73" spans="2:16">
      <c r="B73" s="28"/>
      <c r="C73" s="196"/>
      <c r="D73" s="47"/>
      <c r="E73" s="28"/>
      <c r="F73" s="215"/>
      <c r="G73" s="215"/>
      <c r="H73" s="2"/>
      <c r="I73" s="19"/>
      <c r="K73" s="35"/>
      <c r="M73" s="35"/>
      <c r="N73" s="35"/>
      <c r="O73" s="35"/>
      <c r="P73" s="35"/>
    </row>
    <row r="74" spans="2:16">
      <c r="B74" s="28"/>
      <c r="C74" s="196"/>
      <c r="D74" s="47"/>
      <c r="E74" s="28"/>
      <c r="F74" s="215"/>
      <c r="G74" s="215"/>
      <c r="H74" s="2"/>
      <c r="I74" s="19"/>
      <c r="K74" s="35"/>
      <c r="M74" s="35"/>
      <c r="N74" s="35"/>
      <c r="O74" s="35"/>
      <c r="P74" s="35"/>
    </row>
    <row r="75" spans="2:16">
      <c r="B75" s="28"/>
      <c r="C75" s="196"/>
      <c r="D75" s="47"/>
      <c r="E75" s="28"/>
      <c r="F75" s="215"/>
      <c r="G75" s="215"/>
      <c r="H75" s="2"/>
      <c r="I75" s="19"/>
      <c r="K75" s="35"/>
      <c r="M75" s="35"/>
      <c r="N75" s="35"/>
      <c r="O75" s="35"/>
      <c r="P75" s="35"/>
    </row>
    <row r="76" spans="2:16">
      <c r="B76" s="28"/>
      <c r="C76" s="196"/>
      <c r="D76" s="47"/>
      <c r="E76" s="28"/>
      <c r="F76" s="215"/>
      <c r="G76" s="215"/>
      <c r="H76" s="2"/>
      <c r="I76" s="19"/>
      <c r="K76" s="35"/>
      <c r="M76" s="35"/>
      <c r="N76" s="35"/>
      <c r="O76" s="35"/>
      <c r="P76" s="35"/>
    </row>
    <row r="77" spans="2:16">
      <c r="B77" s="28"/>
      <c r="C77" s="196"/>
      <c r="D77" s="47"/>
      <c r="E77" s="28"/>
      <c r="F77" s="215"/>
      <c r="G77" s="215"/>
      <c r="H77" s="2"/>
      <c r="I77" s="19"/>
      <c r="K77" s="35"/>
      <c r="M77" s="35"/>
      <c r="N77" s="35"/>
      <c r="O77" s="35"/>
      <c r="P77" s="35"/>
    </row>
    <row r="78" spans="2:16">
      <c r="B78" s="28"/>
      <c r="C78" s="196"/>
      <c r="D78" s="47"/>
      <c r="E78" s="28"/>
      <c r="F78" s="215"/>
      <c r="G78" s="215"/>
      <c r="H78" s="2"/>
      <c r="I78" s="19"/>
      <c r="K78" s="35"/>
      <c r="M78" s="35"/>
      <c r="N78" s="35"/>
      <c r="O78" s="35"/>
      <c r="P78" s="35"/>
    </row>
    <row r="79" spans="2:16">
      <c r="B79" s="28"/>
      <c r="C79" s="196"/>
      <c r="D79" s="47"/>
      <c r="E79" s="28"/>
      <c r="F79" s="215"/>
      <c r="G79" s="215"/>
      <c r="H79" s="2"/>
      <c r="I79" s="19"/>
      <c r="K79" s="35"/>
      <c r="M79" s="35"/>
      <c r="N79" s="35"/>
      <c r="O79" s="35"/>
      <c r="P79" s="35"/>
    </row>
    <row r="80" spans="2:16">
      <c r="B80" s="28"/>
      <c r="C80" s="196"/>
      <c r="D80" s="47"/>
      <c r="E80" s="28"/>
      <c r="F80" s="215"/>
      <c r="G80" s="215"/>
      <c r="H80" s="2"/>
      <c r="I80" s="19"/>
      <c r="K80" s="35"/>
      <c r="M80" s="35"/>
      <c r="N80" s="35"/>
      <c r="O80" s="35"/>
      <c r="P80" s="35"/>
    </row>
    <row r="81" spans="2:16">
      <c r="B81" s="28"/>
      <c r="C81" s="196"/>
      <c r="D81" s="47"/>
      <c r="E81" s="28"/>
      <c r="F81" s="215"/>
      <c r="G81" s="215"/>
      <c r="H81" s="2"/>
      <c r="I81" s="19"/>
      <c r="K81" s="35"/>
      <c r="M81" s="35"/>
      <c r="N81" s="35"/>
      <c r="O81" s="35"/>
      <c r="P81" s="35"/>
    </row>
    <row r="82" spans="2:16">
      <c r="B82" s="28"/>
      <c r="C82" s="196"/>
      <c r="D82" s="47"/>
      <c r="E82" s="28"/>
      <c r="F82" s="215"/>
      <c r="G82" s="215"/>
      <c r="H82" s="2"/>
      <c r="I82" s="19"/>
      <c r="K82" s="35"/>
      <c r="M82" s="35"/>
      <c r="N82" s="35"/>
      <c r="O82" s="35"/>
      <c r="P82" s="35"/>
    </row>
    <row r="83" spans="2:16">
      <c r="B83" s="28"/>
      <c r="C83" s="196"/>
      <c r="D83" s="47"/>
      <c r="E83" s="28"/>
      <c r="F83" s="215"/>
      <c r="G83" s="215"/>
      <c r="H83" s="2"/>
      <c r="I83" s="19"/>
      <c r="K83" s="35"/>
      <c r="M83" s="35"/>
      <c r="N83" s="35"/>
      <c r="O83" s="35"/>
      <c r="P83" s="35"/>
    </row>
    <row r="84" spans="2:16">
      <c r="B84" s="28"/>
      <c r="C84" s="196"/>
      <c r="D84" s="47"/>
      <c r="E84" s="28"/>
      <c r="F84" s="215"/>
      <c r="G84" s="215"/>
      <c r="H84" s="2"/>
      <c r="I84" s="19"/>
      <c r="K84" s="35"/>
      <c r="M84" s="35"/>
      <c r="N84" s="35"/>
      <c r="O84" s="35"/>
      <c r="P84" s="35"/>
    </row>
    <row r="85" spans="2:16">
      <c r="B85" s="28"/>
      <c r="C85" s="196"/>
      <c r="D85" s="47"/>
      <c r="E85" s="28"/>
      <c r="F85" s="215"/>
      <c r="G85" s="215"/>
      <c r="H85" s="2"/>
      <c r="I85" s="19"/>
      <c r="K85" s="35"/>
      <c r="M85" s="35"/>
      <c r="N85" s="35"/>
      <c r="O85" s="35"/>
      <c r="P85" s="35"/>
    </row>
    <row r="86" spans="2:16">
      <c r="B86" s="28"/>
      <c r="C86" s="196"/>
      <c r="D86" s="47"/>
      <c r="E86" s="28"/>
      <c r="F86" s="215"/>
      <c r="G86" s="215"/>
      <c r="H86" s="2"/>
      <c r="I86" s="19"/>
      <c r="K86" s="35"/>
      <c r="M86" s="35"/>
      <c r="N86" s="35"/>
      <c r="O86" s="35"/>
      <c r="P86" s="35"/>
    </row>
    <row r="87" spans="2:16">
      <c r="B87" s="28"/>
      <c r="C87" s="196"/>
      <c r="D87" s="47"/>
      <c r="E87" s="28"/>
      <c r="F87" s="215"/>
      <c r="G87" s="215"/>
      <c r="H87" s="2"/>
      <c r="I87" s="19"/>
      <c r="K87" s="35"/>
      <c r="M87" s="35"/>
      <c r="N87" s="35"/>
      <c r="O87" s="35"/>
      <c r="P87" s="35"/>
    </row>
    <row r="88" spans="2:16">
      <c r="B88" s="28"/>
      <c r="C88" s="196"/>
      <c r="D88" s="47"/>
      <c r="E88" s="28"/>
      <c r="F88" s="215"/>
      <c r="G88" s="215"/>
      <c r="H88" s="2"/>
      <c r="I88" s="19"/>
      <c r="K88" s="35"/>
      <c r="M88" s="35"/>
      <c r="N88" s="35"/>
      <c r="O88" s="35"/>
      <c r="P88" s="35"/>
    </row>
    <row r="89" spans="2:16">
      <c r="B89" s="28"/>
      <c r="C89" s="196"/>
      <c r="D89" s="47"/>
      <c r="E89" s="28"/>
      <c r="F89" s="215"/>
      <c r="G89" s="215"/>
      <c r="H89" s="2"/>
      <c r="I89" s="19"/>
      <c r="K89" s="35"/>
      <c r="M89" s="35"/>
      <c r="N89" s="35"/>
      <c r="O89" s="35"/>
      <c r="P89" s="35"/>
    </row>
    <row r="90" spans="2:16">
      <c r="B90" s="28"/>
      <c r="C90" s="196"/>
      <c r="D90" s="47"/>
      <c r="E90" s="28"/>
      <c r="F90" s="215"/>
      <c r="G90" s="215"/>
      <c r="H90" s="2"/>
      <c r="I90" s="19"/>
      <c r="K90" s="35"/>
      <c r="M90" s="35"/>
      <c r="N90" s="35"/>
      <c r="O90" s="35"/>
      <c r="P90" s="35"/>
    </row>
    <row r="91" spans="2:16">
      <c r="B91" s="28"/>
      <c r="C91" s="196"/>
      <c r="D91" s="47"/>
      <c r="E91" s="28"/>
      <c r="F91" s="215"/>
      <c r="G91" s="215"/>
      <c r="H91" s="2"/>
      <c r="I91" s="19"/>
      <c r="K91" s="35"/>
      <c r="M91" s="35"/>
      <c r="N91" s="35"/>
      <c r="O91" s="35"/>
      <c r="P91" s="35"/>
    </row>
    <row r="92" spans="2:16">
      <c r="B92" s="28"/>
      <c r="C92" s="196"/>
      <c r="D92" s="47"/>
      <c r="E92" s="28"/>
      <c r="F92" s="215"/>
      <c r="G92" s="215"/>
      <c r="H92" s="2"/>
      <c r="I92" s="19"/>
      <c r="K92" s="35"/>
      <c r="M92" s="35"/>
      <c r="N92" s="35"/>
      <c r="O92" s="35"/>
      <c r="P92" s="35"/>
    </row>
    <row r="93" spans="2:16">
      <c r="B93" s="28"/>
      <c r="C93" s="196"/>
      <c r="D93" s="47"/>
      <c r="E93" s="28"/>
      <c r="F93" s="215"/>
      <c r="G93" s="215"/>
      <c r="H93" s="2"/>
      <c r="I93" s="19"/>
      <c r="K93" s="35"/>
      <c r="M93" s="35"/>
      <c r="N93" s="35"/>
      <c r="O93" s="35"/>
      <c r="P93" s="35"/>
    </row>
    <row r="94" spans="2:16">
      <c r="B94" s="28"/>
      <c r="C94" s="196"/>
      <c r="D94" s="47"/>
      <c r="E94" s="28"/>
      <c r="F94" s="215"/>
      <c r="G94" s="215"/>
      <c r="H94" s="2"/>
      <c r="I94" s="19"/>
      <c r="K94" s="35"/>
      <c r="M94" s="35"/>
      <c r="N94" s="35"/>
      <c r="O94" s="35"/>
      <c r="P94" s="35"/>
    </row>
    <row r="95" spans="2:16">
      <c r="B95" s="28"/>
      <c r="C95" s="196"/>
      <c r="D95" s="47"/>
      <c r="E95" s="28"/>
      <c r="F95" s="215"/>
      <c r="G95" s="215"/>
      <c r="H95" s="2"/>
      <c r="I95" s="19"/>
      <c r="K95" s="35"/>
      <c r="M95" s="35"/>
      <c r="N95" s="35"/>
      <c r="O95" s="35"/>
      <c r="P95" s="35"/>
    </row>
    <row r="96" spans="2:16">
      <c r="B96" s="28"/>
      <c r="C96" s="196"/>
      <c r="D96" s="47"/>
      <c r="E96" s="28"/>
      <c r="F96" s="215"/>
      <c r="G96" s="215"/>
      <c r="H96" s="2"/>
      <c r="I96" s="19"/>
      <c r="K96" s="35"/>
      <c r="M96" s="35"/>
      <c r="N96" s="35"/>
      <c r="O96" s="35"/>
      <c r="P96" s="35"/>
    </row>
    <row r="97" spans="2:16">
      <c r="B97" s="28"/>
      <c r="C97" s="196"/>
      <c r="D97" s="47"/>
      <c r="E97" s="28"/>
      <c r="F97" s="215"/>
      <c r="G97" s="215"/>
      <c r="H97" s="2"/>
      <c r="I97" s="19"/>
      <c r="K97" s="35"/>
      <c r="M97" s="35"/>
      <c r="N97" s="35"/>
      <c r="O97" s="35"/>
      <c r="P97" s="35"/>
    </row>
    <row r="98" spans="2:16">
      <c r="B98" s="28"/>
      <c r="C98" s="196"/>
      <c r="D98" s="47"/>
      <c r="E98" s="28"/>
      <c r="F98" s="215"/>
      <c r="G98" s="215"/>
      <c r="H98" s="2"/>
      <c r="I98" s="19"/>
      <c r="K98" s="35"/>
      <c r="M98" s="35"/>
      <c r="N98" s="35"/>
      <c r="O98" s="35"/>
      <c r="P98" s="35"/>
    </row>
    <row r="99" spans="2:16">
      <c r="B99" s="28"/>
      <c r="C99" s="196"/>
      <c r="D99" s="47"/>
      <c r="E99" s="28"/>
      <c r="F99" s="215"/>
      <c r="G99" s="215"/>
      <c r="H99" s="2"/>
      <c r="I99" s="19"/>
      <c r="K99" s="35"/>
      <c r="M99" s="35"/>
      <c r="N99" s="35"/>
      <c r="O99" s="35"/>
      <c r="P99" s="35"/>
    </row>
    <row r="100" spans="2:16">
      <c r="B100" s="28"/>
      <c r="C100" s="196"/>
      <c r="D100" s="47"/>
      <c r="E100" s="28"/>
      <c r="F100" s="215"/>
      <c r="G100" s="215"/>
      <c r="H100" s="2"/>
      <c r="I100" s="19"/>
      <c r="K100" s="35"/>
      <c r="M100" s="35"/>
      <c r="N100" s="35"/>
      <c r="O100" s="35"/>
      <c r="P100" s="35"/>
    </row>
    <row r="101" spans="2:16">
      <c r="B101" s="28"/>
      <c r="C101" s="196"/>
      <c r="D101" s="47"/>
      <c r="E101" s="28"/>
      <c r="F101" s="215"/>
      <c r="G101" s="215"/>
      <c r="H101" s="2"/>
      <c r="I101" s="19"/>
      <c r="K101" s="35"/>
      <c r="M101" s="35"/>
      <c r="N101" s="35"/>
      <c r="O101" s="35"/>
      <c r="P101" s="35"/>
    </row>
    <row r="102" spans="2:16">
      <c r="B102" s="28"/>
      <c r="C102" s="196"/>
      <c r="D102" s="47"/>
      <c r="E102" s="28"/>
      <c r="F102" s="215"/>
      <c r="G102" s="215"/>
      <c r="H102" s="2"/>
      <c r="I102" s="19"/>
      <c r="K102" s="35"/>
      <c r="M102" s="35"/>
      <c r="N102" s="35"/>
      <c r="O102" s="35"/>
      <c r="P102" s="35"/>
    </row>
    <row r="103" spans="2:16">
      <c r="B103" s="28"/>
      <c r="C103" s="196"/>
      <c r="D103" s="47"/>
      <c r="E103" s="28"/>
      <c r="F103" s="215"/>
      <c r="G103" s="215"/>
      <c r="H103" s="2"/>
      <c r="I103" s="19"/>
      <c r="K103" s="35"/>
      <c r="M103" s="35"/>
      <c r="N103" s="35"/>
      <c r="O103" s="35"/>
      <c r="P103" s="35"/>
    </row>
    <row r="104" spans="2:16">
      <c r="B104" s="28"/>
      <c r="C104" s="196"/>
      <c r="D104" s="47"/>
      <c r="E104" s="28"/>
      <c r="F104" s="215"/>
      <c r="G104" s="215"/>
      <c r="H104" s="2"/>
      <c r="I104" s="19"/>
      <c r="K104" s="35"/>
      <c r="M104" s="35"/>
      <c r="N104" s="35"/>
      <c r="O104" s="35"/>
      <c r="P104" s="35"/>
    </row>
    <row r="105" spans="2:16">
      <c r="B105" s="28"/>
      <c r="C105" s="196"/>
      <c r="D105" s="47"/>
      <c r="E105" s="28"/>
      <c r="F105" s="215"/>
      <c r="G105" s="215"/>
      <c r="H105" s="2"/>
      <c r="I105" s="19"/>
      <c r="K105" s="35"/>
      <c r="M105" s="35"/>
      <c r="N105" s="35"/>
      <c r="O105" s="35"/>
      <c r="P105" s="35"/>
    </row>
    <row r="106" spans="2:16">
      <c r="B106" s="28"/>
      <c r="C106" s="196"/>
      <c r="D106" s="47"/>
      <c r="E106" s="28"/>
      <c r="F106" s="215"/>
      <c r="G106" s="215"/>
      <c r="H106" s="2"/>
      <c r="I106" s="19"/>
      <c r="K106" s="35"/>
      <c r="M106" s="35"/>
      <c r="N106" s="35"/>
      <c r="O106" s="35"/>
      <c r="P106" s="35"/>
    </row>
    <row r="107" spans="2:16">
      <c r="B107" s="28"/>
      <c r="C107" s="196"/>
      <c r="D107" s="47"/>
      <c r="E107" s="28"/>
      <c r="F107" s="215"/>
      <c r="G107" s="215"/>
      <c r="H107" s="2"/>
      <c r="I107" s="19"/>
      <c r="K107" s="35"/>
      <c r="M107" s="35"/>
      <c r="N107" s="35"/>
      <c r="O107" s="35"/>
      <c r="P107" s="35"/>
    </row>
    <row r="108" spans="2:16">
      <c r="B108" s="28"/>
      <c r="C108" s="196"/>
      <c r="D108" s="47"/>
      <c r="E108" s="28"/>
      <c r="F108" s="215"/>
      <c r="G108" s="215"/>
      <c r="H108" s="2"/>
      <c r="I108" s="19"/>
      <c r="K108" s="35"/>
      <c r="M108" s="35"/>
      <c r="N108" s="35"/>
      <c r="O108" s="35"/>
      <c r="P108" s="35"/>
    </row>
    <row r="109" spans="2:16">
      <c r="B109" s="28"/>
      <c r="C109" s="196"/>
      <c r="D109" s="47"/>
      <c r="E109" s="28"/>
      <c r="F109" s="215"/>
      <c r="G109" s="215"/>
      <c r="H109" s="2"/>
      <c r="I109" s="19"/>
      <c r="K109" s="35"/>
      <c r="M109" s="35"/>
      <c r="N109" s="35"/>
      <c r="O109" s="35"/>
      <c r="P109" s="35"/>
    </row>
    <row r="110" spans="2:16">
      <c r="B110" s="28"/>
      <c r="C110" s="196"/>
      <c r="D110" s="47"/>
      <c r="E110" s="28"/>
      <c r="F110" s="215"/>
      <c r="G110" s="215"/>
      <c r="H110" s="2"/>
      <c r="I110" s="19"/>
      <c r="K110" s="35"/>
      <c r="M110" s="35"/>
      <c r="N110" s="35"/>
      <c r="O110" s="35"/>
      <c r="P110" s="35"/>
    </row>
    <row r="111" spans="2:16">
      <c r="B111" s="28"/>
      <c r="C111" s="196"/>
      <c r="D111" s="47"/>
      <c r="E111" s="28"/>
      <c r="F111" s="215"/>
      <c r="G111" s="215"/>
      <c r="H111" s="2"/>
      <c r="I111" s="19"/>
      <c r="K111" s="35"/>
      <c r="M111" s="35"/>
      <c r="N111" s="35"/>
      <c r="O111" s="35"/>
      <c r="P111" s="35"/>
    </row>
    <row r="112" spans="2:16">
      <c r="B112" s="28"/>
      <c r="C112" s="196"/>
      <c r="D112" s="47"/>
      <c r="E112" s="28"/>
      <c r="F112" s="215"/>
      <c r="G112" s="215"/>
      <c r="H112" s="2"/>
      <c r="I112" s="19"/>
      <c r="K112" s="35"/>
      <c r="M112" s="35"/>
      <c r="N112" s="35"/>
      <c r="O112" s="35"/>
      <c r="P112" s="35"/>
    </row>
    <row r="113" spans="2:16">
      <c r="B113" s="28"/>
      <c r="C113" s="196"/>
      <c r="D113" s="47"/>
      <c r="E113" s="28"/>
      <c r="F113" s="215"/>
      <c r="G113" s="215"/>
      <c r="H113" s="2"/>
      <c r="I113" s="19"/>
      <c r="K113" s="35"/>
      <c r="M113" s="35"/>
      <c r="N113" s="35"/>
      <c r="O113" s="35"/>
      <c r="P113" s="35"/>
    </row>
    <row r="114" spans="2:16">
      <c r="B114" s="28"/>
      <c r="C114" s="196"/>
      <c r="D114" s="47"/>
      <c r="E114" s="28"/>
      <c r="F114" s="215"/>
      <c r="G114" s="215"/>
      <c r="H114" s="2"/>
      <c r="I114" s="19"/>
      <c r="K114" s="35"/>
      <c r="M114" s="35"/>
      <c r="N114" s="35"/>
      <c r="O114" s="35"/>
      <c r="P114" s="35"/>
    </row>
    <row r="115" spans="2:16">
      <c r="B115" s="28"/>
      <c r="C115" s="196"/>
      <c r="D115" s="47"/>
      <c r="E115" s="28"/>
      <c r="F115" s="215"/>
      <c r="G115" s="215"/>
      <c r="H115" s="2"/>
      <c r="I115" s="19"/>
      <c r="K115" s="35"/>
      <c r="M115" s="35"/>
      <c r="N115" s="35"/>
      <c r="O115" s="35"/>
      <c r="P115" s="35"/>
    </row>
    <row r="116" spans="2:16">
      <c r="B116" s="28"/>
      <c r="C116" s="196"/>
      <c r="D116" s="47"/>
      <c r="E116" s="28"/>
      <c r="F116" s="215"/>
      <c r="G116" s="215"/>
      <c r="H116" s="2"/>
      <c r="I116" s="19"/>
      <c r="K116" s="35"/>
      <c r="M116" s="35"/>
      <c r="N116" s="35"/>
      <c r="O116" s="35"/>
      <c r="P116" s="35"/>
    </row>
    <row r="117" spans="2:16">
      <c r="B117" s="28"/>
      <c r="C117" s="196"/>
      <c r="D117" s="47"/>
      <c r="E117" s="28"/>
      <c r="F117" s="215"/>
      <c r="G117" s="215"/>
      <c r="H117" s="2"/>
      <c r="I117" s="19"/>
      <c r="K117" s="35"/>
      <c r="M117" s="35"/>
      <c r="N117" s="35"/>
      <c r="O117" s="35"/>
      <c r="P117" s="35"/>
    </row>
    <row r="118" spans="2:16">
      <c r="B118" s="28"/>
      <c r="C118" s="196"/>
      <c r="D118" s="47"/>
      <c r="E118" s="28"/>
      <c r="F118" s="215"/>
      <c r="G118" s="215"/>
      <c r="H118" s="2"/>
      <c r="I118" s="19"/>
      <c r="K118" s="35"/>
      <c r="M118" s="35"/>
      <c r="N118" s="35"/>
      <c r="O118" s="35"/>
      <c r="P118" s="35"/>
    </row>
    <row r="119" spans="2:16">
      <c r="B119" s="28"/>
      <c r="C119" s="196"/>
      <c r="D119" s="47"/>
      <c r="E119" s="28"/>
      <c r="F119" s="215"/>
      <c r="G119" s="215"/>
      <c r="H119" s="2"/>
      <c r="I119" s="19"/>
      <c r="K119" s="35"/>
      <c r="M119" s="35"/>
      <c r="N119" s="35"/>
      <c r="O119" s="35"/>
      <c r="P119" s="35"/>
    </row>
    <row r="120" spans="2:16">
      <c r="B120" s="28"/>
      <c r="C120" s="196"/>
      <c r="D120" s="47"/>
      <c r="E120" s="28"/>
      <c r="F120" s="215"/>
      <c r="G120" s="215"/>
      <c r="H120" s="2"/>
      <c r="I120" s="19"/>
      <c r="K120" s="35"/>
      <c r="M120" s="35"/>
      <c r="N120" s="35"/>
      <c r="O120" s="35"/>
      <c r="P120" s="35"/>
    </row>
    <row r="121" spans="2:16">
      <c r="B121" s="28"/>
      <c r="C121" s="196"/>
      <c r="D121" s="47"/>
      <c r="E121" s="28"/>
      <c r="F121" s="215"/>
      <c r="G121" s="215"/>
      <c r="H121" s="2"/>
      <c r="I121" s="19"/>
      <c r="K121" s="35"/>
      <c r="M121" s="35"/>
      <c r="N121" s="35"/>
      <c r="O121" s="35"/>
      <c r="P121" s="35"/>
    </row>
    <row r="122" spans="2:16">
      <c r="B122" s="28"/>
      <c r="C122" s="196"/>
      <c r="D122" s="47"/>
      <c r="E122" s="28"/>
      <c r="F122" s="215"/>
      <c r="G122" s="215"/>
      <c r="H122" s="2"/>
      <c r="I122" s="19"/>
      <c r="K122" s="35"/>
      <c r="M122" s="35"/>
      <c r="N122" s="35"/>
      <c r="O122" s="35"/>
      <c r="P122" s="35"/>
    </row>
    <row r="123" spans="2:16">
      <c r="B123" s="28"/>
      <c r="C123" s="196"/>
      <c r="D123" s="47"/>
      <c r="E123" s="28"/>
      <c r="F123" s="215"/>
      <c r="G123" s="215"/>
      <c r="H123" s="2"/>
      <c r="I123" s="19"/>
      <c r="K123" s="35"/>
      <c r="M123" s="35"/>
      <c r="N123" s="35"/>
      <c r="O123" s="35"/>
      <c r="P123" s="35"/>
    </row>
    <row r="124" spans="2:16">
      <c r="B124" s="28"/>
      <c r="C124" s="196"/>
      <c r="D124" s="47"/>
      <c r="E124" s="28"/>
      <c r="F124" s="215"/>
      <c r="G124" s="215"/>
      <c r="H124" s="2"/>
      <c r="I124" s="19"/>
      <c r="K124" s="35"/>
      <c r="M124" s="35"/>
      <c r="N124" s="35"/>
      <c r="O124" s="35"/>
      <c r="P124" s="35"/>
    </row>
    <row r="125" spans="2:16">
      <c r="B125" s="28"/>
      <c r="C125" s="196"/>
      <c r="D125" s="47"/>
      <c r="E125" s="28"/>
      <c r="F125" s="215"/>
      <c r="G125" s="215"/>
      <c r="H125" s="2"/>
      <c r="I125" s="19"/>
      <c r="K125" s="35"/>
      <c r="M125" s="35"/>
      <c r="N125" s="35"/>
      <c r="O125" s="35"/>
      <c r="P125" s="35"/>
    </row>
    <row r="126" spans="2:16">
      <c r="B126" s="28"/>
      <c r="C126" s="196"/>
      <c r="D126" s="47"/>
      <c r="E126" s="28"/>
      <c r="F126" s="215"/>
      <c r="G126" s="215"/>
      <c r="H126" s="2"/>
      <c r="I126" s="19"/>
      <c r="K126" s="35"/>
      <c r="M126" s="35"/>
      <c r="N126" s="35"/>
      <c r="O126" s="35"/>
      <c r="P126" s="35"/>
    </row>
    <row r="127" spans="2:16">
      <c r="B127" s="28"/>
      <c r="C127" s="196"/>
      <c r="D127" s="47"/>
      <c r="E127" s="28"/>
      <c r="F127" s="215"/>
      <c r="G127" s="215"/>
      <c r="H127" s="2"/>
      <c r="I127" s="19"/>
      <c r="K127" s="35"/>
      <c r="M127" s="35"/>
      <c r="N127" s="35"/>
      <c r="O127" s="35"/>
      <c r="P127" s="35"/>
    </row>
    <row r="128" spans="2:16">
      <c r="B128" s="28"/>
      <c r="C128" s="196"/>
      <c r="D128" s="47"/>
      <c r="E128" s="28"/>
      <c r="F128" s="215"/>
      <c r="G128" s="215"/>
      <c r="H128" s="2"/>
      <c r="I128" s="19"/>
      <c r="K128" s="35"/>
      <c r="M128" s="35"/>
      <c r="N128" s="35"/>
      <c r="O128" s="35"/>
      <c r="P128" s="35"/>
    </row>
    <row r="129" spans="2:16">
      <c r="B129" s="28"/>
      <c r="C129" s="196"/>
      <c r="D129" s="47"/>
      <c r="E129" s="28"/>
      <c r="F129" s="215"/>
      <c r="G129" s="215"/>
      <c r="H129" s="2"/>
      <c r="I129" s="19"/>
      <c r="K129" s="35"/>
      <c r="M129" s="35"/>
      <c r="N129" s="35"/>
      <c r="O129" s="35"/>
      <c r="P129" s="35"/>
    </row>
    <row r="130" spans="2:16">
      <c r="B130" s="28"/>
      <c r="C130" s="196"/>
      <c r="D130" s="47"/>
      <c r="E130" s="28"/>
      <c r="F130" s="215"/>
      <c r="G130" s="215"/>
      <c r="H130" s="2"/>
      <c r="I130" s="19"/>
      <c r="K130" s="35"/>
      <c r="M130" s="35"/>
      <c r="N130" s="35"/>
      <c r="O130" s="35"/>
      <c r="P130" s="35"/>
    </row>
    <row r="131" spans="2:16">
      <c r="B131" s="28"/>
      <c r="C131" s="196"/>
      <c r="D131" s="47"/>
      <c r="E131" s="28"/>
      <c r="F131" s="215"/>
      <c r="G131" s="215"/>
      <c r="H131" s="2"/>
      <c r="I131" s="19"/>
      <c r="K131" s="35"/>
      <c r="M131" s="35"/>
      <c r="N131" s="35"/>
      <c r="O131" s="35"/>
      <c r="P131" s="35"/>
    </row>
    <row r="132" spans="2:16">
      <c r="B132" s="28"/>
      <c r="C132" s="196"/>
      <c r="D132" s="47"/>
      <c r="E132" s="28"/>
      <c r="F132" s="215"/>
      <c r="G132" s="215"/>
      <c r="H132" s="2"/>
      <c r="I132" s="19"/>
      <c r="K132" s="35"/>
      <c r="M132" s="35"/>
      <c r="N132" s="35"/>
      <c r="O132" s="35"/>
      <c r="P132" s="35"/>
    </row>
    <row r="133" spans="2:16">
      <c r="B133" s="28"/>
      <c r="C133" s="196"/>
      <c r="D133" s="47"/>
      <c r="E133" s="28"/>
      <c r="F133" s="215"/>
      <c r="G133" s="215"/>
      <c r="H133" s="2"/>
      <c r="I133" s="19"/>
      <c r="K133" s="35"/>
      <c r="M133" s="35"/>
      <c r="N133" s="35"/>
      <c r="O133" s="35"/>
      <c r="P133" s="35"/>
    </row>
    <row r="134" spans="2:16">
      <c r="B134" s="28"/>
      <c r="C134" s="196"/>
      <c r="D134" s="47"/>
      <c r="E134" s="28"/>
      <c r="F134" s="215"/>
      <c r="G134" s="215"/>
      <c r="H134" s="2"/>
      <c r="I134" s="19"/>
      <c r="K134" s="35"/>
      <c r="M134" s="35"/>
      <c r="N134" s="35"/>
      <c r="O134" s="35"/>
      <c r="P134" s="35"/>
    </row>
    <row r="135" spans="2:16">
      <c r="B135" s="28"/>
      <c r="C135" s="196"/>
      <c r="D135" s="47"/>
      <c r="E135" s="28"/>
      <c r="F135" s="215"/>
      <c r="G135" s="215"/>
      <c r="H135" s="2"/>
      <c r="I135" s="19"/>
      <c r="K135" s="35"/>
      <c r="M135" s="35"/>
      <c r="N135" s="35"/>
      <c r="O135" s="35"/>
      <c r="P135" s="35"/>
    </row>
    <row r="136" spans="2:16">
      <c r="B136" s="28"/>
      <c r="C136" s="196"/>
      <c r="D136" s="47"/>
      <c r="E136" s="28"/>
      <c r="F136" s="215"/>
      <c r="G136" s="215"/>
      <c r="H136" s="2"/>
      <c r="I136" s="19"/>
      <c r="K136" s="35"/>
      <c r="M136" s="35"/>
      <c r="N136" s="35"/>
      <c r="O136" s="35"/>
      <c r="P136" s="35"/>
    </row>
    <row r="137" spans="2:16">
      <c r="B137" s="28"/>
      <c r="C137" s="196"/>
      <c r="D137" s="47"/>
      <c r="E137" s="28"/>
      <c r="F137" s="215"/>
      <c r="G137" s="215"/>
      <c r="H137" s="2"/>
      <c r="I137" s="19"/>
      <c r="K137" s="35"/>
      <c r="M137" s="35"/>
      <c r="N137" s="35"/>
      <c r="O137" s="35"/>
      <c r="P137" s="35"/>
    </row>
    <row r="138" spans="2:16">
      <c r="B138" s="28"/>
      <c r="C138" s="196"/>
      <c r="D138" s="47"/>
      <c r="E138" s="28"/>
      <c r="F138" s="215"/>
      <c r="G138" s="215"/>
      <c r="H138" s="2"/>
      <c r="I138" s="19"/>
      <c r="K138" s="35"/>
      <c r="M138" s="35"/>
      <c r="N138" s="35"/>
      <c r="O138" s="35"/>
      <c r="P138" s="35"/>
    </row>
    <row r="139" spans="2:16">
      <c r="B139" s="28"/>
      <c r="C139" s="196"/>
      <c r="D139" s="47"/>
      <c r="E139" s="28"/>
      <c r="F139" s="215"/>
      <c r="G139" s="215"/>
      <c r="H139" s="2"/>
      <c r="I139" s="19"/>
      <c r="K139" s="35"/>
      <c r="M139" s="35"/>
      <c r="N139" s="35"/>
      <c r="O139" s="35"/>
      <c r="P139" s="35"/>
    </row>
    <row r="140" spans="2:16">
      <c r="B140" s="28"/>
      <c r="C140" s="196"/>
      <c r="D140" s="47"/>
      <c r="E140" s="28"/>
      <c r="F140" s="215"/>
      <c r="G140" s="215"/>
      <c r="H140" s="2"/>
      <c r="I140" s="19"/>
      <c r="K140" s="35"/>
      <c r="M140" s="35"/>
      <c r="N140" s="35"/>
      <c r="O140" s="35"/>
      <c r="P140" s="35"/>
    </row>
    <row r="141" spans="2:16">
      <c r="B141" s="28"/>
      <c r="C141" s="196"/>
      <c r="D141" s="47"/>
      <c r="E141" s="28"/>
      <c r="F141" s="215"/>
      <c r="G141" s="215"/>
      <c r="H141" s="2"/>
      <c r="I141" s="19"/>
      <c r="K141" s="35"/>
      <c r="M141" s="35"/>
      <c r="N141" s="35"/>
      <c r="O141" s="35"/>
      <c r="P141" s="35"/>
    </row>
    <row r="142" spans="2:16">
      <c r="B142" s="28"/>
      <c r="C142" s="196"/>
      <c r="D142" s="47"/>
      <c r="E142" s="28"/>
      <c r="F142" s="215"/>
      <c r="G142" s="215"/>
      <c r="H142" s="2"/>
      <c r="I142" s="19"/>
      <c r="K142" s="35"/>
      <c r="M142" s="35"/>
      <c r="N142" s="35"/>
      <c r="O142" s="35"/>
      <c r="P142" s="35"/>
    </row>
    <row r="143" spans="2:16">
      <c r="B143" s="28"/>
      <c r="C143" s="196"/>
      <c r="D143" s="47"/>
      <c r="E143" s="28"/>
      <c r="F143" s="215"/>
      <c r="G143" s="215"/>
      <c r="H143" s="2"/>
      <c r="I143" s="19"/>
      <c r="K143" s="35"/>
      <c r="M143" s="35"/>
      <c r="N143" s="35"/>
      <c r="O143" s="35"/>
      <c r="P143" s="35"/>
    </row>
    <row r="144" spans="2:16">
      <c r="B144" s="28"/>
      <c r="C144" s="196"/>
      <c r="D144" s="47"/>
      <c r="E144" s="28"/>
      <c r="F144" s="215"/>
      <c r="G144" s="215"/>
      <c r="H144" s="2"/>
      <c r="I144" s="19"/>
      <c r="K144" s="35"/>
      <c r="M144" s="35"/>
      <c r="N144" s="35"/>
      <c r="O144" s="35"/>
      <c r="P144" s="35"/>
    </row>
    <row r="145" spans="2:16">
      <c r="B145" s="28"/>
      <c r="C145" s="196"/>
      <c r="D145" s="47"/>
      <c r="E145" s="28"/>
      <c r="F145" s="215"/>
      <c r="G145" s="215"/>
      <c r="H145" s="2"/>
      <c r="I145" s="19"/>
      <c r="K145" s="35"/>
      <c r="M145" s="35"/>
      <c r="N145" s="35"/>
      <c r="O145" s="35"/>
      <c r="P145" s="35"/>
    </row>
    <row r="146" spans="2:16">
      <c r="B146" s="28"/>
      <c r="C146" s="196"/>
      <c r="D146" s="47"/>
      <c r="E146" s="28"/>
      <c r="F146" s="215"/>
      <c r="G146" s="215"/>
      <c r="H146" s="2"/>
      <c r="I146" s="19"/>
      <c r="K146" s="35"/>
      <c r="M146" s="35"/>
      <c r="N146" s="35"/>
      <c r="O146" s="35"/>
      <c r="P146" s="35"/>
    </row>
    <row r="147" spans="2:16">
      <c r="B147" s="28"/>
      <c r="C147" s="196"/>
      <c r="D147" s="47"/>
      <c r="E147" s="28"/>
      <c r="F147" s="215"/>
      <c r="G147" s="215"/>
      <c r="H147" s="2"/>
      <c r="I147" s="19"/>
      <c r="K147" s="35"/>
      <c r="M147" s="35"/>
      <c r="N147" s="35"/>
      <c r="O147" s="35"/>
      <c r="P147" s="35"/>
    </row>
    <row r="148" spans="2:16">
      <c r="B148" s="28"/>
      <c r="C148" s="196"/>
      <c r="D148" s="47"/>
      <c r="E148" s="28"/>
      <c r="F148" s="215"/>
      <c r="G148" s="215"/>
      <c r="H148" s="2"/>
      <c r="I148" s="19"/>
      <c r="K148" s="35"/>
      <c r="M148" s="35"/>
      <c r="N148" s="35"/>
      <c r="O148" s="35"/>
      <c r="P148" s="35"/>
    </row>
    <row r="149" spans="2:16">
      <c r="B149" s="28"/>
      <c r="C149" s="196"/>
      <c r="D149" s="47"/>
      <c r="E149" s="28"/>
      <c r="F149" s="215"/>
      <c r="G149" s="215"/>
      <c r="H149" s="2"/>
      <c r="I149" s="19"/>
      <c r="K149" s="35"/>
      <c r="M149" s="35"/>
      <c r="N149" s="35"/>
      <c r="O149" s="35"/>
      <c r="P149" s="35"/>
    </row>
    <row r="150" spans="2:16">
      <c r="B150" s="28"/>
      <c r="C150" s="196"/>
      <c r="D150" s="47"/>
      <c r="E150" s="28"/>
      <c r="F150" s="215"/>
      <c r="G150" s="215"/>
      <c r="H150" s="2"/>
      <c r="I150" s="19"/>
      <c r="K150" s="35"/>
      <c r="M150" s="35"/>
      <c r="N150" s="35"/>
      <c r="O150" s="35"/>
      <c r="P150" s="35"/>
    </row>
    <row r="151" spans="2:16">
      <c r="B151" s="28"/>
      <c r="C151" s="196"/>
      <c r="D151" s="47"/>
      <c r="E151" s="28"/>
      <c r="F151" s="215"/>
      <c r="G151" s="215"/>
      <c r="H151" s="2"/>
      <c r="I151" s="19"/>
      <c r="K151" s="35"/>
      <c r="M151" s="35"/>
      <c r="N151" s="35"/>
      <c r="O151" s="35"/>
      <c r="P151" s="35"/>
    </row>
    <row r="152" spans="2:16">
      <c r="B152" s="28"/>
      <c r="C152" s="196"/>
      <c r="D152" s="47"/>
      <c r="E152" s="28"/>
      <c r="F152" s="215"/>
      <c r="G152" s="215"/>
      <c r="H152" s="2"/>
      <c r="I152" s="19"/>
      <c r="K152" s="35"/>
      <c r="M152" s="35"/>
      <c r="N152" s="35"/>
      <c r="O152" s="35"/>
      <c r="P152" s="35"/>
    </row>
    <row r="153" spans="2:16">
      <c r="B153" s="28"/>
      <c r="C153" s="196"/>
      <c r="D153" s="47"/>
      <c r="E153" s="28"/>
      <c r="F153" s="215"/>
      <c r="G153" s="215"/>
      <c r="H153" s="2"/>
      <c r="I153" s="19"/>
      <c r="K153" s="35"/>
      <c r="M153" s="35"/>
      <c r="N153" s="35"/>
      <c r="O153" s="35"/>
      <c r="P153" s="35"/>
    </row>
    <row r="154" spans="2:16">
      <c r="B154" s="28"/>
      <c r="C154" s="196"/>
      <c r="D154" s="47"/>
      <c r="E154" s="28"/>
      <c r="F154" s="215"/>
      <c r="G154" s="215"/>
      <c r="H154" s="2"/>
      <c r="I154" s="19"/>
      <c r="K154" s="35"/>
      <c r="M154" s="35"/>
      <c r="N154" s="35"/>
      <c r="O154" s="35"/>
      <c r="P154" s="35"/>
    </row>
    <row r="155" spans="2:16">
      <c r="B155" s="28"/>
      <c r="C155" s="196"/>
      <c r="D155" s="47"/>
      <c r="E155" s="28"/>
      <c r="F155" s="215"/>
      <c r="G155" s="215"/>
      <c r="H155" s="2"/>
      <c r="I155" s="19"/>
      <c r="K155" s="35"/>
      <c r="M155" s="35"/>
      <c r="N155" s="35"/>
      <c r="O155" s="35"/>
      <c r="P155" s="35"/>
    </row>
    <row r="156" spans="2:16">
      <c r="B156" s="28"/>
      <c r="C156" s="196"/>
      <c r="D156" s="47"/>
      <c r="E156" s="28"/>
      <c r="F156" s="215"/>
      <c r="G156" s="215"/>
      <c r="H156" s="2"/>
      <c r="I156" s="19"/>
      <c r="K156" s="35"/>
      <c r="M156" s="35"/>
      <c r="N156" s="35"/>
      <c r="O156" s="35"/>
      <c r="P156" s="35"/>
    </row>
    <row r="157" spans="2:16">
      <c r="B157" s="28"/>
      <c r="C157" s="196"/>
      <c r="D157" s="47"/>
      <c r="E157" s="28"/>
      <c r="F157" s="215"/>
      <c r="G157" s="215"/>
      <c r="H157" s="2"/>
      <c r="I157" s="19"/>
      <c r="K157" s="35"/>
      <c r="M157" s="35"/>
      <c r="N157" s="35"/>
      <c r="O157" s="35"/>
      <c r="P157" s="35"/>
    </row>
    <row r="158" spans="2:16">
      <c r="B158" s="28"/>
      <c r="C158" s="196"/>
      <c r="D158" s="47"/>
      <c r="E158" s="28"/>
      <c r="F158" s="215"/>
      <c r="G158" s="215"/>
      <c r="H158" s="2"/>
      <c r="I158" s="19"/>
      <c r="K158" s="35"/>
      <c r="M158" s="35"/>
      <c r="N158" s="35"/>
      <c r="O158" s="35"/>
      <c r="P158" s="35"/>
    </row>
    <row r="159" spans="2:16">
      <c r="B159" s="28"/>
      <c r="C159" s="196"/>
      <c r="D159" s="47"/>
      <c r="E159" s="28"/>
      <c r="F159" s="215"/>
      <c r="G159" s="215"/>
      <c r="H159" s="2"/>
      <c r="I159" s="19"/>
      <c r="K159" s="35"/>
      <c r="M159" s="35"/>
      <c r="N159" s="35"/>
      <c r="O159" s="35"/>
      <c r="P159" s="35"/>
    </row>
    <row r="160" spans="2:16">
      <c r="B160" s="28"/>
      <c r="C160" s="196"/>
      <c r="D160" s="47"/>
      <c r="E160" s="28"/>
      <c r="F160" s="215"/>
      <c r="G160" s="215"/>
      <c r="H160" s="2"/>
      <c r="I160" s="19"/>
      <c r="K160" s="35"/>
      <c r="M160" s="35"/>
      <c r="N160" s="35"/>
      <c r="O160" s="35"/>
      <c r="P160" s="35"/>
    </row>
    <row r="161" spans="4:9">
      <c r="D161" s="47"/>
      <c r="E161" s="143"/>
      <c r="H161" s="2"/>
      <c r="I161" s="30"/>
    </row>
    <row r="162" spans="4:9">
      <c r="D162" s="47"/>
      <c r="E162" s="143"/>
      <c r="H162" s="2"/>
      <c r="I162" s="30"/>
    </row>
    <row r="163" spans="4:9">
      <c r="D163" s="47"/>
      <c r="E163" s="143"/>
      <c r="H163" s="2"/>
      <c r="I163" s="30"/>
    </row>
    <row r="164" spans="4:9">
      <c r="D164" s="47"/>
      <c r="E164" s="143"/>
      <c r="H164" s="2"/>
      <c r="I164" s="30"/>
    </row>
    <row r="165" spans="4:9">
      <c r="D165" s="47"/>
      <c r="E165" s="143"/>
      <c r="H165" s="2"/>
      <c r="I165" s="30"/>
    </row>
    <row r="166" spans="4:9">
      <c r="D166" s="47"/>
      <c r="E166" s="143"/>
      <c r="H166" s="2"/>
      <c r="I166" s="30"/>
    </row>
    <row r="167" spans="4:9">
      <c r="D167" s="47"/>
      <c r="E167" s="143"/>
      <c r="H167" s="2"/>
      <c r="I167" s="30"/>
    </row>
    <row r="168" spans="4:9">
      <c r="D168" s="47"/>
      <c r="E168" s="143"/>
      <c r="H168" s="2"/>
      <c r="I168" s="30"/>
    </row>
    <row r="169" spans="4:9">
      <c r="D169" s="47"/>
      <c r="E169" s="143"/>
      <c r="H169" s="2"/>
      <c r="I169" s="30"/>
    </row>
    <row r="170" spans="4:9">
      <c r="D170" s="47"/>
      <c r="E170" s="143"/>
      <c r="H170" s="2"/>
      <c r="I170" s="30"/>
    </row>
    <row r="171" spans="4:9">
      <c r="D171" s="47"/>
      <c r="E171" s="143"/>
      <c r="H171" s="2"/>
      <c r="I171" s="30"/>
    </row>
    <row r="172" spans="4:9">
      <c r="D172" s="47"/>
      <c r="E172" s="143"/>
      <c r="H172" s="2"/>
      <c r="I172" s="30"/>
    </row>
    <row r="173" spans="4:9">
      <c r="D173" s="47"/>
      <c r="E173" s="143"/>
      <c r="H173" s="2"/>
      <c r="I173" s="30"/>
    </row>
    <row r="174" spans="4:9">
      <c r="D174" s="47"/>
      <c r="E174" s="143"/>
      <c r="H174" s="2"/>
      <c r="I174" s="30"/>
    </row>
    <row r="175" spans="4:9">
      <c r="D175" s="47"/>
      <c r="E175" s="143"/>
      <c r="H175" s="2"/>
      <c r="I175" s="30"/>
    </row>
    <row r="176" spans="4:9">
      <c r="D176" s="47"/>
      <c r="E176" s="143"/>
      <c r="H176" s="2"/>
      <c r="I176" s="30"/>
    </row>
    <row r="177" spans="4:9">
      <c r="D177" s="47"/>
      <c r="E177" s="143"/>
      <c r="H177" s="2"/>
      <c r="I177" s="30"/>
    </row>
    <row r="178" spans="4:9">
      <c r="D178" s="47"/>
      <c r="E178" s="143"/>
      <c r="H178" s="2"/>
      <c r="I178" s="30"/>
    </row>
    <row r="179" spans="4:9">
      <c r="D179" s="47"/>
      <c r="E179" s="143"/>
      <c r="H179" s="2"/>
      <c r="I179" s="30"/>
    </row>
    <row r="180" spans="4:9">
      <c r="D180" s="47"/>
      <c r="E180" s="143"/>
      <c r="H180" s="2"/>
      <c r="I180" s="30"/>
    </row>
    <row r="181" spans="4:9">
      <c r="D181" s="47"/>
      <c r="E181" s="143"/>
      <c r="H181" s="2"/>
      <c r="I181" s="30"/>
    </row>
    <row r="182" spans="4:9">
      <c r="D182" s="47"/>
      <c r="E182" s="143"/>
      <c r="H182" s="2"/>
      <c r="I182" s="30"/>
    </row>
    <row r="183" spans="4:9">
      <c r="D183" s="47"/>
      <c r="E183" s="143"/>
      <c r="H183" s="2"/>
      <c r="I183" s="30"/>
    </row>
    <row r="184" spans="4:9">
      <c r="D184" s="47"/>
      <c r="E184" s="143"/>
      <c r="H184" s="2"/>
      <c r="I184" s="30"/>
    </row>
    <row r="185" spans="4:9">
      <c r="D185" s="47"/>
      <c r="E185" s="143"/>
      <c r="H185" s="2"/>
      <c r="I185" s="30"/>
    </row>
    <row r="186" spans="4:9">
      <c r="D186" s="47"/>
      <c r="E186" s="143"/>
      <c r="H186" s="2"/>
      <c r="I186" s="30"/>
    </row>
    <row r="187" spans="4:9">
      <c r="D187" s="47"/>
      <c r="E187" s="143"/>
      <c r="H187" s="2"/>
      <c r="I187" s="30"/>
    </row>
    <row r="188" spans="4:9">
      <c r="D188" s="47"/>
      <c r="E188" s="143"/>
      <c r="H188" s="2"/>
      <c r="I188" s="30"/>
    </row>
    <row r="189" spans="4:9">
      <c r="D189" s="47"/>
      <c r="E189" s="143"/>
      <c r="H189" s="2"/>
      <c r="I189" s="30"/>
    </row>
    <row r="190" spans="4:9">
      <c r="D190" s="47"/>
      <c r="E190" s="143"/>
      <c r="H190" s="2"/>
      <c r="I190" s="30"/>
    </row>
    <row r="191" spans="4:9">
      <c r="D191" s="47"/>
      <c r="E191" s="143"/>
      <c r="H191" s="2"/>
      <c r="I191" s="30"/>
    </row>
    <row r="192" spans="4:9">
      <c r="D192" s="47"/>
      <c r="E192" s="143"/>
      <c r="H192" s="2"/>
      <c r="I192" s="30"/>
    </row>
    <row r="193" spans="4:9">
      <c r="D193" s="47"/>
      <c r="E193" s="143"/>
      <c r="H193" s="2"/>
      <c r="I193" s="30"/>
    </row>
    <row r="194" spans="4:9">
      <c r="D194" s="47"/>
      <c r="E194" s="143"/>
      <c r="H194" s="2"/>
      <c r="I194" s="30"/>
    </row>
    <row r="195" spans="4:9">
      <c r="D195" s="47"/>
      <c r="E195" s="143"/>
      <c r="H195" s="2"/>
      <c r="I195" s="30"/>
    </row>
    <row r="196" spans="4:9">
      <c r="D196" s="47"/>
      <c r="E196" s="143"/>
      <c r="H196" s="2"/>
      <c r="I196" s="30"/>
    </row>
    <row r="197" spans="4:9">
      <c r="D197" s="47"/>
      <c r="E197" s="143"/>
      <c r="H197" s="2"/>
      <c r="I197" s="30"/>
    </row>
    <row r="198" spans="4:9">
      <c r="D198" s="47"/>
      <c r="E198" s="143"/>
      <c r="H198" s="2"/>
      <c r="I198" s="30"/>
    </row>
    <row r="199" spans="4:9">
      <c r="D199" s="47"/>
      <c r="E199" s="143"/>
      <c r="H199" s="2"/>
      <c r="I199" s="30"/>
    </row>
    <row r="200" spans="4:9">
      <c r="D200" s="47"/>
      <c r="E200" s="143"/>
      <c r="H200" s="2"/>
      <c r="I200" s="30"/>
    </row>
    <row r="201" spans="4:9">
      <c r="D201" s="47"/>
      <c r="E201" s="143"/>
      <c r="H201" s="2"/>
      <c r="I201" s="30"/>
    </row>
    <row r="202" spans="4:9">
      <c r="D202" s="47"/>
      <c r="E202" s="143"/>
      <c r="H202" s="2"/>
      <c r="I202" s="30"/>
    </row>
    <row r="203" spans="4:9">
      <c r="D203" s="47"/>
      <c r="E203" s="143"/>
      <c r="H203" s="2"/>
      <c r="I203" s="30"/>
    </row>
    <row r="204" spans="4:9">
      <c r="D204" s="47"/>
      <c r="E204" s="143"/>
      <c r="H204" s="2"/>
      <c r="I204" s="30"/>
    </row>
    <row r="205" spans="4:9">
      <c r="D205" s="47"/>
      <c r="E205" s="143"/>
      <c r="H205" s="2"/>
      <c r="I205" s="30"/>
    </row>
    <row r="206" spans="4:9">
      <c r="D206" s="47"/>
      <c r="E206" s="143"/>
      <c r="H206" s="2"/>
      <c r="I206" s="30"/>
    </row>
    <row r="207" spans="4:9">
      <c r="D207" s="47"/>
      <c r="E207" s="143"/>
      <c r="H207" s="2"/>
      <c r="I207" s="30"/>
    </row>
    <row r="208" spans="4:9">
      <c r="D208" s="47"/>
      <c r="E208" s="143"/>
      <c r="H208" s="2"/>
      <c r="I208" s="30"/>
    </row>
    <row r="209" spans="4:9">
      <c r="D209" s="47"/>
      <c r="E209" s="143"/>
      <c r="H209" s="2"/>
      <c r="I209" s="30"/>
    </row>
    <row r="210" spans="4:9">
      <c r="D210" s="47"/>
      <c r="E210" s="143"/>
      <c r="H210" s="2"/>
      <c r="I210" s="30"/>
    </row>
    <row r="211" spans="4:9">
      <c r="D211" s="47"/>
      <c r="E211" s="143"/>
      <c r="H211" s="2"/>
      <c r="I211" s="30"/>
    </row>
    <row r="212" spans="4:9">
      <c r="D212" s="47"/>
      <c r="E212" s="143"/>
      <c r="H212" s="2"/>
      <c r="I212" s="30"/>
    </row>
    <row r="213" spans="4:9">
      <c r="D213" s="47"/>
      <c r="E213" s="143"/>
      <c r="H213" s="2"/>
      <c r="I213" s="30"/>
    </row>
    <row r="214" spans="4:9">
      <c r="D214" s="47"/>
      <c r="E214" s="143"/>
      <c r="H214" s="2"/>
      <c r="I214" s="30"/>
    </row>
    <row r="215" spans="4:9">
      <c r="D215" s="47"/>
      <c r="E215" s="143"/>
      <c r="H215" s="2"/>
      <c r="I215" s="30"/>
    </row>
    <row r="216" spans="4:9">
      <c r="D216" s="47"/>
      <c r="E216" s="143"/>
      <c r="H216" s="2"/>
      <c r="I216" s="30"/>
    </row>
    <row r="217" spans="4:9">
      <c r="D217" s="47"/>
      <c r="E217" s="143"/>
      <c r="H217" s="2"/>
      <c r="I217" s="30"/>
    </row>
    <row r="218" spans="4:9">
      <c r="D218" s="47"/>
      <c r="E218" s="143"/>
      <c r="H218" s="2"/>
      <c r="I218" s="30"/>
    </row>
    <row r="219" spans="4:9">
      <c r="D219" s="47"/>
      <c r="E219" s="143"/>
      <c r="H219" s="2"/>
      <c r="I219" s="30"/>
    </row>
    <row r="220" spans="4:9">
      <c r="D220" s="47"/>
      <c r="E220" s="143"/>
      <c r="H220" s="2"/>
      <c r="I220" s="30"/>
    </row>
    <row r="221" spans="4:9">
      <c r="D221" s="47"/>
      <c r="E221" s="143"/>
      <c r="H221" s="2"/>
      <c r="I221" s="30"/>
    </row>
    <row r="222" spans="4:9">
      <c r="D222" s="47"/>
      <c r="E222" s="143"/>
      <c r="H222" s="2"/>
      <c r="I222" s="30"/>
    </row>
    <row r="223" spans="4:9">
      <c r="D223" s="47"/>
      <c r="E223" s="143"/>
      <c r="H223" s="2"/>
      <c r="I223" s="30"/>
    </row>
    <row r="224" spans="4:9">
      <c r="D224" s="47"/>
      <c r="E224" s="143"/>
      <c r="H224" s="2"/>
      <c r="I224" s="30"/>
    </row>
    <row r="225" spans="4:9">
      <c r="D225" s="47"/>
      <c r="E225" s="143"/>
      <c r="H225" s="2"/>
      <c r="I225" s="30"/>
    </row>
    <row r="226" spans="4:9">
      <c r="D226" s="47"/>
      <c r="E226" s="143"/>
      <c r="H226" s="2"/>
      <c r="I226" s="30"/>
    </row>
    <row r="227" spans="4:9">
      <c r="D227" s="47"/>
      <c r="E227" s="143"/>
      <c r="H227" s="2"/>
      <c r="I227" s="30"/>
    </row>
    <row r="228" spans="4:9">
      <c r="D228" s="47"/>
      <c r="E228" s="143"/>
      <c r="H228" s="2"/>
      <c r="I228" s="30"/>
    </row>
    <row r="229" spans="4:9">
      <c r="D229" s="47"/>
      <c r="E229" s="143"/>
      <c r="H229" s="2"/>
      <c r="I229" s="30"/>
    </row>
    <row r="230" spans="4:9">
      <c r="D230" s="47"/>
      <c r="E230" s="143"/>
      <c r="H230" s="2"/>
      <c r="I230" s="30"/>
    </row>
    <row r="231" spans="4:9">
      <c r="D231" s="47"/>
      <c r="E231" s="143"/>
      <c r="H231" s="2"/>
      <c r="I231" s="30"/>
    </row>
    <row r="232" spans="4:9">
      <c r="D232" s="47"/>
      <c r="E232" s="143"/>
      <c r="H232" s="2"/>
      <c r="I232" s="30"/>
    </row>
    <row r="233" spans="4:9">
      <c r="D233" s="47"/>
      <c r="E233" s="143"/>
      <c r="H233" s="2"/>
      <c r="I233" s="30"/>
    </row>
    <row r="234" spans="4:9">
      <c r="D234" s="47"/>
      <c r="E234" s="143"/>
      <c r="H234" s="2"/>
      <c r="I234" s="30"/>
    </row>
    <row r="235" spans="4:9">
      <c r="D235" s="47"/>
      <c r="E235" s="143"/>
      <c r="H235" s="2"/>
      <c r="I235" s="30"/>
    </row>
    <row r="236" spans="4:9">
      <c r="D236" s="47"/>
      <c r="E236" s="143"/>
      <c r="H236" s="2"/>
      <c r="I236" s="30"/>
    </row>
    <row r="237" spans="4:9">
      <c r="D237" s="47"/>
      <c r="E237" s="143"/>
      <c r="H237" s="2"/>
      <c r="I237" s="30"/>
    </row>
    <row r="238" spans="4:9">
      <c r="D238" s="47"/>
      <c r="E238" s="143"/>
      <c r="H238" s="2"/>
      <c r="I238" s="30"/>
    </row>
    <row r="239" spans="4:9">
      <c r="D239" s="47"/>
      <c r="E239" s="143"/>
      <c r="H239" s="2"/>
      <c r="I239" s="30"/>
    </row>
    <row r="240" spans="4:9">
      <c r="D240" s="47"/>
      <c r="E240" s="143"/>
      <c r="H240" s="2"/>
      <c r="I240" s="30"/>
    </row>
    <row r="241" spans="4:9">
      <c r="D241" s="47"/>
      <c r="E241" s="143"/>
      <c r="H241" s="2"/>
      <c r="I241" s="30"/>
    </row>
    <row r="242" spans="4:9">
      <c r="D242" s="47"/>
      <c r="E242" s="143"/>
      <c r="H242" s="2"/>
      <c r="I242" s="30"/>
    </row>
    <row r="243" spans="4:9">
      <c r="D243" s="47"/>
      <c r="E243" s="143"/>
      <c r="H243" s="2"/>
      <c r="I243" s="30"/>
    </row>
    <row r="244" spans="4:9">
      <c r="D244" s="47"/>
      <c r="E244" s="143"/>
      <c r="H244" s="2"/>
      <c r="I244" s="30"/>
    </row>
    <row r="245" spans="4:9">
      <c r="D245" s="47"/>
      <c r="E245" s="143"/>
      <c r="H245" s="2"/>
      <c r="I245" s="30"/>
    </row>
    <row r="246" spans="4:9">
      <c r="D246" s="47"/>
      <c r="E246" s="143"/>
      <c r="H246" s="2"/>
      <c r="I246" s="30"/>
    </row>
    <row r="247" spans="4:9">
      <c r="D247" s="47"/>
      <c r="E247" s="143"/>
      <c r="H247" s="2"/>
      <c r="I247" s="30"/>
    </row>
    <row r="248" spans="4:9">
      <c r="D248" s="47"/>
      <c r="E248" s="143"/>
      <c r="H248" s="2"/>
      <c r="I248" s="30"/>
    </row>
    <row r="249" spans="4:9">
      <c r="D249" s="47"/>
      <c r="E249" s="143"/>
      <c r="H249" s="2"/>
      <c r="I249" s="30"/>
    </row>
    <row r="250" spans="4:9">
      <c r="D250" s="47"/>
      <c r="E250" s="143"/>
      <c r="H250" s="2"/>
      <c r="I250" s="30"/>
    </row>
    <row r="251" spans="4:9">
      <c r="D251" s="47"/>
      <c r="E251" s="143"/>
      <c r="H251" s="2"/>
      <c r="I251" s="30"/>
    </row>
    <row r="252" spans="4:9">
      <c r="D252" s="47"/>
      <c r="E252" s="143"/>
      <c r="H252" s="2"/>
      <c r="I252" s="30"/>
    </row>
    <row r="253" spans="4:9">
      <c r="D253" s="47"/>
      <c r="E253" s="143"/>
      <c r="H253" s="2"/>
      <c r="I253" s="30"/>
    </row>
    <row r="254" spans="4:9">
      <c r="D254" s="47"/>
      <c r="E254" s="143"/>
      <c r="H254" s="2"/>
      <c r="I254" s="30"/>
    </row>
    <row r="255" spans="4:9">
      <c r="D255" s="47"/>
      <c r="E255" s="143"/>
      <c r="H255" s="2"/>
      <c r="I255" s="30"/>
    </row>
    <row r="256" spans="4:9">
      <c r="D256" s="47"/>
      <c r="E256" s="143"/>
      <c r="H256" s="2"/>
      <c r="I256" s="30"/>
    </row>
    <row r="257" spans="4:9">
      <c r="D257" s="47"/>
      <c r="E257" s="143"/>
      <c r="H257" s="2"/>
      <c r="I257" s="30"/>
    </row>
    <row r="258" spans="4:9">
      <c r="D258" s="47"/>
      <c r="E258" s="143"/>
      <c r="H258" s="2"/>
      <c r="I258" s="30"/>
    </row>
    <row r="259" spans="4:9">
      <c r="D259" s="47"/>
      <c r="E259" s="143"/>
      <c r="H259" s="2"/>
      <c r="I259" s="30"/>
    </row>
    <row r="260" spans="4:9">
      <c r="D260" s="47"/>
      <c r="E260" s="143"/>
      <c r="H260" s="2"/>
      <c r="I260" s="30"/>
    </row>
    <row r="261" spans="4:9">
      <c r="D261" s="47"/>
      <c r="E261" s="143"/>
      <c r="H261" s="2"/>
      <c r="I261" s="30"/>
    </row>
    <row r="262" spans="4:9">
      <c r="D262" s="47"/>
      <c r="E262" s="143"/>
      <c r="H262" s="2"/>
      <c r="I262" s="30"/>
    </row>
    <row r="263" spans="4:9">
      <c r="D263" s="47"/>
      <c r="E263" s="143"/>
      <c r="H263" s="2"/>
      <c r="I263" s="30"/>
    </row>
    <row r="264" spans="4:9">
      <c r="D264" s="47"/>
      <c r="E264" s="143"/>
      <c r="H264" s="2"/>
      <c r="I264" s="30"/>
    </row>
    <row r="265" spans="4:9">
      <c r="D265" s="47"/>
      <c r="E265" s="143"/>
      <c r="H265" s="2"/>
      <c r="I265" s="30"/>
    </row>
    <row r="266" spans="4:9">
      <c r="D266" s="47"/>
      <c r="E266" s="143"/>
      <c r="H266" s="2"/>
      <c r="I266" s="30"/>
    </row>
    <row r="267" spans="4:9">
      <c r="D267" s="47"/>
      <c r="E267" s="143"/>
      <c r="H267" s="2"/>
      <c r="I267" s="30"/>
    </row>
    <row r="268" spans="4:9">
      <c r="D268" s="47"/>
      <c r="E268" s="143"/>
      <c r="H268" s="2"/>
      <c r="I268" s="30"/>
    </row>
    <row r="269" spans="4:9">
      <c r="D269" s="47"/>
      <c r="E269" s="143"/>
      <c r="H269" s="2"/>
      <c r="I269" s="30"/>
    </row>
    <row r="270" spans="4:9">
      <c r="D270" s="47"/>
      <c r="E270" s="143"/>
      <c r="H270" s="2"/>
      <c r="I270" s="30"/>
    </row>
    <row r="271" spans="4:9">
      <c r="D271" s="47"/>
      <c r="E271" s="143"/>
      <c r="H271" s="2"/>
      <c r="I271" s="30"/>
    </row>
    <row r="272" spans="4:9">
      <c r="D272" s="47"/>
      <c r="E272" s="143"/>
      <c r="H272" s="2"/>
      <c r="I272" s="30"/>
    </row>
    <row r="273" spans="4:9">
      <c r="D273" s="47"/>
      <c r="E273" s="143"/>
      <c r="H273" s="2"/>
      <c r="I273" s="30"/>
    </row>
    <row r="274" spans="4:9">
      <c r="D274" s="47"/>
      <c r="E274" s="143"/>
      <c r="H274" s="2"/>
      <c r="I274" s="30"/>
    </row>
    <row r="275" spans="4:9">
      <c r="D275" s="47"/>
      <c r="E275" s="143"/>
      <c r="H275" s="2"/>
      <c r="I275" s="30"/>
    </row>
    <row r="276" spans="4:9">
      <c r="D276" s="47"/>
      <c r="E276" s="143"/>
      <c r="H276" s="2"/>
      <c r="I276" s="30"/>
    </row>
    <row r="277" spans="4:9">
      <c r="D277" s="47"/>
      <c r="E277" s="143"/>
      <c r="H277" s="2"/>
      <c r="I277" s="30"/>
    </row>
    <row r="278" spans="4:9">
      <c r="D278" s="47"/>
      <c r="E278" s="143"/>
      <c r="H278" s="2"/>
      <c r="I278" s="30"/>
    </row>
    <row r="279" spans="4:9">
      <c r="D279" s="47"/>
      <c r="E279" s="143"/>
      <c r="H279" s="2"/>
      <c r="I279" s="30"/>
    </row>
    <row r="280" spans="4:9">
      <c r="D280" s="47"/>
      <c r="E280" s="143"/>
      <c r="H280" s="2"/>
      <c r="I280" s="30"/>
    </row>
    <row r="281" spans="4:9">
      <c r="D281" s="47"/>
      <c r="E281" s="143"/>
      <c r="H281" s="2"/>
      <c r="I281" s="30"/>
    </row>
    <row r="282" spans="4:9">
      <c r="D282" s="47"/>
      <c r="E282" s="143"/>
      <c r="H282" s="2"/>
      <c r="I282" s="30"/>
    </row>
    <row r="283" spans="4:9">
      <c r="D283" s="47"/>
      <c r="E283" s="143"/>
      <c r="H283" s="2"/>
      <c r="I283" s="30"/>
    </row>
    <row r="284" spans="4:9">
      <c r="D284" s="47"/>
      <c r="E284" s="143"/>
      <c r="H284" s="2"/>
      <c r="I284" s="30"/>
    </row>
    <row r="285" spans="4:9">
      <c r="D285" s="47"/>
      <c r="E285" s="143"/>
      <c r="H285" s="2"/>
      <c r="I285" s="30"/>
    </row>
    <row r="286" spans="4:9">
      <c r="D286" s="47"/>
      <c r="E286" s="143"/>
      <c r="H286" s="2"/>
      <c r="I286" s="30"/>
    </row>
    <row r="287" spans="4:9">
      <c r="D287" s="47"/>
      <c r="E287" s="143"/>
      <c r="H287" s="2"/>
      <c r="I287" s="30"/>
    </row>
    <row r="288" spans="4:9">
      <c r="D288" s="47"/>
      <c r="E288" s="143"/>
      <c r="H288" s="2"/>
      <c r="I288" s="30"/>
    </row>
    <row r="289" spans="4:9">
      <c r="D289" s="47"/>
      <c r="E289" s="143"/>
      <c r="H289" s="2"/>
      <c r="I289" s="30"/>
    </row>
    <row r="290" spans="4:9">
      <c r="D290" s="47"/>
      <c r="E290" s="143"/>
      <c r="H290" s="2"/>
      <c r="I290" s="30"/>
    </row>
    <row r="291" spans="4:9">
      <c r="D291" s="47"/>
      <c r="E291" s="143"/>
      <c r="H291" s="2"/>
      <c r="I291" s="30"/>
    </row>
    <row r="292" spans="4:9">
      <c r="D292" s="47"/>
      <c r="E292" s="143"/>
      <c r="H292" s="2"/>
      <c r="I292" s="30"/>
    </row>
    <row r="293" spans="4:9">
      <c r="D293" s="47"/>
      <c r="E293" s="143"/>
      <c r="H293" s="2"/>
      <c r="I293" s="30"/>
    </row>
    <row r="294" spans="4:9">
      <c r="D294" s="47"/>
      <c r="E294" s="143"/>
      <c r="H294" s="2"/>
      <c r="I294" s="30"/>
    </row>
    <row r="295" spans="4:9">
      <c r="D295" s="47"/>
      <c r="E295" s="143"/>
      <c r="H295" s="2"/>
      <c r="I295" s="30"/>
    </row>
    <row r="296" spans="4:9">
      <c r="D296" s="47"/>
      <c r="E296" s="143"/>
      <c r="H296" s="2"/>
      <c r="I296" s="30"/>
    </row>
    <row r="297" spans="4:9">
      <c r="D297" s="47"/>
      <c r="E297" s="143"/>
      <c r="H297" s="2"/>
      <c r="I297" s="30"/>
    </row>
    <row r="298" spans="4:9">
      <c r="D298" s="47"/>
      <c r="E298" s="143"/>
      <c r="H298" s="2"/>
      <c r="I298" s="30"/>
    </row>
    <row r="299" spans="4:9">
      <c r="D299" s="47"/>
      <c r="E299" s="143"/>
      <c r="H299" s="2"/>
      <c r="I299" s="30"/>
    </row>
    <row r="300" spans="4:9">
      <c r="D300" s="47"/>
      <c r="E300" s="143"/>
      <c r="H300" s="2"/>
      <c r="I300" s="30"/>
    </row>
    <row r="301" spans="4:9">
      <c r="D301" s="47"/>
      <c r="E301" s="143"/>
      <c r="H301" s="2"/>
      <c r="I301" s="30"/>
    </row>
    <row r="302" spans="4:9">
      <c r="D302" s="47"/>
      <c r="E302" s="143"/>
      <c r="H302" s="2"/>
      <c r="I302" s="30"/>
    </row>
    <row r="303" spans="4:9">
      <c r="D303" s="47"/>
      <c r="E303" s="143"/>
      <c r="H303" s="2"/>
      <c r="I303" s="30"/>
    </row>
    <row r="304" spans="4:9">
      <c r="D304" s="47"/>
      <c r="E304" s="143"/>
      <c r="H304" s="2"/>
      <c r="I304" s="30"/>
    </row>
    <row r="305" spans="4:9">
      <c r="D305" s="47"/>
      <c r="E305" s="143"/>
      <c r="H305" s="2"/>
      <c r="I305" s="30"/>
    </row>
    <row r="306" spans="4:9">
      <c r="D306" s="47"/>
      <c r="E306" s="143"/>
      <c r="H306" s="2"/>
      <c r="I306" s="30"/>
    </row>
    <row r="307" spans="4:9">
      <c r="D307" s="47"/>
      <c r="E307" s="143"/>
      <c r="H307" s="2"/>
      <c r="I307" s="30"/>
    </row>
    <row r="308" spans="4:9">
      <c r="D308" s="47"/>
      <c r="E308" s="143"/>
      <c r="H308" s="2"/>
      <c r="I308" s="30"/>
    </row>
    <row r="309" spans="4:9">
      <c r="D309" s="47"/>
      <c r="E309" s="143"/>
      <c r="H309" s="2"/>
      <c r="I309" s="30"/>
    </row>
    <row r="310" spans="4:9">
      <c r="D310" s="47"/>
      <c r="E310" s="143"/>
      <c r="H310" s="2"/>
      <c r="I310" s="30"/>
    </row>
    <row r="311" spans="4:9">
      <c r="D311" s="47"/>
      <c r="E311" s="143"/>
      <c r="H311" s="2"/>
      <c r="I311" s="30"/>
    </row>
    <row r="312" spans="4:9">
      <c r="D312" s="47"/>
      <c r="E312" s="143"/>
      <c r="H312" s="2"/>
      <c r="I312" s="30"/>
    </row>
    <row r="313" spans="4:9">
      <c r="D313" s="47"/>
      <c r="E313" s="143"/>
      <c r="H313" s="2"/>
      <c r="I313" s="30"/>
    </row>
    <row r="314" spans="4:9">
      <c r="D314" s="47"/>
      <c r="E314" s="143"/>
      <c r="H314" s="2"/>
      <c r="I314" s="30"/>
    </row>
    <row r="315" spans="4:9">
      <c r="D315" s="47"/>
      <c r="E315" s="143"/>
      <c r="H315" s="2"/>
      <c r="I315" s="30"/>
    </row>
    <row r="316" spans="4:9">
      <c r="D316" s="47"/>
      <c r="E316" s="143"/>
      <c r="H316" s="2"/>
      <c r="I316" s="30"/>
    </row>
    <row r="317" spans="4:9">
      <c r="D317" s="47"/>
      <c r="E317" s="143"/>
      <c r="H317" s="2"/>
      <c r="I317" s="30"/>
    </row>
    <row r="318" spans="4:9">
      <c r="D318" s="47"/>
      <c r="E318" s="143"/>
      <c r="H318" s="2"/>
      <c r="I318" s="30"/>
    </row>
    <row r="319" spans="4:9">
      <c r="D319" s="47"/>
      <c r="E319" s="143"/>
      <c r="H319" s="2"/>
      <c r="I319" s="30"/>
    </row>
    <row r="320" spans="4:9">
      <c r="D320" s="47"/>
      <c r="E320" s="143"/>
      <c r="H320" s="2"/>
      <c r="I320" s="30"/>
    </row>
    <row r="321" spans="4:9">
      <c r="D321" s="47"/>
      <c r="E321" s="143"/>
      <c r="H321" s="2"/>
      <c r="I321" s="30"/>
    </row>
    <row r="322" spans="4:9">
      <c r="D322" s="47"/>
      <c r="E322" s="143"/>
      <c r="H322" s="2"/>
      <c r="I322" s="30"/>
    </row>
    <row r="323" spans="4:9">
      <c r="D323" s="47"/>
      <c r="E323" s="143"/>
      <c r="H323" s="2"/>
      <c r="I323" s="30"/>
    </row>
    <row r="324" spans="4:9">
      <c r="D324" s="47"/>
      <c r="E324" s="143"/>
      <c r="H324" s="2"/>
      <c r="I324" s="30"/>
    </row>
    <row r="325" spans="4:9">
      <c r="D325" s="47"/>
      <c r="E325" s="143"/>
      <c r="H325" s="2"/>
      <c r="I325" s="30"/>
    </row>
    <row r="326" spans="4:9">
      <c r="D326" s="47"/>
      <c r="E326" s="143"/>
      <c r="H326" s="2"/>
      <c r="I326" s="30"/>
    </row>
    <row r="327" spans="4:9">
      <c r="D327" s="47"/>
      <c r="E327" s="143"/>
      <c r="H327" s="2"/>
      <c r="I327" s="30"/>
    </row>
    <row r="328" spans="4:9">
      <c r="D328" s="47"/>
      <c r="E328" s="143"/>
      <c r="H328" s="2"/>
      <c r="I328" s="30"/>
    </row>
    <row r="329" spans="4:9">
      <c r="D329" s="47"/>
      <c r="E329" s="143"/>
      <c r="H329" s="2"/>
      <c r="I329" s="30"/>
    </row>
    <row r="330" spans="4:9">
      <c r="D330" s="47"/>
      <c r="E330" s="143"/>
      <c r="H330" s="2"/>
      <c r="I330" s="30"/>
    </row>
    <row r="331" spans="4:9">
      <c r="D331" s="47"/>
      <c r="E331" s="143"/>
      <c r="H331" s="2"/>
      <c r="I331" s="30"/>
    </row>
    <row r="332" spans="4:9">
      <c r="D332" s="47"/>
      <c r="E332" s="143"/>
      <c r="H332" s="2"/>
      <c r="I332" s="30"/>
    </row>
    <row r="333" spans="4:9">
      <c r="D333" s="47"/>
      <c r="E333" s="143"/>
      <c r="H333" s="2"/>
      <c r="I333" s="30"/>
    </row>
    <row r="334" spans="4:9">
      <c r="D334" s="47"/>
      <c r="E334" s="143"/>
      <c r="H334" s="2"/>
      <c r="I334" s="30"/>
    </row>
    <row r="335" spans="4:9">
      <c r="D335" s="47"/>
      <c r="E335" s="143"/>
      <c r="H335" s="2"/>
      <c r="I335" s="30"/>
    </row>
    <row r="336" spans="4:9">
      <c r="D336" s="47"/>
      <c r="E336" s="143"/>
      <c r="H336" s="2"/>
      <c r="I336" s="30"/>
    </row>
    <row r="337" spans="4:9">
      <c r="D337" s="47"/>
      <c r="E337" s="143"/>
      <c r="H337" s="2"/>
      <c r="I337" s="30"/>
    </row>
    <row r="338" spans="4:9">
      <c r="D338" s="47"/>
      <c r="E338" s="143"/>
      <c r="H338" s="2"/>
      <c r="I338" s="30"/>
    </row>
    <row r="339" spans="4:9">
      <c r="D339" s="47"/>
      <c r="E339" s="143"/>
      <c r="H339" s="2"/>
      <c r="I339" s="30"/>
    </row>
    <row r="340" spans="4:9">
      <c r="D340" s="47"/>
      <c r="E340" s="143"/>
      <c r="H340" s="2"/>
      <c r="I340" s="30"/>
    </row>
    <row r="341" spans="4:9">
      <c r="D341" s="47"/>
      <c r="E341" s="143"/>
      <c r="H341" s="2"/>
      <c r="I341" s="30"/>
    </row>
    <row r="342" spans="4:9">
      <c r="D342" s="47"/>
      <c r="E342" s="143"/>
      <c r="H342" s="2"/>
      <c r="I342" s="30"/>
    </row>
    <row r="343" spans="4:9">
      <c r="D343" s="47"/>
      <c r="E343" s="143"/>
      <c r="H343" s="2"/>
      <c r="I343" s="30"/>
    </row>
    <row r="344" spans="4:9">
      <c r="D344" s="47"/>
      <c r="E344" s="143"/>
      <c r="H344" s="2"/>
      <c r="I344" s="30"/>
    </row>
    <row r="345" spans="4:9">
      <c r="D345" s="47"/>
      <c r="E345" s="143"/>
      <c r="H345" s="2"/>
      <c r="I345" s="30"/>
    </row>
    <row r="346" spans="4:9">
      <c r="D346" s="47"/>
      <c r="E346" s="143"/>
      <c r="H346" s="2"/>
      <c r="I346" s="30"/>
    </row>
    <row r="347" spans="4:9">
      <c r="D347" s="47"/>
      <c r="E347" s="143"/>
      <c r="H347" s="2"/>
      <c r="I347" s="30"/>
    </row>
    <row r="348" spans="4:9">
      <c r="D348" s="47"/>
      <c r="E348" s="143"/>
      <c r="H348" s="2"/>
      <c r="I348" s="30"/>
    </row>
    <row r="349" spans="4:9">
      <c r="D349" s="47"/>
      <c r="E349" s="143"/>
      <c r="H349" s="2"/>
      <c r="I349" s="30"/>
    </row>
    <row r="350" spans="4:9">
      <c r="D350" s="47"/>
      <c r="E350" s="143"/>
      <c r="H350" s="2"/>
      <c r="I350" s="30"/>
    </row>
    <row r="351" spans="4:9">
      <c r="D351" s="47"/>
      <c r="E351" s="143"/>
      <c r="H351" s="2"/>
      <c r="I351" s="30"/>
    </row>
    <row r="352" spans="4:9">
      <c r="D352" s="47"/>
      <c r="E352" s="143"/>
      <c r="H352" s="2"/>
      <c r="I352" s="30"/>
    </row>
    <row r="353" spans="4:9">
      <c r="D353" s="47"/>
      <c r="E353" s="143"/>
      <c r="H353" s="2"/>
      <c r="I353" s="30"/>
    </row>
    <row r="354" spans="4:9">
      <c r="D354" s="47"/>
      <c r="E354" s="143"/>
      <c r="H354" s="2"/>
      <c r="I354" s="30"/>
    </row>
    <row r="355" spans="4:9">
      <c r="D355" s="47"/>
      <c r="E355" s="143"/>
      <c r="H355" s="2"/>
      <c r="I355" s="30"/>
    </row>
    <row r="356" spans="4:9">
      <c r="D356" s="47"/>
      <c r="E356" s="143"/>
      <c r="H356" s="2"/>
      <c r="I356" s="30"/>
    </row>
    <row r="357" spans="4:9">
      <c r="D357" s="47"/>
      <c r="E357" s="143"/>
      <c r="H357" s="2"/>
      <c r="I357" s="30"/>
    </row>
    <row r="358" spans="4:9">
      <c r="D358" s="47"/>
      <c r="E358" s="143"/>
      <c r="H358" s="2"/>
      <c r="I358" s="30"/>
    </row>
    <row r="359" spans="4:9">
      <c r="D359" s="47"/>
      <c r="E359" s="143"/>
      <c r="H359" s="2"/>
      <c r="I359" s="30"/>
    </row>
    <row r="360" spans="4:9">
      <c r="D360" s="47"/>
      <c r="E360" s="143"/>
      <c r="H360" s="2"/>
      <c r="I360" s="30"/>
    </row>
    <row r="361" spans="4:9">
      <c r="D361" s="47"/>
      <c r="E361" s="143"/>
      <c r="H361" s="2"/>
      <c r="I361" s="30"/>
    </row>
    <row r="362" spans="4:9">
      <c r="D362" s="47"/>
      <c r="E362" s="143"/>
      <c r="H362" s="2"/>
      <c r="I362" s="30"/>
    </row>
    <row r="363" spans="4:9">
      <c r="D363" s="47"/>
      <c r="E363" s="143"/>
      <c r="H363" s="2"/>
      <c r="I363" s="30"/>
    </row>
    <row r="364" spans="4:9">
      <c r="D364" s="47"/>
      <c r="E364" s="143"/>
      <c r="H364" s="2"/>
      <c r="I364" s="30"/>
    </row>
    <row r="365" spans="4:9">
      <c r="D365" s="47"/>
      <c r="E365" s="143"/>
      <c r="H365" s="2"/>
      <c r="I365" s="30"/>
    </row>
    <row r="366" spans="4:9">
      <c r="D366" s="47"/>
      <c r="E366" s="143"/>
      <c r="H366" s="2"/>
      <c r="I366" s="30"/>
    </row>
    <row r="367" spans="4:9">
      <c r="D367" s="47"/>
      <c r="E367" s="143"/>
      <c r="H367" s="2"/>
      <c r="I367" s="30"/>
    </row>
    <row r="368" spans="4:9">
      <c r="D368" s="47"/>
      <c r="E368" s="143"/>
      <c r="H368" s="2"/>
      <c r="I368" s="30"/>
    </row>
    <row r="369" spans="4:9">
      <c r="D369" s="47"/>
      <c r="E369" s="143"/>
      <c r="H369" s="2"/>
      <c r="I369" s="30"/>
    </row>
    <row r="370" spans="4:9">
      <c r="D370" s="47"/>
      <c r="E370" s="143"/>
      <c r="H370" s="2"/>
      <c r="I370" s="30"/>
    </row>
    <row r="371" spans="4:9">
      <c r="D371" s="47"/>
      <c r="E371" s="143"/>
      <c r="H371" s="2"/>
      <c r="I371" s="30"/>
    </row>
    <row r="372" spans="4:9">
      <c r="D372" s="47"/>
      <c r="E372" s="143"/>
      <c r="H372" s="2"/>
      <c r="I372" s="30"/>
    </row>
    <row r="373" spans="4:9">
      <c r="D373" s="47"/>
      <c r="E373" s="143"/>
      <c r="H373" s="2"/>
      <c r="I373" s="30"/>
    </row>
    <row r="374" spans="4:9">
      <c r="D374" s="47"/>
      <c r="E374" s="143"/>
      <c r="H374" s="2"/>
      <c r="I374" s="30"/>
    </row>
    <row r="375" spans="4:9">
      <c r="D375" s="47"/>
      <c r="E375" s="143"/>
      <c r="H375" s="2"/>
      <c r="I375" s="30"/>
    </row>
    <row r="376" spans="4:9">
      <c r="D376" s="47"/>
      <c r="E376" s="143"/>
      <c r="H376" s="2"/>
      <c r="I376" s="30"/>
    </row>
    <row r="377" spans="4:9">
      <c r="D377" s="47"/>
      <c r="E377" s="143"/>
      <c r="H377" s="2"/>
      <c r="I377" s="30"/>
    </row>
    <row r="378" spans="4:9">
      <c r="D378" s="47"/>
      <c r="E378" s="143"/>
      <c r="H378" s="2"/>
      <c r="I378" s="30"/>
    </row>
    <row r="379" spans="4:9">
      <c r="D379" s="47"/>
      <c r="E379" s="143"/>
      <c r="H379" s="2"/>
      <c r="I379" s="30"/>
    </row>
    <row r="380" spans="4:9">
      <c r="D380" s="47"/>
      <c r="E380" s="143"/>
      <c r="H380" s="2"/>
      <c r="I380" s="30"/>
    </row>
    <row r="381" spans="4:9">
      <c r="D381" s="47"/>
      <c r="E381" s="143"/>
      <c r="H381" s="2"/>
      <c r="I381" s="30"/>
    </row>
    <row r="382" spans="4:9">
      <c r="D382" s="47"/>
      <c r="E382" s="143"/>
      <c r="H382" s="2"/>
      <c r="I382" s="30"/>
    </row>
    <row r="383" spans="4:9">
      <c r="D383" s="47"/>
      <c r="E383" s="143"/>
      <c r="H383" s="2"/>
      <c r="I383" s="30"/>
    </row>
    <row r="384" spans="4:9">
      <c r="D384" s="47"/>
      <c r="E384" s="143"/>
      <c r="H384" s="2"/>
      <c r="I384" s="30"/>
    </row>
    <row r="385" spans="4:9">
      <c r="D385" s="47"/>
      <c r="E385" s="143"/>
      <c r="H385" s="2"/>
      <c r="I385" s="30"/>
    </row>
    <row r="386" spans="4:9">
      <c r="D386" s="47"/>
      <c r="E386" s="143"/>
      <c r="H386" s="2"/>
      <c r="I386" s="30"/>
    </row>
    <row r="387" spans="4:9">
      <c r="D387" s="47"/>
      <c r="E387" s="143"/>
      <c r="H387" s="2"/>
      <c r="I387" s="30"/>
    </row>
    <row r="388" spans="4:9">
      <c r="D388" s="47"/>
      <c r="E388" s="143"/>
      <c r="H388" s="2"/>
      <c r="I388" s="30"/>
    </row>
    <row r="389" spans="4:9">
      <c r="D389" s="47"/>
      <c r="E389" s="143"/>
      <c r="H389" s="2"/>
      <c r="I389" s="30"/>
    </row>
    <row r="390" spans="4:9">
      <c r="D390" s="47"/>
      <c r="E390" s="143"/>
      <c r="H390" s="2"/>
      <c r="I390" s="30"/>
    </row>
    <row r="391" spans="4:9">
      <c r="D391" s="47"/>
      <c r="E391" s="143"/>
      <c r="H391" s="2"/>
      <c r="I391" s="30"/>
    </row>
    <row r="392" spans="4:9">
      <c r="D392" s="47"/>
      <c r="E392" s="143"/>
      <c r="H392" s="2"/>
      <c r="I392" s="30"/>
    </row>
    <row r="393" spans="4:9">
      <c r="D393" s="47"/>
      <c r="E393" s="143"/>
      <c r="H393" s="2"/>
      <c r="I393" s="30"/>
    </row>
    <row r="394" spans="4:9">
      <c r="D394" s="47"/>
      <c r="E394" s="143"/>
      <c r="H394" s="2"/>
      <c r="I394" s="30"/>
    </row>
    <row r="395" spans="4:9">
      <c r="D395" s="47"/>
      <c r="E395" s="143"/>
      <c r="H395" s="2"/>
      <c r="I395" s="30"/>
    </row>
    <row r="396" spans="4:9">
      <c r="D396" s="47"/>
      <c r="E396" s="143"/>
      <c r="H396" s="2"/>
      <c r="I396" s="30"/>
    </row>
    <row r="397" spans="4:9">
      <c r="D397" s="47"/>
      <c r="E397" s="143"/>
      <c r="H397" s="2"/>
      <c r="I397" s="30"/>
    </row>
    <row r="398" spans="4:9">
      <c r="D398" s="47"/>
      <c r="E398" s="143"/>
      <c r="H398" s="2"/>
      <c r="I398" s="30"/>
    </row>
    <row r="399" spans="4:9">
      <c r="D399" s="47"/>
      <c r="E399" s="143"/>
      <c r="H399" s="2"/>
      <c r="I399" s="30"/>
    </row>
    <row r="400" spans="4:9">
      <c r="D400" s="47"/>
      <c r="E400" s="143"/>
      <c r="H400" s="2"/>
      <c r="I400" s="30"/>
    </row>
    <row r="401" spans="4:9">
      <c r="D401" s="47"/>
      <c r="E401" s="143"/>
      <c r="H401" s="2"/>
      <c r="I401" s="30"/>
    </row>
    <row r="402" spans="4:9">
      <c r="D402" s="47"/>
      <c r="E402" s="143"/>
      <c r="H402" s="2"/>
      <c r="I402" s="30"/>
    </row>
    <row r="403" spans="4:9">
      <c r="D403" s="47"/>
      <c r="E403" s="143"/>
      <c r="H403" s="2"/>
      <c r="I403" s="30"/>
    </row>
    <row r="404" spans="4:9">
      <c r="D404" s="47"/>
      <c r="E404" s="143"/>
      <c r="H404" s="2"/>
      <c r="I404" s="30"/>
    </row>
    <row r="405" spans="4:9">
      <c r="D405" s="47"/>
      <c r="E405" s="143"/>
      <c r="H405" s="2"/>
      <c r="I405" s="30"/>
    </row>
    <row r="406" spans="4:9">
      <c r="D406" s="47"/>
      <c r="E406" s="143"/>
      <c r="H406" s="2"/>
      <c r="I406" s="30"/>
    </row>
    <row r="407" spans="4:9">
      <c r="D407" s="47"/>
      <c r="E407" s="143"/>
      <c r="H407" s="2"/>
      <c r="I407" s="30"/>
    </row>
    <row r="408" spans="4:9">
      <c r="D408" s="47"/>
      <c r="E408" s="143"/>
      <c r="H408" s="2"/>
      <c r="I408" s="30"/>
    </row>
    <row r="409" spans="4:9">
      <c r="D409" s="47"/>
      <c r="E409" s="143"/>
      <c r="H409" s="2"/>
      <c r="I409" s="30"/>
    </row>
    <row r="410" spans="4:9">
      <c r="D410" s="47"/>
      <c r="E410" s="143"/>
      <c r="H410" s="2"/>
      <c r="I410" s="30"/>
    </row>
    <row r="411" spans="4:9">
      <c r="D411" s="47"/>
      <c r="E411" s="143"/>
      <c r="H411" s="2"/>
      <c r="I411" s="30"/>
    </row>
    <row r="412" spans="4:9">
      <c r="D412" s="47"/>
      <c r="E412" s="143"/>
      <c r="H412" s="2"/>
      <c r="I412" s="30"/>
    </row>
    <row r="413" spans="4:9">
      <c r="D413" s="47"/>
      <c r="E413" s="143"/>
      <c r="H413" s="2"/>
      <c r="I413" s="30"/>
    </row>
    <row r="414" spans="4:9">
      <c r="D414" s="47"/>
      <c r="E414" s="143"/>
      <c r="H414" s="2"/>
      <c r="I414" s="30"/>
    </row>
    <row r="415" spans="4:9">
      <c r="D415" s="47"/>
      <c r="E415" s="143"/>
      <c r="H415" s="2"/>
      <c r="I415" s="30"/>
    </row>
    <row r="416" spans="4:9">
      <c r="D416" s="47"/>
      <c r="E416" s="143"/>
      <c r="H416" s="2"/>
      <c r="I416" s="30"/>
    </row>
    <row r="417" spans="4:9">
      <c r="D417" s="47"/>
      <c r="E417" s="143"/>
      <c r="H417" s="2"/>
      <c r="I417" s="30"/>
    </row>
    <row r="418" spans="4:9">
      <c r="D418" s="47"/>
      <c r="E418" s="143"/>
      <c r="H418" s="2"/>
      <c r="I418" s="30"/>
    </row>
    <row r="419" spans="4:9">
      <c r="D419" s="47"/>
      <c r="E419" s="143"/>
      <c r="H419" s="2"/>
      <c r="I419" s="30"/>
    </row>
    <row r="420" spans="4:9">
      <c r="D420" s="47"/>
      <c r="E420" s="143"/>
      <c r="H420" s="2"/>
      <c r="I420" s="30"/>
    </row>
    <row r="421" spans="4:9">
      <c r="D421" s="47"/>
      <c r="E421" s="143"/>
      <c r="H421" s="2"/>
      <c r="I421" s="30"/>
    </row>
    <row r="422" spans="4:9">
      <c r="D422" s="47"/>
      <c r="E422" s="143"/>
      <c r="H422" s="2"/>
      <c r="I422" s="30"/>
    </row>
    <row r="423" spans="4:9">
      <c r="D423" s="47"/>
      <c r="E423" s="143"/>
      <c r="H423" s="2"/>
      <c r="I423" s="30"/>
    </row>
    <row r="424" spans="4:9">
      <c r="D424" s="47"/>
      <c r="E424" s="143"/>
      <c r="H424" s="2"/>
      <c r="I424" s="30"/>
    </row>
    <row r="425" spans="4:9">
      <c r="D425" s="47"/>
      <c r="E425" s="143"/>
      <c r="H425" s="2"/>
      <c r="I425" s="30"/>
    </row>
    <row r="426" spans="4:9">
      <c r="D426" s="47"/>
      <c r="E426" s="143"/>
      <c r="H426" s="2"/>
      <c r="I426" s="30"/>
    </row>
    <row r="427" spans="4:9">
      <c r="D427" s="47"/>
      <c r="E427" s="143"/>
      <c r="H427" s="2"/>
      <c r="I427" s="30"/>
    </row>
    <row r="428" spans="4:9">
      <c r="D428" s="47"/>
      <c r="E428" s="143"/>
      <c r="H428" s="2"/>
      <c r="I428" s="30"/>
    </row>
    <row r="429" spans="4:9">
      <c r="D429" s="47"/>
      <c r="E429" s="143"/>
      <c r="H429" s="2"/>
      <c r="I429" s="30"/>
    </row>
    <row r="430" spans="4:9">
      <c r="D430" s="47"/>
      <c r="E430" s="143"/>
      <c r="H430" s="2"/>
      <c r="I430" s="30"/>
    </row>
    <row r="431" spans="4:9">
      <c r="D431" s="47"/>
      <c r="E431" s="143"/>
      <c r="H431" s="2"/>
      <c r="I431" s="30"/>
    </row>
    <row r="432" spans="4:9">
      <c r="D432" s="47"/>
      <c r="E432" s="143"/>
      <c r="H432" s="2"/>
      <c r="I432" s="30"/>
    </row>
    <row r="433" spans="4:9">
      <c r="D433" s="47"/>
      <c r="E433" s="143"/>
      <c r="H433" s="2"/>
      <c r="I433" s="30"/>
    </row>
    <row r="434" spans="4:9">
      <c r="D434" s="47"/>
      <c r="E434" s="143"/>
      <c r="H434" s="2"/>
      <c r="I434" s="30"/>
    </row>
    <row r="435" spans="4:9">
      <c r="D435" s="47"/>
      <c r="E435" s="143"/>
      <c r="H435" s="2"/>
      <c r="I435" s="30"/>
    </row>
    <row r="436" spans="4:9">
      <c r="D436" s="47"/>
      <c r="E436" s="143"/>
      <c r="H436" s="2"/>
      <c r="I436" s="30"/>
    </row>
    <row r="437" spans="4:9">
      <c r="D437" s="47"/>
      <c r="E437" s="143"/>
      <c r="H437" s="2"/>
      <c r="I437" s="30"/>
    </row>
    <row r="438" spans="4:9">
      <c r="D438" s="47"/>
      <c r="E438" s="143"/>
      <c r="H438" s="2"/>
      <c r="I438" s="30"/>
    </row>
    <row r="439" spans="4:9">
      <c r="D439" s="47"/>
      <c r="E439" s="143"/>
      <c r="H439" s="2"/>
      <c r="I439" s="30"/>
    </row>
    <row r="440" spans="4:9">
      <c r="D440" s="47"/>
      <c r="E440" s="143"/>
      <c r="H440" s="2"/>
      <c r="I440" s="30"/>
    </row>
    <row r="441" spans="4:9">
      <c r="D441" s="47"/>
      <c r="E441" s="143"/>
      <c r="H441" s="2"/>
      <c r="I441" s="30"/>
    </row>
    <row r="442" spans="4:9">
      <c r="D442" s="47"/>
      <c r="E442" s="143"/>
      <c r="H442" s="2"/>
      <c r="I442" s="30"/>
    </row>
    <row r="443" spans="4:9">
      <c r="D443" s="47"/>
      <c r="E443" s="143"/>
      <c r="H443" s="2"/>
      <c r="I443" s="30"/>
    </row>
    <row r="444" spans="4:9">
      <c r="D444" s="47"/>
      <c r="E444" s="143"/>
      <c r="H444" s="2"/>
      <c r="I444" s="30"/>
    </row>
    <row r="445" spans="4:9">
      <c r="D445" s="47"/>
      <c r="E445" s="143"/>
      <c r="H445" s="2"/>
      <c r="I445" s="30"/>
    </row>
    <row r="446" spans="4:9">
      <c r="D446" s="47"/>
      <c r="E446" s="143"/>
      <c r="H446" s="2"/>
      <c r="I446" s="30"/>
    </row>
    <row r="447" spans="4:9">
      <c r="D447" s="47"/>
      <c r="E447" s="143"/>
      <c r="H447" s="2"/>
      <c r="I447" s="30"/>
    </row>
    <row r="448" spans="4:9">
      <c r="D448" s="47"/>
      <c r="E448" s="143"/>
      <c r="H448" s="2"/>
      <c r="I448" s="30"/>
    </row>
    <row r="449" spans="4:9">
      <c r="D449" s="47"/>
      <c r="E449" s="143"/>
      <c r="H449" s="2"/>
      <c r="I449" s="30"/>
    </row>
    <row r="450" spans="4:9">
      <c r="D450" s="47"/>
      <c r="E450" s="143"/>
      <c r="H450" s="2"/>
      <c r="I450" s="30"/>
    </row>
    <row r="451" spans="4:9">
      <c r="D451" s="47"/>
      <c r="E451" s="143"/>
      <c r="H451" s="2"/>
      <c r="I451" s="30"/>
    </row>
    <row r="452" spans="4:9">
      <c r="D452" s="47"/>
      <c r="E452" s="143"/>
      <c r="H452" s="2"/>
      <c r="I452" s="30"/>
    </row>
    <row r="453" spans="4:9">
      <c r="D453" s="47"/>
      <c r="E453" s="143"/>
      <c r="H453" s="2"/>
      <c r="I453" s="30"/>
    </row>
    <row r="454" spans="4:9">
      <c r="D454" s="47"/>
      <c r="E454" s="143"/>
      <c r="H454" s="2"/>
      <c r="I454" s="30"/>
    </row>
    <row r="455" spans="4:9">
      <c r="D455" s="47"/>
      <c r="E455" s="143"/>
      <c r="H455" s="2"/>
      <c r="I455" s="30"/>
    </row>
    <row r="456" spans="4:9">
      <c r="D456" s="47"/>
      <c r="E456" s="143"/>
      <c r="H456" s="2"/>
      <c r="I456" s="30"/>
    </row>
    <row r="457" spans="4:9">
      <c r="D457" s="47"/>
      <c r="E457" s="143"/>
      <c r="H457" s="2"/>
      <c r="I457" s="30"/>
    </row>
    <row r="458" spans="4:9">
      <c r="D458" s="47"/>
      <c r="E458" s="143"/>
      <c r="H458" s="2"/>
      <c r="I458" s="30"/>
    </row>
    <row r="459" spans="4:9">
      <c r="D459" s="47"/>
      <c r="E459" s="143"/>
      <c r="H459" s="2"/>
      <c r="I459" s="30"/>
    </row>
    <row r="460" spans="4:9">
      <c r="D460" s="47"/>
      <c r="E460" s="143"/>
      <c r="H460" s="2"/>
      <c r="I460" s="30"/>
    </row>
    <row r="461" spans="4:9">
      <c r="D461" s="47"/>
      <c r="E461" s="143"/>
      <c r="H461" s="2"/>
      <c r="I461" s="30"/>
    </row>
    <row r="462" spans="4:9">
      <c r="D462" s="47"/>
      <c r="E462" s="143"/>
      <c r="H462" s="2"/>
      <c r="I462" s="30"/>
    </row>
    <row r="463" spans="4:9">
      <c r="D463" s="47"/>
      <c r="E463" s="143"/>
      <c r="H463" s="2"/>
      <c r="I463" s="30"/>
    </row>
    <row r="464" spans="4:9">
      <c r="D464" s="47"/>
      <c r="E464" s="143"/>
      <c r="H464" s="2"/>
      <c r="I464" s="30"/>
    </row>
    <row r="465" spans="4:9">
      <c r="D465" s="47"/>
      <c r="E465" s="143"/>
      <c r="H465" s="2"/>
      <c r="I465" s="30"/>
    </row>
    <row r="466" spans="4:9">
      <c r="D466" s="47"/>
      <c r="E466" s="143"/>
      <c r="H466" s="2"/>
      <c r="I466" s="30"/>
    </row>
    <row r="467" spans="4:9">
      <c r="D467" s="47"/>
      <c r="E467" s="143"/>
      <c r="H467" s="2"/>
      <c r="I467" s="30"/>
    </row>
    <row r="468" spans="4:9">
      <c r="D468" s="47"/>
      <c r="E468" s="143"/>
      <c r="H468" s="2"/>
      <c r="I468" s="30"/>
    </row>
    <row r="469" spans="4:9">
      <c r="D469" s="47"/>
      <c r="E469" s="143"/>
      <c r="H469" s="2"/>
      <c r="I469" s="30"/>
    </row>
    <row r="470" spans="4:9">
      <c r="D470" s="47"/>
      <c r="E470" s="143"/>
      <c r="H470" s="2"/>
      <c r="I470" s="30"/>
    </row>
    <row r="471" spans="4:9">
      <c r="D471" s="47"/>
      <c r="E471" s="143"/>
      <c r="H471" s="2"/>
      <c r="I471" s="30"/>
    </row>
    <row r="472" spans="4:9">
      <c r="D472" s="47"/>
      <c r="E472" s="143"/>
      <c r="H472" s="2"/>
      <c r="I472" s="30"/>
    </row>
    <row r="473" spans="4:9">
      <c r="D473" s="47"/>
      <c r="E473" s="143"/>
      <c r="H473" s="2"/>
      <c r="I473" s="30"/>
    </row>
    <row r="474" spans="4:9">
      <c r="D474" s="47"/>
      <c r="E474" s="143"/>
      <c r="H474" s="2"/>
      <c r="I474" s="30"/>
    </row>
    <row r="475" spans="4:9">
      <c r="D475" s="47"/>
      <c r="E475" s="143"/>
      <c r="H475" s="2"/>
      <c r="I475" s="30"/>
    </row>
    <row r="476" spans="4:9">
      <c r="D476" s="47"/>
      <c r="E476" s="143"/>
      <c r="H476" s="2"/>
      <c r="I476" s="30"/>
    </row>
    <row r="477" spans="4:9">
      <c r="D477" s="47"/>
      <c r="E477" s="143"/>
      <c r="H477" s="2"/>
      <c r="I477" s="30"/>
    </row>
    <row r="478" spans="4:9">
      <c r="D478" s="47"/>
      <c r="E478" s="143"/>
      <c r="H478" s="2"/>
      <c r="I478" s="30"/>
    </row>
    <row r="479" spans="4:9">
      <c r="D479" s="47"/>
      <c r="E479" s="143"/>
      <c r="H479" s="2"/>
      <c r="I479" s="30"/>
    </row>
    <row r="480" spans="4:9">
      <c r="D480" s="47"/>
      <c r="E480" s="143"/>
      <c r="H480" s="2"/>
      <c r="I480" s="30"/>
    </row>
    <row r="481" spans="4:9">
      <c r="D481" s="47"/>
      <c r="E481" s="143"/>
      <c r="H481" s="2"/>
      <c r="I481" s="30"/>
    </row>
    <row r="482" spans="4:9">
      <c r="D482" s="47"/>
      <c r="E482" s="143"/>
      <c r="H482" s="2"/>
      <c r="I482" s="30"/>
    </row>
    <row r="483" spans="4:9">
      <c r="D483" s="47"/>
      <c r="E483" s="143"/>
      <c r="H483" s="2"/>
      <c r="I483" s="30"/>
    </row>
    <row r="484" spans="4:9">
      <c r="D484" s="47"/>
      <c r="E484" s="143"/>
      <c r="H484" s="2"/>
      <c r="I484" s="30"/>
    </row>
    <row r="485" spans="4:9">
      <c r="D485" s="47"/>
      <c r="E485" s="143"/>
      <c r="H485" s="2"/>
      <c r="I485" s="30"/>
    </row>
    <row r="486" spans="4:9">
      <c r="D486" s="47"/>
      <c r="E486" s="143"/>
      <c r="H486" s="2"/>
      <c r="I486" s="30"/>
    </row>
    <row r="487" spans="4:9">
      <c r="D487" s="47"/>
      <c r="E487" s="143"/>
      <c r="H487" s="2"/>
      <c r="I487" s="30"/>
    </row>
    <row r="488" spans="4:9">
      <c r="D488" s="47"/>
      <c r="E488" s="143"/>
      <c r="H488" s="2"/>
      <c r="I488" s="30"/>
    </row>
    <row r="489" spans="4:9">
      <c r="D489" s="47"/>
      <c r="E489" s="143"/>
      <c r="H489" s="2"/>
      <c r="I489" s="30"/>
    </row>
    <row r="490" spans="4:9">
      <c r="D490" s="47"/>
      <c r="E490" s="143"/>
      <c r="H490" s="2"/>
      <c r="I490" s="30"/>
    </row>
    <row r="491" spans="4:9">
      <c r="D491" s="47"/>
      <c r="E491" s="143"/>
      <c r="H491" s="2"/>
      <c r="I491" s="30"/>
    </row>
    <row r="492" spans="4:9">
      <c r="D492" s="47"/>
      <c r="E492" s="143"/>
      <c r="H492" s="2"/>
      <c r="I492" s="30"/>
    </row>
    <row r="493" spans="4:9">
      <c r="D493" s="47"/>
      <c r="E493" s="143"/>
      <c r="H493" s="2"/>
      <c r="I493" s="30"/>
    </row>
    <row r="494" spans="4:9">
      <c r="D494" s="47"/>
      <c r="E494" s="143"/>
      <c r="H494" s="2"/>
      <c r="I494" s="30"/>
    </row>
    <row r="495" spans="4:9">
      <c r="D495" s="47"/>
      <c r="E495" s="143"/>
      <c r="H495" s="2"/>
      <c r="I495" s="30"/>
    </row>
    <row r="496" spans="4:9">
      <c r="D496" s="47"/>
      <c r="E496" s="143"/>
      <c r="H496" s="2"/>
      <c r="I496" s="30"/>
    </row>
    <row r="497" spans="4:9">
      <c r="D497" s="47"/>
      <c r="E497" s="143"/>
      <c r="H497" s="2"/>
      <c r="I497" s="30"/>
    </row>
    <row r="498" spans="4:9">
      <c r="D498" s="47"/>
      <c r="E498" s="143"/>
      <c r="H498" s="2"/>
      <c r="I498" s="30"/>
    </row>
    <row r="499" spans="4:9">
      <c r="D499" s="47"/>
      <c r="E499" s="143"/>
      <c r="H499" s="2"/>
      <c r="I499" s="30"/>
    </row>
    <row r="500" spans="4:9">
      <c r="D500" s="47"/>
      <c r="E500" s="143"/>
      <c r="H500" s="2"/>
      <c r="I500" s="30"/>
    </row>
    <row r="501" spans="4:9">
      <c r="D501" s="47"/>
      <c r="E501" s="143"/>
      <c r="H501" s="2"/>
      <c r="I501" s="30"/>
    </row>
    <row r="502" spans="4:9">
      <c r="D502" s="47"/>
      <c r="E502" s="143"/>
      <c r="H502" s="2"/>
      <c r="I502" s="30"/>
    </row>
    <row r="503" spans="4:9">
      <c r="D503" s="47"/>
      <c r="E503" s="143"/>
      <c r="H503" s="2"/>
      <c r="I503" s="30"/>
    </row>
    <row r="504" spans="4:9">
      <c r="D504" s="47"/>
      <c r="E504" s="143"/>
      <c r="H504" s="2"/>
      <c r="I504" s="30"/>
    </row>
    <row r="505" spans="4:9">
      <c r="D505" s="47"/>
      <c r="E505" s="143"/>
      <c r="H505" s="2"/>
      <c r="I505" s="30"/>
    </row>
    <row r="506" spans="4:9">
      <c r="D506" s="47"/>
      <c r="E506" s="143"/>
      <c r="H506" s="2"/>
      <c r="I506" s="30"/>
    </row>
    <row r="507" spans="4:9">
      <c r="D507" s="47"/>
      <c r="E507" s="143"/>
      <c r="H507" s="2"/>
      <c r="I507" s="30"/>
    </row>
    <row r="508" spans="4:9">
      <c r="D508" s="47"/>
      <c r="E508" s="143"/>
      <c r="H508" s="2"/>
      <c r="I508" s="30"/>
    </row>
    <row r="509" spans="4:9">
      <c r="D509" s="47"/>
      <c r="E509" s="143"/>
      <c r="H509" s="2"/>
      <c r="I509" s="30"/>
    </row>
    <row r="510" spans="4:9">
      <c r="D510" s="47"/>
      <c r="E510" s="143"/>
      <c r="H510" s="2"/>
      <c r="I510" s="30"/>
    </row>
    <row r="511" spans="4:9">
      <c r="D511" s="47"/>
      <c r="E511" s="143"/>
      <c r="H511" s="2"/>
      <c r="I511" s="30"/>
    </row>
    <row r="512" spans="4:9">
      <c r="D512" s="47"/>
      <c r="E512" s="143"/>
      <c r="H512" s="2"/>
      <c r="I512" s="30"/>
    </row>
    <row r="513" spans="4:9">
      <c r="D513" s="47"/>
      <c r="E513" s="143"/>
      <c r="H513" s="2"/>
      <c r="I513" s="30"/>
    </row>
    <row r="514" spans="4:9">
      <c r="D514" s="47"/>
      <c r="E514" s="143"/>
      <c r="H514" s="2"/>
      <c r="I514" s="30"/>
    </row>
    <row r="515" spans="4:9">
      <c r="D515" s="47"/>
      <c r="E515" s="143"/>
      <c r="H515" s="2"/>
      <c r="I515" s="30"/>
    </row>
    <row r="516" spans="4:9">
      <c r="D516" s="47"/>
      <c r="E516" s="143"/>
      <c r="H516" s="2"/>
      <c r="I516" s="30"/>
    </row>
    <row r="517" spans="4:9">
      <c r="D517" s="47"/>
      <c r="E517" s="143"/>
      <c r="H517" s="2"/>
      <c r="I517" s="30"/>
    </row>
    <row r="518" spans="4:9">
      <c r="D518" s="47"/>
      <c r="E518" s="143"/>
      <c r="H518" s="2"/>
      <c r="I518" s="30"/>
    </row>
    <row r="519" spans="4:9">
      <c r="D519" s="47"/>
      <c r="E519" s="143"/>
      <c r="H519" s="2"/>
      <c r="I519" s="30"/>
    </row>
    <row r="520" spans="4:9">
      <c r="D520" s="47"/>
      <c r="E520" s="143"/>
      <c r="H520" s="2"/>
      <c r="I520" s="30"/>
    </row>
    <row r="521" spans="4:9">
      <c r="D521" s="47"/>
      <c r="E521" s="143"/>
      <c r="H521" s="2"/>
      <c r="I521" s="30"/>
    </row>
    <row r="522" spans="4:9">
      <c r="D522" s="47"/>
      <c r="E522" s="143"/>
      <c r="H522" s="2"/>
      <c r="I522" s="30"/>
    </row>
    <row r="523" spans="4:9">
      <c r="D523" s="47"/>
      <c r="E523" s="143"/>
      <c r="H523" s="2"/>
      <c r="I523" s="30"/>
    </row>
    <row r="524" spans="4:9">
      <c r="D524" s="47"/>
      <c r="E524" s="143"/>
      <c r="H524" s="2"/>
      <c r="I524" s="30"/>
    </row>
    <row r="525" spans="4:9">
      <c r="D525" s="47"/>
      <c r="E525" s="143"/>
      <c r="H525" s="2"/>
      <c r="I525" s="30"/>
    </row>
    <row r="526" spans="4:9">
      <c r="D526" s="47"/>
      <c r="E526" s="143"/>
      <c r="H526" s="2"/>
      <c r="I526" s="30"/>
    </row>
    <row r="527" spans="4:9">
      <c r="D527" s="47"/>
      <c r="E527" s="143"/>
      <c r="H527" s="2"/>
      <c r="I527" s="30"/>
    </row>
    <row r="528" spans="4:9">
      <c r="D528" s="47"/>
      <c r="E528" s="143"/>
      <c r="H528" s="2"/>
      <c r="I528" s="30"/>
    </row>
    <row r="529" spans="4:9">
      <c r="D529" s="47"/>
      <c r="E529" s="143"/>
      <c r="H529" s="2"/>
      <c r="I529" s="30"/>
    </row>
    <row r="530" spans="4:9">
      <c r="D530" s="47"/>
      <c r="E530" s="143"/>
      <c r="H530" s="2"/>
      <c r="I530" s="30"/>
    </row>
    <row r="531" spans="4:9">
      <c r="D531" s="47"/>
      <c r="E531" s="143"/>
      <c r="H531" s="2"/>
      <c r="I531" s="30"/>
    </row>
    <row r="532" spans="4:9">
      <c r="D532" s="47"/>
      <c r="E532" s="143"/>
      <c r="H532" s="2"/>
      <c r="I532" s="30"/>
    </row>
    <row r="533" spans="4:9">
      <c r="D533" s="47"/>
      <c r="E533" s="143"/>
      <c r="H533" s="2"/>
      <c r="I533" s="30"/>
    </row>
    <row r="534" spans="4:9">
      <c r="D534" s="47"/>
      <c r="E534" s="143"/>
      <c r="H534" s="2"/>
      <c r="I534" s="30"/>
    </row>
    <row r="535" spans="4:9">
      <c r="D535" s="47"/>
      <c r="E535" s="143"/>
      <c r="H535" s="2"/>
      <c r="I535" s="30"/>
    </row>
    <row r="536" spans="4:9">
      <c r="D536" s="47"/>
      <c r="E536" s="143"/>
      <c r="H536" s="2"/>
      <c r="I536" s="30"/>
    </row>
    <row r="537" spans="4:9">
      <c r="D537" s="47"/>
      <c r="E537" s="143"/>
      <c r="H537" s="2"/>
      <c r="I537" s="30"/>
    </row>
    <row r="538" spans="4:9">
      <c r="D538" s="47"/>
      <c r="E538" s="143"/>
      <c r="H538" s="2"/>
      <c r="I538" s="30"/>
    </row>
    <row r="539" spans="4:9">
      <c r="D539" s="47"/>
      <c r="E539" s="143"/>
      <c r="H539" s="2"/>
      <c r="I539" s="30"/>
    </row>
    <row r="540" spans="4:9">
      <c r="D540" s="47"/>
      <c r="E540" s="143"/>
      <c r="H540" s="2"/>
      <c r="I540" s="30"/>
    </row>
    <row r="541" spans="4:9">
      <c r="D541" s="47"/>
      <c r="E541" s="143"/>
      <c r="H541" s="2"/>
      <c r="I541" s="30"/>
    </row>
    <row r="542" spans="4:9">
      <c r="D542" s="47"/>
      <c r="E542" s="143"/>
      <c r="H542" s="2"/>
      <c r="I542" s="30"/>
    </row>
    <row r="543" spans="4:9">
      <c r="D543" s="47"/>
      <c r="E543" s="143"/>
      <c r="H543" s="2"/>
      <c r="I543" s="30"/>
    </row>
    <row r="544" spans="4:9">
      <c r="D544" s="47"/>
      <c r="E544" s="143"/>
      <c r="H544" s="2"/>
      <c r="I544" s="30"/>
    </row>
    <row r="545" spans="4:9">
      <c r="D545" s="47"/>
      <c r="E545" s="143"/>
      <c r="H545" s="2"/>
      <c r="I545" s="30"/>
    </row>
    <row r="546" spans="4:9">
      <c r="D546" s="47"/>
      <c r="E546" s="143"/>
      <c r="H546" s="2"/>
      <c r="I546" s="30"/>
    </row>
    <row r="547" spans="4:9">
      <c r="D547" s="47"/>
      <c r="E547" s="143"/>
      <c r="H547" s="2"/>
      <c r="I547" s="30"/>
    </row>
    <row r="548" spans="4:9">
      <c r="D548" s="47"/>
      <c r="E548" s="143"/>
      <c r="H548" s="2"/>
      <c r="I548" s="30"/>
    </row>
    <row r="549" spans="4:9">
      <c r="D549" s="47"/>
      <c r="E549" s="143"/>
      <c r="H549" s="2"/>
      <c r="I549" s="30"/>
    </row>
    <row r="550" spans="4:9">
      <c r="D550" s="47"/>
      <c r="E550" s="143"/>
      <c r="H550" s="2"/>
      <c r="I550" s="30"/>
    </row>
    <row r="551" spans="4:9">
      <c r="D551" s="47"/>
      <c r="E551" s="143"/>
      <c r="H551" s="2"/>
      <c r="I551" s="30"/>
    </row>
    <row r="552" spans="4:9">
      <c r="D552" s="47"/>
      <c r="E552" s="143"/>
      <c r="H552" s="2"/>
      <c r="I552" s="30"/>
    </row>
    <row r="553" spans="4:9">
      <c r="D553" s="47"/>
      <c r="E553" s="143"/>
      <c r="H553" s="2"/>
      <c r="I553" s="30"/>
    </row>
    <row r="554" spans="4:9">
      <c r="D554" s="47"/>
      <c r="E554" s="143"/>
      <c r="H554" s="2"/>
      <c r="I554" s="30"/>
    </row>
    <row r="555" spans="4:9">
      <c r="D555" s="47"/>
      <c r="E555" s="143"/>
      <c r="H555" s="2"/>
      <c r="I555" s="30"/>
    </row>
    <row r="556" spans="4:9">
      <c r="D556" s="47"/>
      <c r="E556" s="143"/>
      <c r="H556" s="2"/>
      <c r="I556" s="30"/>
    </row>
    <row r="557" spans="4:9">
      <c r="D557" s="47"/>
      <c r="E557" s="143"/>
      <c r="H557" s="2"/>
      <c r="I557" s="30"/>
    </row>
    <row r="558" spans="4:9">
      <c r="D558" s="47"/>
      <c r="E558" s="143"/>
      <c r="H558" s="2"/>
      <c r="I558" s="30"/>
    </row>
    <row r="559" spans="4:9">
      <c r="D559" s="47"/>
      <c r="E559" s="143"/>
      <c r="H559" s="2"/>
      <c r="I559" s="30"/>
    </row>
    <row r="560" spans="4:9">
      <c r="D560" s="47"/>
      <c r="E560" s="143"/>
      <c r="H560" s="2"/>
      <c r="I560" s="30"/>
    </row>
    <row r="561" spans="4:9">
      <c r="D561" s="47"/>
      <c r="E561" s="143"/>
      <c r="H561" s="2"/>
      <c r="I561" s="30"/>
    </row>
    <row r="562" spans="4:9">
      <c r="D562" s="47"/>
      <c r="E562" s="143"/>
      <c r="H562" s="2"/>
      <c r="I562" s="30"/>
    </row>
    <row r="563" spans="4:9">
      <c r="D563" s="47"/>
      <c r="E563" s="143"/>
      <c r="H563" s="2"/>
      <c r="I563" s="30"/>
    </row>
    <row r="564" spans="4:9">
      <c r="D564" s="47"/>
      <c r="E564" s="143"/>
      <c r="H564" s="2"/>
      <c r="I564" s="30"/>
    </row>
    <row r="565" spans="4:9">
      <c r="D565" s="47"/>
      <c r="E565" s="143"/>
      <c r="H565" s="2"/>
      <c r="I565" s="30"/>
    </row>
    <row r="566" spans="4:9">
      <c r="D566" s="47"/>
      <c r="E566" s="143"/>
      <c r="H566" s="2"/>
      <c r="I566" s="30"/>
    </row>
    <row r="567" spans="4:9">
      <c r="D567" s="47"/>
      <c r="E567" s="143"/>
      <c r="H567" s="2"/>
      <c r="I567" s="30"/>
    </row>
    <row r="568" spans="4:9">
      <c r="D568" s="47"/>
      <c r="E568" s="143"/>
      <c r="H568" s="2"/>
      <c r="I568" s="30"/>
    </row>
    <row r="569" spans="4:9">
      <c r="D569" s="47"/>
      <c r="E569" s="143"/>
      <c r="H569" s="2"/>
      <c r="I569" s="30"/>
    </row>
    <row r="570" spans="4:9">
      <c r="D570" s="47"/>
      <c r="E570" s="143"/>
      <c r="H570" s="2"/>
      <c r="I570" s="30"/>
    </row>
    <row r="571" spans="4:9">
      <c r="D571" s="47"/>
      <c r="E571" s="143"/>
      <c r="H571" s="2"/>
      <c r="I571" s="30"/>
    </row>
    <row r="572" spans="4:9">
      <c r="D572" s="47"/>
      <c r="E572" s="143"/>
      <c r="H572" s="2"/>
      <c r="I572" s="30"/>
    </row>
    <row r="573" spans="4:9">
      <c r="D573" s="47"/>
      <c r="E573" s="143"/>
      <c r="H573" s="2"/>
      <c r="I573" s="30"/>
    </row>
    <row r="574" spans="4:9">
      <c r="D574" s="47"/>
      <c r="E574" s="143"/>
      <c r="H574" s="2"/>
      <c r="I574" s="30"/>
    </row>
    <row r="575" spans="4:9">
      <c r="D575" s="47"/>
      <c r="E575" s="143"/>
      <c r="H575" s="2"/>
      <c r="I575" s="30"/>
    </row>
    <row r="576" spans="4:9">
      <c r="D576" s="47"/>
      <c r="E576" s="143"/>
      <c r="H576" s="2"/>
      <c r="I576" s="30"/>
    </row>
    <row r="577" spans="4:9">
      <c r="D577" s="47"/>
      <c r="E577" s="143"/>
      <c r="H577" s="2"/>
      <c r="I577" s="30"/>
    </row>
    <row r="578" spans="4:9">
      <c r="D578" s="47"/>
      <c r="E578" s="143"/>
      <c r="H578" s="2"/>
      <c r="I578" s="30"/>
    </row>
    <row r="579" spans="4:9">
      <c r="D579" s="47"/>
      <c r="E579" s="143"/>
      <c r="H579" s="2"/>
      <c r="I579" s="30"/>
    </row>
    <row r="580" spans="4:9">
      <c r="D580" s="47"/>
      <c r="E580" s="143"/>
      <c r="H580" s="2"/>
      <c r="I580" s="30"/>
    </row>
    <row r="581" spans="4:9">
      <c r="D581" s="47"/>
      <c r="E581" s="143"/>
      <c r="H581" s="2"/>
      <c r="I581" s="30"/>
    </row>
    <row r="582" spans="4:9">
      <c r="D582" s="47"/>
      <c r="E582" s="143"/>
      <c r="H582" s="2"/>
      <c r="I582" s="30"/>
    </row>
    <row r="583" spans="4:9">
      <c r="D583" s="47"/>
      <c r="E583" s="143"/>
      <c r="H583" s="2"/>
      <c r="I583" s="30"/>
    </row>
    <row r="584" spans="4:9">
      <c r="D584" s="47"/>
      <c r="E584" s="143"/>
      <c r="H584" s="2"/>
      <c r="I584" s="30"/>
    </row>
    <row r="585" spans="4:9">
      <c r="D585" s="47"/>
      <c r="E585" s="143"/>
      <c r="H585" s="2"/>
      <c r="I585" s="30"/>
    </row>
    <row r="586" spans="4:9">
      <c r="D586" s="47"/>
      <c r="E586" s="143"/>
      <c r="H586" s="2"/>
      <c r="I586" s="30"/>
    </row>
    <row r="587" spans="4:9">
      <c r="D587" s="47"/>
      <c r="E587" s="143"/>
      <c r="H587" s="2"/>
      <c r="I587" s="30"/>
    </row>
    <row r="588" spans="4:9">
      <c r="D588" s="47"/>
      <c r="E588" s="143"/>
      <c r="H588" s="2"/>
      <c r="I588" s="30"/>
    </row>
    <row r="589" spans="4:9">
      <c r="D589" s="47"/>
      <c r="E589" s="143"/>
      <c r="H589" s="2"/>
      <c r="I589" s="30"/>
    </row>
    <row r="590" spans="4:9">
      <c r="D590" s="47"/>
      <c r="E590" s="143"/>
      <c r="H590" s="2"/>
      <c r="I590" s="30"/>
    </row>
    <row r="591" spans="4:9">
      <c r="D591" s="47"/>
      <c r="E591" s="143"/>
      <c r="H591" s="2"/>
      <c r="I591" s="30"/>
    </row>
    <row r="592" spans="4:9">
      <c r="D592" s="47"/>
      <c r="E592" s="143"/>
      <c r="H592" s="2"/>
      <c r="I592" s="30"/>
    </row>
    <row r="593" spans="4:9">
      <c r="D593" s="47"/>
      <c r="E593" s="143"/>
      <c r="H593" s="2"/>
      <c r="I593" s="30"/>
    </row>
    <row r="594" spans="4:9">
      <c r="D594" s="47"/>
      <c r="E594" s="143"/>
      <c r="H594" s="2"/>
      <c r="I594" s="30"/>
    </row>
    <row r="595" spans="4:9">
      <c r="D595" s="47"/>
      <c r="E595" s="143"/>
      <c r="H595" s="2"/>
      <c r="I595" s="30"/>
    </row>
    <row r="596" spans="4:9">
      <c r="D596" s="47"/>
      <c r="E596" s="143"/>
      <c r="H596" s="2"/>
      <c r="I596" s="30"/>
    </row>
    <row r="597" spans="4:9">
      <c r="D597" s="47"/>
      <c r="E597" s="143"/>
      <c r="H597" s="2"/>
      <c r="I597" s="30"/>
    </row>
    <row r="598" spans="4:9">
      <c r="D598" s="47"/>
      <c r="E598" s="143"/>
      <c r="H598" s="2"/>
      <c r="I598" s="30"/>
    </row>
    <row r="599" spans="4:9">
      <c r="D599" s="47"/>
      <c r="E599" s="143"/>
      <c r="H599" s="2"/>
      <c r="I599" s="30"/>
    </row>
    <row r="600" spans="4:9">
      <c r="D600" s="47"/>
      <c r="E600" s="143"/>
      <c r="H600" s="2"/>
      <c r="I600" s="30"/>
    </row>
    <row r="601" spans="4:9">
      <c r="D601" s="47"/>
      <c r="E601" s="143"/>
      <c r="H601" s="2"/>
      <c r="I601" s="30"/>
    </row>
    <row r="602" spans="4:9">
      <c r="D602" s="47"/>
      <c r="E602" s="143"/>
      <c r="H602" s="2"/>
      <c r="I602" s="30"/>
    </row>
    <row r="603" spans="4:9">
      <c r="D603" s="47"/>
      <c r="E603" s="143"/>
      <c r="H603" s="2"/>
      <c r="I603" s="30"/>
    </row>
    <row r="604" spans="4:9">
      <c r="D604" s="47"/>
      <c r="E604" s="143"/>
      <c r="H604" s="2"/>
      <c r="I604" s="30"/>
    </row>
    <row r="605" spans="4:9">
      <c r="D605" s="47"/>
      <c r="E605" s="143"/>
      <c r="H605" s="2"/>
      <c r="I605" s="30"/>
    </row>
    <row r="606" spans="4:9">
      <c r="D606" s="47"/>
      <c r="E606" s="143"/>
      <c r="H606" s="2"/>
      <c r="I606" s="30"/>
    </row>
    <row r="607" spans="4:9">
      <c r="D607" s="47"/>
      <c r="E607" s="143"/>
      <c r="H607" s="2"/>
      <c r="I607" s="30"/>
    </row>
    <row r="608" spans="4:9">
      <c r="D608" s="47"/>
      <c r="E608" s="143"/>
      <c r="H608" s="2"/>
      <c r="I608" s="30"/>
    </row>
    <row r="609" spans="4:9">
      <c r="D609" s="47"/>
      <c r="E609" s="143"/>
      <c r="H609" s="2"/>
      <c r="I609" s="30"/>
    </row>
    <row r="610" spans="4:9">
      <c r="D610" s="47"/>
      <c r="E610" s="143"/>
      <c r="H610" s="2"/>
      <c r="I610" s="30"/>
    </row>
    <row r="611" spans="4:9">
      <c r="D611" s="47"/>
      <c r="E611" s="143"/>
      <c r="H611" s="2"/>
      <c r="I611" s="30"/>
    </row>
    <row r="612" spans="4:9">
      <c r="D612" s="47"/>
      <c r="E612" s="143"/>
      <c r="H612" s="2"/>
      <c r="I612" s="30"/>
    </row>
    <row r="613" spans="4:9">
      <c r="D613" s="47"/>
      <c r="E613" s="143"/>
      <c r="H613" s="2"/>
      <c r="I613" s="30"/>
    </row>
    <row r="614" spans="4:9">
      <c r="D614" s="47"/>
      <c r="E614" s="143"/>
      <c r="H614" s="2"/>
      <c r="I614" s="30"/>
    </row>
    <row r="615" spans="4:9">
      <c r="D615" s="47"/>
      <c r="E615" s="143"/>
      <c r="H615" s="2"/>
      <c r="I615" s="30"/>
    </row>
    <row r="616" spans="4:9">
      <c r="D616" s="47"/>
      <c r="E616" s="143"/>
      <c r="H616" s="2"/>
      <c r="I616" s="30"/>
    </row>
    <row r="617" spans="4:9">
      <c r="D617" s="47"/>
      <c r="E617" s="143"/>
      <c r="H617" s="2"/>
      <c r="I617" s="30"/>
    </row>
    <row r="618" spans="4:9">
      <c r="D618" s="47"/>
      <c r="E618" s="143"/>
      <c r="H618" s="2"/>
      <c r="I618" s="30"/>
    </row>
    <row r="619" spans="4:9">
      <c r="D619" s="47"/>
      <c r="E619" s="143"/>
      <c r="H619" s="2"/>
      <c r="I619" s="30"/>
    </row>
    <row r="620" spans="4:9">
      <c r="D620" s="47"/>
      <c r="E620" s="143"/>
      <c r="H620" s="2"/>
      <c r="I620" s="30"/>
    </row>
    <row r="621" spans="4:9">
      <c r="D621" s="47"/>
      <c r="E621" s="143"/>
      <c r="H621" s="2"/>
      <c r="I621" s="30"/>
    </row>
    <row r="622" spans="4:9">
      <c r="D622" s="47"/>
      <c r="E622" s="143"/>
      <c r="H622" s="2"/>
      <c r="I622" s="30"/>
    </row>
    <row r="623" spans="4:9">
      <c r="D623" s="47"/>
      <c r="E623" s="143"/>
      <c r="H623" s="2"/>
      <c r="I623" s="30"/>
    </row>
    <row r="624" spans="4:9">
      <c r="D624" s="47"/>
      <c r="E624" s="143"/>
      <c r="H624" s="2"/>
      <c r="I624" s="30"/>
    </row>
    <row r="625" spans="4:9">
      <c r="D625" s="47"/>
      <c r="E625" s="143"/>
      <c r="H625" s="2"/>
      <c r="I625" s="30"/>
    </row>
    <row r="626" spans="4:9">
      <c r="D626" s="47"/>
      <c r="E626" s="143"/>
      <c r="H626" s="2"/>
      <c r="I626" s="30"/>
    </row>
    <row r="627" spans="4:9">
      <c r="D627" s="47"/>
      <c r="E627" s="143"/>
      <c r="H627" s="2"/>
      <c r="I627" s="30"/>
    </row>
    <row r="628" spans="4:9">
      <c r="D628" s="47"/>
      <c r="E628" s="143"/>
      <c r="H628" s="2"/>
      <c r="I628" s="30"/>
    </row>
    <row r="629" spans="4:9">
      <c r="D629" s="47"/>
      <c r="E629" s="143"/>
      <c r="H629" s="2"/>
      <c r="I629" s="30"/>
    </row>
    <row r="630" spans="4:9">
      <c r="D630" s="47"/>
      <c r="E630" s="143"/>
      <c r="H630" s="2"/>
      <c r="I630" s="30"/>
    </row>
    <row r="631" spans="4:9">
      <c r="D631" s="47"/>
      <c r="E631" s="143"/>
      <c r="H631" s="2"/>
      <c r="I631" s="30"/>
    </row>
    <row r="632" spans="4:9">
      <c r="D632" s="47"/>
      <c r="E632" s="143"/>
      <c r="H632" s="2"/>
      <c r="I632" s="30"/>
    </row>
    <row r="633" spans="4:9">
      <c r="D633" s="47"/>
      <c r="E633" s="143"/>
      <c r="H633" s="2"/>
      <c r="I633" s="30"/>
    </row>
    <row r="634" spans="4:9">
      <c r="D634" s="47"/>
      <c r="E634" s="143"/>
      <c r="H634" s="2"/>
      <c r="I634" s="30"/>
    </row>
    <row r="635" spans="4:9">
      <c r="D635" s="47"/>
      <c r="E635" s="143"/>
      <c r="H635" s="2"/>
      <c r="I635" s="30"/>
    </row>
    <row r="636" spans="4:9">
      <c r="D636" s="47"/>
      <c r="E636" s="143"/>
      <c r="H636" s="2"/>
      <c r="I636" s="30"/>
    </row>
    <row r="637" spans="4:9">
      <c r="D637" s="47"/>
      <c r="E637" s="143"/>
      <c r="H637" s="2"/>
      <c r="I637" s="30"/>
    </row>
    <row r="638" spans="4:9">
      <c r="D638" s="47"/>
      <c r="E638" s="143"/>
      <c r="H638" s="2"/>
      <c r="I638" s="30"/>
    </row>
    <row r="639" spans="4:9">
      <c r="D639" s="47"/>
      <c r="E639" s="143"/>
      <c r="H639" s="2"/>
      <c r="I639" s="30"/>
    </row>
    <row r="640" spans="4:9">
      <c r="D640" s="47"/>
      <c r="E640" s="143"/>
      <c r="H640" s="2"/>
      <c r="I640" s="30"/>
    </row>
    <row r="641" spans="4:9">
      <c r="D641" s="47"/>
      <c r="E641" s="143"/>
      <c r="H641" s="2"/>
      <c r="I641" s="30"/>
    </row>
    <row r="642" spans="4:9">
      <c r="D642" s="47"/>
      <c r="E642" s="143"/>
      <c r="H642" s="2"/>
      <c r="I642" s="30"/>
    </row>
    <row r="643" spans="4:9">
      <c r="D643" s="47"/>
      <c r="E643" s="143"/>
      <c r="H643" s="2"/>
      <c r="I643" s="30"/>
    </row>
    <row r="644" spans="4:9">
      <c r="D644" s="47"/>
      <c r="E644" s="143"/>
      <c r="H644" s="2"/>
      <c r="I644" s="30"/>
    </row>
    <row r="645" spans="4:9">
      <c r="D645" s="47"/>
      <c r="E645" s="143"/>
      <c r="H645" s="2"/>
      <c r="I645" s="30"/>
    </row>
    <row r="646" spans="4:9">
      <c r="D646" s="47"/>
      <c r="E646" s="143"/>
      <c r="H646" s="2"/>
      <c r="I646" s="30"/>
    </row>
    <row r="647" spans="4:9">
      <c r="D647" s="47"/>
      <c r="E647" s="143"/>
      <c r="H647" s="2"/>
      <c r="I647" s="30"/>
    </row>
    <row r="648" spans="4:9">
      <c r="D648" s="47"/>
      <c r="E648" s="143"/>
      <c r="H648" s="2"/>
      <c r="I648" s="30"/>
    </row>
    <row r="649" spans="4:9">
      <c r="D649" s="47"/>
      <c r="E649" s="143"/>
      <c r="H649" s="2"/>
      <c r="I649" s="30"/>
    </row>
    <row r="650" spans="4:9">
      <c r="D650" s="47"/>
      <c r="E650" s="143"/>
      <c r="H650" s="2"/>
      <c r="I650" s="30"/>
    </row>
    <row r="651" spans="4:9">
      <c r="D651" s="47"/>
      <c r="E651" s="143"/>
      <c r="H651" s="2"/>
      <c r="I651" s="30"/>
    </row>
    <row r="652" spans="4:9">
      <c r="D652" s="47"/>
      <c r="E652" s="143"/>
      <c r="H652" s="2"/>
      <c r="I652" s="30"/>
    </row>
    <row r="653" spans="4:9">
      <c r="D653" s="47"/>
      <c r="E653" s="143"/>
      <c r="H653" s="2"/>
      <c r="I653" s="30"/>
    </row>
    <row r="654" spans="4:9">
      <c r="D654" s="47"/>
      <c r="E654" s="143"/>
      <c r="H654" s="2"/>
      <c r="I654" s="30"/>
    </row>
    <row r="655" spans="4:9">
      <c r="D655" s="47"/>
      <c r="E655" s="143"/>
      <c r="H655" s="2"/>
      <c r="I655" s="30"/>
    </row>
    <row r="656" spans="4:9">
      <c r="D656" s="47"/>
      <c r="E656" s="143"/>
      <c r="H656" s="2"/>
      <c r="I656" s="30"/>
    </row>
    <row r="657" spans="4:9">
      <c r="D657" s="47"/>
      <c r="E657" s="143"/>
      <c r="H657" s="2"/>
      <c r="I657" s="30"/>
    </row>
    <row r="658" spans="4:9">
      <c r="D658" s="47"/>
      <c r="E658" s="143"/>
      <c r="H658" s="2"/>
      <c r="I658" s="30"/>
    </row>
    <row r="659" spans="4:9">
      <c r="D659" s="47"/>
      <c r="E659" s="143"/>
      <c r="H659" s="2"/>
      <c r="I659" s="30"/>
    </row>
    <row r="660" spans="4:9">
      <c r="D660" s="47"/>
      <c r="E660" s="143"/>
      <c r="H660" s="2"/>
      <c r="I660" s="30"/>
    </row>
    <row r="661" spans="4:9">
      <c r="D661" s="47"/>
      <c r="E661" s="143"/>
      <c r="H661" s="2"/>
      <c r="I661" s="30"/>
    </row>
    <row r="662" spans="4:9">
      <c r="D662" s="47"/>
      <c r="E662" s="143"/>
      <c r="H662" s="2"/>
      <c r="I662" s="30"/>
    </row>
    <row r="663" spans="4:9">
      <c r="D663" s="47"/>
      <c r="E663" s="143"/>
      <c r="H663" s="2"/>
      <c r="I663" s="30"/>
    </row>
    <row r="664" spans="4:9">
      <c r="D664" s="47"/>
      <c r="E664" s="143"/>
      <c r="H664" s="2"/>
      <c r="I664" s="30"/>
    </row>
    <row r="665" spans="4:9">
      <c r="D665" s="47"/>
      <c r="E665" s="143"/>
      <c r="H665" s="2"/>
      <c r="I665" s="30"/>
    </row>
    <row r="666" spans="4:9">
      <c r="D666" s="47"/>
      <c r="E666" s="143"/>
      <c r="H666" s="2"/>
      <c r="I666" s="30"/>
    </row>
    <row r="667" spans="4:9">
      <c r="D667" s="47"/>
      <c r="E667" s="143"/>
      <c r="H667" s="2"/>
      <c r="I667" s="30"/>
    </row>
    <row r="668" spans="4:9">
      <c r="D668" s="47"/>
      <c r="E668" s="143"/>
      <c r="H668" s="2"/>
      <c r="I668" s="30"/>
    </row>
    <row r="669" spans="4:9">
      <c r="D669" s="47"/>
      <c r="E669" s="143"/>
      <c r="H669" s="2"/>
      <c r="I669" s="30"/>
    </row>
    <row r="670" spans="4:9">
      <c r="D670" s="47"/>
      <c r="E670" s="143"/>
      <c r="H670" s="2"/>
      <c r="I670" s="30"/>
    </row>
    <row r="671" spans="4:9">
      <c r="D671" s="47"/>
      <c r="E671" s="143"/>
      <c r="H671" s="2"/>
      <c r="I671" s="30"/>
    </row>
    <row r="672" spans="4:9">
      <c r="D672" s="47"/>
      <c r="E672" s="143"/>
      <c r="H672" s="2"/>
      <c r="I672" s="30"/>
    </row>
    <row r="673" spans="4:9">
      <c r="D673" s="47"/>
      <c r="E673" s="143"/>
      <c r="H673" s="2"/>
      <c r="I673" s="30"/>
    </row>
    <row r="674" spans="4:9">
      <c r="D674" s="47"/>
      <c r="E674" s="143"/>
      <c r="H674" s="2"/>
      <c r="I674" s="30"/>
    </row>
    <row r="675" spans="4:9">
      <c r="D675" s="47"/>
      <c r="E675" s="143"/>
      <c r="H675" s="2"/>
      <c r="I675" s="30"/>
    </row>
    <row r="676" spans="4:9">
      <c r="D676" s="47"/>
      <c r="E676" s="143"/>
      <c r="H676" s="2"/>
      <c r="I676" s="30"/>
    </row>
    <row r="677" spans="4:9">
      <c r="D677" s="47"/>
      <c r="E677" s="143"/>
      <c r="H677" s="2"/>
      <c r="I677" s="30"/>
    </row>
    <row r="678" spans="4:9">
      <c r="D678" s="47"/>
      <c r="E678" s="143"/>
      <c r="H678" s="2"/>
      <c r="I678" s="30"/>
    </row>
    <row r="679" spans="4:9">
      <c r="D679" s="47"/>
      <c r="E679" s="143"/>
      <c r="H679" s="2"/>
      <c r="I679" s="30"/>
    </row>
    <row r="680" spans="4:9">
      <c r="D680" s="47"/>
      <c r="E680" s="143"/>
      <c r="H680" s="2"/>
      <c r="I680" s="30"/>
    </row>
    <row r="681" spans="4:9">
      <c r="D681" s="47"/>
      <c r="E681" s="143"/>
      <c r="H681" s="2"/>
      <c r="I681" s="30"/>
    </row>
    <row r="682" spans="4:9">
      <c r="D682" s="47"/>
      <c r="E682" s="143"/>
      <c r="H682" s="2"/>
      <c r="I682" s="30"/>
    </row>
    <row r="683" spans="4:9">
      <c r="D683" s="47"/>
      <c r="E683" s="143"/>
      <c r="H683" s="2"/>
      <c r="I683" s="30"/>
    </row>
    <row r="684" spans="4:9">
      <c r="D684" s="47"/>
      <c r="E684" s="143"/>
      <c r="H684" s="2"/>
      <c r="I684" s="30"/>
    </row>
    <row r="685" spans="4:9">
      <c r="D685" s="47"/>
      <c r="E685" s="143"/>
      <c r="H685" s="2"/>
      <c r="I685" s="30"/>
    </row>
    <row r="686" spans="4:9">
      <c r="D686" s="47"/>
      <c r="E686" s="143"/>
      <c r="H686" s="2"/>
      <c r="I686" s="30"/>
    </row>
    <row r="687" spans="4:9">
      <c r="D687" s="47"/>
      <c r="E687" s="143"/>
      <c r="H687" s="2"/>
      <c r="I687" s="30"/>
    </row>
    <row r="688" spans="4:9">
      <c r="D688" s="47"/>
      <c r="E688" s="143"/>
      <c r="H688" s="2"/>
      <c r="I688" s="30"/>
    </row>
    <row r="689" spans="4:9">
      <c r="D689" s="47"/>
      <c r="E689" s="143"/>
      <c r="H689" s="2"/>
      <c r="I689" s="30"/>
    </row>
    <row r="690" spans="4:9">
      <c r="D690" s="47"/>
      <c r="E690" s="143"/>
      <c r="H690" s="2"/>
      <c r="I690" s="30"/>
    </row>
    <row r="691" spans="4:9">
      <c r="D691" s="47"/>
      <c r="E691" s="143"/>
      <c r="H691" s="2"/>
      <c r="I691" s="30"/>
    </row>
    <row r="692" spans="4:9">
      <c r="D692" s="47"/>
      <c r="E692" s="143"/>
      <c r="H692" s="2"/>
      <c r="I692" s="30"/>
    </row>
    <row r="693" spans="4:9">
      <c r="D693" s="47"/>
      <c r="E693" s="143"/>
      <c r="H693" s="2"/>
      <c r="I693" s="30"/>
    </row>
    <row r="694" spans="4:9">
      <c r="D694" s="47"/>
      <c r="E694" s="143"/>
      <c r="H694" s="2"/>
      <c r="I694" s="30"/>
    </row>
    <row r="695" spans="4:9">
      <c r="D695" s="47"/>
      <c r="E695" s="143"/>
      <c r="H695" s="2"/>
      <c r="I695" s="30"/>
    </row>
    <row r="696" spans="4:9">
      <c r="D696" s="47"/>
      <c r="E696" s="143"/>
      <c r="H696" s="2"/>
      <c r="I696" s="30"/>
    </row>
    <row r="697" spans="4:9">
      <c r="D697" s="47"/>
      <c r="E697" s="143"/>
      <c r="H697" s="2"/>
      <c r="I697" s="30"/>
    </row>
    <row r="698" spans="4:9">
      <c r="D698" s="47"/>
      <c r="E698" s="143"/>
      <c r="H698" s="2"/>
      <c r="I698" s="30"/>
    </row>
    <row r="699" spans="4:9">
      <c r="D699" s="47"/>
      <c r="E699" s="143"/>
      <c r="H699" s="2"/>
      <c r="I699" s="30"/>
    </row>
    <row r="700" spans="4:9">
      <c r="D700" s="47"/>
      <c r="E700" s="143"/>
      <c r="H700" s="2"/>
      <c r="I700" s="30"/>
    </row>
    <row r="701" spans="4:9">
      <c r="D701" s="47"/>
      <c r="E701" s="143"/>
      <c r="H701" s="2"/>
      <c r="I701" s="30"/>
    </row>
    <row r="702" spans="4:9">
      <c r="D702" s="47"/>
      <c r="E702" s="143"/>
      <c r="H702" s="2"/>
      <c r="I702" s="30"/>
    </row>
    <row r="703" spans="4:9">
      <c r="D703" s="47"/>
      <c r="E703" s="143"/>
      <c r="H703" s="2"/>
      <c r="I703" s="30"/>
    </row>
    <row r="704" spans="4:9">
      <c r="D704" s="47"/>
      <c r="E704" s="143"/>
      <c r="H704" s="2"/>
      <c r="I704" s="30"/>
    </row>
    <row r="705" spans="4:9">
      <c r="D705" s="47"/>
      <c r="E705" s="143"/>
      <c r="H705" s="2"/>
      <c r="I705" s="30"/>
    </row>
    <row r="706" spans="4:9">
      <c r="D706" s="47"/>
      <c r="E706" s="143"/>
      <c r="H706" s="2"/>
      <c r="I706" s="30"/>
    </row>
    <row r="707" spans="4:9">
      <c r="D707" s="47"/>
      <c r="E707" s="143"/>
      <c r="H707" s="2"/>
      <c r="I707" s="30"/>
    </row>
    <row r="708" spans="4:9">
      <c r="D708" s="47"/>
      <c r="E708" s="143"/>
      <c r="H708" s="2"/>
      <c r="I708" s="30"/>
    </row>
    <row r="709" spans="4:9">
      <c r="D709" s="47"/>
      <c r="E709" s="143"/>
      <c r="H709" s="2"/>
      <c r="I709" s="30"/>
    </row>
    <row r="710" spans="4:9">
      <c r="D710" s="47"/>
      <c r="E710" s="143"/>
      <c r="H710" s="2"/>
      <c r="I710" s="30"/>
    </row>
    <row r="711" spans="4:9">
      <c r="D711" s="47"/>
      <c r="E711" s="143"/>
      <c r="H711" s="2"/>
      <c r="I711" s="30"/>
    </row>
    <row r="712" spans="4:9">
      <c r="D712" s="47"/>
      <c r="E712" s="143"/>
      <c r="H712" s="2"/>
      <c r="I712" s="30"/>
    </row>
    <row r="713" spans="4:9">
      <c r="D713" s="47"/>
      <c r="E713" s="143"/>
      <c r="H713" s="2"/>
      <c r="I713" s="30"/>
    </row>
    <row r="714" spans="4:9">
      <c r="D714" s="47"/>
      <c r="E714" s="143"/>
      <c r="H714" s="2"/>
      <c r="I714" s="30"/>
    </row>
    <row r="715" spans="4:9">
      <c r="D715" s="47"/>
      <c r="E715" s="143"/>
      <c r="H715" s="2"/>
      <c r="I715" s="30"/>
    </row>
    <row r="716" spans="4:9">
      <c r="D716" s="47"/>
      <c r="E716" s="143"/>
      <c r="H716" s="2"/>
      <c r="I716" s="30"/>
    </row>
    <row r="717" spans="4:9">
      <c r="D717" s="47"/>
      <c r="E717" s="143"/>
      <c r="H717" s="2"/>
      <c r="I717" s="30"/>
    </row>
    <row r="718" spans="4:9">
      <c r="D718" s="47"/>
      <c r="E718" s="143"/>
      <c r="H718" s="2"/>
      <c r="I718" s="30"/>
    </row>
    <row r="719" spans="4:9">
      <c r="D719" s="47"/>
      <c r="E719" s="143"/>
      <c r="H719" s="2"/>
      <c r="I719" s="30"/>
    </row>
    <row r="720" spans="4:9">
      <c r="D720" s="47"/>
      <c r="E720" s="143"/>
      <c r="H720" s="2"/>
      <c r="I720" s="30"/>
    </row>
    <row r="721" spans="4:9">
      <c r="D721" s="47"/>
      <c r="E721" s="143"/>
      <c r="H721" s="2"/>
      <c r="I721" s="30"/>
    </row>
    <row r="722" spans="4:9">
      <c r="D722" s="47"/>
      <c r="E722" s="143"/>
      <c r="H722" s="2"/>
      <c r="I722" s="30"/>
    </row>
    <row r="723" spans="4:9">
      <c r="D723" s="47"/>
      <c r="E723" s="143"/>
      <c r="H723" s="2"/>
      <c r="I723" s="30"/>
    </row>
    <row r="724" spans="4:9">
      <c r="D724" s="47"/>
      <c r="E724" s="143"/>
      <c r="H724" s="2"/>
      <c r="I724" s="30"/>
    </row>
    <row r="725" spans="4:9">
      <c r="D725" s="47"/>
      <c r="E725" s="143"/>
      <c r="H725" s="2"/>
      <c r="I725" s="30"/>
    </row>
    <row r="726" spans="4:9">
      <c r="D726" s="47"/>
      <c r="E726" s="143"/>
      <c r="H726" s="2"/>
      <c r="I726" s="30"/>
    </row>
    <row r="727" spans="4:9">
      <c r="D727" s="47"/>
      <c r="E727" s="143"/>
      <c r="H727" s="2"/>
      <c r="I727" s="30"/>
    </row>
    <row r="728" spans="4:9">
      <c r="D728" s="47"/>
      <c r="E728" s="143"/>
      <c r="H728" s="2"/>
      <c r="I728" s="30"/>
    </row>
    <row r="729" spans="4:9">
      <c r="D729" s="47"/>
      <c r="E729" s="143"/>
      <c r="H729" s="2"/>
      <c r="I729" s="30"/>
    </row>
    <row r="730" spans="4:9">
      <c r="D730" s="47"/>
      <c r="E730" s="143"/>
      <c r="H730" s="2"/>
      <c r="I730" s="30"/>
    </row>
    <row r="731" spans="4:9">
      <c r="D731" s="47"/>
      <c r="E731" s="143"/>
      <c r="H731" s="2"/>
      <c r="I731" s="30"/>
    </row>
    <row r="732" spans="4:9">
      <c r="D732" s="47"/>
      <c r="E732" s="143"/>
      <c r="H732" s="2"/>
      <c r="I732" s="30"/>
    </row>
    <row r="733" spans="4:9">
      <c r="D733" s="47"/>
      <c r="E733" s="143"/>
      <c r="H733" s="2"/>
      <c r="I733" s="30"/>
    </row>
    <row r="734" spans="4:9">
      <c r="D734" s="47"/>
      <c r="E734" s="143"/>
      <c r="H734" s="2"/>
      <c r="I734" s="30"/>
    </row>
    <row r="735" spans="4:9">
      <c r="D735" s="47"/>
      <c r="E735" s="143"/>
      <c r="H735" s="2"/>
      <c r="I735" s="30"/>
    </row>
    <row r="736" spans="4:9">
      <c r="D736" s="47"/>
      <c r="E736" s="143"/>
      <c r="H736" s="2"/>
      <c r="I736" s="30"/>
    </row>
    <row r="737" spans="4:9">
      <c r="D737" s="47"/>
      <c r="E737" s="143"/>
      <c r="H737" s="2"/>
      <c r="I737" s="30"/>
    </row>
    <row r="738" spans="4:9">
      <c r="D738" s="47"/>
      <c r="E738" s="143"/>
      <c r="H738" s="2"/>
      <c r="I738" s="30"/>
    </row>
    <row r="739" spans="4:9">
      <c r="D739" s="47"/>
      <c r="E739" s="143"/>
      <c r="H739" s="2"/>
      <c r="I739" s="30"/>
    </row>
    <row r="740" spans="4:9">
      <c r="D740" s="47"/>
      <c r="E740" s="143"/>
      <c r="H740" s="2"/>
      <c r="I740" s="30"/>
    </row>
    <row r="741" spans="4:9">
      <c r="D741" s="47"/>
      <c r="E741" s="143"/>
      <c r="H741" s="2"/>
      <c r="I741" s="30"/>
    </row>
    <row r="742" spans="4:9">
      <c r="D742" s="47"/>
      <c r="E742" s="143"/>
      <c r="H742" s="2"/>
      <c r="I742" s="30"/>
    </row>
    <row r="743" spans="4:9">
      <c r="D743" s="47"/>
      <c r="E743" s="143"/>
      <c r="H743" s="2"/>
      <c r="I743" s="30"/>
    </row>
    <row r="744" spans="4:9">
      <c r="D744" s="47"/>
      <c r="E744" s="143"/>
      <c r="H744" s="2"/>
      <c r="I744" s="30"/>
    </row>
    <row r="745" spans="4:9">
      <c r="D745" s="47"/>
      <c r="E745" s="143"/>
      <c r="H745" s="2"/>
      <c r="I745" s="30"/>
    </row>
    <row r="746" spans="4:9">
      <c r="D746" s="47"/>
      <c r="E746" s="143"/>
      <c r="H746" s="2"/>
      <c r="I746" s="30"/>
    </row>
    <row r="747" spans="4:9">
      <c r="D747" s="47"/>
      <c r="E747" s="143"/>
      <c r="H747" s="2"/>
      <c r="I747" s="30"/>
    </row>
    <row r="748" spans="4:9">
      <c r="D748" s="47"/>
      <c r="E748" s="143"/>
      <c r="H748" s="2"/>
      <c r="I748" s="30"/>
    </row>
    <row r="749" spans="4:9">
      <c r="D749" s="47"/>
      <c r="E749" s="143"/>
      <c r="H749" s="2"/>
      <c r="I749" s="30"/>
    </row>
    <row r="750" spans="4:9">
      <c r="D750" s="47"/>
      <c r="E750" s="143"/>
      <c r="H750" s="2"/>
      <c r="I750" s="30"/>
    </row>
    <row r="751" spans="4:9">
      <c r="D751" s="47"/>
      <c r="E751" s="143"/>
      <c r="H751" s="2"/>
      <c r="I751" s="30"/>
    </row>
    <row r="752" spans="4:9">
      <c r="D752" s="47"/>
      <c r="E752" s="143"/>
      <c r="H752" s="2"/>
      <c r="I752" s="30"/>
    </row>
    <row r="753" spans="4:9">
      <c r="D753" s="47"/>
      <c r="E753" s="143"/>
      <c r="H753" s="2"/>
      <c r="I753" s="30"/>
    </row>
    <row r="754" spans="4:9">
      <c r="D754" s="47"/>
      <c r="E754" s="143"/>
      <c r="H754" s="2"/>
      <c r="I754" s="30"/>
    </row>
    <row r="755" spans="4:9">
      <c r="D755" s="47"/>
      <c r="E755" s="143"/>
      <c r="H755" s="2"/>
      <c r="I755" s="30"/>
    </row>
    <row r="756" spans="4:9">
      <c r="D756" s="47"/>
      <c r="E756" s="143"/>
      <c r="H756" s="2"/>
      <c r="I756" s="30"/>
    </row>
    <row r="757" spans="4:9">
      <c r="D757" s="47"/>
      <c r="E757" s="143"/>
      <c r="H757" s="2"/>
      <c r="I757" s="30"/>
    </row>
    <row r="758" spans="4:9">
      <c r="D758" s="47"/>
      <c r="E758" s="143"/>
      <c r="H758" s="2"/>
      <c r="I758" s="30"/>
    </row>
    <row r="759" spans="4:9">
      <c r="D759" s="47"/>
      <c r="E759" s="143"/>
      <c r="H759" s="2"/>
      <c r="I759" s="30"/>
    </row>
    <row r="760" spans="4:9">
      <c r="D760" s="47"/>
      <c r="E760" s="143"/>
      <c r="H760" s="2"/>
      <c r="I760" s="30"/>
    </row>
    <row r="761" spans="4:9">
      <c r="D761" s="47"/>
      <c r="E761" s="143"/>
      <c r="H761" s="2"/>
      <c r="I761" s="30"/>
    </row>
    <row r="762" spans="4:9">
      <c r="D762" s="47"/>
      <c r="E762" s="143"/>
      <c r="H762" s="2"/>
      <c r="I762" s="30"/>
    </row>
    <row r="763" spans="4:9">
      <c r="D763" s="47"/>
      <c r="E763" s="143"/>
      <c r="H763" s="2"/>
      <c r="I763" s="30"/>
    </row>
    <row r="764" spans="4:9">
      <c r="D764" s="47"/>
      <c r="E764" s="143"/>
      <c r="H764" s="2"/>
      <c r="I764" s="30"/>
    </row>
    <row r="765" spans="4:9">
      <c r="D765" s="47"/>
      <c r="E765" s="143"/>
      <c r="H765" s="2"/>
      <c r="I765" s="30"/>
    </row>
    <row r="766" spans="4:9">
      <c r="D766" s="47"/>
      <c r="E766" s="143"/>
      <c r="H766" s="2"/>
      <c r="I766" s="30"/>
    </row>
    <row r="767" spans="4:9">
      <c r="D767" s="47"/>
      <c r="E767" s="143"/>
      <c r="H767" s="2"/>
      <c r="I767" s="30"/>
    </row>
    <row r="768" spans="4:9">
      <c r="D768" s="47"/>
      <c r="E768" s="143"/>
      <c r="H768" s="2"/>
      <c r="I768" s="30"/>
    </row>
    <row r="769" spans="4:9">
      <c r="D769" s="47"/>
      <c r="E769" s="143"/>
      <c r="H769" s="2"/>
      <c r="I769" s="30"/>
    </row>
    <row r="770" spans="4:9">
      <c r="D770" s="47"/>
      <c r="E770" s="143"/>
      <c r="H770" s="2"/>
      <c r="I770" s="30"/>
    </row>
    <row r="771" spans="4:9">
      <c r="D771" s="47"/>
      <c r="E771" s="143"/>
      <c r="H771" s="2"/>
      <c r="I771" s="30"/>
    </row>
    <row r="772" spans="4:9">
      <c r="D772" s="47"/>
      <c r="E772" s="143"/>
      <c r="H772" s="2"/>
      <c r="I772" s="30"/>
    </row>
    <row r="773" spans="4:9">
      <c r="D773" s="47"/>
      <c r="E773" s="143"/>
      <c r="H773" s="2"/>
      <c r="I773" s="30"/>
    </row>
    <row r="774" spans="4:9">
      <c r="D774" s="47"/>
      <c r="E774" s="143"/>
      <c r="H774" s="2"/>
      <c r="I774" s="30"/>
    </row>
    <row r="775" spans="4:9">
      <c r="D775" s="47"/>
      <c r="E775" s="143"/>
      <c r="H775" s="2"/>
      <c r="I775" s="30"/>
    </row>
    <row r="776" spans="4:9">
      <c r="D776" s="47"/>
      <c r="E776" s="143"/>
      <c r="H776" s="2"/>
      <c r="I776" s="30"/>
    </row>
    <row r="777" spans="4:9">
      <c r="D777" s="47"/>
      <c r="E777" s="143"/>
      <c r="H777" s="2"/>
      <c r="I777" s="30"/>
    </row>
    <row r="778" spans="4:9">
      <c r="D778" s="47"/>
      <c r="E778" s="143"/>
      <c r="H778" s="2"/>
      <c r="I778" s="30"/>
    </row>
    <row r="779" spans="4:9">
      <c r="D779" s="47"/>
      <c r="E779" s="143"/>
      <c r="H779" s="2"/>
      <c r="I779" s="30"/>
    </row>
    <row r="780" spans="4:9">
      <c r="D780" s="47"/>
      <c r="E780" s="143"/>
      <c r="H780" s="2"/>
      <c r="I780" s="30"/>
    </row>
    <row r="781" spans="4:9">
      <c r="D781" s="47"/>
      <c r="E781" s="143"/>
      <c r="H781" s="2"/>
      <c r="I781" s="30"/>
    </row>
    <row r="782" spans="4:9">
      <c r="D782" s="47"/>
      <c r="E782" s="143"/>
      <c r="H782" s="2"/>
      <c r="I782" s="30"/>
    </row>
    <row r="783" spans="4:9">
      <c r="D783" s="47"/>
      <c r="E783" s="143"/>
      <c r="H783" s="2"/>
      <c r="I783" s="30"/>
    </row>
    <row r="784" spans="4:9">
      <c r="D784" s="47"/>
      <c r="E784" s="143"/>
      <c r="H784" s="2"/>
      <c r="I784" s="30"/>
    </row>
    <row r="785" spans="4:9">
      <c r="D785" s="47"/>
      <c r="E785" s="143"/>
      <c r="H785" s="2"/>
      <c r="I785" s="30"/>
    </row>
    <row r="786" spans="4:9">
      <c r="D786" s="47"/>
      <c r="E786" s="143"/>
      <c r="H786" s="2"/>
      <c r="I786" s="30"/>
    </row>
    <row r="787" spans="4:9">
      <c r="D787" s="47"/>
      <c r="E787" s="143"/>
      <c r="H787" s="2"/>
      <c r="I787" s="30"/>
    </row>
    <row r="788" spans="4:9">
      <c r="D788" s="47"/>
      <c r="E788" s="143"/>
      <c r="H788" s="2"/>
      <c r="I788" s="30"/>
    </row>
    <row r="789" spans="4:9">
      <c r="D789" s="47"/>
      <c r="E789" s="143"/>
      <c r="H789" s="2"/>
      <c r="I789" s="30"/>
    </row>
    <row r="790" spans="4:9">
      <c r="D790" s="47"/>
      <c r="E790" s="143"/>
      <c r="H790" s="2"/>
      <c r="I790" s="30"/>
    </row>
    <row r="791" spans="4:9">
      <c r="D791" s="47"/>
      <c r="E791" s="143"/>
      <c r="H791" s="2"/>
      <c r="I791" s="30"/>
    </row>
    <row r="792" spans="4:9">
      <c r="D792" s="47"/>
      <c r="E792" s="143"/>
      <c r="H792" s="2"/>
      <c r="I792" s="30"/>
    </row>
    <row r="793" spans="4:9">
      <c r="D793" s="47"/>
      <c r="E793" s="143"/>
      <c r="H793" s="2"/>
      <c r="I793" s="30"/>
    </row>
    <row r="794" spans="4:9">
      <c r="D794" s="47"/>
      <c r="E794" s="143"/>
      <c r="H794" s="2"/>
      <c r="I794" s="30"/>
    </row>
    <row r="795" spans="4:9">
      <c r="D795" s="47"/>
      <c r="E795" s="143"/>
      <c r="H795" s="2"/>
      <c r="I795" s="30"/>
    </row>
    <row r="796" spans="4:9">
      <c r="D796" s="47"/>
      <c r="E796" s="143"/>
      <c r="H796" s="2"/>
      <c r="I796" s="30"/>
    </row>
    <row r="797" spans="4:9">
      <c r="D797" s="47"/>
      <c r="E797" s="143"/>
      <c r="H797" s="2"/>
      <c r="I797" s="30"/>
    </row>
    <row r="798" spans="4:9">
      <c r="D798" s="47"/>
      <c r="E798" s="143"/>
      <c r="H798" s="2"/>
      <c r="I798" s="30"/>
    </row>
    <row r="799" spans="4:9">
      <c r="D799" s="47"/>
      <c r="E799" s="143"/>
      <c r="H799" s="2"/>
      <c r="I799" s="30"/>
    </row>
    <row r="800" spans="4:9">
      <c r="D800" s="47"/>
      <c r="E800" s="143"/>
      <c r="H800" s="2"/>
      <c r="I800" s="30"/>
    </row>
    <row r="801" spans="4:9">
      <c r="D801" s="47"/>
      <c r="E801" s="143"/>
      <c r="H801" s="2"/>
      <c r="I801" s="30"/>
    </row>
    <row r="802" spans="4:9">
      <c r="D802" s="47"/>
      <c r="E802" s="143"/>
      <c r="H802" s="2"/>
      <c r="I802" s="30"/>
    </row>
    <row r="803" spans="4:9">
      <c r="D803" s="47"/>
      <c r="E803" s="143"/>
      <c r="H803" s="2"/>
      <c r="I803" s="30"/>
    </row>
    <row r="804" spans="4:9">
      <c r="D804" s="47"/>
      <c r="E804" s="143"/>
      <c r="H804" s="2"/>
      <c r="I804" s="30"/>
    </row>
    <row r="805" spans="4:9">
      <c r="D805" s="47"/>
      <c r="E805" s="143"/>
      <c r="H805" s="2"/>
      <c r="I805" s="30"/>
    </row>
    <row r="806" spans="4:9">
      <c r="D806" s="47"/>
      <c r="E806" s="143"/>
      <c r="H806" s="2"/>
      <c r="I806" s="30"/>
    </row>
    <row r="807" spans="4:9">
      <c r="D807" s="47"/>
      <c r="E807" s="143"/>
      <c r="H807" s="2"/>
      <c r="I807" s="30"/>
    </row>
    <row r="808" spans="4:9">
      <c r="D808" s="47"/>
      <c r="E808" s="143"/>
      <c r="H808" s="2"/>
      <c r="I808" s="30"/>
    </row>
    <row r="809" spans="4:9">
      <c r="D809" s="47"/>
      <c r="E809" s="143"/>
      <c r="H809" s="2"/>
      <c r="I809" s="30"/>
    </row>
    <row r="810" spans="4:9">
      <c r="D810" s="47"/>
      <c r="E810" s="143"/>
      <c r="H810" s="2"/>
      <c r="I810" s="30"/>
    </row>
    <row r="811" spans="4:9">
      <c r="D811" s="47"/>
      <c r="E811" s="143"/>
      <c r="H811" s="2"/>
      <c r="I811" s="30"/>
    </row>
    <row r="812" spans="4:9">
      <c r="D812" s="47"/>
      <c r="E812" s="143"/>
      <c r="H812" s="2"/>
      <c r="I812" s="30"/>
    </row>
    <row r="813" spans="4:9">
      <c r="D813" s="47"/>
      <c r="E813" s="143"/>
      <c r="H813" s="2"/>
      <c r="I813" s="30"/>
    </row>
    <row r="814" spans="4:9">
      <c r="D814" s="47"/>
      <c r="E814" s="143"/>
      <c r="H814" s="2"/>
      <c r="I814" s="30"/>
    </row>
    <row r="815" spans="4:9">
      <c r="D815" s="47"/>
      <c r="E815" s="143"/>
      <c r="H815" s="2"/>
      <c r="I815" s="30"/>
    </row>
    <row r="816" spans="4:9">
      <c r="D816" s="47"/>
      <c r="E816" s="143"/>
      <c r="H816" s="2"/>
      <c r="I816" s="30"/>
    </row>
    <row r="817" spans="4:9">
      <c r="D817" s="47"/>
      <c r="E817" s="143"/>
      <c r="H817" s="2"/>
      <c r="I817" s="30"/>
    </row>
    <row r="818" spans="4:9">
      <c r="D818" s="47"/>
      <c r="E818" s="143"/>
      <c r="H818" s="2"/>
      <c r="I818" s="30"/>
    </row>
    <row r="819" spans="4:9">
      <c r="D819" s="47"/>
      <c r="E819" s="143"/>
      <c r="H819" s="2"/>
      <c r="I819" s="30"/>
    </row>
    <row r="820" spans="4:9">
      <c r="D820" s="47"/>
      <c r="E820" s="143"/>
      <c r="H820" s="2"/>
      <c r="I820" s="30"/>
    </row>
    <row r="821" spans="4:9">
      <c r="D821" s="47"/>
      <c r="E821" s="143"/>
      <c r="H821" s="2"/>
      <c r="I821" s="30"/>
    </row>
    <row r="822" spans="4:9">
      <c r="D822" s="47"/>
      <c r="E822" s="143"/>
      <c r="H822" s="2"/>
      <c r="I822" s="30"/>
    </row>
    <row r="823" spans="4:9">
      <c r="D823" s="47"/>
      <c r="E823" s="143"/>
      <c r="H823" s="2"/>
      <c r="I823" s="30"/>
    </row>
    <row r="824" spans="4:9">
      <c r="D824" s="47"/>
      <c r="E824" s="143"/>
      <c r="H824" s="2"/>
      <c r="I824" s="30"/>
    </row>
    <row r="825" spans="4:9">
      <c r="D825" s="47"/>
      <c r="E825" s="143"/>
      <c r="H825" s="2"/>
      <c r="I825" s="30"/>
    </row>
    <row r="826" spans="4:9">
      <c r="D826" s="47"/>
      <c r="E826" s="143"/>
      <c r="H826" s="2"/>
      <c r="I826" s="30"/>
    </row>
    <row r="827" spans="4:9">
      <c r="D827" s="47"/>
      <c r="E827" s="143"/>
      <c r="H827" s="2"/>
      <c r="I827" s="30"/>
    </row>
    <row r="828" spans="4:9">
      <c r="D828" s="47"/>
      <c r="E828" s="143"/>
      <c r="H828" s="2"/>
      <c r="I828" s="30"/>
    </row>
    <row r="829" spans="4:9">
      <c r="D829" s="47"/>
      <c r="E829" s="143"/>
      <c r="H829" s="2"/>
      <c r="I829" s="30"/>
    </row>
    <row r="830" spans="4:9">
      <c r="D830" s="47"/>
      <c r="E830" s="143"/>
      <c r="H830" s="2"/>
      <c r="I830" s="30"/>
    </row>
    <row r="831" spans="4:9">
      <c r="D831" s="47"/>
      <c r="E831" s="143"/>
      <c r="H831" s="2"/>
      <c r="I831" s="30"/>
    </row>
    <row r="832" spans="4:9">
      <c r="D832" s="47"/>
      <c r="E832" s="143"/>
      <c r="H832" s="2"/>
      <c r="I832" s="30"/>
    </row>
    <row r="833" spans="4:9">
      <c r="D833" s="47"/>
      <c r="E833" s="143"/>
      <c r="H833" s="2"/>
      <c r="I833" s="30"/>
    </row>
    <row r="834" spans="4:9">
      <c r="D834" s="47"/>
      <c r="E834" s="143"/>
      <c r="H834" s="2"/>
      <c r="I834" s="30"/>
    </row>
    <row r="835" spans="4:9">
      <c r="D835" s="47"/>
      <c r="E835" s="143"/>
      <c r="H835" s="2"/>
      <c r="I835" s="30"/>
    </row>
    <row r="836" spans="4:9">
      <c r="D836" s="47"/>
      <c r="E836" s="143"/>
      <c r="H836" s="2"/>
      <c r="I836" s="30"/>
    </row>
    <row r="837" spans="4:9">
      <c r="D837" s="47"/>
      <c r="E837" s="143"/>
      <c r="H837" s="2"/>
      <c r="I837" s="30"/>
    </row>
    <row r="838" spans="4:9">
      <c r="D838" s="47"/>
      <c r="E838" s="143"/>
      <c r="H838" s="2"/>
      <c r="I838" s="30"/>
    </row>
    <row r="839" spans="4:9">
      <c r="D839" s="47"/>
      <c r="E839" s="143"/>
      <c r="H839" s="2"/>
      <c r="I839" s="30"/>
    </row>
    <row r="840" spans="4:9">
      <c r="D840" s="47"/>
      <c r="E840" s="143"/>
      <c r="H840" s="2"/>
      <c r="I840" s="30"/>
    </row>
    <row r="841" spans="4:9">
      <c r="D841" s="47"/>
      <c r="E841" s="143"/>
      <c r="H841" s="2"/>
      <c r="I841" s="30"/>
    </row>
    <row r="842" spans="4:9">
      <c r="D842" s="47"/>
      <c r="E842" s="143"/>
      <c r="H842" s="2"/>
      <c r="I842" s="30"/>
    </row>
    <row r="843" spans="4:9">
      <c r="D843" s="47"/>
      <c r="E843" s="143"/>
      <c r="H843" s="2"/>
      <c r="I843" s="30"/>
    </row>
    <row r="844" spans="4:9">
      <c r="D844" s="47"/>
      <c r="E844" s="143"/>
      <c r="H844" s="2"/>
      <c r="I844" s="30"/>
    </row>
    <row r="845" spans="4:9">
      <c r="D845" s="47"/>
      <c r="E845" s="143"/>
      <c r="H845" s="2"/>
      <c r="I845" s="30"/>
    </row>
    <row r="846" spans="4:9">
      <c r="D846" s="47"/>
      <c r="E846" s="143"/>
      <c r="H846" s="2"/>
      <c r="I846" s="30"/>
    </row>
    <row r="847" spans="4:9">
      <c r="D847" s="47"/>
      <c r="E847" s="143"/>
      <c r="H847" s="2"/>
      <c r="I847" s="30"/>
    </row>
    <row r="848" spans="4:9">
      <c r="D848" s="47"/>
      <c r="E848" s="143"/>
      <c r="H848" s="2"/>
      <c r="I848" s="30"/>
    </row>
    <row r="849" spans="4:9">
      <c r="D849" s="47"/>
      <c r="E849" s="143"/>
      <c r="H849" s="2"/>
      <c r="I849" s="30"/>
    </row>
    <row r="850" spans="4:9">
      <c r="D850" s="47"/>
      <c r="E850" s="143"/>
      <c r="H850" s="2"/>
      <c r="I850" s="30"/>
    </row>
    <row r="851" spans="4:9">
      <c r="D851" s="47"/>
      <c r="E851" s="143"/>
      <c r="H851" s="2"/>
      <c r="I851" s="30"/>
    </row>
    <row r="852" spans="4:9">
      <c r="D852" s="47"/>
      <c r="E852" s="143"/>
      <c r="H852" s="2"/>
      <c r="I852" s="30"/>
    </row>
    <row r="853" spans="4:9">
      <c r="D853" s="47"/>
      <c r="E853" s="143"/>
      <c r="H853" s="2"/>
      <c r="I853" s="30"/>
    </row>
    <row r="854" spans="4:9">
      <c r="D854" s="47"/>
      <c r="E854" s="143"/>
      <c r="H854" s="2"/>
      <c r="I854" s="30"/>
    </row>
    <row r="855" spans="4:9">
      <c r="D855" s="47"/>
      <c r="E855" s="143"/>
      <c r="H855" s="2"/>
      <c r="I855" s="30"/>
    </row>
    <row r="856" spans="4:9">
      <c r="D856" s="47"/>
      <c r="E856" s="143"/>
      <c r="H856" s="2"/>
      <c r="I856" s="30"/>
    </row>
    <row r="857" spans="4:9">
      <c r="D857" s="47"/>
      <c r="E857" s="143"/>
      <c r="H857" s="2"/>
      <c r="I857" s="30"/>
    </row>
    <row r="858" spans="4:9">
      <c r="D858" s="47"/>
      <c r="E858" s="143"/>
      <c r="H858" s="2"/>
      <c r="I858" s="30"/>
    </row>
    <row r="859" spans="4:9">
      <c r="D859" s="47"/>
      <c r="E859" s="143"/>
      <c r="H859" s="2"/>
      <c r="I859" s="30"/>
    </row>
    <row r="860" spans="4:9">
      <c r="D860" s="47"/>
      <c r="E860" s="143"/>
      <c r="H860" s="2"/>
      <c r="I860" s="30"/>
    </row>
    <row r="861" spans="4:9">
      <c r="D861" s="47"/>
      <c r="E861" s="143"/>
      <c r="H861" s="2"/>
      <c r="I861" s="30"/>
    </row>
    <row r="862" spans="4:9">
      <c r="D862" s="47"/>
      <c r="E862" s="143"/>
      <c r="H862" s="2"/>
      <c r="I862" s="30"/>
    </row>
    <row r="863" spans="4:9">
      <c r="D863" s="47"/>
      <c r="E863" s="143"/>
      <c r="H863" s="2"/>
      <c r="I863" s="30"/>
    </row>
    <row r="864" spans="4:9">
      <c r="D864" s="47"/>
      <c r="E864" s="143"/>
      <c r="H864" s="2"/>
      <c r="I864" s="30"/>
    </row>
    <row r="865" spans="4:9">
      <c r="D865" s="47"/>
      <c r="E865" s="143"/>
      <c r="H865" s="2"/>
      <c r="I865" s="30"/>
    </row>
    <row r="866" spans="4:9">
      <c r="D866" s="47"/>
      <c r="E866" s="143"/>
      <c r="H866" s="2"/>
      <c r="I866" s="30"/>
    </row>
    <row r="867" spans="4:9">
      <c r="D867" s="47"/>
      <c r="E867" s="143"/>
      <c r="H867" s="2"/>
      <c r="I867" s="30"/>
    </row>
    <row r="868" spans="4:9">
      <c r="D868" s="47"/>
      <c r="E868" s="143"/>
      <c r="H868" s="2"/>
      <c r="I868" s="30"/>
    </row>
    <row r="869" spans="4:9">
      <c r="D869" s="47"/>
      <c r="E869" s="143"/>
      <c r="H869" s="2"/>
      <c r="I869" s="30"/>
    </row>
    <row r="870" spans="4:9">
      <c r="D870" s="47"/>
      <c r="E870" s="143"/>
      <c r="H870" s="2"/>
      <c r="I870" s="30"/>
    </row>
    <row r="871" spans="4:9">
      <c r="D871" s="47"/>
      <c r="E871" s="143"/>
      <c r="H871" s="2"/>
      <c r="I871" s="30"/>
    </row>
    <row r="872" spans="4:9">
      <c r="D872" s="47"/>
      <c r="E872" s="143"/>
      <c r="H872" s="2"/>
      <c r="I872" s="30"/>
    </row>
    <row r="873" spans="4:9">
      <c r="D873" s="47"/>
      <c r="E873" s="143"/>
      <c r="H873" s="2"/>
      <c r="I873" s="30"/>
    </row>
    <row r="874" spans="4:9">
      <c r="D874" s="47"/>
      <c r="E874" s="143"/>
      <c r="H874" s="2"/>
      <c r="I874" s="30"/>
    </row>
    <row r="875" spans="4:9">
      <c r="D875" s="47"/>
      <c r="E875" s="143"/>
      <c r="H875" s="2"/>
      <c r="I875" s="30"/>
    </row>
    <row r="876" spans="4:9">
      <c r="D876" s="47"/>
      <c r="E876" s="143"/>
      <c r="H876" s="2"/>
      <c r="I876" s="30"/>
    </row>
    <row r="877" spans="4:9">
      <c r="D877" s="47"/>
      <c r="E877" s="143"/>
      <c r="H877" s="2"/>
      <c r="I877" s="30"/>
    </row>
    <row r="878" spans="4:9">
      <c r="D878" s="47"/>
      <c r="E878" s="143"/>
      <c r="H878" s="2"/>
      <c r="I878" s="30"/>
    </row>
    <row r="879" spans="4:9">
      <c r="D879" s="47"/>
      <c r="E879" s="143"/>
      <c r="H879" s="2"/>
      <c r="I879" s="30"/>
    </row>
    <row r="880" spans="4:9">
      <c r="D880" s="47"/>
      <c r="E880" s="143"/>
      <c r="H880" s="2"/>
      <c r="I880" s="30"/>
    </row>
    <row r="881" spans="4:9">
      <c r="D881" s="47"/>
      <c r="E881" s="143"/>
      <c r="H881" s="2"/>
      <c r="I881" s="30"/>
    </row>
    <row r="882" spans="4:9">
      <c r="D882" s="47"/>
      <c r="E882" s="143"/>
      <c r="H882" s="2"/>
      <c r="I882" s="30"/>
    </row>
    <row r="883" spans="4:9">
      <c r="D883" s="47"/>
      <c r="E883" s="143"/>
      <c r="H883" s="2"/>
      <c r="I883" s="30"/>
    </row>
    <row r="884" spans="4:9">
      <c r="D884" s="47"/>
      <c r="E884" s="143"/>
      <c r="H884" s="2"/>
      <c r="I884" s="30"/>
    </row>
    <row r="885" spans="4:9">
      <c r="D885" s="47"/>
      <c r="E885" s="143"/>
      <c r="H885" s="2"/>
      <c r="I885" s="30"/>
    </row>
    <row r="886" spans="4:9">
      <c r="D886" s="47"/>
      <c r="E886" s="143"/>
      <c r="H886" s="2"/>
      <c r="I886" s="30"/>
    </row>
    <row r="887" spans="4:9">
      <c r="D887" s="47"/>
      <c r="E887" s="143"/>
      <c r="H887" s="2"/>
      <c r="I887" s="30"/>
    </row>
    <row r="888" spans="4:9">
      <c r="D888" s="47"/>
      <c r="E888" s="143"/>
      <c r="H888" s="2"/>
      <c r="I888" s="30"/>
    </row>
    <row r="889" spans="4:9">
      <c r="D889" s="47"/>
      <c r="E889" s="143"/>
      <c r="H889" s="2"/>
      <c r="I889" s="30"/>
    </row>
    <row r="890" spans="4:9">
      <c r="D890" s="47"/>
      <c r="E890" s="143"/>
      <c r="H890" s="2"/>
      <c r="I890" s="30"/>
    </row>
    <row r="891" spans="4:9">
      <c r="D891" s="47"/>
      <c r="E891" s="143"/>
      <c r="H891" s="2"/>
      <c r="I891" s="30"/>
    </row>
    <row r="892" spans="4:9">
      <c r="D892" s="47"/>
      <c r="E892" s="143"/>
      <c r="H892" s="2"/>
      <c r="I892" s="30"/>
    </row>
    <row r="893" spans="4:9">
      <c r="D893" s="47"/>
      <c r="E893" s="143"/>
      <c r="H893" s="2"/>
      <c r="I893" s="30"/>
    </row>
    <row r="894" spans="4:9">
      <c r="D894" s="47"/>
      <c r="E894" s="143"/>
      <c r="H894" s="2"/>
      <c r="I894" s="30"/>
    </row>
    <row r="895" spans="4:9">
      <c r="D895" s="47"/>
      <c r="E895" s="143"/>
      <c r="H895" s="2"/>
      <c r="I895" s="30"/>
    </row>
    <row r="896" spans="4:9">
      <c r="D896" s="47"/>
      <c r="E896" s="143"/>
      <c r="H896" s="2"/>
      <c r="I896" s="30"/>
    </row>
    <row r="897" spans="4:9">
      <c r="D897" s="47"/>
      <c r="E897" s="143"/>
      <c r="H897" s="2"/>
      <c r="I897" s="30"/>
    </row>
    <row r="898" spans="4:9">
      <c r="D898" s="47"/>
      <c r="E898" s="143"/>
      <c r="H898" s="2"/>
      <c r="I898" s="30"/>
    </row>
    <row r="899" spans="4:9">
      <c r="D899" s="47"/>
      <c r="E899" s="143"/>
      <c r="H899" s="2"/>
      <c r="I899" s="30"/>
    </row>
    <row r="900" spans="4:9">
      <c r="D900" s="47"/>
      <c r="E900" s="143"/>
      <c r="H900" s="2"/>
      <c r="I900" s="30"/>
    </row>
    <row r="901" spans="4:9">
      <c r="D901" s="47"/>
      <c r="E901" s="143"/>
      <c r="H901" s="2"/>
      <c r="I901" s="30"/>
    </row>
    <row r="902" spans="4:9">
      <c r="D902" s="47"/>
      <c r="E902" s="143"/>
      <c r="H902" s="2"/>
      <c r="I902" s="30"/>
    </row>
    <row r="903" spans="4:9">
      <c r="D903" s="47"/>
      <c r="E903" s="143"/>
      <c r="H903" s="2"/>
      <c r="I903" s="30"/>
    </row>
    <row r="904" spans="4:9">
      <c r="D904" s="47"/>
      <c r="E904" s="143"/>
      <c r="H904" s="2"/>
      <c r="I904" s="30"/>
    </row>
    <row r="905" spans="4:9">
      <c r="D905" s="47"/>
      <c r="E905" s="143"/>
      <c r="H905" s="2"/>
      <c r="I905" s="30"/>
    </row>
    <row r="906" spans="4:9">
      <c r="D906" s="47"/>
      <c r="E906" s="143"/>
      <c r="H906" s="2"/>
      <c r="I906" s="30"/>
    </row>
    <row r="907" spans="4:9">
      <c r="D907" s="47"/>
      <c r="E907" s="143"/>
      <c r="H907" s="2"/>
      <c r="I907" s="30"/>
    </row>
    <row r="908" spans="4:9">
      <c r="D908" s="47"/>
      <c r="E908" s="143"/>
      <c r="H908" s="2"/>
      <c r="I908" s="30"/>
    </row>
    <row r="909" spans="4:9">
      <c r="D909" s="47"/>
      <c r="E909" s="143"/>
      <c r="H909" s="2"/>
      <c r="I909" s="30"/>
    </row>
    <row r="910" spans="4:9">
      <c r="D910" s="47"/>
      <c r="E910" s="143"/>
      <c r="H910" s="2"/>
      <c r="I910" s="30"/>
    </row>
    <row r="911" spans="4:9">
      <c r="D911" s="47"/>
      <c r="E911" s="143"/>
      <c r="H911" s="2"/>
      <c r="I911" s="30"/>
    </row>
    <row r="912" spans="4:9">
      <c r="D912" s="47"/>
      <c r="E912" s="143"/>
      <c r="H912" s="2"/>
      <c r="I912" s="30"/>
    </row>
    <row r="913" spans="4:9">
      <c r="D913" s="47"/>
      <c r="E913" s="143"/>
      <c r="H913" s="2"/>
      <c r="I913" s="30"/>
    </row>
    <row r="914" spans="4:9">
      <c r="D914" s="47"/>
      <c r="E914" s="143"/>
      <c r="H914" s="2"/>
      <c r="I914" s="30"/>
    </row>
    <row r="915" spans="4:9">
      <c r="D915" s="47"/>
      <c r="E915" s="143"/>
      <c r="H915" s="2"/>
      <c r="I915" s="30"/>
    </row>
    <row r="916" spans="4:9">
      <c r="D916" s="47"/>
      <c r="E916" s="143"/>
      <c r="H916" s="2"/>
      <c r="I916" s="30"/>
    </row>
    <row r="917" spans="4:9">
      <c r="D917" s="47"/>
      <c r="E917" s="143"/>
      <c r="H917" s="2"/>
      <c r="I917" s="30"/>
    </row>
    <row r="918" spans="4:9">
      <c r="D918" s="47"/>
      <c r="E918" s="143"/>
      <c r="H918" s="2"/>
      <c r="I918" s="30"/>
    </row>
    <row r="919" spans="4:9">
      <c r="D919" s="47"/>
      <c r="E919" s="143"/>
      <c r="H919" s="2"/>
      <c r="I919" s="30"/>
    </row>
    <row r="920" spans="4:9">
      <c r="D920" s="47"/>
      <c r="E920" s="143"/>
      <c r="H920" s="2"/>
      <c r="I920" s="30"/>
    </row>
    <row r="921" spans="4:9">
      <c r="D921" s="47"/>
      <c r="E921" s="143"/>
      <c r="H921" s="2"/>
      <c r="I921" s="30"/>
    </row>
    <row r="922" spans="4:9">
      <c r="D922" s="47"/>
      <c r="E922" s="143"/>
      <c r="H922" s="2"/>
      <c r="I922" s="30"/>
    </row>
    <row r="923" spans="4:9">
      <c r="D923" s="47"/>
      <c r="E923" s="143"/>
      <c r="H923" s="2"/>
      <c r="I923" s="30"/>
    </row>
    <row r="924" spans="4:9">
      <c r="D924" s="47"/>
      <c r="E924" s="143"/>
      <c r="H924" s="2"/>
      <c r="I924" s="30"/>
    </row>
    <row r="925" spans="4:9">
      <c r="D925" s="47"/>
      <c r="E925" s="143"/>
      <c r="H925" s="2"/>
      <c r="I925" s="30"/>
    </row>
    <row r="926" spans="4:9">
      <c r="D926" s="47"/>
      <c r="E926" s="143"/>
      <c r="H926" s="2"/>
      <c r="I926" s="30"/>
    </row>
    <row r="927" spans="4:9">
      <c r="D927" s="47"/>
      <c r="E927" s="143"/>
      <c r="H927" s="2"/>
      <c r="I927" s="30"/>
    </row>
    <row r="928" spans="4:9">
      <c r="D928" s="47"/>
      <c r="E928" s="143"/>
      <c r="H928" s="2"/>
      <c r="I928" s="30"/>
    </row>
    <row r="929" spans="4:15">
      <c r="D929" s="47"/>
      <c r="E929" s="143"/>
      <c r="H929" s="2"/>
      <c r="I929" s="30"/>
    </row>
    <row r="930" spans="4:15">
      <c r="D930" s="47"/>
      <c r="E930" s="143"/>
      <c r="H930" s="2"/>
      <c r="I930" s="30"/>
    </row>
    <row r="931" spans="4:15">
      <c r="D931" s="47"/>
      <c r="E931" s="143"/>
      <c r="H931" s="2"/>
      <c r="I931" s="30"/>
    </row>
    <row r="932" spans="4:15">
      <c r="D932" s="47"/>
      <c r="E932" s="143"/>
      <c r="H932" s="2"/>
      <c r="I932" s="30"/>
    </row>
    <row r="933" spans="4:15">
      <c r="D933" s="47"/>
      <c r="E933" s="143"/>
      <c r="H933" s="2"/>
      <c r="I933" s="30"/>
    </row>
    <row r="934" spans="4:15">
      <c r="D934" s="47"/>
      <c r="E934" s="143"/>
      <c r="H934" s="2"/>
      <c r="I934" s="30"/>
    </row>
    <row r="935" spans="4:15">
      <c r="D935" s="47"/>
      <c r="E935" s="143"/>
      <c r="H935" s="2"/>
      <c r="I935" s="30"/>
    </row>
    <row r="936" spans="4:15">
      <c r="D936" s="47"/>
      <c r="E936" s="143"/>
      <c r="H936" s="2"/>
      <c r="I936" s="30"/>
    </row>
    <row r="937" spans="4:15">
      <c r="D937" s="47"/>
      <c r="E937" s="143"/>
      <c r="H937" s="2"/>
      <c r="I937" s="30"/>
    </row>
    <row r="938" spans="4:15">
      <c r="D938" s="47"/>
      <c r="E938" s="143"/>
      <c r="H938" s="2"/>
      <c r="I938" s="30"/>
    </row>
    <row r="939" spans="4:15">
      <c r="D939" s="47"/>
      <c r="E939" s="143"/>
      <c r="H939" s="2"/>
      <c r="I939" s="30"/>
    </row>
    <row r="940" spans="4:15">
      <c r="D940" s="47"/>
      <c r="E940" s="143"/>
      <c r="H940" s="2"/>
      <c r="I940" s="30"/>
    </row>
    <row r="941" spans="4:15">
      <c r="K941" s="143"/>
      <c r="N941" s="2"/>
      <c r="O941" s="30"/>
    </row>
    <row r="942" spans="4:15">
      <c r="K942" s="143"/>
      <c r="N942" s="2"/>
      <c r="O942" s="30"/>
    </row>
    <row r="943" spans="4:15">
      <c r="K943" s="143"/>
      <c r="N943" s="2"/>
      <c r="O943" s="30"/>
    </row>
    <row r="944" spans="4:15">
      <c r="K944" s="143"/>
      <c r="N944" s="2"/>
      <c r="O944" s="30"/>
    </row>
    <row r="945" spans="11:15">
      <c r="K945" s="143"/>
      <c r="N945" s="2"/>
      <c r="O945" s="30"/>
    </row>
    <row r="946" spans="11:15">
      <c r="K946" s="143"/>
      <c r="N946" s="2"/>
      <c r="O946" s="30"/>
    </row>
    <row r="947" spans="11:15">
      <c r="K947" s="143"/>
      <c r="N947" s="2"/>
      <c r="O947" s="30"/>
    </row>
    <row r="948" spans="11:15">
      <c r="K948" s="143"/>
      <c r="N948" s="2"/>
      <c r="O948" s="30"/>
    </row>
    <row r="949" spans="11:15">
      <c r="K949" s="143"/>
      <c r="N949" s="2"/>
      <c r="O949" s="30"/>
    </row>
    <row r="950" spans="11:15">
      <c r="K950" s="143"/>
      <c r="N950" s="2"/>
      <c r="O950" s="30"/>
    </row>
    <row r="951" spans="11:15">
      <c r="K951" s="143"/>
      <c r="N951" s="2"/>
      <c r="O951" s="30"/>
    </row>
    <row r="952" spans="11:15">
      <c r="K952" s="143"/>
      <c r="N952" s="2"/>
      <c r="O952" s="30"/>
    </row>
    <row r="953" spans="11:15">
      <c r="K953" s="143"/>
      <c r="N953" s="2"/>
      <c r="O953" s="30"/>
    </row>
    <row r="954" spans="11:15">
      <c r="K954" s="143"/>
      <c r="N954" s="2"/>
      <c r="O954" s="30"/>
    </row>
    <row r="955" spans="11:15">
      <c r="K955" s="143"/>
      <c r="N955" s="2"/>
      <c r="O955" s="30"/>
    </row>
    <row r="956" spans="11:15">
      <c r="K956" s="143"/>
      <c r="N956" s="2"/>
      <c r="O956" s="30"/>
    </row>
    <row r="957" spans="11:15">
      <c r="K957" s="143"/>
      <c r="N957" s="2"/>
      <c r="O957" s="30"/>
    </row>
    <row r="958" spans="11:15">
      <c r="K958" s="143"/>
      <c r="N958" s="2"/>
      <c r="O958" s="30"/>
    </row>
    <row r="959" spans="11:15">
      <c r="K959" s="143"/>
      <c r="N959" s="2"/>
      <c r="O959" s="30"/>
    </row>
    <row r="960" spans="11:15">
      <c r="K960" s="143"/>
      <c r="N960" s="2"/>
      <c r="O960" s="30"/>
    </row>
    <row r="961" spans="11:15">
      <c r="K961" s="143"/>
      <c r="N961" s="2"/>
      <c r="O961" s="30"/>
    </row>
    <row r="962" spans="11:15">
      <c r="K962" s="143"/>
      <c r="N962" s="2"/>
      <c r="O962" s="30"/>
    </row>
  </sheetData>
  <hyperlinks>
    <hyperlink ref="M5" r:id="rId1" xr:uid="{4D6AABEC-BA37-4250-B99C-EC163784A4B7}"/>
    <hyperlink ref="M6" r:id="rId2" xr:uid="{8462FB97-A106-49C5-8E0F-97B19C0C3B98}"/>
    <hyperlink ref="J4" r:id="rId3" display="This story works only for the Existing Projects not for the new projects created. So added this under OP-2604: Cannot add New Invoice Page in New ProjectReady for Testing" xr:uid="{CB82DA71-84E2-45B1-9CF9-329D66CD817A}"/>
    <hyperlink ref="M4" r:id="rId4" xr:uid="{54C62B31-6043-47E8-AF98-3E321D6D7D4F}"/>
    <hyperlink ref="M8" r:id="rId5" xr:uid="{557F3CC0-3FE2-49A5-950C-C3B0DC2AAFA3}"/>
  </hyperlinks>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684DC-79DE-4B11-9C3D-59CE12E472BA}">
  <dimension ref="A1:Z4"/>
  <sheetViews>
    <sheetView workbookViewId="0">
      <selection activeCell="N18" sqref="N18"/>
    </sheetView>
  </sheetViews>
  <sheetFormatPr defaultRowHeight="12.75"/>
  <cols>
    <col min="2" max="2" width="19" customWidth="1"/>
    <col min="3" max="3" width="12.42578125" customWidth="1"/>
    <col min="4" max="4" width="18.28515625" customWidth="1"/>
    <col min="5" max="5" width="17" customWidth="1"/>
    <col min="6" max="6" width="46.85546875" customWidth="1"/>
    <col min="7" max="7" width="12.140625" customWidth="1"/>
    <col min="8" max="8" width="14.28515625" customWidth="1"/>
    <col min="9" max="9" width="17.140625" customWidth="1"/>
    <col min="10" max="10" width="13.85546875" customWidth="1"/>
    <col min="11" max="11" width="21.85546875" customWidth="1"/>
  </cols>
  <sheetData>
    <row r="1" spans="1:26" ht="40.5">
      <c r="A1" s="59" t="s">
        <v>254</v>
      </c>
      <c r="B1" s="154" t="s">
        <v>11</v>
      </c>
      <c r="C1" s="155" t="s">
        <v>322</v>
      </c>
      <c r="D1" s="154" t="s">
        <v>256</v>
      </c>
      <c r="E1" s="155" t="s">
        <v>324</v>
      </c>
      <c r="F1" s="155" t="s">
        <v>325</v>
      </c>
      <c r="G1" s="154" t="s">
        <v>326</v>
      </c>
      <c r="H1" s="154" t="s">
        <v>328</v>
      </c>
      <c r="I1" s="154" t="s">
        <v>259</v>
      </c>
      <c r="J1" s="156" t="s">
        <v>329</v>
      </c>
      <c r="K1" s="157" t="s">
        <v>280</v>
      </c>
      <c r="L1" s="35"/>
      <c r="M1" s="35"/>
      <c r="N1" s="35"/>
      <c r="O1" s="35"/>
      <c r="P1" s="35"/>
      <c r="Q1" s="35"/>
      <c r="R1" s="35"/>
      <c r="S1" s="35"/>
      <c r="T1" s="35"/>
      <c r="U1" s="35"/>
      <c r="V1" s="35"/>
      <c r="W1" s="35"/>
      <c r="X1" s="35"/>
      <c r="Y1" s="35"/>
      <c r="Z1" s="35"/>
    </row>
    <row r="2" spans="1:26">
      <c r="A2" s="46">
        <v>1</v>
      </c>
      <c r="B2" s="298" t="s">
        <v>1683</v>
      </c>
      <c r="C2" s="62" t="s">
        <v>1684</v>
      </c>
      <c r="D2" s="304" t="s">
        <v>1685</v>
      </c>
      <c r="E2" s="41" t="s">
        <v>380</v>
      </c>
      <c r="F2" s="11" t="s">
        <v>1686</v>
      </c>
      <c r="G2" s="41" t="s">
        <v>381</v>
      </c>
      <c r="H2" s="41" t="s">
        <v>383</v>
      </c>
      <c r="I2" s="41" t="s">
        <v>384</v>
      </c>
      <c r="J2" s="41" t="s">
        <v>385</v>
      </c>
      <c r="K2" s="41"/>
      <c r="L2" s="244"/>
      <c r="M2" s="244"/>
      <c r="N2" s="244"/>
      <c r="O2" s="244"/>
      <c r="P2" s="244"/>
      <c r="Q2" s="244"/>
      <c r="R2" s="244"/>
      <c r="S2" s="244"/>
      <c r="T2" s="244"/>
      <c r="U2" s="244"/>
      <c r="V2" s="244"/>
      <c r="W2" s="137"/>
      <c r="X2" s="137"/>
      <c r="Y2" s="137"/>
      <c r="Z2" s="137"/>
    </row>
    <row r="3" spans="1:26" ht="60">
      <c r="A3" s="46">
        <v>2</v>
      </c>
      <c r="B3" s="298" t="s">
        <v>1683</v>
      </c>
      <c r="C3" s="62" t="s">
        <v>1687</v>
      </c>
      <c r="D3" s="304" t="s">
        <v>1685</v>
      </c>
      <c r="E3" s="41" t="s">
        <v>380</v>
      </c>
      <c r="F3" s="11" t="s">
        <v>1688</v>
      </c>
      <c r="G3" s="41" t="s">
        <v>381</v>
      </c>
      <c r="H3" s="41" t="s">
        <v>383</v>
      </c>
      <c r="I3" s="41" t="s">
        <v>384</v>
      </c>
      <c r="J3" s="41"/>
      <c r="K3" s="11" t="s">
        <v>1689</v>
      </c>
      <c r="L3" s="244"/>
      <c r="M3" s="244"/>
      <c r="N3" s="244"/>
      <c r="O3" s="244"/>
      <c r="P3" s="244"/>
      <c r="Q3" s="244"/>
      <c r="R3" s="244"/>
      <c r="S3" s="244"/>
      <c r="T3" s="244"/>
      <c r="U3" s="244"/>
      <c r="V3" s="244"/>
      <c r="W3" s="137"/>
      <c r="X3" s="137"/>
      <c r="Y3" s="137"/>
      <c r="Z3" s="137"/>
    </row>
    <row r="4" spans="1:26">
      <c r="B4" s="3"/>
      <c r="D4" s="35"/>
      <c r="E4" s="35"/>
      <c r="F4" s="144"/>
      <c r="G4" s="35"/>
      <c r="H4" s="35"/>
      <c r="I4" s="35"/>
      <c r="J4" s="35"/>
      <c r="K4" s="35"/>
    </row>
  </sheetData>
  <dataValidations count="4">
    <dataValidation type="list" allowBlank="1" showErrorMessage="1" sqref="G2:G4" xr:uid="{634D486E-8C25-483C-AC07-072EF6147136}">
      <formula1>"Minor,Significant,Major"</formula1>
    </dataValidation>
    <dataValidation type="list" allowBlank="1" showErrorMessage="1" sqref="I2:I4" xr:uid="{09E594E9-21B1-4160-B547-0D81C47B3642}">
      <formula1>"Open,Inprogress,Closed"</formula1>
    </dataValidation>
    <dataValidation type="list" allowBlank="1" showErrorMessage="1" sqref="E2:E4" xr:uid="{68952446-1436-4B68-93FD-796FA3B6EA22}">
      <formula1>"Bounceback,Defect,None"</formula1>
    </dataValidation>
    <dataValidation type="list" allowBlank="1" showErrorMessage="1" sqref="H2:H4" xr:uid="{D769C3FA-10C3-4847-A8E2-BB1332797327}">
      <formula1>"Internal,External"</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CAF06E80-8BA4-493C-A2B7-5BCE2569349D}">
          <x14:formula1>
            <xm:f>Details!$A$2:$A$10</xm:f>
          </x14:formula1>
          <xm:sqref>J2:J4</xm:sqref>
        </x14:dataValidation>
      </x14:dataValidations>
    </ext>
  </extLst>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1B827-2ECB-46DC-8772-68D450DC6A51}">
  <dimension ref="A1:X963"/>
  <sheetViews>
    <sheetView topLeftCell="H1" workbookViewId="0">
      <selection activeCell="R2" sqref="R2"/>
    </sheetView>
  </sheetViews>
  <sheetFormatPr defaultRowHeight="12.75"/>
  <cols>
    <col min="1" max="1" width="8.28515625" style="181" customWidth="1"/>
    <col min="2" max="2" width="20.42578125" customWidth="1"/>
    <col min="3" max="3" width="18.42578125" style="47" customWidth="1"/>
    <col min="4" max="4" width="16.28515625" customWidth="1"/>
    <col min="5" max="5" width="39.28515625" customWidth="1"/>
    <col min="6" max="7" width="9.140625" style="53"/>
    <col min="8" max="8" width="10.28515625" customWidth="1"/>
    <col min="12" max="12" width="15.42578125" customWidth="1"/>
    <col min="13" max="13" width="22.7109375" customWidth="1"/>
    <col min="14" max="14" width="10.7109375" bestFit="1" customWidth="1"/>
    <col min="15" max="15" width="10.42578125" customWidth="1"/>
    <col min="17" max="17" width="13.28515625" customWidth="1"/>
    <col min="19" max="19" width="9.42578125" bestFit="1" customWidth="1"/>
    <col min="20" max="20" width="14.7109375" customWidth="1"/>
    <col min="21" max="21" width="15.28515625" customWidth="1"/>
    <col min="22" max="22" width="14.7109375" customWidth="1"/>
    <col min="23" max="23" width="11.5703125" style="137" customWidth="1"/>
    <col min="24" max="24" width="48.28515625" customWidth="1"/>
  </cols>
  <sheetData>
    <row r="1" spans="1:24">
      <c r="A1" s="234"/>
      <c r="B1" s="1"/>
      <c r="C1" s="7"/>
      <c r="D1" s="7"/>
      <c r="E1" s="1"/>
      <c r="F1" s="49"/>
      <c r="G1" s="49"/>
      <c r="H1" s="198"/>
      <c r="I1" s="198"/>
      <c r="J1" s="198"/>
      <c r="K1" s="198"/>
      <c r="L1" s="198"/>
      <c r="M1" s="198"/>
      <c r="N1" s="198"/>
      <c r="O1" s="198"/>
      <c r="P1" s="198"/>
      <c r="Q1" s="198"/>
      <c r="R1" s="198"/>
      <c r="S1" s="198"/>
      <c r="T1" s="198"/>
      <c r="U1" s="198"/>
      <c r="V1" s="198"/>
      <c r="W1" s="322"/>
      <c r="X1" s="323"/>
    </row>
    <row r="2" spans="1:24" ht="48">
      <c r="A2" s="234" t="s">
        <v>254</v>
      </c>
      <c r="B2" s="1" t="s">
        <v>255</v>
      </c>
      <c r="C2" s="7" t="s">
        <v>256</v>
      </c>
      <c r="D2" s="235" t="s">
        <v>257</v>
      </c>
      <c r="E2" s="236" t="s">
        <v>258</v>
      </c>
      <c r="F2" s="237" t="s">
        <v>260</v>
      </c>
      <c r="G2" s="237" t="s">
        <v>261</v>
      </c>
      <c r="H2" s="238" t="s">
        <v>265</v>
      </c>
      <c r="I2" s="238" t="s">
        <v>266</v>
      </c>
      <c r="J2" s="238" t="s">
        <v>267</v>
      </c>
      <c r="K2" s="238" t="s">
        <v>268</v>
      </c>
      <c r="L2" s="238" t="s">
        <v>269</v>
      </c>
      <c r="M2" s="238" t="s">
        <v>270</v>
      </c>
      <c r="N2" s="238" t="s">
        <v>271</v>
      </c>
      <c r="O2" s="238" t="s">
        <v>272</v>
      </c>
      <c r="P2" s="238" t="s">
        <v>273</v>
      </c>
      <c r="Q2" s="238" t="s">
        <v>274</v>
      </c>
      <c r="R2" s="238" t="s">
        <v>275</v>
      </c>
      <c r="S2" s="238" t="s">
        <v>276</v>
      </c>
      <c r="T2" s="238" t="s">
        <v>274</v>
      </c>
      <c r="U2" s="238" t="s">
        <v>278</v>
      </c>
      <c r="V2" s="238" t="s">
        <v>279</v>
      </c>
      <c r="W2" s="239" t="s">
        <v>259</v>
      </c>
      <c r="X2" s="240" t="s">
        <v>280</v>
      </c>
    </row>
    <row r="3" spans="1:24" s="137" customFormat="1" ht="30.75" customHeight="1">
      <c r="A3" s="317">
        <v>1</v>
      </c>
      <c r="B3" s="334" t="s">
        <v>1690</v>
      </c>
      <c r="C3" s="270" t="s">
        <v>292</v>
      </c>
      <c r="D3" s="257" t="s">
        <v>1691</v>
      </c>
      <c r="E3" s="331" t="s">
        <v>1692</v>
      </c>
      <c r="F3" s="310">
        <v>3</v>
      </c>
      <c r="G3" s="310">
        <v>3</v>
      </c>
      <c r="H3" s="313" t="s">
        <v>290</v>
      </c>
      <c r="I3" s="126" t="s">
        <v>298</v>
      </c>
      <c r="J3" s="329" t="s">
        <v>1693</v>
      </c>
      <c r="K3" s="126" t="s">
        <v>862</v>
      </c>
      <c r="L3" s="229" t="s">
        <v>1694</v>
      </c>
      <c r="M3" s="330" t="s">
        <v>1695</v>
      </c>
      <c r="N3" s="306">
        <v>45538</v>
      </c>
      <c r="O3" s="306">
        <v>45539</v>
      </c>
      <c r="P3" s="126" t="s">
        <v>295</v>
      </c>
      <c r="Q3" s="315" t="s">
        <v>1694</v>
      </c>
      <c r="R3" s="229" t="s">
        <v>1696</v>
      </c>
      <c r="S3" s="307">
        <v>45540</v>
      </c>
      <c r="T3" s="332" t="s">
        <v>1697</v>
      </c>
      <c r="U3" s="315" t="s">
        <v>1694</v>
      </c>
      <c r="V3" s="315" t="s">
        <v>1694</v>
      </c>
      <c r="W3" s="327" t="s">
        <v>289</v>
      </c>
      <c r="X3" s="333"/>
    </row>
    <row r="4" spans="1:24" s="137" customFormat="1" ht="30.75" customHeight="1">
      <c r="A4" s="302">
        <v>2</v>
      </c>
      <c r="B4" s="278" t="s">
        <v>1690</v>
      </c>
      <c r="C4" s="46" t="s">
        <v>292</v>
      </c>
      <c r="D4" s="283" t="s">
        <v>1698</v>
      </c>
      <c r="E4" s="11" t="s">
        <v>1699</v>
      </c>
      <c r="F4" s="310">
        <v>3</v>
      </c>
      <c r="G4" s="310">
        <v>3</v>
      </c>
      <c r="H4" s="83" t="s">
        <v>290</v>
      </c>
      <c r="I4" s="41" t="s">
        <v>298</v>
      </c>
      <c r="J4" s="316" t="s">
        <v>1693</v>
      </c>
      <c r="K4" s="41" t="s">
        <v>862</v>
      </c>
      <c r="L4" s="203" t="s">
        <v>1694</v>
      </c>
      <c r="M4" s="231" t="s">
        <v>1700</v>
      </c>
      <c r="N4" s="232">
        <v>45541</v>
      </c>
      <c r="O4" s="232">
        <v>45541</v>
      </c>
      <c r="P4" s="41" t="s">
        <v>295</v>
      </c>
      <c r="Q4" s="282" t="s">
        <v>1694</v>
      </c>
      <c r="R4" s="203" t="s">
        <v>1666</v>
      </c>
      <c r="S4" s="206">
        <v>45541</v>
      </c>
      <c r="T4" s="315" t="s">
        <v>1694</v>
      </c>
      <c r="U4" s="315" t="s">
        <v>1694</v>
      </c>
      <c r="V4" s="315" t="s">
        <v>1694</v>
      </c>
      <c r="W4" s="327" t="s">
        <v>289</v>
      </c>
      <c r="X4" s="216"/>
    </row>
    <row r="5" spans="1:24" s="137" customFormat="1" ht="30.75" customHeight="1">
      <c r="A5" s="228">
        <v>4</v>
      </c>
      <c r="B5" s="11" t="s">
        <v>1690</v>
      </c>
      <c r="C5" s="46" t="s">
        <v>298</v>
      </c>
      <c r="D5" s="62" t="s">
        <v>1701</v>
      </c>
      <c r="E5" s="11" t="s">
        <v>1702</v>
      </c>
      <c r="F5" s="17">
        <v>3</v>
      </c>
      <c r="G5" s="17">
        <v>3</v>
      </c>
      <c r="H5" s="335" t="s">
        <v>290</v>
      </c>
      <c r="I5" s="41" t="s">
        <v>292</v>
      </c>
      <c r="J5" s="316" t="s">
        <v>1693</v>
      </c>
      <c r="K5" s="41" t="s">
        <v>862</v>
      </c>
      <c r="L5" s="203" t="s">
        <v>1694</v>
      </c>
      <c r="M5" s="231" t="s">
        <v>1703</v>
      </c>
      <c r="N5" s="232">
        <v>45546</v>
      </c>
      <c r="O5" s="336">
        <v>45546</v>
      </c>
      <c r="P5" s="187" t="s">
        <v>1666</v>
      </c>
      <c r="Q5" s="337" t="s">
        <v>1694</v>
      </c>
      <c r="R5" s="248" t="s">
        <v>294</v>
      </c>
      <c r="S5" s="232">
        <v>45546</v>
      </c>
      <c r="T5" s="282" t="s">
        <v>1694</v>
      </c>
      <c r="U5" s="315" t="s">
        <v>1694</v>
      </c>
      <c r="V5" s="315" t="s">
        <v>1694</v>
      </c>
      <c r="W5" s="327" t="s">
        <v>289</v>
      </c>
      <c r="X5" s="203"/>
    </row>
    <row r="6" spans="1:24" ht="31.5" customHeight="1">
      <c r="A6" s="228">
        <v>5</v>
      </c>
      <c r="B6" s="11" t="s">
        <v>1690</v>
      </c>
      <c r="C6" s="46" t="s">
        <v>292</v>
      </c>
      <c r="D6" s="62" t="s">
        <v>1704</v>
      </c>
      <c r="E6" s="18" t="s">
        <v>1705</v>
      </c>
      <c r="F6" s="17">
        <v>3</v>
      </c>
      <c r="G6" s="17">
        <v>3</v>
      </c>
      <c r="H6" s="83" t="s">
        <v>290</v>
      </c>
      <c r="I6" s="41" t="s">
        <v>298</v>
      </c>
      <c r="J6" s="316" t="s">
        <v>1693</v>
      </c>
      <c r="K6" s="41" t="s">
        <v>862</v>
      </c>
      <c r="L6" s="203" t="s">
        <v>1694</v>
      </c>
      <c r="M6" s="231" t="s">
        <v>1706</v>
      </c>
      <c r="N6" s="232">
        <v>45544</v>
      </c>
      <c r="O6" s="336">
        <v>45546</v>
      </c>
      <c r="P6" s="187" t="s">
        <v>1666</v>
      </c>
      <c r="Q6" s="337" t="s">
        <v>1694</v>
      </c>
      <c r="R6" s="248" t="s">
        <v>294</v>
      </c>
      <c r="S6" s="232">
        <v>45546</v>
      </c>
      <c r="T6" s="325" t="s">
        <v>1694</v>
      </c>
      <c r="U6" s="282" t="s">
        <v>1694</v>
      </c>
      <c r="V6" s="282" t="s">
        <v>1694</v>
      </c>
      <c r="W6" s="228" t="s">
        <v>289</v>
      </c>
      <c r="X6" s="227"/>
    </row>
    <row r="7" spans="1:24">
      <c r="B7" s="28"/>
      <c r="C7" s="196"/>
      <c r="D7" s="47"/>
      <c r="E7" s="28"/>
      <c r="F7" s="215"/>
      <c r="G7" s="215"/>
      <c r="H7" s="2"/>
      <c r="I7" s="35"/>
      <c r="K7" s="35"/>
      <c r="M7" s="35"/>
      <c r="N7" s="35"/>
      <c r="O7" s="35"/>
      <c r="P7" s="35"/>
    </row>
    <row r="8" spans="1:24">
      <c r="B8" s="28"/>
      <c r="C8" s="196"/>
      <c r="D8" s="47"/>
      <c r="E8" s="28"/>
      <c r="F8" s="215"/>
      <c r="G8" s="215"/>
      <c r="H8" s="2"/>
      <c r="I8" s="35"/>
      <c r="K8" s="35"/>
      <c r="M8" s="35"/>
      <c r="N8" s="35"/>
      <c r="O8" s="35"/>
      <c r="P8" s="35"/>
    </row>
    <row r="9" spans="1:24">
      <c r="B9" s="28"/>
      <c r="C9" s="196"/>
      <c r="D9" s="47"/>
      <c r="E9" s="28"/>
      <c r="F9" s="215"/>
      <c r="G9" s="215"/>
      <c r="H9" s="2"/>
      <c r="I9" s="35"/>
      <c r="K9" s="35"/>
      <c r="M9" s="35"/>
      <c r="N9" s="35"/>
      <c r="O9" s="35"/>
      <c r="P9" s="35"/>
    </row>
    <row r="10" spans="1:24">
      <c r="B10" s="28"/>
      <c r="C10" s="196"/>
      <c r="D10" s="47"/>
      <c r="E10" s="28"/>
      <c r="F10" s="215"/>
      <c r="G10" s="215"/>
      <c r="H10" s="2"/>
      <c r="I10" s="35"/>
      <c r="K10" s="35"/>
      <c r="M10" s="35"/>
      <c r="N10" s="35"/>
      <c r="O10" s="35"/>
      <c r="P10" s="35"/>
    </row>
    <row r="11" spans="1:24">
      <c r="B11" s="28"/>
      <c r="C11" s="196"/>
      <c r="D11" s="47"/>
      <c r="E11" s="28"/>
      <c r="F11" s="215"/>
      <c r="G11" s="215"/>
      <c r="H11" s="2"/>
      <c r="I11" s="35"/>
      <c r="K11" s="35"/>
      <c r="M11" s="35"/>
      <c r="N11" s="35"/>
      <c r="O11" s="35"/>
      <c r="P11" s="35"/>
    </row>
    <row r="12" spans="1:24">
      <c r="B12" s="28"/>
      <c r="C12" s="196"/>
      <c r="D12" s="47"/>
      <c r="E12" s="28"/>
      <c r="F12" s="215"/>
      <c r="G12" s="215"/>
      <c r="H12" s="2"/>
      <c r="I12" s="35"/>
      <c r="K12" s="35"/>
      <c r="M12" s="35"/>
      <c r="N12" s="35"/>
      <c r="O12" s="35"/>
      <c r="P12" s="35"/>
    </row>
    <row r="13" spans="1:24">
      <c r="B13" s="28"/>
      <c r="C13" s="196"/>
      <c r="D13" s="47"/>
      <c r="E13" s="28"/>
      <c r="F13" s="215"/>
      <c r="G13" s="215"/>
      <c r="H13" s="2"/>
      <c r="I13" s="35"/>
      <c r="K13" s="35"/>
      <c r="M13" s="35"/>
      <c r="N13" s="35"/>
      <c r="O13" s="35"/>
      <c r="P13" s="35"/>
    </row>
    <row r="14" spans="1:24">
      <c r="B14" s="28"/>
      <c r="C14" s="196"/>
      <c r="D14" s="47"/>
      <c r="E14" s="28"/>
      <c r="F14" s="215"/>
      <c r="G14" s="215"/>
      <c r="H14" s="2"/>
      <c r="I14" s="35"/>
      <c r="K14" s="35"/>
      <c r="M14" s="35"/>
      <c r="N14" s="35"/>
      <c r="O14" s="35"/>
      <c r="P14" s="35"/>
    </row>
    <row r="15" spans="1:24">
      <c r="B15" s="28"/>
      <c r="C15" s="196"/>
      <c r="D15" s="47"/>
      <c r="E15" s="28"/>
      <c r="F15" s="215"/>
      <c r="G15" s="215"/>
      <c r="H15" s="2"/>
      <c r="I15" s="35"/>
      <c r="K15" s="35"/>
      <c r="M15" s="35"/>
      <c r="N15" s="35"/>
      <c r="O15" s="35"/>
      <c r="P15" s="35"/>
    </row>
    <row r="16" spans="1:24">
      <c r="B16" s="28"/>
      <c r="C16" s="196"/>
      <c r="D16" s="47"/>
      <c r="E16" s="28"/>
      <c r="F16" s="215"/>
      <c r="G16" s="215"/>
      <c r="H16" s="2"/>
      <c r="I16" s="35"/>
      <c r="K16" s="35"/>
      <c r="M16" s="35"/>
      <c r="N16" s="35"/>
      <c r="O16" s="35"/>
      <c r="P16" s="35"/>
    </row>
    <row r="17" spans="2:16">
      <c r="B17" s="28"/>
      <c r="C17" s="196"/>
      <c r="D17" s="47"/>
      <c r="E17" s="28"/>
      <c r="F17" s="215"/>
      <c r="G17" s="215"/>
      <c r="H17" s="2"/>
      <c r="I17" s="35"/>
      <c r="K17" s="35"/>
      <c r="M17" s="35"/>
      <c r="N17" s="35"/>
      <c r="O17" s="35"/>
      <c r="P17" s="35"/>
    </row>
    <row r="18" spans="2:16">
      <c r="B18" s="28"/>
      <c r="C18" s="196"/>
      <c r="D18" s="47"/>
      <c r="E18" s="28"/>
      <c r="F18" s="215"/>
      <c r="G18" s="215"/>
      <c r="H18" s="2"/>
      <c r="I18" s="35"/>
      <c r="K18" s="35"/>
      <c r="M18" s="35"/>
      <c r="N18" s="35"/>
      <c r="O18" s="35"/>
      <c r="P18" s="35"/>
    </row>
    <row r="19" spans="2:16">
      <c r="B19" s="28"/>
      <c r="C19" s="196"/>
      <c r="D19" s="47"/>
      <c r="E19" s="28"/>
      <c r="F19" s="215"/>
      <c r="G19" s="215"/>
      <c r="H19" s="2"/>
      <c r="I19" s="35"/>
      <c r="K19" s="35"/>
      <c r="M19" s="35"/>
      <c r="N19" s="35"/>
      <c r="O19" s="35"/>
      <c r="P19" s="35"/>
    </row>
    <row r="20" spans="2:16">
      <c r="B20" s="28"/>
      <c r="C20" s="196"/>
      <c r="D20" s="47"/>
      <c r="E20" s="28"/>
      <c r="F20" s="215"/>
      <c r="G20" s="215"/>
      <c r="H20" s="2"/>
      <c r="I20" s="35"/>
      <c r="K20" s="35"/>
      <c r="M20" s="35"/>
      <c r="N20" s="35"/>
      <c r="O20" s="35"/>
      <c r="P20" s="35"/>
    </row>
    <row r="21" spans="2:16">
      <c r="B21" s="28"/>
      <c r="C21" s="196"/>
      <c r="D21" s="47"/>
      <c r="E21" s="28"/>
      <c r="F21" s="215"/>
      <c r="G21" s="215"/>
      <c r="H21" s="2"/>
      <c r="I21" s="35"/>
      <c r="K21" s="35"/>
      <c r="M21" s="35"/>
      <c r="N21" s="35"/>
      <c r="O21" s="35"/>
      <c r="P21" s="35"/>
    </row>
    <row r="22" spans="2:16">
      <c r="B22" s="28"/>
      <c r="C22" s="196"/>
      <c r="D22" s="47"/>
      <c r="E22" s="28"/>
      <c r="F22" s="215"/>
      <c r="G22" s="215"/>
      <c r="H22" s="2"/>
      <c r="I22" s="35"/>
      <c r="K22" s="35"/>
      <c r="M22" s="35"/>
      <c r="N22" s="35"/>
      <c r="O22" s="35"/>
      <c r="P22" s="35"/>
    </row>
    <row r="23" spans="2:16">
      <c r="B23" s="28"/>
      <c r="C23" s="196"/>
      <c r="D23" s="47"/>
      <c r="E23" s="28"/>
      <c r="F23" s="215"/>
      <c r="G23" s="215"/>
      <c r="H23" s="2"/>
      <c r="I23" s="35"/>
      <c r="K23" s="35"/>
      <c r="M23" s="35"/>
      <c r="N23" s="35"/>
      <c r="O23" s="35"/>
      <c r="P23" s="35"/>
    </row>
    <row r="24" spans="2:16">
      <c r="B24" s="28"/>
      <c r="C24" s="196"/>
      <c r="D24" s="47"/>
      <c r="E24" s="28"/>
      <c r="F24" s="215"/>
      <c r="G24" s="215"/>
      <c r="H24" s="2"/>
      <c r="I24" s="35"/>
      <c r="K24" s="35"/>
      <c r="M24" s="35"/>
      <c r="N24" s="35"/>
      <c r="O24" s="35"/>
      <c r="P24" s="35"/>
    </row>
    <row r="25" spans="2:16">
      <c r="B25" s="28"/>
      <c r="C25" s="196"/>
      <c r="D25" s="47"/>
      <c r="E25" s="28"/>
      <c r="F25" s="215"/>
      <c r="G25" s="215"/>
      <c r="H25" s="2"/>
      <c r="I25" s="35"/>
      <c r="K25" s="35"/>
      <c r="M25" s="35"/>
      <c r="N25" s="35"/>
      <c r="O25" s="35"/>
      <c r="P25" s="35"/>
    </row>
    <row r="26" spans="2:16">
      <c r="B26" s="28"/>
      <c r="C26" s="196"/>
      <c r="D26" s="47"/>
      <c r="E26" s="28"/>
      <c r="F26" s="215"/>
      <c r="G26" s="215"/>
      <c r="H26" s="2"/>
      <c r="I26" s="35"/>
      <c r="K26" s="35"/>
      <c r="M26" s="35"/>
      <c r="N26" s="35"/>
      <c r="O26" s="35"/>
      <c r="P26" s="35"/>
    </row>
    <row r="27" spans="2:16">
      <c r="B27" s="28"/>
      <c r="C27" s="196"/>
      <c r="D27" s="47"/>
      <c r="E27" s="28"/>
      <c r="F27" s="215"/>
      <c r="G27" s="215"/>
      <c r="H27" s="2"/>
      <c r="I27" s="35"/>
      <c r="K27" s="35"/>
      <c r="M27" s="35"/>
      <c r="N27" s="35"/>
      <c r="O27" s="35"/>
      <c r="P27" s="35"/>
    </row>
    <row r="28" spans="2:16">
      <c r="B28" s="28"/>
      <c r="C28" s="196"/>
      <c r="D28" s="47"/>
      <c r="E28" s="28"/>
      <c r="F28" s="215"/>
      <c r="G28" s="215"/>
      <c r="H28" s="2"/>
      <c r="I28" s="35"/>
      <c r="K28" s="35"/>
      <c r="M28" s="35"/>
      <c r="N28" s="35"/>
      <c r="O28" s="35"/>
      <c r="P28" s="35"/>
    </row>
    <row r="29" spans="2:16">
      <c r="B29" s="28"/>
      <c r="C29" s="196"/>
      <c r="D29" s="47"/>
      <c r="E29" s="28"/>
      <c r="F29" s="215"/>
      <c r="G29" s="215"/>
      <c r="H29" s="2"/>
      <c r="I29" s="35"/>
      <c r="K29" s="35"/>
      <c r="M29" s="35"/>
      <c r="N29" s="35"/>
      <c r="O29" s="35"/>
      <c r="P29" s="35"/>
    </row>
    <row r="30" spans="2:16">
      <c r="B30" s="28"/>
      <c r="C30" s="196"/>
      <c r="D30" s="47"/>
      <c r="E30" s="28"/>
      <c r="F30" s="215"/>
      <c r="G30" s="215"/>
      <c r="H30" s="2"/>
      <c r="I30" s="35"/>
      <c r="K30" s="35"/>
      <c r="M30" s="35"/>
      <c r="N30" s="35"/>
      <c r="O30" s="35"/>
      <c r="P30" s="35"/>
    </row>
    <row r="31" spans="2:16">
      <c r="B31" s="28"/>
      <c r="C31" s="196"/>
      <c r="D31" s="47"/>
      <c r="E31" s="28"/>
      <c r="F31" s="215"/>
      <c r="G31" s="215"/>
      <c r="H31" s="2"/>
      <c r="I31" s="35"/>
      <c r="K31" s="35"/>
      <c r="M31" s="35"/>
      <c r="N31" s="35"/>
      <c r="O31" s="35"/>
      <c r="P31" s="35"/>
    </row>
    <row r="32" spans="2:16">
      <c r="B32" s="28"/>
      <c r="C32" s="196"/>
      <c r="D32" s="47"/>
      <c r="E32" s="28"/>
      <c r="F32" s="215"/>
      <c r="G32" s="215"/>
      <c r="H32" s="2"/>
      <c r="I32" s="35"/>
      <c r="K32" s="35"/>
      <c r="M32" s="35"/>
      <c r="N32" s="35"/>
      <c r="O32" s="35"/>
      <c r="P32" s="35"/>
    </row>
    <row r="33" spans="2:16">
      <c r="B33" s="28"/>
      <c r="C33" s="196"/>
      <c r="D33" s="47"/>
      <c r="E33" s="28"/>
      <c r="F33" s="215"/>
      <c r="G33" s="215"/>
      <c r="H33" s="2"/>
      <c r="I33" s="35"/>
      <c r="K33" s="35"/>
      <c r="M33" s="35"/>
      <c r="N33" s="35"/>
      <c r="O33" s="35"/>
      <c r="P33" s="35"/>
    </row>
    <row r="34" spans="2:16">
      <c r="B34" s="28"/>
      <c r="C34" s="196"/>
      <c r="D34" s="47"/>
      <c r="E34" s="28"/>
      <c r="F34" s="215"/>
      <c r="G34" s="215"/>
      <c r="H34" s="2"/>
      <c r="I34" s="35"/>
      <c r="K34" s="35"/>
      <c r="M34" s="35"/>
      <c r="N34" s="35"/>
      <c r="O34" s="35"/>
      <c r="P34" s="35"/>
    </row>
    <row r="35" spans="2:16">
      <c r="B35" s="28"/>
      <c r="C35" s="196"/>
      <c r="D35" s="47"/>
      <c r="E35" s="28"/>
      <c r="F35" s="215"/>
      <c r="G35" s="215"/>
      <c r="H35" s="2"/>
      <c r="I35" s="35"/>
      <c r="K35" s="35"/>
      <c r="M35" s="35"/>
      <c r="N35" s="35"/>
      <c r="O35" s="35"/>
      <c r="P35" s="35"/>
    </row>
    <row r="36" spans="2:16">
      <c r="B36" s="28"/>
      <c r="C36" s="196"/>
      <c r="D36" s="47"/>
      <c r="E36" s="28"/>
      <c r="F36" s="215"/>
      <c r="G36" s="215"/>
      <c r="H36" s="2"/>
      <c r="I36" s="35"/>
      <c r="K36" s="35"/>
      <c r="M36" s="35"/>
      <c r="N36" s="35"/>
      <c r="O36" s="35"/>
      <c r="P36" s="35"/>
    </row>
    <row r="37" spans="2:16">
      <c r="B37" s="28"/>
      <c r="C37" s="196"/>
      <c r="D37" s="47"/>
      <c r="E37" s="28"/>
      <c r="F37" s="215"/>
      <c r="G37" s="215"/>
      <c r="H37" s="2"/>
      <c r="I37" s="35"/>
      <c r="K37" s="35"/>
      <c r="M37" s="35"/>
      <c r="N37" s="35"/>
      <c r="O37" s="35"/>
      <c r="P37" s="35"/>
    </row>
    <row r="38" spans="2:16">
      <c r="B38" s="28"/>
      <c r="C38" s="196"/>
      <c r="D38" s="47"/>
      <c r="E38" s="28"/>
      <c r="F38" s="215"/>
      <c r="G38" s="215"/>
      <c r="H38" s="2"/>
      <c r="I38" s="35"/>
      <c r="K38" s="35"/>
      <c r="M38" s="35"/>
      <c r="N38" s="35"/>
      <c r="O38" s="35"/>
      <c r="P38" s="35"/>
    </row>
    <row r="39" spans="2:16">
      <c r="B39" s="28"/>
      <c r="C39" s="196"/>
      <c r="D39" s="47"/>
      <c r="E39" s="28"/>
      <c r="F39" s="215"/>
      <c r="G39" s="215"/>
      <c r="H39" s="2"/>
      <c r="I39" s="35"/>
      <c r="K39" s="35"/>
      <c r="M39" s="35"/>
      <c r="N39" s="35"/>
      <c r="O39" s="35"/>
      <c r="P39" s="35"/>
    </row>
    <row r="40" spans="2:16">
      <c r="B40" s="28"/>
      <c r="C40" s="196"/>
      <c r="D40" s="47"/>
      <c r="E40" s="28"/>
      <c r="F40" s="215"/>
      <c r="G40" s="215"/>
      <c r="H40" s="2"/>
      <c r="I40" s="35"/>
      <c r="K40" s="35"/>
      <c r="M40" s="35"/>
      <c r="N40" s="35"/>
      <c r="O40" s="35"/>
      <c r="P40" s="35"/>
    </row>
    <row r="41" spans="2:16">
      <c r="B41" s="28"/>
      <c r="C41" s="196"/>
      <c r="D41" s="47"/>
      <c r="E41" s="28"/>
      <c r="F41" s="215"/>
      <c r="G41" s="215"/>
      <c r="H41" s="2"/>
      <c r="I41" s="35"/>
      <c r="K41" s="35"/>
      <c r="M41" s="35"/>
      <c r="N41" s="35"/>
      <c r="O41" s="35"/>
      <c r="P41" s="35"/>
    </row>
    <row r="42" spans="2:16">
      <c r="B42" s="28"/>
      <c r="C42" s="196"/>
      <c r="D42" s="47"/>
      <c r="E42" s="28"/>
      <c r="F42" s="215"/>
      <c r="G42" s="215"/>
      <c r="H42" s="2"/>
      <c r="I42" s="35"/>
      <c r="K42" s="35"/>
      <c r="M42" s="35"/>
      <c r="N42" s="35"/>
      <c r="O42" s="35"/>
      <c r="P42" s="35"/>
    </row>
    <row r="43" spans="2:16">
      <c r="B43" s="28"/>
      <c r="C43" s="196"/>
      <c r="D43" s="47"/>
      <c r="E43" s="28"/>
      <c r="F43" s="215"/>
      <c r="G43" s="215"/>
      <c r="H43" s="2"/>
      <c r="I43" s="35"/>
      <c r="K43" s="35"/>
      <c r="M43" s="35"/>
      <c r="N43" s="35"/>
      <c r="O43" s="35"/>
      <c r="P43" s="35"/>
    </row>
    <row r="44" spans="2:16">
      <c r="B44" s="28"/>
      <c r="C44" s="196"/>
      <c r="D44" s="47"/>
      <c r="E44" s="28"/>
      <c r="F44" s="215"/>
      <c r="G44" s="215"/>
      <c r="H44" s="2"/>
      <c r="I44" s="35"/>
      <c r="K44" s="35"/>
      <c r="M44" s="35"/>
      <c r="N44" s="35"/>
      <c r="O44" s="35"/>
      <c r="P44" s="35"/>
    </row>
    <row r="45" spans="2:16">
      <c r="B45" s="28"/>
      <c r="C45" s="196"/>
      <c r="D45" s="47"/>
      <c r="E45" s="28"/>
      <c r="F45" s="215"/>
      <c r="G45" s="215"/>
      <c r="H45" s="2"/>
      <c r="I45" s="35"/>
      <c r="K45" s="35"/>
      <c r="M45" s="35"/>
      <c r="N45" s="35"/>
      <c r="O45" s="35"/>
      <c r="P45" s="35"/>
    </row>
    <row r="46" spans="2:16">
      <c r="B46" s="28"/>
      <c r="C46" s="196"/>
      <c r="D46" s="47"/>
      <c r="E46" s="28"/>
      <c r="F46" s="215"/>
      <c r="G46" s="215"/>
      <c r="H46" s="2"/>
      <c r="I46" s="35"/>
      <c r="K46" s="35"/>
      <c r="M46" s="35"/>
      <c r="N46" s="35"/>
      <c r="O46" s="35"/>
      <c r="P46" s="35"/>
    </row>
    <row r="47" spans="2:16">
      <c r="B47" s="28"/>
      <c r="C47" s="196"/>
      <c r="D47" s="47"/>
      <c r="E47" s="28"/>
      <c r="F47" s="215"/>
      <c r="G47" s="215"/>
      <c r="H47" s="2"/>
      <c r="I47" s="35"/>
      <c r="K47" s="35"/>
      <c r="M47" s="35"/>
      <c r="N47" s="35"/>
      <c r="O47" s="35"/>
      <c r="P47" s="35"/>
    </row>
    <row r="48" spans="2:16">
      <c r="B48" s="28"/>
      <c r="C48" s="196"/>
      <c r="D48" s="47"/>
      <c r="E48" s="28"/>
      <c r="F48" s="215"/>
      <c r="G48" s="215"/>
      <c r="H48" s="2"/>
      <c r="I48" s="35"/>
      <c r="K48" s="35"/>
      <c r="M48" s="35"/>
      <c r="N48" s="35"/>
      <c r="O48" s="35"/>
      <c r="P48" s="35"/>
    </row>
    <row r="49" spans="2:16">
      <c r="B49" s="28"/>
      <c r="C49" s="196"/>
      <c r="D49" s="47"/>
      <c r="E49" s="28"/>
      <c r="F49" s="215"/>
      <c r="G49" s="215"/>
      <c r="H49" s="2"/>
      <c r="I49" s="35"/>
      <c r="K49" s="35"/>
      <c r="M49" s="35"/>
      <c r="N49" s="35"/>
      <c r="O49" s="35"/>
      <c r="P49" s="35"/>
    </row>
    <row r="50" spans="2:16">
      <c r="B50" s="28"/>
      <c r="C50" s="196"/>
      <c r="D50" s="47"/>
      <c r="E50" s="28"/>
      <c r="F50" s="215"/>
      <c r="G50" s="215"/>
      <c r="H50" s="2"/>
      <c r="I50" s="35"/>
      <c r="K50" s="35"/>
      <c r="M50" s="35"/>
      <c r="N50" s="35"/>
      <c r="O50" s="35"/>
      <c r="P50" s="35"/>
    </row>
    <row r="51" spans="2:16">
      <c r="B51" s="28"/>
      <c r="C51" s="196"/>
      <c r="D51" s="47"/>
      <c r="E51" s="28"/>
      <c r="F51" s="215"/>
      <c r="G51" s="215"/>
      <c r="H51" s="2"/>
      <c r="I51" s="35"/>
      <c r="K51" s="35"/>
      <c r="M51" s="35"/>
      <c r="N51" s="35"/>
      <c r="O51" s="35"/>
      <c r="P51" s="35"/>
    </row>
    <row r="52" spans="2:16">
      <c r="B52" s="28"/>
      <c r="C52" s="196"/>
      <c r="D52" s="47"/>
      <c r="E52" s="28"/>
      <c r="F52" s="215"/>
      <c r="G52" s="215"/>
      <c r="H52" s="2"/>
      <c r="I52" s="35"/>
      <c r="K52" s="35"/>
      <c r="M52" s="35"/>
      <c r="N52" s="35"/>
      <c r="O52" s="35"/>
      <c r="P52" s="35"/>
    </row>
    <row r="53" spans="2:16">
      <c r="B53" s="28"/>
      <c r="C53" s="196"/>
      <c r="D53" s="47"/>
      <c r="E53" s="28"/>
      <c r="F53" s="215"/>
      <c r="G53" s="215"/>
      <c r="H53" s="2"/>
      <c r="I53" s="35"/>
      <c r="K53" s="35"/>
      <c r="M53" s="35"/>
      <c r="N53" s="35"/>
      <c r="O53" s="35"/>
      <c r="P53" s="35"/>
    </row>
    <row r="54" spans="2:16">
      <c r="B54" s="28"/>
      <c r="C54" s="196"/>
      <c r="D54" s="47"/>
      <c r="E54" s="28"/>
      <c r="F54" s="215"/>
      <c r="G54" s="215"/>
      <c r="H54" s="2"/>
      <c r="I54" s="35"/>
      <c r="K54" s="35"/>
      <c r="M54" s="35"/>
      <c r="N54" s="35"/>
      <c r="O54" s="35"/>
      <c r="P54" s="35"/>
    </row>
    <row r="55" spans="2:16">
      <c r="B55" s="28"/>
      <c r="C55" s="196"/>
      <c r="D55" s="47"/>
      <c r="E55" s="28"/>
      <c r="F55" s="215"/>
      <c r="G55" s="215"/>
      <c r="H55" s="2"/>
      <c r="I55" s="35"/>
      <c r="K55" s="35"/>
      <c r="M55" s="35"/>
      <c r="N55" s="35"/>
      <c r="O55" s="35"/>
      <c r="P55" s="35"/>
    </row>
    <row r="56" spans="2:16">
      <c r="B56" s="28"/>
      <c r="C56" s="196"/>
      <c r="D56" s="47"/>
      <c r="E56" s="28"/>
      <c r="F56" s="215"/>
      <c r="G56" s="215"/>
      <c r="H56" s="2"/>
      <c r="I56" s="35"/>
      <c r="K56" s="35"/>
      <c r="M56" s="35"/>
      <c r="N56" s="35"/>
      <c r="O56" s="35"/>
      <c r="P56" s="35"/>
    </row>
    <row r="57" spans="2:16">
      <c r="B57" s="28"/>
      <c r="C57" s="196"/>
      <c r="D57" s="47"/>
      <c r="E57" s="28"/>
      <c r="F57" s="215"/>
      <c r="G57" s="215"/>
      <c r="H57" s="2"/>
      <c r="I57" s="35"/>
      <c r="K57" s="35"/>
      <c r="M57" s="35"/>
      <c r="N57" s="35"/>
      <c r="O57" s="35"/>
      <c r="P57" s="35"/>
    </row>
    <row r="58" spans="2:16">
      <c r="B58" s="28"/>
      <c r="C58" s="196"/>
      <c r="D58" s="47"/>
      <c r="E58" s="28"/>
      <c r="F58" s="215"/>
      <c r="G58" s="215"/>
      <c r="H58" s="2"/>
      <c r="I58" s="35"/>
      <c r="K58" s="35"/>
      <c r="M58" s="35"/>
      <c r="N58" s="35"/>
      <c r="O58" s="35"/>
      <c r="P58" s="35"/>
    </row>
    <row r="59" spans="2:16">
      <c r="B59" s="28"/>
      <c r="C59" s="196"/>
      <c r="D59" s="47"/>
      <c r="E59" s="28"/>
      <c r="F59" s="215"/>
      <c r="G59" s="215"/>
      <c r="H59" s="2"/>
      <c r="I59" s="35"/>
      <c r="K59" s="35"/>
      <c r="M59" s="35"/>
      <c r="N59" s="35"/>
      <c r="O59" s="35"/>
      <c r="P59" s="35"/>
    </row>
    <row r="60" spans="2:16">
      <c r="B60" s="28"/>
      <c r="C60" s="196"/>
      <c r="D60" s="47"/>
      <c r="E60" s="28"/>
      <c r="F60" s="215"/>
      <c r="G60" s="215"/>
      <c r="H60" s="2"/>
      <c r="I60" s="35"/>
      <c r="K60" s="35"/>
      <c r="M60" s="35"/>
      <c r="N60" s="35"/>
      <c r="O60" s="35"/>
      <c r="P60" s="35"/>
    </row>
    <row r="61" spans="2:16">
      <c r="B61" s="28"/>
      <c r="C61" s="196"/>
      <c r="D61" s="47"/>
      <c r="E61" s="28"/>
      <c r="F61" s="215"/>
      <c r="G61" s="215"/>
      <c r="H61" s="2"/>
      <c r="I61" s="35"/>
      <c r="K61" s="35"/>
      <c r="M61" s="35"/>
      <c r="N61" s="35"/>
      <c r="O61" s="35"/>
      <c r="P61" s="35"/>
    </row>
    <row r="62" spans="2:16">
      <c r="B62" s="28"/>
      <c r="C62" s="196"/>
      <c r="D62" s="47"/>
      <c r="E62" s="28"/>
      <c r="F62" s="215"/>
      <c r="G62" s="215"/>
      <c r="H62" s="2"/>
      <c r="I62" s="35"/>
      <c r="K62" s="35"/>
      <c r="M62" s="35"/>
      <c r="N62" s="35"/>
      <c r="O62" s="35"/>
      <c r="P62" s="35"/>
    </row>
    <row r="63" spans="2:16">
      <c r="B63" s="28"/>
      <c r="C63" s="196"/>
      <c r="D63" s="47"/>
      <c r="E63" s="28"/>
      <c r="F63" s="215"/>
      <c r="G63" s="215"/>
      <c r="H63" s="2"/>
      <c r="I63" s="35"/>
      <c r="K63" s="35"/>
      <c r="M63" s="35"/>
      <c r="N63" s="35"/>
      <c r="O63" s="35"/>
      <c r="P63" s="35"/>
    </row>
    <row r="64" spans="2:16">
      <c r="B64" s="28"/>
      <c r="C64" s="196"/>
      <c r="D64" s="47"/>
      <c r="E64" s="28"/>
      <c r="F64" s="215"/>
      <c r="G64" s="215"/>
      <c r="H64" s="2"/>
      <c r="I64" s="35"/>
      <c r="K64" s="35"/>
      <c r="M64" s="35"/>
      <c r="N64" s="35"/>
      <c r="O64" s="35"/>
      <c r="P64" s="35"/>
    </row>
    <row r="65" spans="2:16">
      <c r="B65" s="28"/>
      <c r="C65" s="196"/>
      <c r="D65" s="47"/>
      <c r="E65" s="28"/>
      <c r="F65" s="215"/>
      <c r="G65" s="215"/>
      <c r="H65" s="2"/>
      <c r="I65" s="35"/>
      <c r="K65" s="35"/>
      <c r="M65" s="35"/>
      <c r="N65" s="35"/>
      <c r="O65" s="35"/>
      <c r="P65" s="35"/>
    </row>
    <row r="66" spans="2:16">
      <c r="B66" s="28"/>
      <c r="C66" s="196"/>
      <c r="D66" s="47"/>
      <c r="E66" s="28"/>
      <c r="F66" s="215"/>
      <c r="G66" s="215"/>
      <c r="H66" s="2"/>
      <c r="I66" s="35"/>
      <c r="K66" s="35"/>
      <c r="M66" s="35"/>
      <c r="N66" s="35"/>
      <c r="O66" s="35"/>
      <c r="P66" s="35"/>
    </row>
    <row r="67" spans="2:16">
      <c r="B67" s="28"/>
      <c r="C67" s="196"/>
      <c r="D67" s="47"/>
      <c r="E67" s="28"/>
      <c r="F67" s="215"/>
      <c r="G67" s="215"/>
      <c r="H67" s="2"/>
      <c r="I67" s="35"/>
      <c r="K67" s="35"/>
      <c r="M67" s="35"/>
      <c r="N67" s="35"/>
      <c r="O67" s="35"/>
      <c r="P67" s="35"/>
    </row>
    <row r="68" spans="2:16">
      <c r="B68" s="28"/>
      <c r="C68" s="196"/>
      <c r="D68" s="47"/>
      <c r="E68" s="28"/>
      <c r="F68" s="215"/>
      <c r="G68" s="215"/>
      <c r="H68" s="2"/>
      <c r="I68" s="35"/>
      <c r="K68" s="35"/>
      <c r="M68" s="35"/>
      <c r="N68" s="35"/>
      <c r="O68" s="35"/>
      <c r="P68" s="35"/>
    </row>
    <row r="69" spans="2:16">
      <c r="B69" s="28"/>
      <c r="C69" s="196"/>
      <c r="D69" s="47"/>
      <c r="E69" s="28"/>
      <c r="F69" s="215"/>
      <c r="G69" s="215"/>
      <c r="H69" s="2"/>
      <c r="I69" s="35"/>
      <c r="K69" s="35"/>
      <c r="M69" s="35"/>
      <c r="N69" s="35"/>
      <c r="O69" s="35"/>
      <c r="P69" s="35"/>
    </row>
    <row r="70" spans="2:16">
      <c r="B70" s="28"/>
      <c r="C70" s="196"/>
      <c r="D70" s="47"/>
      <c r="E70" s="28"/>
      <c r="F70" s="215"/>
      <c r="G70" s="215"/>
      <c r="H70" s="2"/>
      <c r="I70" s="35"/>
      <c r="K70" s="35"/>
      <c r="M70" s="35"/>
      <c r="N70" s="35"/>
      <c r="O70" s="35"/>
      <c r="P70" s="35"/>
    </row>
    <row r="71" spans="2:16">
      <c r="B71" s="28"/>
      <c r="C71" s="196"/>
      <c r="D71" s="47"/>
      <c r="E71" s="28"/>
      <c r="F71" s="215"/>
      <c r="G71" s="215"/>
      <c r="H71" s="2"/>
      <c r="I71" s="35"/>
      <c r="K71" s="35"/>
      <c r="M71" s="35"/>
      <c r="N71" s="35"/>
      <c r="O71" s="35"/>
      <c r="P71" s="35"/>
    </row>
    <row r="72" spans="2:16">
      <c r="B72" s="28"/>
      <c r="C72" s="196"/>
      <c r="D72" s="47"/>
      <c r="E72" s="28"/>
      <c r="F72" s="215"/>
      <c r="G72" s="215"/>
      <c r="H72" s="2"/>
      <c r="I72" s="107"/>
      <c r="K72" s="35"/>
      <c r="M72" s="35"/>
      <c r="N72" s="35"/>
      <c r="O72" s="35"/>
      <c r="P72" s="35"/>
    </row>
    <row r="73" spans="2:16">
      <c r="B73" s="28"/>
      <c r="C73" s="196"/>
      <c r="D73" s="47"/>
      <c r="E73" s="28"/>
      <c r="F73" s="215"/>
      <c r="G73" s="215"/>
      <c r="H73" s="2"/>
      <c r="I73" s="19"/>
      <c r="K73" s="35"/>
      <c r="M73" s="35"/>
      <c r="N73" s="35"/>
      <c r="O73" s="35"/>
      <c r="P73" s="35"/>
    </row>
    <row r="74" spans="2:16">
      <c r="B74" s="28"/>
      <c r="C74" s="196"/>
      <c r="D74" s="47"/>
      <c r="E74" s="28"/>
      <c r="F74" s="215"/>
      <c r="G74" s="215"/>
      <c r="H74" s="2"/>
      <c r="I74" s="19"/>
      <c r="K74" s="35"/>
      <c r="M74" s="35"/>
      <c r="N74" s="35"/>
      <c r="O74" s="35"/>
      <c r="P74" s="35"/>
    </row>
    <row r="75" spans="2:16">
      <c r="B75" s="28"/>
      <c r="C75" s="196"/>
      <c r="D75" s="47"/>
      <c r="E75" s="28"/>
      <c r="F75" s="215"/>
      <c r="G75" s="215"/>
      <c r="H75" s="2"/>
      <c r="I75" s="19"/>
      <c r="K75" s="35"/>
      <c r="M75" s="35"/>
      <c r="N75" s="35"/>
      <c r="O75" s="35"/>
      <c r="P75" s="35"/>
    </row>
    <row r="76" spans="2:16">
      <c r="B76" s="28"/>
      <c r="C76" s="196"/>
      <c r="D76" s="47"/>
      <c r="E76" s="28"/>
      <c r="F76" s="215"/>
      <c r="G76" s="215"/>
      <c r="H76" s="2"/>
      <c r="I76" s="19"/>
      <c r="K76" s="35"/>
      <c r="M76" s="35"/>
      <c r="N76" s="35"/>
      <c r="O76" s="35"/>
      <c r="P76" s="35"/>
    </row>
    <row r="77" spans="2:16">
      <c r="B77" s="28"/>
      <c r="C77" s="196"/>
      <c r="D77" s="47"/>
      <c r="E77" s="28"/>
      <c r="F77" s="215"/>
      <c r="G77" s="215"/>
      <c r="H77" s="2"/>
      <c r="I77" s="19"/>
      <c r="K77" s="35"/>
      <c r="M77" s="35"/>
      <c r="N77" s="35"/>
      <c r="O77" s="35"/>
      <c r="P77" s="35"/>
    </row>
    <row r="78" spans="2:16">
      <c r="B78" s="28"/>
      <c r="C78" s="196"/>
      <c r="D78" s="47"/>
      <c r="E78" s="28"/>
      <c r="F78" s="215"/>
      <c r="G78" s="215"/>
      <c r="H78" s="2"/>
      <c r="I78" s="19"/>
      <c r="K78" s="35"/>
      <c r="M78" s="35"/>
      <c r="N78" s="35"/>
      <c r="O78" s="35"/>
      <c r="P78" s="35"/>
    </row>
    <row r="79" spans="2:16">
      <c r="B79" s="28"/>
      <c r="C79" s="196"/>
      <c r="D79" s="47"/>
      <c r="E79" s="28"/>
      <c r="F79" s="215"/>
      <c r="G79" s="215"/>
      <c r="H79" s="2"/>
      <c r="I79" s="19"/>
      <c r="K79" s="35"/>
      <c r="M79" s="35"/>
      <c r="N79" s="35"/>
      <c r="O79" s="35"/>
      <c r="P79" s="35"/>
    </row>
    <row r="80" spans="2:16">
      <c r="B80" s="28"/>
      <c r="C80" s="196"/>
      <c r="D80" s="47"/>
      <c r="E80" s="28"/>
      <c r="F80" s="215"/>
      <c r="G80" s="215"/>
      <c r="H80" s="2"/>
      <c r="I80" s="19"/>
      <c r="K80" s="35"/>
      <c r="M80" s="35"/>
      <c r="N80" s="35"/>
      <c r="O80" s="35"/>
      <c r="P80" s="35"/>
    </row>
    <row r="81" spans="2:16">
      <c r="B81" s="28"/>
      <c r="C81" s="196"/>
      <c r="D81" s="47"/>
      <c r="E81" s="28"/>
      <c r="F81" s="215"/>
      <c r="G81" s="215"/>
      <c r="H81" s="2"/>
      <c r="I81" s="19"/>
      <c r="K81" s="35"/>
      <c r="M81" s="35"/>
      <c r="N81" s="35"/>
      <c r="O81" s="35"/>
      <c r="P81" s="35"/>
    </row>
    <row r="82" spans="2:16">
      <c r="B82" s="28"/>
      <c r="C82" s="196"/>
      <c r="D82" s="47"/>
      <c r="E82" s="28"/>
      <c r="F82" s="215"/>
      <c r="G82" s="215"/>
      <c r="H82" s="2"/>
      <c r="I82" s="19"/>
      <c r="K82" s="35"/>
      <c r="M82" s="35"/>
      <c r="N82" s="35"/>
      <c r="O82" s="35"/>
      <c r="P82" s="35"/>
    </row>
    <row r="83" spans="2:16">
      <c r="B83" s="28"/>
      <c r="C83" s="196"/>
      <c r="D83" s="47"/>
      <c r="E83" s="28"/>
      <c r="F83" s="215"/>
      <c r="G83" s="215"/>
      <c r="H83" s="2"/>
      <c r="I83" s="19"/>
      <c r="K83" s="35"/>
      <c r="M83" s="35"/>
      <c r="N83" s="35"/>
      <c r="O83" s="35"/>
      <c r="P83" s="35"/>
    </row>
    <row r="84" spans="2:16">
      <c r="B84" s="28"/>
      <c r="C84" s="196"/>
      <c r="D84" s="47"/>
      <c r="E84" s="28"/>
      <c r="F84" s="215"/>
      <c r="G84" s="215"/>
      <c r="H84" s="2"/>
      <c r="I84" s="19"/>
      <c r="K84" s="35"/>
      <c r="M84" s="35"/>
      <c r="N84" s="35"/>
      <c r="O84" s="35"/>
      <c r="P84" s="35"/>
    </row>
    <row r="85" spans="2:16">
      <c r="B85" s="28"/>
      <c r="C85" s="196"/>
      <c r="D85" s="47"/>
      <c r="E85" s="28"/>
      <c r="F85" s="215"/>
      <c r="G85" s="215"/>
      <c r="H85" s="2"/>
      <c r="I85" s="19"/>
      <c r="K85" s="35"/>
      <c r="M85" s="35"/>
      <c r="N85" s="35"/>
      <c r="O85" s="35"/>
      <c r="P85" s="35"/>
    </row>
    <row r="86" spans="2:16">
      <c r="B86" s="28"/>
      <c r="C86" s="196"/>
      <c r="D86" s="47"/>
      <c r="E86" s="28"/>
      <c r="F86" s="215"/>
      <c r="G86" s="215"/>
      <c r="H86" s="2"/>
      <c r="I86" s="19"/>
      <c r="K86" s="35"/>
      <c r="M86" s="35"/>
      <c r="N86" s="35"/>
      <c r="O86" s="35"/>
      <c r="P86" s="35"/>
    </row>
    <row r="87" spans="2:16">
      <c r="B87" s="28"/>
      <c r="C87" s="196"/>
      <c r="D87" s="47"/>
      <c r="E87" s="28"/>
      <c r="F87" s="215"/>
      <c r="G87" s="215"/>
      <c r="H87" s="2"/>
      <c r="I87" s="19"/>
      <c r="K87" s="35"/>
      <c r="M87" s="35"/>
      <c r="N87" s="35"/>
      <c r="O87" s="35"/>
      <c r="P87" s="35"/>
    </row>
    <row r="88" spans="2:16">
      <c r="B88" s="28"/>
      <c r="C88" s="196"/>
      <c r="D88" s="47"/>
      <c r="E88" s="28"/>
      <c r="F88" s="215"/>
      <c r="G88" s="215"/>
      <c r="H88" s="2"/>
      <c r="I88" s="19"/>
      <c r="K88" s="35"/>
      <c r="M88" s="35"/>
      <c r="N88" s="35"/>
      <c r="O88" s="35"/>
      <c r="P88" s="35"/>
    </row>
    <row r="89" spans="2:16">
      <c r="B89" s="28"/>
      <c r="C89" s="196"/>
      <c r="D89" s="47"/>
      <c r="E89" s="28"/>
      <c r="F89" s="215"/>
      <c r="G89" s="215"/>
      <c r="H89" s="2"/>
      <c r="I89" s="19"/>
      <c r="K89" s="35"/>
      <c r="M89" s="35"/>
      <c r="N89" s="35"/>
      <c r="O89" s="35"/>
      <c r="P89" s="35"/>
    </row>
    <row r="90" spans="2:16">
      <c r="B90" s="28"/>
      <c r="C90" s="196"/>
      <c r="D90" s="47"/>
      <c r="E90" s="28"/>
      <c r="F90" s="215"/>
      <c r="G90" s="215"/>
      <c r="H90" s="2"/>
      <c r="I90" s="19"/>
      <c r="K90" s="35"/>
      <c r="M90" s="35"/>
      <c r="N90" s="35"/>
      <c r="O90" s="35"/>
      <c r="P90" s="35"/>
    </row>
    <row r="91" spans="2:16">
      <c r="B91" s="28"/>
      <c r="C91" s="196"/>
      <c r="D91" s="47"/>
      <c r="E91" s="28"/>
      <c r="F91" s="215"/>
      <c r="G91" s="215"/>
      <c r="H91" s="2"/>
      <c r="I91" s="19"/>
      <c r="K91" s="35"/>
      <c r="M91" s="35"/>
      <c r="N91" s="35"/>
      <c r="O91" s="35"/>
      <c r="P91" s="35"/>
    </row>
    <row r="92" spans="2:16">
      <c r="B92" s="28"/>
      <c r="C92" s="196"/>
      <c r="D92" s="47"/>
      <c r="E92" s="28"/>
      <c r="F92" s="215"/>
      <c r="G92" s="215"/>
      <c r="H92" s="2"/>
      <c r="I92" s="19"/>
      <c r="K92" s="35"/>
      <c r="M92" s="35"/>
      <c r="N92" s="35"/>
      <c r="O92" s="35"/>
      <c r="P92" s="35"/>
    </row>
    <row r="93" spans="2:16">
      <c r="B93" s="28"/>
      <c r="C93" s="196"/>
      <c r="D93" s="47"/>
      <c r="E93" s="28"/>
      <c r="F93" s="215"/>
      <c r="G93" s="215"/>
      <c r="H93" s="2"/>
      <c r="I93" s="19"/>
      <c r="K93" s="35"/>
      <c r="M93" s="35"/>
      <c r="N93" s="35"/>
      <c r="O93" s="35"/>
      <c r="P93" s="35"/>
    </row>
    <row r="94" spans="2:16">
      <c r="B94" s="28"/>
      <c r="C94" s="196"/>
      <c r="D94" s="47"/>
      <c r="E94" s="28"/>
      <c r="F94" s="215"/>
      <c r="G94" s="215"/>
      <c r="H94" s="2"/>
      <c r="I94" s="19"/>
      <c r="K94" s="35"/>
      <c r="M94" s="35"/>
      <c r="N94" s="35"/>
      <c r="O94" s="35"/>
      <c r="P94" s="35"/>
    </row>
    <row r="95" spans="2:16">
      <c r="B95" s="28"/>
      <c r="C95" s="196"/>
      <c r="D95" s="47"/>
      <c r="E95" s="28"/>
      <c r="F95" s="215"/>
      <c r="G95" s="215"/>
      <c r="H95" s="2"/>
      <c r="I95" s="19"/>
      <c r="K95" s="35"/>
      <c r="M95" s="35"/>
      <c r="N95" s="35"/>
      <c r="O95" s="35"/>
      <c r="P95" s="35"/>
    </row>
    <row r="96" spans="2:16">
      <c r="B96" s="28"/>
      <c r="C96" s="196"/>
      <c r="D96" s="47"/>
      <c r="E96" s="28"/>
      <c r="F96" s="215"/>
      <c r="G96" s="215"/>
      <c r="H96" s="2"/>
      <c r="I96" s="19"/>
      <c r="K96" s="35"/>
      <c r="M96" s="35"/>
      <c r="N96" s="35"/>
      <c r="O96" s="35"/>
      <c r="P96" s="35"/>
    </row>
    <row r="97" spans="2:16">
      <c r="B97" s="28"/>
      <c r="C97" s="196"/>
      <c r="D97" s="47"/>
      <c r="E97" s="28"/>
      <c r="F97" s="215"/>
      <c r="G97" s="215"/>
      <c r="H97" s="2"/>
      <c r="I97" s="19"/>
      <c r="K97" s="35"/>
      <c r="M97" s="35"/>
      <c r="N97" s="35"/>
      <c r="O97" s="35"/>
      <c r="P97" s="35"/>
    </row>
    <row r="98" spans="2:16">
      <c r="B98" s="28"/>
      <c r="C98" s="196"/>
      <c r="D98" s="47"/>
      <c r="E98" s="28"/>
      <c r="F98" s="215"/>
      <c r="G98" s="215"/>
      <c r="H98" s="2"/>
      <c r="I98" s="19"/>
      <c r="K98" s="35"/>
      <c r="M98" s="35"/>
      <c r="N98" s="35"/>
      <c r="O98" s="35"/>
      <c r="P98" s="35"/>
    </row>
    <row r="99" spans="2:16">
      <c r="B99" s="28"/>
      <c r="C99" s="196"/>
      <c r="D99" s="47"/>
      <c r="E99" s="28"/>
      <c r="F99" s="215"/>
      <c r="G99" s="215"/>
      <c r="H99" s="2"/>
      <c r="I99" s="19"/>
      <c r="K99" s="35"/>
      <c r="M99" s="35"/>
      <c r="N99" s="35"/>
      <c r="O99" s="35"/>
      <c r="P99" s="35"/>
    </row>
    <row r="100" spans="2:16">
      <c r="B100" s="28"/>
      <c r="C100" s="196"/>
      <c r="D100" s="47"/>
      <c r="E100" s="28"/>
      <c r="F100" s="215"/>
      <c r="G100" s="215"/>
      <c r="H100" s="2"/>
      <c r="I100" s="19"/>
      <c r="K100" s="35"/>
      <c r="M100" s="35"/>
      <c r="N100" s="35"/>
      <c r="O100" s="35"/>
      <c r="P100" s="35"/>
    </row>
    <row r="101" spans="2:16">
      <c r="B101" s="28"/>
      <c r="C101" s="196"/>
      <c r="D101" s="47"/>
      <c r="E101" s="28"/>
      <c r="F101" s="215"/>
      <c r="G101" s="215"/>
      <c r="H101" s="2"/>
      <c r="I101" s="19"/>
      <c r="K101" s="35"/>
      <c r="M101" s="35"/>
      <c r="N101" s="35"/>
      <c r="O101" s="35"/>
      <c r="P101" s="35"/>
    </row>
    <row r="102" spans="2:16">
      <c r="B102" s="28"/>
      <c r="C102" s="196"/>
      <c r="D102" s="47"/>
      <c r="E102" s="28"/>
      <c r="F102" s="215"/>
      <c r="G102" s="215"/>
      <c r="H102" s="2"/>
      <c r="I102" s="19"/>
      <c r="K102" s="35"/>
      <c r="M102" s="35"/>
      <c r="N102" s="35"/>
      <c r="O102" s="35"/>
      <c r="P102" s="35"/>
    </row>
    <row r="103" spans="2:16">
      <c r="B103" s="28"/>
      <c r="C103" s="196"/>
      <c r="D103" s="47"/>
      <c r="E103" s="28"/>
      <c r="F103" s="215"/>
      <c r="G103" s="215"/>
      <c r="H103" s="2"/>
      <c r="I103" s="19"/>
      <c r="K103" s="35"/>
      <c r="M103" s="35"/>
      <c r="N103" s="35"/>
      <c r="O103" s="35"/>
      <c r="P103" s="35"/>
    </row>
    <row r="104" spans="2:16">
      <c r="B104" s="28"/>
      <c r="C104" s="196"/>
      <c r="D104" s="47"/>
      <c r="E104" s="28"/>
      <c r="F104" s="215"/>
      <c r="G104" s="215"/>
      <c r="H104" s="2"/>
      <c r="I104" s="19"/>
      <c r="K104" s="35"/>
      <c r="M104" s="35"/>
      <c r="N104" s="35"/>
      <c r="O104" s="35"/>
      <c r="P104" s="35"/>
    </row>
    <row r="105" spans="2:16">
      <c r="B105" s="28"/>
      <c r="C105" s="196"/>
      <c r="D105" s="47"/>
      <c r="E105" s="28"/>
      <c r="F105" s="215"/>
      <c r="G105" s="215"/>
      <c r="H105" s="2"/>
      <c r="I105" s="19"/>
      <c r="K105" s="35"/>
      <c r="M105" s="35"/>
      <c r="N105" s="35"/>
      <c r="O105" s="35"/>
      <c r="P105" s="35"/>
    </row>
    <row r="106" spans="2:16">
      <c r="B106" s="28"/>
      <c r="C106" s="196"/>
      <c r="D106" s="47"/>
      <c r="E106" s="28"/>
      <c r="F106" s="215"/>
      <c r="G106" s="215"/>
      <c r="H106" s="2"/>
      <c r="I106" s="19"/>
      <c r="K106" s="35"/>
      <c r="M106" s="35"/>
      <c r="N106" s="35"/>
      <c r="O106" s="35"/>
      <c r="P106" s="35"/>
    </row>
    <row r="107" spans="2:16">
      <c r="B107" s="28"/>
      <c r="C107" s="196"/>
      <c r="D107" s="47"/>
      <c r="E107" s="28"/>
      <c r="F107" s="215"/>
      <c r="G107" s="215"/>
      <c r="H107" s="2"/>
      <c r="I107" s="19"/>
      <c r="K107" s="35"/>
      <c r="M107" s="35"/>
      <c r="N107" s="35"/>
      <c r="O107" s="35"/>
      <c r="P107" s="35"/>
    </row>
    <row r="108" spans="2:16">
      <c r="B108" s="28"/>
      <c r="C108" s="196"/>
      <c r="D108" s="47"/>
      <c r="E108" s="28"/>
      <c r="F108" s="215"/>
      <c r="G108" s="215"/>
      <c r="H108" s="2"/>
      <c r="I108" s="19"/>
      <c r="K108" s="35"/>
      <c r="M108" s="35"/>
      <c r="N108" s="35"/>
      <c r="O108" s="35"/>
      <c r="P108" s="35"/>
    </row>
    <row r="109" spans="2:16">
      <c r="B109" s="28"/>
      <c r="C109" s="196"/>
      <c r="D109" s="47"/>
      <c r="E109" s="28"/>
      <c r="F109" s="215"/>
      <c r="G109" s="215"/>
      <c r="H109" s="2"/>
      <c r="I109" s="19"/>
      <c r="K109" s="35"/>
      <c r="M109" s="35"/>
      <c r="N109" s="35"/>
      <c r="O109" s="35"/>
      <c r="P109" s="35"/>
    </row>
    <row r="110" spans="2:16">
      <c r="B110" s="28"/>
      <c r="C110" s="196"/>
      <c r="D110" s="47"/>
      <c r="E110" s="28"/>
      <c r="F110" s="215"/>
      <c r="G110" s="215"/>
      <c r="H110" s="2"/>
      <c r="I110" s="19"/>
      <c r="K110" s="35"/>
      <c r="M110" s="35"/>
      <c r="N110" s="35"/>
      <c r="O110" s="35"/>
      <c r="P110" s="35"/>
    </row>
    <row r="111" spans="2:16">
      <c r="B111" s="28"/>
      <c r="C111" s="196"/>
      <c r="D111" s="47"/>
      <c r="E111" s="28"/>
      <c r="F111" s="215"/>
      <c r="G111" s="215"/>
      <c r="H111" s="2"/>
      <c r="I111" s="19"/>
      <c r="K111" s="35"/>
      <c r="M111" s="35"/>
      <c r="N111" s="35"/>
      <c r="O111" s="35"/>
      <c r="P111" s="35"/>
    </row>
    <row r="112" spans="2:16">
      <c r="B112" s="28"/>
      <c r="C112" s="196"/>
      <c r="D112" s="47"/>
      <c r="E112" s="28"/>
      <c r="F112" s="215"/>
      <c r="G112" s="215"/>
      <c r="H112" s="2"/>
      <c r="I112" s="19"/>
      <c r="K112" s="35"/>
      <c r="M112" s="35"/>
      <c r="N112" s="35"/>
      <c r="O112" s="35"/>
      <c r="P112" s="35"/>
    </row>
    <row r="113" spans="2:16">
      <c r="B113" s="28"/>
      <c r="C113" s="196"/>
      <c r="D113" s="47"/>
      <c r="E113" s="28"/>
      <c r="F113" s="215"/>
      <c r="G113" s="215"/>
      <c r="H113" s="2"/>
      <c r="I113" s="19"/>
      <c r="K113" s="35"/>
      <c r="M113" s="35"/>
      <c r="N113" s="35"/>
      <c r="O113" s="35"/>
      <c r="P113" s="35"/>
    </row>
    <row r="114" spans="2:16">
      <c r="B114" s="28"/>
      <c r="C114" s="196"/>
      <c r="D114" s="47"/>
      <c r="E114" s="28"/>
      <c r="F114" s="215"/>
      <c r="G114" s="215"/>
      <c r="H114" s="2"/>
      <c r="I114" s="19"/>
      <c r="K114" s="35"/>
      <c r="M114" s="35"/>
      <c r="N114" s="35"/>
      <c r="O114" s="35"/>
      <c r="P114" s="35"/>
    </row>
    <row r="115" spans="2:16">
      <c r="B115" s="28"/>
      <c r="C115" s="196"/>
      <c r="D115" s="47"/>
      <c r="E115" s="28"/>
      <c r="F115" s="215"/>
      <c r="G115" s="215"/>
      <c r="H115" s="2"/>
      <c r="I115" s="19"/>
      <c r="K115" s="35"/>
      <c r="M115" s="35"/>
      <c r="N115" s="35"/>
      <c r="O115" s="35"/>
      <c r="P115" s="35"/>
    </row>
    <row r="116" spans="2:16">
      <c r="B116" s="28"/>
      <c r="C116" s="196"/>
      <c r="D116" s="47"/>
      <c r="E116" s="28"/>
      <c r="F116" s="215"/>
      <c r="G116" s="215"/>
      <c r="H116" s="2"/>
      <c r="I116" s="19"/>
      <c r="K116" s="35"/>
      <c r="M116" s="35"/>
      <c r="N116" s="35"/>
      <c r="O116" s="35"/>
      <c r="P116" s="35"/>
    </row>
    <row r="117" spans="2:16">
      <c r="B117" s="28"/>
      <c r="C117" s="196"/>
      <c r="D117" s="47"/>
      <c r="E117" s="28"/>
      <c r="F117" s="215"/>
      <c r="G117" s="215"/>
      <c r="H117" s="2"/>
      <c r="I117" s="19"/>
      <c r="K117" s="35"/>
      <c r="M117" s="35"/>
      <c r="N117" s="35"/>
      <c r="O117" s="35"/>
      <c r="P117" s="35"/>
    </row>
    <row r="118" spans="2:16">
      <c r="B118" s="28"/>
      <c r="C118" s="196"/>
      <c r="D118" s="47"/>
      <c r="E118" s="28"/>
      <c r="F118" s="215"/>
      <c r="G118" s="215"/>
      <c r="H118" s="2"/>
      <c r="I118" s="19"/>
      <c r="K118" s="35"/>
      <c r="M118" s="35"/>
      <c r="N118" s="35"/>
      <c r="O118" s="35"/>
      <c r="P118" s="35"/>
    </row>
    <row r="119" spans="2:16">
      <c r="B119" s="28"/>
      <c r="C119" s="196"/>
      <c r="D119" s="47"/>
      <c r="E119" s="28"/>
      <c r="F119" s="215"/>
      <c r="G119" s="215"/>
      <c r="H119" s="2"/>
      <c r="I119" s="19"/>
      <c r="K119" s="35"/>
      <c r="M119" s="35"/>
      <c r="N119" s="35"/>
      <c r="O119" s="35"/>
      <c r="P119" s="35"/>
    </row>
    <row r="120" spans="2:16">
      <c r="B120" s="28"/>
      <c r="C120" s="196"/>
      <c r="D120" s="47"/>
      <c r="E120" s="28"/>
      <c r="F120" s="215"/>
      <c r="G120" s="215"/>
      <c r="H120" s="2"/>
      <c r="I120" s="19"/>
      <c r="K120" s="35"/>
      <c r="M120" s="35"/>
      <c r="N120" s="35"/>
      <c r="O120" s="35"/>
      <c r="P120" s="35"/>
    </row>
    <row r="121" spans="2:16">
      <c r="B121" s="28"/>
      <c r="C121" s="196"/>
      <c r="D121" s="47"/>
      <c r="E121" s="28"/>
      <c r="F121" s="215"/>
      <c r="G121" s="215"/>
      <c r="H121" s="2"/>
      <c r="I121" s="19"/>
      <c r="K121" s="35"/>
      <c r="M121" s="35"/>
      <c r="N121" s="35"/>
      <c r="O121" s="35"/>
      <c r="P121" s="35"/>
    </row>
    <row r="122" spans="2:16">
      <c r="B122" s="28"/>
      <c r="C122" s="196"/>
      <c r="D122" s="47"/>
      <c r="E122" s="28"/>
      <c r="F122" s="215"/>
      <c r="G122" s="215"/>
      <c r="H122" s="2"/>
      <c r="I122" s="19"/>
      <c r="K122" s="35"/>
      <c r="M122" s="35"/>
      <c r="N122" s="35"/>
      <c r="O122" s="35"/>
      <c r="P122" s="35"/>
    </row>
    <row r="123" spans="2:16">
      <c r="B123" s="28"/>
      <c r="C123" s="196"/>
      <c r="D123" s="47"/>
      <c r="E123" s="28"/>
      <c r="F123" s="215"/>
      <c r="G123" s="215"/>
      <c r="H123" s="2"/>
      <c r="I123" s="19"/>
      <c r="K123" s="35"/>
      <c r="M123" s="35"/>
      <c r="N123" s="35"/>
      <c r="O123" s="35"/>
      <c r="P123" s="35"/>
    </row>
    <row r="124" spans="2:16">
      <c r="B124" s="28"/>
      <c r="C124" s="196"/>
      <c r="D124" s="47"/>
      <c r="E124" s="28"/>
      <c r="F124" s="215"/>
      <c r="G124" s="215"/>
      <c r="H124" s="2"/>
      <c r="I124" s="19"/>
      <c r="K124" s="35"/>
      <c r="M124" s="35"/>
      <c r="N124" s="35"/>
      <c r="O124" s="35"/>
      <c r="P124" s="35"/>
    </row>
    <row r="125" spans="2:16">
      <c r="B125" s="28"/>
      <c r="C125" s="196"/>
      <c r="D125" s="47"/>
      <c r="E125" s="28"/>
      <c r="F125" s="215"/>
      <c r="G125" s="215"/>
      <c r="H125" s="2"/>
      <c r="I125" s="19"/>
      <c r="K125" s="35"/>
      <c r="M125" s="35"/>
      <c r="N125" s="35"/>
      <c r="O125" s="35"/>
      <c r="P125" s="35"/>
    </row>
    <row r="126" spans="2:16">
      <c r="B126" s="28"/>
      <c r="C126" s="196"/>
      <c r="D126" s="47"/>
      <c r="E126" s="28"/>
      <c r="F126" s="215"/>
      <c r="G126" s="215"/>
      <c r="H126" s="2"/>
      <c r="I126" s="19"/>
      <c r="K126" s="35"/>
      <c r="M126" s="35"/>
      <c r="N126" s="35"/>
      <c r="O126" s="35"/>
      <c r="P126" s="35"/>
    </row>
    <row r="127" spans="2:16">
      <c r="B127" s="28"/>
      <c r="C127" s="196"/>
      <c r="D127" s="47"/>
      <c r="E127" s="28"/>
      <c r="F127" s="215"/>
      <c r="G127" s="215"/>
      <c r="H127" s="2"/>
      <c r="I127" s="19"/>
      <c r="K127" s="35"/>
      <c r="M127" s="35"/>
      <c r="N127" s="35"/>
      <c r="O127" s="35"/>
      <c r="P127" s="35"/>
    </row>
    <row r="128" spans="2:16">
      <c r="B128" s="28"/>
      <c r="C128" s="196"/>
      <c r="D128" s="47"/>
      <c r="E128" s="28"/>
      <c r="F128" s="215"/>
      <c r="G128" s="215"/>
      <c r="H128" s="2"/>
      <c r="I128" s="19"/>
      <c r="K128" s="35"/>
      <c r="M128" s="35"/>
      <c r="N128" s="35"/>
      <c r="O128" s="35"/>
      <c r="P128" s="35"/>
    </row>
    <row r="129" spans="2:16">
      <c r="B129" s="28"/>
      <c r="C129" s="196"/>
      <c r="D129" s="47"/>
      <c r="E129" s="28"/>
      <c r="F129" s="215"/>
      <c r="G129" s="215"/>
      <c r="H129" s="2"/>
      <c r="I129" s="19"/>
      <c r="K129" s="35"/>
      <c r="M129" s="35"/>
      <c r="N129" s="35"/>
      <c r="O129" s="35"/>
      <c r="P129" s="35"/>
    </row>
    <row r="130" spans="2:16">
      <c r="B130" s="28"/>
      <c r="C130" s="196"/>
      <c r="D130" s="47"/>
      <c r="E130" s="28"/>
      <c r="F130" s="215"/>
      <c r="G130" s="215"/>
      <c r="H130" s="2"/>
      <c r="I130" s="19"/>
      <c r="K130" s="35"/>
      <c r="M130" s="35"/>
      <c r="N130" s="35"/>
      <c r="O130" s="35"/>
      <c r="P130" s="35"/>
    </row>
    <row r="131" spans="2:16">
      <c r="B131" s="28"/>
      <c r="C131" s="196"/>
      <c r="D131" s="47"/>
      <c r="E131" s="28"/>
      <c r="F131" s="215"/>
      <c r="G131" s="215"/>
      <c r="H131" s="2"/>
      <c r="I131" s="19"/>
      <c r="K131" s="35"/>
      <c r="M131" s="35"/>
      <c r="N131" s="35"/>
      <c r="O131" s="35"/>
      <c r="P131" s="35"/>
    </row>
    <row r="132" spans="2:16">
      <c r="B132" s="28"/>
      <c r="C132" s="196"/>
      <c r="D132" s="47"/>
      <c r="E132" s="28"/>
      <c r="F132" s="215"/>
      <c r="G132" s="215"/>
      <c r="H132" s="2"/>
      <c r="I132" s="19"/>
      <c r="K132" s="35"/>
      <c r="M132" s="35"/>
      <c r="N132" s="35"/>
      <c r="O132" s="35"/>
      <c r="P132" s="35"/>
    </row>
    <row r="133" spans="2:16">
      <c r="B133" s="28"/>
      <c r="C133" s="196"/>
      <c r="D133" s="47"/>
      <c r="E133" s="28"/>
      <c r="F133" s="215"/>
      <c r="G133" s="215"/>
      <c r="H133" s="2"/>
      <c r="I133" s="19"/>
      <c r="K133" s="35"/>
      <c r="M133" s="35"/>
      <c r="N133" s="35"/>
      <c r="O133" s="35"/>
      <c r="P133" s="35"/>
    </row>
    <row r="134" spans="2:16">
      <c r="B134" s="28"/>
      <c r="C134" s="196"/>
      <c r="D134" s="47"/>
      <c r="E134" s="28"/>
      <c r="F134" s="215"/>
      <c r="G134" s="215"/>
      <c r="H134" s="2"/>
      <c r="I134" s="19"/>
      <c r="K134" s="35"/>
      <c r="M134" s="35"/>
      <c r="N134" s="35"/>
      <c r="O134" s="35"/>
      <c r="P134" s="35"/>
    </row>
    <row r="135" spans="2:16">
      <c r="B135" s="28"/>
      <c r="C135" s="196"/>
      <c r="D135" s="47"/>
      <c r="E135" s="28"/>
      <c r="F135" s="215"/>
      <c r="G135" s="215"/>
      <c r="H135" s="2"/>
      <c r="I135" s="19"/>
      <c r="K135" s="35"/>
      <c r="M135" s="35"/>
      <c r="N135" s="35"/>
      <c r="O135" s="35"/>
      <c r="P135" s="35"/>
    </row>
    <row r="136" spans="2:16">
      <c r="B136" s="28"/>
      <c r="C136" s="196"/>
      <c r="D136" s="47"/>
      <c r="E136" s="28"/>
      <c r="F136" s="215"/>
      <c r="G136" s="215"/>
      <c r="H136" s="2"/>
      <c r="I136" s="19"/>
      <c r="K136" s="35"/>
      <c r="M136" s="35"/>
      <c r="N136" s="35"/>
      <c r="O136" s="35"/>
      <c r="P136" s="35"/>
    </row>
    <row r="137" spans="2:16">
      <c r="B137" s="28"/>
      <c r="C137" s="196"/>
      <c r="D137" s="47"/>
      <c r="E137" s="28"/>
      <c r="F137" s="215"/>
      <c r="G137" s="215"/>
      <c r="H137" s="2"/>
      <c r="I137" s="19"/>
      <c r="K137" s="35"/>
      <c r="M137" s="35"/>
      <c r="N137" s="35"/>
      <c r="O137" s="35"/>
      <c r="P137" s="35"/>
    </row>
    <row r="138" spans="2:16">
      <c r="B138" s="28"/>
      <c r="C138" s="196"/>
      <c r="D138" s="47"/>
      <c r="E138" s="28"/>
      <c r="F138" s="215"/>
      <c r="G138" s="215"/>
      <c r="H138" s="2"/>
      <c r="I138" s="19"/>
      <c r="K138" s="35"/>
      <c r="M138" s="35"/>
      <c r="N138" s="35"/>
      <c r="O138" s="35"/>
      <c r="P138" s="35"/>
    </row>
    <row r="139" spans="2:16">
      <c r="B139" s="28"/>
      <c r="C139" s="196"/>
      <c r="D139" s="47"/>
      <c r="E139" s="28"/>
      <c r="F139" s="215"/>
      <c r="G139" s="215"/>
      <c r="H139" s="2"/>
      <c r="I139" s="19"/>
      <c r="K139" s="35"/>
      <c r="M139" s="35"/>
      <c r="N139" s="35"/>
      <c r="O139" s="35"/>
      <c r="P139" s="35"/>
    </row>
    <row r="140" spans="2:16">
      <c r="B140" s="28"/>
      <c r="C140" s="196"/>
      <c r="D140" s="47"/>
      <c r="E140" s="28"/>
      <c r="F140" s="215"/>
      <c r="G140" s="215"/>
      <c r="H140" s="2"/>
      <c r="I140" s="19"/>
      <c r="K140" s="35"/>
      <c r="M140" s="35"/>
      <c r="N140" s="35"/>
      <c r="O140" s="35"/>
      <c r="P140" s="35"/>
    </row>
    <row r="141" spans="2:16">
      <c r="B141" s="28"/>
      <c r="C141" s="196"/>
      <c r="D141" s="47"/>
      <c r="E141" s="28"/>
      <c r="F141" s="215"/>
      <c r="G141" s="215"/>
      <c r="H141" s="2"/>
      <c r="I141" s="19"/>
      <c r="K141" s="35"/>
      <c r="M141" s="35"/>
      <c r="N141" s="35"/>
      <c r="O141" s="35"/>
      <c r="P141" s="35"/>
    </row>
    <row r="142" spans="2:16">
      <c r="B142" s="28"/>
      <c r="C142" s="196"/>
      <c r="D142" s="47"/>
      <c r="E142" s="28"/>
      <c r="F142" s="215"/>
      <c r="G142" s="215"/>
      <c r="H142" s="2"/>
      <c r="I142" s="19"/>
      <c r="K142" s="35"/>
      <c r="M142" s="35"/>
      <c r="N142" s="35"/>
      <c r="O142" s="35"/>
      <c r="P142" s="35"/>
    </row>
    <row r="143" spans="2:16">
      <c r="B143" s="28"/>
      <c r="C143" s="196"/>
      <c r="D143" s="47"/>
      <c r="E143" s="28"/>
      <c r="F143" s="215"/>
      <c r="G143" s="215"/>
      <c r="H143" s="2"/>
      <c r="I143" s="19"/>
      <c r="K143" s="35"/>
      <c r="M143" s="35"/>
      <c r="N143" s="35"/>
      <c r="O143" s="35"/>
      <c r="P143" s="35"/>
    </row>
    <row r="144" spans="2:16">
      <c r="B144" s="28"/>
      <c r="C144" s="196"/>
      <c r="D144" s="47"/>
      <c r="E144" s="28"/>
      <c r="F144" s="215"/>
      <c r="G144" s="215"/>
      <c r="H144" s="2"/>
      <c r="I144" s="19"/>
      <c r="K144" s="35"/>
      <c r="M144" s="35"/>
      <c r="N144" s="35"/>
      <c r="O144" s="35"/>
      <c r="P144" s="35"/>
    </row>
    <row r="145" spans="2:16">
      <c r="B145" s="28"/>
      <c r="C145" s="196"/>
      <c r="D145" s="47"/>
      <c r="E145" s="28"/>
      <c r="F145" s="215"/>
      <c r="G145" s="215"/>
      <c r="H145" s="2"/>
      <c r="I145" s="19"/>
      <c r="K145" s="35"/>
      <c r="M145" s="35"/>
      <c r="N145" s="35"/>
      <c r="O145" s="35"/>
      <c r="P145" s="35"/>
    </row>
    <row r="146" spans="2:16">
      <c r="B146" s="28"/>
      <c r="C146" s="196"/>
      <c r="D146" s="47"/>
      <c r="E146" s="28"/>
      <c r="F146" s="215"/>
      <c r="G146" s="215"/>
      <c r="H146" s="2"/>
      <c r="I146" s="19"/>
      <c r="K146" s="35"/>
      <c r="M146" s="35"/>
      <c r="N146" s="35"/>
      <c r="O146" s="35"/>
      <c r="P146" s="35"/>
    </row>
    <row r="147" spans="2:16">
      <c r="B147" s="28"/>
      <c r="C147" s="196"/>
      <c r="D147" s="47"/>
      <c r="E147" s="28"/>
      <c r="F147" s="215"/>
      <c r="G147" s="215"/>
      <c r="H147" s="2"/>
      <c r="I147" s="19"/>
      <c r="K147" s="35"/>
      <c r="M147" s="35"/>
      <c r="N147" s="35"/>
      <c r="O147" s="35"/>
      <c r="P147" s="35"/>
    </row>
    <row r="148" spans="2:16">
      <c r="B148" s="28"/>
      <c r="C148" s="196"/>
      <c r="D148" s="47"/>
      <c r="E148" s="28"/>
      <c r="F148" s="215"/>
      <c r="G148" s="215"/>
      <c r="H148" s="2"/>
      <c r="I148" s="19"/>
      <c r="K148" s="35"/>
      <c r="M148" s="35"/>
      <c r="N148" s="35"/>
      <c r="O148" s="35"/>
      <c r="P148" s="35"/>
    </row>
    <row r="149" spans="2:16">
      <c r="B149" s="28"/>
      <c r="C149" s="196"/>
      <c r="D149" s="47"/>
      <c r="E149" s="28"/>
      <c r="F149" s="215"/>
      <c r="G149" s="215"/>
      <c r="H149" s="2"/>
      <c r="I149" s="19"/>
      <c r="K149" s="35"/>
      <c r="M149" s="35"/>
      <c r="N149" s="35"/>
      <c r="O149" s="35"/>
      <c r="P149" s="35"/>
    </row>
    <row r="150" spans="2:16">
      <c r="B150" s="28"/>
      <c r="C150" s="196"/>
      <c r="D150" s="47"/>
      <c r="E150" s="28"/>
      <c r="F150" s="215"/>
      <c r="G150" s="215"/>
      <c r="H150" s="2"/>
      <c r="I150" s="19"/>
      <c r="K150" s="35"/>
      <c r="M150" s="35"/>
      <c r="N150" s="35"/>
      <c r="O150" s="35"/>
      <c r="P150" s="35"/>
    </row>
    <row r="151" spans="2:16">
      <c r="B151" s="28"/>
      <c r="C151" s="196"/>
      <c r="D151" s="47"/>
      <c r="E151" s="28"/>
      <c r="F151" s="215"/>
      <c r="G151" s="215"/>
      <c r="H151" s="2"/>
      <c r="I151" s="19"/>
      <c r="K151" s="35"/>
      <c r="M151" s="35"/>
      <c r="N151" s="35"/>
      <c r="O151" s="35"/>
      <c r="P151" s="35"/>
    </row>
    <row r="152" spans="2:16">
      <c r="B152" s="28"/>
      <c r="C152" s="196"/>
      <c r="D152" s="47"/>
      <c r="E152" s="28"/>
      <c r="F152" s="215"/>
      <c r="G152" s="215"/>
      <c r="H152" s="2"/>
      <c r="I152" s="19"/>
      <c r="K152" s="35"/>
      <c r="M152" s="35"/>
      <c r="N152" s="35"/>
      <c r="O152" s="35"/>
      <c r="P152" s="35"/>
    </row>
    <row r="153" spans="2:16">
      <c r="B153" s="28"/>
      <c r="C153" s="196"/>
      <c r="D153" s="47"/>
      <c r="E153" s="28"/>
      <c r="F153" s="215"/>
      <c r="G153" s="215"/>
      <c r="H153" s="2"/>
      <c r="I153" s="19"/>
      <c r="K153" s="35"/>
      <c r="M153" s="35"/>
      <c r="N153" s="35"/>
      <c r="O153" s="35"/>
      <c r="P153" s="35"/>
    </row>
    <row r="154" spans="2:16">
      <c r="B154" s="28"/>
      <c r="C154" s="196"/>
      <c r="D154" s="47"/>
      <c r="E154" s="28"/>
      <c r="F154" s="215"/>
      <c r="G154" s="215"/>
      <c r="H154" s="2"/>
      <c r="I154" s="19"/>
      <c r="K154" s="35"/>
      <c r="M154" s="35"/>
      <c r="N154" s="35"/>
      <c r="O154" s="35"/>
      <c r="P154" s="35"/>
    </row>
    <row r="155" spans="2:16">
      <c r="B155" s="28"/>
      <c r="C155" s="196"/>
      <c r="D155" s="47"/>
      <c r="E155" s="28"/>
      <c r="F155" s="215"/>
      <c r="G155" s="215"/>
      <c r="H155" s="2"/>
      <c r="I155" s="19"/>
      <c r="K155" s="35"/>
      <c r="M155" s="35"/>
      <c r="N155" s="35"/>
      <c r="O155" s="35"/>
      <c r="P155" s="35"/>
    </row>
    <row r="156" spans="2:16">
      <c r="B156" s="28"/>
      <c r="C156" s="196"/>
      <c r="D156" s="47"/>
      <c r="E156" s="28"/>
      <c r="F156" s="215"/>
      <c r="G156" s="215"/>
      <c r="H156" s="2"/>
      <c r="I156" s="19"/>
      <c r="K156" s="35"/>
      <c r="M156" s="35"/>
      <c r="N156" s="35"/>
      <c r="O156" s="35"/>
      <c r="P156" s="35"/>
    </row>
    <row r="157" spans="2:16">
      <c r="B157" s="28"/>
      <c r="C157" s="196"/>
      <c r="D157" s="47"/>
      <c r="E157" s="28"/>
      <c r="F157" s="215"/>
      <c r="G157" s="215"/>
      <c r="H157" s="2"/>
      <c r="I157" s="19"/>
      <c r="K157" s="35"/>
      <c r="M157" s="35"/>
      <c r="N157" s="35"/>
      <c r="O157" s="35"/>
      <c r="P157" s="35"/>
    </row>
    <row r="158" spans="2:16">
      <c r="B158" s="28"/>
      <c r="C158" s="196"/>
      <c r="D158" s="47"/>
      <c r="E158" s="28"/>
      <c r="F158" s="215"/>
      <c r="G158" s="215"/>
      <c r="H158" s="2"/>
      <c r="I158" s="19"/>
      <c r="K158" s="35"/>
      <c r="M158" s="35"/>
      <c r="N158" s="35"/>
      <c r="O158" s="35"/>
      <c r="P158" s="35"/>
    </row>
    <row r="159" spans="2:16">
      <c r="B159" s="28"/>
      <c r="C159" s="196"/>
      <c r="D159" s="47"/>
      <c r="E159" s="28"/>
      <c r="F159" s="215"/>
      <c r="G159" s="215"/>
      <c r="H159" s="2"/>
      <c r="I159" s="19"/>
      <c r="K159" s="35"/>
      <c r="M159" s="35"/>
      <c r="N159" s="35"/>
      <c r="O159" s="35"/>
      <c r="P159" s="35"/>
    </row>
    <row r="160" spans="2:16">
      <c r="B160" s="28"/>
      <c r="C160" s="196"/>
      <c r="D160" s="47"/>
      <c r="E160" s="28"/>
      <c r="F160" s="215"/>
      <c r="G160" s="215"/>
      <c r="H160" s="2"/>
      <c r="I160" s="19"/>
      <c r="K160" s="35"/>
      <c r="M160" s="35"/>
      <c r="N160" s="35"/>
      <c r="O160" s="35"/>
      <c r="P160" s="35"/>
    </row>
    <row r="161" spans="2:16">
      <c r="B161" s="28"/>
      <c r="C161" s="196"/>
      <c r="D161" s="47"/>
      <c r="E161" s="28"/>
      <c r="F161" s="215"/>
      <c r="G161" s="215"/>
      <c r="H161" s="2"/>
      <c r="I161" s="19"/>
      <c r="K161" s="35"/>
      <c r="M161" s="35"/>
      <c r="N161" s="35"/>
      <c r="O161" s="35"/>
      <c r="P161" s="35"/>
    </row>
    <row r="162" spans="2:16">
      <c r="D162" s="47"/>
      <c r="E162" s="143"/>
      <c r="H162" s="2"/>
      <c r="I162" s="30"/>
    </row>
    <row r="163" spans="2:16">
      <c r="D163" s="47"/>
      <c r="E163" s="143"/>
      <c r="H163" s="2"/>
      <c r="I163" s="30"/>
    </row>
    <row r="164" spans="2:16">
      <c r="D164" s="47"/>
      <c r="E164" s="143"/>
      <c r="H164" s="2"/>
      <c r="I164" s="30"/>
    </row>
    <row r="165" spans="2:16">
      <c r="D165" s="47"/>
      <c r="E165" s="143"/>
      <c r="H165" s="2"/>
      <c r="I165" s="30"/>
    </row>
    <row r="166" spans="2:16">
      <c r="D166" s="47"/>
      <c r="E166" s="143"/>
      <c r="H166" s="2"/>
      <c r="I166" s="30"/>
    </row>
    <row r="167" spans="2:16">
      <c r="D167" s="47"/>
      <c r="E167" s="143"/>
      <c r="H167" s="2"/>
      <c r="I167" s="30"/>
    </row>
    <row r="168" spans="2:16">
      <c r="D168" s="47"/>
      <c r="E168" s="143"/>
      <c r="H168" s="2"/>
      <c r="I168" s="30"/>
    </row>
    <row r="169" spans="2:16">
      <c r="D169" s="47"/>
      <c r="E169" s="143"/>
      <c r="H169" s="2"/>
      <c r="I169" s="30"/>
    </row>
    <row r="170" spans="2:16">
      <c r="D170" s="47"/>
      <c r="E170" s="143"/>
      <c r="H170" s="2"/>
      <c r="I170" s="30"/>
    </row>
    <row r="171" spans="2:16">
      <c r="D171" s="47"/>
      <c r="E171" s="143"/>
      <c r="H171" s="2"/>
      <c r="I171" s="30"/>
    </row>
    <row r="172" spans="2:16">
      <c r="D172" s="47"/>
      <c r="E172" s="143"/>
      <c r="H172" s="2"/>
      <c r="I172" s="30"/>
    </row>
    <row r="173" spans="2:16">
      <c r="D173" s="47"/>
      <c r="E173" s="143"/>
      <c r="H173" s="2"/>
      <c r="I173" s="30"/>
    </row>
    <row r="174" spans="2:16">
      <c r="D174" s="47"/>
      <c r="E174" s="143"/>
      <c r="H174" s="2"/>
      <c r="I174" s="30"/>
    </row>
    <row r="175" spans="2:16">
      <c r="D175" s="47"/>
      <c r="E175" s="143"/>
      <c r="H175" s="2"/>
      <c r="I175" s="30"/>
    </row>
    <row r="176" spans="2:16">
      <c r="D176" s="47"/>
      <c r="E176" s="143"/>
      <c r="H176" s="2"/>
      <c r="I176" s="30"/>
    </row>
    <row r="177" spans="4:9">
      <c r="D177" s="47"/>
      <c r="E177" s="143"/>
      <c r="H177" s="2"/>
      <c r="I177" s="30"/>
    </row>
    <row r="178" spans="4:9">
      <c r="D178" s="47"/>
      <c r="E178" s="143"/>
      <c r="H178" s="2"/>
      <c r="I178" s="30"/>
    </row>
    <row r="179" spans="4:9">
      <c r="D179" s="47"/>
      <c r="E179" s="143"/>
      <c r="H179" s="2"/>
      <c r="I179" s="30"/>
    </row>
    <row r="180" spans="4:9">
      <c r="D180" s="47"/>
      <c r="E180" s="143"/>
      <c r="H180" s="2"/>
      <c r="I180" s="30"/>
    </row>
    <row r="181" spans="4:9">
      <c r="D181" s="47"/>
      <c r="E181" s="143"/>
      <c r="H181" s="2"/>
      <c r="I181" s="30"/>
    </row>
    <row r="182" spans="4:9">
      <c r="D182" s="47"/>
      <c r="E182" s="143"/>
      <c r="H182" s="2"/>
      <c r="I182" s="30"/>
    </row>
    <row r="183" spans="4:9">
      <c r="D183" s="47"/>
      <c r="E183" s="143"/>
      <c r="H183" s="2"/>
      <c r="I183" s="30"/>
    </row>
    <row r="184" spans="4:9">
      <c r="D184" s="47"/>
      <c r="E184" s="143"/>
      <c r="H184" s="2"/>
      <c r="I184" s="30"/>
    </row>
    <row r="185" spans="4:9">
      <c r="D185" s="47"/>
      <c r="E185" s="143"/>
      <c r="H185" s="2"/>
      <c r="I185" s="30"/>
    </row>
    <row r="186" spans="4:9">
      <c r="D186" s="47"/>
      <c r="E186" s="143"/>
      <c r="H186" s="2"/>
      <c r="I186" s="30"/>
    </row>
    <row r="187" spans="4:9">
      <c r="D187" s="47"/>
      <c r="E187" s="143"/>
      <c r="H187" s="2"/>
      <c r="I187" s="30"/>
    </row>
    <row r="188" spans="4:9">
      <c r="D188" s="47"/>
      <c r="E188" s="143"/>
      <c r="H188" s="2"/>
      <c r="I188" s="30"/>
    </row>
    <row r="189" spans="4:9">
      <c r="D189" s="47"/>
      <c r="E189" s="143"/>
      <c r="H189" s="2"/>
      <c r="I189" s="30"/>
    </row>
    <row r="190" spans="4:9">
      <c r="D190" s="47"/>
      <c r="E190" s="143"/>
      <c r="H190" s="2"/>
      <c r="I190" s="30"/>
    </row>
    <row r="191" spans="4:9">
      <c r="D191" s="47"/>
      <c r="E191" s="143"/>
      <c r="H191" s="2"/>
      <c r="I191" s="30"/>
    </row>
    <row r="192" spans="4:9">
      <c r="D192" s="47"/>
      <c r="E192" s="143"/>
      <c r="H192" s="2"/>
      <c r="I192" s="30"/>
    </row>
    <row r="193" spans="4:9">
      <c r="D193" s="47"/>
      <c r="E193" s="143"/>
      <c r="H193" s="2"/>
      <c r="I193" s="30"/>
    </row>
    <row r="194" spans="4:9">
      <c r="D194" s="47"/>
      <c r="E194" s="143"/>
      <c r="H194" s="2"/>
      <c r="I194" s="30"/>
    </row>
    <row r="195" spans="4:9">
      <c r="D195" s="47"/>
      <c r="E195" s="143"/>
      <c r="H195" s="2"/>
      <c r="I195" s="30"/>
    </row>
    <row r="196" spans="4:9">
      <c r="D196" s="47"/>
      <c r="E196" s="143"/>
      <c r="H196" s="2"/>
      <c r="I196" s="30"/>
    </row>
    <row r="197" spans="4:9">
      <c r="D197" s="47"/>
      <c r="E197" s="143"/>
      <c r="H197" s="2"/>
      <c r="I197" s="30"/>
    </row>
    <row r="198" spans="4:9">
      <c r="D198" s="47"/>
      <c r="E198" s="143"/>
      <c r="H198" s="2"/>
      <c r="I198" s="30"/>
    </row>
    <row r="199" spans="4:9">
      <c r="D199" s="47"/>
      <c r="E199" s="143"/>
      <c r="H199" s="2"/>
      <c r="I199" s="30"/>
    </row>
    <row r="200" spans="4:9">
      <c r="D200" s="47"/>
      <c r="E200" s="143"/>
      <c r="H200" s="2"/>
      <c r="I200" s="30"/>
    </row>
    <row r="201" spans="4:9">
      <c r="D201" s="47"/>
      <c r="E201" s="143"/>
      <c r="H201" s="2"/>
      <c r="I201" s="30"/>
    </row>
    <row r="202" spans="4:9">
      <c r="D202" s="47"/>
      <c r="E202" s="143"/>
      <c r="H202" s="2"/>
      <c r="I202" s="30"/>
    </row>
    <row r="203" spans="4:9">
      <c r="D203" s="47"/>
      <c r="E203" s="143"/>
      <c r="H203" s="2"/>
      <c r="I203" s="30"/>
    </row>
    <row r="204" spans="4:9">
      <c r="D204" s="47"/>
      <c r="E204" s="143"/>
      <c r="H204" s="2"/>
      <c r="I204" s="30"/>
    </row>
    <row r="205" spans="4:9">
      <c r="D205" s="47"/>
      <c r="E205" s="143"/>
      <c r="H205" s="2"/>
      <c r="I205" s="30"/>
    </row>
    <row r="206" spans="4:9">
      <c r="D206" s="47"/>
      <c r="E206" s="143"/>
      <c r="H206" s="2"/>
      <c r="I206" s="30"/>
    </row>
    <row r="207" spans="4:9">
      <c r="D207" s="47"/>
      <c r="E207" s="143"/>
      <c r="H207" s="2"/>
      <c r="I207" s="30"/>
    </row>
    <row r="208" spans="4:9">
      <c r="D208" s="47"/>
      <c r="E208" s="143"/>
      <c r="H208" s="2"/>
      <c r="I208" s="30"/>
    </row>
    <row r="209" spans="4:9">
      <c r="D209" s="47"/>
      <c r="E209" s="143"/>
      <c r="H209" s="2"/>
      <c r="I209" s="30"/>
    </row>
    <row r="210" spans="4:9">
      <c r="D210" s="47"/>
      <c r="E210" s="143"/>
      <c r="H210" s="2"/>
      <c r="I210" s="30"/>
    </row>
    <row r="211" spans="4:9">
      <c r="D211" s="47"/>
      <c r="E211" s="143"/>
      <c r="H211" s="2"/>
      <c r="I211" s="30"/>
    </row>
    <row r="212" spans="4:9">
      <c r="D212" s="47"/>
      <c r="E212" s="143"/>
      <c r="H212" s="2"/>
      <c r="I212" s="30"/>
    </row>
    <row r="213" spans="4:9">
      <c r="D213" s="47"/>
      <c r="E213" s="143"/>
      <c r="H213" s="2"/>
      <c r="I213" s="30"/>
    </row>
    <row r="214" spans="4:9">
      <c r="D214" s="47"/>
      <c r="E214" s="143"/>
      <c r="H214" s="2"/>
      <c r="I214" s="30"/>
    </row>
    <row r="215" spans="4:9">
      <c r="D215" s="47"/>
      <c r="E215" s="143"/>
      <c r="H215" s="2"/>
      <c r="I215" s="30"/>
    </row>
    <row r="216" spans="4:9">
      <c r="D216" s="47"/>
      <c r="E216" s="143"/>
      <c r="H216" s="2"/>
      <c r="I216" s="30"/>
    </row>
    <row r="217" spans="4:9">
      <c r="D217" s="47"/>
      <c r="E217" s="143"/>
      <c r="H217" s="2"/>
      <c r="I217" s="30"/>
    </row>
    <row r="218" spans="4:9">
      <c r="D218" s="47"/>
      <c r="E218" s="143"/>
      <c r="H218" s="2"/>
      <c r="I218" s="30"/>
    </row>
    <row r="219" spans="4:9">
      <c r="D219" s="47"/>
      <c r="E219" s="143"/>
      <c r="H219" s="2"/>
      <c r="I219" s="30"/>
    </row>
    <row r="220" spans="4:9">
      <c r="D220" s="47"/>
      <c r="E220" s="143"/>
      <c r="H220" s="2"/>
      <c r="I220" s="30"/>
    </row>
    <row r="221" spans="4:9">
      <c r="D221" s="47"/>
      <c r="E221" s="143"/>
      <c r="H221" s="2"/>
      <c r="I221" s="30"/>
    </row>
    <row r="222" spans="4:9">
      <c r="D222" s="47"/>
      <c r="E222" s="143"/>
      <c r="H222" s="2"/>
      <c r="I222" s="30"/>
    </row>
    <row r="223" spans="4:9">
      <c r="D223" s="47"/>
      <c r="E223" s="143"/>
      <c r="H223" s="2"/>
      <c r="I223" s="30"/>
    </row>
    <row r="224" spans="4:9">
      <c r="D224" s="47"/>
      <c r="E224" s="143"/>
      <c r="H224" s="2"/>
      <c r="I224" s="30"/>
    </row>
    <row r="225" spans="4:9">
      <c r="D225" s="47"/>
      <c r="E225" s="143"/>
      <c r="H225" s="2"/>
      <c r="I225" s="30"/>
    </row>
    <row r="226" spans="4:9">
      <c r="D226" s="47"/>
      <c r="E226" s="143"/>
      <c r="H226" s="2"/>
      <c r="I226" s="30"/>
    </row>
    <row r="227" spans="4:9">
      <c r="D227" s="47"/>
      <c r="E227" s="143"/>
      <c r="H227" s="2"/>
      <c r="I227" s="30"/>
    </row>
    <row r="228" spans="4:9">
      <c r="D228" s="47"/>
      <c r="E228" s="143"/>
      <c r="H228" s="2"/>
      <c r="I228" s="30"/>
    </row>
    <row r="229" spans="4:9">
      <c r="D229" s="47"/>
      <c r="E229" s="143"/>
      <c r="H229" s="2"/>
      <c r="I229" s="30"/>
    </row>
    <row r="230" spans="4:9">
      <c r="D230" s="47"/>
      <c r="E230" s="143"/>
      <c r="H230" s="2"/>
      <c r="I230" s="30"/>
    </row>
    <row r="231" spans="4:9">
      <c r="D231" s="47"/>
      <c r="E231" s="143"/>
      <c r="H231" s="2"/>
      <c r="I231" s="30"/>
    </row>
    <row r="232" spans="4:9">
      <c r="D232" s="47"/>
      <c r="E232" s="143"/>
      <c r="H232" s="2"/>
      <c r="I232" s="30"/>
    </row>
    <row r="233" spans="4:9">
      <c r="D233" s="47"/>
      <c r="E233" s="143"/>
      <c r="H233" s="2"/>
      <c r="I233" s="30"/>
    </row>
    <row r="234" spans="4:9">
      <c r="D234" s="47"/>
      <c r="E234" s="143"/>
      <c r="H234" s="2"/>
      <c r="I234" s="30"/>
    </row>
    <row r="235" spans="4:9">
      <c r="D235" s="47"/>
      <c r="E235" s="143"/>
      <c r="H235" s="2"/>
      <c r="I235" s="30"/>
    </row>
    <row r="236" spans="4:9">
      <c r="D236" s="47"/>
      <c r="E236" s="143"/>
      <c r="H236" s="2"/>
      <c r="I236" s="30"/>
    </row>
    <row r="237" spans="4:9">
      <c r="D237" s="47"/>
      <c r="E237" s="143"/>
      <c r="H237" s="2"/>
      <c r="I237" s="30"/>
    </row>
    <row r="238" spans="4:9">
      <c r="D238" s="47"/>
      <c r="E238" s="143"/>
      <c r="H238" s="2"/>
      <c r="I238" s="30"/>
    </row>
    <row r="239" spans="4:9">
      <c r="D239" s="47"/>
      <c r="E239" s="143"/>
      <c r="H239" s="2"/>
      <c r="I239" s="30"/>
    </row>
    <row r="240" spans="4:9">
      <c r="D240" s="47"/>
      <c r="E240" s="143"/>
      <c r="H240" s="2"/>
      <c r="I240" s="30"/>
    </row>
    <row r="241" spans="4:9">
      <c r="D241" s="47"/>
      <c r="E241" s="143"/>
      <c r="H241" s="2"/>
      <c r="I241" s="30"/>
    </row>
    <row r="242" spans="4:9">
      <c r="D242" s="47"/>
      <c r="E242" s="143"/>
      <c r="H242" s="2"/>
      <c r="I242" s="30"/>
    </row>
    <row r="243" spans="4:9">
      <c r="D243" s="47"/>
      <c r="E243" s="143"/>
      <c r="H243" s="2"/>
      <c r="I243" s="30"/>
    </row>
    <row r="244" spans="4:9">
      <c r="D244" s="47"/>
      <c r="E244" s="143"/>
      <c r="H244" s="2"/>
      <c r="I244" s="30"/>
    </row>
    <row r="245" spans="4:9">
      <c r="D245" s="47"/>
      <c r="E245" s="143"/>
      <c r="H245" s="2"/>
      <c r="I245" s="30"/>
    </row>
    <row r="246" spans="4:9">
      <c r="D246" s="47"/>
      <c r="E246" s="143"/>
      <c r="H246" s="2"/>
      <c r="I246" s="30"/>
    </row>
    <row r="247" spans="4:9">
      <c r="D247" s="47"/>
      <c r="E247" s="143"/>
      <c r="H247" s="2"/>
      <c r="I247" s="30"/>
    </row>
    <row r="248" spans="4:9">
      <c r="D248" s="47"/>
      <c r="E248" s="143"/>
      <c r="H248" s="2"/>
      <c r="I248" s="30"/>
    </row>
    <row r="249" spans="4:9">
      <c r="D249" s="47"/>
      <c r="E249" s="143"/>
      <c r="H249" s="2"/>
      <c r="I249" s="30"/>
    </row>
    <row r="250" spans="4:9">
      <c r="D250" s="47"/>
      <c r="E250" s="143"/>
      <c r="H250" s="2"/>
      <c r="I250" s="30"/>
    </row>
    <row r="251" spans="4:9">
      <c r="D251" s="47"/>
      <c r="E251" s="143"/>
      <c r="H251" s="2"/>
      <c r="I251" s="30"/>
    </row>
    <row r="252" spans="4:9">
      <c r="D252" s="47"/>
      <c r="E252" s="143"/>
      <c r="H252" s="2"/>
      <c r="I252" s="30"/>
    </row>
    <row r="253" spans="4:9">
      <c r="D253" s="47"/>
      <c r="E253" s="143"/>
      <c r="H253" s="2"/>
      <c r="I253" s="30"/>
    </row>
    <row r="254" spans="4:9">
      <c r="D254" s="47"/>
      <c r="E254" s="143"/>
      <c r="H254" s="2"/>
      <c r="I254" s="30"/>
    </row>
    <row r="255" spans="4:9">
      <c r="D255" s="47"/>
      <c r="E255" s="143"/>
      <c r="H255" s="2"/>
      <c r="I255" s="30"/>
    </row>
    <row r="256" spans="4:9">
      <c r="D256" s="47"/>
      <c r="E256" s="143"/>
      <c r="H256" s="2"/>
      <c r="I256" s="30"/>
    </row>
    <row r="257" spans="4:9">
      <c r="D257" s="47"/>
      <c r="E257" s="143"/>
      <c r="H257" s="2"/>
      <c r="I257" s="30"/>
    </row>
    <row r="258" spans="4:9">
      <c r="D258" s="47"/>
      <c r="E258" s="143"/>
      <c r="H258" s="2"/>
      <c r="I258" s="30"/>
    </row>
    <row r="259" spans="4:9">
      <c r="D259" s="47"/>
      <c r="E259" s="143"/>
      <c r="H259" s="2"/>
      <c r="I259" s="30"/>
    </row>
    <row r="260" spans="4:9">
      <c r="D260" s="47"/>
      <c r="E260" s="143"/>
      <c r="H260" s="2"/>
      <c r="I260" s="30"/>
    </row>
    <row r="261" spans="4:9">
      <c r="D261" s="47"/>
      <c r="E261" s="143"/>
      <c r="H261" s="2"/>
      <c r="I261" s="30"/>
    </row>
    <row r="262" spans="4:9">
      <c r="D262" s="47"/>
      <c r="E262" s="143"/>
      <c r="H262" s="2"/>
      <c r="I262" s="30"/>
    </row>
    <row r="263" spans="4:9">
      <c r="D263" s="47"/>
      <c r="E263" s="143"/>
      <c r="H263" s="2"/>
      <c r="I263" s="30"/>
    </row>
    <row r="264" spans="4:9">
      <c r="D264" s="47"/>
      <c r="E264" s="143"/>
      <c r="H264" s="2"/>
      <c r="I264" s="30"/>
    </row>
    <row r="265" spans="4:9">
      <c r="D265" s="47"/>
      <c r="E265" s="143"/>
      <c r="H265" s="2"/>
      <c r="I265" s="30"/>
    </row>
    <row r="266" spans="4:9">
      <c r="D266" s="47"/>
      <c r="E266" s="143"/>
      <c r="H266" s="2"/>
      <c r="I266" s="30"/>
    </row>
    <row r="267" spans="4:9">
      <c r="D267" s="47"/>
      <c r="E267" s="143"/>
      <c r="H267" s="2"/>
      <c r="I267" s="30"/>
    </row>
    <row r="268" spans="4:9">
      <c r="D268" s="47"/>
      <c r="E268" s="143"/>
      <c r="H268" s="2"/>
      <c r="I268" s="30"/>
    </row>
    <row r="269" spans="4:9">
      <c r="D269" s="47"/>
      <c r="E269" s="143"/>
      <c r="H269" s="2"/>
      <c r="I269" s="30"/>
    </row>
    <row r="270" spans="4:9">
      <c r="D270" s="47"/>
      <c r="E270" s="143"/>
      <c r="H270" s="2"/>
      <c r="I270" s="30"/>
    </row>
    <row r="271" spans="4:9">
      <c r="D271" s="47"/>
      <c r="E271" s="143"/>
      <c r="H271" s="2"/>
      <c r="I271" s="30"/>
    </row>
    <row r="272" spans="4:9">
      <c r="D272" s="47"/>
      <c r="E272" s="143"/>
      <c r="H272" s="2"/>
      <c r="I272" s="30"/>
    </row>
    <row r="273" spans="4:9">
      <c r="D273" s="47"/>
      <c r="E273" s="143"/>
      <c r="H273" s="2"/>
      <c r="I273" s="30"/>
    </row>
    <row r="274" spans="4:9">
      <c r="D274" s="47"/>
      <c r="E274" s="143"/>
      <c r="H274" s="2"/>
      <c r="I274" s="30"/>
    </row>
    <row r="275" spans="4:9">
      <c r="D275" s="47"/>
      <c r="E275" s="143"/>
      <c r="H275" s="2"/>
      <c r="I275" s="30"/>
    </row>
    <row r="276" spans="4:9">
      <c r="D276" s="47"/>
      <c r="E276" s="143"/>
      <c r="H276" s="2"/>
      <c r="I276" s="30"/>
    </row>
    <row r="277" spans="4:9">
      <c r="D277" s="47"/>
      <c r="E277" s="143"/>
      <c r="H277" s="2"/>
      <c r="I277" s="30"/>
    </row>
    <row r="278" spans="4:9">
      <c r="D278" s="47"/>
      <c r="E278" s="143"/>
      <c r="H278" s="2"/>
      <c r="I278" s="30"/>
    </row>
    <row r="279" spans="4:9">
      <c r="D279" s="47"/>
      <c r="E279" s="143"/>
      <c r="H279" s="2"/>
      <c r="I279" s="30"/>
    </row>
    <row r="280" spans="4:9">
      <c r="D280" s="47"/>
      <c r="E280" s="143"/>
      <c r="H280" s="2"/>
      <c r="I280" s="30"/>
    </row>
    <row r="281" spans="4:9">
      <c r="D281" s="47"/>
      <c r="E281" s="143"/>
      <c r="H281" s="2"/>
      <c r="I281" s="30"/>
    </row>
    <row r="282" spans="4:9">
      <c r="D282" s="47"/>
      <c r="E282" s="143"/>
      <c r="H282" s="2"/>
      <c r="I282" s="30"/>
    </row>
    <row r="283" spans="4:9">
      <c r="D283" s="47"/>
      <c r="E283" s="143"/>
      <c r="H283" s="2"/>
      <c r="I283" s="30"/>
    </row>
    <row r="284" spans="4:9">
      <c r="D284" s="47"/>
      <c r="E284" s="143"/>
      <c r="H284" s="2"/>
      <c r="I284" s="30"/>
    </row>
    <row r="285" spans="4:9">
      <c r="D285" s="47"/>
      <c r="E285" s="143"/>
      <c r="H285" s="2"/>
      <c r="I285" s="30"/>
    </row>
    <row r="286" spans="4:9">
      <c r="D286" s="47"/>
      <c r="E286" s="143"/>
      <c r="H286" s="2"/>
      <c r="I286" s="30"/>
    </row>
    <row r="287" spans="4:9">
      <c r="D287" s="47"/>
      <c r="E287" s="143"/>
      <c r="H287" s="2"/>
      <c r="I287" s="30"/>
    </row>
    <row r="288" spans="4:9">
      <c r="D288" s="47"/>
      <c r="E288" s="143"/>
      <c r="H288" s="2"/>
      <c r="I288" s="30"/>
    </row>
    <row r="289" spans="4:9">
      <c r="D289" s="47"/>
      <c r="E289" s="143"/>
      <c r="H289" s="2"/>
      <c r="I289" s="30"/>
    </row>
    <row r="290" spans="4:9">
      <c r="D290" s="47"/>
      <c r="E290" s="143"/>
      <c r="H290" s="2"/>
      <c r="I290" s="30"/>
    </row>
    <row r="291" spans="4:9">
      <c r="D291" s="47"/>
      <c r="E291" s="143"/>
      <c r="H291" s="2"/>
      <c r="I291" s="30"/>
    </row>
    <row r="292" spans="4:9">
      <c r="D292" s="47"/>
      <c r="E292" s="143"/>
      <c r="H292" s="2"/>
      <c r="I292" s="30"/>
    </row>
    <row r="293" spans="4:9">
      <c r="D293" s="47"/>
      <c r="E293" s="143"/>
      <c r="H293" s="2"/>
      <c r="I293" s="30"/>
    </row>
    <row r="294" spans="4:9">
      <c r="D294" s="47"/>
      <c r="E294" s="143"/>
      <c r="H294" s="2"/>
      <c r="I294" s="30"/>
    </row>
    <row r="295" spans="4:9">
      <c r="D295" s="47"/>
      <c r="E295" s="143"/>
      <c r="H295" s="2"/>
      <c r="I295" s="30"/>
    </row>
    <row r="296" spans="4:9">
      <c r="D296" s="47"/>
      <c r="E296" s="143"/>
      <c r="H296" s="2"/>
      <c r="I296" s="30"/>
    </row>
    <row r="297" spans="4:9">
      <c r="D297" s="47"/>
      <c r="E297" s="143"/>
      <c r="H297" s="2"/>
      <c r="I297" s="30"/>
    </row>
    <row r="298" spans="4:9">
      <c r="D298" s="47"/>
      <c r="E298" s="143"/>
      <c r="H298" s="2"/>
      <c r="I298" s="30"/>
    </row>
    <row r="299" spans="4:9">
      <c r="D299" s="47"/>
      <c r="E299" s="143"/>
      <c r="H299" s="2"/>
      <c r="I299" s="30"/>
    </row>
    <row r="300" spans="4:9">
      <c r="D300" s="47"/>
      <c r="E300" s="143"/>
      <c r="H300" s="2"/>
      <c r="I300" s="30"/>
    </row>
    <row r="301" spans="4:9">
      <c r="D301" s="47"/>
      <c r="E301" s="143"/>
      <c r="H301" s="2"/>
      <c r="I301" s="30"/>
    </row>
    <row r="302" spans="4:9">
      <c r="D302" s="47"/>
      <c r="E302" s="143"/>
      <c r="H302" s="2"/>
      <c r="I302" s="30"/>
    </row>
    <row r="303" spans="4:9">
      <c r="D303" s="47"/>
      <c r="E303" s="143"/>
      <c r="H303" s="2"/>
      <c r="I303" s="30"/>
    </row>
    <row r="304" spans="4:9">
      <c r="D304" s="47"/>
      <c r="E304" s="143"/>
      <c r="H304" s="2"/>
      <c r="I304" s="30"/>
    </row>
    <row r="305" spans="4:9">
      <c r="D305" s="47"/>
      <c r="E305" s="143"/>
      <c r="H305" s="2"/>
      <c r="I305" s="30"/>
    </row>
    <row r="306" spans="4:9">
      <c r="D306" s="47"/>
      <c r="E306" s="143"/>
      <c r="H306" s="2"/>
      <c r="I306" s="30"/>
    </row>
    <row r="307" spans="4:9">
      <c r="D307" s="47"/>
      <c r="E307" s="143"/>
      <c r="H307" s="2"/>
      <c r="I307" s="30"/>
    </row>
    <row r="308" spans="4:9">
      <c r="D308" s="47"/>
      <c r="E308" s="143"/>
      <c r="H308" s="2"/>
      <c r="I308" s="30"/>
    </row>
    <row r="309" spans="4:9">
      <c r="D309" s="47"/>
      <c r="E309" s="143"/>
      <c r="H309" s="2"/>
      <c r="I309" s="30"/>
    </row>
    <row r="310" spans="4:9">
      <c r="D310" s="47"/>
      <c r="E310" s="143"/>
      <c r="H310" s="2"/>
      <c r="I310" s="30"/>
    </row>
    <row r="311" spans="4:9">
      <c r="D311" s="47"/>
      <c r="E311" s="143"/>
      <c r="H311" s="2"/>
      <c r="I311" s="30"/>
    </row>
    <row r="312" spans="4:9">
      <c r="D312" s="47"/>
      <c r="E312" s="143"/>
      <c r="H312" s="2"/>
      <c r="I312" s="30"/>
    </row>
    <row r="313" spans="4:9">
      <c r="D313" s="47"/>
      <c r="E313" s="143"/>
      <c r="H313" s="2"/>
      <c r="I313" s="30"/>
    </row>
    <row r="314" spans="4:9">
      <c r="D314" s="47"/>
      <c r="E314" s="143"/>
      <c r="H314" s="2"/>
      <c r="I314" s="30"/>
    </row>
    <row r="315" spans="4:9">
      <c r="D315" s="47"/>
      <c r="E315" s="143"/>
      <c r="H315" s="2"/>
      <c r="I315" s="30"/>
    </row>
    <row r="316" spans="4:9">
      <c r="D316" s="47"/>
      <c r="E316" s="143"/>
      <c r="H316" s="2"/>
      <c r="I316" s="30"/>
    </row>
    <row r="317" spans="4:9">
      <c r="D317" s="47"/>
      <c r="E317" s="143"/>
      <c r="H317" s="2"/>
      <c r="I317" s="30"/>
    </row>
    <row r="318" spans="4:9">
      <c r="D318" s="47"/>
      <c r="E318" s="143"/>
      <c r="H318" s="2"/>
      <c r="I318" s="30"/>
    </row>
    <row r="319" spans="4:9">
      <c r="D319" s="47"/>
      <c r="E319" s="143"/>
      <c r="H319" s="2"/>
      <c r="I319" s="30"/>
    </row>
    <row r="320" spans="4:9">
      <c r="D320" s="47"/>
      <c r="E320" s="143"/>
      <c r="H320" s="2"/>
      <c r="I320" s="30"/>
    </row>
    <row r="321" spans="4:9">
      <c r="D321" s="47"/>
      <c r="E321" s="143"/>
      <c r="H321" s="2"/>
      <c r="I321" s="30"/>
    </row>
    <row r="322" spans="4:9">
      <c r="D322" s="47"/>
      <c r="E322" s="143"/>
      <c r="H322" s="2"/>
      <c r="I322" s="30"/>
    </row>
    <row r="323" spans="4:9">
      <c r="D323" s="47"/>
      <c r="E323" s="143"/>
      <c r="H323" s="2"/>
      <c r="I323" s="30"/>
    </row>
    <row r="324" spans="4:9">
      <c r="D324" s="47"/>
      <c r="E324" s="143"/>
      <c r="H324" s="2"/>
      <c r="I324" s="30"/>
    </row>
    <row r="325" spans="4:9">
      <c r="D325" s="47"/>
      <c r="E325" s="143"/>
      <c r="H325" s="2"/>
      <c r="I325" s="30"/>
    </row>
    <row r="326" spans="4:9">
      <c r="D326" s="47"/>
      <c r="E326" s="143"/>
      <c r="H326" s="2"/>
      <c r="I326" s="30"/>
    </row>
    <row r="327" spans="4:9">
      <c r="D327" s="47"/>
      <c r="E327" s="143"/>
      <c r="H327" s="2"/>
      <c r="I327" s="30"/>
    </row>
    <row r="328" spans="4:9">
      <c r="D328" s="47"/>
      <c r="E328" s="143"/>
      <c r="H328" s="2"/>
      <c r="I328" s="30"/>
    </row>
    <row r="329" spans="4:9">
      <c r="D329" s="47"/>
      <c r="E329" s="143"/>
      <c r="H329" s="2"/>
      <c r="I329" s="30"/>
    </row>
    <row r="330" spans="4:9">
      <c r="D330" s="47"/>
      <c r="E330" s="143"/>
      <c r="H330" s="2"/>
      <c r="I330" s="30"/>
    </row>
    <row r="331" spans="4:9">
      <c r="D331" s="47"/>
      <c r="E331" s="143"/>
      <c r="H331" s="2"/>
      <c r="I331" s="30"/>
    </row>
    <row r="332" spans="4:9">
      <c r="D332" s="47"/>
      <c r="E332" s="143"/>
      <c r="H332" s="2"/>
      <c r="I332" s="30"/>
    </row>
    <row r="333" spans="4:9">
      <c r="D333" s="47"/>
      <c r="E333" s="143"/>
      <c r="H333" s="2"/>
      <c r="I333" s="30"/>
    </row>
    <row r="334" spans="4:9">
      <c r="D334" s="47"/>
      <c r="E334" s="143"/>
      <c r="H334" s="2"/>
      <c r="I334" s="30"/>
    </row>
    <row r="335" spans="4:9">
      <c r="D335" s="47"/>
      <c r="E335" s="143"/>
      <c r="H335" s="2"/>
      <c r="I335" s="30"/>
    </row>
    <row r="336" spans="4:9">
      <c r="D336" s="47"/>
      <c r="E336" s="143"/>
      <c r="H336" s="2"/>
      <c r="I336" s="30"/>
    </row>
    <row r="337" spans="4:9">
      <c r="D337" s="47"/>
      <c r="E337" s="143"/>
      <c r="H337" s="2"/>
      <c r="I337" s="30"/>
    </row>
    <row r="338" spans="4:9">
      <c r="D338" s="47"/>
      <c r="E338" s="143"/>
      <c r="H338" s="2"/>
      <c r="I338" s="30"/>
    </row>
    <row r="339" spans="4:9">
      <c r="D339" s="47"/>
      <c r="E339" s="143"/>
      <c r="H339" s="2"/>
      <c r="I339" s="30"/>
    </row>
    <row r="340" spans="4:9">
      <c r="D340" s="47"/>
      <c r="E340" s="143"/>
      <c r="H340" s="2"/>
      <c r="I340" s="30"/>
    </row>
    <row r="341" spans="4:9">
      <c r="D341" s="47"/>
      <c r="E341" s="143"/>
      <c r="H341" s="2"/>
      <c r="I341" s="30"/>
    </row>
    <row r="342" spans="4:9">
      <c r="D342" s="47"/>
      <c r="E342" s="143"/>
      <c r="H342" s="2"/>
      <c r="I342" s="30"/>
    </row>
    <row r="343" spans="4:9">
      <c r="D343" s="47"/>
      <c r="E343" s="143"/>
      <c r="H343" s="2"/>
      <c r="I343" s="30"/>
    </row>
    <row r="344" spans="4:9">
      <c r="D344" s="47"/>
      <c r="E344" s="143"/>
      <c r="H344" s="2"/>
      <c r="I344" s="30"/>
    </row>
    <row r="345" spans="4:9">
      <c r="D345" s="47"/>
      <c r="E345" s="143"/>
      <c r="H345" s="2"/>
      <c r="I345" s="30"/>
    </row>
    <row r="346" spans="4:9">
      <c r="D346" s="47"/>
      <c r="E346" s="143"/>
      <c r="H346" s="2"/>
      <c r="I346" s="30"/>
    </row>
    <row r="347" spans="4:9">
      <c r="D347" s="47"/>
      <c r="E347" s="143"/>
      <c r="H347" s="2"/>
      <c r="I347" s="30"/>
    </row>
    <row r="348" spans="4:9">
      <c r="D348" s="47"/>
      <c r="E348" s="143"/>
      <c r="H348" s="2"/>
      <c r="I348" s="30"/>
    </row>
    <row r="349" spans="4:9">
      <c r="D349" s="47"/>
      <c r="E349" s="143"/>
      <c r="H349" s="2"/>
      <c r="I349" s="30"/>
    </row>
    <row r="350" spans="4:9">
      <c r="D350" s="47"/>
      <c r="E350" s="143"/>
      <c r="H350" s="2"/>
      <c r="I350" s="30"/>
    </row>
    <row r="351" spans="4:9">
      <c r="D351" s="47"/>
      <c r="E351" s="143"/>
      <c r="H351" s="2"/>
      <c r="I351" s="30"/>
    </row>
    <row r="352" spans="4:9">
      <c r="D352" s="47"/>
      <c r="E352" s="143"/>
      <c r="H352" s="2"/>
      <c r="I352" s="30"/>
    </row>
    <row r="353" spans="4:9">
      <c r="D353" s="47"/>
      <c r="E353" s="143"/>
      <c r="H353" s="2"/>
      <c r="I353" s="30"/>
    </row>
    <row r="354" spans="4:9">
      <c r="D354" s="47"/>
      <c r="E354" s="143"/>
      <c r="H354" s="2"/>
      <c r="I354" s="30"/>
    </row>
    <row r="355" spans="4:9">
      <c r="D355" s="47"/>
      <c r="E355" s="143"/>
      <c r="H355" s="2"/>
      <c r="I355" s="30"/>
    </row>
    <row r="356" spans="4:9">
      <c r="D356" s="47"/>
      <c r="E356" s="143"/>
      <c r="H356" s="2"/>
      <c r="I356" s="30"/>
    </row>
    <row r="357" spans="4:9">
      <c r="D357" s="47"/>
      <c r="E357" s="143"/>
      <c r="H357" s="2"/>
      <c r="I357" s="30"/>
    </row>
    <row r="358" spans="4:9">
      <c r="D358" s="47"/>
      <c r="E358" s="143"/>
      <c r="H358" s="2"/>
      <c r="I358" s="30"/>
    </row>
    <row r="359" spans="4:9">
      <c r="D359" s="47"/>
      <c r="E359" s="143"/>
      <c r="H359" s="2"/>
      <c r="I359" s="30"/>
    </row>
    <row r="360" spans="4:9">
      <c r="D360" s="47"/>
      <c r="E360" s="143"/>
      <c r="H360" s="2"/>
      <c r="I360" s="30"/>
    </row>
    <row r="361" spans="4:9">
      <c r="D361" s="47"/>
      <c r="E361" s="143"/>
      <c r="H361" s="2"/>
      <c r="I361" s="30"/>
    </row>
    <row r="362" spans="4:9">
      <c r="D362" s="47"/>
      <c r="E362" s="143"/>
      <c r="H362" s="2"/>
      <c r="I362" s="30"/>
    </row>
    <row r="363" spans="4:9">
      <c r="D363" s="47"/>
      <c r="E363" s="143"/>
      <c r="H363" s="2"/>
      <c r="I363" s="30"/>
    </row>
    <row r="364" spans="4:9">
      <c r="D364" s="47"/>
      <c r="E364" s="143"/>
      <c r="H364" s="2"/>
      <c r="I364" s="30"/>
    </row>
    <row r="365" spans="4:9">
      <c r="D365" s="47"/>
      <c r="E365" s="143"/>
      <c r="H365" s="2"/>
      <c r="I365" s="30"/>
    </row>
    <row r="366" spans="4:9">
      <c r="D366" s="47"/>
      <c r="E366" s="143"/>
      <c r="H366" s="2"/>
      <c r="I366" s="30"/>
    </row>
    <row r="367" spans="4:9">
      <c r="D367" s="47"/>
      <c r="E367" s="143"/>
      <c r="H367" s="2"/>
      <c r="I367" s="30"/>
    </row>
    <row r="368" spans="4:9">
      <c r="D368" s="47"/>
      <c r="E368" s="143"/>
      <c r="H368" s="2"/>
      <c r="I368" s="30"/>
    </row>
    <row r="369" spans="4:9">
      <c r="D369" s="47"/>
      <c r="E369" s="143"/>
      <c r="H369" s="2"/>
      <c r="I369" s="30"/>
    </row>
    <row r="370" spans="4:9">
      <c r="D370" s="47"/>
      <c r="E370" s="143"/>
      <c r="H370" s="2"/>
      <c r="I370" s="30"/>
    </row>
    <row r="371" spans="4:9">
      <c r="D371" s="47"/>
      <c r="E371" s="143"/>
      <c r="H371" s="2"/>
      <c r="I371" s="30"/>
    </row>
    <row r="372" spans="4:9">
      <c r="D372" s="47"/>
      <c r="E372" s="143"/>
      <c r="H372" s="2"/>
      <c r="I372" s="30"/>
    </row>
    <row r="373" spans="4:9">
      <c r="D373" s="47"/>
      <c r="E373" s="143"/>
      <c r="H373" s="2"/>
      <c r="I373" s="30"/>
    </row>
    <row r="374" spans="4:9">
      <c r="D374" s="47"/>
      <c r="E374" s="143"/>
      <c r="H374" s="2"/>
      <c r="I374" s="30"/>
    </row>
    <row r="375" spans="4:9">
      <c r="D375" s="47"/>
      <c r="E375" s="143"/>
      <c r="H375" s="2"/>
      <c r="I375" s="30"/>
    </row>
    <row r="376" spans="4:9">
      <c r="D376" s="47"/>
      <c r="E376" s="143"/>
      <c r="H376" s="2"/>
      <c r="I376" s="30"/>
    </row>
    <row r="377" spans="4:9">
      <c r="D377" s="47"/>
      <c r="E377" s="143"/>
      <c r="H377" s="2"/>
      <c r="I377" s="30"/>
    </row>
    <row r="378" spans="4:9">
      <c r="D378" s="47"/>
      <c r="E378" s="143"/>
      <c r="H378" s="2"/>
      <c r="I378" s="30"/>
    </row>
    <row r="379" spans="4:9">
      <c r="D379" s="47"/>
      <c r="E379" s="143"/>
      <c r="H379" s="2"/>
      <c r="I379" s="30"/>
    </row>
    <row r="380" spans="4:9">
      <c r="D380" s="47"/>
      <c r="E380" s="143"/>
      <c r="H380" s="2"/>
      <c r="I380" s="30"/>
    </row>
    <row r="381" spans="4:9">
      <c r="D381" s="47"/>
      <c r="E381" s="143"/>
      <c r="H381" s="2"/>
      <c r="I381" s="30"/>
    </row>
    <row r="382" spans="4:9">
      <c r="D382" s="47"/>
      <c r="E382" s="143"/>
      <c r="H382" s="2"/>
      <c r="I382" s="30"/>
    </row>
    <row r="383" spans="4:9">
      <c r="D383" s="47"/>
      <c r="E383" s="143"/>
      <c r="H383" s="2"/>
      <c r="I383" s="30"/>
    </row>
    <row r="384" spans="4:9">
      <c r="D384" s="47"/>
      <c r="E384" s="143"/>
      <c r="H384" s="2"/>
      <c r="I384" s="30"/>
    </row>
    <row r="385" spans="4:9">
      <c r="D385" s="47"/>
      <c r="E385" s="143"/>
      <c r="H385" s="2"/>
      <c r="I385" s="30"/>
    </row>
    <row r="386" spans="4:9">
      <c r="D386" s="47"/>
      <c r="E386" s="143"/>
      <c r="H386" s="2"/>
      <c r="I386" s="30"/>
    </row>
    <row r="387" spans="4:9">
      <c r="D387" s="47"/>
      <c r="E387" s="143"/>
      <c r="H387" s="2"/>
      <c r="I387" s="30"/>
    </row>
    <row r="388" spans="4:9">
      <c r="D388" s="47"/>
      <c r="E388" s="143"/>
      <c r="H388" s="2"/>
      <c r="I388" s="30"/>
    </row>
    <row r="389" spans="4:9">
      <c r="D389" s="47"/>
      <c r="E389" s="143"/>
      <c r="H389" s="2"/>
      <c r="I389" s="30"/>
    </row>
    <row r="390" spans="4:9">
      <c r="D390" s="47"/>
      <c r="E390" s="143"/>
      <c r="H390" s="2"/>
      <c r="I390" s="30"/>
    </row>
    <row r="391" spans="4:9">
      <c r="D391" s="47"/>
      <c r="E391" s="143"/>
      <c r="H391" s="2"/>
      <c r="I391" s="30"/>
    </row>
    <row r="392" spans="4:9">
      <c r="D392" s="47"/>
      <c r="E392" s="143"/>
      <c r="H392" s="2"/>
      <c r="I392" s="30"/>
    </row>
    <row r="393" spans="4:9">
      <c r="D393" s="47"/>
      <c r="E393" s="143"/>
      <c r="H393" s="2"/>
      <c r="I393" s="30"/>
    </row>
    <row r="394" spans="4:9">
      <c r="D394" s="47"/>
      <c r="E394" s="143"/>
      <c r="H394" s="2"/>
      <c r="I394" s="30"/>
    </row>
    <row r="395" spans="4:9">
      <c r="D395" s="47"/>
      <c r="E395" s="143"/>
      <c r="H395" s="2"/>
      <c r="I395" s="30"/>
    </row>
    <row r="396" spans="4:9">
      <c r="D396" s="47"/>
      <c r="E396" s="143"/>
      <c r="H396" s="2"/>
      <c r="I396" s="30"/>
    </row>
    <row r="397" spans="4:9">
      <c r="D397" s="47"/>
      <c r="E397" s="143"/>
      <c r="H397" s="2"/>
      <c r="I397" s="30"/>
    </row>
    <row r="398" spans="4:9">
      <c r="D398" s="47"/>
      <c r="E398" s="143"/>
      <c r="H398" s="2"/>
      <c r="I398" s="30"/>
    </row>
    <row r="399" spans="4:9">
      <c r="D399" s="47"/>
      <c r="E399" s="143"/>
      <c r="H399" s="2"/>
      <c r="I399" s="30"/>
    </row>
    <row r="400" spans="4:9">
      <c r="D400" s="47"/>
      <c r="E400" s="143"/>
      <c r="H400" s="2"/>
      <c r="I400" s="30"/>
    </row>
    <row r="401" spans="4:9">
      <c r="D401" s="47"/>
      <c r="E401" s="143"/>
      <c r="H401" s="2"/>
      <c r="I401" s="30"/>
    </row>
    <row r="402" spans="4:9">
      <c r="D402" s="47"/>
      <c r="E402" s="143"/>
      <c r="H402" s="2"/>
      <c r="I402" s="30"/>
    </row>
    <row r="403" spans="4:9">
      <c r="D403" s="47"/>
      <c r="E403" s="143"/>
      <c r="H403" s="2"/>
      <c r="I403" s="30"/>
    </row>
    <row r="404" spans="4:9">
      <c r="D404" s="47"/>
      <c r="E404" s="143"/>
      <c r="H404" s="2"/>
      <c r="I404" s="30"/>
    </row>
    <row r="405" spans="4:9">
      <c r="D405" s="47"/>
      <c r="E405" s="143"/>
      <c r="H405" s="2"/>
      <c r="I405" s="30"/>
    </row>
    <row r="406" spans="4:9">
      <c r="D406" s="47"/>
      <c r="E406" s="143"/>
      <c r="H406" s="2"/>
      <c r="I406" s="30"/>
    </row>
    <row r="407" spans="4:9">
      <c r="D407" s="47"/>
      <c r="E407" s="143"/>
      <c r="H407" s="2"/>
      <c r="I407" s="30"/>
    </row>
    <row r="408" spans="4:9">
      <c r="D408" s="47"/>
      <c r="E408" s="143"/>
      <c r="H408" s="2"/>
      <c r="I408" s="30"/>
    </row>
    <row r="409" spans="4:9">
      <c r="D409" s="47"/>
      <c r="E409" s="143"/>
      <c r="H409" s="2"/>
      <c r="I409" s="30"/>
    </row>
    <row r="410" spans="4:9">
      <c r="D410" s="47"/>
      <c r="E410" s="143"/>
      <c r="H410" s="2"/>
      <c r="I410" s="30"/>
    </row>
    <row r="411" spans="4:9">
      <c r="D411" s="47"/>
      <c r="E411" s="143"/>
      <c r="H411" s="2"/>
      <c r="I411" s="30"/>
    </row>
    <row r="412" spans="4:9">
      <c r="D412" s="47"/>
      <c r="E412" s="143"/>
      <c r="H412" s="2"/>
      <c r="I412" s="30"/>
    </row>
    <row r="413" spans="4:9">
      <c r="D413" s="47"/>
      <c r="E413" s="143"/>
      <c r="H413" s="2"/>
      <c r="I413" s="30"/>
    </row>
    <row r="414" spans="4:9">
      <c r="D414" s="47"/>
      <c r="E414" s="143"/>
      <c r="H414" s="2"/>
      <c r="I414" s="30"/>
    </row>
    <row r="415" spans="4:9">
      <c r="D415" s="47"/>
      <c r="E415" s="143"/>
      <c r="H415" s="2"/>
      <c r="I415" s="30"/>
    </row>
    <row r="416" spans="4:9">
      <c r="D416" s="47"/>
      <c r="E416" s="143"/>
      <c r="H416" s="2"/>
      <c r="I416" s="30"/>
    </row>
    <row r="417" spans="4:9">
      <c r="D417" s="47"/>
      <c r="E417" s="143"/>
      <c r="H417" s="2"/>
      <c r="I417" s="30"/>
    </row>
    <row r="418" spans="4:9">
      <c r="D418" s="47"/>
      <c r="E418" s="143"/>
      <c r="H418" s="2"/>
      <c r="I418" s="30"/>
    </row>
    <row r="419" spans="4:9">
      <c r="D419" s="47"/>
      <c r="E419" s="143"/>
      <c r="H419" s="2"/>
      <c r="I419" s="30"/>
    </row>
    <row r="420" spans="4:9">
      <c r="D420" s="47"/>
      <c r="E420" s="143"/>
      <c r="H420" s="2"/>
      <c r="I420" s="30"/>
    </row>
    <row r="421" spans="4:9">
      <c r="D421" s="47"/>
      <c r="E421" s="143"/>
      <c r="H421" s="2"/>
      <c r="I421" s="30"/>
    </row>
    <row r="422" spans="4:9">
      <c r="D422" s="47"/>
      <c r="E422" s="143"/>
      <c r="H422" s="2"/>
      <c r="I422" s="30"/>
    </row>
    <row r="423" spans="4:9">
      <c r="D423" s="47"/>
      <c r="E423" s="143"/>
      <c r="H423" s="2"/>
      <c r="I423" s="30"/>
    </row>
    <row r="424" spans="4:9">
      <c r="D424" s="47"/>
      <c r="E424" s="143"/>
      <c r="H424" s="2"/>
      <c r="I424" s="30"/>
    </row>
    <row r="425" spans="4:9">
      <c r="D425" s="47"/>
      <c r="E425" s="143"/>
      <c r="H425" s="2"/>
      <c r="I425" s="30"/>
    </row>
    <row r="426" spans="4:9">
      <c r="D426" s="47"/>
      <c r="E426" s="143"/>
      <c r="H426" s="2"/>
      <c r="I426" s="30"/>
    </row>
    <row r="427" spans="4:9">
      <c r="D427" s="47"/>
      <c r="E427" s="143"/>
      <c r="H427" s="2"/>
      <c r="I427" s="30"/>
    </row>
    <row r="428" spans="4:9">
      <c r="D428" s="47"/>
      <c r="E428" s="143"/>
      <c r="H428" s="2"/>
      <c r="I428" s="30"/>
    </row>
    <row r="429" spans="4:9">
      <c r="D429" s="47"/>
      <c r="E429" s="143"/>
      <c r="H429" s="2"/>
      <c r="I429" s="30"/>
    </row>
    <row r="430" spans="4:9">
      <c r="D430" s="47"/>
      <c r="E430" s="143"/>
      <c r="H430" s="2"/>
      <c r="I430" s="30"/>
    </row>
    <row r="431" spans="4:9">
      <c r="D431" s="47"/>
      <c r="E431" s="143"/>
      <c r="H431" s="2"/>
      <c r="I431" s="30"/>
    </row>
    <row r="432" spans="4:9">
      <c r="D432" s="47"/>
      <c r="E432" s="143"/>
      <c r="H432" s="2"/>
      <c r="I432" s="30"/>
    </row>
    <row r="433" spans="4:9">
      <c r="D433" s="47"/>
      <c r="E433" s="143"/>
      <c r="H433" s="2"/>
      <c r="I433" s="30"/>
    </row>
    <row r="434" spans="4:9">
      <c r="D434" s="47"/>
      <c r="E434" s="143"/>
      <c r="H434" s="2"/>
      <c r="I434" s="30"/>
    </row>
    <row r="435" spans="4:9">
      <c r="D435" s="47"/>
      <c r="E435" s="143"/>
      <c r="H435" s="2"/>
      <c r="I435" s="30"/>
    </row>
    <row r="436" spans="4:9">
      <c r="D436" s="47"/>
      <c r="E436" s="143"/>
      <c r="H436" s="2"/>
      <c r="I436" s="30"/>
    </row>
    <row r="437" spans="4:9">
      <c r="D437" s="47"/>
      <c r="E437" s="143"/>
      <c r="H437" s="2"/>
      <c r="I437" s="30"/>
    </row>
    <row r="438" spans="4:9">
      <c r="D438" s="47"/>
      <c r="E438" s="143"/>
      <c r="H438" s="2"/>
      <c r="I438" s="30"/>
    </row>
    <row r="439" spans="4:9">
      <c r="D439" s="47"/>
      <c r="E439" s="143"/>
      <c r="H439" s="2"/>
      <c r="I439" s="30"/>
    </row>
    <row r="440" spans="4:9">
      <c r="D440" s="47"/>
      <c r="E440" s="143"/>
      <c r="H440" s="2"/>
      <c r="I440" s="30"/>
    </row>
    <row r="441" spans="4:9">
      <c r="D441" s="47"/>
      <c r="E441" s="143"/>
      <c r="H441" s="2"/>
      <c r="I441" s="30"/>
    </row>
    <row r="442" spans="4:9">
      <c r="D442" s="47"/>
      <c r="E442" s="143"/>
      <c r="H442" s="2"/>
      <c r="I442" s="30"/>
    </row>
    <row r="443" spans="4:9">
      <c r="D443" s="47"/>
      <c r="E443" s="143"/>
      <c r="H443" s="2"/>
      <c r="I443" s="30"/>
    </row>
    <row r="444" spans="4:9">
      <c r="D444" s="47"/>
      <c r="E444" s="143"/>
      <c r="H444" s="2"/>
      <c r="I444" s="30"/>
    </row>
    <row r="445" spans="4:9">
      <c r="D445" s="47"/>
      <c r="E445" s="143"/>
      <c r="H445" s="2"/>
      <c r="I445" s="30"/>
    </row>
    <row r="446" spans="4:9">
      <c r="D446" s="47"/>
      <c r="E446" s="143"/>
      <c r="H446" s="2"/>
      <c r="I446" s="30"/>
    </row>
    <row r="447" spans="4:9">
      <c r="D447" s="47"/>
      <c r="E447" s="143"/>
      <c r="H447" s="2"/>
      <c r="I447" s="30"/>
    </row>
    <row r="448" spans="4:9">
      <c r="D448" s="47"/>
      <c r="E448" s="143"/>
      <c r="H448" s="2"/>
      <c r="I448" s="30"/>
    </row>
    <row r="449" spans="4:9">
      <c r="D449" s="47"/>
      <c r="E449" s="143"/>
      <c r="H449" s="2"/>
      <c r="I449" s="30"/>
    </row>
    <row r="450" spans="4:9">
      <c r="D450" s="47"/>
      <c r="E450" s="143"/>
      <c r="H450" s="2"/>
      <c r="I450" s="30"/>
    </row>
    <row r="451" spans="4:9">
      <c r="D451" s="47"/>
      <c r="E451" s="143"/>
      <c r="H451" s="2"/>
      <c r="I451" s="30"/>
    </row>
    <row r="452" spans="4:9">
      <c r="D452" s="47"/>
      <c r="E452" s="143"/>
      <c r="H452" s="2"/>
      <c r="I452" s="30"/>
    </row>
    <row r="453" spans="4:9">
      <c r="D453" s="47"/>
      <c r="E453" s="143"/>
      <c r="H453" s="2"/>
      <c r="I453" s="30"/>
    </row>
    <row r="454" spans="4:9">
      <c r="D454" s="47"/>
      <c r="E454" s="143"/>
      <c r="H454" s="2"/>
      <c r="I454" s="30"/>
    </row>
    <row r="455" spans="4:9">
      <c r="D455" s="47"/>
      <c r="E455" s="143"/>
      <c r="H455" s="2"/>
      <c r="I455" s="30"/>
    </row>
    <row r="456" spans="4:9">
      <c r="D456" s="47"/>
      <c r="E456" s="143"/>
      <c r="H456" s="2"/>
      <c r="I456" s="30"/>
    </row>
    <row r="457" spans="4:9">
      <c r="D457" s="47"/>
      <c r="E457" s="143"/>
      <c r="H457" s="2"/>
      <c r="I457" s="30"/>
    </row>
    <row r="458" spans="4:9">
      <c r="D458" s="47"/>
      <c r="E458" s="143"/>
      <c r="H458" s="2"/>
      <c r="I458" s="30"/>
    </row>
    <row r="459" spans="4:9">
      <c r="D459" s="47"/>
      <c r="E459" s="143"/>
      <c r="H459" s="2"/>
      <c r="I459" s="30"/>
    </row>
    <row r="460" spans="4:9">
      <c r="D460" s="47"/>
      <c r="E460" s="143"/>
      <c r="H460" s="2"/>
      <c r="I460" s="30"/>
    </row>
    <row r="461" spans="4:9">
      <c r="D461" s="47"/>
      <c r="E461" s="143"/>
      <c r="H461" s="2"/>
      <c r="I461" s="30"/>
    </row>
    <row r="462" spans="4:9">
      <c r="D462" s="47"/>
      <c r="E462" s="143"/>
      <c r="H462" s="2"/>
      <c r="I462" s="30"/>
    </row>
    <row r="463" spans="4:9">
      <c r="D463" s="47"/>
      <c r="E463" s="143"/>
      <c r="H463" s="2"/>
      <c r="I463" s="30"/>
    </row>
    <row r="464" spans="4:9">
      <c r="D464" s="47"/>
      <c r="E464" s="143"/>
      <c r="H464" s="2"/>
      <c r="I464" s="30"/>
    </row>
    <row r="465" spans="4:9">
      <c r="D465" s="47"/>
      <c r="E465" s="143"/>
      <c r="H465" s="2"/>
      <c r="I465" s="30"/>
    </row>
    <row r="466" spans="4:9">
      <c r="D466" s="47"/>
      <c r="E466" s="143"/>
      <c r="H466" s="2"/>
      <c r="I466" s="30"/>
    </row>
    <row r="467" spans="4:9">
      <c r="D467" s="47"/>
      <c r="E467" s="143"/>
      <c r="H467" s="2"/>
      <c r="I467" s="30"/>
    </row>
    <row r="468" spans="4:9">
      <c r="D468" s="47"/>
      <c r="E468" s="143"/>
      <c r="H468" s="2"/>
      <c r="I468" s="30"/>
    </row>
    <row r="469" spans="4:9">
      <c r="D469" s="47"/>
      <c r="E469" s="143"/>
      <c r="H469" s="2"/>
      <c r="I469" s="30"/>
    </row>
    <row r="470" spans="4:9">
      <c r="D470" s="47"/>
      <c r="E470" s="143"/>
      <c r="H470" s="2"/>
      <c r="I470" s="30"/>
    </row>
    <row r="471" spans="4:9">
      <c r="D471" s="47"/>
      <c r="E471" s="143"/>
      <c r="H471" s="2"/>
      <c r="I471" s="30"/>
    </row>
    <row r="472" spans="4:9">
      <c r="D472" s="47"/>
      <c r="E472" s="143"/>
      <c r="H472" s="2"/>
      <c r="I472" s="30"/>
    </row>
    <row r="473" spans="4:9">
      <c r="D473" s="47"/>
      <c r="E473" s="143"/>
      <c r="H473" s="2"/>
      <c r="I473" s="30"/>
    </row>
    <row r="474" spans="4:9">
      <c r="D474" s="47"/>
      <c r="E474" s="143"/>
      <c r="H474" s="2"/>
      <c r="I474" s="30"/>
    </row>
    <row r="475" spans="4:9">
      <c r="D475" s="47"/>
      <c r="E475" s="143"/>
      <c r="H475" s="2"/>
      <c r="I475" s="30"/>
    </row>
    <row r="476" spans="4:9">
      <c r="D476" s="47"/>
      <c r="E476" s="143"/>
      <c r="H476" s="2"/>
      <c r="I476" s="30"/>
    </row>
    <row r="477" spans="4:9">
      <c r="D477" s="47"/>
      <c r="E477" s="143"/>
      <c r="H477" s="2"/>
      <c r="I477" s="30"/>
    </row>
    <row r="478" spans="4:9">
      <c r="D478" s="47"/>
      <c r="E478" s="143"/>
      <c r="H478" s="2"/>
      <c r="I478" s="30"/>
    </row>
    <row r="479" spans="4:9">
      <c r="D479" s="47"/>
      <c r="E479" s="143"/>
      <c r="H479" s="2"/>
      <c r="I479" s="30"/>
    </row>
    <row r="480" spans="4:9">
      <c r="D480" s="47"/>
      <c r="E480" s="143"/>
      <c r="H480" s="2"/>
      <c r="I480" s="30"/>
    </row>
    <row r="481" spans="4:9">
      <c r="D481" s="47"/>
      <c r="E481" s="143"/>
      <c r="H481" s="2"/>
      <c r="I481" s="30"/>
    </row>
    <row r="482" spans="4:9">
      <c r="D482" s="47"/>
      <c r="E482" s="143"/>
      <c r="H482" s="2"/>
      <c r="I482" s="30"/>
    </row>
    <row r="483" spans="4:9">
      <c r="D483" s="47"/>
      <c r="E483" s="143"/>
      <c r="H483" s="2"/>
      <c r="I483" s="30"/>
    </row>
    <row r="484" spans="4:9">
      <c r="D484" s="47"/>
      <c r="E484" s="143"/>
      <c r="H484" s="2"/>
      <c r="I484" s="30"/>
    </row>
    <row r="485" spans="4:9">
      <c r="D485" s="47"/>
      <c r="E485" s="143"/>
      <c r="H485" s="2"/>
      <c r="I485" s="30"/>
    </row>
    <row r="486" spans="4:9">
      <c r="D486" s="47"/>
      <c r="E486" s="143"/>
      <c r="H486" s="2"/>
      <c r="I486" s="30"/>
    </row>
    <row r="487" spans="4:9">
      <c r="D487" s="47"/>
      <c r="E487" s="143"/>
      <c r="H487" s="2"/>
      <c r="I487" s="30"/>
    </row>
    <row r="488" spans="4:9">
      <c r="D488" s="47"/>
      <c r="E488" s="143"/>
      <c r="H488" s="2"/>
      <c r="I488" s="30"/>
    </row>
    <row r="489" spans="4:9">
      <c r="D489" s="47"/>
      <c r="E489" s="143"/>
      <c r="H489" s="2"/>
      <c r="I489" s="30"/>
    </row>
    <row r="490" spans="4:9">
      <c r="D490" s="47"/>
      <c r="E490" s="143"/>
      <c r="H490" s="2"/>
      <c r="I490" s="30"/>
    </row>
    <row r="491" spans="4:9">
      <c r="D491" s="47"/>
      <c r="E491" s="143"/>
      <c r="H491" s="2"/>
      <c r="I491" s="30"/>
    </row>
    <row r="492" spans="4:9">
      <c r="D492" s="47"/>
      <c r="E492" s="143"/>
      <c r="H492" s="2"/>
      <c r="I492" s="30"/>
    </row>
    <row r="493" spans="4:9">
      <c r="D493" s="47"/>
      <c r="E493" s="143"/>
      <c r="H493" s="2"/>
      <c r="I493" s="30"/>
    </row>
    <row r="494" spans="4:9">
      <c r="D494" s="47"/>
      <c r="E494" s="143"/>
      <c r="H494" s="2"/>
      <c r="I494" s="30"/>
    </row>
    <row r="495" spans="4:9">
      <c r="D495" s="47"/>
      <c r="E495" s="143"/>
      <c r="H495" s="2"/>
      <c r="I495" s="30"/>
    </row>
    <row r="496" spans="4:9">
      <c r="D496" s="47"/>
      <c r="E496" s="143"/>
      <c r="H496" s="2"/>
      <c r="I496" s="30"/>
    </row>
    <row r="497" spans="4:9">
      <c r="D497" s="47"/>
      <c r="E497" s="143"/>
      <c r="H497" s="2"/>
      <c r="I497" s="30"/>
    </row>
    <row r="498" spans="4:9">
      <c r="D498" s="47"/>
      <c r="E498" s="143"/>
      <c r="H498" s="2"/>
      <c r="I498" s="30"/>
    </row>
    <row r="499" spans="4:9">
      <c r="D499" s="47"/>
      <c r="E499" s="143"/>
      <c r="H499" s="2"/>
      <c r="I499" s="30"/>
    </row>
    <row r="500" spans="4:9">
      <c r="D500" s="47"/>
      <c r="E500" s="143"/>
      <c r="H500" s="2"/>
      <c r="I500" s="30"/>
    </row>
    <row r="501" spans="4:9">
      <c r="D501" s="47"/>
      <c r="E501" s="143"/>
      <c r="H501" s="2"/>
      <c r="I501" s="30"/>
    </row>
    <row r="502" spans="4:9">
      <c r="D502" s="47"/>
      <c r="E502" s="143"/>
      <c r="H502" s="2"/>
      <c r="I502" s="30"/>
    </row>
    <row r="503" spans="4:9">
      <c r="D503" s="47"/>
      <c r="E503" s="143"/>
      <c r="H503" s="2"/>
      <c r="I503" s="30"/>
    </row>
    <row r="504" spans="4:9">
      <c r="D504" s="47"/>
      <c r="E504" s="143"/>
      <c r="H504" s="2"/>
      <c r="I504" s="30"/>
    </row>
    <row r="505" spans="4:9">
      <c r="D505" s="47"/>
      <c r="E505" s="143"/>
      <c r="H505" s="2"/>
      <c r="I505" s="30"/>
    </row>
    <row r="506" spans="4:9">
      <c r="D506" s="47"/>
      <c r="E506" s="143"/>
      <c r="H506" s="2"/>
      <c r="I506" s="30"/>
    </row>
    <row r="507" spans="4:9">
      <c r="D507" s="47"/>
      <c r="E507" s="143"/>
      <c r="H507" s="2"/>
      <c r="I507" s="30"/>
    </row>
    <row r="508" spans="4:9">
      <c r="D508" s="47"/>
      <c r="E508" s="143"/>
      <c r="H508" s="2"/>
      <c r="I508" s="30"/>
    </row>
    <row r="509" spans="4:9">
      <c r="D509" s="47"/>
      <c r="E509" s="143"/>
      <c r="H509" s="2"/>
      <c r="I509" s="30"/>
    </row>
    <row r="510" spans="4:9">
      <c r="D510" s="47"/>
      <c r="E510" s="143"/>
      <c r="H510" s="2"/>
      <c r="I510" s="30"/>
    </row>
    <row r="511" spans="4:9">
      <c r="D511" s="47"/>
      <c r="E511" s="143"/>
      <c r="H511" s="2"/>
      <c r="I511" s="30"/>
    </row>
    <row r="512" spans="4:9">
      <c r="D512" s="47"/>
      <c r="E512" s="143"/>
      <c r="H512" s="2"/>
      <c r="I512" s="30"/>
    </row>
    <row r="513" spans="4:9">
      <c r="D513" s="47"/>
      <c r="E513" s="143"/>
      <c r="H513" s="2"/>
      <c r="I513" s="30"/>
    </row>
    <row r="514" spans="4:9">
      <c r="D514" s="47"/>
      <c r="E514" s="143"/>
      <c r="H514" s="2"/>
      <c r="I514" s="30"/>
    </row>
    <row r="515" spans="4:9">
      <c r="D515" s="47"/>
      <c r="E515" s="143"/>
      <c r="H515" s="2"/>
      <c r="I515" s="30"/>
    </row>
    <row r="516" spans="4:9">
      <c r="D516" s="47"/>
      <c r="E516" s="143"/>
      <c r="H516" s="2"/>
      <c r="I516" s="30"/>
    </row>
    <row r="517" spans="4:9">
      <c r="D517" s="47"/>
      <c r="E517" s="143"/>
      <c r="H517" s="2"/>
      <c r="I517" s="30"/>
    </row>
    <row r="518" spans="4:9">
      <c r="D518" s="47"/>
      <c r="E518" s="143"/>
      <c r="H518" s="2"/>
      <c r="I518" s="30"/>
    </row>
    <row r="519" spans="4:9">
      <c r="D519" s="47"/>
      <c r="E519" s="143"/>
      <c r="H519" s="2"/>
      <c r="I519" s="30"/>
    </row>
    <row r="520" spans="4:9">
      <c r="D520" s="47"/>
      <c r="E520" s="143"/>
      <c r="H520" s="2"/>
      <c r="I520" s="30"/>
    </row>
    <row r="521" spans="4:9">
      <c r="D521" s="47"/>
      <c r="E521" s="143"/>
      <c r="H521" s="2"/>
      <c r="I521" s="30"/>
    </row>
    <row r="522" spans="4:9">
      <c r="D522" s="47"/>
      <c r="E522" s="143"/>
      <c r="H522" s="2"/>
      <c r="I522" s="30"/>
    </row>
    <row r="523" spans="4:9">
      <c r="D523" s="47"/>
      <c r="E523" s="143"/>
      <c r="H523" s="2"/>
      <c r="I523" s="30"/>
    </row>
    <row r="524" spans="4:9">
      <c r="D524" s="47"/>
      <c r="E524" s="143"/>
      <c r="H524" s="2"/>
      <c r="I524" s="30"/>
    </row>
    <row r="525" spans="4:9">
      <c r="D525" s="47"/>
      <c r="E525" s="143"/>
      <c r="H525" s="2"/>
      <c r="I525" s="30"/>
    </row>
    <row r="526" spans="4:9">
      <c r="D526" s="47"/>
      <c r="E526" s="143"/>
      <c r="H526" s="2"/>
      <c r="I526" s="30"/>
    </row>
    <row r="527" spans="4:9">
      <c r="D527" s="47"/>
      <c r="E527" s="143"/>
      <c r="H527" s="2"/>
      <c r="I527" s="30"/>
    </row>
    <row r="528" spans="4:9">
      <c r="D528" s="47"/>
      <c r="E528" s="143"/>
      <c r="H528" s="2"/>
      <c r="I528" s="30"/>
    </row>
    <row r="529" spans="4:9">
      <c r="D529" s="47"/>
      <c r="E529" s="143"/>
      <c r="H529" s="2"/>
      <c r="I529" s="30"/>
    </row>
    <row r="530" spans="4:9">
      <c r="D530" s="47"/>
      <c r="E530" s="143"/>
      <c r="H530" s="2"/>
      <c r="I530" s="30"/>
    </row>
    <row r="531" spans="4:9">
      <c r="D531" s="47"/>
      <c r="E531" s="143"/>
      <c r="H531" s="2"/>
      <c r="I531" s="30"/>
    </row>
    <row r="532" spans="4:9">
      <c r="D532" s="47"/>
      <c r="E532" s="143"/>
      <c r="H532" s="2"/>
      <c r="I532" s="30"/>
    </row>
    <row r="533" spans="4:9">
      <c r="D533" s="47"/>
      <c r="E533" s="143"/>
      <c r="H533" s="2"/>
      <c r="I533" s="30"/>
    </row>
    <row r="534" spans="4:9">
      <c r="D534" s="47"/>
      <c r="E534" s="143"/>
      <c r="H534" s="2"/>
      <c r="I534" s="30"/>
    </row>
    <row r="535" spans="4:9">
      <c r="D535" s="47"/>
      <c r="E535" s="143"/>
      <c r="H535" s="2"/>
      <c r="I535" s="30"/>
    </row>
    <row r="536" spans="4:9">
      <c r="D536" s="47"/>
      <c r="E536" s="143"/>
      <c r="H536" s="2"/>
      <c r="I536" s="30"/>
    </row>
    <row r="537" spans="4:9">
      <c r="D537" s="47"/>
      <c r="E537" s="143"/>
      <c r="H537" s="2"/>
      <c r="I537" s="30"/>
    </row>
    <row r="538" spans="4:9">
      <c r="D538" s="47"/>
      <c r="E538" s="143"/>
      <c r="H538" s="2"/>
      <c r="I538" s="30"/>
    </row>
    <row r="539" spans="4:9">
      <c r="D539" s="47"/>
      <c r="E539" s="143"/>
      <c r="H539" s="2"/>
      <c r="I539" s="30"/>
    </row>
    <row r="540" spans="4:9">
      <c r="D540" s="47"/>
      <c r="E540" s="143"/>
      <c r="H540" s="2"/>
      <c r="I540" s="30"/>
    </row>
    <row r="541" spans="4:9">
      <c r="D541" s="47"/>
      <c r="E541" s="143"/>
      <c r="H541" s="2"/>
      <c r="I541" s="30"/>
    </row>
    <row r="542" spans="4:9">
      <c r="D542" s="47"/>
      <c r="E542" s="143"/>
      <c r="H542" s="2"/>
      <c r="I542" s="30"/>
    </row>
    <row r="543" spans="4:9">
      <c r="D543" s="47"/>
      <c r="E543" s="143"/>
      <c r="H543" s="2"/>
      <c r="I543" s="30"/>
    </row>
    <row r="544" spans="4:9">
      <c r="D544" s="47"/>
      <c r="E544" s="143"/>
      <c r="H544" s="2"/>
      <c r="I544" s="30"/>
    </row>
    <row r="545" spans="4:9">
      <c r="D545" s="47"/>
      <c r="E545" s="143"/>
      <c r="H545" s="2"/>
      <c r="I545" s="30"/>
    </row>
    <row r="546" spans="4:9">
      <c r="D546" s="47"/>
      <c r="E546" s="143"/>
      <c r="H546" s="2"/>
      <c r="I546" s="30"/>
    </row>
    <row r="547" spans="4:9">
      <c r="D547" s="47"/>
      <c r="E547" s="143"/>
      <c r="H547" s="2"/>
      <c r="I547" s="30"/>
    </row>
    <row r="548" spans="4:9">
      <c r="D548" s="47"/>
      <c r="E548" s="143"/>
      <c r="H548" s="2"/>
      <c r="I548" s="30"/>
    </row>
    <row r="549" spans="4:9">
      <c r="D549" s="47"/>
      <c r="E549" s="143"/>
      <c r="H549" s="2"/>
      <c r="I549" s="30"/>
    </row>
    <row r="550" spans="4:9">
      <c r="D550" s="47"/>
      <c r="E550" s="143"/>
      <c r="H550" s="2"/>
      <c r="I550" s="30"/>
    </row>
    <row r="551" spans="4:9">
      <c r="D551" s="47"/>
      <c r="E551" s="143"/>
      <c r="H551" s="2"/>
      <c r="I551" s="30"/>
    </row>
    <row r="552" spans="4:9">
      <c r="D552" s="47"/>
      <c r="E552" s="143"/>
      <c r="H552" s="2"/>
      <c r="I552" s="30"/>
    </row>
    <row r="553" spans="4:9">
      <c r="D553" s="47"/>
      <c r="E553" s="143"/>
      <c r="H553" s="2"/>
      <c r="I553" s="30"/>
    </row>
    <row r="554" spans="4:9">
      <c r="D554" s="47"/>
      <c r="E554" s="143"/>
      <c r="H554" s="2"/>
      <c r="I554" s="30"/>
    </row>
    <row r="555" spans="4:9">
      <c r="D555" s="47"/>
      <c r="E555" s="143"/>
      <c r="H555" s="2"/>
      <c r="I555" s="30"/>
    </row>
    <row r="556" spans="4:9">
      <c r="D556" s="47"/>
      <c r="E556" s="143"/>
      <c r="H556" s="2"/>
      <c r="I556" s="30"/>
    </row>
    <row r="557" spans="4:9">
      <c r="D557" s="47"/>
      <c r="E557" s="143"/>
      <c r="H557" s="2"/>
      <c r="I557" s="30"/>
    </row>
    <row r="558" spans="4:9">
      <c r="D558" s="47"/>
      <c r="E558" s="143"/>
      <c r="H558" s="2"/>
      <c r="I558" s="30"/>
    </row>
    <row r="559" spans="4:9">
      <c r="D559" s="47"/>
      <c r="E559" s="143"/>
      <c r="H559" s="2"/>
      <c r="I559" s="30"/>
    </row>
    <row r="560" spans="4:9">
      <c r="D560" s="47"/>
      <c r="E560" s="143"/>
      <c r="H560" s="2"/>
      <c r="I560" s="30"/>
    </row>
    <row r="561" spans="4:9">
      <c r="D561" s="47"/>
      <c r="E561" s="143"/>
      <c r="H561" s="2"/>
      <c r="I561" s="30"/>
    </row>
    <row r="562" spans="4:9">
      <c r="D562" s="47"/>
      <c r="E562" s="143"/>
      <c r="H562" s="2"/>
      <c r="I562" s="30"/>
    </row>
    <row r="563" spans="4:9">
      <c r="D563" s="47"/>
      <c r="E563" s="143"/>
      <c r="H563" s="2"/>
      <c r="I563" s="30"/>
    </row>
    <row r="564" spans="4:9">
      <c r="D564" s="47"/>
      <c r="E564" s="143"/>
      <c r="H564" s="2"/>
      <c r="I564" s="30"/>
    </row>
    <row r="565" spans="4:9">
      <c r="D565" s="47"/>
      <c r="E565" s="143"/>
      <c r="H565" s="2"/>
      <c r="I565" s="30"/>
    </row>
    <row r="566" spans="4:9">
      <c r="D566" s="47"/>
      <c r="E566" s="143"/>
      <c r="H566" s="2"/>
      <c r="I566" s="30"/>
    </row>
    <row r="567" spans="4:9">
      <c r="D567" s="47"/>
      <c r="E567" s="143"/>
      <c r="H567" s="2"/>
      <c r="I567" s="30"/>
    </row>
    <row r="568" spans="4:9">
      <c r="D568" s="47"/>
      <c r="E568" s="143"/>
      <c r="H568" s="2"/>
      <c r="I568" s="30"/>
    </row>
    <row r="569" spans="4:9">
      <c r="D569" s="47"/>
      <c r="E569" s="143"/>
      <c r="H569" s="2"/>
      <c r="I569" s="30"/>
    </row>
    <row r="570" spans="4:9">
      <c r="D570" s="47"/>
      <c r="E570" s="143"/>
      <c r="H570" s="2"/>
      <c r="I570" s="30"/>
    </row>
    <row r="571" spans="4:9">
      <c r="D571" s="47"/>
      <c r="E571" s="143"/>
      <c r="H571" s="2"/>
      <c r="I571" s="30"/>
    </row>
    <row r="572" spans="4:9">
      <c r="D572" s="47"/>
      <c r="E572" s="143"/>
      <c r="H572" s="2"/>
      <c r="I572" s="30"/>
    </row>
    <row r="573" spans="4:9">
      <c r="D573" s="47"/>
      <c r="E573" s="143"/>
      <c r="H573" s="2"/>
      <c r="I573" s="30"/>
    </row>
    <row r="574" spans="4:9">
      <c r="D574" s="47"/>
      <c r="E574" s="143"/>
      <c r="H574" s="2"/>
      <c r="I574" s="30"/>
    </row>
    <row r="575" spans="4:9">
      <c r="D575" s="47"/>
      <c r="E575" s="143"/>
      <c r="H575" s="2"/>
      <c r="I575" s="30"/>
    </row>
    <row r="576" spans="4:9">
      <c r="D576" s="47"/>
      <c r="E576" s="143"/>
      <c r="H576" s="2"/>
      <c r="I576" s="30"/>
    </row>
    <row r="577" spans="4:9">
      <c r="D577" s="47"/>
      <c r="E577" s="143"/>
      <c r="H577" s="2"/>
      <c r="I577" s="30"/>
    </row>
    <row r="578" spans="4:9">
      <c r="D578" s="47"/>
      <c r="E578" s="143"/>
      <c r="H578" s="2"/>
      <c r="I578" s="30"/>
    </row>
    <row r="579" spans="4:9">
      <c r="D579" s="47"/>
      <c r="E579" s="143"/>
      <c r="H579" s="2"/>
      <c r="I579" s="30"/>
    </row>
    <row r="580" spans="4:9">
      <c r="D580" s="47"/>
      <c r="E580" s="143"/>
      <c r="H580" s="2"/>
      <c r="I580" s="30"/>
    </row>
    <row r="581" spans="4:9">
      <c r="D581" s="47"/>
      <c r="E581" s="143"/>
      <c r="H581" s="2"/>
      <c r="I581" s="30"/>
    </row>
    <row r="582" spans="4:9">
      <c r="D582" s="47"/>
      <c r="E582" s="143"/>
      <c r="H582" s="2"/>
      <c r="I582" s="30"/>
    </row>
    <row r="583" spans="4:9">
      <c r="D583" s="47"/>
      <c r="E583" s="143"/>
      <c r="H583" s="2"/>
      <c r="I583" s="30"/>
    </row>
    <row r="584" spans="4:9">
      <c r="D584" s="47"/>
      <c r="E584" s="143"/>
      <c r="H584" s="2"/>
      <c r="I584" s="30"/>
    </row>
    <row r="585" spans="4:9">
      <c r="D585" s="47"/>
      <c r="E585" s="143"/>
      <c r="H585" s="2"/>
      <c r="I585" s="30"/>
    </row>
    <row r="586" spans="4:9">
      <c r="D586" s="47"/>
      <c r="E586" s="143"/>
      <c r="H586" s="2"/>
      <c r="I586" s="30"/>
    </row>
    <row r="587" spans="4:9">
      <c r="D587" s="47"/>
      <c r="E587" s="143"/>
      <c r="H587" s="2"/>
      <c r="I587" s="30"/>
    </row>
    <row r="588" spans="4:9">
      <c r="D588" s="47"/>
      <c r="E588" s="143"/>
      <c r="H588" s="2"/>
      <c r="I588" s="30"/>
    </row>
    <row r="589" spans="4:9">
      <c r="D589" s="47"/>
      <c r="E589" s="143"/>
      <c r="H589" s="2"/>
      <c r="I589" s="30"/>
    </row>
    <row r="590" spans="4:9">
      <c r="D590" s="47"/>
      <c r="E590" s="143"/>
      <c r="H590" s="2"/>
      <c r="I590" s="30"/>
    </row>
    <row r="591" spans="4:9">
      <c r="D591" s="47"/>
      <c r="E591" s="143"/>
      <c r="H591" s="2"/>
      <c r="I591" s="30"/>
    </row>
    <row r="592" spans="4:9">
      <c r="D592" s="47"/>
      <c r="E592" s="143"/>
      <c r="H592" s="2"/>
      <c r="I592" s="30"/>
    </row>
    <row r="593" spans="4:9">
      <c r="D593" s="47"/>
      <c r="E593" s="143"/>
      <c r="H593" s="2"/>
      <c r="I593" s="30"/>
    </row>
    <row r="594" spans="4:9">
      <c r="D594" s="47"/>
      <c r="E594" s="143"/>
      <c r="H594" s="2"/>
      <c r="I594" s="30"/>
    </row>
    <row r="595" spans="4:9">
      <c r="D595" s="47"/>
      <c r="E595" s="143"/>
      <c r="H595" s="2"/>
      <c r="I595" s="30"/>
    </row>
    <row r="596" spans="4:9">
      <c r="D596" s="47"/>
      <c r="E596" s="143"/>
      <c r="H596" s="2"/>
      <c r="I596" s="30"/>
    </row>
    <row r="597" spans="4:9">
      <c r="D597" s="47"/>
      <c r="E597" s="143"/>
      <c r="H597" s="2"/>
      <c r="I597" s="30"/>
    </row>
    <row r="598" spans="4:9">
      <c r="D598" s="47"/>
      <c r="E598" s="143"/>
      <c r="H598" s="2"/>
      <c r="I598" s="30"/>
    </row>
    <row r="599" spans="4:9">
      <c r="D599" s="47"/>
      <c r="E599" s="143"/>
      <c r="H599" s="2"/>
      <c r="I599" s="30"/>
    </row>
    <row r="600" spans="4:9">
      <c r="D600" s="47"/>
      <c r="E600" s="143"/>
      <c r="H600" s="2"/>
      <c r="I600" s="30"/>
    </row>
    <row r="601" spans="4:9">
      <c r="D601" s="47"/>
      <c r="E601" s="143"/>
      <c r="H601" s="2"/>
      <c r="I601" s="30"/>
    </row>
    <row r="602" spans="4:9">
      <c r="D602" s="47"/>
      <c r="E602" s="143"/>
      <c r="H602" s="2"/>
      <c r="I602" s="30"/>
    </row>
    <row r="603" spans="4:9">
      <c r="D603" s="47"/>
      <c r="E603" s="143"/>
      <c r="H603" s="2"/>
      <c r="I603" s="30"/>
    </row>
    <row r="604" spans="4:9">
      <c r="D604" s="47"/>
      <c r="E604" s="143"/>
      <c r="H604" s="2"/>
      <c r="I604" s="30"/>
    </row>
    <row r="605" spans="4:9">
      <c r="D605" s="47"/>
      <c r="E605" s="143"/>
      <c r="H605" s="2"/>
      <c r="I605" s="30"/>
    </row>
    <row r="606" spans="4:9">
      <c r="D606" s="47"/>
      <c r="E606" s="143"/>
      <c r="H606" s="2"/>
      <c r="I606" s="30"/>
    </row>
    <row r="607" spans="4:9">
      <c r="D607" s="47"/>
      <c r="E607" s="143"/>
      <c r="H607" s="2"/>
      <c r="I607" s="30"/>
    </row>
    <row r="608" spans="4:9">
      <c r="D608" s="47"/>
      <c r="E608" s="143"/>
      <c r="H608" s="2"/>
      <c r="I608" s="30"/>
    </row>
    <row r="609" spans="4:9">
      <c r="D609" s="47"/>
      <c r="E609" s="143"/>
      <c r="H609" s="2"/>
      <c r="I609" s="30"/>
    </row>
    <row r="610" spans="4:9">
      <c r="D610" s="47"/>
      <c r="E610" s="143"/>
      <c r="H610" s="2"/>
      <c r="I610" s="30"/>
    </row>
    <row r="611" spans="4:9">
      <c r="D611" s="47"/>
      <c r="E611" s="143"/>
      <c r="H611" s="2"/>
      <c r="I611" s="30"/>
    </row>
    <row r="612" spans="4:9">
      <c r="D612" s="47"/>
      <c r="E612" s="143"/>
      <c r="H612" s="2"/>
      <c r="I612" s="30"/>
    </row>
    <row r="613" spans="4:9">
      <c r="D613" s="47"/>
      <c r="E613" s="143"/>
      <c r="H613" s="2"/>
      <c r="I613" s="30"/>
    </row>
    <row r="614" spans="4:9">
      <c r="D614" s="47"/>
      <c r="E614" s="143"/>
      <c r="H614" s="2"/>
      <c r="I614" s="30"/>
    </row>
    <row r="615" spans="4:9">
      <c r="D615" s="47"/>
      <c r="E615" s="143"/>
      <c r="H615" s="2"/>
      <c r="I615" s="30"/>
    </row>
    <row r="616" spans="4:9">
      <c r="D616" s="47"/>
      <c r="E616" s="143"/>
      <c r="H616" s="2"/>
      <c r="I616" s="30"/>
    </row>
    <row r="617" spans="4:9">
      <c r="D617" s="47"/>
      <c r="E617" s="143"/>
      <c r="H617" s="2"/>
      <c r="I617" s="30"/>
    </row>
    <row r="618" spans="4:9">
      <c r="D618" s="47"/>
      <c r="E618" s="143"/>
      <c r="H618" s="2"/>
      <c r="I618" s="30"/>
    </row>
    <row r="619" spans="4:9">
      <c r="D619" s="47"/>
      <c r="E619" s="143"/>
      <c r="H619" s="2"/>
      <c r="I619" s="30"/>
    </row>
    <row r="620" spans="4:9">
      <c r="D620" s="47"/>
      <c r="E620" s="143"/>
      <c r="H620" s="2"/>
      <c r="I620" s="30"/>
    </row>
    <row r="621" spans="4:9">
      <c r="D621" s="47"/>
      <c r="E621" s="143"/>
      <c r="H621" s="2"/>
      <c r="I621" s="30"/>
    </row>
    <row r="622" spans="4:9">
      <c r="D622" s="47"/>
      <c r="E622" s="143"/>
      <c r="H622" s="2"/>
      <c r="I622" s="30"/>
    </row>
    <row r="623" spans="4:9">
      <c r="D623" s="47"/>
      <c r="E623" s="143"/>
      <c r="H623" s="2"/>
      <c r="I623" s="30"/>
    </row>
    <row r="624" spans="4:9">
      <c r="D624" s="47"/>
      <c r="E624" s="143"/>
      <c r="H624" s="2"/>
      <c r="I624" s="30"/>
    </row>
    <row r="625" spans="4:9">
      <c r="D625" s="47"/>
      <c r="E625" s="143"/>
      <c r="H625" s="2"/>
      <c r="I625" s="30"/>
    </row>
    <row r="626" spans="4:9">
      <c r="D626" s="47"/>
      <c r="E626" s="143"/>
      <c r="H626" s="2"/>
      <c r="I626" s="30"/>
    </row>
    <row r="627" spans="4:9">
      <c r="D627" s="47"/>
      <c r="E627" s="143"/>
      <c r="H627" s="2"/>
      <c r="I627" s="30"/>
    </row>
    <row r="628" spans="4:9">
      <c r="D628" s="47"/>
      <c r="E628" s="143"/>
      <c r="H628" s="2"/>
      <c r="I628" s="30"/>
    </row>
    <row r="629" spans="4:9">
      <c r="D629" s="47"/>
      <c r="E629" s="143"/>
      <c r="H629" s="2"/>
      <c r="I629" s="30"/>
    </row>
    <row r="630" spans="4:9">
      <c r="D630" s="47"/>
      <c r="E630" s="143"/>
      <c r="H630" s="2"/>
      <c r="I630" s="30"/>
    </row>
    <row r="631" spans="4:9">
      <c r="D631" s="47"/>
      <c r="E631" s="143"/>
      <c r="H631" s="2"/>
      <c r="I631" s="30"/>
    </row>
    <row r="632" spans="4:9">
      <c r="D632" s="47"/>
      <c r="E632" s="143"/>
      <c r="H632" s="2"/>
      <c r="I632" s="30"/>
    </row>
    <row r="633" spans="4:9">
      <c r="D633" s="47"/>
      <c r="E633" s="143"/>
      <c r="H633" s="2"/>
      <c r="I633" s="30"/>
    </row>
    <row r="634" spans="4:9">
      <c r="D634" s="47"/>
      <c r="E634" s="143"/>
      <c r="H634" s="2"/>
      <c r="I634" s="30"/>
    </row>
    <row r="635" spans="4:9">
      <c r="D635" s="47"/>
      <c r="E635" s="143"/>
      <c r="H635" s="2"/>
      <c r="I635" s="30"/>
    </row>
    <row r="636" spans="4:9">
      <c r="D636" s="47"/>
      <c r="E636" s="143"/>
      <c r="H636" s="2"/>
      <c r="I636" s="30"/>
    </row>
    <row r="637" spans="4:9">
      <c r="D637" s="47"/>
      <c r="E637" s="143"/>
      <c r="H637" s="2"/>
      <c r="I637" s="30"/>
    </row>
    <row r="638" spans="4:9">
      <c r="D638" s="47"/>
      <c r="E638" s="143"/>
      <c r="H638" s="2"/>
      <c r="I638" s="30"/>
    </row>
    <row r="639" spans="4:9">
      <c r="D639" s="47"/>
      <c r="E639" s="143"/>
      <c r="H639" s="2"/>
      <c r="I639" s="30"/>
    </row>
    <row r="640" spans="4:9">
      <c r="D640" s="47"/>
      <c r="E640" s="143"/>
      <c r="H640" s="2"/>
      <c r="I640" s="30"/>
    </row>
    <row r="641" spans="4:9">
      <c r="D641" s="47"/>
      <c r="E641" s="143"/>
      <c r="H641" s="2"/>
      <c r="I641" s="30"/>
    </row>
    <row r="642" spans="4:9">
      <c r="D642" s="47"/>
      <c r="E642" s="143"/>
      <c r="H642" s="2"/>
      <c r="I642" s="30"/>
    </row>
    <row r="643" spans="4:9">
      <c r="D643" s="47"/>
      <c r="E643" s="143"/>
      <c r="H643" s="2"/>
      <c r="I643" s="30"/>
    </row>
    <row r="644" spans="4:9">
      <c r="D644" s="47"/>
      <c r="E644" s="143"/>
      <c r="H644" s="2"/>
      <c r="I644" s="30"/>
    </row>
    <row r="645" spans="4:9">
      <c r="D645" s="47"/>
      <c r="E645" s="143"/>
      <c r="H645" s="2"/>
      <c r="I645" s="30"/>
    </row>
    <row r="646" spans="4:9">
      <c r="D646" s="47"/>
      <c r="E646" s="143"/>
      <c r="H646" s="2"/>
      <c r="I646" s="30"/>
    </row>
    <row r="647" spans="4:9">
      <c r="D647" s="47"/>
      <c r="E647" s="143"/>
      <c r="H647" s="2"/>
      <c r="I647" s="30"/>
    </row>
    <row r="648" spans="4:9">
      <c r="D648" s="47"/>
      <c r="E648" s="143"/>
      <c r="H648" s="2"/>
      <c r="I648" s="30"/>
    </row>
    <row r="649" spans="4:9">
      <c r="D649" s="47"/>
      <c r="E649" s="143"/>
      <c r="H649" s="2"/>
      <c r="I649" s="30"/>
    </row>
    <row r="650" spans="4:9">
      <c r="D650" s="47"/>
      <c r="E650" s="143"/>
      <c r="H650" s="2"/>
      <c r="I650" s="30"/>
    </row>
    <row r="651" spans="4:9">
      <c r="D651" s="47"/>
      <c r="E651" s="143"/>
      <c r="H651" s="2"/>
      <c r="I651" s="30"/>
    </row>
    <row r="652" spans="4:9">
      <c r="D652" s="47"/>
      <c r="E652" s="143"/>
      <c r="H652" s="2"/>
      <c r="I652" s="30"/>
    </row>
    <row r="653" spans="4:9">
      <c r="D653" s="47"/>
      <c r="E653" s="143"/>
      <c r="H653" s="2"/>
      <c r="I653" s="30"/>
    </row>
    <row r="654" spans="4:9">
      <c r="D654" s="47"/>
      <c r="E654" s="143"/>
      <c r="H654" s="2"/>
      <c r="I654" s="30"/>
    </row>
    <row r="655" spans="4:9">
      <c r="D655" s="47"/>
      <c r="E655" s="143"/>
      <c r="H655" s="2"/>
      <c r="I655" s="30"/>
    </row>
    <row r="656" spans="4:9">
      <c r="D656" s="47"/>
      <c r="E656" s="143"/>
      <c r="H656" s="2"/>
      <c r="I656" s="30"/>
    </row>
    <row r="657" spans="4:9">
      <c r="D657" s="47"/>
      <c r="E657" s="143"/>
      <c r="H657" s="2"/>
      <c r="I657" s="30"/>
    </row>
    <row r="658" spans="4:9">
      <c r="D658" s="47"/>
      <c r="E658" s="143"/>
      <c r="H658" s="2"/>
      <c r="I658" s="30"/>
    </row>
    <row r="659" spans="4:9">
      <c r="D659" s="47"/>
      <c r="E659" s="143"/>
      <c r="H659" s="2"/>
      <c r="I659" s="30"/>
    </row>
    <row r="660" spans="4:9">
      <c r="D660" s="47"/>
      <c r="E660" s="143"/>
      <c r="H660" s="2"/>
      <c r="I660" s="30"/>
    </row>
    <row r="661" spans="4:9">
      <c r="D661" s="47"/>
      <c r="E661" s="143"/>
      <c r="H661" s="2"/>
      <c r="I661" s="30"/>
    </row>
    <row r="662" spans="4:9">
      <c r="D662" s="47"/>
      <c r="E662" s="143"/>
      <c r="H662" s="2"/>
      <c r="I662" s="30"/>
    </row>
    <row r="663" spans="4:9">
      <c r="D663" s="47"/>
      <c r="E663" s="143"/>
      <c r="H663" s="2"/>
      <c r="I663" s="30"/>
    </row>
    <row r="664" spans="4:9">
      <c r="D664" s="47"/>
      <c r="E664" s="143"/>
      <c r="H664" s="2"/>
      <c r="I664" s="30"/>
    </row>
    <row r="665" spans="4:9">
      <c r="D665" s="47"/>
      <c r="E665" s="143"/>
      <c r="H665" s="2"/>
      <c r="I665" s="30"/>
    </row>
    <row r="666" spans="4:9">
      <c r="D666" s="47"/>
      <c r="E666" s="143"/>
      <c r="H666" s="2"/>
      <c r="I666" s="30"/>
    </row>
    <row r="667" spans="4:9">
      <c r="D667" s="47"/>
      <c r="E667" s="143"/>
      <c r="H667" s="2"/>
      <c r="I667" s="30"/>
    </row>
    <row r="668" spans="4:9">
      <c r="D668" s="47"/>
      <c r="E668" s="143"/>
      <c r="H668" s="2"/>
      <c r="I668" s="30"/>
    </row>
    <row r="669" spans="4:9">
      <c r="D669" s="47"/>
      <c r="E669" s="143"/>
      <c r="H669" s="2"/>
      <c r="I669" s="30"/>
    </row>
    <row r="670" spans="4:9">
      <c r="D670" s="47"/>
      <c r="E670" s="143"/>
      <c r="H670" s="2"/>
      <c r="I670" s="30"/>
    </row>
    <row r="671" spans="4:9">
      <c r="D671" s="47"/>
      <c r="E671" s="143"/>
      <c r="H671" s="2"/>
      <c r="I671" s="30"/>
    </row>
    <row r="672" spans="4:9">
      <c r="D672" s="47"/>
      <c r="E672" s="143"/>
      <c r="H672" s="2"/>
      <c r="I672" s="30"/>
    </row>
    <row r="673" spans="4:9">
      <c r="D673" s="47"/>
      <c r="E673" s="143"/>
      <c r="H673" s="2"/>
      <c r="I673" s="30"/>
    </row>
    <row r="674" spans="4:9">
      <c r="D674" s="47"/>
      <c r="E674" s="143"/>
      <c r="H674" s="2"/>
      <c r="I674" s="30"/>
    </row>
    <row r="675" spans="4:9">
      <c r="D675" s="47"/>
      <c r="E675" s="143"/>
      <c r="H675" s="2"/>
      <c r="I675" s="30"/>
    </row>
    <row r="676" spans="4:9">
      <c r="D676" s="47"/>
      <c r="E676" s="143"/>
      <c r="H676" s="2"/>
      <c r="I676" s="30"/>
    </row>
    <row r="677" spans="4:9">
      <c r="D677" s="47"/>
      <c r="E677" s="143"/>
      <c r="H677" s="2"/>
      <c r="I677" s="30"/>
    </row>
    <row r="678" spans="4:9">
      <c r="D678" s="47"/>
      <c r="E678" s="143"/>
      <c r="H678" s="2"/>
      <c r="I678" s="30"/>
    </row>
    <row r="679" spans="4:9">
      <c r="D679" s="47"/>
      <c r="E679" s="143"/>
      <c r="H679" s="2"/>
      <c r="I679" s="30"/>
    </row>
    <row r="680" spans="4:9">
      <c r="D680" s="47"/>
      <c r="E680" s="143"/>
      <c r="H680" s="2"/>
      <c r="I680" s="30"/>
    </row>
    <row r="681" spans="4:9">
      <c r="D681" s="47"/>
      <c r="E681" s="143"/>
      <c r="H681" s="2"/>
      <c r="I681" s="30"/>
    </row>
    <row r="682" spans="4:9">
      <c r="D682" s="47"/>
      <c r="E682" s="143"/>
      <c r="H682" s="2"/>
      <c r="I682" s="30"/>
    </row>
    <row r="683" spans="4:9">
      <c r="D683" s="47"/>
      <c r="E683" s="143"/>
      <c r="H683" s="2"/>
      <c r="I683" s="30"/>
    </row>
    <row r="684" spans="4:9">
      <c r="D684" s="47"/>
      <c r="E684" s="143"/>
      <c r="H684" s="2"/>
      <c r="I684" s="30"/>
    </row>
    <row r="685" spans="4:9">
      <c r="D685" s="47"/>
      <c r="E685" s="143"/>
      <c r="H685" s="2"/>
      <c r="I685" s="30"/>
    </row>
    <row r="686" spans="4:9">
      <c r="D686" s="47"/>
      <c r="E686" s="143"/>
      <c r="H686" s="2"/>
      <c r="I686" s="30"/>
    </row>
    <row r="687" spans="4:9">
      <c r="D687" s="47"/>
      <c r="E687" s="143"/>
      <c r="H687" s="2"/>
      <c r="I687" s="30"/>
    </row>
    <row r="688" spans="4:9">
      <c r="D688" s="47"/>
      <c r="E688" s="143"/>
      <c r="H688" s="2"/>
      <c r="I688" s="30"/>
    </row>
    <row r="689" spans="4:9">
      <c r="D689" s="47"/>
      <c r="E689" s="143"/>
      <c r="H689" s="2"/>
      <c r="I689" s="30"/>
    </row>
    <row r="690" spans="4:9">
      <c r="D690" s="47"/>
      <c r="E690" s="143"/>
      <c r="H690" s="2"/>
      <c r="I690" s="30"/>
    </row>
    <row r="691" spans="4:9">
      <c r="D691" s="47"/>
      <c r="E691" s="143"/>
      <c r="H691" s="2"/>
      <c r="I691" s="30"/>
    </row>
    <row r="692" spans="4:9">
      <c r="D692" s="47"/>
      <c r="E692" s="143"/>
      <c r="H692" s="2"/>
      <c r="I692" s="30"/>
    </row>
    <row r="693" spans="4:9">
      <c r="D693" s="47"/>
      <c r="E693" s="143"/>
      <c r="H693" s="2"/>
      <c r="I693" s="30"/>
    </row>
    <row r="694" spans="4:9">
      <c r="D694" s="47"/>
      <c r="E694" s="143"/>
      <c r="H694" s="2"/>
      <c r="I694" s="30"/>
    </row>
    <row r="695" spans="4:9">
      <c r="D695" s="47"/>
      <c r="E695" s="143"/>
      <c r="H695" s="2"/>
      <c r="I695" s="30"/>
    </row>
    <row r="696" spans="4:9">
      <c r="D696" s="47"/>
      <c r="E696" s="143"/>
      <c r="H696" s="2"/>
      <c r="I696" s="30"/>
    </row>
    <row r="697" spans="4:9">
      <c r="D697" s="47"/>
      <c r="E697" s="143"/>
      <c r="H697" s="2"/>
      <c r="I697" s="30"/>
    </row>
    <row r="698" spans="4:9">
      <c r="D698" s="47"/>
      <c r="E698" s="143"/>
      <c r="H698" s="2"/>
      <c r="I698" s="30"/>
    </row>
    <row r="699" spans="4:9">
      <c r="D699" s="47"/>
      <c r="E699" s="143"/>
      <c r="H699" s="2"/>
      <c r="I699" s="30"/>
    </row>
    <row r="700" spans="4:9">
      <c r="D700" s="47"/>
      <c r="E700" s="143"/>
      <c r="H700" s="2"/>
      <c r="I700" s="30"/>
    </row>
    <row r="701" spans="4:9">
      <c r="D701" s="47"/>
      <c r="E701" s="143"/>
      <c r="H701" s="2"/>
      <c r="I701" s="30"/>
    </row>
    <row r="702" spans="4:9">
      <c r="D702" s="47"/>
      <c r="E702" s="143"/>
      <c r="H702" s="2"/>
      <c r="I702" s="30"/>
    </row>
    <row r="703" spans="4:9">
      <c r="D703" s="47"/>
      <c r="E703" s="143"/>
      <c r="H703" s="2"/>
      <c r="I703" s="30"/>
    </row>
    <row r="704" spans="4:9">
      <c r="D704" s="47"/>
      <c r="E704" s="143"/>
      <c r="H704" s="2"/>
      <c r="I704" s="30"/>
    </row>
    <row r="705" spans="4:9">
      <c r="D705" s="47"/>
      <c r="E705" s="143"/>
      <c r="H705" s="2"/>
      <c r="I705" s="30"/>
    </row>
    <row r="706" spans="4:9">
      <c r="D706" s="47"/>
      <c r="E706" s="143"/>
      <c r="H706" s="2"/>
      <c r="I706" s="30"/>
    </row>
    <row r="707" spans="4:9">
      <c r="D707" s="47"/>
      <c r="E707" s="143"/>
      <c r="H707" s="2"/>
      <c r="I707" s="30"/>
    </row>
    <row r="708" spans="4:9">
      <c r="D708" s="47"/>
      <c r="E708" s="143"/>
      <c r="H708" s="2"/>
      <c r="I708" s="30"/>
    </row>
    <row r="709" spans="4:9">
      <c r="D709" s="47"/>
      <c r="E709" s="143"/>
      <c r="H709" s="2"/>
      <c r="I709" s="30"/>
    </row>
    <row r="710" spans="4:9">
      <c r="D710" s="47"/>
      <c r="E710" s="143"/>
      <c r="H710" s="2"/>
      <c r="I710" s="30"/>
    </row>
    <row r="711" spans="4:9">
      <c r="D711" s="47"/>
      <c r="E711" s="143"/>
      <c r="H711" s="2"/>
      <c r="I711" s="30"/>
    </row>
    <row r="712" spans="4:9">
      <c r="D712" s="47"/>
      <c r="E712" s="143"/>
      <c r="H712" s="2"/>
      <c r="I712" s="30"/>
    </row>
    <row r="713" spans="4:9">
      <c r="D713" s="47"/>
      <c r="E713" s="143"/>
      <c r="H713" s="2"/>
      <c r="I713" s="30"/>
    </row>
    <row r="714" spans="4:9">
      <c r="D714" s="47"/>
      <c r="E714" s="143"/>
      <c r="H714" s="2"/>
      <c r="I714" s="30"/>
    </row>
    <row r="715" spans="4:9">
      <c r="D715" s="47"/>
      <c r="E715" s="143"/>
      <c r="H715" s="2"/>
      <c r="I715" s="30"/>
    </row>
    <row r="716" spans="4:9">
      <c r="D716" s="47"/>
      <c r="E716" s="143"/>
      <c r="H716" s="2"/>
      <c r="I716" s="30"/>
    </row>
    <row r="717" spans="4:9">
      <c r="D717" s="47"/>
      <c r="E717" s="143"/>
      <c r="H717" s="2"/>
      <c r="I717" s="30"/>
    </row>
    <row r="718" spans="4:9">
      <c r="D718" s="47"/>
      <c r="E718" s="143"/>
      <c r="H718" s="2"/>
      <c r="I718" s="30"/>
    </row>
    <row r="719" spans="4:9">
      <c r="D719" s="47"/>
      <c r="E719" s="143"/>
      <c r="H719" s="2"/>
      <c r="I719" s="30"/>
    </row>
    <row r="720" spans="4:9">
      <c r="D720" s="47"/>
      <c r="E720" s="143"/>
      <c r="H720" s="2"/>
      <c r="I720" s="30"/>
    </row>
    <row r="721" spans="4:9">
      <c r="D721" s="47"/>
      <c r="E721" s="143"/>
      <c r="H721" s="2"/>
      <c r="I721" s="30"/>
    </row>
    <row r="722" spans="4:9">
      <c r="D722" s="47"/>
      <c r="E722" s="143"/>
      <c r="H722" s="2"/>
      <c r="I722" s="30"/>
    </row>
    <row r="723" spans="4:9">
      <c r="D723" s="47"/>
      <c r="E723" s="143"/>
      <c r="H723" s="2"/>
      <c r="I723" s="30"/>
    </row>
    <row r="724" spans="4:9">
      <c r="D724" s="47"/>
      <c r="E724" s="143"/>
      <c r="H724" s="2"/>
      <c r="I724" s="30"/>
    </row>
    <row r="725" spans="4:9">
      <c r="D725" s="47"/>
      <c r="E725" s="143"/>
      <c r="H725" s="2"/>
      <c r="I725" s="30"/>
    </row>
    <row r="726" spans="4:9">
      <c r="D726" s="47"/>
      <c r="E726" s="143"/>
      <c r="H726" s="2"/>
      <c r="I726" s="30"/>
    </row>
    <row r="727" spans="4:9">
      <c r="D727" s="47"/>
      <c r="E727" s="143"/>
      <c r="H727" s="2"/>
      <c r="I727" s="30"/>
    </row>
    <row r="728" spans="4:9">
      <c r="D728" s="47"/>
      <c r="E728" s="143"/>
      <c r="H728" s="2"/>
      <c r="I728" s="30"/>
    </row>
    <row r="729" spans="4:9">
      <c r="D729" s="47"/>
      <c r="E729" s="143"/>
      <c r="H729" s="2"/>
      <c r="I729" s="30"/>
    </row>
    <row r="730" spans="4:9">
      <c r="D730" s="47"/>
      <c r="E730" s="143"/>
      <c r="H730" s="2"/>
      <c r="I730" s="30"/>
    </row>
    <row r="731" spans="4:9">
      <c r="D731" s="47"/>
      <c r="E731" s="143"/>
      <c r="H731" s="2"/>
      <c r="I731" s="30"/>
    </row>
    <row r="732" spans="4:9">
      <c r="D732" s="47"/>
      <c r="E732" s="143"/>
      <c r="H732" s="2"/>
      <c r="I732" s="30"/>
    </row>
    <row r="733" spans="4:9">
      <c r="D733" s="47"/>
      <c r="E733" s="143"/>
      <c r="H733" s="2"/>
      <c r="I733" s="30"/>
    </row>
    <row r="734" spans="4:9">
      <c r="D734" s="47"/>
      <c r="E734" s="143"/>
      <c r="H734" s="2"/>
      <c r="I734" s="30"/>
    </row>
    <row r="735" spans="4:9">
      <c r="D735" s="47"/>
      <c r="E735" s="143"/>
      <c r="H735" s="2"/>
      <c r="I735" s="30"/>
    </row>
    <row r="736" spans="4:9">
      <c r="D736" s="47"/>
      <c r="E736" s="143"/>
      <c r="H736" s="2"/>
      <c r="I736" s="30"/>
    </row>
    <row r="737" spans="4:9">
      <c r="D737" s="47"/>
      <c r="E737" s="143"/>
      <c r="H737" s="2"/>
      <c r="I737" s="30"/>
    </row>
    <row r="738" spans="4:9">
      <c r="D738" s="47"/>
      <c r="E738" s="143"/>
      <c r="H738" s="2"/>
      <c r="I738" s="30"/>
    </row>
    <row r="739" spans="4:9">
      <c r="D739" s="47"/>
      <c r="E739" s="143"/>
      <c r="H739" s="2"/>
      <c r="I739" s="30"/>
    </row>
    <row r="740" spans="4:9">
      <c r="D740" s="47"/>
      <c r="E740" s="143"/>
      <c r="H740" s="2"/>
      <c r="I740" s="30"/>
    </row>
    <row r="741" spans="4:9">
      <c r="D741" s="47"/>
      <c r="E741" s="143"/>
      <c r="H741" s="2"/>
      <c r="I741" s="30"/>
    </row>
    <row r="742" spans="4:9">
      <c r="D742" s="47"/>
      <c r="E742" s="143"/>
      <c r="H742" s="2"/>
      <c r="I742" s="30"/>
    </row>
    <row r="743" spans="4:9">
      <c r="D743" s="47"/>
      <c r="E743" s="143"/>
      <c r="H743" s="2"/>
      <c r="I743" s="30"/>
    </row>
    <row r="744" spans="4:9">
      <c r="D744" s="47"/>
      <c r="E744" s="143"/>
      <c r="H744" s="2"/>
      <c r="I744" s="30"/>
    </row>
    <row r="745" spans="4:9">
      <c r="D745" s="47"/>
      <c r="E745" s="143"/>
      <c r="H745" s="2"/>
      <c r="I745" s="30"/>
    </row>
    <row r="746" spans="4:9">
      <c r="D746" s="47"/>
      <c r="E746" s="143"/>
      <c r="H746" s="2"/>
      <c r="I746" s="30"/>
    </row>
    <row r="747" spans="4:9">
      <c r="D747" s="47"/>
      <c r="E747" s="143"/>
      <c r="H747" s="2"/>
      <c r="I747" s="30"/>
    </row>
    <row r="748" spans="4:9">
      <c r="D748" s="47"/>
      <c r="E748" s="143"/>
      <c r="H748" s="2"/>
      <c r="I748" s="30"/>
    </row>
    <row r="749" spans="4:9">
      <c r="D749" s="47"/>
      <c r="E749" s="143"/>
      <c r="H749" s="2"/>
      <c r="I749" s="30"/>
    </row>
    <row r="750" spans="4:9">
      <c r="D750" s="47"/>
      <c r="E750" s="143"/>
      <c r="H750" s="2"/>
      <c r="I750" s="30"/>
    </row>
    <row r="751" spans="4:9">
      <c r="D751" s="47"/>
      <c r="E751" s="143"/>
      <c r="H751" s="2"/>
      <c r="I751" s="30"/>
    </row>
    <row r="752" spans="4:9">
      <c r="D752" s="47"/>
      <c r="E752" s="143"/>
      <c r="H752" s="2"/>
      <c r="I752" s="30"/>
    </row>
    <row r="753" spans="4:9">
      <c r="D753" s="47"/>
      <c r="E753" s="143"/>
      <c r="H753" s="2"/>
      <c r="I753" s="30"/>
    </row>
    <row r="754" spans="4:9">
      <c r="D754" s="47"/>
      <c r="E754" s="143"/>
      <c r="H754" s="2"/>
      <c r="I754" s="30"/>
    </row>
    <row r="755" spans="4:9">
      <c r="D755" s="47"/>
      <c r="E755" s="143"/>
      <c r="H755" s="2"/>
      <c r="I755" s="30"/>
    </row>
    <row r="756" spans="4:9">
      <c r="D756" s="47"/>
      <c r="E756" s="143"/>
      <c r="H756" s="2"/>
      <c r="I756" s="30"/>
    </row>
    <row r="757" spans="4:9">
      <c r="D757" s="47"/>
      <c r="E757" s="143"/>
      <c r="H757" s="2"/>
      <c r="I757" s="30"/>
    </row>
    <row r="758" spans="4:9">
      <c r="D758" s="47"/>
      <c r="E758" s="143"/>
      <c r="H758" s="2"/>
      <c r="I758" s="30"/>
    </row>
    <row r="759" spans="4:9">
      <c r="D759" s="47"/>
      <c r="E759" s="143"/>
      <c r="H759" s="2"/>
      <c r="I759" s="30"/>
    </row>
    <row r="760" spans="4:9">
      <c r="D760" s="47"/>
      <c r="E760" s="143"/>
      <c r="H760" s="2"/>
      <c r="I760" s="30"/>
    </row>
    <row r="761" spans="4:9">
      <c r="D761" s="47"/>
      <c r="E761" s="143"/>
      <c r="H761" s="2"/>
      <c r="I761" s="30"/>
    </row>
    <row r="762" spans="4:9">
      <c r="D762" s="47"/>
      <c r="E762" s="143"/>
      <c r="H762" s="2"/>
      <c r="I762" s="30"/>
    </row>
    <row r="763" spans="4:9">
      <c r="D763" s="47"/>
      <c r="E763" s="143"/>
      <c r="H763" s="2"/>
      <c r="I763" s="30"/>
    </row>
    <row r="764" spans="4:9">
      <c r="D764" s="47"/>
      <c r="E764" s="143"/>
      <c r="H764" s="2"/>
      <c r="I764" s="30"/>
    </row>
    <row r="765" spans="4:9">
      <c r="D765" s="47"/>
      <c r="E765" s="143"/>
      <c r="H765" s="2"/>
      <c r="I765" s="30"/>
    </row>
    <row r="766" spans="4:9">
      <c r="D766" s="47"/>
      <c r="E766" s="143"/>
      <c r="H766" s="2"/>
      <c r="I766" s="30"/>
    </row>
    <row r="767" spans="4:9">
      <c r="D767" s="47"/>
      <c r="E767" s="143"/>
      <c r="H767" s="2"/>
      <c r="I767" s="30"/>
    </row>
    <row r="768" spans="4:9">
      <c r="D768" s="47"/>
      <c r="E768" s="143"/>
      <c r="H768" s="2"/>
      <c r="I768" s="30"/>
    </row>
    <row r="769" spans="4:9">
      <c r="D769" s="47"/>
      <c r="E769" s="143"/>
      <c r="H769" s="2"/>
      <c r="I769" s="30"/>
    </row>
    <row r="770" spans="4:9">
      <c r="D770" s="47"/>
      <c r="E770" s="143"/>
      <c r="H770" s="2"/>
      <c r="I770" s="30"/>
    </row>
    <row r="771" spans="4:9">
      <c r="D771" s="47"/>
      <c r="E771" s="143"/>
      <c r="H771" s="2"/>
      <c r="I771" s="30"/>
    </row>
    <row r="772" spans="4:9">
      <c r="D772" s="47"/>
      <c r="E772" s="143"/>
      <c r="H772" s="2"/>
      <c r="I772" s="30"/>
    </row>
    <row r="773" spans="4:9">
      <c r="D773" s="47"/>
      <c r="E773" s="143"/>
      <c r="H773" s="2"/>
      <c r="I773" s="30"/>
    </row>
    <row r="774" spans="4:9">
      <c r="D774" s="47"/>
      <c r="E774" s="143"/>
      <c r="H774" s="2"/>
      <c r="I774" s="30"/>
    </row>
    <row r="775" spans="4:9">
      <c r="D775" s="47"/>
      <c r="E775" s="143"/>
      <c r="H775" s="2"/>
      <c r="I775" s="30"/>
    </row>
    <row r="776" spans="4:9">
      <c r="D776" s="47"/>
      <c r="E776" s="143"/>
      <c r="H776" s="2"/>
      <c r="I776" s="30"/>
    </row>
    <row r="777" spans="4:9">
      <c r="D777" s="47"/>
      <c r="E777" s="143"/>
      <c r="H777" s="2"/>
      <c r="I777" s="30"/>
    </row>
    <row r="778" spans="4:9">
      <c r="D778" s="47"/>
      <c r="E778" s="143"/>
      <c r="H778" s="2"/>
      <c r="I778" s="30"/>
    </row>
    <row r="779" spans="4:9">
      <c r="D779" s="47"/>
      <c r="E779" s="143"/>
      <c r="H779" s="2"/>
      <c r="I779" s="30"/>
    </row>
    <row r="780" spans="4:9">
      <c r="D780" s="47"/>
      <c r="E780" s="143"/>
      <c r="H780" s="2"/>
      <c r="I780" s="30"/>
    </row>
    <row r="781" spans="4:9">
      <c r="D781" s="47"/>
      <c r="E781" s="143"/>
      <c r="H781" s="2"/>
      <c r="I781" s="30"/>
    </row>
    <row r="782" spans="4:9">
      <c r="D782" s="47"/>
      <c r="E782" s="143"/>
      <c r="H782" s="2"/>
      <c r="I782" s="30"/>
    </row>
    <row r="783" spans="4:9">
      <c r="D783" s="47"/>
      <c r="E783" s="143"/>
      <c r="H783" s="2"/>
      <c r="I783" s="30"/>
    </row>
    <row r="784" spans="4:9">
      <c r="D784" s="47"/>
      <c r="E784" s="143"/>
      <c r="H784" s="2"/>
      <c r="I784" s="30"/>
    </row>
    <row r="785" spans="4:9">
      <c r="D785" s="47"/>
      <c r="E785" s="143"/>
      <c r="H785" s="2"/>
      <c r="I785" s="30"/>
    </row>
    <row r="786" spans="4:9">
      <c r="D786" s="47"/>
      <c r="E786" s="143"/>
      <c r="H786" s="2"/>
      <c r="I786" s="30"/>
    </row>
    <row r="787" spans="4:9">
      <c r="D787" s="47"/>
      <c r="E787" s="143"/>
      <c r="H787" s="2"/>
      <c r="I787" s="30"/>
    </row>
    <row r="788" spans="4:9">
      <c r="D788" s="47"/>
      <c r="E788" s="143"/>
      <c r="H788" s="2"/>
      <c r="I788" s="30"/>
    </row>
    <row r="789" spans="4:9">
      <c r="D789" s="47"/>
      <c r="E789" s="143"/>
      <c r="H789" s="2"/>
      <c r="I789" s="30"/>
    </row>
    <row r="790" spans="4:9">
      <c r="D790" s="47"/>
      <c r="E790" s="143"/>
      <c r="H790" s="2"/>
      <c r="I790" s="30"/>
    </row>
    <row r="791" spans="4:9">
      <c r="D791" s="47"/>
      <c r="E791" s="143"/>
      <c r="H791" s="2"/>
      <c r="I791" s="30"/>
    </row>
    <row r="792" spans="4:9">
      <c r="D792" s="47"/>
      <c r="E792" s="143"/>
      <c r="H792" s="2"/>
      <c r="I792" s="30"/>
    </row>
    <row r="793" spans="4:9">
      <c r="D793" s="47"/>
      <c r="E793" s="143"/>
      <c r="H793" s="2"/>
      <c r="I793" s="30"/>
    </row>
    <row r="794" spans="4:9">
      <c r="D794" s="47"/>
      <c r="E794" s="143"/>
      <c r="H794" s="2"/>
      <c r="I794" s="30"/>
    </row>
    <row r="795" spans="4:9">
      <c r="D795" s="47"/>
      <c r="E795" s="143"/>
      <c r="H795" s="2"/>
      <c r="I795" s="30"/>
    </row>
    <row r="796" spans="4:9">
      <c r="D796" s="47"/>
      <c r="E796" s="143"/>
      <c r="H796" s="2"/>
      <c r="I796" s="30"/>
    </row>
    <row r="797" spans="4:9">
      <c r="D797" s="47"/>
      <c r="E797" s="143"/>
      <c r="H797" s="2"/>
      <c r="I797" s="30"/>
    </row>
    <row r="798" spans="4:9">
      <c r="D798" s="47"/>
      <c r="E798" s="143"/>
      <c r="H798" s="2"/>
      <c r="I798" s="30"/>
    </row>
    <row r="799" spans="4:9">
      <c r="D799" s="47"/>
      <c r="E799" s="143"/>
      <c r="H799" s="2"/>
      <c r="I799" s="30"/>
    </row>
    <row r="800" spans="4:9">
      <c r="D800" s="47"/>
      <c r="E800" s="143"/>
      <c r="H800" s="2"/>
      <c r="I800" s="30"/>
    </row>
    <row r="801" spans="4:9">
      <c r="D801" s="47"/>
      <c r="E801" s="143"/>
      <c r="H801" s="2"/>
      <c r="I801" s="30"/>
    </row>
    <row r="802" spans="4:9">
      <c r="D802" s="47"/>
      <c r="E802" s="143"/>
      <c r="H802" s="2"/>
      <c r="I802" s="30"/>
    </row>
    <row r="803" spans="4:9">
      <c r="D803" s="47"/>
      <c r="E803" s="143"/>
      <c r="H803" s="2"/>
      <c r="I803" s="30"/>
    </row>
    <row r="804" spans="4:9">
      <c r="D804" s="47"/>
      <c r="E804" s="143"/>
      <c r="H804" s="2"/>
      <c r="I804" s="30"/>
    </row>
    <row r="805" spans="4:9">
      <c r="D805" s="47"/>
      <c r="E805" s="143"/>
      <c r="H805" s="2"/>
      <c r="I805" s="30"/>
    </row>
    <row r="806" spans="4:9">
      <c r="D806" s="47"/>
      <c r="E806" s="143"/>
      <c r="H806" s="2"/>
      <c r="I806" s="30"/>
    </row>
    <row r="807" spans="4:9">
      <c r="D807" s="47"/>
      <c r="E807" s="143"/>
      <c r="H807" s="2"/>
      <c r="I807" s="30"/>
    </row>
    <row r="808" spans="4:9">
      <c r="D808" s="47"/>
      <c r="E808" s="143"/>
      <c r="H808" s="2"/>
      <c r="I808" s="30"/>
    </row>
    <row r="809" spans="4:9">
      <c r="D809" s="47"/>
      <c r="E809" s="143"/>
      <c r="H809" s="2"/>
      <c r="I809" s="30"/>
    </row>
    <row r="810" spans="4:9">
      <c r="D810" s="47"/>
      <c r="E810" s="143"/>
      <c r="H810" s="2"/>
      <c r="I810" s="30"/>
    </row>
    <row r="811" spans="4:9">
      <c r="D811" s="47"/>
      <c r="E811" s="143"/>
      <c r="H811" s="2"/>
      <c r="I811" s="30"/>
    </row>
    <row r="812" spans="4:9">
      <c r="D812" s="47"/>
      <c r="E812" s="143"/>
      <c r="H812" s="2"/>
      <c r="I812" s="30"/>
    </row>
    <row r="813" spans="4:9">
      <c r="D813" s="47"/>
      <c r="E813" s="143"/>
      <c r="H813" s="2"/>
      <c r="I813" s="30"/>
    </row>
    <row r="814" spans="4:9">
      <c r="D814" s="47"/>
      <c r="E814" s="143"/>
      <c r="H814" s="2"/>
      <c r="I814" s="30"/>
    </row>
    <row r="815" spans="4:9">
      <c r="D815" s="47"/>
      <c r="E815" s="143"/>
      <c r="H815" s="2"/>
      <c r="I815" s="30"/>
    </row>
    <row r="816" spans="4:9">
      <c r="D816" s="47"/>
      <c r="E816" s="143"/>
      <c r="H816" s="2"/>
      <c r="I816" s="30"/>
    </row>
    <row r="817" spans="4:9">
      <c r="D817" s="47"/>
      <c r="E817" s="143"/>
      <c r="H817" s="2"/>
      <c r="I817" s="30"/>
    </row>
    <row r="818" spans="4:9">
      <c r="D818" s="47"/>
      <c r="E818" s="143"/>
      <c r="H818" s="2"/>
      <c r="I818" s="30"/>
    </row>
    <row r="819" spans="4:9">
      <c r="D819" s="47"/>
      <c r="E819" s="143"/>
      <c r="H819" s="2"/>
      <c r="I819" s="30"/>
    </row>
    <row r="820" spans="4:9">
      <c r="D820" s="47"/>
      <c r="E820" s="143"/>
      <c r="H820" s="2"/>
      <c r="I820" s="30"/>
    </row>
    <row r="821" spans="4:9">
      <c r="D821" s="47"/>
      <c r="E821" s="143"/>
      <c r="H821" s="2"/>
      <c r="I821" s="30"/>
    </row>
    <row r="822" spans="4:9">
      <c r="D822" s="47"/>
      <c r="E822" s="143"/>
      <c r="H822" s="2"/>
      <c r="I822" s="30"/>
    </row>
    <row r="823" spans="4:9">
      <c r="D823" s="47"/>
      <c r="E823" s="143"/>
      <c r="H823" s="2"/>
      <c r="I823" s="30"/>
    </row>
    <row r="824" spans="4:9">
      <c r="D824" s="47"/>
      <c r="E824" s="143"/>
      <c r="H824" s="2"/>
      <c r="I824" s="30"/>
    </row>
    <row r="825" spans="4:9">
      <c r="D825" s="47"/>
      <c r="E825" s="143"/>
      <c r="H825" s="2"/>
      <c r="I825" s="30"/>
    </row>
    <row r="826" spans="4:9">
      <c r="D826" s="47"/>
      <c r="E826" s="143"/>
      <c r="H826" s="2"/>
      <c r="I826" s="30"/>
    </row>
    <row r="827" spans="4:9">
      <c r="D827" s="47"/>
      <c r="E827" s="143"/>
      <c r="H827" s="2"/>
      <c r="I827" s="30"/>
    </row>
    <row r="828" spans="4:9">
      <c r="D828" s="47"/>
      <c r="E828" s="143"/>
      <c r="H828" s="2"/>
      <c r="I828" s="30"/>
    </row>
    <row r="829" spans="4:9">
      <c r="D829" s="47"/>
      <c r="E829" s="143"/>
      <c r="H829" s="2"/>
      <c r="I829" s="30"/>
    </row>
    <row r="830" spans="4:9">
      <c r="D830" s="47"/>
      <c r="E830" s="143"/>
      <c r="H830" s="2"/>
      <c r="I830" s="30"/>
    </row>
    <row r="831" spans="4:9">
      <c r="D831" s="47"/>
      <c r="E831" s="143"/>
      <c r="H831" s="2"/>
      <c r="I831" s="30"/>
    </row>
    <row r="832" spans="4:9">
      <c r="D832" s="47"/>
      <c r="E832" s="143"/>
      <c r="H832" s="2"/>
      <c r="I832" s="30"/>
    </row>
    <row r="833" spans="4:9">
      <c r="D833" s="47"/>
      <c r="E833" s="143"/>
      <c r="H833" s="2"/>
      <c r="I833" s="30"/>
    </row>
    <row r="834" spans="4:9">
      <c r="D834" s="47"/>
      <c r="E834" s="143"/>
      <c r="H834" s="2"/>
      <c r="I834" s="30"/>
    </row>
    <row r="835" spans="4:9">
      <c r="D835" s="47"/>
      <c r="E835" s="143"/>
      <c r="H835" s="2"/>
      <c r="I835" s="30"/>
    </row>
    <row r="836" spans="4:9">
      <c r="D836" s="47"/>
      <c r="E836" s="143"/>
      <c r="H836" s="2"/>
      <c r="I836" s="30"/>
    </row>
    <row r="837" spans="4:9">
      <c r="D837" s="47"/>
      <c r="E837" s="143"/>
      <c r="H837" s="2"/>
      <c r="I837" s="30"/>
    </row>
    <row r="838" spans="4:9">
      <c r="D838" s="47"/>
      <c r="E838" s="143"/>
      <c r="H838" s="2"/>
      <c r="I838" s="30"/>
    </row>
    <row r="839" spans="4:9">
      <c r="D839" s="47"/>
      <c r="E839" s="143"/>
      <c r="H839" s="2"/>
      <c r="I839" s="30"/>
    </row>
    <row r="840" spans="4:9">
      <c r="D840" s="47"/>
      <c r="E840" s="143"/>
      <c r="H840" s="2"/>
      <c r="I840" s="30"/>
    </row>
    <row r="841" spans="4:9">
      <c r="D841" s="47"/>
      <c r="E841" s="143"/>
      <c r="H841" s="2"/>
      <c r="I841" s="30"/>
    </row>
    <row r="842" spans="4:9">
      <c r="D842" s="47"/>
      <c r="E842" s="143"/>
      <c r="H842" s="2"/>
      <c r="I842" s="30"/>
    </row>
    <row r="843" spans="4:9">
      <c r="D843" s="47"/>
      <c r="E843" s="143"/>
      <c r="H843" s="2"/>
      <c r="I843" s="30"/>
    </row>
    <row r="844" spans="4:9">
      <c r="D844" s="47"/>
      <c r="E844" s="143"/>
      <c r="H844" s="2"/>
      <c r="I844" s="30"/>
    </row>
    <row r="845" spans="4:9">
      <c r="D845" s="47"/>
      <c r="E845" s="143"/>
      <c r="H845" s="2"/>
      <c r="I845" s="30"/>
    </row>
    <row r="846" spans="4:9">
      <c r="D846" s="47"/>
      <c r="E846" s="143"/>
      <c r="H846" s="2"/>
      <c r="I846" s="30"/>
    </row>
    <row r="847" spans="4:9">
      <c r="D847" s="47"/>
      <c r="E847" s="143"/>
      <c r="H847" s="2"/>
      <c r="I847" s="30"/>
    </row>
    <row r="848" spans="4:9">
      <c r="D848" s="47"/>
      <c r="E848" s="143"/>
      <c r="H848" s="2"/>
      <c r="I848" s="30"/>
    </row>
    <row r="849" spans="4:9">
      <c r="D849" s="47"/>
      <c r="E849" s="143"/>
      <c r="H849" s="2"/>
      <c r="I849" s="30"/>
    </row>
    <row r="850" spans="4:9">
      <c r="D850" s="47"/>
      <c r="E850" s="143"/>
      <c r="H850" s="2"/>
      <c r="I850" s="30"/>
    </row>
    <row r="851" spans="4:9">
      <c r="D851" s="47"/>
      <c r="E851" s="143"/>
      <c r="H851" s="2"/>
      <c r="I851" s="30"/>
    </row>
    <row r="852" spans="4:9">
      <c r="D852" s="47"/>
      <c r="E852" s="143"/>
      <c r="H852" s="2"/>
      <c r="I852" s="30"/>
    </row>
    <row r="853" spans="4:9">
      <c r="D853" s="47"/>
      <c r="E853" s="143"/>
      <c r="H853" s="2"/>
      <c r="I853" s="30"/>
    </row>
    <row r="854" spans="4:9">
      <c r="D854" s="47"/>
      <c r="E854" s="143"/>
      <c r="H854" s="2"/>
      <c r="I854" s="30"/>
    </row>
    <row r="855" spans="4:9">
      <c r="D855" s="47"/>
      <c r="E855" s="143"/>
      <c r="H855" s="2"/>
      <c r="I855" s="30"/>
    </row>
    <row r="856" spans="4:9">
      <c r="D856" s="47"/>
      <c r="E856" s="143"/>
      <c r="H856" s="2"/>
      <c r="I856" s="30"/>
    </row>
    <row r="857" spans="4:9">
      <c r="D857" s="47"/>
      <c r="E857" s="143"/>
      <c r="H857" s="2"/>
      <c r="I857" s="30"/>
    </row>
    <row r="858" spans="4:9">
      <c r="D858" s="47"/>
      <c r="E858" s="143"/>
      <c r="H858" s="2"/>
      <c r="I858" s="30"/>
    </row>
    <row r="859" spans="4:9">
      <c r="D859" s="47"/>
      <c r="E859" s="143"/>
      <c r="H859" s="2"/>
      <c r="I859" s="30"/>
    </row>
    <row r="860" spans="4:9">
      <c r="D860" s="47"/>
      <c r="E860" s="143"/>
      <c r="H860" s="2"/>
      <c r="I860" s="30"/>
    </row>
    <row r="861" spans="4:9">
      <c r="D861" s="47"/>
      <c r="E861" s="143"/>
      <c r="H861" s="2"/>
      <c r="I861" s="30"/>
    </row>
    <row r="862" spans="4:9">
      <c r="D862" s="47"/>
      <c r="E862" s="143"/>
      <c r="H862" s="2"/>
      <c r="I862" s="30"/>
    </row>
    <row r="863" spans="4:9">
      <c r="D863" s="47"/>
      <c r="E863" s="143"/>
      <c r="H863" s="2"/>
      <c r="I863" s="30"/>
    </row>
    <row r="864" spans="4:9">
      <c r="D864" s="47"/>
      <c r="E864" s="143"/>
      <c r="H864" s="2"/>
      <c r="I864" s="30"/>
    </row>
    <row r="865" spans="4:9">
      <c r="D865" s="47"/>
      <c r="E865" s="143"/>
      <c r="H865" s="2"/>
      <c r="I865" s="30"/>
    </row>
    <row r="866" spans="4:9">
      <c r="D866" s="47"/>
      <c r="E866" s="143"/>
      <c r="H866" s="2"/>
      <c r="I866" s="30"/>
    </row>
    <row r="867" spans="4:9">
      <c r="D867" s="47"/>
      <c r="E867" s="143"/>
      <c r="H867" s="2"/>
      <c r="I867" s="30"/>
    </row>
    <row r="868" spans="4:9">
      <c r="D868" s="47"/>
      <c r="E868" s="143"/>
      <c r="H868" s="2"/>
      <c r="I868" s="30"/>
    </row>
    <row r="869" spans="4:9">
      <c r="D869" s="47"/>
      <c r="E869" s="143"/>
      <c r="H869" s="2"/>
      <c r="I869" s="30"/>
    </row>
    <row r="870" spans="4:9">
      <c r="D870" s="47"/>
      <c r="E870" s="143"/>
      <c r="H870" s="2"/>
      <c r="I870" s="30"/>
    </row>
    <row r="871" spans="4:9">
      <c r="D871" s="47"/>
      <c r="E871" s="143"/>
      <c r="H871" s="2"/>
      <c r="I871" s="30"/>
    </row>
    <row r="872" spans="4:9">
      <c r="D872" s="47"/>
      <c r="E872" s="143"/>
      <c r="H872" s="2"/>
      <c r="I872" s="30"/>
    </row>
    <row r="873" spans="4:9">
      <c r="D873" s="47"/>
      <c r="E873" s="143"/>
      <c r="H873" s="2"/>
      <c r="I873" s="30"/>
    </row>
    <row r="874" spans="4:9">
      <c r="D874" s="47"/>
      <c r="E874" s="143"/>
      <c r="H874" s="2"/>
      <c r="I874" s="30"/>
    </row>
    <row r="875" spans="4:9">
      <c r="D875" s="47"/>
      <c r="E875" s="143"/>
      <c r="H875" s="2"/>
      <c r="I875" s="30"/>
    </row>
    <row r="876" spans="4:9">
      <c r="D876" s="47"/>
      <c r="E876" s="143"/>
      <c r="H876" s="2"/>
      <c r="I876" s="30"/>
    </row>
    <row r="877" spans="4:9">
      <c r="D877" s="47"/>
      <c r="E877" s="143"/>
      <c r="H877" s="2"/>
      <c r="I877" s="30"/>
    </row>
    <row r="878" spans="4:9">
      <c r="D878" s="47"/>
      <c r="E878" s="143"/>
      <c r="H878" s="2"/>
      <c r="I878" s="30"/>
    </row>
    <row r="879" spans="4:9">
      <c r="D879" s="47"/>
      <c r="E879" s="143"/>
      <c r="H879" s="2"/>
      <c r="I879" s="30"/>
    </row>
    <row r="880" spans="4:9">
      <c r="D880" s="47"/>
      <c r="E880" s="143"/>
      <c r="H880" s="2"/>
      <c r="I880" s="30"/>
    </row>
    <row r="881" spans="4:9">
      <c r="D881" s="47"/>
      <c r="E881" s="143"/>
      <c r="H881" s="2"/>
      <c r="I881" s="30"/>
    </row>
    <row r="882" spans="4:9">
      <c r="D882" s="47"/>
      <c r="E882" s="143"/>
      <c r="H882" s="2"/>
      <c r="I882" s="30"/>
    </row>
    <row r="883" spans="4:9">
      <c r="D883" s="47"/>
      <c r="E883" s="143"/>
      <c r="H883" s="2"/>
      <c r="I883" s="30"/>
    </row>
    <row r="884" spans="4:9">
      <c r="D884" s="47"/>
      <c r="E884" s="143"/>
      <c r="H884" s="2"/>
      <c r="I884" s="30"/>
    </row>
    <row r="885" spans="4:9">
      <c r="D885" s="47"/>
      <c r="E885" s="143"/>
      <c r="H885" s="2"/>
      <c r="I885" s="30"/>
    </row>
    <row r="886" spans="4:9">
      <c r="D886" s="47"/>
      <c r="E886" s="143"/>
      <c r="H886" s="2"/>
      <c r="I886" s="30"/>
    </row>
    <row r="887" spans="4:9">
      <c r="D887" s="47"/>
      <c r="E887" s="143"/>
      <c r="H887" s="2"/>
      <c r="I887" s="30"/>
    </row>
    <row r="888" spans="4:9">
      <c r="D888" s="47"/>
      <c r="E888" s="143"/>
      <c r="H888" s="2"/>
      <c r="I888" s="30"/>
    </row>
    <row r="889" spans="4:9">
      <c r="D889" s="47"/>
      <c r="E889" s="143"/>
      <c r="H889" s="2"/>
      <c r="I889" s="30"/>
    </row>
    <row r="890" spans="4:9">
      <c r="D890" s="47"/>
      <c r="E890" s="143"/>
      <c r="H890" s="2"/>
      <c r="I890" s="30"/>
    </row>
    <row r="891" spans="4:9">
      <c r="D891" s="47"/>
      <c r="E891" s="143"/>
      <c r="H891" s="2"/>
      <c r="I891" s="30"/>
    </row>
    <row r="892" spans="4:9">
      <c r="D892" s="47"/>
      <c r="E892" s="143"/>
      <c r="H892" s="2"/>
      <c r="I892" s="30"/>
    </row>
    <row r="893" spans="4:9">
      <c r="D893" s="47"/>
      <c r="E893" s="143"/>
      <c r="H893" s="2"/>
      <c r="I893" s="30"/>
    </row>
    <row r="894" spans="4:9">
      <c r="D894" s="47"/>
      <c r="E894" s="143"/>
      <c r="H894" s="2"/>
      <c r="I894" s="30"/>
    </row>
    <row r="895" spans="4:9">
      <c r="D895" s="47"/>
      <c r="E895" s="143"/>
      <c r="H895" s="2"/>
      <c r="I895" s="30"/>
    </row>
    <row r="896" spans="4:9">
      <c r="D896" s="47"/>
      <c r="E896" s="143"/>
      <c r="H896" s="2"/>
      <c r="I896" s="30"/>
    </row>
    <row r="897" spans="4:9">
      <c r="D897" s="47"/>
      <c r="E897" s="143"/>
      <c r="H897" s="2"/>
      <c r="I897" s="30"/>
    </row>
    <row r="898" spans="4:9">
      <c r="D898" s="47"/>
      <c r="E898" s="143"/>
      <c r="H898" s="2"/>
      <c r="I898" s="30"/>
    </row>
    <row r="899" spans="4:9">
      <c r="D899" s="47"/>
      <c r="E899" s="143"/>
      <c r="H899" s="2"/>
      <c r="I899" s="30"/>
    </row>
    <row r="900" spans="4:9">
      <c r="D900" s="47"/>
      <c r="E900" s="143"/>
      <c r="H900" s="2"/>
      <c r="I900" s="30"/>
    </row>
    <row r="901" spans="4:9">
      <c r="D901" s="47"/>
      <c r="E901" s="143"/>
      <c r="H901" s="2"/>
      <c r="I901" s="30"/>
    </row>
    <row r="902" spans="4:9">
      <c r="D902" s="47"/>
      <c r="E902" s="143"/>
      <c r="H902" s="2"/>
      <c r="I902" s="30"/>
    </row>
    <row r="903" spans="4:9">
      <c r="D903" s="47"/>
      <c r="E903" s="143"/>
      <c r="H903" s="2"/>
      <c r="I903" s="30"/>
    </row>
    <row r="904" spans="4:9">
      <c r="D904" s="47"/>
      <c r="E904" s="143"/>
      <c r="H904" s="2"/>
      <c r="I904" s="30"/>
    </row>
    <row r="905" spans="4:9">
      <c r="D905" s="47"/>
      <c r="E905" s="143"/>
      <c r="H905" s="2"/>
      <c r="I905" s="30"/>
    </row>
    <row r="906" spans="4:9">
      <c r="D906" s="47"/>
      <c r="E906" s="143"/>
      <c r="H906" s="2"/>
      <c r="I906" s="30"/>
    </row>
    <row r="907" spans="4:9">
      <c r="D907" s="47"/>
      <c r="E907" s="143"/>
      <c r="H907" s="2"/>
      <c r="I907" s="30"/>
    </row>
    <row r="908" spans="4:9">
      <c r="D908" s="47"/>
      <c r="E908" s="143"/>
      <c r="H908" s="2"/>
      <c r="I908" s="30"/>
    </row>
    <row r="909" spans="4:9">
      <c r="D909" s="47"/>
      <c r="E909" s="143"/>
      <c r="H909" s="2"/>
      <c r="I909" s="30"/>
    </row>
    <row r="910" spans="4:9">
      <c r="D910" s="47"/>
      <c r="E910" s="143"/>
      <c r="H910" s="2"/>
      <c r="I910" s="30"/>
    </row>
    <row r="911" spans="4:9">
      <c r="D911" s="47"/>
      <c r="E911" s="143"/>
      <c r="H911" s="2"/>
      <c r="I911" s="30"/>
    </row>
    <row r="912" spans="4:9">
      <c r="D912" s="47"/>
      <c r="E912" s="143"/>
      <c r="H912" s="2"/>
      <c r="I912" s="30"/>
    </row>
    <row r="913" spans="4:9">
      <c r="D913" s="47"/>
      <c r="E913" s="143"/>
      <c r="H913" s="2"/>
      <c r="I913" s="30"/>
    </row>
    <row r="914" spans="4:9">
      <c r="D914" s="47"/>
      <c r="E914" s="143"/>
      <c r="H914" s="2"/>
      <c r="I914" s="30"/>
    </row>
    <row r="915" spans="4:9">
      <c r="D915" s="47"/>
      <c r="E915" s="143"/>
      <c r="H915" s="2"/>
      <c r="I915" s="30"/>
    </row>
    <row r="916" spans="4:9">
      <c r="D916" s="47"/>
      <c r="E916" s="143"/>
      <c r="H916" s="2"/>
      <c r="I916" s="30"/>
    </row>
    <row r="917" spans="4:9">
      <c r="D917" s="47"/>
      <c r="E917" s="143"/>
      <c r="H917" s="2"/>
      <c r="I917" s="30"/>
    </row>
    <row r="918" spans="4:9">
      <c r="D918" s="47"/>
      <c r="E918" s="143"/>
      <c r="H918" s="2"/>
      <c r="I918" s="30"/>
    </row>
    <row r="919" spans="4:9">
      <c r="D919" s="47"/>
      <c r="E919" s="143"/>
      <c r="H919" s="2"/>
      <c r="I919" s="30"/>
    </row>
    <row r="920" spans="4:9">
      <c r="D920" s="47"/>
      <c r="E920" s="143"/>
      <c r="H920" s="2"/>
      <c r="I920" s="30"/>
    </row>
    <row r="921" spans="4:9">
      <c r="D921" s="47"/>
      <c r="E921" s="143"/>
      <c r="H921" s="2"/>
      <c r="I921" s="30"/>
    </row>
    <row r="922" spans="4:9">
      <c r="D922" s="47"/>
      <c r="E922" s="143"/>
      <c r="H922" s="2"/>
      <c r="I922" s="30"/>
    </row>
    <row r="923" spans="4:9">
      <c r="D923" s="47"/>
      <c r="E923" s="143"/>
      <c r="H923" s="2"/>
      <c r="I923" s="30"/>
    </row>
    <row r="924" spans="4:9">
      <c r="D924" s="47"/>
      <c r="E924" s="143"/>
      <c r="H924" s="2"/>
      <c r="I924" s="30"/>
    </row>
    <row r="925" spans="4:9">
      <c r="D925" s="47"/>
      <c r="E925" s="143"/>
      <c r="H925" s="2"/>
      <c r="I925" s="30"/>
    </row>
    <row r="926" spans="4:9">
      <c r="D926" s="47"/>
      <c r="E926" s="143"/>
      <c r="H926" s="2"/>
      <c r="I926" s="30"/>
    </row>
    <row r="927" spans="4:9">
      <c r="D927" s="47"/>
      <c r="E927" s="143"/>
      <c r="H927" s="2"/>
      <c r="I927" s="30"/>
    </row>
    <row r="928" spans="4:9">
      <c r="D928" s="47"/>
      <c r="E928" s="143"/>
      <c r="H928" s="2"/>
      <c r="I928" s="30"/>
    </row>
    <row r="929" spans="4:15">
      <c r="D929" s="47"/>
      <c r="E929" s="143"/>
      <c r="H929" s="2"/>
      <c r="I929" s="30"/>
    </row>
    <row r="930" spans="4:15">
      <c r="D930" s="47"/>
      <c r="E930" s="143"/>
      <c r="H930" s="2"/>
      <c r="I930" s="30"/>
    </row>
    <row r="931" spans="4:15">
      <c r="D931" s="47"/>
      <c r="E931" s="143"/>
      <c r="H931" s="2"/>
      <c r="I931" s="30"/>
    </row>
    <row r="932" spans="4:15">
      <c r="D932" s="47"/>
      <c r="E932" s="143"/>
      <c r="H932" s="2"/>
      <c r="I932" s="30"/>
    </row>
    <row r="933" spans="4:15">
      <c r="D933" s="47"/>
      <c r="E933" s="143"/>
      <c r="H933" s="2"/>
      <c r="I933" s="30"/>
    </row>
    <row r="934" spans="4:15">
      <c r="D934" s="47"/>
      <c r="E934" s="143"/>
      <c r="H934" s="2"/>
      <c r="I934" s="30"/>
    </row>
    <row r="935" spans="4:15">
      <c r="D935" s="47"/>
      <c r="E935" s="143"/>
      <c r="H935" s="2"/>
      <c r="I935" s="30"/>
    </row>
    <row r="936" spans="4:15">
      <c r="D936" s="47"/>
      <c r="E936" s="143"/>
      <c r="H936" s="2"/>
      <c r="I936" s="30"/>
    </row>
    <row r="937" spans="4:15">
      <c r="D937" s="47"/>
      <c r="E937" s="143"/>
      <c r="H937" s="2"/>
      <c r="I937" s="30"/>
    </row>
    <row r="938" spans="4:15">
      <c r="D938" s="47"/>
      <c r="E938" s="143"/>
      <c r="H938" s="2"/>
      <c r="I938" s="30"/>
    </row>
    <row r="939" spans="4:15">
      <c r="D939" s="47"/>
      <c r="E939" s="143"/>
      <c r="H939" s="2"/>
      <c r="I939" s="30"/>
    </row>
    <row r="940" spans="4:15">
      <c r="D940" s="47"/>
      <c r="E940" s="143"/>
      <c r="H940" s="2"/>
      <c r="I940" s="30"/>
    </row>
    <row r="941" spans="4:15">
      <c r="D941" s="47"/>
      <c r="E941" s="143"/>
      <c r="H941" s="2"/>
      <c r="I941" s="30"/>
    </row>
    <row r="942" spans="4:15">
      <c r="K942" s="143"/>
      <c r="N942" s="2"/>
      <c r="O942" s="30"/>
    </row>
    <row r="943" spans="4:15">
      <c r="K943" s="143"/>
      <c r="N943" s="2"/>
      <c r="O943" s="30"/>
    </row>
    <row r="944" spans="4:15">
      <c r="K944" s="143"/>
      <c r="N944" s="2"/>
      <c r="O944" s="30"/>
    </row>
    <row r="945" spans="11:15">
      <c r="K945" s="143"/>
      <c r="N945" s="2"/>
      <c r="O945" s="30"/>
    </row>
    <row r="946" spans="11:15">
      <c r="K946" s="143"/>
      <c r="N946" s="2"/>
      <c r="O946" s="30"/>
    </row>
    <row r="947" spans="11:15">
      <c r="K947" s="143"/>
      <c r="N947" s="2"/>
      <c r="O947" s="30"/>
    </row>
    <row r="948" spans="11:15">
      <c r="K948" s="143"/>
      <c r="N948" s="2"/>
      <c r="O948" s="30"/>
    </row>
    <row r="949" spans="11:15">
      <c r="K949" s="143"/>
      <c r="N949" s="2"/>
      <c r="O949" s="30"/>
    </row>
    <row r="950" spans="11:15">
      <c r="K950" s="143"/>
      <c r="N950" s="2"/>
      <c r="O950" s="30"/>
    </row>
    <row r="951" spans="11:15">
      <c r="K951" s="143"/>
      <c r="N951" s="2"/>
      <c r="O951" s="30"/>
    </row>
    <row r="952" spans="11:15">
      <c r="K952" s="143"/>
      <c r="N952" s="2"/>
      <c r="O952" s="30"/>
    </row>
    <row r="953" spans="11:15">
      <c r="K953" s="143"/>
      <c r="N953" s="2"/>
      <c r="O953" s="30"/>
    </row>
    <row r="954" spans="11:15">
      <c r="K954" s="143"/>
      <c r="N954" s="2"/>
      <c r="O954" s="30"/>
    </row>
    <row r="955" spans="11:15">
      <c r="K955" s="143"/>
      <c r="N955" s="2"/>
      <c r="O955" s="30"/>
    </row>
    <row r="956" spans="11:15">
      <c r="K956" s="143"/>
      <c r="N956" s="2"/>
      <c r="O956" s="30"/>
    </row>
    <row r="957" spans="11:15">
      <c r="K957" s="143"/>
      <c r="N957" s="2"/>
      <c r="O957" s="30"/>
    </row>
    <row r="958" spans="11:15">
      <c r="K958" s="143"/>
      <c r="N958" s="2"/>
      <c r="O958" s="30"/>
    </row>
    <row r="959" spans="11:15">
      <c r="K959" s="143"/>
      <c r="N959" s="2"/>
      <c r="O959" s="30"/>
    </row>
    <row r="960" spans="11:15">
      <c r="K960" s="143"/>
      <c r="N960" s="2"/>
      <c r="O960" s="30"/>
    </row>
    <row r="961" spans="11:15">
      <c r="K961" s="143"/>
      <c r="N961" s="2"/>
      <c r="O961" s="30"/>
    </row>
    <row r="962" spans="11:15">
      <c r="K962" s="143"/>
      <c r="N962" s="2"/>
      <c r="O962" s="30"/>
    </row>
    <row r="963" spans="11:15">
      <c r="K963" s="143"/>
      <c r="N963" s="2"/>
      <c r="O963" s="30"/>
    </row>
  </sheetData>
  <hyperlinks>
    <hyperlink ref="M3" r:id="rId1" xr:uid="{E0C17666-36E3-4B6B-80DC-DE8F3348B921}"/>
    <hyperlink ref="M4" r:id="rId2" xr:uid="{5FF8661C-0943-4887-811F-9D9BAFBFACA1}"/>
    <hyperlink ref="M6" r:id="rId3" xr:uid="{4126B162-766E-48FE-9F12-5AABAA33B0C6}"/>
    <hyperlink ref="M5" r:id="rId4" xr:uid="{66876D58-7489-4BE0-BAB4-C95848070A37}"/>
  </hyperlinks>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2C6CF-0FB1-47F2-82ED-2770F4EDF03B}">
  <dimension ref="A1:Z4"/>
  <sheetViews>
    <sheetView workbookViewId="0">
      <selection activeCell="J2" sqref="J2"/>
    </sheetView>
  </sheetViews>
  <sheetFormatPr defaultRowHeight="12.75"/>
  <cols>
    <col min="2" max="2" width="19" customWidth="1"/>
    <col min="3" max="3" width="12.42578125" customWidth="1"/>
    <col min="4" max="4" width="18.28515625" customWidth="1"/>
    <col min="5" max="5" width="17" customWidth="1"/>
    <col min="6" max="6" width="46.85546875" customWidth="1"/>
    <col min="7" max="7" width="12.140625" customWidth="1"/>
    <col min="8" max="8" width="14.28515625" customWidth="1"/>
    <col min="9" max="9" width="17.140625" customWidth="1"/>
    <col min="10" max="10" width="13.85546875" customWidth="1"/>
    <col min="11" max="11" width="21.85546875" customWidth="1"/>
  </cols>
  <sheetData>
    <row r="1" spans="1:26" ht="40.5">
      <c r="A1" s="59" t="s">
        <v>254</v>
      </c>
      <c r="B1" s="154" t="s">
        <v>11</v>
      </c>
      <c r="C1" s="155" t="s">
        <v>322</v>
      </c>
      <c r="D1" s="154" t="s">
        <v>256</v>
      </c>
      <c r="E1" s="155" t="s">
        <v>324</v>
      </c>
      <c r="F1" s="155" t="s">
        <v>325</v>
      </c>
      <c r="G1" s="154" t="s">
        <v>326</v>
      </c>
      <c r="H1" s="154" t="s">
        <v>328</v>
      </c>
      <c r="I1" s="154" t="s">
        <v>259</v>
      </c>
      <c r="J1" s="156" t="s">
        <v>329</v>
      </c>
      <c r="K1" s="157" t="s">
        <v>280</v>
      </c>
      <c r="L1" s="35"/>
      <c r="M1" s="35"/>
      <c r="N1" s="35"/>
      <c r="O1" s="35"/>
      <c r="P1" s="35"/>
      <c r="Q1" s="35"/>
      <c r="R1" s="35"/>
      <c r="S1" s="35"/>
      <c r="T1" s="35"/>
      <c r="U1" s="35"/>
      <c r="V1" s="35"/>
      <c r="W1" s="35"/>
      <c r="X1" s="35"/>
      <c r="Y1" s="35"/>
      <c r="Z1" s="35"/>
    </row>
    <row r="2" spans="1:26">
      <c r="A2" s="318"/>
      <c r="B2" s="319"/>
      <c r="C2" s="256"/>
      <c r="D2" s="288"/>
      <c r="E2" s="244"/>
      <c r="F2" s="320"/>
      <c r="G2" s="244"/>
      <c r="H2" s="244"/>
      <c r="I2" s="244"/>
      <c r="J2" s="244"/>
      <c r="K2" s="244"/>
      <c r="L2" s="244"/>
      <c r="M2" s="244"/>
      <c r="N2" s="244"/>
      <c r="O2" s="244"/>
      <c r="P2" s="244"/>
      <c r="Q2" s="244"/>
      <c r="R2" s="244"/>
      <c r="S2" s="244"/>
      <c r="T2" s="244"/>
      <c r="U2" s="244"/>
      <c r="V2" s="244"/>
      <c r="W2" s="137"/>
      <c r="X2" s="137"/>
      <c r="Y2" s="137"/>
      <c r="Z2" s="137"/>
    </row>
    <row r="3" spans="1:26">
      <c r="A3" s="256"/>
      <c r="B3" s="319"/>
      <c r="C3" s="256"/>
      <c r="D3" s="288"/>
      <c r="E3" s="244"/>
      <c r="F3" s="321"/>
      <c r="G3" s="244"/>
      <c r="H3" s="244"/>
      <c r="I3" s="244"/>
      <c r="J3" s="244"/>
      <c r="K3" s="244"/>
      <c r="L3" s="137"/>
      <c r="M3" s="137"/>
      <c r="N3" s="137"/>
      <c r="O3" s="137"/>
      <c r="P3" s="137"/>
      <c r="Q3" s="137"/>
      <c r="R3" s="137"/>
      <c r="S3" s="137"/>
      <c r="T3" s="137"/>
      <c r="U3" s="137"/>
      <c r="V3" s="137"/>
      <c r="W3" s="137"/>
      <c r="X3" s="137"/>
      <c r="Y3" s="137"/>
      <c r="Z3" s="137"/>
    </row>
    <row r="4" spans="1:26">
      <c r="B4" s="3"/>
      <c r="D4" s="35"/>
      <c r="E4" s="35"/>
      <c r="F4" s="144"/>
      <c r="G4" s="35"/>
      <c r="H4" s="35"/>
      <c r="I4" s="35"/>
      <c r="J4" s="35"/>
      <c r="K4" s="35"/>
    </row>
  </sheetData>
  <dataValidations count="4">
    <dataValidation type="list" allowBlank="1" showErrorMessage="1" sqref="H2:H4" xr:uid="{DA6E8777-30E7-4474-8530-3C1025B0DB7E}">
      <formula1>"Internal,External"</formula1>
    </dataValidation>
    <dataValidation type="list" allowBlank="1" showErrorMessage="1" sqref="E2:E4" xr:uid="{000AFA25-17F5-4607-B9B5-B230DD78F318}">
      <formula1>"Bounceback,Defect,None"</formula1>
    </dataValidation>
    <dataValidation type="list" allowBlank="1" showErrorMessage="1" sqref="I2:I4" xr:uid="{E2CCE679-B4E7-463B-8ADC-B2BD32AA382C}">
      <formula1>"Open,Inprogress,Closed"</formula1>
    </dataValidation>
    <dataValidation type="list" allowBlank="1" showErrorMessage="1" sqref="G2:G4" xr:uid="{C80B4B17-4158-48E5-BD7B-71A731D1CD18}">
      <formula1>"Minor,Significant,Major"</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8E80D9EC-C42F-4BF7-A1FD-9B0CC194E549}">
          <x14:formula1>
            <xm:f>Details!$A$2:$A$10</xm:f>
          </x14:formula1>
          <xm:sqref>J2:J4</xm:sqref>
        </x14:dataValidation>
      </x14:dataValidations>
    </ext>
  </extLst>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107A7-A2A5-47A1-AAFD-CDE0DF9B7F2E}">
  <dimension ref="A1:Z4"/>
  <sheetViews>
    <sheetView workbookViewId="0"/>
  </sheetViews>
  <sheetFormatPr defaultRowHeight="12.75"/>
  <cols>
    <col min="1" max="1" width="7.5703125" customWidth="1"/>
    <col min="2" max="2" width="20" customWidth="1"/>
    <col min="3" max="3" width="17.7109375" customWidth="1"/>
    <col min="4" max="4" width="16.140625" customWidth="1"/>
    <col min="5" max="5" width="14.7109375" customWidth="1"/>
    <col min="6" max="6" width="53.85546875" customWidth="1"/>
    <col min="7" max="7" width="14.140625" customWidth="1"/>
    <col min="8" max="8" width="16.5703125" customWidth="1"/>
    <col min="9" max="9" width="19" customWidth="1"/>
    <col min="10" max="10" width="18.140625" customWidth="1"/>
    <col min="11" max="11" width="15.28515625" customWidth="1"/>
  </cols>
  <sheetData>
    <row r="1" spans="1:26" ht="13.5">
      <c r="A1" s="59" t="s">
        <v>254</v>
      </c>
      <c r="B1" s="154" t="s">
        <v>11</v>
      </c>
      <c r="C1" s="155" t="s">
        <v>322</v>
      </c>
      <c r="D1" s="154" t="s">
        <v>256</v>
      </c>
      <c r="E1" s="155" t="s">
        <v>324</v>
      </c>
      <c r="F1" s="155" t="s">
        <v>325</v>
      </c>
      <c r="G1" s="154" t="s">
        <v>326</v>
      </c>
      <c r="H1" s="154" t="s">
        <v>328</v>
      </c>
      <c r="I1" s="154" t="s">
        <v>259</v>
      </c>
      <c r="J1" s="156" t="s">
        <v>329</v>
      </c>
      <c r="K1" s="157" t="s">
        <v>280</v>
      </c>
      <c r="L1" s="35"/>
      <c r="M1" s="35"/>
      <c r="N1" s="35"/>
      <c r="O1" s="35"/>
      <c r="P1" s="35"/>
      <c r="Q1" s="35"/>
      <c r="R1" s="35"/>
      <c r="S1" s="35"/>
      <c r="T1" s="35"/>
      <c r="U1" s="35"/>
      <c r="V1" s="35"/>
      <c r="W1" s="35"/>
      <c r="X1" s="35"/>
      <c r="Y1" s="35"/>
      <c r="Z1" s="35"/>
    </row>
    <row r="2" spans="1:26" s="137" customFormat="1">
      <c r="A2" s="318" t="s">
        <v>1707</v>
      </c>
      <c r="B2" s="319"/>
      <c r="C2" s="256"/>
      <c r="D2" s="288"/>
      <c r="E2" s="244"/>
      <c r="F2" s="320"/>
      <c r="G2" s="244"/>
      <c r="H2" s="244"/>
      <c r="I2" s="244"/>
      <c r="J2" s="244"/>
      <c r="K2" s="244"/>
      <c r="L2" s="244"/>
      <c r="M2" s="244"/>
      <c r="N2" s="244"/>
      <c r="O2" s="244"/>
      <c r="P2" s="244"/>
      <c r="Q2" s="244"/>
      <c r="R2" s="244"/>
      <c r="S2" s="244"/>
      <c r="T2" s="244"/>
      <c r="U2" s="244"/>
      <c r="V2" s="244"/>
    </row>
    <row r="3" spans="1:26" s="137" customFormat="1">
      <c r="A3" s="256"/>
      <c r="B3" s="319"/>
      <c r="C3" s="256"/>
      <c r="D3" s="288"/>
      <c r="E3" s="244"/>
      <c r="F3" s="321"/>
      <c r="G3" s="244"/>
      <c r="H3" s="244"/>
      <c r="I3" s="244"/>
      <c r="J3" s="244"/>
      <c r="K3" s="244"/>
    </row>
    <row r="4" spans="1:26">
      <c r="B4" s="3"/>
      <c r="D4" s="35"/>
      <c r="E4" s="35"/>
      <c r="F4" s="144"/>
      <c r="G4" s="35"/>
      <c r="H4" s="35"/>
      <c r="I4" s="35"/>
      <c r="J4" s="35"/>
      <c r="K4" s="35"/>
    </row>
  </sheetData>
  <dataValidations count="4">
    <dataValidation type="list" allowBlank="1" showErrorMessage="1" sqref="G2:G4" xr:uid="{CCECBE4A-42A7-4F19-B66F-5ACC79A894D1}">
      <formula1>"Minor,Significant,Major"</formula1>
    </dataValidation>
    <dataValidation type="list" allowBlank="1" showErrorMessage="1" sqref="I2:I4" xr:uid="{D3A4A2D6-8E97-41CC-A955-D25001E22EF4}">
      <formula1>"Open,Inprogress,Closed"</formula1>
    </dataValidation>
    <dataValidation type="list" allowBlank="1" showErrorMessage="1" sqref="E2:E4" xr:uid="{03AD1BE5-ADD7-43E9-AB4C-F29E62139DCB}">
      <formula1>"Bounceback,Defect,None"</formula1>
    </dataValidation>
    <dataValidation type="list" allowBlank="1" showErrorMessage="1" sqref="H2:H4" xr:uid="{88DE3390-FBF6-4988-A06E-FA8CDF8AD6BE}">
      <formula1>"Internal,External"</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F8ED3BF9-9322-4A28-B054-8610E0808405}">
          <x14:formula1>
            <xm:f>Details!$A$2:$A$10</xm:f>
          </x14:formula1>
          <xm:sqref>J2:J4</xm:sqref>
        </x14:dataValidation>
      </x14:dataValidations>
    </ext>
  </extLst>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55917-DB69-428E-AA80-FF45A9694615}">
  <dimension ref="A1:X967"/>
  <sheetViews>
    <sheetView workbookViewId="0">
      <selection activeCell="E3" sqref="E3"/>
    </sheetView>
  </sheetViews>
  <sheetFormatPr defaultRowHeight="12.75"/>
  <cols>
    <col min="1" max="1" width="8.28515625" style="181" customWidth="1"/>
    <col min="2" max="2" width="20.42578125" customWidth="1"/>
    <col min="3" max="3" width="20.7109375" style="47" customWidth="1"/>
    <col min="4" max="4" width="16.85546875" customWidth="1"/>
    <col min="5" max="5" width="40" customWidth="1"/>
    <col min="6" max="7" width="9.140625" style="53"/>
    <col min="12" max="12" width="33.140625" customWidth="1"/>
    <col min="13" max="13" width="22.7109375" customWidth="1"/>
    <col min="14" max="14" width="10.7109375" bestFit="1" customWidth="1"/>
    <col min="15" max="15" width="10.42578125" customWidth="1"/>
    <col min="17" max="17" width="13.28515625" customWidth="1"/>
    <col min="19" max="19" width="9.42578125" bestFit="1" customWidth="1"/>
    <col min="20" max="20" width="14.7109375" customWidth="1"/>
    <col min="21" max="21" width="15.28515625" customWidth="1"/>
    <col min="22" max="22" width="14.7109375" customWidth="1"/>
    <col min="23" max="23" width="11.5703125" style="137" customWidth="1"/>
    <col min="24" max="24" width="48.28515625" customWidth="1"/>
  </cols>
  <sheetData>
    <row r="1" spans="1:24">
      <c r="A1" s="234"/>
      <c r="B1" s="1"/>
      <c r="C1" s="7"/>
      <c r="D1" s="7"/>
      <c r="E1" s="1"/>
      <c r="F1" s="49"/>
      <c r="G1" s="49"/>
      <c r="H1" s="198"/>
      <c r="I1" s="198"/>
      <c r="J1" s="198"/>
      <c r="K1" s="198"/>
      <c r="L1" s="198"/>
      <c r="M1" s="198"/>
      <c r="N1" s="198"/>
      <c r="O1" s="198"/>
      <c r="P1" s="198"/>
      <c r="Q1" s="198"/>
      <c r="R1" s="198"/>
      <c r="S1" s="198"/>
      <c r="T1" s="198"/>
      <c r="U1" s="198"/>
      <c r="V1" s="198"/>
      <c r="W1" s="322"/>
      <c r="X1" s="323"/>
    </row>
    <row r="2" spans="1:24" ht="48">
      <c r="A2" s="234" t="s">
        <v>254</v>
      </c>
      <c r="B2" s="1" t="s">
        <v>255</v>
      </c>
      <c r="C2" s="7" t="s">
        <v>256</v>
      </c>
      <c r="D2" s="235" t="s">
        <v>257</v>
      </c>
      <c r="E2" s="236" t="s">
        <v>258</v>
      </c>
      <c r="F2" s="237" t="s">
        <v>260</v>
      </c>
      <c r="G2" s="237" t="s">
        <v>261</v>
      </c>
      <c r="H2" s="238" t="s">
        <v>265</v>
      </c>
      <c r="I2" s="238" t="s">
        <v>266</v>
      </c>
      <c r="J2" s="238" t="s">
        <v>267</v>
      </c>
      <c r="K2" s="238" t="s">
        <v>268</v>
      </c>
      <c r="L2" s="238" t="s">
        <v>269</v>
      </c>
      <c r="M2" s="238" t="s">
        <v>270</v>
      </c>
      <c r="N2" s="238" t="s">
        <v>271</v>
      </c>
      <c r="O2" s="238" t="s">
        <v>272</v>
      </c>
      <c r="P2" s="238" t="s">
        <v>1708</v>
      </c>
      <c r="Q2" s="238" t="s">
        <v>274</v>
      </c>
      <c r="R2" s="238" t="s">
        <v>1709</v>
      </c>
      <c r="S2" s="238" t="s">
        <v>276</v>
      </c>
      <c r="T2" s="238" t="s">
        <v>274</v>
      </c>
      <c r="U2" s="238" t="s">
        <v>278</v>
      </c>
      <c r="V2" s="238" t="s">
        <v>279</v>
      </c>
      <c r="W2" s="239" t="s">
        <v>259</v>
      </c>
      <c r="X2" s="240" t="s">
        <v>280</v>
      </c>
    </row>
    <row r="3" spans="1:24" s="137" customFormat="1" ht="30.75" customHeight="1">
      <c r="A3" s="302">
        <v>1</v>
      </c>
      <c r="B3" s="298" t="s">
        <v>1710</v>
      </c>
      <c r="C3" s="46" t="s">
        <v>1711</v>
      </c>
      <c r="D3" s="62" t="s">
        <v>1712</v>
      </c>
      <c r="E3" s="225" t="s">
        <v>1713</v>
      </c>
      <c r="F3" s="17">
        <v>5</v>
      </c>
      <c r="G3" s="17">
        <v>3</v>
      </c>
      <c r="H3" s="83" t="s">
        <v>290</v>
      </c>
      <c r="I3" s="41" t="s">
        <v>1714</v>
      </c>
      <c r="J3" s="203" t="s">
        <v>1663</v>
      </c>
      <c r="K3" s="41" t="s">
        <v>862</v>
      </c>
      <c r="L3" s="203" t="s">
        <v>1694</v>
      </c>
      <c r="M3" s="231" t="s">
        <v>1715</v>
      </c>
      <c r="N3" s="232">
        <v>45517</v>
      </c>
      <c r="O3" s="232">
        <v>45517</v>
      </c>
      <c r="P3" s="41" t="s">
        <v>862</v>
      </c>
      <c r="Q3" s="282" t="s">
        <v>1694</v>
      </c>
      <c r="R3" s="203" t="s">
        <v>1716</v>
      </c>
      <c r="S3" s="206">
        <v>45518</v>
      </c>
      <c r="T3" s="282" t="s">
        <v>1694</v>
      </c>
      <c r="U3" s="282"/>
      <c r="V3" s="282"/>
      <c r="W3" s="203" t="s">
        <v>500</v>
      </c>
      <c r="X3" s="216" t="s">
        <v>1717</v>
      </c>
    </row>
    <row r="4" spans="1:24" s="137" customFormat="1" ht="30.75" customHeight="1">
      <c r="A4" s="302">
        <v>2</v>
      </c>
      <c r="B4" s="298" t="s">
        <v>1710</v>
      </c>
      <c r="C4" s="46" t="s">
        <v>1711</v>
      </c>
      <c r="D4" s="62" t="s">
        <v>1718</v>
      </c>
      <c r="E4" s="11" t="s">
        <v>1719</v>
      </c>
      <c r="F4" s="17">
        <v>5</v>
      </c>
      <c r="G4" s="17">
        <v>4</v>
      </c>
      <c r="H4" s="83" t="s">
        <v>290</v>
      </c>
      <c r="I4" s="41" t="s">
        <v>1714</v>
      </c>
      <c r="J4" s="203" t="s">
        <v>1663</v>
      </c>
      <c r="K4" s="41" t="s">
        <v>862</v>
      </c>
      <c r="L4" s="203" t="s">
        <v>1694</v>
      </c>
      <c r="M4" s="231" t="s">
        <v>1715</v>
      </c>
      <c r="N4" s="232">
        <v>45517</v>
      </c>
      <c r="O4" s="232">
        <v>45517</v>
      </c>
      <c r="P4" s="41" t="s">
        <v>862</v>
      </c>
      <c r="Q4" s="282" t="s">
        <v>1694</v>
      </c>
      <c r="R4" s="203" t="s">
        <v>1716</v>
      </c>
      <c r="S4" s="206">
        <v>45518</v>
      </c>
      <c r="T4" s="282" t="s">
        <v>1694</v>
      </c>
      <c r="U4" s="282"/>
      <c r="V4" s="282"/>
      <c r="W4" s="138" t="s">
        <v>500</v>
      </c>
      <c r="X4" s="216" t="s">
        <v>1717</v>
      </c>
    </row>
    <row r="5" spans="1:24" ht="24.75" customHeight="1">
      <c r="A5" s="228">
        <v>3</v>
      </c>
      <c r="B5" s="298" t="s">
        <v>1710</v>
      </c>
      <c r="C5" s="46" t="s">
        <v>1711</v>
      </c>
      <c r="D5" s="283" t="s">
        <v>1720</v>
      </c>
      <c r="E5" s="11" t="s">
        <v>1721</v>
      </c>
      <c r="F5" s="17">
        <v>1</v>
      </c>
      <c r="G5" s="17">
        <v>1</v>
      </c>
      <c r="H5" s="83" t="s">
        <v>290</v>
      </c>
      <c r="I5" s="41" t="s">
        <v>1714</v>
      </c>
      <c r="J5" s="203" t="s">
        <v>1663</v>
      </c>
      <c r="K5" s="41" t="s">
        <v>862</v>
      </c>
      <c r="L5" s="203" t="s">
        <v>1694</v>
      </c>
      <c r="M5" s="231" t="s">
        <v>1715</v>
      </c>
      <c r="N5" s="232">
        <v>45517</v>
      </c>
      <c r="O5" s="232">
        <v>45517</v>
      </c>
      <c r="P5" s="41" t="s">
        <v>862</v>
      </c>
      <c r="Q5" s="282" t="s">
        <v>1694</v>
      </c>
      <c r="R5" s="203" t="s">
        <v>1716</v>
      </c>
      <c r="S5" s="206">
        <v>45518</v>
      </c>
      <c r="T5" s="282" t="s">
        <v>1694</v>
      </c>
      <c r="U5" s="282"/>
      <c r="V5" s="282"/>
      <c r="W5" s="138" t="s">
        <v>500</v>
      </c>
      <c r="X5" s="216" t="s">
        <v>1717</v>
      </c>
    </row>
    <row r="6" spans="1:24">
      <c r="B6" s="28"/>
      <c r="C6" s="196"/>
      <c r="D6" s="47"/>
      <c r="E6" s="28"/>
      <c r="F6" s="215"/>
      <c r="G6" s="215"/>
      <c r="H6" s="2"/>
      <c r="I6" s="35"/>
      <c r="K6" s="35"/>
      <c r="M6" s="35"/>
      <c r="N6" s="35"/>
      <c r="O6" s="35"/>
      <c r="P6" s="35"/>
    </row>
    <row r="7" spans="1:24">
      <c r="B7" s="28"/>
      <c r="C7" s="196"/>
      <c r="D7" s="47"/>
      <c r="E7" s="28"/>
      <c r="F7" s="215"/>
      <c r="G7" s="215"/>
      <c r="H7" s="2"/>
      <c r="I7" s="35"/>
      <c r="K7" s="35"/>
      <c r="M7" s="35"/>
      <c r="N7" s="35"/>
      <c r="O7" s="35"/>
      <c r="P7" s="35"/>
    </row>
    <row r="8" spans="1:24">
      <c r="B8" s="28"/>
      <c r="C8" s="196"/>
      <c r="D8" s="47"/>
      <c r="E8" s="28"/>
      <c r="F8" s="215"/>
      <c r="G8" s="215"/>
      <c r="H8" s="2"/>
      <c r="I8" s="35"/>
      <c r="K8" s="35"/>
      <c r="M8" s="35"/>
      <c r="N8" s="35"/>
      <c r="O8" s="35"/>
      <c r="P8" s="35"/>
    </row>
    <row r="9" spans="1:24">
      <c r="B9" s="28"/>
      <c r="C9" s="196"/>
      <c r="D9" s="47"/>
      <c r="E9" s="28"/>
      <c r="F9" s="215"/>
      <c r="G9" s="215"/>
      <c r="H9" s="2"/>
      <c r="I9" s="35"/>
      <c r="K9" s="35"/>
      <c r="M9" s="35"/>
      <c r="N9" s="35"/>
      <c r="O9" s="35"/>
      <c r="P9" s="35"/>
    </row>
    <row r="10" spans="1:24">
      <c r="B10" s="28"/>
      <c r="C10" s="196"/>
      <c r="D10" s="47"/>
      <c r="E10" s="28"/>
      <c r="F10" s="215"/>
      <c r="G10" s="215"/>
      <c r="H10" s="2"/>
      <c r="I10" s="35"/>
      <c r="K10" s="35"/>
      <c r="M10" s="35"/>
      <c r="N10" s="35"/>
      <c r="O10" s="35"/>
      <c r="P10" s="35"/>
    </row>
    <row r="11" spans="1:24">
      <c r="B11" s="28"/>
      <c r="C11" s="196"/>
      <c r="D11" s="47"/>
      <c r="E11" s="28"/>
      <c r="F11" s="215"/>
      <c r="G11" s="215"/>
      <c r="H11" s="2"/>
      <c r="I11" s="35"/>
      <c r="K11" s="35"/>
      <c r="M11" s="35"/>
      <c r="N11" s="35"/>
      <c r="O11" s="35"/>
      <c r="P11" s="35"/>
    </row>
    <row r="12" spans="1:24">
      <c r="B12" s="28"/>
      <c r="C12" s="196"/>
      <c r="D12" s="47"/>
      <c r="E12" s="28"/>
      <c r="F12" s="215"/>
      <c r="G12" s="215"/>
      <c r="H12" s="2"/>
      <c r="I12" s="35"/>
      <c r="K12" s="35"/>
      <c r="M12" s="35"/>
      <c r="N12" s="35"/>
      <c r="O12" s="35"/>
      <c r="P12" s="35"/>
    </row>
    <row r="13" spans="1:24">
      <c r="B13" s="28"/>
      <c r="C13" s="196"/>
      <c r="D13" s="47"/>
      <c r="E13" s="28"/>
      <c r="F13" s="215"/>
      <c r="G13" s="215"/>
      <c r="H13" s="2"/>
      <c r="I13" s="35"/>
      <c r="K13" s="35"/>
      <c r="M13" s="35"/>
      <c r="N13" s="35"/>
      <c r="O13" s="35"/>
      <c r="P13" s="35"/>
    </row>
    <row r="14" spans="1:24">
      <c r="B14" s="28"/>
      <c r="C14" s="196"/>
      <c r="D14" s="47"/>
      <c r="E14" s="28"/>
      <c r="F14" s="215"/>
      <c r="G14" s="215"/>
      <c r="H14" s="2"/>
      <c r="I14" s="35"/>
      <c r="K14" s="35"/>
      <c r="M14" s="35"/>
      <c r="N14" s="35"/>
      <c r="O14" s="35"/>
      <c r="P14" s="35"/>
    </row>
    <row r="15" spans="1:24">
      <c r="B15" s="28"/>
      <c r="C15" s="196"/>
      <c r="D15" s="47"/>
      <c r="E15" s="28"/>
      <c r="F15" s="215"/>
      <c r="G15" s="215"/>
      <c r="H15" s="2"/>
      <c r="I15" s="35"/>
      <c r="K15" s="35"/>
      <c r="M15" s="35"/>
      <c r="N15" s="35"/>
      <c r="O15" s="35"/>
      <c r="P15" s="35"/>
    </row>
    <row r="16" spans="1:24">
      <c r="B16" s="28"/>
      <c r="C16" s="196"/>
      <c r="D16" s="47"/>
      <c r="E16" s="28"/>
      <c r="F16" s="215"/>
      <c r="G16" s="215"/>
      <c r="H16" s="2"/>
      <c r="I16" s="35"/>
      <c r="K16" s="35"/>
      <c r="M16" s="35"/>
      <c r="N16" s="35"/>
      <c r="O16" s="35"/>
      <c r="P16" s="35"/>
    </row>
    <row r="17" spans="2:16">
      <c r="B17" s="28"/>
      <c r="C17" s="196"/>
      <c r="D17" s="47"/>
      <c r="E17" s="28"/>
      <c r="F17" s="215"/>
      <c r="G17" s="215"/>
      <c r="H17" s="2"/>
      <c r="I17" s="35"/>
      <c r="K17" s="35"/>
      <c r="M17" s="35"/>
      <c r="N17" s="35"/>
      <c r="O17" s="35"/>
      <c r="P17" s="35"/>
    </row>
    <row r="18" spans="2:16">
      <c r="B18" s="28"/>
      <c r="C18" s="196"/>
      <c r="D18" s="47"/>
      <c r="E18" s="28"/>
      <c r="F18" s="215"/>
      <c r="G18" s="215"/>
      <c r="H18" s="2"/>
      <c r="I18" s="35"/>
      <c r="K18" s="35"/>
      <c r="M18" s="35"/>
      <c r="N18" s="35"/>
      <c r="O18" s="35"/>
      <c r="P18" s="35"/>
    </row>
    <row r="19" spans="2:16">
      <c r="B19" s="28"/>
      <c r="C19" s="196"/>
      <c r="D19" s="47"/>
      <c r="E19" s="28"/>
      <c r="F19" s="215"/>
      <c r="G19" s="215"/>
      <c r="H19" s="2"/>
      <c r="I19" s="35"/>
      <c r="K19" s="35"/>
      <c r="M19" s="35"/>
      <c r="N19" s="35"/>
      <c r="O19" s="35"/>
      <c r="P19" s="35"/>
    </row>
    <row r="20" spans="2:16">
      <c r="B20" s="28"/>
      <c r="C20" s="196"/>
      <c r="D20" s="47"/>
      <c r="E20" s="28"/>
      <c r="F20" s="215"/>
      <c r="G20" s="215"/>
      <c r="H20" s="2"/>
      <c r="I20" s="35"/>
      <c r="K20" s="35"/>
      <c r="M20" s="35"/>
      <c r="N20" s="35"/>
      <c r="O20" s="35"/>
      <c r="P20" s="35"/>
    </row>
    <row r="21" spans="2:16">
      <c r="B21" s="28"/>
      <c r="C21" s="196"/>
      <c r="D21" s="47"/>
      <c r="E21" s="28"/>
      <c r="F21" s="215"/>
      <c r="G21" s="215"/>
      <c r="H21" s="2"/>
      <c r="I21" s="35"/>
      <c r="K21" s="35"/>
      <c r="M21" s="35"/>
      <c r="N21" s="35"/>
      <c r="O21" s="35"/>
      <c r="P21" s="35"/>
    </row>
    <row r="22" spans="2:16">
      <c r="B22" s="28"/>
      <c r="C22" s="196"/>
      <c r="D22" s="47"/>
      <c r="E22" s="28"/>
      <c r="F22" s="215"/>
      <c r="G22" s="215"/>
      <c r="H22" s="2"/>
      <c r="I22" s="35"/>
      <c r="K22" s="35"/>
      <c r="M22" s="35"/>
      <c r="N22" s="35"/>
      <c r="O22" s="35"/>
      <c r="P22" s="35"/>
    </row>
    <row r="23" spans="2:16">
      <c r="B23" s="28"/>
      <c r="C23" s="196"/>
      <c r="D23" s="47"/>
      <c r="E23" s="28"/>
      <c r="F23" s="215"/>
      <c r="G23" s="215"/>
      <c r="H23" s="2"/>
      <c r="I23" s="35"/>
      <c r="K23" s="35"/>
      <c r="M23" s="35"/>
      <c r="N23" s="35"/>
      <c r="O23" s="35"/>
      <c r="P23" s="35"/>
    </row>
    <row r="24" spans="2:16">
      <c r="B24" s="28"/>
      <c r="C24" s="196"/>
      <c r="D24" s="47"/>
      <c r="E24" s="28"/>
      <c r="F24" s="215"/>
      <c r="G24" s="215"/>
      <c r="H24" s="2"/>
      <c r="I24" s="35"/>
      <c r="K24" s="35"/>
      <c r="M24" s="35"/>
      <c r="N24" s="35"/>
      <c r="O24" s="35"/>
      <c r="P24" s="35"/>
    </row>
    <row r="25" spans="2:16">
      <c r="B25" s="28"/>
      <c r="C25" s="196"/>
      <c r="D25" s="47"/>
      <c r="E25" s="28"/>
      <c r="F25" s="215"/>
      <c r="G25" s="215"/>
      <c r="H25" s="2"/>
      <c r="I25" s="35"/>
      <c r="K25" s="35"/>
      <c r="M25" s="35"/>
      <c r="N25" s="35"/>
      <c r="O25" s="35"/>
      <c r="P25" s="35"/>
    </row>
    <row r="26" spans="2:16">
      <c r="B26" s="28"/>
      <c r="C26" s="196"/>
      <c r="D26" s="47"/>
      <c r="E26" s="28"/>
      <c r="F26" s="215"/>
      <c r="G26" s="215"/>
      <c r="H26" s="2"/>
      <c r="I26" s="35"/>
      <c r="K26" s="35"/>
      <c r="M26" s="35"/>
      <c r="N26" s="35"/>
      <c r="O26" s="35"/>
      <c r="P26" s="35"/>
    </row>
    <row r="27" spans="2:16">
      <c r="B27" s="28"/>
      <c r="C27" s="196"/>
      <c r="D27" s="47"/>
      <c r="E27" s="28"/>
      <c r="F27" s="215"/>
      <c r="G27" s="215"/>
      <c r="H27" s="2"/>
      <c r="I27" s="35"/>
      <c r="K27" s="35"/>
      <c r="M27" s="35"/>
      <c r="N27" s="35"/>
      <c r="O27" s="35"/>
      <c r="P27" s="35"/>
    </row>
    <row r="28" spans="2:16">
      <c r="B28" s="28"/>
      <c r="C28" s="196"/>
      <c r="D28" s="47"/>
      <c r="E28" s="28"/>
      <c r="F28" s="215"/>
      <c r="G28" s="215"/>
      <c r="H28" s="2"/>
      <c r="I28" s="35"/>
      <c r="K28" s="35"/>
      <c r="M28" s="35"/>
      <c r="N28" s="35"/>
      <c r="O28" s="35"/>
      <c r="P28" s="35"/>
    </row>
    <row r="29" spans="2:16">
      <c r="B29" s="28"/>
      <c r="C29" s="196"/>
      <c r="D29" s="47"/>
      <c r="E29" s="28"/>
      <c r="F29" s="215"/>
      <c r="G29" s="215"/>
      <c r="H29" s="2"/>
      <c r="I29" s="35"/>
      <c r="K29" s="35"/>
      <c r="M29" s="35"/>
      <c r="N29" s="35"/>
      <c r="O29" s="35"/>
      <c r="P29" s="35"/>
    </row>
    <row r="30" spans="2:16">
      <c r="B30" s="28"/>
      <c r="C30" s="196"/>
      <c r="D30" s="47"/>
      <c r="E30" s="28"/>
      <c r="F30" s="215"/>
      <c r="G30" s="215"/>
      <c r="H30" s="2"/>
      <c r="I30" s="35"/>
      <c r="K30" s="35"/>
      <c r="M30" s="35"/>
      <c r="N30" s="35"/>
      <c r="O30" s="35"/>
      <c r="P30" s="35"/>
    </row>
    <row r="31" spans="2:16">
      <c r="B31" s="28"/>
      <c r="C31" s="196"/>
      <c r="D31" s="47"/>
      <c r="E31" s="28"/>
      <c r="F31" s="215"/>
      <c r="G31" s="215"/>
      <c r="H31" s="2"/>
      <c r="I31" s="35"/>
      <c r="K31" s="35"/>
      <c r="M31" s="35"/>
      <c r="N31" s="35"/>
      <c r="O31" s="35"/>
      <c r="P31" s="35"/>
    </row>
    <row r="32" spans="2:16">
      <c r="B32" s="28"/>
      <c r="C32" s="196"/>
      <c r="D32" s="47"/>
      <c r="E32" s="28"/>
      <c r="F32" s="215"/>
      <c r="G32" s="215"/>
      <c r="H32" s="2"/>
      <c r="I32" s="35"/>
      <c r="K32" s="35"/>
      <c r="M32" s="35"/>
      <c r="N32" s="35"/>
      <c r="O32" s="35"/>
      <c r="P32" s="35"/>
    </row>
    <row r="33" spans="2:16">
      <c r="B33" s="28"/>
      <c r="C33" s="196"/>
      <c r="D33" s="47"/>
      <c r="E33" s="28"/>
      <c r="F33" s="215"/>
      <c r="G33" s="215"/>
      <c r="H33" s="2"/>
      <c r="I33" s="35"/>
      <c r="K33" s="35"/>
      <c r="M33" s="35"/>
      <c r="N33" s="35"/>
      <c r="O33" s="35"/>
      <c r="P33" s="35"/>
    </row>
    <row r="34" spans="2:16">
      <c r="B34" s="28"/>
      <c r="C34" s="196"/>
      <c r="D34" s="47"/>
      <c r="E34" s="28"/>
      <c r="F34" s="215"/>
      <c r="G34" s="215"/>
      <c r="H34" s="2"/>
      <c r="I34" s="35"/>
      <c r="K34" s="35"/>
      <c r="M34" s="35"/>
      <c r="N34" s="35"/>
      <c r="O34" s="35"/>
      <c r="P34" s="35"/>
    </row>
    <row r="35" spans="2:16">
      <c r="B35" s="28"/>
      <c r="C35" s="196"/>
      <c r="D35" s="47"/>
      <c r="E35" s="28"/>
      <c r="F35" s="215"/>
      <c r="G35" s="215"/>
      <c r="H35" s="2"/>
      <c r="I35" s="35"/>
      <c r="K35" s="35"/>
      <c r="M35" s="35"/>
      <c r="N35" s="35"/>
      <c r="O35" s="35"/>
      <c r="P35" s="35"/>
    </row>
    <row r="36" spans="2:16">
      <c r="B36" s="28"/>
      <c r="C36" s="196"/>
      <c r="D36" s="47"/>
      <c r="E36" s="28"/>
      <c r="F36" s="215"/>
      <c r="G36" s="215"/>
      <c r="H36" s="2"/>
      <c r="I36" s="35"/>
      <c r="K36" s="35"/>
      <c r="M36" s="35"/>
      <c r="N36" s="35"/>
      <c r="O36" s="35"/>
      <c r="P36" s="35"/>
    </row>
    <row r="37" spans="2:16">
      <c r="B37" s="28"/>
      <c r="C37" s="196"/>
      <c r="D37" s="47"/>
      <c r="E37" s="28"/>
      <c r="F37" s="215"/>
      <c r="G37" s="215"/>
      <c r="H37" s="2"/>
      <c r="I37" s="35"/>
      <c r="K37" s="35"/>
      <c r="M37" s="35"/>
      <c r="N37" s="35"/>
      <c r="O37" s="35"/>
      <c r="P37" s="35"/>
    </row>
    <row r="38" spans="2:16">
      <c r="B38" s="28"/>
      <c r="C38" s="196"/>
      <c r="D38" s="47"/>
      <c r="E38" s="28"/>
      <c r="F38" s="215"/>
      <c r="G38" s="215"/>
      <c r="H38" s="2"/>
      <c r="I38" s="35"/>
      <c r="K38" s="35"/>
      <c r="M38" s="35"/>
      <c r="N38" s="35"/>
      <c r="O38" s="35"/>
      <c r="P38" s="35"/>
    </row>
    <row r="39" spans="2:16">
      <c r="B39" s="28"/>
      <c r="C39" s="196"/>
      <c r="D39" s="47"/>
      <c r="E39" s="28"/>
      <c r="F39" s="215"/>
      <c r="G39" s="215"/>
      <c r="H39" s="2"/>
      <c r="I39" s="35"/>
      <c r="K39" s="35"/>
      <c r="M39" s="35"/>
      <c r="N39" s="35"/>
      <c r="O39" s="35"/>
      <c r="P39" s="35"/>
    </row>
    <row r="40" spans="2:16">
      <c r="B40" s="28"/>
      <c r="C40" s="196"/>
      <c r="D40" s="47"/>
      <c r="E40" s="28"/>
      <c r="F40" s="215"/>
      <c r="G40" s="215"/>
      <c r="H40" s="2"/>
      <c r="I40" s="35"/>
      <c r="K40" s="35"/>
      <c r="M40" s="35"/>
      <c r="N40" s="35"/>
      <c r="O40" s="35"/>
      <c r="P40" s="35"/>
    </row>
    <row r="41" spans="2:16">
      <c r="B41" s="28"/>
      <c r="C41" s="196"/>
      <c r="D41" s="47"/>
      <c r="E41" s="28"/>
      <c r="F41" s="215"/>
      <c r="G41" s="215"/>
      <c r="H41" s="2"/>
      <c r="I41" s="35"/>
      <c r="K41" s="35"/>
      <c r="M41" s="35"/>
      <c r="N41" s="35"/>
      <c r="O41" s="35"/>
      <c r="P41" s="35"/>
    </row>
    <row r="42" spans="2:16">
      <c r="B42" s="28"/>
      <c r="C42" s="196"/>
      <c r="D42" s="47"/>
      <c r="E42" s="28"/>
      <c r="F42" s="215"/>
      <c r="G42" s="215"/>
      <c r="H42" s="2"/>
      <c r="I42" s="35"/>
      <c r="K42" s="35"/>
      <c r="M42" s="35"/>
      <c r="N42" s="35"/>
      <c r="O42" s="35"/>
      <c r="P42" s="35"/>
    </row>
    <row r="43" spans="2:16">
      <c r="B43" s="28"/>
      <c r="C43" s="196"/>
      <c r="D43" s="47"/>
      <c r="E43" s="28"/>
      <c r="F43" s="215"/>
      <c r="G43" s="215"/>
      <c r="H43" s="2"/>
      <c r="I43" s="35"/>
      <c r="K43" s="35"/>
      <c r="M43" s="35"/>
      <c r="N43" s="35"/>
      <c r="O43" s="35"/>
      <c r="P43" s="35"/>
    </row>
    <row r="44" spans="2:16">
      <c r="B44" s="28"/>
      <c r="C44" s="196"/>
      <c r="D44" s="47"/>
      <c r="E44" s="28"/>
      <c r="F44" s="215"/>
      <c r="G44" s="215"/>
      <c r="H44" s="2"/>
      <c r="I44" s="35"/>
      <c r="K44" s="35"/>
      <c r="M44" s="35"/>
      <c r="N44" s="35"/>
      <c r="O44" s="35"/>
      <c r="P44" s="35"/>
    </row>
    <row r="45" spans="2:16">
      <c r="B45" s="28"/>
      <c r="C45" s="196"/>
      <c r="D45" s="47"/>
      <c r="E45" s="28"/>
      <c r="F45" s="215"/>
      <c r="G45" s="215"/>
      <c r="H45" s="2"/>
      <c r="I45" s="35"/>
      <c r="K45" s="35"/>
      <c r="M45" s="35"/>
      <c r="N45" s="35"/>
      <c r="O45" s="35"/>
      <c r="P45" s="35"/>
    </row>
    <row r="46" spans="2:16">
      <c r="B46" s="28"/>
      <c r="C46" s="196"/>
      <c r="D46" s="47"/>
      <c r="E46" s="28"/>
      <c r="F46" s="215"/>
      <c r="G46" s="215"/>
      <c r="H46" s="2"/>
      <c r="I46" s="35"/>
      <c r="K46" s="35"/>
      <c r="M46" s="35"/>
      <c r="N46" s="35"/>
      <c r="O46" s="35"/>
      <c r="P46" s="35"/>
    </row>
    <row r="47" spans="2:16">
      <c r="B47" s="28"/>
      <c r="C47" s="196"/>
      <c r="D47" s="47"/>
      <c r="E47" s="28"/>
      <c r="F47" s="215"/>
      <c r="G47" s="215"/>
      <c r="H47" s="2"/>
      <c r="I47" s="35"/>
      <c r="K47" s="35"/>
      <c r="M47" s="35"/>
      <c r="N47" s="35"/>
      <c r="O47" s="35"/>
      <c r="P47" s="35"/>
    </row>
    <row r="48" spans="2:16">
      <c r="B48" s="28"/>
      <c r="C48" s="196"/>
      <c r="D48" s="47"/>
      <c r="E48" s="28"/>
      <c r="F48" s="215"/>
      <c r="G48" s="215"/>
      <c r="H48" s="2"/>
      <c r="I48" s="35"/>
      <c r="K48" s="35"/>
      <c r="M48" s="35"/>
      <c r="N48" s="35"/>
      <c r="O48" s="35"/>
      <c r="P48" s="35"/>
    </row>
    <row r="49" spans="2:16">
      <c r="B49" s="28"/>
      <c r="C49" s="196"/>
      <c r="D49" s="47"/>
      <c r="E49" s="28"/>
      <c r="F49" s="215"/>
      <c r="G49" s="215"/>
      <c r="H49" s="2"/>
      <c r="I49" s="35"/>
      <c r="K49" s="35"/>
      <c r="M49" s="35"/>
      <c r="N49" s="35"/>
      <c r="O49" s="35"/>
      <c r="P49" s="35"/>
    </row>
    <row r="50" spans="2:16">
      <c r="B50" s="28"/>
      <c r="C50" s="196"/>
      <c r="D50" s="47"/>
      <c r="E50" s="28"/>
      <c r="F50" s="215"/>
      <c r="G50" s="215"/>
      <c r="H50" s="2"/>
      <c r="I50" s="35"/>
      <c r="K50" s="35"/>
      <c r="M50" s="35"/>
      <c r="N50" s="35"/>
      <c r="O50" s="35"/>
      <c r="P50" s="35"/>
    </row>
    <row r="51" spans="2:16">
      <c r="B51" s="28"/>
      <c r="C51" s="196"/>
      <c r="D51" s="47"/>
      <c r="E51" s="28"/>
      <c r="F51" s="215"/>
      <c r="G51" s="215"/>
      <c r="H51" s="2"/>
      <c r="I51" s="35"/>
      <c r="K51" s="35"/>
      <c r="M51" s="35"/>
      <c r="N51" s="35"/>
      <c r="O51" s="35"/>
      <c r="P51" s="35"/>
    </row>
    <row r="52" spans="2:16">
      <c r="B52" s="28"/>
      <c r="C52" s="196"/>
      <c r="D52" s="47"/>
      <c r="E52" s="28"/>
      <c r="F52" s="215"/>
      <c r="G52" s="215"/>
      <c r="H52" s="2"/>
      <c r="I52" s="35"/>
      <c r="K52" s="35"/>
      <c r="M52" s="35"/>
      <c r="N52" s="35"/>
      <c r="O52" s="35"/>
      <c r="P52" s="35"/>
    </row>
    <row r="53" spans="2:16">
      <c r="B53" s="28"/>
      <c r="C53" s="196"/>
      <c r="D53" s="47"/>
      <c r="E53" s="28"/>
      <c r="F53" s="215"/>
      <c r="G53" s="215"/>
      <c r="H53" s="2"/>
      <c r="I53" s="35"/>
      <c r="K53" s="35"/>
      <c r="M53" s="35"/>
      <c r="N53" s="35"/>
      <c r="O53" s="35"/>
      <c r="P53" s="35"/>
    </row>
    <row r="54" spans="2:16">
      <c r="B54" s="28"/>
      <c r="C54" s="196"/>
      <c r="D54" s="47"/>
      <c r="E54" s="28"/>
      <c r="F54" s="215"/>
      <c r="G54" s="215"/>
      <c r="H54" s="2"/>
      <c r="I54" s="35"/>
      <c r="K54" s="35"/>
      <c r="M54" s="35"/>
      <c r="N54" s="35"/>
      <c r="O54" s="35"/>
      <c r="P54" s="35"/>
    </row>
    <row r="55" spans="2:16">
      <c r="B55" s="28"/>
      <c r="C55" s="196"/>
      <c r="D55" s="47"/>
      <c r="E55" s="28"/>
      <c r="F55" s="215"/>
      <c r="G55" s="215"/>
      <c r="H55" s="2"/>
      <c r="I55" s="35"/>
      <c r="K55" s="35"/>
      <c r="M55" s="35"/>
      <c r="N55" s="35"/>
      <c r="O55" s="35"/>
      <c r="P55" s="35"/>
    </row>
    <row r="56" spans="2:16">
      <c r="B56" s="28"/>
      <c r="C56" s="196"/>
      <c r="D56" s="47"/>
      <c r="E56" s="28"/>
      <c r="F56" s="215"/>
      <c r="G56" s="215"/>
      <c r="H56" s="2"/>
      <c r="I56" s="35"/>
      <c r="K56" s="35"/>
      <c r="M56" s="35"/>
      <c r="N56" s="35"/>
      <c r="O56" s="35"/>
      <c r="P56" s="35"/>
    </row>
    <row r="57" spans="2:16">
      <c r="B57" s="28"/>
      <c r="C57" s="196"/>
      <c r="D57" s="47"/>
      <c r="E57" s="28"/>
      <c r="F57" s="215"/>
      <c r="G57" s="215"/>
      <c r="H57" s="2"/>
      <c r="I57" s="35"/>
      <c r="K57" s="35"/>
      <c r="M57" s="35"/>
      <c r="N57" s="35"/>
      <c r="O57" s="35"/>
      <c r="P57" s="35"/>
    </row>
    <row r="58" spans="2:16">
      <c r="B58" s="28"/>
      <c r="C58" s="196"/>
      <c r="D58" s="47"/>
      <c r="E58" s="28"/>
      <c r="F58" s="215"/>
      <c r="G58" s="215"/>
      <c r="H58" s="2"/>
      <c r="I58" s="35"/>
      <c r="K58" s="35"/>
      <c r="M58" s="35"/>
      <c r="N58" s="35"/>
      <c r="O58" s="35"/>
      <c r="P58" s="35"/>
    </row>
    <row r="59" spans="2:16">
      <c r="B59" s="28"/>
      <c r="C59" s="196"/>
      <c r="D59" s="47"/>
      <c r="E59" s="28"/>
      <c r="F59" s="215"/>
      <c r="G59" s="215"/>
      <c r="H59" s="2"/>
      <c r="I59" s="35"/>
      <c r="K59" s="35"/>
      <c r="M59" s="35"/>
      <c r="N59" s="35"/>
      <c r="O59" s="35"/>
      <c r="P59" s="35"/>
    </row>
    <row r="60" spans="2:16">
      <c r="B60" s="28"/>
      <c r="C60" s="196"/>
      <c r="D60" s="47"/>
      <c r="E60" s="28"/>
      <c r="F60" s="215"/>
      <c r="G60" s="215"/>
      <c r="H60" s="2"/>
      <c r="I60" s="35"/>
      <c r="K60" s="35"/>
      <c r="M60" s="35"/>
      <c r="N60" s="35"/>
      <c r="O60" s="35"/>
      <c r="P60" s="35"/>
    </row>
    <row r="61" spans="2:16">
      <c r="B61" s="28"/>
      <c r="C61" s="196"/>
      <c r="D61" s="47"/>
      <c r="E61" s="28"/>
      <c r="F61" s="215"/>
      <c r="G61" s="215"/>
      <c r="H61" s="2"/>
      <c r="I61" s="35"/>
      <c r="K61" s="35"/>
      <c r="M61" s="35"/>
      <c r="N61" s="35"/>
      <c r="O61" s="35"/>
      <c r="P61" s="35"/>
    </row>
    <row r="62" spans="2:16">
      <c r="B62" s="28"/>
      <c r="C62" s="196"/>
      <c r="D62" s="47"/>
      <c r="E62" s="28"/>
      <c r="F62" s="215"/>
      <c r="G62" s="215"/>
      <c r="H62" s="2"/>
      <c r="I62" s="35"/>
      <c r="K62" s="35"/>
      <c r="M62" s="35"/>
      <c r="N62" s="35"/>
      <c r="O62" s="35"/>
      <c r="P62" s="35"/>
    </row>
    <row r="63" spans="2:16">
      <c r="B63" s="28"/>
      <c r="C63" s="196"/>
      <c r="D63" s="47"/>
      <c r="E63" s="28"/>
      <c r="F63" s="215"/>
      <c r="G63" s="215"/>
      <c r="H63" s="2"/>
      <c r="I63" s="35"/>
      <c r="K63" s="35"/>
      <c r="M63" s="35"/>
      <c r="N63" s="35"/>
      <c r="O63" s="35"/>
      <c r="P63" s="35"/>
    </row>
    <row r="64" spans="2:16">
      <c r="B64" s="28"/>
      <c r="C64" s="196"/>
      <c r="D64" s="47"/>
      <c r="E64" s="28"/>
      <c r="F64" s="215"/>
      <c r="G64" s="215"/>
      <c r="H64" s="2"/>
      <c r="I64" s="35"/>
      <c r="K64" s="35"/>
      <c r="M64" s="35"/>
      <c r="N64" s="35"/>
      <c r="O64" s="35"/>
      <c r="P64" s="35"/>
    </row>
    <row r="65" spans="2:16">
      <c r="B65" s="28"/>
      <c r="C65" s="196"/>
      <c r="D65" s="47"/>
      <c r="E65" s="28"/>
      <c r="F65" s="215"/>
      <c r="G65" s="215"/>
      <c r="H65" s="2"/>
      <c r="I65" s="35"/>
      <c r="K65" s="35"/>
      <c r="M65" s="35"/>
      <c r="N65" s="35"/>
      <c r="O65" s="35"/>
      <c r="P65" s="35"/>
    </row>
    <row r="66" spans="2:16">
      <c r="B66" s="28"/>
      <c r="C66" s="196"/>
      <c r="D66" s="47"/>
      <c r="E66" s="28"/>
      <c r="F66" s="215"/>
      <c r="G66" s="215"/>
      <c r="H66" s="2"/>
      <c r="I66" s="35"/>
      <c r="K66" s="35"/>
      <c r="M66" s="35"/>
      <c r="N66" s="35"/>
      <c r="O66" s="35"/>
      <c r="P66" s="35"/>
    </row>
    <row r="67" spans="2:16">
      <c r="B67" s="28"/>
      <c r="C67" s="196"/>
      <c r="D67" s="47"/>
      <c r="E67" s="28"/>
      <c r="F67" s="215"/>
      <c r="G67" s="215"/>
      <c r="H67" s="2"/>
      <c r="I67" s="35"/>
      <c r="K67" s="35"/>
      <c r="M67" s="35"/>
      <c r="N67" s="35"/>
      <c r="O67" s="35"/>
      <c r="P67" s="35"/>
    </row>
    <row r="68" spans="2:16">
      <c r="B68" s="28"/>
      <c r="C68" s="196"/>
      <c r="D68" s="47"/>
      <c r="E68" s="28"/>
      <c r="F68" s="215"/>
      <c r="G68" s="215"/>
      <c r="H68" s="2"/>
      <c r="I68" s="35"/>
      <c r="K68" s="35"/>
      <c r="M68" s="35"/>
      <c r="N68" s="35"/>
      <c r="O68" s="35"/>
      <c r="P68" s="35"/>
    </row>
    <row r="69" spans="2:16">
      <c r="B69" s="28"/>
      <c r="C69" s="196"/>
      <c r="D69" s="47"/>
      <c r="E69" s="28"/>
      <c r="F69" s="215"/>
      <c r="G69" s="215"/>
      <c r="H69" s="2"/>
      <c r="I69" s="35"/>
      <c r="K69" s="35"/>
      <c r="M69" s="35"/>
      <c r="N69" s="35"/>
      <c r="O69" s="35"/>
      <c r="P69" s="35"/>
    </row>
    <row r="70" spans="2:16">
      <c r="B70" s="28"/>
      <c r="C70" s="196"/>
      <c r="D70" s="47"/>
      <c r="E70" s="28"/>
      <c r="F70" s="215"/>
      <c r="G70" s="215"/>
      <c r="H70" s="2"/>
      <c r="I70" s="35"/>
      <c r="K70" s="35"/>
      <c r="M70" s="35"/>
      <c r="N70" s="35"/>
      <c r="O70" s="35"/>
      <c r="P70" s="35"/>
    </row>
    <row r="71" spans="2:16">
      <c r="B71" s="28"/>
      <c r="C71" s="196"/>
      <c r="D71" s="47"/>
      <c r="E71" s="28"/>
      <c r="F71" s="215"/>
      <c r="G71" s="215"/>
      <c r="H71" s="2"/>
      <c r="I71" s="35"/>
      <c r="K71" s="35"/>
      <c r="M71" s="35"/>
      <c r="N71" s="35"/>
      <c r="O71" s="35"/>
      <c r="P71" s="35"/>
    </row>
    <row r="72" spans="2:16">
      <c r="B72" s="28"/>
      <c r="C72" s="196"/>
      <c r="D72" s="47"/>
      <c r="E72" s="28"/>
      <c r="F72" s="215"/>
      <c r="G72" s="215"/>
      <c r="H72" s="2"/>
      <c r="I72" s="35"/>
      <c r="K72" s="35"/>
      <c r="M72" s="35"/>
      <c r="N72" s="35"/>
      <c r="O72" s="35"/>
      <c r="P72" s="35"/>
    </row>
    <row r="73" spans="2:16">
      <c r="B73" s="28"/>
      <c r="C73" s="196"/>
      <c r="D73" s="47"/>
      <c r="E73" s="28"/>
      <c r="F73" s="215"/>
      <c r="G73" s="215"/>
      <c r="H73" s="2"/>
      <c r="I73" s="35"/>
      <c r="K73" s="35"/>
      <c r="M73" s="35"/>
      <c r="N73" s="35"/>
      <c r="O73" s="35"/>
      <c r="P73" s="35"/>
    </row>
    <row r="74" spans="2:16">
      <c r="B74" s="28"/>
      <c r="C74" s="196"/>
      <c r="D74" s="47"/>
      <c r="E74" s="28"/>
      <c r="F74" s="215"/>
      <c r="G74" s="215"/>
      <c r="H74" s="2"/>
      <c r="I74" s="35"/>
      <c r="K74" s="35"/>
      <c r="M74" s="35"/>
      <c r="N74" s="35"/>
      <c r="O74" s="35"/>
      <c r="P74" s="35"/>
    </row>
    <row r="75" spans="2:16">
      <c r="B75" s="28"/>
      <c r="C75" s="196"/>
      <c r="D75" s="47"/>
      <c r="E75" s="28"/>
      <c r="F75" s="215"/>
      <c r="G75" s="215"/>
      <c r="H75" s="2"/>
      <c r="I75" s="35"/>
      <c r="K75" s="35"/>
      <c r="M75" s="35"/>
      <c r="N75" s="35"/>
      <c r="O75" s="35"/>
      <c r="P75" s="35"/>
    </row>
    <row r="76" spans="2:16">
      <c r="B76" s="28"/>
      <c r="C76" s="196"/>
      <c r="D76" s="47"/>
      <c r="E76" s="28"/>
      <c r="F76" s="215"/>
      <c r="G76" s="215"/>
      <c r="H76" s="2"/>
      <c r="I76" s="107"/>
      <c r="K76" s="35"/>
      <c r="M76" s="35"/>
      <c r="N76" s="35"/>
      <c r="O76" s="35"/>
      <c r="P76" s="35"/>
    </row>
    <row r="77" spans="2:16">
      <c r="B77" s="28"/>
      <c r="C77" s="196"/>
      <c r="D77" s="47"/>
      <c r="E77" s="28"/>
      <c r="F77" s="215"/>
      <c r="G77" s="215"/>
      <c r="H77" s="2"/>
      <c r="I77" s="19"/>
      <c r="K77" s="35"/>
      <c r="M77" s="35"/>
      <c r="N77" s="35"/>
      <c r="O77" s="35"/>
      <c r="P77" s="35"/>
    </row>
    <row r="78" spans="2:16">
      <c r="B78" s="28"/>
      <c r="C78" s="196"/>
      <c r="D78" s="47"/>
      <c r="E78" s="28"/>
      <c r="F78" s="215"/>
      <c r="G78" s="215"/>
      <c r="H78" s="2"/>
      <c r="I78" s="19"/>
      <c r="K78" s="35"/>
      <c r="M78" s="35"/>
      <c r="N78" s="35"/>
      <c r="O78" s="35"/>
      <c r="P78" s="35"/>
    </row>
    <row r="79" spans="2:16">
      <c r="B79" s="28"/>
      <c r="C79" s="196"/>
      <c r="D79" s="47"/>
      <c r="E79" s="28"/>
      <c r="F79" s="215"/>
      <c r="G79" s="215"/>
      <c r="H79" s="2"/>
      <c r="I79" s="19"/>
      <c r="K79" s="35"/>
      <c r="M79" s="35"/>
      <c r="N79" s="35"/>
      <c r="O79" s="35"/>
      <c r="P79" s="35"/>
    </row>
    <row r="80" spans="2:16">
      <c r="B80" s="28"/>
      <c r="C80" s="196"/>
      <c r="D80" s="47"/>
      <c r="E80" s="28"/>
      <c r="F80" s="215"/>
      <c r="G80" s="215"/>
      <c r="H80" s="2"/>
      <c r="I80" s="19"/>
      <c r="K80" s="35"/>
      <c r="M80" s="35"/>
      <c r="N80" s="35"/>
      <c r="O80" s="35"/>
      <c r="P80" s="35"/>
    </row>
    <row r="81" spans="2:16">
      <c r="B81" s="28"/>
      <c r="C81" s="196"/>
      <c r="D81" s="47"/>
      <c r="E81" s="28"/>
      <c r="F81" s="215"/>
      <c r="G81" s="215"/>
      <c r="H81" s="2"/>
      <c r="I81" s="19"/>
      <c r="K81" s="35"/>
      <c r="M81" s="35"/>
      <c r="N81" s="35"/>
      <c r="O81" s="35"/>
      <c r="P81" s="35"/>
    </row>
    <row r="82" spans="2:16">
      <c r="B82" s="28"/>
      <c r="C82" s="196"/>
      <c r="D82" s="47"/>
      <c r="E82" s="28"/>
      <c r="F82" s="215"/>
      <c r="G82" s="215"/>
      <c r="H82" s="2"/>
      <c r="I82" s="19"/>
      <c r="K82" s="35"/>
      <c r="M82" s="35"/>
      <c r="N82" s="35"/>
      <c r="O82" s="35"/>
      <c r="P82" s="35"/>
    </row>
    <row r="83" spans="2:16">
      <c r="B83" s="28"/>
      <c r="C83" s="196"/>
      <c r="D83" s="47"/>
      <c r="E83" s="28"/>
      <c r="F83" s="215"/>
      <c r="G83" s="215"/>
      <c r="H83" s="2"/>
      <c r="I83" s="19"/>
      <c r="K83" s="35"/>
      <c r="M83" s="35"/>
      <c r="N83" s="35"/>
      <c r="O83" s="35"/>
      <c r="P83" s="35"/>
    </row>
    <row r="84" spans="2:16">
      <c r="B84" s="28"/>
      <c r="C84" s="196"/>
      <c r="D84" s="47"/>
      <c r="E84" s="28"/>
      <c r="F84" s="215"/>
      <c r="G84" s="215"/>
      <c r="H84" s="2"/>
      <c r="I84" s="19"/>
      <c r="K84" s="35"/>
      <c r="M84" s="35"/>
      <c r="N84" s="35"/>
      <c r="O84" s="35"/>
      <c r="P84" s="35"/>
    </row>
    <row r="85" spans="2:16">
      <c r="B85" s="28"/>
      <c r="C85" s="196"/>
      <c r="D85" s="47"/>
      <c r="E85" s="28"/>
      <c r="F85" s="215"/>
      <c r="G85" s="215"/>
      <c r="H85" s="2"/>
      <c r="I85" s="19"/>
      <c r="K85" s="35"/>
      <c r="M85" s="35"/>
      <c r="N85" s="35"/>
      <c r="O85" s="35"/>
      <c r="P85" s="35"/>
    </row>
    <row r="86" spans="2:16">
      <c r="B86" s="28"/>
      <c r="C86" s="196"/>
      <c r="D86" s="47"/>
      <c r="E86" s="28"/>
      <c r="F86" s="215"/>
      <c r="G86" s="215"/>
      <c r="H86" s="2"/>
      <c r="I86" s="19"/>
      <c r="K86" s="35"/>
      <c r="M86" s="35"/>
      <c r="N86" s="35"/>
      <c r="O86" s="35"/>
      <c r="P86" s="35"/>
    </row>
    <row r="87" spans="2:16">
      <c r="B87" s="28"/>
      <c r="C87" s="196"/>
      <c r="D87" s="47"/>
      <c r="E87" s="28"/>
      <c r="F87" s="215"/>
      <c r="G87" s="215"/>
      <c r="H87" s="2"/>
      <c r="I87" s="19"/>
      <c r="K87" s="35"/>
      <c r="M87" s="35"/>
      <c r="N87" s="35"/>
      <c r="O87" s="35"/>
      <c r="P87" s="35"/>
    </row>
    <row r="88" spans="2:16">
      <c r="B88" s="28"/>
      <c r="C88" s="196"/>
      <c r="D88" s="47"/>
      <c r="E88" s="28"/>
      <c r="F88" s="215"/>
      <c r="G88" s="215"/>
      <c r="H88" s="2"/>
      <c r="I88" s="19"/>
      <c r="K88" s="35"/>
      <c r="M88" s="35"/>
      <c r="N88" s="35"/>
      <c r="O88" s="35"/>
      <c r="P88" s="35"/>
    </row>
    <row r="89" spans="2:16">
      <c r="B89" s="28"/>
      <c r="C89" s="196"/>
      <c r="D89" s="47"/>
      <c r="E89" s="28"/>
      <c r="F89" s="215"/>
      <c r="G89" s="215"/>
      <c r="H89" s="2"/>
      <c r="I89" s="19"/>
      <c r="K89" s="35"/>
      <c r="M89" s="35"/>
      <c r="N89" s="35"/>
      <c r="O89" s="35"/>
      <c r="P89" s="35"/>
    </row>
    <row r="90" spans="2:16">
      <c r="B90" s="28"/>
      <c r="C90" s="196"/>
      <c r="D90" s="47"/>
      <c r="E90" s="28"/>
      <c r="F90" s="215"/>
      <c r="G90" s="215"/>
      <c r="H90" s="2"/>
      <c r="I90" s="19"/>
      <c r="K90" s="35"/>
      <c r="M90" s="35"/>
      <c r="N90" s="35"/>
      <c r="O90" s="35"/>
      <c r="P90" s="35"/>
    </row>
    <row r="91" spans="2:16">
      <c r="B91" s="28"/>
      <c r="C91" s="196"/>
      <c r="D91" s="47"/>
      <c r="E91" s="28"/>
      <c r="F91" s="215"/>
      <c r="G91" s="215"/>
      <c r="H91" s="2"/>
      <c r="I91" s="19"/>
      <c r="K91" s="35"/>
      <c r="M91" s="35"/>
      <c r="N91" s="35"/>
      <c r="O91" s="35"/>
      <c r="P91" s="35"/>
    </row>
    <row r="92" spans="2:16">
      <c r="B92" s="28"/>
      <c r="C92" s="196"/>
      <c r="D92" s="47"/>
      <c r="E92" s="28"/>
      <c r="F92" s="215"/>
      <c r="G92" s="215"/>
      <c r="H92" s="2"/>
      <c r="I92" s="19"/>
      <c r="K92" s="35"/>
      <c r="M92" s="35"/>
      <c r="N92" s="35"/>
      <c r="O92" s="35"/>
      <c r="P92" s="35"/>
    </row>
    <row r="93" spans="2:16">
      <c r="B93" s="28"/>
      <c r="C93" s="196"/>
      <c r="D93" s="47"/>
      <c r="E93" s="28"/>
      <c r="F93" s="215"/>
      <c r="G93" s="215"/>
      <c r="H93" s="2"/>
      <c r="I93" s="19"/>
      <c r="K93" s="35"/>
      <c r="M93" s="35"/>
      <c r="N93" s="35"/>
      <c r="O93" s="35"/>
      <c r="P93" s="35"/>
    </row>
    <row r="94" spans="2:16">
      <c r="B94" s="28"/>
      <c r="C94" s="196"/>
      <c r="D94" s="47"/>
      <c r="E94" s="28"/>
      <c r="F94" s="215"/>
      <c r="G94" s="215"/>
      <c r="H94" s="2"/>
      <c r="I94" s="19"/>
      <c r="K94" s="35"/>
      <c r="M94" s="35"/>
      <c r="N94" s="35"/>
      <c r="O94" s="35"/>
      <c r="P94" s="35"/>
    </row>
    <row r="95" spans="2:16">
      <c r="B95" s="28"/>
      <c r="C95" s="196"/>
      <c r="D95" s="47"/>
      <c r="E95" s="28"/>
      <c r="F95" s="215"/>
      <c r="G95" s="215"/>
      <c r="H95" s="2"/>
      <c r="I95" s="19"/>
      <c r="K95" s="35"/>
      <c r="M95" s="35"/>
      <c r="N95" s="35"/>
      <c r="O95" s="35"/>
      <c r="P95" s="35"/>
    </row>
    <row r="96" spans="2:16">
      <c r="B96" s="28"/>
      <c r="C96" s="196"/>
      <c r="D96" s="47"/>
      <c r="E96" s="28"/>
      <c r="F96" s="215"/>
      <c r="G96" s="215"/>
      <c r="H96" s="2"/>
      <c r="I96" s="19"/>
      <c r="K96" s="35"/>
      <c r="M96" s="35"/>
      <c r="N96" s="35"/>
      <c r="O96" s="35"/>
      <c r="P96" s="35"/>
    </row>
    <row r="97" spans="2:16">
      <c r="B97" s="28"/>
      <c r="C97" s="196"/>
      <c r="D97" s="47"/>
      <c r="E97" s="28"/>
      <c r="F97" s="215"/>
      <c r="G97" s="215"/>
      <c r="H97" s="2"/>
      <c r="I97" s="19"/>
      <c r="K97" s="35"/>
      <c r="M97" s="35"/>
      <c r="N97" s="35"/>
      <c r="O97" s="35"/>
      <c r="P97" s="35"/>
    </row>
    <row r="98" spans="2:16">
      <c r="B98" s="28"/>
      <c r="C98" s="196"/>
      <c r="D98" s="47"/>
      <c r="E98" s="28"/>
      <c r="F98" s="215"/>
      <c r="G98" s="215"/>
      <c r="H98" s="2"/>
      <c r="I98" s="19"/>
      <c r="K98" s="35"/>
      <c r="M98" s="35"/>
      <c r="N98" s="35"/>
      <c r="O98" s="35"/>
      <c r="P98" s="35"/>
    </row>
    <row r="99" spans="2:16">
      <c r="B99" s="28"/>
      <c r="C99" s="196"/>
      <c r="D99" s="47"/>
      <c r="E99" s="28"/>
      <c r="F99" s="215"/>
      <c r="G99" s="215"/>
      <c r="H99" s="2"/>
      <c r="I99" s="19"/>
      <c r="K99" s="35"/>
      <c r="M99" s="35"/>
      <c r="N99" s="35"/>
      <c r="O99" s="35"/>
      <c r="P99" s="35"/>
    </row>
    <row r="100" spans="2:16">
      <c r="B100" s="28"/>
      <c r="C100" s="196"/>
      <c r="D100" s="47"/>
      <c r="E100" s="28"/>
      <c r="F100" s="215"/>
      <c r="G100" s="215"/>
      <c r="H100" s="2"/>
      <c r="I100" s="19"/>
      <c r="K100" s="35"/>
      <c r="M100" s="35"/>
      <c r="N100" s="35"/>
      <c r="O100" s="35"/>
      <c r="P100" s="35"/>
    </row>
    <row r="101" spans="2:16">
      <c r="B101" s="28"/>
      <c r="C101" s="196"/>
      <c r="D101" s="47"/>
      <c r="E101" s="28"/>
      <c r="F101" s="215"/>
      <c r="G101" s="215"/>
      <c r="H101" s="2"/>
      <c r="I101" s="19"/>
      <c r="K101" s="35"/>
      <c r="M101" s="35"/>
      <c r="N101" s="35"/>
      <c r="O101" s="35"/>
      <c r="P101" s="35"/>
    </row>
    <row r="102" spans="2:16">
      <c r="B102" s="28"/>
      <c r="C102" s="196"/>
      <c r="D102" s="47"/>
      <c r="E102" s="28"/>
      <c r="F102" s="215"/>
      <c r="G102" s="215"/>
      <c r="H102" s="2"/>
      <c r="I102" s="19"/>
      <c r="K102" s="35"/>
      <c r="M102" s="35"/>
      <c r="N102" s="35"/>
      <c r="O102" s="35"/>
      <c r="P102" s="35"/>
    </row>
    <row r="103" spans="2:16">
      <c r="B103" s="28"/>
      <c r="C103" s="196"/>
      <c r="D103" s="47"/>
      <c r="E103" s="28"/>
      <c r="F103" s="215"/>
      <c r="G103" s="215"/>
      <c r="H103" s="2"/>
      <c r="I103" s="19"/>
      <c r="K103" s="35"/>
      <c r="M103" s="35"/>
      <c r="N103" s="35"/>
      <c r="O103" s="35"/>
      <c r="P103" s="35"/>
    </row>
    <row r="104" spans="2:16">
      <c r="B104" s="28"/>
      <c r="C104" s="196"/>
      <c r="D104" s="47"/>
      <c r="E104" s="28"/>
      <c r="F104" s="215"/>
      <c r="G104" s="215"/>
      <c r="H104" s="2"/>
      <c r="I104" s="19"/>
      <c r="K104" s="35"/>
      <c r="M104" s="35"/>
      <c r="N104" s="35"/>
      <c r="O104" s="35"/>
      <c r="P104" s="35"/>
    </row>
    <row r="105" spans="2:16">
      <c r="B105" s="28"/>
      <c r="C105" s="196"/>
      <c r="D105" s="47"/>
      <c r="E105" s="28"/>
      <c r="F105" s="215"/>
      <c r="G105" s="215"/>
      <c r="H105" s="2"/>
      <c r="I105" s="19"/>
      <c r="K105" s="35"/>
      <c r="M105" s="35"/>
      <c r="N105" s="35"/>
      <c r="O105" s="35"/>
      <c r="P105" s="35"/>
    </row>
    <row r="106" spans="2:16">
      <c r="B106" s="28"/>
      <c r="C106" s="196"/>
      <c r="D106" s="47"/>
      <c r="E106" s="28"/>
      <c r="F106" s="215"/>
      <c r="G106" s="215"/>
      <c r="H106" s="2"/>
      <c r="I106" s="19"/>
      <c r="K106" s="35"/>
      <c r="M106" s="35"/>
      <c r="N106" s="35"/>
      <c r="O106" s="35"/>
      <c r="P106" s="35"/>
    </row>
    <row r="107" spans="2:16">
      <c r="B107" s="28"/>
      <c r="C107" s="196"/>
      <c r="D107" s="47"/>
      <c r="E107" s="28"/>
      <c r="F107" s="215"/>
      <c r="G107" s="215"/>
      <c r="H107" s="2"/>
      <c r="I107" s="19"/>
      <c r="K107" s="35"/>
      <c r="M107" s="35"/>
      <c r="N107" s="35"/>
      <c r="O107" s="35"/>
      <c r="P107" s="35"/>
    </row>
    <row r="108" spans="2:16">
      <c r="B108" s="28"/>
      <c r="C108" s="196"/>
      <c r="D108" s="47"/>
      <c r="E108" s="28"/>
      <c r="F108" s="215"/>
      <c r="G108" s="215"/>
      <c r="H108" s="2"/>
      <c r="I108" s="19"/>
      <c r="K108" s="35"/>
      <c r="M108" s="35"/>
      <c r="N108" s="35"/>
      <c r="O108" s="35"/>
      <c r="P108" s="35"/>
    </row>
    <row r="109" spans="2:16">
      <c r="B109" s="28"/>
      <c r="C109" s="196"/>
      <c r="D109" s="47"/>
      <c r="E109" s="28"/>
      <c r="F109" s="215"/>
      <c r="G109" s="215"/>
      <c r="H109" s="2"/>
      <c r="I109" s="19"/>
      <c r="K109" s="35"/>
      <c r="M109" s="35"/>
      <c r="N109" s="35"/>
      <c r="O109" s="35"/>
      <c r="P109" s="35"/>
    </row>
    <row r="110" spans="2:16">
      <c r="B110" s="28"/>
      <c r="C110" s="196"/>
      <c r="D110" s="47"/>
      <c r="E110" s="28"/>
      <c r="F110" s="215"/>
      <c r="G110" s="215"/>
      <c r="H110" s="2"/>
      <c r="I110" s="19"/>
      <c r="K110" s="35"/>
      <c r="M110" s="35"/>
      <c r="N110" s="35"/>
      <c r="O110" s="35"/>
      <c r="P110" s="35"/>
    </row>
    <row r="111" spans="2:16">
      <c r="B111" s="28"/>
      <c r="C111" s="196"/>
      <c r="D111" s="47"/>
      <c r="E111" s="28"/>
      <c r="F111" s="215"/>
      <c r="G111" s="215"/>
      <c r="H111" s="2"/>
      <c r="I111" s="19"/>
      <c r="K111" s="35"/>
      <c r="M111" s="35"/>
      <c r="N111" s="35"/>
      <c r="O111" s="35"/>
      <c r="P111" s="35"/>
    </row>
    <row r="112" spans="2:16">
      <c r="B112" s="28"/>
      <c r="C112" s="196"/>
      <c r="D112" s="47"/>
      <c r="E112" s="28"/>
      <c r="F112" s="215"/>
      <c r="G112" s="215"/>
      <c r="H112" s="2"/>
      <c r="I112" s="19"/>
      <c r="K112" s="35"/>
      <c r="M112" s="35"/>
      <c r="N112" s="35"/>
      <c r="O112" s="35"/>
      <c r="P112" s="35"/>
    </row>
    <row r="113" spans="2:16">
      <c r="B113" s="28"/>
      <c r="C113" s="196"/>
      <c r="D113" s="47"/>
      <c r="E113" s="28"/>
      <c r="F113" s="215"/>
      <c r="G113" s="215"/>
      <c r="H113" s="2"/>
      <c r="I113" s="19"/>
      <c r="K113" s="35"/>
      <c r="M113" s="35"/>
      <c r="N113" s="35"/>
      <c r="O113" s="35"/>
      <c r="P113" s="35"/>
    </row>
    <row r="114" spans="2:16">
      <c r="B114" s="28"/>
      <c r="C114" s="196"/>
      <c r="D114" s="47"/>
      <c r="E114" s="28"/>
      <c r="F114" s="215"/>
      <c r="G114" s="215"/>
      <c r="H114" s="2"/>
      <c r="I114" s="19"/>
      <c r="K114" s="35"/>
      <c r="M114" s="35"/>
      <c r="N114" s="35"/>
      <c r="O114" s="35"/>
      <c r="P114" s="35"/>
    </row>
    <row r="115" spans="2:16">
      <c r="B115" s="28"/>
      <c r="C115" s="196"/>
      <c r="D115" s="47"/>
      <c r="E115" s="28"/>
      <c r="F115" s="215"/>
      <c r="G115" s="215"/>
      <c r="H115" s="2"/>
      <c r="I115" s="19"/>
      <c r="K115" s="35"/>
      <c r="M115" s="35"/>
      <c r="N115" s="35"/>
      <c r="O115" s="35"/>
      <c r="P115" s="35"/>
    </row>
    <row r="116" spans="2:16">
      <c r="B116" s="28"/>
      <c r="C116" s="196"/>
      <c r="D116" s="47"/>
      <c r="E116" s="28"/>
      <c r="F116" s="215"/>
      <c r="G116" s="215"/>
      <c r="H116" s="2"/>
      <c r="I116" s="19"/>
      <c r="K116" s="35"/>
      <c r="M116" s="35"/>
      <c r="N116" s="35"/>
      <c r="O116" s="35"/>
      <c r="P116" s="35"/>
    </row>
    <row r="117" spans="2:16">
      <c r="B117" s="28"/>
      <c r="C117" s="196"/>
      <c r="D117" s="47"/>
      <c r="E117" s="28"/>
      <c r="F117" s="215"/>
      <c r="G117" s="215"/>
      <c r="H117" s="2"/>
      <c r="I117" s="19"/>
      <c r="K117" s="35"/>
      <c r="M117" s="35"/>
      <c r="N117" s="35"/>
      <c r="O117" s="35"/>
      <c r="P117" s="35"/>
    </row>
    <row r="118" spans="2:16">
      <c r="B118" s="28"/>
      <c r="C118" s="196"/>
      <c r="D118" s="47"/>
      <c r="E118" s="28"/>
      <c r="F118" s="215"/>
      <c r="G118" s="215"/>
      <c r="H118" s="2"/>
      <c r="I118" s="19"/>
      <c r="K118" s="35"/>
      <c r="M118" s="35"/>
      <c r="N118" s="35"/>
      <c r="O118" s="35"/>
      <c r="P118" s="35"/>
    </row>
    <row r="119" spans="2:16">
      <c r="B119" s="28"/>
      <c r="C119" s="196"/>
      <c r="D119" s="47"/>
      <c r="E119" s="28"/>
      <c r="F119" s="215"/>
      <c r="G119" s="215"/>
      <c r="H119" s="2"/>
      <c r="I119" s="19"/>
      <c r="K119" s="35"/>
      <c r="M119" s="35"/>
      <c r="N119" s="35"/>
      <c r="O119" s="35"/>
      <c r="P119" s="35"/>
    </row>
    <row r="120" spans="2:16">
      <c r="B120" s="28"/>
      <c r="C120" s="196"/>
      <c r="D120" s="47"/>
      <c r="E120" s="28"/>
      <c r="F120" s="215"/>
      <c r="G120" s="215"/>
      <c r="H120" s="2"/>
      <c r="I120" s="19"/>
      <c r="K120" s="35"/>
      <c r="M120" s="35"/>
      <c r="N120" s="35"/>
      <c r="O120" s="35"/>
      <c r="P120" s="35"/>
    </row>
    <row r="121" spans="2:16">
      <c r="B121" s="28"/>
      <c r="C121" s="196"/>
      <c r="D121" s="47"/>
      <c r="E121" s="28"/>
      <c r="F121" s="215"/>
      <c r="G121" s="215"/>
      <c r="H121" s="2"/>
      <c r="I121" s="19"/>
      <c r="K121" s="35"/>
      <c r="M121" s="35"/>
      <c r="N121" s="35"/>
      <c r="O121" s="35"/>
      <c r="P121" s="35"/>
    </row>
    <row r="122" spans="2:16">
      <c r="B122" s="28"/>
      <c r="C122" s="196"/>
      <c r="D122" s="47"/>
      <c r="E122" s="28"/>
      <c r="F122" s="215"/>
      <c r="G122" s="215"/>
      <c r="H122" s="2"/>
      <c r="I122" s="19"/>
      <c r="K122" s="35"/>
      <c r="M122" s="35"/>
      <c r="N122" s="35"/>
      <c r="O122" s="35"/>
      <c r="P122" s="35"/>
    </row>
    <row r="123" spans="2:16">
      <c r="B123" s="28"/>
      <c r="C123" s="196"/>
      <c r="D123" s="47"/>
      <c r="E123" s="28"/>
      <c r="F123" s="215"/>
      <c r="G123" s="215"/>
      <c r="H123" s="2"/>
      <c r="I123" s="19"/>
      <c r="K123" s="35"/>
      <c r="M123" s="35"/>
      <c r="N123" s="35"/>
      <c r="O123" s="35"/>
      <c r="P123" s="35"/>
    </row>
    <row r="124" spans="2:16">
      <c r="B124" s="28"/>
      <c r="C124" s="196"/>
      <c r="D124" s="47"/>
      <c r="E124" s="28"/>
      <c r="F124" s="215"/>
      <c r="G124" s="215"/>
      <c r="H124" s="2"/>
      <c r="I124" s="19"/>
      <c r="K124" s="35"/>
      <c r="M124" s="35"/>
      <c r="N124" s="35"/>
      <c r="O124" s="35"/>
      <c r="P124" s="35"/>
    </row>
    <row r="125" spans="2:16">
      <c r="B125" s="28"/>
      <c r="C125" s="196"/>
      <c r="D125" s="47"/>
      <c r="E125" s="28"/>
      <c r="F125" s="215"/>
      <c r="G125" s="215"/>
      <c r="H125" s="2"/>
      <c r="I125" s="19"/>
      <c r="K125" s="35"/>
      <c r="M125" s="35"/>
      <c r="N125" s="35"/>
      <c r="O125" s="35"/>
      <c r="P125" s="35"/>
    </row>
    <row r="126" spans="2:16">
      <c r="B126" s="28"/>
      <c r="C126" s="196"/>
      <c r="D126" s="47"/>
      <c r="E126" s="28"/>
      <c r="F126" s="215"/>
      <c r="G126" s="215"/>
      <c r="H126" s="2"/>
      <c r="I126" s="19"/>
      <c r="K126" s="35"/>
      <c r="M126" s="35"/>
      <c r="N126" s="35"/>
      <c r="O126" s="35"/>
      <c r="P126" s="35"/>
    </row>
    <row r="127" spans="2:16">
      <c r="B127" s="28"/>
      <c r="C127" s="196"/>
      <c r="D127" s="47"/>
      <c r="E127" s="28"/>
      <c r="F127" s="215"/>
      <c r="G127" s="215"/>
      <c r="H127" s="2"/>
      <c r="I127" s="19"/>
      <c r="K127" s="35"/>
      <c r="M127" s="35"/>
      <c r="N127" s="35"/>
      <c r="O127" s="35"/>
      <c r="P127" s="35"/>
    </row>
    <row r="128" spans="2:16">
      <c r="B128" s="28"/>
      <c r="C128" s="196"/>
      <c r="D128" s="47"/>
      <c r="E128" s="28"/>
      <c r="F128" s="215"/>
      <c r="G128" s="215"/>
      <c r="H128" s="2"/>
      <c r="I128" s="19"/>
      <c r="K128" s="35"/>
      <c r="M128" s="35"/>
      <c r="N128" s="35"/>
      <c r="O128" s="35"/>
      <c r="P128" s="35"/>
    </row>
    <row r="129" spans="2:16">
      <c r="B129" s="28"/>
      <c r="C129" s="196"/>
      <c r="D129" s="47"/>
      <c r="E129" s="28"/>
      <c r="F129" s="215"/>
      <c r="G129" s="215"/>
      <c r="H129" s="2"/>
      <c r="I129" s="19"/>
      <c r="K129" s="35"/>
      <c r="M129" s="35"/>
      <c r="N129" s="35"/>
      <c r="O129" s="35"/>
      <c r="P129" s="35"/>
    </row>
    <row r="130" spans="2:16">
      <c r="B130" s="28"/>
      <c r="C130" s="196"/>
      <c r="D130" s="47"/>
      <c r="E130" s="28"/>
      <c r="F130" s="215"/>
      <c r="G130" s="215"/>
      <c r="H130" s="2"/>
      <c r="I130" s="19"/>
      <c r="K130" s="35"/>
      <c r="M130" s="35"/>
      <c r="N130" s="35"/>
      <c r="O130" s="35"/>
      <c r="P130" s="35"/>
    </row>
    <row r="131" spans="2:16">
      <c r="B131" s="28"/>
      <c r="C131" s="196"/>
      <c r="D131" s="47"/>
      <c r="E131" s="28"/>
      <c r="F131" s="215"/>
      <c r="G131" s="215"/>
      <c r="H131" s="2"/>
      <c r="I131" s="19"/>
      <c r="K131" s="35"/>
      <c r="M131" s="35"/>
      <c r="N131" s="35"/>
      <c r="O131" s="35"/>
      <c r="P131" s="35"/>
    </row>
    <row r="132" spans="2:16">
      <c r="B132" s="28"/>
      <c r="C132" s="196"/>
      <c r="D132" s="47"/>
      <c r="E132" s="28"/>
      <c r="F132" s="215"/>
      <c r="G132" s="215"/>
      <c r="H132" s="2"/>
      <c r="I132" s="19"/>
      <c r="K132" s="35"/>
      <c r="M132" s="35"/>
      <c r="N132" s="35"/>
      <c r="O132" s="35"/>
      <c r="P132" s="35"/>
    </row>
    <row r="133" spans="2:16">
      <c r="B133" s="28"/>
      <c r="C133" s="196"/>
      <c r="D133" s="47"/>
      <c r="E133" s="28"/>
      <c r="F133" s="215"/>
      <c r="G133" s="215"/>
      <c r="H133" s="2"/>
      <c r="I133" s="19"/>
      <c r="K133" s="35"/>
      <c r="M133" s="35"/>
      <c r="N133" s="35"/>
      <c r="O133" s="35"/>
      <c r="P133" s="35"/>
    </row>
    <row r="134" spans="2:16">
      <c r="B134" s="28"/>
      <c r="C134" s="196"/>
      <c r="D134" s="47"/>
      <c r="E134" s="28"/>
      <c r="F134" s="215"/>
      <c r="G134" s="215"/>
      <c r="H134" s="2"/>
      <c r="I134" s="19"/>
      <c r="K134" s="35"/>
      <c r="M134" s="35"/>
      <c r="N134" s="35"/>
      <c r="O134" s="35"/>
      <c r="P134" s="35"/>
    </row>
    <row r="135" spans="2:16">
      <c r="B135" s="28"/>
      <c r="C135" s="196"/>
      <c r="D135" s="47"/>
      <c r="E135" s="28"/>
      <c r="F135" s="215"/>
      <c r="G135" s="215"/>
      <c r="H135" s="2"/>
      <c r="I135" s="19"/>
      <c r="K135" s="35"/>
      <c r="M135" s="35"/>
      <c r="N135" s="35"/>
      <c r="O135" s="35"/>
      <c r="P135" s="35"/>
    </row>
    <row r="136" spans="2:16">
      <c r="B136" s="28"/>
      <c r="C136" s="196"/>
      <c r="D136" s="47"/>
      <c r="E136" s="28"/>
      <c r="F136" s="215"/>
      <c r="G136" s="215"/>
      <c r="H136" s="2"/>
      <c r="I136" s="19"/>
      <c r="K136" s="35"/>
      <c r="M136" s="35"/>
      <c r="N136" s="35"/>
      <c r="O136" s="35"/>
      <c r="P136" s="35"/>
    </row>
    <row r="137" spans="2:16">
      <c r="B137" s="28"/>
      <c r="C137" s="196"/>
      <c r="D137" s="47"/>
      <c r="E137" s="28"/>
      <c r="F137" s="215"/>
      <c r="G137" s="215"/>
      <c r="H137" s="2"/>
      <c r="I137" s="19"/>
      <c r="K137" s="35"/>
      <c r="M137" s="35"/>
      <c r="N137" s="35"/>
      <c r="O137" s="35"/>
      <c r="P137" s="35"/>
    </row>
    <row r="138" spans="2:16">
      <c r="B138" s="28"/>
      <c r="C138" s="196"/>
      <c r="D138" s="47"/>
      <c r="E138" s="28"/>
      <c r="F138" s="215"/>
      <c r="G138" s="215"/>
      <c r="H138" s="2"/>
      <c r="I138" s="19"/>
      <c r="K138" s="35"/>
      <c r="M138" s="35"/>
      <c r="N138" s="35"/>
      <c r="O138" s="35"/>
      <c r="P138" s="35"/>
    </row>
    <row r="139" spans="2:16">
      <c r="B139" s="28"/>
      <c r="C139" s="196"/>
      <c r="D139" s="47"/>
      <c r="E139" s="28"/>
      <c r="F139" s="215"/>
      <c r="G139" s="215"/>
      <c r="H139" s="2"/>
      <c r="I139" s="19"/>
      <c r="K139" s="35"/>
      <c r="M139" s="35"/>
      <c r="N139" s="35"/>
      <c r="O139" s="35"/>
      <c r="P139" s="35"/>
    </row>
    <row r="140" spans="2:16">
      <c r="B140" s="28"/>
      <c r="C140" s="196"/>
      <c r="D140" s="47"/>
      <c r="E140" s="28"/>
      <c r="F140" s="215"/>
      <c r="G140" s="215"/>
      <c r="H140" s="2"/>
      <c r="I140" s="19"/>
      <c r="K140" s="35"/>
      <c r="M140" s="35"/>
      <c r="N140" s="35"/>
      <c r="O140" s="35"/>
      <c r="P140" s="35"/>
    </row>
    <row r="141" spans="2:16">
      <c r="B141" s="28"/>
      <c r="C141" s="196"/>
      <c r="D141" s="47"/>
      <c r="E141" s="28"/>
      <c r="F141" s="215"/>
      <c r="G141" s="215"/>
      <c r="H141" s="2"/>
      <c r="I141" s="19"/>
      <c r="K141" s="35"/>
      <c r="M141" s="35"/>
      <c r="N141" s="35"/>
      <c r="O141" s="35"/>
      <c r="P141" s="35"/>
    </row>
    <row r="142" spans="2:16">
      <c r="B142" s="28"/>
      <c r="C142" s="196"/>
      <c r="D142" s="47"/>
      <c r="E142" s="28"/>
      <c r="F142" s="215"/>
      <c r="G142" s="215"/>
      <c r="H142" s="2"/>
      <c r="I142" s="19"/>
      <c r="K142" s="35"/>
      <c r="M142" s="35"/>
      <c r="N142" s="35"/>
      <c r="O142" s="35"/>
      <c r="P142" s="35"/>
    </row>
    <row r="143" spans="2:16">
      <c r="B143" s="28"/>
      <c r="C143" s="196"/>
      <c r="D143" s="47"/>
      <c r="E143" s="28"/>
      <c r="F143" s="215"/>
      <c r="G143" s="215"/>
      <c r="H143" s="2"/>
      <c r="I143" s="19"/>
      <c r="K143" s="35"/>
      <c r="M143" s="35"/>
      <c r="N143" s="35"/>
      <c r="O143" s="35"/>
      <c r="P143" s="35"/>
    </row>
    <row r="144" spans="2:16">
      <c r="B144" s="28"/>
      <c r="C144" s="196"/>
      <c r="D144" s="47"/>
      <c r="E144" s="28"/>
      <c r="F144" s="215"/>
      <c r="G144" s="215"/>
      <c r="H144" s="2"/>
      <c r="I144" s="19"/>
      <c r="K144" s="35"/>
      <c r="M144" s="35"/>
      <c r="N144" s="35"/>
      <c r="O144" s="35"/>
      <c r="P144" s="35"/>
    </row>
    <row r="145" spans="2:16">
      <c r="B145" s="28"/>
      <c r="C145" s="196"/>
      <c r="D145" s="47"/>
      <c r="E145" s="28"/>
      <c r="F145" s="215"/>
      <c r="G145" s="215"/>
      <c r="H145" s="2"/>
      <c r="I145" s="19"/>
      <c r="K145" s="35"/>
      <c r="M145" s="35"/>
      <c r="N145" s="35"/>
      <c r="O145" s="35"/>
      <c r="P145" s="35"/>
    </row>
    <row r="146" spans="2:16">
      <c r="B146" s="28"/>
      <c r="C146" s="196"/>
      <c r="D146" s="47"/>
      <c r="E146" s="28"/>
      <c r="F146" s="215"/>
      <c r="G146" s="215"/>
      <c r="H146" s="2"/>
      <c r="I146" s="19"/>
      <c r="K146" s="35"/>
      <c r="M146" s="35"/>
      <c r="N146" s="35"/>
      <c r="O146" s="35"/>
      <c r="P146" s="35"/>
    </row>
    <row r="147" spans="2:16">
      <c r="B147" s="28"/>
      <c r="C147" s="196"/>
      <c r="D147" s="47"/>
      <c r="E147" s="28"/>
      <c r="F147" s="215"/>
      <c r="G147" s="215"/>
      <c r="H147" s="2"/>
      <c r="I147" s="19"/>
      <c r="K147" s="35"/>
      <c r="M147" s="35"/>
      <c r="N147" s="35"/>
      <c r="O147" s="35"/>
      <c r="P147" s="35"/>
    </row>
    <row r="148" spans="2:16">
      <c r="B148" s="28"/>
      <c r="C148" s="196"/>
      <c r="D148" s="47"/>
      <c r="E148" s="28"/>
      <c r="F148" s="215"/>
      <c r="G148" s="215"/>
      <c r="H148" s="2"/>
      <c r="I148" s="19"/>
      <c r="K148" s="35"/>
      <c r="M148" s="35"/>
      <c r="N148" s="35"/>
      <c r="O148" s="35"/>
      <c r="P148" s="35"/>
    </row>
    <row r="149" spans="2:16">
      <c r="B149" s="28"/>
      <c r="C149" s="196"/>
      <c r="D149" s="47"/>
      <c r="E149" s="28"/>
      <c r="F149" s="215"/>
      <c r="G149" s="215"/>
      <c r="H149" s="2"/>
      <c r="I149" s="19"/>
      <c r="K149" s="35"/>
      <c r="M149" s="35"/>
      <c r="N149" s="35"/>
      <c r="O149" s="35"/>
      <c r="P149" s="35"/>
    </row>
    <row r="150" spans="2:16">
      <c r="B150" s="28"/>
      <c r="C150" s="196"/>
      <c r="D150" s="47"/>
      <c r="E150" s="28"/>
      <c r="F150" s="215"/>
      <c r="G150" s="215"/>
      <c r="H150" s="2"/>
      <c r="I150" s="19"/>
      <c r="K150" s="35"/>
      <c r="M150" s="35"/>
      <c r="N150" s="35"/>
      <c r="O150" s="35"/>
      <c r="P150" s="35"/>
    </row>
    <row r="151" spans="2:16">
      <c r="B151" s="28"/>
      <c r="C151" s="196"/>
      <c r="D151" s="47"/>
      <c r="E151" s="28"/>
      <c r="F151" s="215"/>
      <c r="G151" s="215"/>
      <c r="H151" s="2"/>
      <c r="I151" s="19"/>
      <c r="K151" s="35"/>
      <c r="M151" s="35"/>
      <c r="N151" s="35"/>
      <c r="O151" s="35"/>
      <c r="P151" s="35"/>
    </row>
    <row r="152" spans="2:16">
      <c r="B152" s="28"/>
      <c r="C152" s="196"/>
      <c r="D152" s="47"/>
      <c r="E152" s="28"/>
      <c r="F152" s="215"/>
      <c r="G152" s="215"/>
      <c r="H152" s="2"/>
      <c r="I152" s="19"/>
      <c r="K152" s="35"/>
      <c r="M152" s="35"/>
      <c r="N152" s="35"/>
      <c r="O152" s="35"/>
      <c r="P152" s="35"/>
    </row>
    <row r="153" spans="2:16">
      <c r="B153" s="28"/>
      <c r="C153" s="196"/>
      <c r="D153" s="47"/>
      <c r="E153" s="28"/>
      <c r="F153" s="215"/>
      <c r="G153" s="215"/>
      <c r="H153" s="2"/>
      <c r="I153" s="19"/>
      <c r="K153" s="35"/>
      <c r="M153" s="35"/>
      <c r="N153" s="35"/>
      <c r="O153" s="35"/>
      <c r="P153" s="35"/>
    </row>
    <row r="154" spans="2:16">
      <c r="B154" s="28"/>
      <c r="C154" s="196"/>
      <c r="D154" s="47"/>
      <c r="E154" s="28"/>
      <c r="F154" s="215"/>
      <c r="G154" s="215"/>
      <c r="H154" s="2"/>
      <c r="I154" s="19"/>
      <c r="K154" s="35"/>
      <c r="M154" s="35"/>
      <c r="N154" s="35"/>
      <c r="O154" s="35"/>
      <c r="P154" s="35"/>
    </row>
    <row r="155" spans="2:16">
      <c r="B155" s="28"/>
      <c r="C155" s="196"/>
      <c r="D155" s="47"/>
      <c r="E155" s="28"/>
      <c r="F155" s="215"/>
      <c r="G155" s="215"/>
      <c r="H155" s="2"/>
      <c r="I155" s="19"/>
      <c r="K155" s="35"/>
      <c r="M155" s="35"/>
      <c r="N155" s="35"/>
      <c r="O155" s="35"/>
      <c r="P155" s="35"/>
    </row>
    <row r="156" spans="2:16">
      <c r="B156" s="28"/>
      <c r="C156" s="196"/>
      <c r="D156" s="47"/>
      <c r="E156" s="28"/>
      <c r="F156" s="215"/>
      <c r="G156" s="215"/>
      <c r="H156" s="2"/>
      <c r="I156" s="19"/>
      <c r="K156" s="35"/>
      <c r="M156" s="35"/>
      <c r="N156" s="35"/>
      <c r="O156" s="35"/>
      <c r="P156" s="35"/>
    </row>
    <row r="157" spans="2:16">
      <c r="B157" s="28"/>
      <c r="C157" s="196"/>
      <c r="D157" s="47"/>
      <c r="E157" s="28"/>
      <c r="F157" s="215"/>
      <c r="G157" s="215"/>
      <c r="H157" s="2"/>
      <c r="I157" s="19"/>
      <c r="K157" s="35"/>
      <c r="M157" s="35"/>
      <c r="N157" s="35"/>
      <c r="O157" s="35"/>
      <c r="P157" s="35"/>
    </row>
    <row r="158" spans="2:16">
      <c r="B158" s="28"/>
      <c r="C158" s="196"/>
      <c r="D158" s="47"/>
      <c r="E158" s="28"/>
      <c r="F158" s="215"/>
      <c r="G158" s="215"/>
      <c r="H158" s="2"/>
      <c r="I158" s="19"/>
      <c r="K158" s="35"/>
      <c r="M158" s="35"/>
      <c r="N158" s="35"/>
      <c r="O158" s="35"/>
      <c r="P158" s="35"/>
    </row>
    <row r="159" spans="2:16">
      <c r="B159" s="28"/>
      <c r="C159" s="196"/>
      <c r="D159" s="47"/>
      <c r="E159" s="28"/>
      <c r="F159" s="215"/>
      <c r="G159" s="215"/>
      <c r="H159" s="2"/>
      <c r="I159" s="19"/>
      <c r="K159" s="35"/>
      <c r="M159" s="35"/>
      <c r="N159" s="35"/>
      <c r="O159" s="35"/>
      <c r="P159" s="35"/>
    </row>
    <row r="160" spans="2:16">
      <c r="B160" s="28"/>
      <c r="C160" s="196"/>
      <c r="D160" s="47"/>
      <c r="E160" s="28"/>
      <c r="F160" s="215"/>
      <c r="G160" s="215"/>
      <c r="H160" s="2"/>
      <c r="I160" s="19"/>
      <c r="K160" s="35"/>
      <c r="M160" s="35"/>
      <c r="N160" s="35"/>
      <c r="O160" s="35"/>
      <c r="P160" s="35"/>
    </row>
    <row r="161" spans="2:16">
      <c r="B161" s="28"/>
      <c r="C161" s="196"/>
      <c r="D161" s="47"/>
      <c r="E161" s="28"/>
      <c r="F161" s="215"/>
      <c r="G161" s="215"/>
      <c r="H161" s="2"/>
      <c r="I161" s="19"/>
      <c r="K161" s="35"/>
      <c r="M161" s="35"/>
      <c r="N161" s="35"/>
      <c r="O161" s="35"/>
      <c r="P161" s="35"/>
    </row>
    <row r="162" spans="2:16">
      <c r="B162" s="28"/>
      <c r="C162" s="196"/>
      <c r="D162" s="47"/>
      <c r="E162" s="28"/>
      <c r="F162" s="215"/>
      <c r="G162" s="215"/>
      <c r="H162" s="2"/>
      <c r="I162" s="19"/>
      <c r="K162" s="35"/>
      <c r="M162" s="35"/>
      <c r="N162" s="35"/>
      <c r="O162" s="35"/>
      <c r="P162" s="35"/>
    </row>
    <row r="163" spans="2:16">
      <c r="B163" s="28"/>
      <c r="C163" s="196"/>
      <c r="D163" s="47"/>
      <c r="E163" s="28"/>
      <c r="F163" s="215"/>
      <c r="G163" s="215"/>
      <c r="H163" s="2"/>
      <c r="I163" s="19"/>
      <c r="K163" s="35"/>
      <c r="M163" s="35"/>
      <c r="N163" s="35"/>
      <c r="O163" s="35"/>
      <c r="P163" s="35"/>
    </row>
    <row r="164" spans="2:16">
      <c r="B164" s="28"/>
      <c r="C164" s="196"/>
      <c r="D164" s="47"/>
      <c r="E164" s="28"/>
      <c r="F164" s="215"/>
      <c r="G164" s="215"/>
      <c r="H164" s="2"/>
      <c r="I164" s="19"/>
      <c r="K164" s="35"/>
      <c r="M164" s="35"/>
      <c r="N164" s="35"/>
      <c r="O164" s="35"/>
      <c r="P164" s="35"/>
    </row>
    <row r="165" spans="2:16">
      <c r="B165" s="28"/>
      <c r="C165" s="196"/>
      <c r="D165" s="47"/>
      <c r="E165" s="28"/>
      <c r="F165" s="215"/>
      <c r="G165" s="215"/>
      <c r="H165" s="2"/>
      <c r="I165" s="19"/>
      <c r="K165" s="35"/>
      <c r="M165" s="35"/>
      <c r="N165" s="35"/>
      <c r="O165" s="35"/>
      <c r="P165" s="35"/>
    </row>
    <row r="166" spans="2:16">
      <c r="D166" s="47"/>
      <c r="E166" s="143"/>
      <c r="H166" s="2"/>
      <c r="I166" s="30"/>
    </row>
    <row r="167" spans="2:16">
      <c r="D167" s="47"/>
      <c r="E167" s="143"/>
      <c r="H167" s="2"/>
      <c r="I167" s="30"/>
    </row>
    <row r="168" spans="2:16">
      <c r="D168" s="47"/>
      <c r="E168" s="143"/>
      <c r="H168" s="2"/>
      <c r="I168" s="30"/>
    </row>
    <row r="169" spans="2:16">
      <c r="D169" s="47"/>
      <c r="E169" s="143"/>
      <c r="H169" s="2"/>
      <c r="I169" s="30"/>
    </row>
    <row r="170" spans="2:16">
      <c r="D170" s="47"/>
      <c r="E170" s="143"/>
      <c r="H170" s="2"/>
      <c r="I170" s="30"/>
    </row>
    <row r="171" spans="2:16">
      <c r="D171" s="47"/>
      <c r="E171" s="143"/>
      <c r="H171" s="2"/>
      <c r="I171" s="30"/>
    </row>
    <row r="172" spans="2:16">
      <c r="D172" s="47"/>
      <c r="E172" s="143"/>
      <c r="H172" s="2"/>
      <c r="I172" s="30"/>
    </row>
    <row r="173" spans="2:16">
      <c r="D173" s="47"/>
      <c r="E173" s="143"/>
      <c r="H173" s="2"/>
      <c r="I173" s="30"/>
    </row>
    <row r="174" spans="2:16">
      <c r="D174" s="47"/>
      <c r="E174" s="143"/>
      <c r="H174" s="2"/>
      <c r="I174" s="30"/>
    </row>
    <row r="175" spans="2:16">
      <c r="D175" s="47"/>
      <c r="E175" s="143"/>
      <c r="H175" s="2"/>
      <c r="I175" s="30"/>
    </row>
    <row r="176" spans="2:16">
      <c r="D176" s="47"/>
      <c r="E176" s="143"/>
      <c r="H176" s="2"/>
      <c r="I176" s="30"/>
    </row>
    <row r="177" spans="4:9">
      <c r="D177" s="47"/>
      <c r="E177" s="143"/>
      <c r="H177" s="2"/>
      <c r="I177" s="30"/>
    </row>
    <row r="178" spans="4:9">
      <c r="D178" s="47"/>
      <c r="E178" s="143"/>
      <c r="H178" s="2"/>
      <c r="I178" s="30"/>
    </row>
    <row r="179" spans="4:9">
      <c r="D179" s="47"/>
      <c r="E179" s="143"/>
      <c r="H179" s="2"/>
      <c r="I179" s="30"/>
    </row>
    <row r="180" spans="4:9">
      <c r="D180" s="47"/>
      <c r="E180" s="143"/>
      <c r="H180" s="2"/>
      <c r="I180" s="30"/>
    </row>
    <row r="181" spans="4:9">
      <c r="D181" s="47"/>
      <c r="E181" s="143"/>
      <c r="H181" s="2"/>
      <c r="I181" s="30"/>
    </row>
    <row r="182" spans="4:9">
      <c r="D182" s="47"/>
      <c r="E182" s="143"/>
      <c r="H182" s="2"/>
      <c r="I182" s="30"/>
    </row>
    <row r="183" spans="4:9">
      <c r="D183" s="47"/>
      <c r="E183" s="143"/>
      <c r="H183" s="2"/>
      <c r="I183" s="30"/>
    </row>
    <row r="184" spans="4:9">
      <c r="D184" s="47"/>
      <c r="E184" s="143"/>
      <c r="H184" s="2"/>
      <c r="I184" s="30"/>
    </row>
    <row r="185" spans="4:9">
      <c r="D185" s="47"/>
      <c r="E185" s="143"/>
      <c r="H185" s="2"/>
      <c r="I185" s="30"/>
    </row>
    <row r="186" spans="4:9">
      <c r="D186" s="47"/>
      <c r="E186" s="143"/>
      <c r="H186" s="2"/>
      <c r="I186" s="30"/>
    </row>
    <row r="187" spans="4:9">
      <c r="D187" s="47"/>
      <c r="E187" s="143"/>
      <c r="H187" s="2"/>
      <c r="I187" s="30"/>
    </row>
    <row r="188" spans="4:9">
      <c r="D188" s="47"/>
      <c r="E188" s="143"/>
      <c r="H188" s="2"/>
      <c r="I188" s="30"/>
    </row>
    <row r="189" spans="4:9">
      <c r="D189" s="47"/>
      <c r="E189" s="143"/>
      <c r="H189" s="2"/>
      <c r="I189" s="30"/>
    </row>
    <row r="190" spans="4:9">
      <c r="D190" s="47"/>
      <c r="E190" s="143"/>
      <c r="H190" s="2"/>
      <c r="I190" s="30"/>
    </row>
    <row r="191" spans="4:9">
      <c r="D191" s="47"/>
      <c r="E191" s="143"/>
      <c r="H191" s="2"/>
      <c r="I191" s="30"/>
    </row>
    <row r="192" spans="4:9">
      <c r="D192" s="47"/>
      <c r="E192" s="143"/>
      <c r="H192" s="2"/>
      <c r="I192" s="30"/>
    </row>
    <row r="193" spans="4:9">
      <c r="D193" s="47"/>
      <c r="E193" s="143"/>
      <c r="H193" s="2"/>
      <c r="I193" s="30"/>
    </row>
    <row r="194" spans="4:9">
      <c r="D194" s="47"/>
      <c r="E194" s="143"/>
      <c r="H194" s="2"/>
      <c r="I194" s="30"/>
    </row>
    <row r="195" spans="4:9">
      <c r="D195" s="47"/>
      <c r="E195" s="143"/>
      <c r="H195" s="2"/>
      <c r="I195" s="30"/>
    </row>
    <row r="196" spans="4:9">
      <c r="D196" s="47"/>
      <c r="E196" s="143"/>
      <c r="H196" s="2"/>
      <c r="I196" s="30"/>
    </row>
    <row r="197" spans="4:9">
      <c r="D197" s="47"/>
      <c r="E197" s="143"/>
      <c r="H197" s="2"/>
      <c r="I197" s="30"/>
    </row>
    <row r="198" spans="4:9">
      <c r="D198" s="47"/>
      <c r="E198" s="143"/>
      <c r="H198" s="2"/>
      <c r="I198" s="30"/>
    </row>
    <row r="199" spans="4:9">
      <c r="D199" s="47"/>
      <c r="E199" s="143"/>
      <c r="H199" s="2"/>
      <c r="I199" s="30"/>
    </row>
    <row r="200" spans="4:9">
      <c r="D200" s="47"/>
      <c r="E200" s="143"/>
      <c r="H200" s="2"/>
      <c r="I200" s="30"/>
    </row>
    <row r="201" spans="4:9">
      <c r="D201" s="47"/>
      <c r="E201" s="143"/>
      <c r="H201" s="2"/>
      <c r="I201" s="30"/>
    </row>
    <row r="202" spans="4:9">
      <c r="D202" s="47"/>
      <c r="E202" s="143"/>
      <c r="H202" s="2"/>
      <c r="I202" s="30"/>
    </row>
    <row r="203" spans="4:9">
      <c r="D203" s="47"/>
      <c r="E203" s="143"/>
      <c r="H203" s="2"/>
      <c r="I203" s="30"/>
    </row>
    <row r="204" spans="4:9">
      <c r="D204" s="47"/>
      <c r="E204" s="143"/>
      <c r="H204" s="2"/>
      <c r="I204" s="30"/>
    </row>
    <row r="205" spans="4:9">
      <c r="D205" s="47"/>
      <c r="E205" s="143"/>
      <c r="H205" s="2"/>
      <c r="I205" s="30"/>
    </row>
    <row r="206" spans="4:9">
      <c r="D206" s="47"/>
      <c r="E206" s="143"/>
      <c r="H206" s="2"/>
      <c r="I206" s="30"/>
    </row>
    <row r="207" spans="4:9">
      <c r="D207" s="47"/>
      <c r="E207" s="143"/>
      <c r="H207" s="2"/>
      <c r="I207" s="30"/>
    </row>
    <row r="208" spans="4:9">
      <c r="D208" s="47"/>
      <c r="E208" s="143"/>
      <c r="H208" s="2"/>
      <c r="I208" s="30"/>
    </row>
    <row r="209" spans="4:9">
      <c r="D209" s="47"/>
      <c r="E209" s="143"/>
      <c r="H209" s="2"/>
      <c r="I209" s="30"/>
    </row>
    <row r="210" spans="4:9">
      <c r="D210" s="47"/>
      <c r="E210" s="143"/>
      <c r="H210" s="2"/>
      <c r="I210" s="30"/>
    </row>
    <row r="211" spans="4:9">
      <c r="D211" s="47"/>
      <c r="E211" s="143"/>
      <c r="H211" s="2"/>
      <c r="I211" s="30"/>
    </row>
    <row r="212" spans="4:9">
      <c r="D212" s="47"/>
      <c r="E212" s="143"/>
      <c r="H212" s="2"/>
      <c r="I212" s="30"/>
    </row>
    <row r="213" spans="4:9">
      <c r="D213" s="47"/>
      <c r="E213" s="143"/>
      <c r="H213" s="2"/>
      <c r="I213" s="30"/>
    </row>
    <row r="214" spans="4:9">
      <c r="D214" s="47"/>
      <c r="E214" s="143"/>
      <c r="H214" s="2"/>
      <c r="I214" s="30"/>
    </row>
    <row r="215" spans="4:9">
      <c r="D215" s="47"/>
      <c r="E215" s="143"/>
      <c r="H215" s="2"/>
      <c r="I215" s="30"/>
    </row>
    <row r="216" spans="4:9">
      <c r="D216" s="47"/>
      <c r="E216" s="143"/>
      <c r="H216" s="2"/>
      <c r="I216" s="30"/>
    </row>
    <row r="217" spans="4:9">
      <c r="D217" s="47"/>
      <c r="E217" s="143"/>
      <c r="H217" s="2"/>
      <c r="I217" s="30"/>
    </row>
    <row r="218" spans="4:9">
      <c r="D218" s="47"/>
      <c r="E218" s="143"/>
      <c r="H218" s="2"/>
      <c r="I218" s="30"/>
    </row>
    <row r="219" spans="4:9">
      <c r="D219" s="47"/>
      <c r="E219" s="143"/>
      <c r="H219" s="2"/>
      <c r="I219" s="30"/>
    </row>
    <row r="220" spans="4:9">
      <c r="D220" s="47"/>
      <c r="E220" s="143"/>
      <c r="H220" s="2"/>
      <c r="I220" s="30"/>
    </row>
    <row r="221" spans="4:9">
      <c r="D221" s="47"/>
      <c r="E221" s="143"/>
      <c r="H221" s="2"/>
      <c r="I221" s="30"/>
    </row>
    <row r="222" spans="4:9">
      <c r="D222" s="47"/>
      <c r="E222" s="143"/>
      <c r="H222" s="2"/>
      <c r="I222" s="30"/>
    </row>
    <row r="223" spans="4:9">
      <c r="D223" s="47"/>
      <c r="E223" s="143"/>
      <c r="H223" s="2"/>
      <c r="I223" s="30"/>
    </row>
    <row r="224" spans="4:9">
      <c r="D224" s="47"/>
      <c r="E224" s="143"/>
      <c r="H224" s="2"/>
      <c r="I224" s="30"/>
    </row>
    <row r="225" spans="4:9">
      <c r="D225" s="47"/>
      <c r="E225" s="143"/>
      <c r="H225" s="2"/>
      <c r="I225" s="30"/>
    </row>
    <row r="226" spans="4:9">
      <c r="D226" s="47"/>
      <c r="E226" s="143"/>
      <c r="H226" s="2"/>
      <c r="I226" s="30"/>
    </row>
    <row r="227" spans="4:9">
      <c r="D227" s="47"/>
      <c r="E227" s="143"/>
      <c r="H227" s="2"/>
      <c r="I227" s="30"/>
    </row>
    <row r="228" spans="4:9">
      <c r="D228" s="47"/>
      <c r="E228" s="143"/>
      <c r="H228" s="2"/>
      <c r="I228" s="30"/>
    </row>
    <row r="229" spans="4:9">
      <c r="D229" s="47"/>
      <c r="E229" s="143"/>
      <c r="H229" s="2"/>
      <c r="I229" s="30"/>
    </row>
    <row r="230" spans="4:9">
      <c r="D230" s="47"/>
      <c r="E230" s="143"/>
      <c r="H230" s="2"/>
      <c r="I230" s="30"/>
    </row>
    <row r="231" spans="4:9">
      <c r="D231" s="47"/>
      <c r="E231" s="143"/>
      <c r="H231" s="2"/>
      <c r="I231" s="30"/>
    </row>
    <row r="232" spans="4:9">
      <c r="D232" s="47"/>
      <c r="E232" s="143"/>
      <c r="H232" s="2"/>
      <c r="I232" s="30"/>
    </row>
    <row r="233" spans="4:9">
      <c r="D233" s="47"/>
      <c r="E233" s="143"/>
      <c r="H233" s="2"/>
      <c r="I233" s="30"/>
    </row>
    <row r="234" spans="4:9">
      <c r="D234" s="47"/>
      <c r="E234" s="143"/>
      <c r="H234" s="2"/>
      <c r="I234" s="30"/>
    </row>
    <row r="235" spans="4:9">
      <c r="D235" s="47"/>
      <c r="E235" s="143"/>
      <c r="H235" s="2"/>
      <c r="I235" s="30"/>
    </row>
    <row r="236" spans="4:9">
      <c r="D236" s="47"/>
      <c r="E236" s="143"/>
      <c r="H236" s="2"/>
      <c r="I236" s="30"/>
    </row>
    <row r="237" spans="4:9">
      <c r="D237" s="47"/>
      <c r="E237" s="143"/>
      <c r="H237" s="2"/>
      <c r="I237" s="30"/>
    </row>
    <row r="238" spans="4:9">
      <c r="D238" s="47"/>
      <c r="E238" s="143"/>
      <c r="H238" s="2"/>
      <c r="I238" s="30"/>
    </row>
    <row r="239" spans="4:9">
      <c r="D239" s="47"/>
      <c r="E239" s="143"/>
      <c r="H239" s="2"/>
      <c r="I239" s="30"/>
    </row>
    <row r="240" spans="4:9">
      <c r="D240" s="47"/>
      <c r="E240" s="143"/>
      <c r="H240" s="2"/>
      <c r="I240" s="30"/>
    </row>
    <row r="241" spans="4:9">
      <c r="D241" s="47"/>
      <c r="E241" s="143"/>
      <c r="H241" s="2"/>
      <c r="I241" s="30"/>
    </row>
    <row r="242" spans="4:9">
      <c r="D242" s="47"/>
      <c r="E242" s="143"/>
      <c r="H242" s="2"/>
      <c r="I242" s="30"/>
    </row>
    <row r="243" spans="4:9">
      <c r="D243" s="47"/>
      <c r="E243" s="143"/>
      <c r="H243" s="2"/>
      <c r="I243" s="30"/>
    </row>
    <row r="244" spans="4:9">
      <c r="D244" s="47"/>
      <c r="E244" s="143"/>
      <c r="H244" s="2"/>
      <c r="I244" s="30"/>
    </row>
    <row r="245" spans="4:9">
      <c r="D245" s="47"/>
      <c r="E245" s="143"/>
      <c r="H245" s="2"/>
      <c r="I245" s="30"/>
    </row>
    <row r="246" spans="4:9">
      <c r="D246" s="47"/>
      <c r="E246" s="143"/>
      <c r="H246" s="2"/>
      <c r="I246" s="30"/>
    </row>
    <row r="247" spans="4:9">
      <c r="D247" s="47"/>
      <c r="E247" s="143"/>
      <c r="H247" s="2"/>
      <c r="I247" s="30"/>
    </row>
    <row r="248" spans="4:9">
      <c r="D248" s="47"/>
      <c r="E248" s="143"/>
      <c r="H248" s="2"/>
      <c r="I248" s="30"/>
    </row>
    <row r="249" spans="4:9">
      <c r="D249" s="47"/>
      <c r="E249" s="143"/>
      <c r="H249" s="2"/>
      <c r="I249" s="30"/>
    </row>
    <row r="250" spans="4:9">
      <c r="D250" s="47"/>
      <c r="E250" s="143"/>
      <c r="H250" s="2"/>
      <c r="I250" s="30"/>
    </row>
    <row r="251" spans="4:9">
      <c r="D251" s="47"/>
      <c r="E251" s="143"/>
      <c r="H251" s="2"/>
      <c r="I251" s="30"/>
    </row>
    <row r="252" spans="4:9">
      <c r="D252" s="47"/>
      <c r="E252" s="143"/>
      <c r="H252" s="2"/>
      <c r="I252" s="30"/>
    </row>
    <row r="253" spans="4:9">
      <c r="D253" s="47"/>
      <c r="E253" s="143"/>
      <c r="H253" s="2"/>
      <c r="I253" s="30"/>
    </row>
    <row r="254" spans="4:9">
      <c r="D254" s="47"/>
      <c r="E254" s="143"/>
      <c r="H254" s="2"/>
      <c r="I254" s="30"/>
    </row>
    <row r="255" spans="4:9">
      <c r="D255" s="47"/>
      <c r="E255" s="143"/>
      <c r="H255" s="2"/>
      <c r="I255" s="30"/>
    </row>
    <row r="256" spans="4:9">
      <c r="D256" s="47"/>
      <c r="E256" s="143"/>
      <c r="H256" s="2"/>
      <c r="I256" s="30"/>
    </row>
    <row r="257" spans="4:9">
      <c r="D257" s="47"/>
      <c r="E257" s="143"/>
      <c r="H257" s="2"/>
      <c r="I257" s="30"/>
    </row>
    <row r="258" spans="4:9">
      <c r="D258" s="47"/>
      <c r="E258" s="143"/>
      <c r="H258" s="2"/>
      <c r="I258" s="30"/>
    </row>
    <row r="259" spans="4:9">
      <c r="D259" s="47"/>
      <c r="E259" s="143"/>
      <c r="H259" s="2"/>
      <c r="I259" s="30"/>
    </row>
    <row r="260" spans="4:9">
      <c r="D260" s="47"/>
      <c r="E260" s="143"/>
      <c r="H260" s="2"/>
      <c r="I260" s="30"/>
    </row>
    <row r="261" spans="4:9">
      <c r="D261" s="47"/>
      <c r="E261" s="143"/>
      <c r="H261" s="2"/>
      <c r="I261" s="30"/>
    </row>
    <row r="262" spans="4:9">
      <c r="D262" s="47"/>
      <c r="E262" s="143"/>
      <c r="H262" s="2"/>
      <c r="I262" s="30"/>
    </row>
    <row r="263" spans="4:9">
      <c r="D263" s="47"/>
      <c r="E263" s="143"/>
      <c r="H263" s="2"/>
      <c r="I263" s="30"/>
    </row>
    <row r="264" spans="4:9">
      <c r="D264" s="47"/>
      <c r="E264" s="143"/>
      <c r="H264" s="2"/>
      <c r="I264" s="30"/>
    </row>
    <row r="265" spans="4:9">
      <c r="D265" s="47"/>
      <c r="E265" s="143"/>
      <c r="H265" s="2"/>
      <c r="I265" s="30"/>
    </row>
    <row r="266" spans="4:9">
      <c r="D266" s="47"/>
      <c r="E266" s="143"/>
      <c r="H266" s="2"/>
      <c r="I266" s="30"/>
    </row>
    <row r="267" spans="4:9">
      <c r="D267" s="47"/>
      <c r="E267" s="143"/>
      <c r="H267" s="2"/>
      <c r="I267" s="30"/>
    </row>
    <row r="268" spans="4:9">
      <c r="D268" s="47"/>
      <c r="E268" s="143"/>
      <c r="H268" s="2"/>
      <c r="I268" s="30"/>
    </row>
    <row r="269" spans="4:9">
      <c r="D269" s="47"/>
      <c r="E269" s="143"/>
      <c r="H269" s="2"/>
      <c r="I269" s="30"/>
    </row>
    <row r="270" spans="4:9">
      <c r="D270" s="47"/>
      <c r="E270" s="143"/>
      <c r="H270" s="2"/>
      <c r="I270" s="30"/>
    </row>
    <row r="271" spans="4:9">
      <c r="D271" s="47"/>
      <c r="E271" s="143"/>
      <c r="H271" s="2"/>
      <c r="I271" s="30"/>
    </row>
    <row r="272" spans="4:9">
      <c r="D272" s="47"/>
      <c r="E272" s="143"/>
      <c r="H272" s="2"/>
      <c r="I272" s="30"/>
    </row>
    <row r="273" spans="4:9">
      <c r="D273" s="47"/>
      <c r="E273" s="143"/>
      <c r="H273" s="2"/>
      <c r="I273" s="30"/>
    </row>
    <row r="274" spans="4:9">
      <c r="D274" s="47"/>
      <c r="E274" s="143"/>
      <c r="H274" s="2"/>
      <c r="I274" s="30"/>
    </row>
    <row r="275" spans="4:9">
      <c r="D275" s="47"/>
      <c r="E275" s="143"/>
      <c r="H275" s="2"/>
      <c r="I275" s="30"/>
    </row>
    <row r="276" spans="4:9">
      <c r="D276" s="47"/>
      <c r="E276" s="143"/>
      <c r="H276" s="2"/>
      <c r="I276" s="30"/>
    </row>
    <row r="277" spans="4:9">
      <c r="D277" s="47"/>
      <c r="E277" s="143"/>
      <c r="H277" s="2"/>
      <c r="I277" s="30"/>
    </row>
    <row r="278" spans="4:9">
      <c r="D278" s="47"/>
      <c r="E278" s="143"/>
      <c r="H278" s="2"/>
      <c r="I278" s="30"/>
    </row>
    <row r="279" spans="4:9">
      <c r="D279" s="47"/>
      <c r="E279" s="143"/>
      <c r="H279" s="2"/>
      <c r="I279" s="30"/>
    </row>
    <row r="280" spans="4:9">
      <c r="D280" s="47"/>
      <c r="E280" s="143"/>
      <c r="H280" s="2"/>
      <c r="I280" s="30"/>
    </row>
    <row r="281" spans="4:9">
      <c r="D281" s="47"/>
      <c r="E281" s="143"/>
      <c r="H281" s="2"/>
      <c r="I281" s="30"/>
    </row>
    <row r="282" spans="4:9">
      <c r="D282" s="47"/>
      <c r="E282" s="143"/>
      <c r="H282" s="2"/>
      <c r="I282" s="30"/>
    </row>
    <row r="283" spans="4:9">
      <c r="D283" s="47"/>
      <c r="E283" s="143"/>
      <c r="H283" s="2"/>
      <c r="I283" s="30"/>
    </row>
    <row r="284" spans="4:9">
      <c r="D284" s="47"/>
      <c r="E284" s="143"/>
      <c r="H284" s="2"/>
      <c r="I284" s="30"/>
    </row>
    <row r="285" spans="4:9">
      <c r="D285" s="47"/>
      <c r="E285" s="143"/>
      <c r="H285" s="2"/>
      <c r="I285" s="30"/>
    </row>
    <row r="286" spans="4:9">
      <c r="D286" s="47"/>
      <c r="E286" s="143"/>
      <c r="H286" s="2"/>
      <c r="I286" s="30"/>
    </row>
    <row r="287" spans="4:9">
      <c r="D287" s="47"/>
      <c r="E287" s="143"/>
      <c r="H287" s="2"/>
      <c r="I287" s="30"/>
    </row>
    <row r="288" spans="4:9">
      <c r="D288" s="47"/>
      <c r="E288" s="143"/>
      <c r="H288" s="2"/>
      <c r="I288" s="30"/>
    </row>
    <row r="289" spans="4:9">
      <c r="D289" s="47"/>
      <c r="E289" s="143"/>
      <c r="H289" s="2"/>
      <c r="I289" s="30"/>
    </row>
    <row r="290" spans="4:9">
      <c r="D290" s="47"/>
      <c r="E290" s="143"/>
      <c r="H290" s="2"/>
      <c r="I290" s="30"/>
    </row>
    <row r="291" spans="4:9">
      <c r="D291" s="47"/>
      <c r="E291" s="143"/>
      <c r="H291" s="2"/>
      <c r="I291" s="30"/>
    </row>
    <row r="292" spans="4:9">
      <c r="D292" s="47"/>
      <c r="E292" s="143"/>
      <c r="H292" s="2"/>
      <c r="I292" s="30"/>
    </row>
    <row r="293" spans="4:9">
      <c r="D293" s="47"/>
      <c r="E293" s="143"/>
      <c r="H293" s="2"/>
      <c r="I293" s="30"/>
    </row>
    <row r="294" spans="4:9">
      <c r="D294" s="47"/>
      <c r="E294" s="143"/>
      <c r="H294" s="2"/>
      <c r="I294" s="30"/>
    </row>
    <row r="295" spans="4:9">
      <c r="D295" s="47"/>
      <c r="E295" s="143"/>
      <c r="H295" s="2"/>
      <c r="I295" s="30"/>
    </row>
    <row r="296" spans="4:9">
      <c r="D296" s="47"/>
      <c r="E296" s="143"/>
      <c r="H296" s="2"/>
      <c r="I296" s="30"/>
    </row>
    <row r="297" spans="4:9">
      <c r="D297" s="47"/>
      <c r="E297" s="143"/>
      <c r="H297" s="2"/>
      <c r="I297" s="30"/>
    </row>
    <row r="298" spans="4:9">
      <c r="D298" s="47"/>
      <c r="E298" s="143"/>
      <c r="H298" s="2"/>
      <c r="I298" s="30"/>
    </row>
    <row r="299" spans="4:9">
      <c r="D299" s="47"/>
      <c r="E299" s="143"/>
      <c r="H299" s="2"/>
      <c r="I299" s="30"/>
    </row>
    <row r="300" spans="4:9">
      <c r="D300" s="47"/>
      <c r="E300" s="143"/>
      <c r="H300" s="2"/>
      <c r="I300" s="30"/>
    </row>
    <row r="301" spans="4:9">
      <c r="D301" s="47"/>
      <c r="E301" s="143"/>
      <c r="H301" s="2"/>
      <c r="I301" s="30"/>
    </row>
    <row r="302" spans="4:9">
      <c r="D302" s="47"/>
      <c r="E302" s="143"/>
      <c r="H302" s="2"/>
      <c r="I302" s="30"/>
    </row>
    <row r="303" spans="4:9">
      <c r="D303" s="47"/>
      <c r="E303" s="143"/>
      <c r="H303" s="2"/>
      <c r="I303" s="30"/>
    </row>
    <row r="304" spans="4:9">
      <c r="D304" s="47"/>
      <c r="E304" s="143"/>
      <c r="H304" s="2"/>
      <c r="I304" s="30"/>
    </row>
    <row r="305" spans="4:9">
      <c r="D305" s="47"/>
      <c r="E305" s="143"/>
      <c r="H305" s="2"/>
      <c r="I305" s="30"/>
    </row>
    <row r="306" spans="4:9">
      <c r="D306" s="47"/>
      <c r="E306" s="143"/>
      <c r="H306" s="2"/>
      <c r="I306" s="30"/>
    </row>
    <row r="307" spans="4:9">
      <c r="D307" s="47"/>
      <c r="E307" s="143"/>
      <c r="H307" s="2"/>
      <c r="I307" s="30"/>
    </row>
    <row r="308" spans="4:9">
      <c r="D308" s="47"/>
      <c r="E308" s="143"/>
      <c r="H308" s="2"/>
      <c r="I308" s="30"/>
    </row>
    <row r="309" spans="4:9">
      <c r="D309" s="47"/>
      <c r="E309" s="143"/>
      <c r="H309" s="2"/>
      <c r="I309" s="30"/>
    </row>
    <row r="310" spans="4:9">
      <c r="D310" s="47"/>
      <c r="E310" s="143"/>
      <c r="H310" s="2"/>
      <c r="I310" s="30"/>
    </row>
    <row r="311" spans="4:9">
      <c r="D311" s="47"/>
      <c r="E311" s="143"/>
      <c r="H311" s="2"/>
      <c r="I311" s="30"/>
    </row>
    <row r="312" spans="4:9">
      <c r="D312" s="47"/>
      <c r="E312" s="143"/>
      <c r="H312" s="2"/>
      <c r="I312" s="30"/>
    </row>
    <row r="313" spans="4:9">
      <c r="D313" s="47"/>
      <c r="E313" s="143"/>
      <c r="H313" s="2"/>
      <c r="I313" s="30"/>
    </row>
    <row r="314" spans="4:9">
      <c r="D314" s="47"/>
      <c r="E314" s="143"/>
      <c r="H314" s="2"/>
      <c r="I314" s="30"/>
    </row>
    <row r="315" spans="4:9">
      <c r="D315" s="47"/>
      <c r="E315" s="143"/>
      <c r="H315" s="2"/>
      <c r="I315" s="30"/>
    </row>
    <row r="316" spans="4:9">
      <c r="D316" s="47"/>
      <c r="E316" s="143"/>
      <c r="H316" s="2"/>
      <c r="I316" s="30"/>
    </row>
    <row r="317" spans="4:9">
      <c r="D317" s="47"/>
      <c r="E317" s="143"/>
      <c r="H317" s="2"/>
      <c r="I317" s="30"/>
    </row>
    <row r="318" spans="4:9">
      <c r="D318" s="47"/>
      <c r="E318" s="143"/>
      <c r="H318" s="2"/>
      <c r="I318" s="30"/>
    </row>
    <row r="319" spans="4:9">
      <c r="D319" s="47"/>
      <c r="E319" s="143"/>
      <c r="H319" s="2"/>
      <c r="I319" s="30"/>
    </row>
    <row r="320" spans="4:9">
      <c r="D320" s="47"/>
      <c r="E320" s="143"/>
      <c r="H320" s="2"/>
      <c r="I320" s="30"/>
    </row>
    <row r="321" spans="4:9">
      <c r="D321" s="47"/>
      <c r="E321" s="143"/>
      <c r="H321" s="2"/>
      <c r="I321" s="30"/>
    </row>
    <row r="322" spans="4:9">
      <c r="D322" s="47"/>
      <c r="E322" s="143"/>
      <c r="H322" s="2"/>
      <c r="I322" s="30"/>
    </row>
    <row r="323" spans="4:9">
      <c r="D323" s="47"/>
      <c r="E323" s="143"/>
      <c r="H323" s="2"/>
      <c r="I323" s="30"/>
    </row>
    <row r="324" spans="4:9">
      <c r="D324" s="47"/>
      <c r="E324" s="143"/>
      <c r="H324" s="2"/>
      <c r="I324" s="30"/>
    </row>
    <row r="325" spans="4:9">
      <c r="D325" s="47"/>
      <c r="E325" s="143"/>
      <c r="H325" s="2"/>
      <c r="I325" s="30"/>
    </row>
    <row r="326" spans="4:9">
      <c r="D326" s="47"/>
      <c r="E326" s="143"/>
      <c r="H326" s="2"/>
      <c r="I326" s="30"/>
    </row>
    <row r="327" spans="4:9">
      <c r="D327" s="47"/>
      <c r="E327" s="143"/>
      <c r="H327" s="2"/>
      <c r="I327" s="30"/>
    </row>
    <row r="328" spans="4:9">
      <c r="D328" s="47"/>
      <c r="E328" s="143"/>
      <c r="H328" s="2"/>
      <c r="I328" s="30"/>
    </row>
    <row r="329" spans="4:9">
      <c r="D329" s="47"/>
      <c r="E329" s="143"/>
      <c r="H329" s="2"/>
      <c r="I329" s="30"/>
    </row>
    <row r="330" spans="4:9">
      <c r="D330" s="47"/>
      <c r="E330" s="143"/>
      <c r="H330" s="2"/>
      <c r="I330" s="30"/>
    </row>
    <row r="331" spans="4:9">
      <c r="D331" s="47"/>
      <c r="E331" s="143"/>
      <c r="H331" s="2"/>
      <c r="I331" s="30"/>
    </row>
    <row r="332" spans="4:9">
      <c r="D332" s="47"/>
      <c r="E332" s="143"/>
      <c r="H332" s="2"/>
      <c r="I332" s="30"/>
    </row>
    <row r="333" spans="4:9">
      <c r="D333" s="47"/>
      <c r="E333" s="143"/>
      <c r="H333" s="2"/>
      <c r="I333" s="30"/>
    </row>
    <row r="334" spans="4:9">
      <c r="D334" s="47"/>
      <c r="E334" s="143"/>
      <c r="H334" s="2"/>
      <c r="I334" s="30"/>
    </row>
    <row r="335" spans="4:9">
      <c r="D335" s="47"/>
      <c r="E335" s="143"/>
      <c r="H335" s="2"/>
      <c r="I335" s="30"/>
    </row>
    <row r="336" spans="4:9">
      <c r="D336" s="47"/>
      <c r="E336" s="143"/>
      <c r="H336" s="2"/>
      <c r="I336" s="30"/>
    </row>
    <row r="337" spans="4:9">
      <c r="D337" s="47"/>
      <c r="E337" s="143"/>
      <c r="H337" s="2"/>
      <c r="I337" s="30"/>
    </row>
    <row r="338" spans="4:9">
      <c r="D338" s="47"/>
      <c r="E338" s="143"/>
      <c r="H338" s="2"/>
      <c r="I338" s="30"/>
    </row>
    <row r="339" spans="4:9">
      <c r="D339" s="47"/>
      <c r="E339" s="143"/>
      <c r="H339" s="2"/>
      <c r="I339" s="30"/>
    </row>
    <row r="340" spans="4:9">
      <c r="D340" s="47"/>
      <c r="E340" s="143"/>
      <c r="H340" s="2"/>
      <c r="I340" s="30"/>
    </row>
    <row r="341" spans="4:9">
      <c r="D341" s="47"/>
      <c r="E341" s="143"/>
      <c r="H341" s="2"/>
      <c r="I341" s="30"/>
    </row>
    <row r="342" spans="4:9">
      <c r="D342" s="47"/>
      <c r="E342" s="143"/>
      <c r="H342" s="2"/>
      <c r="I342" s="30"/>
    </row>
    <row r="343" spans="4:9">
      <c r="D343" s="47"/>
      <c r="E343" s="143"/>
      <c r="H343" s="2"/>
      <c r="I343" s="30"/>
    </row>
    <row r="344" spans="4:9">
      <c r="D344" s="47"/>
      <c r="E344" s="143"/>
      <c r="H344" s="2"/>
      <c r="I344" s="30"/>
    </row>
    <row r="345" spans="4:9">
      <c r="D345" s="47"/>
      <c r="E345" s="143"/>
      <c r="H345" s="2"/>
      <c r="I345" s="30"/>
    </row>
    <row r="346" spans="4:9">
      <c r="D346" s="47"/>
      <c r="E346" s="143"/>
      <c r="H346" s="2"/>
      <c r="I346" s="30"/>
    </row>
    <row r="347" spans="4:9">
      <c r="D347" s="47"/>
      <c r="E347" s="143"/>
      <c r="H347" s="2"/>
      <c r="I347" s="30"/>
    </row>
    <row r="348" spans="4:9">
      <c r="D348" s="47"/>
      <c r="E348" s="143"/>
      <c r="H348" s="2"/>
      <c r="I348" s="30"/>
    </row>
    <row r="349" spans="4:9">
      <c r="D349" s="47"/>
      <c r="E349" s="143"/>
      <c r="H349" s="2"/>
      <c r="I349" s="30"/>
    </row>
    <row r="350" spans="4:9">
      <c r="D350" s="47"/>
      <c r="E350" s="143"/>
      <c r="H350" s="2"/>
      <c r="I350" s="30"/>
    </row>
    <row r="351" spans="4:9">
      <c r="D351" s="47"/>
      <c r="E351" s="143"/>
      <c r="H351" s="2"/>
      <c r="I351" s="30"/>
    </row>
    <row r="352" spans="4:9">
      <c r="D352" s="47"/>
      <c r="E352" s="143"/>
      <c r="H352" s="2"/>
      <c r="I352" s="30"/>
    </row>
    <row r="353" spans="4:9">
      <c r="D353" s="47"/>
      <c r="E353" s="143"/>
      <c r="H353" s="2"/>
      <c r="I353" s="30"/>
    </row>
    <row r="354" spans="4:9">
      <c r="D354" s="47"/>
      <c r="E354" s="143"/>
      <c r="H354" s="2"/>
      <c r="I354" s="30"/>
    </row>
    <row r="355" spans="4:9">
      <c r="D355" s="47"/>
      <c r="E355" s="143"/>
      <c r="H355" s="2"/>
      <c r="I355" s="30"/>
    </row>
    <row r="356" spans="4:9">
      <c r="D356" s="47"/>
      <c r="E356" s="143"/>
      <c r="H356" s="2"/>
      <c r="I356" s="30"/>
    </row>
    <row r="357" spans="4:9">
      <c r="D357" s="47"/>
      <c r="E357" s="143"/>
      <c r="H357" s="2"/>
      <c r="I357" s="30"/>
    </row>
    <row r="358" spans="4:9">
      <c r="D358" s="47"/>
      <c r="E358" s="143"/>
      <c r="H358" s="2"/>
      <c r="I358" s="30"/>
    </row>
    <row r="359" spans="4:9">
      <c r="D359" s="47"/>
      <c r="E359" s="143"/>
      <c r="H359" s="2"/>
      <c r="I359" s="30"/>
    </row>
    <row r="360" spans="4:9">
      <c r="D360" s="47"/>
      <c r="E360" s="143"/>
      <c r="H360" s="2"/>
      <c r="I360" s="30"/>
    </row>
    <row r="361" spans="4:9">
      <c r="D361" s="47"/>
      <c r="E361" s="143"/>
      <c r="H361" s="2"/>
      <c r="I361" s="30"/>
    </row>
    <row r="362" spans="4:9">
      <c r="D362" s="47"/>
      <c r="E362" s="143"/>
      <c r="H362" s="2"/>
      <c r="I362" s="30"/>
    </row>
    <row r="363" spans="4:9">
      <c r="D363" s="47"/>
      <c r="E363" s="143"/>
      <c r="H363" s="2"/>
      <c r="I363" s="30"/>
    </row>
    <row r="364" spans="4:9">
      <c r="D364" s="47"/>
      <c r="E364" s="143"/>
      <c r="H364" s="2"/>
      <c r="I364" s="30"/>
    </row>
    <row r="365" spans="4:9">
      <c r="D365" s="47"/>
      <c r="E365" s="143"/>
      <c r="H365" s="2"/>
      <c r="I365" s="30"/>
    </row>
    <row r="366" spans="4:9">
      <c r="D366" s="47"/>
      <c r="E366" s="143"/>
      <c r="H366" s="2"/>
      <c r="I366" s="30"/>
    </row>
    <row r="367" spans="4:9">
      <c r="D367" s="47"/>
      <c r="E367" s="143"/>
      <c r="H367" s="2"/>
      <c r="I367" s="30"/>
    </row>
    <row r="368" spans="4:9">
      <c r="D368" s="47"/>
      <c r="E368" s="143"/>
      <c r="H368" s="2"/>
      <c r="I368" s="30"/>
    </row>
    <row r="369" spans="4:9">
      <c r="D369" s="47"/>
      <c r="E369" s="143"/>
      <c r="H369" s="2"/>
      <c r="I369" s="30"/>
    </row>
    <row r="370" spans="4:9">
      <c r="D370" s="47"/>
      <c r="E370" s="143"/>
      <c r="H370" s="2"/>
      <c r="I370" s="30"/>
    </row>
    <row r="371" spans="4:9">
      <c r="D371" s="47"/>
      <c r="E371" s="143"/>
      <c r="H371" s="2"/>
      <c r="I371" s="30"/>
    </row>
    <row r="372" spans="4:9">
      <c r="D372" s="47"/>
      <c r="E372" s="143"/>
      <c r="H372" s="2"/>
      <c r="I372" s="30"/>
    </row>
    <row r="373" spans="4:9">
      <c r="D373" s="47"/>
      <c r="E373" s="143"/>
      <c r="H373" s="2"/>
      <c r="I373" s="30"/>
    </row>
    <row r="374" spans="4:9">
      <c r="D374" s="47"/>
      <c r="E374" s="143"/>
      <c r="H374" s="2"/>
      <c r="I374" s="30"/>
    </row>
    <row r="375" spans="4:9">
      <c r="D375" s="47"/>
      <c r="E375" s="143"/>
      <c r="H375" s="2"/>
      <c r="I375" s="30"/>
    </row>
    <row r="376" spans="4:9">
      <c r="D376" s="47"/>
      <c r="E376" s="143"/>
      <c r="H376" s="2"/>
      <c r="I376" s="30"/>
    </row>
    <row r="377" spans="4:9">
      <c r="D377" s="47"/>
      <c r="E377" s="143"/>
      <c r="H377" s="2"/>
      <c r="I377" s="30"/>
    </row>
    <row r="378" spans="4:9">
      <c r="D378" s="47"/>
      <c r="E378" s="143"/>
      <c r="H378" s="2"/>
      <c r="I378" s="30"/>
    </row>
    <row r="379" spans="4:9">
      <c r="D379" s="47"/>
      <c r="E379" s="143"/>
      <c r="H379" s="2"/>
      <c r="I379" s="30"/>
    </row>
    <row r="380" spans="4:9">
      <c r="D380" s="47"/>
      <c r="E380" s="143"/>
      <c r="H380" s="2"/>
      <c r="I380" s="30"/>
    </row>
    <row r="381" spans="4:9">
      <c r="D381" s="47"/>
      <c r="E381" s="143"/>
      <c r="H381" s="2"/>
      <c r="I381" s="30"/>
    </row>
    <row r="382" spans="4:9">
      <c r="D382" s="47"/>
      <c r="E382" s="143"/>
      <c r="H382" s="2"/>
      <c r="I382" s="30"/>
    </row>
    <row r="383" spans="4:9">
      <c r="D383" s="47"/>
      <c r="E383" s="143"/>
      <c r="H383" s="2"/>
      <c r="I383" s="30"/>
    </row>
    <row r="384" spans="4:9">
      <c r="D384" s="47"/>
      <c r="E384" s="143"/>
      <c r="H384" s="2"/>
      <c r="I384" s="30"/>
    </row>
    <row r="385" spans="4:9">
      <c r="D385" s="47"/>
      <c r="E385" s="143"/>
      <c r="H385" s="2"/>
      <c r="I385" s="30"/>
    </row>
    <row r="386" spans="4:9">
      <c r="D386" s="47"/>
      <c r="E386" s="143"/>
      <c r="H386" s="2"/>
      <c r="I386" s="30"/>
    </row>
    <row r="387" spans="4:9">
      <c r="D387" s="47"/>
      <c r="E387" s="143"/>
      <c r="H387" s="2"/>
      <c r="I387" s="30"/>
    </row>
    <row r="388" spans="4:9">
      <c r="D388" s="47"/>
      <c r="E388" s="143"/>
      <c r="H388" s="2"/>
      <c r="I388" s="30"/>
    </row>
    <row r="389" spans="4:9">
      <c r="D389" s="47"/>
      <c r="E389" s="143"/>
      <c r="H389" s="2"/>
      <c r="I389" s="30"/>
    </row>
    <row r="390" spans="4:9">
      <c r="D390" s="47"/>
      <c r="E390" s="143"/>
      <c r="H390" s="2"/>
      <c r="I390" s="30"/>
    </row>
    <row r="391" spans="4:9">
      <c r="D391" s="47"/>
      <c r="E391" s="143"/>
      <c r="H391" s="2"/>
      <c r="I391" s="30"/>
    </row>
    <row r="392" spans="4:9">
      <c r="D392" s="47"/>
      <c r="E392" s="143"/>
      <c r="H392" s="2"/>
      <c r="I392" s="30"/>
    </row>
    <row r="393" spans="4:9">
      <c r="D393" s="47"/>
      <c r="E393" s="143"/>
      <c r="H393" s="2"/>
      <c r="I393" s="30"/>
    </row>
    <row r="394" spans="4:9">
      <c r="D394" s="47"/>
      <c r="E394" s="143"/>
      <c r="H394" s="2"/>
      <c r="I394" s="30"/>
    </row>
    <row r="395" spans="4:9">
      <c r="D395" s="47"/>
      <c r="E395" s="143"/>
      <c r="H395" s="2"/>
      <c r="I395" s="30"/>
    </row>
    <row r="396" spans="4:9">
      <c r="D396" s="47"/>
      <c r="E396" s="143"/>
      <c r="H396" s="2"/>
      <c r="I396" s="30"/>
    </row>
    <row r="397" spans="4:9">
      <c r="D397" s="47"/>
      <c r="E397" s="143"/>
      <c r="H397" s="2"/>
      <c r="I397" s="30"/>
    </row>
    <row r="398" spans="4:9">
      <c r="D398" s="47"/>
      <c r="E398" s="143"/>
      <c r="H398" s="2"/>
      <c r="I398" s="30"/>
    </row>
    <row r="399" spans="4:9">
      <c r="D399" s="47"/>
      <c r="E399" s="143"/>
      <c r="H399" s="2"/>
      <c r="I399" s="30"/>
    </row>
    <row r="400" spans="4:9">
      <c r="D400" s="47"/>
      <c r="E400" s="143"/>
      <c r="H400" s="2"/>
      <c r="I400" s="30"/>
    </row>
    <row r="401" spans="4:9">
      <c r="D401" s="47"/>
      <c r="E401" s="143"/>
      <c r="H401" s="2"/>
      <c r="I401" s="30"/>
    </row>
    <row r="402" spans="4:9">
      <c r="D402" s="47"/>
      <c r="E402" s="143"/>
      <c r="H402" s="2"/>
      <c r="I402" s="30"/>
    </row>
    <row r="403" spans="4:9">
      <c r="D403" s="47"/>
      <c r="E403" s="143"/>
      <c r="H403" s="2"/>
      <c r="I403" s="30"/>
    </row>
    <row r="404" spans="4:9">
      <c r="D404" s="47"/>
      <c r="E404" s="143"/>
      <c r="H404" s="2"/>
      <c r="I404" s="30"/>
    </row>
    <row r="405" spans="4:9">
      <c r="D405" s="47"/>
      <c r="E405" s="143"/>
      <c r="H405" s="2"/>
      <c r="I405" s="30"/>
    </row>
    <row r="406" spans="4:9">
      <c r="D406" s="47"/>
      <c r="E406" s="143"/>
      <c r="H406" s="2"/>
      <c r="I406" s="30"/>
    </row>
    <row r="407" spans="4:9">
      <c r="D407" s="47"/>
      <c r="E407" s="143"/>
      <c r="H407" s="2"/>
      <c r="I407" s="30"/>
    </row>
    <row r="408" spans="4:9">
      <c r="D408" s="47"/>
      <c r="E408" s="143"/>
      <c r="H408" s="2"/>
      <c r="I408" s="30"/>
    </row>
    <row r="409" spans="4:9">
      <c r="D409" s="47"/>
      <c r="E409" s="143"/>
      <c r="H409" s="2"/>
      <c r="I409" s="30"/>
    </row>
    <row r="410" spans="4:9">
      <c r="D410" s="47"/>
      <c r="E410" s="143"/>
      <c r="H410" s="2"/>
      <c r="I410" s="30"/>
    </row>
    <row r="411" spans="4:9">
      <c r="D411" s="47"/>
      <c r="E411" s="143"/>
      <c r="H411" s="2"/>
      <c r="I411" s="30"/>
    </row>
    <row r="412" spans="4:9">
      <c r="D412" s="47"/>
      <c r="E412" s="143"/>
      <c r="H412" s="2"/>
      <c r="I412" s="30"/>
    </row>
    <row r="413" spans="4:9">
      <c r="D413" s="47"/>
      <c r="E413" s="143"/>
      <c r="H413" s="2"/>
      <c r="I413" s="30"/>
    </row>
    <row r="414" spans="4:9">
      <c r="D414" s="47"/>
      <c r="E414" s="143"/>
      <c r="H414" s="2"/>
      <c r="I414" s="30"/>
    </row>
    <row r="415" spans="4:9">
      <c r="D415" s="47"/>
      <c r="E415" s="143"/>
      <c r="H415" s="2"/>
      <c r="I415" s="30"/>
    </row>
    <row r="416" spans="4:9">
      <c r="D416" s="47"/>
      <c r="E416" s="143"/>
      <c r="H416" s="2"/>
      <c r="I416" s="30"/>
    </row>
    <row r="417" spans="4:9">
      <c r="D417" s="47"/>
      <c r="E417" s="143"/>
      <c r="H417" s="2"/>
      <c r="I417" s="30"/>
    </row>
    <row r="418" spans="4:9">
      <c r="D418" s="47"/>
      <c r="E418" s="143"/>
      <c r="H418" s="2"/>
      <c r="I418" s="30"/>
    </row>
    <row r="419" spans="4:9">
      <c r="D419" s="47"/>
      <c r="E419" s="143"/>
      <c r="H419" s="2"/>
      <c r="I419" s="30"/>
    </row>
    <row r="420" spans="4:9">
      <c r="D420" s="47"/>
      <c r="E420" s="143"/>
      <c r="H420" s="2"/>
      <c r="I420" s="30"/>
    </row>
    <row r="421" spans="4:9">
      <c r="D421" s="47"/>
      <c r="E421" s="143"/>
      <c r="H421" s="2"/>
      <c r="I421" s="30"/>
    </row>
    <row r="422" spans="4:9">
      <c r="D422" s="47"/>
      <c r="E422" s="143"/>
      <c r="H422" s="2"/>
      <c r="I422" s="30"/>
    </row>
    <row r="423" spans="4:9">
      <c r="D423" s="47"/>
      <c r="E423" s="143"/>
      <c r="H423" s="2"/>
      <c r="I423" s="30"/>
    </row>
    <row r="424" spans="4:9">
      <c r="D424" s="47"/>
      <c r="E424" s="143"/>
      <c r="H424" s="2"/>
      <c r="I424" s="30"/>
    </row>
    <row r="425" spans="4:9">
      <c r="D425" s="47"/>
      <c r="E425" s="143"/>
      <c r="H425" s="2"/>
      <c r="I425" s="30"/>
    </row>
    <row r="426" spans="4:9">
      <c r="D426" s="47"/>
      <c r="E426" s="143"/>
      <c r="H426" s="2"/>
      <c r="I426" s="30"/>
    </row>
    <row r="427" spans="4:9">
      <c r="D427" s="47"/>
      <c r="E427" s="143"/>
      <c r="H427" s="2"/>
      <c r="I427" s="30"/>
    </row>
    <row r="428" spans="4:9">
      <c r="D428" s="47"/>
      <c r="E428" s="143"/>
      <c r="H428" s="2"/>
      <c r="I428" s="30"/>
    </row>
    <row r="429" spans="4:9">
      <c r="D429" s="47"/>
      <c r="E429" s="143"/>
      <c r="H429" s="2"/>
      <c r="I429" s="30"/>
    </row>
    <row r="430" spans="4:9">
      <c r="D430" s="47"/>
      <c r="E430" s="143"/>
      <c r="H430" s="2"/>
      <c r="I430" s="30"/>
    </row>
    <row r="431" spans="4:9">
      <c r="D431" s="47"/>
      <c r="E431" s="143"/>
      <c r="H431" s="2"/>
      <c r="I431" s="30"/>
    </row>
    <row r="432" spans="4:9">
      <c r="D432" s="47"/>
      <c r="E432" s="143"/>
      <c r="H432" s="2"/>
      <c r="I432" s="30"/>
    </row>
    <row r="433" spans="4:9">
      <c r="D433" s="47"/>
      <c r="E433" s="143"/>
      <c r="H433" s="2"/>
      <c r="I433" s="30"/>
    </row>
    <row r="434" spans="4:9">
      <c r="D434" s="47"/>
      <c r="E434" s="143"/>
      <c r="H434" s="2"/>
      <c r="I434" s="30"/>
    </row>
    <row r="435" spans="4:9">
      <c r="D435" s="47"/>
      <c r="E435" s="143"/>
      <c r="H435" s="2"/>
      <c r="I435" s="30"/>
    </row>
    <row r="436" spans="4:9">
      <c r="D436" s="47"/>
      <c r="E436" s="143"/>
      <c r="H436" s="2"/>
      <c r="I436" s="30"/>
    </row>
    <row r="437" spans="4:9">
      <c r="D437" s="47"/>
      <c r="E437" s="143"/>
      <c r="H437" s="2"/>
      <c r="I437" s="30"/>
    </row>
    <row r="438" spans="4:9">
      <c r="D438" s="47"/>
      <c r="E438" s="143"/>
      <c r="H438" s="2"/>
      <c r="I438" s="30"/>
    </row>
    <row r="439" spans="4:9">
      <c r="D439" s="47"/>
      <c r="E439" s="143"/>
      <c r="H439" s="2"/>
      <c r="I439" s="30"/>
    </row>
    <row r="440" spans="4:9">
      <c r="D440" s="47"/>
      <c r="E440" s="143"/>
      <c r="H440" s="2"/>
      <c r="I440" s="30"/>
    </row>
    <row r="441" spans="4:9">
      <c r="D441" s="47"/>
      <c r="E441" s="143"/>
      <c r="H441" s="2"/>
      <c r="I441" s="30"/>
    </row>
    <row r="442" spans="4:9">
      <c r="D442" s="47"/>
      <c r="E442" s="143"/>
      <c r="H442" s="2"/>
      <c r="I442" s="30"/>
    </row>
    <row r="443" spans="4:9">
      <c r="D443" s="47"/>
      <c r="E443" s="143"/>
      <c r="H443" s="2"/>
      <c r="I443" s="30"/>
    </row>
    <row r="444" spans="4:9">
      <c r="D444" s="47"/>
      <c r="E444" s="143"/>
      <c r="H444" s="2"/>
      <c r="I444" s="30"/>
    </row>
    <row r="445" spans="4:9">
      <c r="D445" s="47"/>
      <c r="E445" s="143"/>
      <c r="H445" s="2"/>
      <c r="I445" s="30"/>
    </row>
    <row r="446" spans="4:9">
      <c r="D446" s="47"/>
      <c r="E446" s="143"/>
      <c r="H446" s="2"/>
      <c r="I446" s="30"/>
    </row>
    <row r="447" spans="4:9">
      <c r="D447" s="47"/>
      <c r="E447" s="143"/>
      <c r="H447" s="2"/>
      <c r="I447" s="30"/>
    </row>
    <row r="448" spans="4:9">
      <c r="D448" s="47"/>
      <c r="E448" s="143"/>
      <c r="H448" s="2"/>
      <c r="I448" s="30"/>
    </row>
    <row r="449" spans="4:9">
      <c r="D449" s="47"/>
      <c r="E449" s="143"/>
      <c r="H449" s="2"/>
      <c r="I449" s="30"/>
    </row>
    <row r="450" spans="4:9">
      <c r="D450" s="47"/>
      <c r="E450" s="143"/>
      <c r="H450" s="2"/>
      <c r="I450" s="30"/>
    </row>
    <row r="451" spans="4:9">
      <c r="D451" s="47"/>
      <c r="E451" s="143"/>
      <c r="H451" s="2"/>
      <c r="I451" s="30"/>
    </row>
    <row r="452" spans="4:9">
      <c r="D452" s="47"/>
      <c r="E452" s="143"/>
      <c r="H452" s="2"/>
      <c r="I452" s="30"/>
    </row>
    <row r="453" spans="4:9">
      <c r="D453" s="47"/>
      <c r="E453" s="143"/>
      <c r="H453" s="2"/>
      <c r="I453" s="30"/>
    </row>
    <row r="454" spans="4:9">
      <c r="D454" s="47"/>
      <c r="E454" s="143"/>
      <c r="H454" s="2"/>
      <c r="I454" s="30"/>
    </row>
    <row r="455" spans="4:9">
      <c r="D455" s="47"/>
      <c r="E455" s="143"/>
      <c r="H455" s="2"/>
      <c r="I455" s="30"/>
    </row>
    <row r="456" spans="4:9">
      <c r="D456" s="47"/>
      <c r="E456" s="143"/>
      <c r="H456" s="2"/>
      <c r="I456" s="30"/>
    </row>
    <row r="457" spans="4:9">
      <c r="D457" s="47"/>
      <c r="E457" s="143"/>
      <c r="H457" s="2"/>
      <c r="I457" s="30"/>
    </row>
    <row r="458" spans="4:9">
      <c r="D458" s="47"/>
      <c r="E458" s="143"/>
      <c r="H458" s="2"/>
      <c r="I458" s="30"/>
    </row>
    <row r="459" spans="4:9">
      <c r="D459" s="47"/>
      <c r="E459" s="143"/>
      <c r="H459" s="2"/>
      <c r="I459" s="30"/>
    </row>
    <row r="460" spans="4:9">
      <c r="D460" s="47"/>
      <c r="E460" s="143"/>
      <c r="H460" s="2"/>
      <c r="I460" s="30"/>
    </row>
    <row r="461" spans="4:9">
      <c r="D461" s="47"/>
      <c r="E461" s="143"/>
      <c r="H461" s="2"/>
      <c r="I461" s="30"/>
    </row>
    <row r="462" spans="4:9">
      <c r="D462" s="47"/>
      <c r="E462" s="143"/>
      <c r="H462" s="2"/>
      <c r="I462" s="30"/>
    </row>
    <row r="463" spans="4:9">
      <c r="D463" s="47"/>
      <c r="E463" s="143"/>
      <c r="H463" s="2"/>
      <c r="I463" s="30"/>
    </row>
    <row r="464" spans="4:9">
      <c r="D464" s="47"/>
      <c r="E464" s="143"/>
      <c r="H464" s="2"/>
      <c r="I464" s="30"/>
    </row>
    <row r="465" spans="4:9">
      <c r="D465" s="47"/>
      <c r="E465" s="143"/>
      <c r="H465" s="2"/>
      <c r="I465" s="30"/>
    </row>
    <row r="466" spans="4:9">
      <c r="D466" s="47"/>
      <c r="E466" s="143"/>
      <c r="H466" s="2"/>
      <c r="I466" s="30"/>
    </row>
    <row r="467" spans="4:9">
      <c r="D467" s="47"/>
      <c r="E467" s="143"/>
      <c r="H467" s="2"/>
      <c r="I467" s="30"/>
    </row>
    <row r="468" spans="4:9">
      <c r="D468" s="47"/>
      <c r="E468" s="143"/>
      <c r="H468" s="2"/>
      <c r="I468" s="30"/>
    </row>
    <row r="469" spans="4:9">
      <c r="D469" s="47"/>
      <c r="E469" s="143"/>
      <c r="H469" s="2"/>
      <c r="I469" s="30"/>
    </row>
    <row r="470" spans="4:9">
      <c r="D470" s="47"/>
      <c r="E470" s="143"/>
      <c r="H470" s="2"/>
      <c r="I470" s="30"/>
    </row>
    <row r="471" spans="4:9">
      <c r="D471" s="47"/>
      <c r="E471" s="143"/>
      <c r="H471" s="2"/>
      <c r="I471" s="30"/>
    </row>
    <row r="472" spans="4:9">
      <c r="D472" s="47"/>
      <c r="E472" s="143"/>
      <c r="H472" s="2"/>
      <c r="I472" s="30"/>
    </row>
    <row r="473" spans="4:9">
      <c r="D473" s="47"/>
      <c r="E473" s="143"/>
      <c r="H473" s="2"/>
      <c r="I473" s="30"/>
    </row>
    <row r="474" spans="4:9">
      <c r="D474" s="47"/>
      <c r="E474" s="143"/>
      <c r="H474" s="2"/>
      <c r="I474" s="30"/>
    </row>
    <row r="475" spans="4:9">
      <c r="D475" s="47"/>
      <c r="E475" s="143"/>
      <c r="H475" s="2"/>
      <c r="I475" s="30"/>
    </row>
    <row r="476" spans="4:9">
      <c r="D476" s="47"/>
      <c r="E476" s="143"/>
      <c r="H476" s="2"/>
      <c r="I476" s="30"/>
    </row>
    <row r="477" spans="4:9">
      <c r="D477" s="47"/>
      <c r="E477" s="143"/>
      <c r="H477" s="2"/>
      <c r="I477" s="30"/>
    </row>
    <row r="478" spans="4:9">
      <c r="D478" s="47"/>
      <c r="E478" s="143"/>
      <c r="H478" s="2"/>
      <c r="I478" s="30"/>
    </row>
    <row r="479" spans="4:9">
      <c r="D479" s="47"/>
      <c r="E479" s="143"/>
      <c r="H479" s="2"/>
      <c r="I479" s="30"/>
    </row>
    <row r="480" spans="4:9">
      <c r="D480" s="47"/>
      <c r="E480" s="143"/>
      <c r="H480" s="2"/>
      <c r="I480" s="30"/>
    </row>
    <row r="481" spans="4:9">
      <c r="D481" s="47"/>
      <c r="E481" s="143"/>
      <c r="H481" s="2"/>
      <c r="I481" s="30"/>
    </row>
    <row r="482" spans="4:9">
      <c r="D482" s="47"/>
      <c r="E482" s="143"/>
      <c r="H482" s="2"/>
      <c r="I482" s="30"/>
    </row>
    <row r="483" spans="4:9">
      <c r="D483" s="47"/>
      <c r="E483" s="143"/>
      <c r="H483" s="2"/>
      <c r="I483" s="30"/>
    </row>
    <row r="484" spans="4:9">
      <c r="D484" s="47"/>
      <c r="E484" s="143"/>
      <c r="H484" s="2"/>
      <c r="I484" s="30"/>
    </row>
    <row r="485" spans="4:9">
      <c r="D485" s="47"/>
      <c r="E485" s="143"/>
      <c r="H485" s="2"/>
      <c r="I485" s="30"/>
    </row>
    <row r="486" spans="4:9">
      <c r="D486" s="47"/>
      <c r="E486" s="143"/>
      <c r="H486" s="2"/>
      <c r="I486" s="30"/>
    </row>
    <row r="487" spans="4:9">
      <c r="D487" s="47"/>
      <c r="E487" s="143"/>
      <c r="H487" s="2"/>
      <c r="I487" s="30"/>
    </row>
    <row r="488" spans="4:9">
      <c r="D488" s="47"/>
      <c r="E488" s="143"/>
      <c r="H488" s="2"/>
      <c r="I488" s="30"/>
    </row>
    <row r="489" spans="4:9">
      <c r="D489" s="47"/>
      <c r="E489" s="143"/>
      <c r="H489" s="2"/>
      <c r="I489" s="30"/>
    </row>
    <row r="490" spans="4:9">
      <c r="D490" s="47"/>
      <c r="E490" s="143"/>
      <c r="H490" s="2"/>
      <c r="I490" s="30"/>
    </row>
    <row r="491" spans="4:9">
      <c r="D491" s="47"/>
      <c r="E491" s="143"/>
      <c r="H491" s="2"/>
      <c r="I491" s="30"/>
    </row>
    <row r="492" spans="4:9">
      <c r="D492" s="47"/>
      <c r="E492" s="143"/>
      <c r="H492" s="2"/>
      <c r="I492" s="30"/>
    </row>
    <row r="493" spans="4:9">
      <c r="D493" s="47"/>
      <c r="E493" s="143"/>
      <c r="H493" s="2"/>
      <c r="I493" s="30"/>
    </row>
    <row r="494" spans="4:9">
      <c r="D494" s="47"/>
      <c r="E494" s="143"/>
      <c r="H494" s="2"/>
      <c r="I494" s="30"/>
    </row>
    <row r="495" spans="4:9">
      <c r="D495" s="47"/>
      <c r="E495" s="143"/>
      <c r="H495" s="2"/>
      <c r="I495" s="30"/>
    </row>
    <row r="496" spans="4:9">
      <c r="D496" s="47"/>
      <c r="E496" s="143"/>
      <c r="H496" s="2"/>
      <c r="I496" s="30"/>
    </row>
    <row r="497" spans="4:9">
      <c r="D497" s="47"/>
      <c r="E497" s="143"/>
      <c r="H497" s="2"/>
      <c r="I497" s="30"/>
    </row>
    <row r="498" spans="4:9">
      <c r="D498" s="47"/>
      <c r="E498" s="143"/>
      <c r="H498" s="2"/>
      <c r="I498" s="30"/>
    </row>
    <row r="499" spans="4:9">
      <c r="D499" s="47"/>
      <c r="E499" s="143"/>
      <c r="H499" s="2"/>
      <c r="I499" s="30"/>
    </row>
    <row r="500" spans="4:9">
      <c r="D500" s="47"/>
      <c r="E500" s="143"/>
      <c r="H500" s="2"/>
      <c r="I500" s="30"/>
    </row>
    <row r="501" spans="4:9">
      <c r="D501" s="47"/>
      <c r="E501" s="143"/>
      <c r="H501" s="2"/>
      <c r="I501" s="30"/>
    </row>
    <row r="502" spans="4:9">
      <c r="D502" s="47"/>
      <c r="E502" s="143"/>
      <c r="H502" s="2"/>
      <c r="I502" s="30"/>
    </row>
    <row r="503" spans="4:9">
      <c r="D503" s="47"/>
      <c r="E503" s="143"/>
      <c r="H503" s="2"/>
      <c r="I503" s="30"/>
    </row>
    <row r="504" spans="4:9">
      <c r="D504" s="47"/>
      <c r="E504" s="143"/>
      <c r="H504" s="2"/>
      <c r="I504" s="30"/>
    </row>
    <row r="505" spans="4:9">
      <c r="D505" s="47"/>
      <c r="E505" s="143"/>
      <c r="H505" s="2"/>
      <c r="I505" s="30"/>
    </row>
    <row r="506" spans="4:9">
      <c r="D506" s="47"/>
      <c r="E506" s="143"/>
      <c r="H506" s="2"/>
      <c r="I506" s="30"/>
    </row>
    <row r="507" spans="4:9">
      <c r="D507" s="47"/>
      <c r="E507" s="143"/>
      <c r="H507" s="2"/>
      <c r="I507" s="30"/>
    </row>
    <row r="508" spans="4:9">
      <c r="D508" s="47"/>
      <c r="E508" s="143"/>
      <c r="H508" s="2"/>
      <c r="I508" s="30"/>
    </row>
    <row r="509" spans="4:9">
      <c r="D509" s="47"/>
      <c r="E509" s="143"/>
      <c r="H509" s="2"/>
      <c r="I509" s="30"/>
    </row>
    <row r="510" spans="4:9">
      <c r="D510" s="47"/>
      <c r="E510" s="143"/>
      <c r="H510" s="2"/>
      <c r="I510" s="30"/>
    </row>
    <row r="511" spans="4:9">
      <c r="D511" s="47"/>
      <c r="E511" s="143"/>
      <c r="H511" s="2"/>
      <c r="I511" s="30"/>
    </row>
    <row r="512" spans="4:9">
      <c r="D512" s="47"/>
      <c r="E512" s="143"/>
      <c r="H512" s="2"/>
      <c r="I512" s="30"/>
    </row>
    <row r="513" spans="4:9">
      <c r="D513" s="47"/>
      <c r="E513" s="143"/>
      <c r="H513" s="2"/>
      <c r="I513" s="30"/>
    </row>
    <row r="514" spans="4:9">
      <c r="D514" s="47"/>
      <c r="E514" s="143"/>
      <c r="H514" s="2"/>
      <c r="I514" s="30"/>
    </row>
    <row r="515" spans="4:9">
      <c r="D515" s="47"/>
      <c r="E515" s="143"/>
      <c r="H515" s="2"/>
      <c r="I515" s="30"/>
    </row>
    <row r="516" spans="4:9">
      <c r="D516" s="47"/>
      <c r="E516" s="143"/>
      <c r="H516" s="2"/>
      <c r="I516" s="30"/>
    </row>
    <row r="517" spans="4:9">
      <c r="D517" s="47"/>
      <c r="E517" s="143"/>
      <c r="H517" s="2"/>
      <c r="I517" s="30"/>
    </row>
    <row r="518" spans="4:9">
      <c r="D518" s="47"/>
      <c r="E518" s="143"/>
      <c r="H518" s="2"/>
      <c r="I518" s="30"/>
    </row>
    <row r="519" spans="4:9">
      <c r="D519" s="47"/>
      <c r="E519" s="143"/>
      <c r="H519" s="2"/>
      <c r="I519" s="30"/>
    </row>
    <row r="520" spans="4:9">
      <c r="D520" s="47"/>
      <c r="E520" s="143"/>
      <c r="H520" s="2"/>
      <c r="I520" s="30"/>
    </row>
    <row r="521" spans="4:9">
      <c r="D521" s="47"/>
      <c r="E521" s="143"/>
      <c r="H521" s="2"/>
      <c r="I521" s="30"/>
    </row>
    <row r="522" spans="4:9">
      <c r="D522" s="47"/>
      <c r="E522" s="143"/>
      <c r="H522" s="2"/>
      <c r="I522" s="30"/>
    </row>
    <row r="523" spans="4:9">
      <c r="D523" s="47"/>
      <c r="E523" s="143"/>
      <c r="H523" s="2"/>
      <c r="I523" s="30"/>
    </row>
    <row r="524" spans="4:9">
      <c r="D524" s="47"/>
      <c r="E524" s="143"/>
      <c r="H524" s="2"/>
      <c r="I524" s="30"/>
    </row>
    <row r="525" spans="4:9">
      <c r="D525" s="47"/>
      <c r="E525" s="143"/>
      <c r="H525" s="2"/>
      <c r="I525" s="30"/>
    </row>
    <row r="526" spans="4:9">
      <c r="D526" s="47"/>
      <c r="E526" s="143"/>
      <c r="H526" s="2"/>
      <c r="I526" s="30"/>
    </row>
    <row r="527" spans="4:9">
      <c r="D527" s="47"/>
      <c r="E527" s="143"/>
      <c r="H527" s="2"/>
      <c r="I527" s="30"/>
    </row>
    <row r="528" spans="4:9">
      <c r="D528" s="47"/>
      <c r="E528" s="143"/>
      <c r="H528" s="2"/>
      <c r="I528" s="30"/>
    </row>
    <row r="529" spans="4:9">
      <c r="D529" s="47"/>
      <c r="E529" s="143"/>
      <c r="H529" s="2"/>
      <c r="I529" s="30"/>
    </row>
    <row r="530" spans="4:9">
      <c r="D530" s="47"/>
      <c r="E530" s="143"/>
      <c r="H530" s="2"/>
      <c r="I530" s="30"/>
    </row>
    <row r="531" spans="4:9">
      <c r="D531" s="47"/>
      <c r="E531" s="143"/>
      <c r="H531" s="2"/>
      <c r="I531" s="30"/>
    </row>
    <row r="532" spans="4:9">
      <c r="D532" s="47"/>
      <c r="E532" s="143"/>
      <c r="H532" s="2"/>
      <c r="I532" s="30"/>
    </row>
    <row r="533" spans="4:9">
      <c r="D533" s="47"/>
      <c r="E533" s="143"/>
      <c r="H533" s="2"/>
      <c r="I533" s="30"/>
    </row>
    <row r="534" spans="4:9">
      <c r="D534" s="47"/>
      <c r="E534" s="143"/>
      <c r="H534" s="2"/>
      <c r="I534" s="30"/>
    </row>
    <row r="535" spans="4:9">
      <c r="D535" s="47"/>
      <c r="E535" s="143"/>
      <c r="H535" s="2"/>
      <c r="I535" s="30"/>
    </row>
    <row r="536" spans="4:9">
      <c r="D536" s="47"/>
      <c r="E536" s="143"/>
      <c r="H536" s="2"/>
      <c r="I536" s="30"/>
    </row>
    <row r="537" spans="4:9">
      <c r="D537" s="47"/>
      <c r="E537" s="143"/>
      <c r="H537" s="2"/>
      <c r="I537" s="30"/>
    </row>
    <row r="538" spans="4:9">
      <c r="D538" s="47"/>
      <c r="E538" s="143"/>
      <c r="H538" s="2"/>
      <c r="I538" s="30"/>
    </row>
    <row r="539" spans="4:9">
      <c r="D539" s="47"/>
      <c r="E539" s="143"/>
      <c r="H539" s="2"/>
      <c r="I539" s="30"/>
    </row>
    <row r="540" spans="4:9">
      <c r="D540" s="47"/>
      <c r="E540" s="143"/>
      <c r="H540" s="2"/>
      <c r="I540" s="30"/>
    </row>
    <row r="541" spans="4:9">
      <c r="D541" s="47"/>
      <c r="E541" s="143"/>
      <c r="H541" s="2"/>
      <c r="I541" s="30"/>
    </row>
    <row r="542" spans="4:9">
      <c r="D542" s="47"/>
      <c r="E542" s="143"/>
      <c r="H542" s="2"/>
      <c r="I542" s="30"/>
    </row>
    <row r="543" spans="4:9">
      <c r="D543" s="47"/>
      <c r="E543" s="143"/>
      <c r="H543" s="2"/>
      <c r="I543" s="30"/>
    </row>
    <row r="544" spans="4:9">
      <c r="D544" s="47"/>
      <c r="E544" s="143"/>
      <c r="H544" s="2"/>
      <c r="I544" s="30"/>
    </row>
    <row r="545" spans="4:9">
      <c r="D545" s="47"/>
      <c r="E545" s="143"/>
      <c r="H545" s="2"/>
      <c r="I545" s="30"/>
    </row>
    <row r="546" spans="4:9">
      <c r="D546" s="47"/>
      <c r="E546" s="143"/>
      <c r="H546" s="2"/>
      <c r="I546" s="30"/>
    </row>
    <row r="547" spans="4:9">
      <c r="D547" s="47"/>
      <c r="E547" s="143"/>
      <c r="H547" s="2"/>
      <c r="I547" s="30"/>
    </row>
    <row r="548" spans="4:9">
      <c r="D548" s="47"/>
      <c r="E548" s="143"/>
      <c r="H548" s="2"/>
      <c r="I548" s="30"/>
    </row>
    <row r="549" spans="4:9">
      <c r="D549" s="47"/>
      <c r="E549" s="143"/>
      <c r="H549" s="2"/>
      <c r="I549" s="30"/>
    </row>
    <row r="550" spans="4:9">
      <c r="D550" s="47"/>
      <c r="E550" s="143"/>
      <c r="H550" s="2"/>
      <c r="I550" s="30"/>
    </row>
    <row r="551" spans="4:9">
      <c r="D551" s="47"/>
      <c r="E551" s="143"/>
      <c r="H551" s="2"/>
      <c r="I551" s="30"/>
    </row>
    <row r="552" spans="4:9">
      <c r="D552" s="47"/>
      <c r="E552" s="143"/>
      <c r="H552" s="2"/>
      <c r="I552" s="30"/>
    </row>
    <row r="553" spans="4:9">
      <c r="D553" s="47"/>
      <c r="E553" s="143"/>
      <c r="H553" s="2"/>
      <c r="I553" s="30"/>
    </row>
    <row r="554" spans="4:9">
      <c r="D554" s="47"/>
      <c r="E554" s="143"/>
      <c r="H554" s="2"/>
      <c r="I554" s="30"/>
    </row>
    <row r="555" spans="4:9">
      <c r="D555" s="47"/>
      <c r="E555" s="143"/>
      <c r="H555" s="2"/>
      <c r="I555" s="30"/>
    </row>
    <row r="556" spans="4:9">
      <c r="D556" s="47"/>
      <c r="E556" s="143"/>
      <c r="H556" s="2"/>
      <c r="I556" s="30"/>
    </row>
    <row r="557" spans="4:9">
      <c r="D557" s="47"/>
      <c r="E557" s="143"/>
      <c r="H557" s="2"/>
      <c r="I557" s="30"/>
    </row>
    <row r="558" spans="4:9">
      <c r="D558" s="47"/>
      <c r="E558" s="143"/>
      <c r="H558" s="2"/>
      <c r="I558" s="30"/>
    </row>
    <row r="559" spans="4:9">
      <c r="D559" s="47"/>
      <c r="E559" s="143"/>
      <c r="H559" s="2"/>
      <c r="I559" s="30"/>
    </row>
    <row r="560" spans="4:9">
      <c r="D560" s="47"/>
      <c r="E560" s="143"/>
      <c r="H560" s="2"/>
      <c r="I560" s="30"/>
    </row>
    <row r="561" spans="4:9">
      <c r="D561" s="47"/>
      <c r="E561" s="143"/>
      <c r="H561" s="2"/>
      <c r="I561" s="30"/>
    </row>
    <row r="562" spans="4:9">
      <c r="D562" s="47"/>
      <c r="E562" s="143"/>
      <c r="H562" s="2"/>
      <c r="I562" s="30"/>
    </row>
    <row r="563" spans="4:9">
      <c r="D563" s="47"/>
      <c r="E563" s="143"/>
      <c r="H563" s="2"/>
      <c r="I563" s="30"/>
    </row>
    <row r="564" spans="4:9">
      <c r="D564" s="47"/>
      <c r="E564" s="143"/>
      <c r="H564" s="2"/>
      <c r="I564" s="30"/>
    </row>
    <row r="565" spans="4:9">
      <c r="D565" s="47"/>
      <c r="E565" s="143"/>
      <c r="H565" s="2"/>
      <c r="I565" s="30"/>
    </row>
    <row r="566" spans="4:9">
      <c r="D566" s="47"/>
      <c r="E566" s="143"/>
      <c r="H566" s="2"/>
      <c r="I566" s="30"/>
    </row>
    <row r="567" spans="4:9">
      <c r="D567" s="47"/>
      <c r="E567" s="143"/>
      <c r="H567" s="2"/>
      <c r="I567" s="30"/>
    </row>
    <row r="568" spans="4:9">
      <c r="D568" s="47"/>
      <c r="E568" s="143"/>
      <c r="H568" s="2"/>
      <c r="I568" s="30"/>
    </row>
    <row r="569" spans="4:9">
      <c r="D569" s="47"/>
      <c r="E569" s="143"/>
      <c r="H569" s="2"/>
      <c r="I569" s="30"/>
    </row>
    <row r="570" spans="4:9">
      <c r="D570" s="47"/>
      <c r="E570" s="143"/>
      <c r="H570" s="2"/>
      <c r="I570" s="30"/>
    </row>
    <row r="571" spans="4:9">
      <c r="D571" s="47"/>
      <c r="E571" s="143"/>
      <c r="H571" s="2"/>
      <c r="I571" s="30"/>
    </row>
    <row r="572" spans="4:9">
      <c r="D572" s="47"/>
      <c r="E572" s="143"/>
      <c r="H572" s="2"/>
      <c r="I572" s="30"/>
    </row>
    <row r="573" spans="4:9">
      <c r="D573" s="47"/>
      <c r="E573" s="143"/>
      <c r="H573" s="2"/>
      <c r="I573" s="30"/>
    </row>
    <row r="574" spans="4:9">
      <c r="D574" s="47"/>
      <c r="E574" s="143"/>
      <c r="H574" s="2"/>
      <c r="I574" s="30"/>
    </row>
    <row r="575" spans="4:9">
      <c r="D575" s="47"/>
      <c r="E575" s="143"/>
      <c r="H575" s="2"/>
      <c r="I575" s="30"/>
    </row>
    <row r="576" spans="4:9">
      <c r="D576" s="47"/>
      <c r="E576" s="143"/>
      <c r="H576" s="2"/>
      <c r="I576" s="30"/>
    </row>
    <row r="577" spans="4:9">
      <c r="D577" s="47"/>
      <c r="E577" s="143"/>
      <c r="H577" s="2"/>
      <c r="I577" s="30"/>
    </row>
    <row r="578" spans="4:9">
      <c r="D578" s="47"/>
      <c r="E578" s="143"/>
      <c r="H578" s="2"/>
      <c r="I578" s="30"/>
    </row>
    <row r="579" spans="4:9">
      <c r="D579" s="47"/>
      <c r="E579" s="143"/>
      <c r="H579" s="2"/>
      <c r="I579" s="30"/>
    </row>
    <row r="580" spans="4:9">
      <c r="D580" s="47"/>
      <c r="E580" s="143"/>
      <c r="H580" s="2"/>
      <c r="I580" s="30"/>
    </row>
    <row r="581" spans="4:9">
      <c r="D581" s="47"/>
      <c r="E581" s="143"/>
      <c r="H581" s="2"/>
      <c r="I581" s="30"/>
    </row>
    <row r="582" spans="4:9">
      <c r="D582" s="47"/>
      <c r="E582" s="143"/>
      <c r="H582" s="2"/>
      <c r="I582" s="30"/>
    </row>
    <row r="583" spans="4:9">
      <c r="D583" s="47"/>
      <c r="E583" s="143"/>
      <c r="H583" s="2"/>
      <c r="I583" s="30"/>
    </row>
    <row r="584" spans="4:9">
      <c r="D584" s="47"/>
      <c r="E584" s="143"/>
      <c r="H584" s="2"/>
      <c r="I584" s="30"/>
    </row>
    <row r="585" spans="4:9">
      <c r="D585" s="47"/>
      <c r="E585" s="143"/>
      <c r="H585" s="2"/>
      <c r="I585" s="30"/>
    </row>
    <row r="586" spans="4:9">
      <c r="D586" s="47"/>
      <c r="E586" s="143"/>
      <c r="H586" s="2"/>
      <c r="I586" s="30"/>
    </row>
    <row r="587" spans="4:9">
      <c r="D587" s="47"/>
      <c r="E587" s="143"/>
      <c r="H587" s="2"/>
      <c r="I587" s="30"/>
    </row>
    <row r="588" spans="4:9">
      <c r="D588" s="47"/>
      <c r="E588" s="143"/>
      <c r="H588" s="2"/>
      <c r="I588" s="30"/>
    </row>
    <row r="589" spans="4:9">
      <c r="D589" s="47"/>
      <c r="E589" s="143"/>
      <c r="H589" s="2"/>
      <c r="I589" s="30"/>
    </row>
    <row r="590" spans="4:9">
      <c r="D590" s="47"/>
      <c r="E590" s="143"/>
      <c r="H590" s="2"/>
      <c r="I590" s="30"/>
    </row>
    <row r="591" spans="4:9">
      <c r="D591" s="47"/>
      <c r="E591" s="143"/>
      <c r="H591" s="2"/>
      <c r="I591" s="30"/>
    </row>
    <row r="592" spans="4:9">
      <c r="D592" s="47"/>
      <c r="E592" s="143"/>
      <c r="H592" s="2"/>
      <c r="I592" s="30"/>
    </row>
    <row r="593" spans="4:9">
      <c r="D593" s="47"/>
      <c r="E593" s="143"/>
      <c r="H593" s="2"/>
      <c r="I593" s="30"/>
    </row>
    <row r="594" spans="4:9">
      <c r="D594" s="47"/>
      <c r="E594" s="143"/>
      <c r="H594" s="2"/>
      <c r="I594" s="30"/>
    </row>
    <row r="595" spans="4:9">
      <c r="D595" s="47"/>
      <c r="E595" s="143"/>
      <c r="H595" s="2"/>
      <c r="I595" s="30"/>
    </row>
    <row r="596" spans="4:9">
      <c r="D596" s="47"/>
      <c r="E596" s="143"/>
      <c r="H596" s="2"/>
      <c r="I596" s="30"/>
    </row>
    <row r="597" spans="4:9">
      <c r="D597" s="47"/>
      <c r="E597" s="143"/>
      <c r="H597" s="2"/>
      <c r="I597" s="30"/>
    </row>
    <row r="598" spans="4:9">
      <c r="D598" s="47"/>
      <c r="E598" s="143"/>
      <c r="H598" s="2"/>
      <c r="I598" s="30"/>
    </row>
    <row r="599" spans="4:9">
      <c r="D599" s="47"/>
      <c r="E599" s="143"/>
      <c r="H599" s="2"/>
      <c r="I599" s="30"/>
    </row>
    <row r="600" spans="4:9">
      <c r="D600" s="47"/>
      <c r="E600" s="143"/>
      <c r="H600" s="2"/>
      <c r="I600" s="30"/>
    </row>
    <row r="601" spans="4:9">
      <c r="D601" s="47"/>
      <c r="E601" s="143"/>
      <c r="H601" s="2"/>
      <c r="I601" s="30"/>
    </row>
    <row r="602" spans="4:9">
      <c r="D602" s="47"/>
      <c r="E602" s="143"/>
      <c r="H602" s="2"/>
      <c r="I602" s="30"/>
    </row>
    <row r="603" spans="4:9">
      <c r="D603" s="47"/>
      <c r="E603" s="143"/>
      <c r="H603" s="2"/>
      <c r="I603" s="30"/>
    </row>
    <row r="604" spans="4:9">
      <c r="D604" s="47"/>
      <c r="E604" s="143"/>
      <c r="H604" s="2"/>
      <c r="I604" s="30"/>
    </row>
    <row r="605" spans="4:9">
      <c r="D605" s="47"/>
      <c r="E605" s="143"/>
      <c r="H605" s="2"/>
      <c r="I605" s="30"/>
    </row>
    <row r="606" spans="4:9">
      <c r="D606" s="47"/>
      <c r="E606" s="143"/>
      <c r="H606" s="2"/>
      <c r="I606" s="30"/>
    </row>
    <row r="607" spans="4:9">
      <c r="D607" s="47"/>
      <c r="E607" s="143"/>
      <c r="H607" s="2"/>
      <c r="I607" s="30"/>
    </row>
    <row r="608" spans="4:9">
      <c r="D608" s="47"/>
      <c r="E608" s="143"/>
      <c r="H608" s="2"/>
      <c r="I608" s="30"/>
    </row>
    <row r="609" spans="4:9">
      <c r="D609" s="47"/>
      <c r="E609" s="143"/>
      <c r="H609" s="2"/>
      <c r="I609" s="30"/>
    </row>
    <row r="610" spans="4:9">
      <c r="D610" s="47"/>
      <c r="E610" s="143"/>
      <c r="H610" s="2"/>
      <c r="I610" s="30"/>
    </row>
    <row r="611" spans="4:9">
      <c r="D611" s="47"/>
      <c r="E611" s="143"/>
      <c r="H611" s="2"/>
      <c r="I611" s="30"/>
    </row>
    <row r="612" spans="4:9">
      <c r="D612" s="47"/>
      <c r="E612" s="143"/>
      <c r="H612" s="2"/>
      <c r="I612" s="30"/>
    </row>
    <row r="613" spans="4:9">
      <c r="D613" s="47"/>
      <c r="E613" s="143"/>
      <c r="H613" s="2"/>
      <c r="I613" s="30"/>
    </row>
    <row r="614" spans="4:9">
      <c r="D614" s="47"/>
      <c r="E614" s="143"/>
      <c r="H614" s="2"/>
      <c r="I614" s="30"/>
    </row>
    <row r="615" spans="4:9">
      <c r="D615" s="47"/>
      <c r="E615" s="143"/>
      <c r="H615" s="2"/>
      <c r="I615" s="30"/>
    </row>
    <row r="616" spans="4:9">
      <c r="D616" s="47"/>
      <c r="E616" s="143"/>
      <c r="H616" s="2"/>
      <c r="I616" s="30"/>
    </row>
    <row r="617" spans="4:9">
      <c r="D617" s="47"/>
      <c r="E617" s="143"/>
      <c r="H617" s="2"/>
      <c r="I617" s="30"/>
    </row>
    <row r="618" spans="4:9">
      <c r="D618" s="47"/>
      <c r="E618" s="143"/>
      <c r="H618" s="2"/>
      <c r="I618" s="30"/>
    </row>
    <row r="619" spans="4:9">
      <c r="D619" s="47"/>
      <c r="E619" s="143"/>
      <c r="H619" s="2"/>
      <c r="I619" s="30"/>
    </row>
    <row r="620" spans="4:9">
      <c r="D620" s="47"/>
      <c r="E620" s="143"/>
      <c r="H620" s="2"/>
      <c r="I620" s="30"/>
    </row>
    <row r="621" spans="4:9">
      <c r="D621" s="47"/>
      <c r="E621" s="143"/>
      <c r="H621" s="2"/>
      <c r="I621" s="30"/>
    </row>
    <row r="622" spans="4:9">
      <c r="D622" s="47"/>
      <c r="E622" s="143"/>
      <c r="H622" s="2"/>
      <c r="I622" s="30"/>
    </row>
    <row r="623" spans="4:9">
      <c r="D623" s="47"/>
      <c r="E623" s="143"/>
      <c r="H623" s="2"/>
      <c r="I623" s="30"/>
    </row>
    <row r="624" spans="4:9">
      <c r="D624" s="47"/>
      <c r="E624" s="143"/>
      <c r="H624" s="2"/>
      <c r="I624" s="30"/>
    </row>
    <row r="625" spans="4:9">
      <c r="D625" s="47"/>
      <c r="E625" s="143"/>
      <c r="H625" s="2"/>
      <c r="I625" s="30"/>
    </row>
    <row r="626" spans="4:9">
      <c r="D626" s="47"/>
      <c r="E626" s="143"/>
      <c r="H626" s="2"/>
      <c r="I626" s="30"/>
    </row>
    <row r="627" spans="4:9">
      <c r="D627" s="47"/>
      <c r="E627" s="143"/>
      <c r="H627" s="2"/>
      <c r="I627" s="30"/>
    </row>
    <row r="628" spans="4:9">
      <c r="D628" s="47"/>
      <c r="E628" s="143"/>
      <c r="H628" s="2"/>
      <c r="I628" s="30"/>
    </row>
    <row r="629" spans="4:9">
      <c r="D629" s="47"/>
      <c r="E629" s="143"/>
      <c r="H629" s="2"/>
      <c r="I629" s="30"/>
    </row>
    <row r="630" spans="4:9">
      <c r="D630" s="47"/>
      <c r="E630" s="143"/>
      <c r="H630" s="2"/>
      <c r="I630" s="30"/>
    </row>
    <row r="631" spans="4:9">
      <c r="D631" s="47"/>
      <c r="E631" s="143"/>
      <c r="H631" s="2"/>
      <c r="I631" s="30"/>
    </row>
    <row r="632" spans="4:9">
      <c r="D632" s="47"/>
      <c r="E632" s="143"/>
      <c r="H632" s="2"/>
      <c r="I632" s="30"/>
    </row>
    <row r="633" spans="4:9">
      <c r="D633" s="47"/>
      <c r="E633" s="143"/>
      <c r="H633" s="2"/>
      <c r="I633" s="30"/>
    </row>
    <row r="634" spans="4:9">
      <c r="D634" s="47"/>
      <c r="E634" s="143"/>
      <c r="H634" s="2"/>
      <c r="I634" s="30"/>
    </row>
    <row r="635" spans="4:9">
      <c r="D635" s="47"/>
      <c r="E635" s="143"/>
      <c r="H635" s="2"/>
      <c r="I635" s="30"/>
    </row>
    <row r="636" spans="4:9">
      <c r="D636" s="47"/>
      <c r="E636" s="143"/>
      <c r="H636" s="2"/>
      <c r="I636" s="30"/>
    </row>
    <row r="637" spans="4:9">
      <c r="D637" s="47"/>
      <c r="E637" s="143"/>
      <c r="H637" s="2"/>
      <c r="I637" s="30"/>
    </row>
    <row r="638" spans="4:9">
      <c r="D638" s="47"/>
      <c r="E638" s="143"/>
      <c r="H638" s="2"/>
      <c r="I638" s="30"/>
    </row>
    <row r="639" spans="4:9">
      <c r="D639" s="47"/>
      <c r="E639" s="143"/>
      <c r="H639" s="2"/>
      <c r="I639" s="30"/>
    </row>
    <row r="640" spans="4:9">
      <c r="D640" s="47"/>
      <c r="E640" s="143"/>
      <c r="H640" s="2"/>
      <c r="I640" s="30"/>
    </row>
    <row r="641" spans="4:9">
      <c r="D641" s="47"/>
      <c r="E641" s="143"/>
      <c r="H641" s="2"/>
      <c r="I641" s="30"/>
    </row>
    <row r="642" spans="4:9">
      <c r="D642" s="47"/>
      <c r="E642" s="143"/>
      <c r="H642" s="2"/>
      <c r="I642" s="30"/>
    </row>
    <row r="643" spans="4:9">
      <c r="D643" s="47"/>
      <c r="E643" s="143"/>
      <c r="H643" s="2"/>
      <c r="I643" s="30"/>
    </row>
    <row r="644" spans="4:9">
      <c r="D644" s="47"/>
      <c r="E644" s="143"/>
      <c r="H644" s="2"/>
      <c r="I644" s="30"/>
    </row>
    <row r="645" spans="4:9">
      <c r="D645" s="47"/>
      <c r="E645" s="143"/>
      <c r="H645" s="2"/>
      <c r="I645" s="30"/>
    </row>
    <row r="646" spans="4:9">
      <c r="D646" s="47"/>
      <c r="E646" s="143"/>
      <c r="H646" s="2"/>
      <c r="I646" s="30"/>
    </row>
    <row r="647" spans="4:9">
      <c r="D647" s="47"/>
      <c r="E647" s="143"/>
      <c r="H647" s="2"/>
      <c r="I647" s="30"/>
    </row>
    <row r="648" spans="4:9">
      <c r="D648" s="47"/>
      <c r="E648" s="143"/>
      <c r="H648" s="2"/>
      <c r="I648" s="30"/>
    </row>
    <row r="649" spans="4:9">
      <c r="D649" s="47"/>
      <c r="E649" s="143"/>
      <c r="H649" s="2"/>
      <c r="I649" s="30"/>
    </row>
    <row r="650" spans="4:9">
      <c r="D650" s="47"/>
      <c r="E650" s="143"/>
      <c r="H650" s="2"/>
      <c r="I650" s="30"/>
    </row>
    <row r="651" spans="4:9">
      <c r="D651" s="47"/>
      <c r="E651" s="143"/>
      <c r="H651" s="2"/>
      <c r="I651" s="30"/>
    </row>
    <row r="652" spans="4:9">
      <c r="D652" s="47"/>
      <c r="E652" s="143"/>
      <c r="H652" s="2"/>
      <c r="I652" s="30"/>
    </row>
    <row r="653" spans="4:9">
      <c r="D653" s="47"/>
      <c r="E653" s="143"/>
      <c r="H653" s="2"/>
      <c r="I653" s="30"/>
    </row>
    <row r="654" spans="4:9">
      <c r="D654" s="47"/>
      <c r="E654" s="143"/>
      <c r="H654" s="2"/>
      <c r="I654" s="30"/>
    </row>
    <row r="655" spans="4:9">
      <c r="D655" s="47"/>
      <c r="E655" s="143"/>
      <c r="H655" s="2"/>
      <c r="I655" s="30"/>
    </row>
    <row r="656" spans="4:9">
      <c r="D656" s="47"/>
      <c r="E656" s="143"/>
      <c r="H656" s="2"/>
      <c r="I656" s="30"/>
    </row>
    <row r="657" spans="4:9">
      <c r="D657" s="47"/>
      <c r="E657" s="143"/>
      <c r="H657" s="2"/>
      <c r="I657" s="30"/>
    </row>
    <row r="658" spans="4:9">
      <c r="D658" s="47"/>
      <c r="E658" s="143"/>
      <c r="H658" s="2"/>
      <c r="I658" s="30"/>
    </row>
    <row r="659" spans="4:9">
      <c r="D659" s="47"/>
      <c r="E659" s="143"/>
      <c r="H659" s="2"/>
      <c r="I659" s="30"/>
    </row>
    <row r="660" spans="4:9">
      <c r="D660" s="47"/>
      <c r="E660" s="143"/>
      <c r="H660" s="2"/>
      <c r="I660" s="30"/>
    </row>
    <row r="661" spans="4:9">
      <c r="D661" s="47"/>
      <c r="E661" s="143"/>
      <c r="H661" s="2"/>
      <c r="I661" s="30"/>
    </row>
    <row r="662" spans="4:9">
      <c r="D662" s="47"/>
      <c r="E662" s="143"/>
      <c r="H662" s="2"/>
      <c r="I662" s="30"/>
    </row>
    <row r="663" spans="4:9">
      <c r="D663" s="47"/>
      <c r="E663" s="143"/>
      <c r="H663" s="2"/>
      <c r="I663" s="30"/>
    </row>
    <row r="664" spans="4:9">
      <c r="D664" s="47"/>
      <c r="E664" s="143"/>
      <c r="H664" s="2"/>
      <c r="I664" s="30"/>
    </row>
    <row r="665" spans="4:9">
      <c r="D665" s="47"/>
      <c r="E665" s="143"/>
      <c r="H665" s="2"/>
      <c r="I665" s="30"/>
    </row>
    <row r="666" spans="4:9">
      <c r="D666" s="47"/>
      <c r="E666" s="143"/>
      <c r="H666" s="2"/>
      <c r="I666" s="30"/>
    </row>
    <row r="667" spans="4:9">
      <c r="D667" s="47"/>
      <c r="E667" s="143"/>
      <c r="H667" s="2"/>
      <c r="I667" s="30"/>
    </row>
    <row r="668" spans="4:9">
      <c r="D668" s="47"/>
      <c r="E668" s="143"/>
      <c r="H668" s="2"/>
      <c r="I668" s="30"/>
    </row>
    <row r="669" spans="4:9">
      <c r="D669" s="47"/>
      <c r="E669" s="143"/>
      <c r="H669" s="2"/>
      <c r="I669" s="30"/>
    </row>
    <row r="670" spans="4:9">
      <c r="D670" s="47"/>
      <c r="E670" s="143"/>
      <c r="H670" s="2"/>
      <c r="I670" s="30"/>
    </row>
    <row r="671" spans="4:9">
      <c r="D671" s="47"/>
      <c r="E671" s="143"/>
      <c r="H671" s="2"/>
      <c r="I671" s="30"/>
    </row>
    <row r="672" spans="4:9">
      <c r="D672" s="47"/>
      <c r="E672" s="143"/>
      <c r="H672" s="2"/>
      <c r="I672" s="30"/>
    </row>
    <row r="673" spans="4:9">
      <c r="D673" s="47"/>
      <c r="E673" s="143"/>
      <c r="H673" s="2"/>
      <c r="I673" s="30"/>
    </row>
    <row r="674" spans="4:9">
      <c r="D674" s="47"/>
      <c r="E674" s="143"/>
      <c r="H674" s="2"/>
      <c r="I674" s="30"/>
    </row>
    <row r="675" spans="4:9">
      <c r="D675" s="47"/>
      <c r="E675" s="143"/>
      <c r="H675" s="2"/>
      <c r="I675" s="30"/>
    </row>
    <row r="676" spans="4:9">
      <c r="D676" s="47"/>
      <c r="E676" s="143"/>
      <c r="H676" s="2"/>
      <c r="I676" s="30"/>
    </row>
    <row r="677" spans="4:9">
      <c r="D677" s="47"/>
      <c r="E677" s="143"/>
      <c r="H677" s="2"/>
      <c r="I677" s="30"/>
    </row>
    <row r="678" spans="4:9">
      <c r="D678" s="47"/>
      <c r="E678" s="143"/>
      <c r="H678" s="2"/>
      <c r="I678" s="30"/>
    </row>
    <row r="679" spans="4:9">
      <c r="D679" s="47"/>
      <c r="E679" s="143"/>
      <c r="H679" s="2"/>
      <c r="I679" s="30"/>
    </row>
    <row r="680" spans="4:9">
      <c r="D680" s="47"/>
      <c r="E680" s="143"/>
      <c r="H680" s="2"/>
      <c r="I680" s="30"/>
    </row>
    <row r="681" spans="4:9">
      <c r="D681" s="47"/>
      <c r="E681" s="143"/>
      <c r="H681" s="2"/>
      <c r="I681" s="30"/>
    </row>
    <row r="682" spans="4:9">
      <c r="D682" s="47"/>
      <c r="E682" s="143"/>
      <c r="H682" s="2"/>
      <c r="I682" s="30"/>
    </row>
    <row r="683" spans="4:9">
      <c r="D683" s="47"/>
      <c r="E683" s="143"/>
      <c r="H683" s="2"/>
      <c r="I683" s="30"/>
    </row>
    <row r="684" spans="4:9">
      <c r="D684" s="47"/>
      <c r="E684" s="143"/>
      <c r="H684" s="2"/>
      <c r="I684" s="30"/>
    </row>
    <row r="685" spans="4:9">
      <c r="D685" s="47"/>
      <c r="E685" s="143"/>
      <c r="H685" s="2"/>
      <c r="I685" s="30"/>
    </row>
    <row r="686" spans="4:9">
      <c r="D686" s="47"/>
      <c r="E686" s="143"/>
      <c r="H686" s="2"/>
      <c r="I686" s="30"/>
    </row>
    <row r="687" spans="4:9">
      <c r="D687" s="47"/>
      <c r="E687" s="143"/>
      <c r="H687" s="2"/>
      <c r="I687" s="30"/>
    </row>
    <row r="688" spans="4:9">
      <c r="D688" s="47"/>
      <c r="E688" s="143"/>
      <c r="H688" s="2"/>
      <c r="I688" s="30"/>
    </row>
    <row r="689" spans="4:9">
      <c r="D689" s="47"/>
      <c r="E689" s="143"/>
      <c r="H689" s="2"/>
      <c r="I689" s="30"/>
    </row>
    <row r="690" spans="4:9">
      <c r="D690" s="47"/>
      <c r="E690" s="143"/>
      <c r="H690" s="2"/>
      <c r="I690" s="30"/>
    </row>
    <row r="691" spans="4:9">
      <c r="D691" s="47"/>
      <c r="E691" s="143"/>
      <c r="H691" s="2"/>
      <c r="I691" s="30"/>
    </row>
    <row r="692" spans="4:9">
      <c r="D692" s="47"/>
      <c r="E692" s="143"/>
      <c r="H692" s="2"/>
      <c r="I692" s="30"/>
    </row>
    <row r="693" spans="4:9">
      <c r="D693" s="47"/>
      <c r="E693" s="143"/>
      <c r="H693" s="2"/>
      <c r="I693" s="30"/>
    </row>
    <row r="694" spans="4:9">
      <c r="D694" s="47"/>
      <c r="E694" s="143"/>
      <c r="H694" s="2"/>
      <c r="I694" s="30"/>
    </row>
    <row r="695" spans="4:9">
      <c r="D695" s="47"/>
      <c r="E695" s="143"/>
      <c r="H695" s="2"/>
      <c r="I695" s="30"/>
    </row>
    <row r="696" spans="4:9">
      <c r="D696" s="47"/>
      <c r="E696" s="143"/>
      <c r="H696" s="2"/>
      <c r="I696" s="30"/>
    </row>
    <row r="697" spans="4:9">
      <c r="D697" s="47"/>
      <c r="E697" s="143"/>
      <c r="H697" s="2"/>
      <c r="I697" s="30"/>
    </row>
    <row r="698" spans="4:9">
      <c r="D698" s="47"/>
      <c r="E698" s="143"/>
      <c r="H698" s="2"/>
      <c r="I698" s="30"/>
    </row>
    <row r="699" spans="4:9">
      <c r="D699" s="47"/>
      <c r="E699" s="143"/>
      <c r="H699" s="2"/>
      <c r="I699" s="30"/>
    </row>
    <row r="700" spans="4:9">
      <c r="D700" s="47"/>
      <c r="E700" s="143"/>
      <c r="H700" s="2"/>
      <c r="I700" s="30"/>
    </row>
    <row r="701" spans="4:9">
      <c r="D701" s="47"/>
      <c r="E701" s="143"/>
      <c r="H701" s="2"/>
      <c r="I701" s="30"/>
    </row>
    <row r="702" spans="4:9">
      <c r="D702" s="47"/>
      <c r="E702" s="143"/>
      <c r="H702" s="2"/>
      <c r="I702" s="30"/>
    </row>
    <row r="703" spans="4:9">
      <c r="D703" s="47"/>
      <c r="E703" s="143"/>
      <c r="H703" s="2"/>
      <c r="I703" s="30"/>
    </row>
    <row r="704" spans="4:9">
      <c r="D704" s="47"/>
      <c r="E704" s="143"/>
      <c r="H704" s="2"/>
      <c r="I704" s="30"/>
    </row>
    <row r="705" spans="4:9">
      <c r="D705" s="47"/>
      <c r="E705" s="143"/>
      <c r="H705" s="2"/>
      <c r="I705" s="30"/>
    </row>
    <row r="706" spans="4:9">
      <c r="D706" s="47"/>
      <c r="E706" s="143"/>
      <c r="H706" s="2"/>
      <c r="I706" s="30"/>
    </row>
    <row r="707" spans="4:9">
      <c r="D707" s="47"/>
      <c r="E707" s="143"/>
      <c r="H707" s="2"/>
      <c r="I707" s="30"/>
    </row>
    <row r="708" spans="4:9">
      <c r="D708" s="47"/>
      <c r="E708" s="143"/>
      <c r="H708" s="2"/>
      <c r="I708" s="30"/>
    </row>
    <row r="709" spans="4:9">
      <c r="D709" s="47"/>
      <c r="E709" s="143"/>
      <c r="H709" s="2"/>
      <c r="I709" s="30"/>
    </row>
    <row r="710" spans="4:9">
      <c r="D710" s="47"/>
      <c r="E710" s="143"/>
      <c r="H710" s="2"/>
      <c r="I710" s="30"/>
    </row>
    <row r="711" spans="4:9">
      <c r="D711" s="47"/>
      <c r="E711" s="143"/>
      <c r="H711" s="2"/>
      <c r="I711" s="30"/>
    </row>
    <row r="712" spans="4:9">
      <c r="D712" s="47"/>
      <c r="E712" s="143"/>
      <c r="H712" s="2"/>
      <c r="I712" s="30"/>
    </row>
    <row r="713" spans="4:9">
      <c r="D713" s="47"/>
      <c r="E713" s="143"/>
      <c r="H713" s="2"/>
      <c r="I713" s="30"/>
    </row>
    <row r="714" spans="4:9">
      <c r="D714" s="47"/>
      <c r="E714" s="143"/>
      <c r="H714" s="2"/>
      <c r="I714" s="30"/>
    </row>
    <row r="715" spans="4:9">
      <c r="D715" s="47"/>
      <c r="E715" s="143"/>
      <c r="H715" s="2"/>
      <c r="I715" s="30"/>
    </row>
    <row r="716" spans="4:9">
      <c r="D716" s="47"/>
      <c r="E716" s="143"/>
      <c r="H716" s="2"/>
      <c r="I716" s="30"/>
    </row>
    <row r="717" spans="4:9">
      <c r="D717" s="47"/>
      <c r="E717" s="143"/>
      <c r="H717" s="2"/>
      <c r="I717" s="30"/>
    </row>
    <row r="718" spans="4:9">
      <c r="D718" s="47"/>
      <c r="E718" s="143"/>
      <c r="H718" s="2"/>
      <c r="I718" s="30"/>
    </row>
    <row r="719" spans="4:9">
      <c r="D719" s="47"/>
      <c r="E719" s="143"/>
      <c r="H719" s="2"/>
      <c r="I719" s="30"/>
    </row>
    <row r="720" spans="4:9">
      <c r="D720" s="47"/>
      <c r="E720" s="143"/>
      <c r="H720" s="2"/>
      <c r="I720" s="30"/>
    </row>
    <row r="721" spans="4:9">
      <c r="D721" s="47"/>
      <c r="E721" s="143"/>
      <c r="H721" s="2"/>
      <c r="I721" s="30"/>
    </row>
    <row r="722" spans="4:9">
      <c r="D722" s="47"/>
      <c r="E722" s="143"/>
      <c r="H722" s="2"/>
      <c r="I722" s="30"/>
    </row>
    <row r="723" spans="4:9">
      <c r="D723" s="47"/>
      <c r="E723" s="143"/>
      <c r="H723" s="2"/>
      <c r="I723" s="30"/>
    </row>
    <row r="724" spans="4:9">
      <c r="D724" s="47"/>
      <c r="E724" s="143"/>
      <c r="H724" s="2"/>
      <c r="I724" s="30"/>
    </row>
    <row r="725" spans="4:9">
      <c r="D725" s="47"/>
      <c r="E725" s="143"/>
      <c r="H725" s="2"/>
      <c r="I725" s="30"/>
    </row>
    <row r="726" spans="4:9">
      <c r="D726" s="47"/>
      <c r="E726" s="143"/>
      <c r="H726" s="2"/>
      <c r="I726" s="30"/>
    </row>
    <row r="727" spans="4:9">
      <c r="D727" s="47"/>
      <c r="E727" s="143"/>
      <c r="H727" s="2"/>
      <c r="I727" s="30"/>
    </row>
    <row r="728" spans="4:9">
      <c r="D728" s="47"/>
      <c r="E728" s="143"/>
      <c r="H728" s="2"/>
      <c r="I728" s="30"/>
    </row>
    <row r="729" spans="4:9">
      <c r="D729" s="47"/>
      <c r="E729" s="143"/>
      <c r="H729" s="2"/>
      <c r="I729" s="30"/>
    </row>
    <row r="730" spans="4:9">
      <c r="D730" s="47"/>
      <c r="E730" s="143"/>
      <c r="H730" s="2"/>
      <c r="I730" s="30"/>
    </row>
    <row r="731" spans="4:9">
      <c r="D731" s="47"/>
      <c r="E731" s="143"/>
      <c r="H731" s="2"/>
      <c r="I731" s="30"/>
    </row>
    <row r="732" spans="4:9">
      <c r="D732" s="47"/>
      <c r="E732" s="143"/>
      <c r="H732" s="2"/>
      <c r="I732" s="30"/>
    </row>
    <row r="733" spans="4:9">
      <c r="D733" s="47"/>
      <c r="E733" s="143"/>
      <c r="H733" s="2"/>
      <c r="I733" s="30"/>
    </row>
    <row r="734" spans="4:9">
      <c r="D734" s="47"/>
      <c r="E734" s="143"/>
      <c r="H734" s="2"/>
      <c r="I734" s="30"/>
    </row>
    <row r="735" spans="4:9">
      <c r="D735" s="47"/>
      <c r="E735" s="143"/>
      <c r="H735" s="2"/>
      <c r="I735" s="30"/>
    </row>
    <row r="736" spans="4:9">
      <c r="D736" s="47"/>
      <c r="E736" s="143"/>
      <c r="H736" s="2"/>
      <c r="I736" s="30"/>
    </row>
    <row r="737" spans="4:9">
      <c r="D737" s="47"/>
      <c r="E737" s="143"/>
      <c r="H737" s="2"/>
      <c r="I737" s="30"/>
    </row>
    <row r="738" spans="4:9">
      <c r="D738" s="47"/>
      <c r="E738" s="143"/>
      <c r="H738" s="2"/>
      <c r="I738" s="30"/>
    </row>
    <row r="739" spans="4:9">
      <c r="D739" s="47"/>
      <c r="E739" s="143"/>
      <c r="H739" s="2"/>
      <c r="I739" s="30"/>
    </row>
    <row r="740" spans="4:9">
      <c r="D740" s="47"/>
      <c r="E740" s="143"/>
      <c r="H740" s="2"/>
      <c r="I740" s="30"/>
    </row>
    <row r="741" spans="4:9">
      <c r="D741" s="47"/>
      <c r="E741" s="143"/>
      <c r="H741" s="2"/>
      <c r="I741" s="30"/>
    </row>
    <row r="742" spans="4:9">
      <c r="D742" s="47"/>
      <c r="E742" s="143"/>
      <c r="H742" s="2"/>
      <c r="I742" s="30"/>
    </row>
    <row r="743" spans="4:9">
      <c r="D743" s="47"/>
      <c r="E743" s="143"/>
      <c r="H743" s="2"/>
      <c r="I743" s="30"/>
    </row>
    <row r="744" spans="4:9">
      <c r="D744" s="47"/>
      <c r="E744" s="143"/>
      <c r="H744" s="2"/>
      <c r="I744" s="30"/>
    </row>
    <row r="745" spans="4:9">
      <c r="D745" s="47"/>
      <c r="E745" s="143"/>
      <c r="H745" s="2"/>
      <c r="I745" s="30"/>
    </row>
    <row r="746" spans="4:9">
      <c r="D746" s="47"/>
      <c r="E746" s="143"/>
      <c r="H746" s="2"/>
      <c r="I746" s="30"/>
    </row>
    <row r="747" spans="4:9">
      <c r="D747" s="47"/>
      <c r="E747" s="143"/>
      <c r="H747" s="2"/>
      <c r="I747" s="30"/>
    </row>
    <row r="748" spans="4:9">
      <c r="D748" s="47"/>
      <c r="E748" s="143"/>
      <c r="H748" s="2"/>
      <c r="I748" s="30"/>
    </row>
    <row r="749" spans="4:9">
      <c r="D749" s="47"/>
      <c r="E749" s="143"/>
      <c r="H749" s="2"/>
      <c r="I749" s="30"/>
    </row>
    <row r="750" spans="4:9">
      <c r="D750" s="47"/>
      <c r="E750" s="143"/>
      <c r="H750" s="2"/>
      <c r="I750" s="30"/>
    </row>
    <row r="751" spans="4:9">
      <c r="D751" s="47"/>
      <c r="E751" s="143"/>
      <c r="H751" s="2"/>
      <c r="I751" s="30"/>
    </row>
    <row r="752" spans="4:9">
      <c r="D752" s="47"/>
      <c r="E752" s="143"/>
      <c r="H752" s="2"/>
      <c r="I752" s="30"/>
    </row>
    <row r="753" spans="4:9">
      <c r="D753" s="47"/>
      <c r="E753" s="143"/>
      <c r="H753" s="2"/>
      <c r="I753" s="30"/>
    </row>
    <row r="754" spans="4:9">
      <c r="D754" s="47"/>
      <c r="E754" s="143"/>
      <c r="H754" s="2"/>
      <c r="I754" s="30"/>
    </row>
    <row r="755" spans="4:9">
      <c r="D755" s="47"/>
      <c r="E755" s="143"/>
      <c r="H755" s="2"/>
      <c r="I755" s="30"/>
    </row>
    <row r="756" spans="4:9">
      <c r="D756" s="47"/>
      <c r="E756" s="143"/>
      <c r="H756" s="2"/>
      <c r="I756" s="30"/>
    </row>
    <row r="757" spans="4:9">
      <c r="D757" s="47"/>
      <c r="E757" s="143"/>
      <c r="H757" s="2"/>
      <c r="I757" s="30"/>
    </row>
    <row r="758" spans="4:9">
      <c r="D758" s="47"/>
      <c r="E758" s="143"/>
      <c r="H758" s="2"/>
      <c r="I758" s="30"/>
    </row>
    <row r="759" spans="4:9">
      <c r="D759" s="47"/>
      <c r="E759" s="143"/>
      <c r="H759" s="2"/>
      <c r="I759" s="30"/>
    </row>
    <row r="760" spans="4:9">
      <c r="D760" s="47"/>
      <c r="E760" s="143"/>
      <c r="H760" s="2"/>
      <c r="I760" s="30"/>
    </row>
    <row r="761" spans="4:9">
      <c r="D761" s="47"/>
      <c r="E761" s="143"/>
      <c r="H761" s="2"/>
      <c r="I761" s="30"/>
    </row>
    <row r="762" spans="4:9">
      <c r="D762" s="47"/>
      <c r="E762" s="143"/>
      <c r="H762" s="2"/>
      <c r="I762" s="30"/>
    </row>
    <row r="763" spans="4:9">
      <c r="D763" s="47"/>
      <c r="E763" s="143"/>
      <c r="H763" s="2"/>
      <c r="I763" s="30"/>
    </row>
    <row r="764" spans="4:9">
      <c r="D764" s="47"/>
      <c r="E764" s="143"/>
      <c r="H764" s="2"/>
      <c r="I764" s="30"/>
    </row>
    <row r="765" spans="4:9">
      <c r="D765" s="47"/>
      <c r="E765" s="143"/>
      <c r="H765" s="2"/>
      <c r="I765" s="30"/>
    </row>
    <row r="766" spans="4:9">
      <c r="D766" s="47"/>
      <c r="E766" s="143"/>
      <c r="H766" s="2"/>
      <c r="I766" s="30"/>
    </row>
    <row r="767" spans="4:9">
      <c r="D767" s="47"/>
      <c r="E767" s="143"/>
      <c r="H767" s="2"/>
      <c r="I767" s="30"/>
    </row>
    <row r="768" spans="4:9">
      <c r="D768" s="47"/>
      <c r="E768" s="143"/>
      <c r="H768" s="2"/>
      <c r="I768" s="30"/>
    </row>
    <row r="769" spans="4:9">
      <c r="D769" s="47"/>
      <c r="E769" s="143"/>
      <c r="H769" s="2"/>
      <c r="I769" s="30"/>
    </row>
    <row r="770" spans="4:9">
      <c r="D770" s="47"/>
      <c r="E770" s="143"/>
      <c r="H770" s="2"/>
      <c r="I770" s="30"/>
    </row>
    <row r="771" spans="4:9">
      <c r="D771" s="47"/>
      <c r="E771" s="143"/>
      <c r="H771" s="2"/>
      <c r="I771" s="30"/>
    </row>
    <row r="772" spans="4:9">
      <c r="D772" s="47"/>
      <c r="E772" s="143"/>
      <c r="H772" s="2"/>
      <c r="I772" s="30"/>
    </row>
    <row r="773" spans="4:9">
      <c r="D773" s="47"/>
      <c r="E773" s="143"/>
      <c r="H773" s="2"/>
      <c r="I773" s="30"/>
    </row>
    <row r="774" spans="4:9">
      <c r="D774" s="47"/>
      <c r="E774" s="143"/>
      <c r="H774" s="2"/>
      <c r="I774" s="30"/>
    </row>
    <row r="775" spans="4:9">
      <c r="D775" s="47"/>
      <c r="E775" s="143"/>
      <c r="H775" s="2"/>
      <c r="I775" s="30"/>
    </row>
    <row r="776" spans="4:9">
      <c r="D776" s="47"/>
      <c r="E776" s="143"/>
      <c r="H776" s="2"/>
      <c r="I776" s="30"/>
    </row>
    <row r="777" spans="4:9">
      <c r="D777" s="47"/>
      <c r="E777" s="143"/>
      <c r="H777" s="2"/>
      <c r="I777" s="30"/>
    </row>
    <row r="778" spans="4:9">
      <c r="D778" s="47"/>
      <c r="E778" s="143"/>
      <c r="H778" s="2"/>
      <c r="I778" s="30"/>
    </row>
    <row r="779" spans="4:9">
      <c r="D779" s="47"/>
      <c r="E779" s="143"/>
      <c r="H779" s="2"/>
      <c r="I779" s="30"/>
    </row>
    <row r="780" spans="4:9">
      <c r="D780" s="47"/>
      <c r="E780" s="143"/>
      <c r="H780" s="2"/>
      <c r="I780" s="30"/>
    </row>
    <row r="781" spans="4:9">
      <c r="D781" s="47"/>
      <c r="E781" s="143"/>
      <c r="H781" s="2"/>
      <c r="I781" s="30"/>
    </row>
    <row r="782" spans="4:9">
      <c r="D782" s="47"/>
      <c r="E782" s="143"/>
      <c r="H782" s="2"/>
      <c r="I782" s="30"/>
    </row>
    <row r="783" spans="4:9">
      <c r="D783" s="47"/>
      <c r="E783" s="143"/>
      <c r="H783" s="2"/>
      <c r="I783" s="30"/>
    </row>
    <row r="784" spans="4:9">
      <c r="D784" s="47"/>
      <c r="E784" s="143"/>
      <c r="H784" s="2"/>
      <c r="I784" s="30"/>
    </row>
    <row r="785" spans="4:9">
      <c r="D785" s="47"/>
      <c r="E785" s="143"/>
      <c r="H785" s="2"/>
      <c r="I785" s="30"/>
    </row>
    <row r="786" spans="4:9">
      <c r="D786" s="47"/>
      <c r="E786" s="143"/>
      <c r="H786" s="2"/>
      <c r="I786" s="30"/>
    </row>
    <row r="787" spans="4:9">
      <c r="D787" s="47"/>
      <c r="E787" s="143"/>
      <c r="H787" s="2"/>
      <c r="I787" s="30"/>
    </row>
    <row r="788" spans="4:9">
      <c r="D788" s="47"/>
      <c r="E788" s="143"/>
      <c r="H788" s="2"/>
      <c r="I788" s="30"/>
    </row>
    <row r="789" spans="4:9">
      <c r="D789" s="47"/>
      <c r="E789" s="143"/>
      <c r="H789" s="2"/>
      <c r="I789" s="30"/>
    </row>
    <row r="790" spans="4:9">
      <c r="D790" s="47"/>
      <c r="E790" s="143"/>
      <c r="H790" s="2"/>
      <c r="I790" s="30"/>
    </row>
    <row r="791" spans="4:9">
      <c r="D791" s="47"/>
      <c r="E791" s="143"/>
      <c r="H791" s="2"/>
      <c r="I791" s="30"/>
    </row>
    <row r="792" spans="4:9">
      <c r="D792" s="47"/>
      <c r="E792" s="143"/>
      <c r="H792" s="2"/>
      <c r="I792" s="30"/>
    </row>
    <row r="793" spans="4:9">
      <c r="D793" s="47"/>
      <c r="E793" s="143"/>
      <c r="H793" s="2"/>
      <c r="I793" s="30"/>
    </row>
    <row r="794" spans="4:9">
      <c r="D794" s="47"/>
      <c r="E794" s="143"/>
      <c r="H794" s="2"/>
      <c r="I794" s="30"/>
    </row>
    <row r="795" spans="4:9">
      <c r="D795" s="47"/>
      <c r="E795" s="143"/>
      <c r="H795" s="2"/>
      <c r="I795" s="30"/>
    </row>
    <row r="796" spans="4:9">
      <c r="D796" s="47"/>
      <c r="E796" s="143"/>
      <c r="H796" s="2"/>
      <c r="I796" s="30"/>
    </row>
    <row r="797" spans="4:9">
      <c r="D797" s="47"/>
      <c r="E797" s="143"/>
      <c r="H797" s="2"/>
      <c r="I797" s="30"/>
    </row>
    <row r="798" spans="4:9">
      <c r="D798" s="47"/>
      <c r="E798" s="143"/>
      <c r="H798" s="2"/>
      <c r="I798" s="30"/>
    </row>
    <row r="799" spans="4:9">
      <c r="D799" s="47"/>
      <c r="E799" s="143"/>
      <c r="H799" s="2"/>
      <c r="I799" s="30"/>
    </row>
    <row r="800" spans="4:9">
      <c r="D800" s="47"/>
      <c r="E800" s="143"/>
      <c r="H800" s="2"/>
      <c r="I800" s="30"/>
    </row>
    <row r="801" spans="4:9">
      <c r="D801" s="47"/>
      <c r="E801" s="143"/>
      <c r="H801" s="2"/>
      <c r="I801" s="30"/>
    </row>
    <row r="802" spans="4:9">
      <c r="D802" s="47"/>
      <c r="E802" s="143"/>
      <c r="H802" s="2"/>
      <c r="I802" s="30"/>
    </row>
    <row r="803" spans="4:9">
      <c r="D803" s="47"/>
      <c r="E803" s="143"/>
      <c r="H803" s="2"/>
      <c r="I803" s="30"/>
    </row>
    <row r="804" spans="4:9">
      <c r="D804" s="47"/>
      <c r="E804" s="143"/>
      <c r="H804" s="2"/>
      <c r="I804" s="30"/>
    </row>
    <row r="805" spans="4:9">
      <c r="D805" s="47"/>
      <c r="E805" s="143"/>
      <c r="H805" s="2"/>
      <c r="I805" s="30"/>
    </row>
    <row r="806" spans="4:9">
      <c r="D806" s="47"/>
      <c r="E806" s="143"/>
      <c r="H806" s="2"/>
      <c r="I806" s="30"/>
    </row>
    <row r="807" spans="4:9">
      <c r="D807" s="47"/>
      <c r="E807" s="143"/>
      <c r="H807" s="2"/>
      <c r="I807" s="30"/>
    </row>
    <row r="808" spans="4:9">
      <c r="D808" s="47"/>
      <c r="E808" s="143"/>
      <c r="H808" s="2"/>
      <c r="I808" s="30"/>
    </row>
    <row r="809" spans="4:9">
      <c r="D809" s="47"/>
      <c r="E809" s="143"/>
      <c r="H809" s="2"/>
      <c r="I809" s="30"/>
    </row>
    <row r="810" spans="4:9">
      <c r="D810" s="47"/>
      <c r="E810" s="143"/>
      <c r="H810" s="2"/>
      <c r="I810" s="30"/>
    </row>
    <row r="811" spans="4:9">
      <c r="D811" s="47"/>
      <c r="E811" s="143"/>
      <c r="H811" s="2"/>
      <c r="I811" s="30"/>
    </row>
    <row r="812" spans="4:9">
      <c r="D812" s="47"/>
      <c r="E812" s="143"/>
      <c r="H812" s="2"/>
      <c r="I812" s="30"/>
    </row>
    <row r="813" spans="4:9">
      <c r="D813" s="47"/>
      <c r="E813" s="143"/>
      <c r="H813" s="2"/>
      <c r="I813" s="30"/>
    </row>
    <row r="814" spans="4:9">
      <c r="D814" s="47"/>
      <c r="E814" s="143"/>
      <c r="H814" s="2"/>
      <c r="I814" s="30"/>
    </row>
    <row r="815" spans="4:9">
      <c r="D815" s="47"/>
      <c r="E815" s="143"/>
      <c r="H815" s="2"/>
      <c r="I815" s="30"/>
    </row>
    <row r="816" spans="4:9">
      <c r="D816" s="47"/>
      <c r="E816" s="143"/>
      <c r="H816" s="2"/>
      <c r="I816" s="30"/>
    </row>
    <row r="817" spans="4:9">
      <c r="D817" s="47"/>
      <c r="E817" s="143"/>
      <c r="H817" s="2"/>
      <c r="I817" s="30"/>
    </row>
    <row r="818" spans="4:9">
      <c r="D818" s="47"/>
      <c r="E818" s="143"/>
      <c r="H818" s="2"/>
      <c r="I818" s="30"/>
    </row>
    <row r="819" spans="4:9">
      <c r="D819" s="47"/>
      <c r="E819" s="143"/>
      <c r="H819" s="2"/>
      <c r="I819" s="30"/>
    </row>
    <row r="820" spans="4:9">
      <c r="D820" s="47"/>
      <c r="E820" s="143"/>
      <c r="H820" s="2"/>
      <c r="I820" s="30"/>
    </row>
    <row r="821" spans="4:9">
      <c r="D821" s="47"/>
      <c r="E821" s="143"/>
      <c r="H821" s="2"/>
      <c r="I821" s="30"/>
    </row>
    <row r="822" spans="4:9">
      <c r="D822" s="47"/>
      <c r="E822" s="143"/>
      <c r="H822" s="2"/>
      <c r="I822" s="30"/>
    </row>
    <row r="823" spans="4:9">
      <c r="D823" s="47"/>
      <c r="E823" s="143"/>
      <c r="H823" s="2"/>
      <c r="I823" s="30"/>
    </row>
    <row r="824" spans="4:9">
      <c r="D824" s="47"/>
      <c r="E824" s="143"/>
      <c r="H824" s="2"/>
      <c r="I824" s="30"/>
    </row>
    <row r="825" spans="4:9">
      <c r="D825" s="47"/>
      <c r="E825" s="143"/>
      <c r="H825" s="2"/>
      <c r="I825" s="30"/>
    </row>
    <row r="826" spans="4:9">
      <c r="D826" s="47"/>
      <c r="E826" s="143"/>
      <c r="H826" s="2"/>
      <c r="I826" s="30"/>
    </row>
    <row r="827" spans="4:9">
      <c r="D827" s="47"/>
      <c r="E827" s="143"/>
      <c r="H827" s="2"/>
      <c r="I827" s="30"/>
    </row>
    <row r="828" spans="4:9">
      <c r="D828" s="47"/>
      <c r="E828" s="143"/>
      <c r="H828" s="2"/>
      <c r="I828" s="30"/>
    </row>
    <row r="829" spans="4:9">
      <c r="D829" s="47"/>
      <c r="E829" s="143"/>
      <c r="H829" s="2"/>
      <c r="I829" s="30"/>
    </row>
    <row r="830" spans="4:9">
      <c r="D830" s="47"/>
      <c r="E830" s="143"/>
      <c r="H830" s="2"/>
      <c r="I830" s="30"/>
    </row>
    <row r="831" spans="4:9">
      <c r="D831" s="47"/>
      <c r="E831" s="143"/>
      <c r="H831" s="2"/>
      <c r="I831" s="30"/>
    </row>
    <row r="832" spans="4:9">
      <c r="D832" s="47"/>
      <c r="E832" s="143"/>
      <c r="H832" s="2"/>
      <c r="I832" s="30"/>
    </row>
    <row r="833" spans="4:9">
      <c r="D833" s="47"/>
      <c r="E833" s="143"/>
      <c r="H833" s="2"/>
      <c r="I833" s="30"/>
    </row>
    <row r="834" spans="4:9">
      <c r="D834" s="47"/>
      <c r="E834" s="143"/>
      <c r="H834" s="2"/>
      <c r="I834" s="30"/>
    </row>
    <row r="835" spans="4:9">
      <c r="D835" s="47"/>
      <c r="E835" s="143"/>
      <c r="H835" s="2"/>
      <c r="I835" s="30"/>
    </row>
    <row r="836" spans="4:9">
      <c r="D836" s="47"/>
      <c r="E836" s="143"/>
      <c r="H836" s="2"/>
      <c r="I836" s="30"/>
    </row>
    <row r="837" spans="4:9">
      <c r="D837" s="47"/>
      <c r="E837" s="143"/>
      <c r="H837" s="2"/>
      <c r="I837" s="30"/>
    </row>
    <row r="838" spans="4:9">
      <c r="D838" s="47"/>
      <c r="E838" s="143"/>
      <c r="H838" s="2"/>
      <c r="I838" s="30"/>
    </row>
    <row r="839" spans="4:9">
      <c r="D839" s="47"/>
      <c r="E839" s="143"/>
      <c r="H839" s="2"/>
      <c r="I839" s="30"/>
    </row>
    <row r="840" spans="4:9">
      <c r="D840" s="47"/>
      <c r="E840" s="143"/>
      <c r="H840" s="2"/>
      <c r="I840" s="30"/>
    </row>
    <row r="841" spans="4:9">
      <c r="D841" s="47"/>
      <c r="E841" s="143"/>
      <c r="H841" s="2"/>
      <c r="I841" s="30"/>
    </row>
    <row r="842" spans="4:9">
      <c r="D842" s="47"/>
      <c r="E842" s="143"/>
      <c r="H842" s="2"/>
      <c r="I842" s="30"/>
    </row>
    <row r="843" spans="4:9">
      <c r="D843" s="47"/>
      <c r="E843" s="143"/>
      <c r="H843" s="2"/>
      <c r="I843" s="30"/>
    </row>
    <row r="844" spans="4:9">
      <c r="D844" s="47"/>
      <c r="E844" s="143"/>
      <c r="H844" s="2"/>
      <c r="I844" s="30"/>
    </row>
    <row r="845" spans="4:9">
      <c r="D845" s="47"/>
      <c r="E845" s="143"/>
      <c r="H845" s="2"/>
      <c r="I845" s="30"/>
    </row>
    <row r="846" spans="4:9">
      <c r="D846" s="47"/>
      <c r="E846" s="143"/>
      <c r="H846" s="2"/>
      <c r="I846" s="30"/>
    </row>
    <row r="847" spans="4:9">
      <c r="D847" s="47"/>
      <c r="E847" s="143"/>
      <c r="H847" s="2"/>
      <c r="I847" s="30"/>
    </row>
    <row r="848" spans="4:9">
      <c r="D848" s="47"/>
      <c r="E848" s="143"/>
      <c r="H848" s="2"/>
      <c r="I848" s="30"/>
    </row>
    <row r="849" spans="4:9">
      <c r="D849" s="47"/>
      <c r="E849" s="143"/>
      <c r="H849" s="2"/>
      <c r="I849" s="30"/>
    </row>
    <row r="850" spans="4:9">
      <c r="D850" s="47"/>
      <c r="E850" s="143"/>
      <c r="H850" s="2"/>
      <c r="I850" s="30"/>
    </row>
    <row r="851" spans="4:9">
      <c r="D851" s="47"/>
      <c r="E851" s="143"/>
      <c r="H851" s="2"/>
      <c r="I851" s="30"/>
    </row>
    <row r="852" spans="4:9">
      <c r="D852" s="47"/>
      <c r="E852" s="143"/>
      <c r="H852" s="2"/>
      <c r="I852" s="30"/>
    </row>
    <row r="853" spans="4:9">
      <c r="D853" s="47"/>
      <c r="E853" s="143"/>
      <c r="H853" s="2"/>
      <c r="I853" s="30"/>
    </row>
    <row r="854" spans="4:9">
      <c r="D854" s="47"/>
      <c r="E854" s="143"/>
      <c r="H854" s="2"/>
      <c r="I854" s="30"/>
    </row>
    <row r="855" spans="4:9">
      <c r="D855" s="47"/>
      <c r="E855" s="143"/>
      <c r="H855" s="2"/>
      <c r="I855" s="30"/>
    </row>
    <row r="856" spans="4:9">
      <c r="D856" s="47"/>
      <c r="E856" s="143"/>
      <c r="H856" s="2"/>
      <c r="I856" s="30"/>
    </row>
    <row r="857" spans="4:9">
      <c r="D857" s="47"/>
      <c r="E857" s="143"/>
      <c r="H857" s="2"/>
      <c r="I857" s="30"/>
    </row>
    <row r="858" spans="4:9">
      <c r="D858" s="47"/>
      <c r="E858" s="143"/>
      <c r="H858" s="2"/>
      <c r="I858" s="30"/>
    </row>
    <row r="859" spans="4:9">
      <c r="D859" s="47"/>
      <c r="E859" s="143"/>
      <c r="H859" s="2"/>
      <c r="I859" s="30"/>
    </row>
    <row r="860" spans="4:9">
      <c r="D860" s="47"/>
      <c r="E860" s="143"/>
      <c r="H860" s="2"/>
      <c r="I860" s="30"/>
    </row>
    <row r="861" spans="4:9">
      <c r="D861" s="47"/>
      <c r="E861" s="143"/>
      <c r="H861" s="2"/>
      <c r="I861" s="30"/>
    </row>
    <row r="862" spans="4:9">
      <c r="D862" s="47"/>
      <c r="E862" s="143"/>
      <c r="H862" s="2"/>
      <c r="I862" s="30"/>
    </row>
    <row r="863" spans="4:9">
      <c r="D863" s="47"/>
      <c r="E863" s="143"/>
      <c r="H863" s="2"/>
      <c r="I863" s="30"/>
    </row>
    <row r="864" spans="4:9">
      <c r="D864" s="47"/>
      <c r="E864" s="143"/>
      <c r="H864" s="2"/>
      <c r="I864" s="30"/>
    </row>
    <row r="865" spans="4:9">
      <c r="D865" s="47"/>
      <c r="E865" s="143"/>
      <c r="H865" s="2"/>
      <c r="I865" s="30"/>
    </row>
    <row r="866" spans="4:9">
      <c r="D866" s="47"/>
      <c r="E866" s="143"/>
      <c r="H866" s="2"/>
      <c r="I866" s="30"/>
    </row>
    <row r="867" spans="4:9">
      <c r="D867" s="47"/>
      <c r="E867" s="143"/>
      <c r="H867" s="2"/>
      <c r="I867" s="30"/>
    </row>
    <row r="868" spans="4:9">
      <c r="D868" s="47"/>
      <c r="E868" s="143"/>
      <c r="H868" s="2"/>
      <c r="I868" s="30"/>
    </row>
    <row r="869" spans="4:9">
      <c r="D869" s="47"/>
      <c r="E869" s="143"/>
      <c r="H869" s="2"/>
      <c r="I869" s="30"/>
    </row>
    <row r="870" spans="4:9">
      <c r="D870" s="47"/>
      <c r="E870" s="143"/>
      <c r="H870" s="2"/>
      <c r="I870" s="30"/>
    </row>
    <row r="871" spans="4:9">
      <c r="D871" s="47"/>
      <c r="E871" s="143"/>
      <c r="H871" s="2"/>
      <c r="I871" s="30"/>
    </row>
    <row r="872" spans="4:9">
      <c r="D872" s="47"/>
      <c r="E872" s="143"/>
      <c r="H872" s="2"/>
      <c r="I872" s="30"/>
    </row>
    <row r="873" spans="4:9">
      <c r="D873" s="47"/>
      <c r="E873" s="143"/>
      <c r="H873" s="2"/>
      <c r="I873" s="30"/>
    </row>
    <row r="874" spans="4:9">
      <c r="D874" s="47"/>
      <c r="E874" s="143"/>
      <c r="H874" s="2"/>
      <c r="I874" s="30"/>
    </row>
    <row r="875" spans="4:9">
      <c r="D875" s="47"/>
      <c r="E875" s="143"/>
      <c r="H875" s="2"/>
      <c r="I875" s="30"/>
    </row>
    <row r="876" spans="4:9">
      <c r="D876" s="47"/>
      <c r="E876" s="143"/>
      <c r="H876" s="2"/>
      <c r="I876" s="30"/>
    </row>
    <row r="877" spans="4:9">
      <c r="D877" s="47"/>
      <c r="E877" s="143"/>
      <c r="H877" s="2"/>
      <c r="I877" s="30"/>
    </row>
    <row r="878" spans="4:9">
      <c r="D878" s="47"/>
      <c r="E878" s="143"/>
      <c r="H878" s="2"/>
      <c r="I878" s="30"/>
    </row>
    <row r="879" spans="4:9">
      <c r="D879" s="47"/>
      <c r="E879" s="143"/>
      <c r="H879" s="2"/>
      <c r="I879" s="30"/>
    </row>
    <row r="880" spans="4:9">
      <c r="D880" s="47"/>
      <c r="E880" s="143"/>
      <c r="H880" s="2"/>
      <c r="I880" s="30"/>
    </row>
    <row r="881" spans="4:9">
      <c r="D881" s="47"/>
      <c r="E881" s="143"/>
      <c r="H881" s="2"/>
      <c r="I881" s="30"/>
    </row>
    <row r="882" spans="4:9">
      <c r="D882" s="47"/>
      <c r="E882" s="143"/>
      <c r="H882" s="2"/>
      <c r="I882" s="30"/>
    </row>
    <row r="883" spans="4:9">
      <c r="D883" s="47"/>
      <c r="E883" s="143"/>
      <c r="H883" s="2"/>
      <c r="I883" s="30"/>
    </row>
    <row r="884" spans="4:9">
      <c r="D884" s="47"/>
      <c r="E884" s="143"/>
      <c r="H884" s="2"/>
      <c r="I884" s="30"/>
    </row>
    <row r="885" spans="4:9">
      <c r="D885" s="47"/>
      <c r="E885" s="143"/>
      <c r="H885" s="2"/>
      <c r="I885" s="30"/>
    </row>
    <row r="886" spans="4:9">
      <c r="D886" s="47"/>
      <c r="E886" s="143"/>
      <c r="H886" s="2"/>
      <c r="I886" s="30"/>
    </row>
    <row r="887" spans="4:9">
      <c r="D887" s="47"/>
      <c r="E887" s="143"/>
      <c r="H887" s="2"/>
      <c r="I887" s="30"/>
    </row>
    <row r="888" spans="4:9">
      <c r="D888" s="47"/>
      <c r="E888" s="143"/>
      <c r="H888" s="2"/>
      <c r="I888" s="30"/>
    </row>
    <row r="889" spans="4:9">
      <c r="D889" s="47"/>
      <c r="E889" s="143"/>
      <c r="H889" s="2"/>
      <c r="I889" s="30"/>
    </row>
    <row r="890" spans="4:9">
      <c r="D890" s="47"/>
      <c r="E890" s="143"/>
      <c r="H890" s="2"/>
      <c r="I890" s="30"/>
    </row>
    <row r="891" spans="4:9">
      <c r="D891" s="47"/>
      <c r="E891" s="143"/>
      <c r="H891" s="2"/>
      <c r="I891" s="30"/>
    </row>
    <row r="892" spans="4:9">
      <c r="D892" s="47"/>
      <c r="E892" s="143"/>
      <c r="H892" s="2"/>
      <c r="I892" s="30"/>
    </row>
    <row r="893" spans="4:9">
      <c r="D893" s="47"/>
      <c r="E893" s="143"/>
      <c r="H893" s="2"/>
      <c r="I893" s="30"/>
    </row>
    <row r="894" spans="4:9">
      <c r="D894" s="47"/>
      <c r="E894" s="143"/>
      <c r="H894" s="2"/>
      <c r="I894" s="30"/>
    </row>
    <row r="895" spans="4:9">
      <c r="D895" s="47"/>
      <c r="E895" s="143"/>
      <c r="H895" s="2"/>
      <c r="I895" s="30"/>
    </row>
    <row r="896" spans="4:9">
      <c r="D896" s="47"/>
      <c r="E896" s="143"/>
      <c r="H896" s="2"/>
      <c r="I896" s="30"/>
    </row>
    <row r="897" spans="4:9">
      <c r="D897" s="47"/>
      <c r="E897" s="143"/>
      <c r="H897" s="2"/>
      <c r="I897" s="30"/>
    </row>
    <row r="898" spans="4:9">
      <c r="D898" s="47"/>
      <c r="E898" s="143"/>
      <c r="H898" s="2"/>
      <c r="I898" s="30"/>
    </row>
    <row r="899" spans="4:9">
      <c r="D899" s="47"/>
      <c r="E899" s="143"/>
      <c r="H899" s="2"/>
      <c r="I899" s="30"/>
    </row>
    <row r="900" spans="4:9">
      <c r="D900" s="47"/>
      <c r="E900" s="143"/>
      <c r="H900" s="2"/>
      <c r="I900" s="30"/>
    </row>
    <row r="901" spans="4:9">
      <c r="D901" s="47"/>
      <c r="E901" s="143"/>
      <c r="H901" s="2"/>
      <c r="I901" s="30"/>
    </row>
    <row r="902" spans="4:9">
      <c r="D902" s="47"/>
      <c r="E902" s="143"/>
      <c r="H902" s="2"/>
      <c r="I902" s="30"/>
    </row>
    <row r="903" spans="4:9">
      <c r="D903" s="47"/>
      <c r="E903" s="143"/>
      <c r="H903" s="2"/>
      <c r="I903" s="30"/>
    </row>
    <row r="904" spans="4:9">
      <c r="D904" s="47"/>
      <c r="E904" s="143"/>
      <c r="H904" s="2"/>
      <c r="I904" s="30"/>
    </row>
    <row r="905" spans="4:9">
      <c r="D905" s="47"/>
      <c r="E905" s="143"/>
      <c r="H905" s="2"/>
      <c r="I905" s="30"/>
    </row>
    <row r="906" spans="4:9">
      <c r="D906" s="47"/>
      <c r="E906" s="143"/>
      <c r="H906" s="2"/>
      <c r="I906" s="30"/>
    </row>
    <row r="907" spans="4:9">
      <c r="D907" s="47"/>
      <c r="E907" s="143"/>
      <c r="H907" s="2"/>
      <c r="I907" s="30"/>
    </row>
    <row r="908" spans="4:9">
      <c r="D908" s="47"/>
      <c r="E908" s="143"/>
      <c r="H908" s="2"/>
      <c r="I908" s="30"/>
    </row>
    <row r="909" spans="4:9">
      <c r="D909" s="47"/>
      <c r="E909" s="143"/>
      <c r="H909" s="2"/>
      <c r="I909" s="30"/>
    </row>
    <row r="910" spans="4:9">
      <c r="D910" s="47"/>
      <c r="E910" s="143"/>
      <c r="H910" s="2"/>
      <c r="I910" s="30"/>
    </row>
    <row r="911" spans="4:9">
      <c r="D911" s="47"/>
      <c r="E911" s="143"/>
      <c r="H911" s="2"/>
      <c r="I911" s="30"/>
    </row>
    <row r="912" spans="4:9">
      <c r="D912" s="47"/>
      <c r="E912" s="143"/>
      <c r="H912" s="2"/>
      <c r="I912" s="30"/>
    </row>
    <row r="913" spans="4:9">
      <c r="D913" s="47"/>
      <c r="E913" s="143"/>
      <c r="H913" s="2"/>
      <c r="I913" s="30"/>
    </row>
    <row r="914" spans="4:9">
      <c r="D914" s="47"/>
      <c r="E914" s="143"/>
      <c r="H914" s="2"/>
      <c r="I914" s="30"/>
    </row>
    <row r="915" spans="4:9">
      <c r="D915" s="47"/>
      <c r="E915" s="143"/>
      <c r="H915" s="2"/>
      <c r="I915" s="30"/>
    </row>
    <row r="916" spans="4:9">
      <c r="D916" s="47"/>
      <c r="E916" s="143"/>
      <c r="H916" s="2"/>
      <c r="I916" s="30"/>
    </row>
    <row r="917" spans="4:9">
      <c r="D917" s="47"/>
      <c r="E917" s="143"/>
      <c r="H917" s="2"/>
      <c r="I917" s="30"/>
    </row>
    <row r="918" spans="4:9">
      <c r="D918" s="47"/>
      <c r="E918" s="143"/>
      <c r="H918" s="2"/>
      <c r="I918" s="30"/>
    </row>
    <row r="919" spans="4:9">
      <c r="D919" s="47"/>
      <c r="E919" s="143"/>
      <c r="H919" s="2"/>
      <c r="I919" s="30"/>
    </row>
    <row r="920" spans="4:9">
      <c r="D920" s="47"/>
      <c r="E920" s="143"/>
      <c r="H920" s="2"/>
      <c r="I920" s="30"/>
    </row>
    <row r="921" spans="4:9">
      <c r="D921" s="47"/>
      <c r="E921" s="143"/>
      <c r="H921" s="2"/>
      <c r="I921" s="30"/>
    </row>
    <row r="922" spans="4:9">
      <c r="D922" s="47"/>
      <c r="E922" s="143"/>
      <c r="H922" s="2"/>
      <c r="I922" s="30"/>
    </row>
    <row r="923" spans="4:9">
      <c r="D923" s="47"/>
      <c r="E923" s="143"/>
      <c r="H923" s="2"/>
      <c r="I923" s="30"/>
    </row>
    <row r="924" spans="4:9">
      <c r="D924" s="47"/>
      <c r="E924" s="143"/>
      <c r="H924" s="2"/>
      <c r="I924" s="30"/>
    </row>
    <row r="925" spans="4:9">
      <c r="D925" s="47"/>
      <c r="E925" s="143"/>
      <c r="H925" s="2"/>
      <c r="I925" s="30"/>
    </row>
    <row r="926" spans="4:9">
      <c r="D926" s="47"/>
      <c r="E926" s="143"/>
      <c r="H926" s="2"/>
      <c r="I926" s="30"/>
    </row>
    <row r="927" spans="4:9">
      <c r="D927" s="47"/>
      <c r="E927" s="143"/>
      <c r="H927" s="2"/>
      <c r="I927" s="30"/>
    </row>
    <row r="928" spans="4:9">
      <c r="D928" s="47"/>
      <c r="E928" s="143"/>
      <c r="H928" s="2"/>
      <c r="I928" s="30"/>
    </row>
    <row r="929" spans="4:9">
      <c r="D929" s="47"/>
      <c r="E929" s="143"/>
      <c r="H929" s="2"/>
      <c r="I929" s="30"/>
    </row>
    <row r="930" spans="4:9">
      <c r="D930" s="47"/>
      <c r="E930" s="143"/>
      <c r="H930" s="2"/>
      <c r="I930" s="30"/>
    </row>
    <row r="931" spans="4:9">
      <c r="D931" s="47"/>
      <c r="E931" s="143"/>
      <c r="H931" s="2"/>
      <c r="I931" s="30"/>
    </row>
    <row r="932" spans="4:9">
      <c r="D932" s="47"/>
      <c r="E932" s="143"/>
      <c r="H932" s="2"/>
      <c r="I932" s="30"/>
    </row>
    <row r="933" spans="4:9">
      <c r="D933" s="47"/>
      <c r="E933" s="143"/>
      <c r="H933" s="2"/>
      <c r="I933" s="30"/>
    </row>
    <row r="934" spans="4:9">
      <c r="D934" s="47"/>
      <c r="E934" s="143"/>
      <c r="H934" s="2"/>
      <c r="I934" s="30"/>
    </row>
    <row r="935" spans="4:9">
      <c r="D935" s="47"/>
      <c r="E935" s="143"/>
      <c r="H935" s="2"/>
      <c r="I935" s="30"/>
    </row>
    <row r="936" spans="4:9">
      <c r="D936" s="47"/>
      <c r="E936" s="143"/>
      <c r="H936" s="2"/>
      <c r="I936" s="30"/>
    </row>
    <row r="937" spans="4:9">
      <c r="D937" s="47"/>
      <c r="E937" s="143"/>
      <c r="H937" s="2"/>
      <c r="I937" s="30"/>
    </row>
    <row r="938" spans="4:9">
      <c r="D938" s="47"/>
      <c r="E938" s="143"/>
      <c r="H938" s="2"/>
      <c r="I938" s="30"/>
    </row>
    <row r="939" spans="4:9">
      <c r="D939" s="47"/>
      <c r="E939" s="143"/>
      <c r="H939" s="2"/>
      <c r="I939" s="30"/>
    </row>
    <row r="940" spans="4:9">
      <c r="D940" s="47"/>
      <c r="E940" s="143"/>
      <c r="H940" s="2"/>
      <c r="I940" s="30"/>
    </row>
    <row r="941" spans="4:9">
      <c r="D941" s="47"/>
      <c r="E941" s="143"/>
      <c r="H941" s="2"/>
      <c r="I941" s="30"/>
    </row>
    <row r="942" spans="4:9">
      <c r="D942" s="47"/>
      <c r="E942" s="143"/>
      <c r="H942" s="2"/>
      <c r="I942" s="30"/>
    </row>
    <row r="943" spans="4:9">
      <c r="D943" s="47"/>
      <c r="E943" s="143"/>
      <c r="H943" s="2"/>
      <c r="I943" s="30"/>
    </row>
    <row r="944" spans="4:9">
      <c r="D944" s="47"/>
      <c r="E944" s="143"/>
      <c r="H944" s="2"/>
      <c r="I944" s="30"/>
    </row>
    <row r="945" spans="4:15">
      <c r="D945" s="47"/>
      <c r="E945" s="143"/>
      <c r="H945" s="2"/>
      <c r="I945" s="30"/>
    </row>
    <row r="946" spans="4:15">
      <c r="K946" s="143"/>
      <c r="N946" s="2"/>
      <c r="O946" s="30"/>
    </row>
    <row r="947" spans="4:15">
      <c r="K947" s="143"/>
      <c r="N947" s="2"/>
      <c r="O947" s="30"/>
    </row>
    <row r="948" spans="4:15">
      <c r="K948" s="143"/>
      <c r="N948" s="2"/>
      <c r="O948" s="30"/>
    </row>
    <row r="949" spans="4:15">
      <c r="K949" s="143"/>
      <c r="N949" s="2"/>
      <c r="O949" s="30"/>
    </row>
    <row r="950" spans="4:15">
      <c r="K950" s="143"/>
      <c r="N950" s="2"/>
      <c r="O950" s="30"/>
    </row>
    <row r="951" spans="4:15">
      <c r="K951" s="143"/>
      <c r="N951" s="2"/>
      <c r="O951" s="30"/>
    </row>
    <row r="952" spans="4:15">
      <c r="K952" s="143"/>
      <c r="N952" s="2"/>
      <c r="O952" s="30"/>
    </row>
    <row r="953" spans="4:15">
      <c r="K953" s="143"/>
      <c r="N953" s="2"/>
      <c r="O953" s="30"/>
    </row>
    <row r="954" spans="4:15">
      <c r="K954" s="143"/>
      <c r="N954" s="2"/>
      <c r="O954" s="30"/>
    </row>
    <row r="955" spans="4:15">
      <c r="K955" s="143"/>
      <c r="N955" s="2"/>
      <c r="O955" s="30"/>
    </row>
    <row r="956" spans="4:15">
      <c r="K956" s="143"/>
      <c r="N956" s="2"/>
      <c r="O956" s="30"/>
    </row>
    <row r="957" spans="4:15">
      <c r="K957" s="143"/>
      <c r="N957" s="2"/>
      <c r="O957" s="30"/>
    </row>
    <row r="958" spans="4:15">
      <c r="K958" s="143"/>
      <c r="N958" s="2"/>
      <c r="O958" s="30"/>
    </row>
    <row r="959" spans="4:15">
      <c r="K959" s="143"/>
      <c r="N959" s="2"/>
      <c r="O959" s="30"/>
    </row>
    <row r="960" spans="4:15">
      <c r="K960" s="143"/>
      <c r="N960" s="2"/>
      <c r="O960" s="30"/>
    </row>
    <row r="961" spans="11:15">
      <c r="K961" s="143"/>
      <c r="N961" s="2"/>
      <c r="O961" s="30"/>
    </row>
    <row r="962" spans="11:15">
      <c r="K962" s="143"/>
      <c r="N962" s="2"/>
      <c r="O962" s="30"/>
    </row>
    <row r="963" spans="11:15">
      <c r="K963" s="143"/>
      <c r="N963" s="2"/>
      <c r="O963" s="30"/>
    </row>
    <row r="964" spans="11:15">
      <c r="K964" s="143"/>
      <c r="N964" s="2"/>
      <c r="O964" s="30"/>
    </row>
    <row r="965" spans="11:15">
      <c r="K965" s="143"/>
      <c r="N965" s="2"/>
      <c r="O965" s="30"/>
    </row>
    <row r="966" spans="11:15">
      <c r="K966" s="143"/>
      <c r="N966" s="2"/>
      <c r="O966" s="30"/>
    </row>
    <row r="967" spans="11:15">
      <c r="K967" s="143"/>
      <c r="N967" s="2"/>
      <c r="O967" s="30"/>
    </row>
  </sheetData>
  <hyperlinks>
    <hyperlink ref="M3" r:id="rId1" xr:uid="{9CCE30CC-6B39-4B2A-9057-0628FB9D1EFE}"/>
    <hyperlink ref="M4" r:id="rId2" xr:uid="{4E6EB90D-13C8-40C6-9C83-DEA4598AB27A}"/>
    <hyperlink ref="M5" r:id="rId3" xr:uid="{CD6F15CE-417D-4740-8C8D-88B65565E126}"/>
  </hyperlinks>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D0472-B5F3-4E03-9F11-2CDD71603A44}">
  <dimension ref="A1:X966"/>
  <sheetViews>
    <sheetView topLeftCell="A2" workbookViewId="0">
      <selection activeCell="B8" sqref="B8"/>
    </sheetView>
  </sheetViews>
  <sheetFormatPr defaultRowHeight="12.75"/>
  <cols>
    <col min="1" max="1" width="8.28515625" style="181" customWidth="1"/>
    <col min="2" max="2" width="20.42578125" customWidth="1"/>
    <col min="3" max="3" width="22.28515625" style="47" customWidth="1"/>
    <col min="4" max="4" width="16.28515625" customWidth="1"/>
    <col min="5" max="5" width="40" customWidth="1"/>
    <col min="6" max="7" width="9.140625" style="53"/>
    <col min="8" max="8" width="10.28515625" customWidth="1"/>
    <col min="12" max="12" width="33.140625" customWidth="1"/>
    <col min="13" max="13" width="22.7109375" customWidth="1"/>
    <col min="14" max="14" width="10.7109375" bestFit="1" customWidth="1"/>
    <col min="15" max="15" width="10.42578125" customWidth="1"/>
    <col min="17" max="17" width="13.28515625" customWidth="1"/>
    <col min="19" max="19" width="9.42578125" bestFit="1" customWidth="1"/>
    <col min="20" max="20" width="14.7109375" customWidth="1"/>
    <col min="21" max="21" width="15.28515625" customWidth="1"/>
    <col min="22" max="22" width="14.7109375" customWidth="1"/>
    <col min="23" max="23" width="11.5703125" style="137" customWidth="1"/>
    <col min="24" max="24" width="48.28515625" customWidth="1"/>
  </cols>
  <sheetData>
    <row r="1" spans="1:24">
      <c r="A1" s="234"/>
      <c r="B1" s="1"/>
      <c r="C1" s="7"/>
      <c r="D1" s="7"/>
      <c r="E1" s="1"/>
      <c r="F1" s="49"/>
      <c r="G1" s="49"/>
      <c r="H1" s="198"/>
      <c r="I1" s="198"/>
      <c r="J1" s="198"/>
      <c r="K1" s="198"/>
      <c r="L1" s="198"/>
      <c r="M1" s="198"/>
      <c r="N1" s="198"/>
      <c r="O1" s="198"/>
      <c r="P1" s="198"/>
      <c r="Q1" s="198"/>
      <c r="R1" s="198"/>
      <c r="S1" s="198"/>
      <c r="T1" s="198"/>
      <c r="U1" s="198"/>
      <c r="V1" s="198"/>
      <c r="W1" s="322"/>
      <c r="X1" s="323"/>
    </row>
    <row r="2" spans="1:24" ht="48">
      <c r="A2" s="234" t="s">
        <v>254</v>
      </c>
      <c r="B2" s="1" t="s">
        <v>255</v>
      </c>
      <c r="C2" s="7" t="s">
        <v>256</v>
      </c>
      <c r="D2" s="235" t="s">
        <v>257</v>
      </c>
      <c r="E2" s="236" t="s">
        <v>258</v>
      </c>
      <c r="F2" s="237" t="s">
        <v>260</v>
      </c>
      <c r="G2" s="237" t="s">
        <v>261</v>
      </c>
      <c r="H2" s="238" t="s">
        <v>265</v>
      </c>
      <c r="I2" s="238" t="s">
        <v>266</v>
      </c>
      <c r="J2" s="238" t="s">
        <v>267</v>
      </c>
      <c r="K2" s="238" t="s">
        <v>268</v>
      </c>
      <c r="L2" s="238" t="s">
        <v>269</v>
      </c>
      <c r="M2" s="238" t="s">
        <v>270</v>
      </c>
      <c r="N2" s="238" t="s">
        <v>271</v>
      </c>
      <c r="O2" s="238" t="s">
        <v>272</v>
      </c>
      <c r="P2" s="238" t="s">
        <v>1708</v>
      </c>
      <c r="Q2" s="238" t="s">
        <v>274</v>
      </c>
      <c r="R2" s="238" t="s">
        <v>1709</v>
      </c>
      <c r="S2" s="238" t="s">
        <v>276</v>
      </c>
      <c r="T2" s="238" t="s">
        <v>274</v>
      </c>
      <c r="U2" s="238" t="s">
        <v>278</v>
      </c>
      <c r="V2" s="238" t="s">
        <v>279</v>
      </c>
      <c r="W2" s="239" t="s">
        <v>259</v>
      </c>
      <c r="X2" s="240" t="s">
        <v>280</v>
      </c>
    </row>
    <row r="3" spans="1:24" s="137" customFormat="1" ht="30.75" customHeight="1">
      <c r="A3" s="302">
        <v>1</v>
      </c>
      <c r="B3" s="298" t="s">
        <v>1722</v>
      </c>
      <c r="C3" s="46" t="s">
        <v>1723</v>
      </c>
      <c r="D3" s="62" t="s">
        <v>1712</v>
      </c>
      <c r="E3" s="225" t="s">
        <v>1713</v>
      </c>
      <c r="F3" s="17">
        <v>1</v>
      </c>
      <c r="G3" s="17">
        <v>1</v>
      </c>
      <c r="H3" s="83" t="s">
        <v>290</v>
      </c>
      <c r="I3" s="41" t="s">
        <v>1714</v>
      </c>
      <c r="J3" s="203" t="s">
        <v>1663</v>
      </c>
      <c r="K3" s="41" t="s">
        <v>862</v>
      </c>
      <c r="L3" s="203" t="s">
        <v>1694</v>
      </c>
      <c r="M3" s="231" t="s">
        <v>1715</v>
      </c>
      <c r="N3" s="232">
        <v>45517</v>
      </c>
      <c r="O3" s="232">
        <v>45517</v>
      </c>
      <c r="P3" s="41" t="s">
        <v>862</v>
      </c>
      <c r="Q3" s="282" t="s">
        <v>1694</v>
      </c>
      <c r="R3" s="203" t="s">
        <v>1590</v>
      </c>
      <c r="S3" s="206">
        <v>45518</v>
      </c>
      <c r="T3" s="282" t="s">
        <v>1694</v>
      </c>
      <c r="U3" s="282" t="s">
        <v>1694</v>
      </c>
      <c r="V3" s="282" t="s">
        <v>1694</v>
      </c>
      <c r="W3" s="327" t="s">
        <v>289</v>
      </c>
      <c r="X3" s="216"/>
    </row>
    <row r="4" spans="1:24" s="137" customFormat="1" ht="30.75" customHeight="1">
      <c r="A4" s="302">
        <v>2</v>
      </c>
      <c r="B4" s="298" t="s">
        <v>1722</v>
      </c>
      <c r="C4" s="46" t="s">
        <v>1724</v>
      </c>
      <c r="D4" s="62" t="s">
        <v>1718</v>
      </c>
      <c r="E4" s="11" t="s">
        <v>1719</v>
      </c>
      <c r="F4" s="17">
        <v>3</v>
      </c>
      <c r="G4" s="17">
        <v>3</v>
      </c>
      <c r="H4" s="83" t="s">
        <v>290</v>
      </c>
      <c r="I4" s="41" t="s">
        <v>1714</v>
      </c>
      <c r="J4" s="203" t="s">
        <v>1663</v>
      </c>
      <c r="K4" s="41" t="s">
        <v>862</v>
      </c>
      <c r="L4" s="203" t="s">
        <v>1694</v>
      </c>
      <c r="M4" s="231" t="s">
        <v>1725</v>
      </c>
      <c r="N4" s="232">
        <v>45524</v>
      </c>
      <c r="O4" s="232">
        <v>45524</v>
      </c>
      <c r="P4" s="41" t="s">
        <v>862</v>
      </c>
      <c r="Q4" s="282" t="s">
        <v>1694</v>
      </c>
      <c r="R4" s="203" t="s">
        <v>1590</v>
      </c>
      <c r="S4" s="206">
        <v>45524</v>
      </c>
      <c r="T4" s="282" t="s">
        <v>1694</v>
      </c>
      <c r="U4" s="282" t="s">
        <v>1694</v>
      </c>
      <c r="V4" s="282" t="s">
        <v>1694</v>
      </c>
      <c r="W4" s="327" t="s">
        <v>289</v>
      </c>
      <c r="X4" s="326"/>
    </row>
    <row r="5" spans="1:24" ht="26.25" customHeight="1">
      <c r="A5" s="302">
        <v>3</v>
      </c>
      <c r="B5" s="298" t="s">
        <v>1722</v>
      </c>
      <c r="C5" s="46" t="s">
        <v>1723</v>
      </c>
      <c r="D5" s="90" t="s">
        <v>1726</v>
      </c>
      <c r="E5" s="328" t="s">
        <v>1727</v>
      </c>
      <c r="F5" s="555">
        <v>3</v>
      </c>
      <c r="G5" s="555">
        <v>3</v>
      </c>
      <c r="H5" s="83" t="s">
        <v>1728</v>
      </c>
      <c r="I5" s="83" t="s">
        <v>1728</v>
      </c>
      <c r="J5" s="83" t="s">
        <v>1728</v>
      </c>
      <c r="K5" s="83" t="s">
        <v>1728</v>
      </c>
      <c r="L5" s="83" t="s">
        <v>1728</v>
      </c>
      <c r="M5" s="83" t="s">
        <v>1728</v>
      </c>
      <c r="N5" s="83" t="s">
        <v>1728</v>
      </c>
      <c r="O5" s="83" t="s">
        <v>1728</v>
      </c>
      <c r="P5" s="83" t="s">
        <v>1728</v>
      </c>
      <c r="Q5" s="83" t="s">
        <v>1728</v>
      </c>
      <c r="R5" s="83" t="s">
        <v>1728</v>
      </c>
      <c r="S5" s="83" t="s">
        <v>1728</v>
      </c>
      <c r="T5" s="83" t="s">
        <v>1728</v>
      </c>
      <c r="U5" s="83" t="s">
        <v>1728</v>
      </c>
      <c r="V5" s="83" t="s">
        <v>1728</v>
      </c>
      <c r="W5" s="327" t="s">
        <v>289</v>
      </c>
      <c r="X5" s="326"/>
    </row>
    <row r="6" spans="1:24" ht="27" customHeight="1">
      <c r="A6" s="302">
        <v>4</v>
      </c>
      <c r="B6" s="298" t="s">
        <v>1722</v>
      </c>
      <c r="C6" s="46" t="s">
        <v>1723</v>
      </c>
      <c r="D6" s="90" t="s">
        <v>1729</v>
      </c>
      <c r="E6" s="328" t="s">
        <v>1730</v>
      </c>
      <c r="F6" s="556"/>
      <c r="G6" s="556"/>
      <c r="H6" s="83" t="s">
        <v>290</v>
      </c>
      <c r="I6" s="41" t="s">
        <v>292</v>
      </c>
      <c r="J6" s="203" t="s">
        <v>1663</v>
      </c>
      <c r="K6" s="41" t="s">
        <v>862</v>
      </c>
      <c r="L6" s="203" t="s">
        <v>1694</v>
      </c>
      <c r="M6" s="231" t="s">
        <v>1731</v>
      </c>
      <c r="N6" s="232">
        <v>45530</v>
      </c>
      <c r="O6" s="232">
        <v>45531</v>
      </c>
      <c r="P6" s="41" t="s">
        <v>295</v>
      </c>
      <c r="Q6" s="282" t="s">
        <v>1694</v>
      </c>
      <c r="R6" s="203" t="s">
        <v>294</v>
      </c>
      <c r="S6" s="206">
        <v>45531</v>
      </c>
      <c r="T6" s="282" t="s">
        <v>1694</v>
      </c>
      <c r="U6" s="282" t="s">
        <v>1694</v>
      </c>
      <c r="V6" s="282" t="s">
        <v>1694</v>
      </c>
      <c r="W6" s="327" t="s">
        <v>289</v>
      </c>
      <c r="X6" s="326"/>
    </row>
    <row r="7" spans="1:24" ht="30.75" customHeight="1">
      <c r="A7" s="302">
        <v>5</v>
      </c>
      <c r="B7" s="298" t="s">
        <v>1722</v>
      </c>
      <c r="C7" s="46" t="s">
        <v>1723</v>
      </c>
      <c r="D7" s="62" t="s">
        <v>1732</v>
      </c>
      <c r="E7" s="11" t="s">
        <v>1678</v>
      </c>
      <c r="F7" s="17">
        <v>0</v>
      </c>
      <c r="G7" s="17">
        <v>3</v>
      </c>
      <c r="H7" s="83" t="s">
        <v>500</v>
      </c>
      <c r="I7" s="41"/>
      <c r="J7" s="203"/>
      <c r="K7" s="41"/>
      <c r="L7" s="203"/>
      <c r="M7" s="231"/>
      <c r="N7" s="232"/>
      <c r="O7" s="232"/>
      <c r="P7" s="41"/>
      <c r="Q7" s="282"/>
      <c r="R7" s="203"/>
      <c r="S7" s="206"/>
      <c r="T7" s="282"/>
      <c r="U7" s="282"/>
      <c r="V7" s="325"/>
      <c r="W7" s="228" t="s">
        <v>289</v>
      </c>
      <c r="X7" s="326" t="s">
        <v>1733</v>
      </c>
    </row>
    <row r="8" spans="1:24">
      <c r="B8" s="28"/>
      <c r="C8" s="196"/>
      <c r="D8" s="47"/>
      <c r="E8" s="28"/>
      <c r="F8" s="215"/>
      <c r="G8" s="215"/>
      <c r="H8" s="2"/>
      <c r="I8" s="35"/>
      <c r="K8" s="35"/>
      <c r="M8" s="35"/>
      <c r="N8" s="35"/>
      <c r="O8" s="35"/>
      <c r="P8" s="35"/>
    </row>
    <row r="9" spans="1:24">
      <c r="B9" s="28"/>
      <c r="C9" s="196"/>
      <c r="D9" s="47"/>
      <c r="E9" s="28"/>
      <c r="F9" s="215"/>
      <c r="G9" s="215"/>
      <c r="H9" s="2"/>
      <c r="I9" s="35"/>
      <c r="K9" s="35"/>
      <c r="M9" s="35"/>
      <c r="N9" s="35"/>
      <c r="O9" s="35"/>
      <c r="P9" s="35"/>
    </row>
    <row r="10" spans="1:24">
      <c r="B10" s="28"/>
      <c r="C10" s="196"/>
      <c r="D10" s="47"/>
      <c r="E10" s="28"/>
      <c r="F10" s="215"/>
      <c r="G10" s="215"/>
      <c r="H10" s="2"/>
      <c r="I10" s="35"/>
      <c r="K10" s="35"/>
      <c r="M10" s="35"/>
      <c r="N10" s="35"/>
      <c r="O10" s="35"/>
      <c r="P10" s="35"/>
    </row>
    <row r="11" spans="1:24">
      <c r="B11" s="28"/>
      <c r="C11" s="196"/>
      <c r="D11" s="47"/>
      <c r="E11" s="28"/>
      <c r="F11" s="215"/>
      <c r="G11" s="215"/>
      <c r="H11" s="2"/>
      <c r="I11" s="35"/>
      <c r="K11" s="35"/>
      <c r="M11" s="35"/>
      <c r="N11" s="35"/>
      <c r="O11" s="35"/>
      <c r="P11" s="35"/>
    </row>
    <row r="12" spans="1:24">
      <c r="B12" s="28"/>
      <c r="C12" s="196"/>
      <c r="D12" s="47"/>
      <c r="E12" s="28"/>
      <c r="F12" s="215"/>
      <c r="G12" s="215"/>
      <c r="H12" s="2"/>
      <c r="I12" s="35"/>
      <c r="K12" s="35"/>
      <c r="M12" s="35"/>
      <c r="N12" s="35"/>
      <c r="O12" s="35"/>
      <c r="P12" s="35"/>
    </row>
    <row r="13" spans="1:24">
      <c r="B13" s="28"/>
      <c r="C13" s="196"/>
      <c r="D13" s="47"/>
      <c r="E13" s="28"/>
      <c r="F13" s="215"/>
      <c r="G13" s="215"/>
      <c r="H13" s="2"/>
      <c r="I13" s="35"/>
      <c r="K13" s="35"/>
      <c r="M13" s="35"/>
      <c r="N13" s="35"/>
      <c r="O13" s="35"/>
      <c r="P13" s="35"/>
    </row>
    <row r="14" spans="1:24">
      <c r="B14" s="28"/>
      <c r="C14" s="196"/>
      <c r="D14" s="47"/>
      <c r="E14" s="28"/>
      <c r="F14" s="215"/>
      <c r="G14" s="215"/>
      <c r="H14" s="2"/>
      <c r="I14" s="35"/>
      <c r="K14" s="35"/>
      <c r="M14" s="35"/>
      <c r="N14" s="35"/>
      <c r="O14" s="35"/>
      <c r="P14" s="35"/>
    </row>
    <row r="15" spans="1:24">
      <c r="B15" s="28"/>
      <c r="C15" s="196"/>
      <c r="D15" s="47"/>
      <c r="E15" s="28"/>
      <c r="F15" s="215"/>
      <c r="G15" s="215"/>
      <c r="H15" s="2"/>
      <c r="I15" s="35"/>
      <c r="K15" s="35"/>
      <c r="M15" s="35"/>
      <c r="N15" s="35"/>
      <c r="O15" s="35"/>
      <c r="P15" s="35"/>
    </row>
    <row r="16" spans="1:24">
      <c r="B16" s="28"/>
      <c r="C16" s="196"/>
      <c r="D16" s="47"/>
      <c r="E16" s="28"/>
      <c r="F16" s="215"/>
      <c r="G16" s="215"/>
      <c r="H16" s="2"/>
      <c r="I16" s="35"/>
      <c r="K16" s="35"/>
      <c r="M16" s="35"/>
      <c r="N16" s="35"/>
      <c r="O16" s="35"/>
      <c r="P16" s="35"/>
    </row>
    <row r="17" spans="2:16">
      <c r="B17" s="28"/>
      <c r="C17" s="196"/>
      <c r="D17" s="47"/>
      <c r="E17" s="28"/>
      <c r="F17" s="215"/>
      <c r="G17" s="215"/>
      <c r="H17" s="2"/>
      <c r="I17" s="35"/>
      <c r="K17" s="35"/>
      <c r="M17" s="35"/>
      <c r="N17" s="35"/>
      <c r="O17" s="35"/>
      <c r="P17" s="35"/>
    </row>
    <row r="18" spans="2:16">
      <c r="B18" s="28"/>
      <c r="C18" s="196"/>
      <c r="D18" s="47"/>
      <c r="E18" s="28"/>
      <c r="F18" s="215"/>
      <c r="G18" s="215"/>
      <c r="H18" s="2"/>
      <c r="I18" s="35"/>
      <c r="K18" s="35"/>
      <c r="M18" s="35"/>
      <c r="N18" s="35"/>
      <c r="O18" s="35"/>
      <c r="P18" s="35"/>
    </row>
    <row r="19" spans="2:16">
      <c r="B19" s="28"/>
      <c r="C19" s="196"/>
      <c r="D19" s="47"/>
      <c r="E19" s="28"/>
      <c r="F19" s="215"/>
      <c r="G19" s="215"/>
      <c r="H19" s="2"/>
      <c r="I19" s="35"/>
      <c r="K19" s="35"/>
      <c r="M19" s="35"/>
      <c r="N19" s="35"/>
      <c r="O19" s="35"/>
      <c r="P19" s="35"/>
    </row>
    <row r="20" spans="2:16">
      <c r="B20" s="28"/>
      <c r="C20" s="196"/>
      <c r="D20" s="47"/>
      <c r="E20" s="28"/>
      <c r="F20" s="215"/>
      <c r="G20" s="215"/>
      <c r="H20" s="2"/>
      <c r="I20" s="35"/>
      <c r="K20" s="35"/>
      <c r="M20" s="35"/>
      <c r="N20" s="35"/>
      <c r="O20" s="35"/>
      <c r="P20" s="35"/>
    </row>
    <row r="21" spans="2:16">
      <c r="B21" s="28"/>
      <c r="C21" s="196"/>
      <c r="D21" s="47"/>
      <c r="E21" s="28"/>
      <c r="F21" s="215"/>
      <c r="G21" s="215"/>
      <c r="H21" s="2"/>
      <c r="I21" s="35"/>
      <c r="K21" s="35"/>
      <c r="M21" s="35"/>
      <c r="N21" s="35"/>
      <c r="O21" s="35"/>
      <c r="P21" s="35"/>
    </row>
    <row r="22" spans="2:16">
      <c r="B22" s="28"/>
      <c r="C22" s="196"/>
      <c r="D22" s="47"/>
      <c r="E22" s="28"/>
      <c r="F22" s="215"/>
      <c r="G22" s="215"/>
      <c r="H22" s="2"/>
      <c r="I22" s="35"/>
      <c r="K22" s="35"/>
      <c r="M22" s="35"/>
      <c r="N22" s="35"/>
      <c r="O22" s="35"/>
      <c r="P22" s="35"/>
    </row>
    <row r="23" spans="2:16">
      <c r="B23" s="28"/>
      <c r="C23" s="196"/>
      <c r="D23" s="47"/>
      <c r="E23" s="28"/>
      <c r="F23" s="215"/>
      <c r="G23" s="215"/>
      <c r="H23" s="2"/>
      <c r="I23" s="35"/>
      <c r="K23" s="35"/>
      <c r="M23" s="35"/>
      <c r="N23" s="35"/>
      <c r="O23" s="35"/>
      <c r="P23" s="35"/>
    </row>
    <row r="24" spans="2:16">
      <c r="B24" s="28"/>
      <c r="C24" s="196"/>
      <c r="D24" s="47"/>
      <c r="E24" s="28"/>
      <c r="F24" s="215"/>
      <c r="G24" s="215"/>
      <c r="H24" s="2"/>
      <c r="I24" s="35"/>
      <c r="K24" s="35"/>
      <c r="M24" s="35"/>
      <c r="N24" s="35"/>
      <c r="O24" s="35"/>
      <c r="P24" s="35"/>
    </row>
    <row r="25" spans="2:16">
      <c r="B25" s="28"/>
      <c r="C25" s="196"/>
      <c r="D25" s="47"/>
      <c r="E25" s="28"/>
      <c r="F25" s="215"/>
      <c r="G25" s="215"/>
      <c r="H25" s="2"/>
      <c r="I25" s="35"/>
      <c r="K25" s="35"/>
      <c r="M25" s="35"/>
      <c r="N25" s="35"/>
      <c r="O25" s="35"/>
      <c r="P25" s="35"/>
    </row>
    <row r="26" spans="2:16">
      <c r="B26" s="28"/>
      <c r="C26" s="196"/>
      <c r="D26" s="47"/>
      <c r="E26" s="28"/>
      <c r="F26" s="215"/>
      <c r="G26" s="215"/>
      <c r="H26" s="2"/>
      <c r="I26" s="35"/>
      <c r="K26" s="35"/>
      <c r="M26" s="35"/>
      <c r="N26" s="35"/>
      <c r="O26" s="35"/>
      <c r="P26" s="35"/>
    </row>
    <row r="27" spans="2:16">
      <c r="B27" s="28"/>
      <c r="C27" s="196"/>
      <c r="D27" s="47"/>
      <c r="E27" s="28"/>
      <c r="F27" s="215"/>
      <c r="G27" s="215"/>
      <c r="H27" s="2"/>
      <c r="I27" s="35"/>
      <c r="K27" s="35"/>
      <c r="M27" s="35"/>
      <c r="N27" s="35"/>
      <c r="O27" s="35"/>
      <c r="P27" s="35"/>
    </row>
    <row r="28" spans="2:16">
      <c r="B28" s="28"/>
      <c r="C28" s="196"/>
      <c r="D28" s="47"/>
      <c r="E28" s="28"/>
      <c r="F28" s="215"/>
      <c r="G28" s="215"/>
      <c r="H28" s="2"/>
      <c r="I28" s="35"/>
      <c r="K28" s="35"/>
      <c r="M28" s="35"/>
      <c r="N28" s="35"/>
      <c r="O28" s="35"/>
      <c r="P28" s="35"/>
    </row>
    <row r="29" spans="2:16">
      <c r="B29" s="28"/>
      <c r="C29" s="196"/>
      <c r="D29" s="47"/>
      <c r="E29" s="28"/>
      <c r="F29" s="215"/>
      <c r="G29" s="215"/>
      <c r="H29" s="2"/>
      <c r="I29" s="35"/>
      <c r="K29" s="35"/>
      <c r="M29" s="35"/>
      <c r="N29" s="35"/>
      <c r="O29" s="35"/>
      <c r="P29" s="35"/>
    </row>
    <row r="30" spans="2:16">
      <c r="B30" s="28"/>
      <c r="C30" s="196"/>
      <c r="D30" s="47"/>
      <c r="E30" s="28"/>
      <c r="F30" s="215"/>
      <c r="G30" s="215"/>
      <c r="H30" s="2"/>
      <c r="I30" s="35"/>
      <c r="K30" s="35"/>
      <c r="M30" s="35"/>
      <c r="N30" s="35"/>
      <c r="O30" s="35"/>
      <c r="P30" s="35"/>
    </row>
    <row r="31" spans="2:16">
      <c r="B31" s="28"/>
      <c r="C31" s="196"/>
      <c r="D31" s="47"/>
      <c r="E31" s="28"/>
      <c r="F31" s="215"/>
      <c r="G31" s="215"/>
      <c r="H31" s="2"/>
      <c r="I31" s="35"/>
      <c r="K31" s="35"/>
      <c r="M31" s="35"/>
      <c r="N31" s="35"/>
      <c r="O31" s="35"/>
      <c r="P31" s="35"/>
    </row>
    <row r="32" spans="2:16">
      <c r="B32" s="28"/>
      <c r="C32" s="196"/>
      <c r="D32" s="47"/>
      <c r="E32" s="28"/>
      <c r="F32" s="215"/>
      <c r="G32" s="215"/>
      <c r="H32" s="2"/>
      <c r="I32" s="35"/>
      <c r="K32" s="35"/>
      <c r="M32" s="35"/>
      <c r="N32" s="35"/>
      <c r="O32" s="35"/>
      <c r="P32" s="35"/>
    </row>
    <row r="33" spans="2:16">
      <c r="B33" s="28"/>
      <c r="C33" s="196"/>
      <c r="D33" s="47"/>
      <c r="E33" s="28"/>
      <c r="F33" s="215"/>
      <c r="G33" s="215"/>
      <c r="H33" s="2"/>
      <c r="I33" s="35"/>
      <c r="K33" s="35"/>
      <c r="M33" s="35"/>
      <c r="N33" s="35"/>
      <c r="O33" s="35"/>
      <c r="P33" s="35"/>
    </row>
    <row r="34" spans="2:16">
      <c r="B34" s="28"/>
      <c r="C34" s="196"/>
      <c r="D34" s="47"/>
      <c r="E34" s="28"/>
      <c r="F34" s="215"/>
      <c r="G34" s="215"/>
      <c r="H34" s="2"/>
      <c r="I34" s="35"/>
      <c r="K34" s="35"/>
      <c r="M34" s="35"/>
      <c r="N34" s="35"/>
      <c r="O34" s="35"/>
      <c r="P34" s="35"/>
    </row>
    <row r="35" spans="2:16">
      <c r="B35" s="28"/>
      <c r="C35" s="196"/>
      <c r="D35" s="47"/>
      <c r="E35" s="28"/>
      <c r="F35" s="215"/>
      <c r="G35" s="215"/>
      <c r="H35" s="2"/>
      <c r="I35" s="35"/>
      <c r="K35" s="35"/>
      <c r="M35" s="35"/>
      <c r="N35" s="35"/>
      <c r="O35" s="35"/>
      <c r="P35" s="35"/>
    </row>
    <row r="36" spans="2:16">
      <c r="B36" s="28"/>
      <c r="C36" s="196"/>
      <c r="D36" s="47"/>
      <c r="E36" s="28"/>
      <c r="F36" s="215"/>
      <c r="G36" s="215"/>
      <c r="H36" s="2"/>
      <c r="I36" s="35"/>
      <c r="K36" s="35"/>
      <c r="M36" s="35"/>
      <c r="N36" s="35"/>
      <c r="O36" s="35"/>
      <c r="P36" s="35"/>
    </row>
    <row r="37" spans="2:16">
      <c r="B37" s="28"/>
      <c r="C37" s="196"/>
      <c r="D37" s="47"/>
      <c r="E37" s="28"/>
      <c r="F37" s="215"/>
      <c r="G37" s="215"/>
      <c r="H37" s="2"/>
      <c r="I37" s="35"/>
      <c r="K37" s="35"/>
      <c r="M37" s="35"/>
      <c r="N37" s="35"/>
      <c r="O37" s="35"/>
      <c r="P37" s="35"/>
    </row>
    <row r="38" spans="2:16">
      <c r="B38" s="28"/>
      <c r="C38" s="196"/>
      <c r="D38" s="47"/>
      <c r="E38" s="28"/>
      <c r="F38" s="215"/>
      <c r="G38" s="215"/>
      <c r="H38" s="2"/>
      <c r="I38" s="35"/>
      <c r="K38" s="35"/>
      <c r="M38" s="35"/>
      <c r="N38" s="35"/>
      <c r="O38" s="35"/>
      <c r="P38" s="35"/>
    </row>
    <row r="39" spans="2:16">
      <c r="B39" s="28"/>
      <c r="C39" s="196"/>
      <c r="D39" s="47"/>
      <c r="E39" s="28"/>
      <c r="F39" s="215"/>
      <c r="G39" s="215"/>
      <c r="H39" s="2"/>
      <c r="I39" s="35"/>
      <c r="K39" s="35"/>
      <c r="M39" s="35"/>
      <c r="N39" s="35"/>
      <c r="O39" s="35"/>
      <c r="P39" s="35"/>
    </row>
    <row r="40" spans="2:16">
      <c r="B40" s="28"/>
      <c r="C40" s="196"/>
      <c r="D40" s="47"/>
      <c r="E40" s="28"/>
      <c r="F40" s="215"/>
      <c r="G40" s="215"/>
      <c r="H40" s="2"/>
      <c r="I40" s="35"/>
      <c r="K40" s="35"/>
      <c r="M40" s="35"/>
      <c r="N40" s="35"/>
      <c r="O40" s="35"/>
      <c r="P40" s="35"/>
    </row>
    <row r="41" spans="2:16">
      <c r="B41" s="28"/>
      <c r="C41" s="196"/>
      <c r="D41" s="47"/>
      <c r="E41" s="28"/>
      <c r="F41" s="215"/>
      <c r="G41" s="215"/>
      <c r="H41" s="2"/>
      <c r="I41" s="35"/>
      <c r="K41" s="35"/>
      <c r="M41" s="35"/>
      <c r="N41" s="35"/>
      <c r="O41" s="35"/>
      <c r="P41" s="35"/>
    </row>
    <row r="42" spans="2:16">
      <c r="B42" s="28"/>
      <c r="C42" s="196"/>
      <c r="D42" s="47"/>
      <c r="E42" s="28"/>
      <c r="F42" s="215"/>
      <c r="G42" s="215"/>
      <c r="H42" s="2"/>
      <c r="I42" s="35"/>
      <c r="K42" s="35"/>
      <c r="M42" s="35"/>
      <c r="N42" s="35"/>
      <c r="O42" s="35"/>
      <c r="P42" s="35"/>
    </row>
    <row r="43" spans="2:16">
      <c r="B43" s="28"/>
      <c r="C43" s="196"/>
      <c r="D43" s="47"/>
      <c r="E43" s="28"/>
      <c r="F43" s="215"/>
      <c r="G43" s="215"/>
      <c r="H43" s="2"/>
      <c r="I43" s="35"/>
      <c r="K43" s="35"/>
      <c r="M43" s="35"/>
      <c r="N43" s="35"/>
      <c r="O43" s="35"/>
      <c r="P43" s="35"/>
    </row>
    <row r="44" spans="2:16">
      <c r="B44" s="28"/>
      <c r="C44" s="196"/>
      <c r="D44" s="47"/>
      <c r="E44" s="28"/>
      <c r="F44" s="215"/>
      <c r="G44" s="215"/>
      <c r="H44" s="2"/>
      <c r="I44" s="35"/>
      <c r="K44" s="35"/>
      <c r="M44" s="35"/>
      <c r="N44" s="35"/>
      <c r="O44" s="35"/>
      <c r="P44" s="35"/>
    </row>
    <row r="45" spans="2:16">
      <c r="B45" s="28"/>
      <c r="C45" s="196"/>
      <c r="D45" s="47"/>
      <c r="E45" s="28"/>
      <c r="F45" s="215"/>
      <c r="G45" s="215"/>
      <c r="H45" s="2"/>
      <c r="I45" s="35"/>
      <c r="K45" s="35"/>
      <c r="M45" s="35"/>
      <c r="N45" s="35"/>
      <c r="O45" s="35"/>
      <c r="P45" s="35"/>
    </row>
    <row r="46" spans="2:16">
      <c r="B46" s="28"/>
      <c r="C46" s="196"/>
      <c r="D46" s="47"/>
      <c r="E46" s="28"/>
      <c r="F46" s="215"/>
      <c r="G46" s="215"/>
      <c r="H46" s="2"/>
      <c r="I46" s="35"/>
      <c r="K46" s="35"/>
      <c r="M46" s="35"/>
      <c r="N46" s="35"/>
      <c r="O46" s="35"/>
      <c r="P46" s="35"/>
    </row>
    <row r="47" spans="2:16">
      <c r="B47" s="28"/>
      <c r="C47" s="196"/>
      <c r="D47" s="47"/>
      <c r="E47" s="28"/>
      <c r="F47" s="215"/>
      <c r="G47" s="215"/>
      <c r="H47" s="2"/>
      <c r="I47" s="35"/>
      <c r="K47" s="35"/>
      <c r="M47" s="35"/>
      <c r="N47" s="35"/>
      <c r="O47" s="35"/>
      <c r="P47" s="35"/>
    </row>
    <row r="48" spans="2:16">
      <c r="B48" s="28"/>
      <c r="C48" s="196"/>
      <c r="D48" s="47"/>
      <c r="E48" s="28"/>
      <c r="F48" s="215"/>
      <c r="G48" s="215"/>
      <c r="H48" s="2"/>
      <c r="I48" s="35"/>
      <c r="K48" s="35"/>
      <c r="M48" s="35"/>
      <c r="N48" s="35"/>
      <c r="O48" s="35"/>
      <c r="P48" s="35"/>
    </row>
    <row r="49" spans="2:16">
      <c r="B49" s="28"/>
      <c r="C49" s="196"/>
      <c r="D49" s="47"/>
      <c r="E49" s="28"/>
      <c r="F49" s="215"/>
      <c r="G49" s="215"/>
      <c r="H49" s="2"/>
      <c r="I49" s="35"/>
      <c r="K49" s="35"/>
      <c r="M49" s="35"/>
      <c r="N49" s="35"/>
      <c r="O49" s="35"/>
      <c r="P49" s="35"/>
    </row>
    <row r="50" spans="2:16">
      <c r="B50" s="28"/>
      <c r="C50" s="196"/>
      <c r="D50" s="47"/>
      <c r="E50" s="28"/>
      <c r="F50" s="215"/>
      <c r="G50" s="215"/>
      <c r="H50" s="2"/>
      <c r="I50" s="35"/>
      <c r="K50" s="35"/>
      <c r="M50" s="35"/>
      <c r="N50" s="35"/>
      <c r="O50" s="35"/>
      <c r="P50" s="35"/>
    </row>
    <row r="51" spans="2:16">
      <c r="B51" s="28"/>
      <c r="C51" s="196"/>
      <c r="D51" s="47"/>
      <c r="E51" s="28"/>
      <c r="F51" s="215"/>
      <c r="G51" s="215"/>
      <c r="H51" s="2"/>
      <c r="I51" s="35"/>
      <c r="K51" s="35"/>
      <c r="M51" s="35"/>
      <c r="N51" s="35"/>
      <c r="O51" s="35"/>
      <c r="P51" s="35"/>
    </row>
    <row r="52" spans="2:16">
      <c r="B52" s="28"/>
      <c r="C52" s="196"/>
      <c r="D52" s="47"/>
      <c r="E52" s="28"/>
      <c r="F52" s="215"/>
      <c r="G52" s="215"/>
      <c r="H52" s="2"/>
      <c r="I52" s="35"/>
      <c r="K52" s="35"/>
      <c r="M52" s="35"/>
      <c r="N52" s="35"/>
      <c r="O52" s="35"/>
      <c r="P52" s="35"/>
    </row>
    <row r="53" spans="2:16">
      <c r="B53" s="28"/>
      <c r="C53" s="196"/>
      <c r="D53" s="47"/>
      <c r="E53" s="28"/>
      <c r="F53" s="215"/>
      <c r="G53" s="215"/>
      <c r="H53" s="2"/>
      <c r="I53" s="35"/>
      <c r="K53" s="35"/>
      <c r="M53" s="35"/>
      <c r="N53" s="35"/>
      <c r="O53" s="35"/>
      <c r="P53" s="35"/>
    </row>
    <row r="54" spans="2:16">
      <c r="B54" s="28"/>
      <c r="C54" s="196"/>
      <c r="D54" s="47"/>
      <c r="E54" s="28"/>
      <c r="F54" s="215"/>
      <c r="G54" s="215"/>
      <c r="H54" s="2"/>
      <c r="I54" s="35"/>
      <c r="K54" s="35"/>
      <c r="M54" s="35"/>
      <c r="N54" s="35"/>
      <c r="O54" s="35"/>
      <c r="P54" s="35"/>
    </row>
    <row r="55" spans="2:16">
      <c r="B55" s="28"/>
      <c r="C55" s="196"/>
      <c r="D55" s="47"/>
      <c r="E55" s="28"/>
      <c r="F55" s="215"/>
      <c r="G55" s="215"/>
      <c r="H55" s="2"/>
      <c r="I55" s="35"/>
      <c r="K55" s="35"/>
      <c r="M55" s="35"/>
      <c r="N55" s="35"/>
      <c r="O55" s="35"/>
      <c r="P55" s="35"/>
    </row>
    <row r="56" spans="2:16">
      <c r="B56" s="28"/>
      <c r="C56" s="196"/>
      <c r="D56" s="47"/>
      <c r="E56" s="28"/>
      <c r="F56" s="215"/>
      <c r="G56" s="215"/>
      <c r="H56" s="2"/>
      <c r="I56" s="35"/>
      <c r="K56" s="35"/>
      <c r="M56" s="35"/>
      <c r="N56" s="35"/>
      <c r="O56" s="35"/>
      <c r="P56" s="35"/>
    </row>
    <row r="57" spans="2:16">
      <c r="B57" s="28"/>
      <c r="C57" s="196"/>
      <c r="D57" s="47"/>
      <c r="E57" s="28"/>
      <c r="F57" s="215"/>
      <c r="G57" s="215"/>
      <c r="H57" s="2"/>
      <c r="I57" s="35"/>
      <c r="K57" s="35"/>
      <c r="M57" s="35"/>
      <c r="N57" s="35"/>
      <c r="O57" s="35"/>
      <c r="P57" s="35"/>
    </row>
    <row r="58" spans="2:16">
      <c r="B58" s="28"/>
      <c r="C58" s="196"/>
      <c r="D58" s="47"/>
      <c r="E58" s="28"/>
      <c r="F58" s="215"/>
      <c r="G58" s="215"/>
      <c r="H58" s="2"/>
      <c r="I58" s="35"/>
      <c r="K58" s="35"/>
      <c r="M58" s="35"/>
      <c r="N58" s="35"/>
      <c r="O58" s="35"/>
      <c r="P58" s="35"/>
    </row>
    <row r="59" spans="2:16">
      <c r="B59" s="28"/>
      <c r="C59" s="196"/>
      <c r="D59" s="47"/>
      <c r="E59" s="28"/>
      <c r="F59" s="215"/>
      <c r="G59" s="215"/>
      <c r="H59" s="2"/>
      <c r="I59" s="35"/>
      <c r="K59" s="35"/>
      <c r="M59" s="35"/>
      <c r="N59" s="35"/>
      <c r="O59" s="35"/>
      <c r="P59" s="35"/>
    </row>
    <row r="60" spans="2:16">
      <c r="B60" s="28"/>
      <c r="C60" s="196"/>
      <c r="D60" s="47"/>
      <c r="E60" s="28"/>
      <c r="F60" s="215"/>
      <c r="G60" s="215"/>
      <c r="H60" s="2"/>
      <c r="I60" s="35"/>
      <c r="K60" s="35"/>
      <c r="M60" s="35"/>
      <c r="N60" s="35"/>
      <c r="O60" s="35"/>
      <c r="P60" s="35"/>
    </row>
    <row r="61" spans="2:16">
      <c r="B61" s="28"/>
      <c r="C61" s="196"/>
      <c r="D61" s="47"/>
      <c r="E61" s="28"/>
      <c r="F61" s="215"/>
      <c r="G61" s="215"/>
      <c r="H61" s="2"/>
      <c r="I61" s="35"/>
      <c r="K61" s="35"/>
      <c r="M61" s="35"/>
      <c r="N61" s="35"/>
      <c r="O61" s="35"/>
      <c r="P61" s="35"/>
    </row>
    <row r="62" spans="2:16">
      <c r="B62" s="28"/>
      <c r="C62" s="196"/>
      <c r="D62" s="47"/>
      <c r="E62" s="28"/>
      <c r="F62" s="215"/>
      <c r="G62" s="215"/>
      <c r="H62" s="2"/>
      <c r="I62" s="35"/>
      <c r="K62" s="35"/>
      <c r="M62" s="35"/>
      <c r="N62" s="35"/>
      <c r="O62" s="35"/>
      <c r="P62" s="35"/>
    </row>
    <row r="63" spans="2:16">
      <c r="B63" s="28"/>
      <c r="C63" s="196"/>
      <c r="D63" s="47"/>
      <c r="E63" s="28"/>
      <c r="F63" s="215"/>
      <c r="G63" s="215"/>
      <c r="H63" s="2"/>
      <c r="I63" s="35"/>
      <c r="K63" s="35"/>
      <c r="M63" s="35"/>
      <c r="N63" s="35"/>
      <c r="O63" s="35"/>
      <c r="P63" s="35"/>
    </row>
    <row r="64" spans="2:16">
      <c r="B64" s="28"/>
      <c r="C64" s="196"/>
      <c r="D64" s="47"/>
      <c r="E64" s="28"/>
      <c r="F64" s="215"/>
      <c r="G64" s="215"/>
      <c r="H64" s="2"/>
      <c r="I64" s="35"/>
      <c r="K64" s="35"/>
      <c r="M64" s="35"/>
      <c r="N64" s="35"/>
      <c r="O64" s="35"/>
      <c r="P64" s="35"/>
    </row>
    <row r="65" spans="2:16">
      <c r="B65" s="28"/>
      <c r="C65" s="196"/>
      <c r="D65" s="47"/>
      <c r="E65" s="28"/>
      <c r="F65" s="215"/>
      <c r="G65" s="215"/>
      <c r="H65" s="2"/>
      <c r="I65" s="35"/>
      <c r="K65" s="35"/>
      <c r="M65" s="35"/>
      <c r="N65" s="35"/>
      <c r="O65" s="35"/>
      <c r="P65" s="35"/>
    </row>
    <row r="66" spans="2:16">
      <c r="B66" s="28"/>
      <c r="C66" s="196"/>
      <c r="D66" s="47"/>
      <c r="E66" s="28"/>
      <c r="F66" s="215"/>
      <c r="G66" s="215"/>
      <c r="H66" s="2"/>
      <c r="I66" s="35"/>
      <c r="K66" s="35"/>
      <c r="M66" s="35"/>
      <c r="N66" s="35"/>
      <c r="O66" s="35"/>
      <c r="P66" s="35"/>
    </row>
    <row r="67" spans="2:16">
      <c r="B67" s="28"/>
      <c r="C67" s="196"/>
      <c r="D67" s="47"/>
      <c r="E67" s="28"/>
      <c r="F67" s="215"/>
      <c r="G67" s="215"/>
      <c r="H67" s="2"/>
      <c r="I67" s="35"/>
      <c r="K67" s="35"/>
      <c r="M67" s="35"/>
      <c r="N67" s="35"/>
      <c r="O67" s="35"/>
      <c r="P67" s="35"/>
    </row>
    <row r="68" spans="2:16">
      <c r="B68" s="28"/>
      <c r="C68" s="196"/>
      <c r="D68" s="47"/>
      <c r="E68" s="28"/>
      <c r="F68" s="215"/>
      <c r="G68" s="215"/>
      <c r="H68" s="2"/>
      <c r="I68" s="35"/>
      <c r="K68" s="35"/>
      <c r="M68" s="35"/>
      <c r="N68" s="35"/>
      <c r="O68" s="35"/>
      <c r="P68" s="35"/>
    </row>
    <row r="69" spans="2:16">
      <c r="B69" s="28"/>
      <c r="C69" s="196"/>
      <c r="D69" s="47"/>
      <c r="E69" s="28"/>
      <c r="F69" s="215"/>
      <c r="G69" s="215"/>
      <c r="H69" s="2"/>
      <c r="I69" s="35"/>
      <c r="K69" s="35"/>
      <c r="M69" s="35"/>
      <c r="N69" s="35"/>
      <c r="O69" s="35"/>
      <c r="P69" s="35"/>
    </row>
    <row r="70" spans="2:16">
      <c r="B70" s="28"/>
      <c r="C70" s="196"/>
      <c r="D70" s="47"/>
      <c r="E70" s="28"/>
      <c r="F70" s="215"/>
      <c r="G70" s="215"/>
      <c r="H70" s="2"/>
      <c r="I70" s="35"/>
      <c r="K70" s="35"/>
      <c r="M70" s="35"/>
      <c r="N70" s="35"/>
      <c r="O70" s="35"/>
      <c r="P70" s="35"/>
    </row>
    <row r="71" spans="2:16">
      <c r="B71" s="28"/>
      <c r="C71" s="196"/>
      <c r="D71" s="47"/>
      <c r="E71" s="28"/>
      <c r="F71" s="215"/>
      <c r="G71" s="215"/>
      <c r="H71" s="2"/>
      <c r="I71" s="35"/>
      <c r="K71" s="35"/>
      <c r="M71" s="35"/>
      <c r="N71" s="35"/>
      <c r="O71" s="35"/>
      <c r="P71" s="35"/>
    </row>
    <row r="72" spans="2:16">
      <c r="B72" s="28"/>
      <c r="C72" s="196"/>
      <c r="D72" s="47"/>
      <c r="E72" s="28"/>
      <c r="F72" s="215"/>
      <c r="G72" s="215"/>
      <c r="H72" s="2"/>
      <c r="I72" s="35"/>
      <c r="K72" s="35"/>
      <c r="M72" s="35"/>
      <c r="N72" s="35"/>
      <c r="O72" s="35"/>
      <c r="P72" s="35"/>
    </row>
    <row r="73" spans="2:16">
      <c r="B73" s="28"/>
      <c r="C73" s="196"/>
      <c r="D73" s="47"/>
      <c r="E73" s="28"/>
      <c r="F73" s="215"/>
      <c r="G73" s="215"/>
      <c r="H73" s="2"/>
      <c r="I73" s="35"/>
      <c r="K73" s="35"/>
      <c r="M73" s="35"/>
      <c r="N73" s="35"/>
      <c r="O73" s="35"/>
      <c r="P73" s="35"/>
    </row>
    <row r="74" spans="2:16">
      <c r="B74" s="28"/>
      <c r="C74" s="196"/>
      <c r="D74" s="47"/>
      <c r="E74" s="28"/>
      <c r="F74" s="215"/>
      <c r="G74" s="215"/>
      <c r="H74" s="2"/>
      <c r="I74" s="35"/>
      <c r="K74" s="35"/>
      <c r="M74" s="35"/>
      <c r="N74" s="35"/>
      <c r="O74" s="35"/>
      <c r="P74" s="35"/>
    </row>
    <row r="75" spans="2:16">
      <c r="B75" s="28"/>
      <c r="C75" s="196"/>
      <c r="D75" s="47"/>
      <c r="E75" s="28"/>
      <c r="F75" s="215"/>
      <c r="G75" s="215"/>
      <c r="H75" s="2"/>
      <c r="I75" s="107"/>
      <c r="K75" s="35"/>
      <c r="M75" s="35"/>
      <c r="N75" s="35"/>
      <c r="O75" s="35"/>
      <c r="P75" s="35"/>
    </row>
    <row r="76" spans="2:16">
      <c r="B76" s="28"/>
      <c r="C76" s="196"/>
      <c r="D76" s="47"/>
      <c r="E76" s="28"/>
      <c r="F76" s="215"/>
      <c r="G76" s="215"/>
      <c r="H76" s="2"/>
      <c r="I76" s="19"/>
      <c r="K76" s="35"/>
      <c r="M76" s="35"/>
      <c r="N76" s="35"/>
      <c r="O76" s="35"/>
      <c r="P76" s="35"/>
    </row>
    <row r="77" spans="2:16">
      <c r="B77" s="28"/>
      <c r="C77" s="196"/>
      <c r="D77" s="47"/>
      <c r="E77" s="28"/>
      <c r="F77" s="215"/>
      <c r="G77" s="215"/>
      <c r="H77" s="2"/>
      <c r="I77" s="19"/>
      <c r="K77" s="35"/>
      <c r="M77" s="35"/>
      <c r="N77" s="35"/>
      <c r="O77" s="35"/>
      <c r="P77" s="35"/>
    </row>
    <row r="78" spans="2:16">
      <c r="B78" s="28"/>
      <c r="C78" s="196"/>
      <c r="D78" s="47"/>
      <c r="E78" s="28"/>
      <c r="F78" s="215"/>
      <c r="G78" s="215"/>
      <c r="H78" s="2"/>
      <c r="I78" s="19"/>
      <c r="K78" s="35"/>
      <c r="M78" s="35"/>
      <c r="N78" s="35"/>
      <c r="O78" s="35"/>
      <c r="P78" s="35"/>
    </row>
    <row r="79" spans="2:16">
      <c r="B79" s="28"/>
      <c r="C79" s="196"/>
      <c r="D79" s="47"/>
      <c r="E79" s="28"/>
      <c r="F79" s="215"/>
      <c r="G79" s="215"/>
      <c r="H79" s="2"/>
      <c r="I79" s="19"/>
      <c r="K79" s="35"/>
      <c r="M79" s="35"/>
      <c r="N79" s="35"/>
      <c r="O79" s="35"/>
      <c r="P79" s="35"/>
    </row>
    <row r="80" spans="2:16">
      <c r="B80" s="28"/>
      <c r="C80" s="196"/>
      <c r="D80" s="47"/>
      <c r="E80" s="28"/>
      <c r="F80" s="215"/>
      <c r="G80" s="215"/>
      <c r="H80" s="2"/>
      <c r="I80" s="19"/>
      <c r="K80" s="35"/>
      <c r="M80" s="35"/>
      <c r="N80" s="35"/>
      <c r="O80" s="35"/>
      <c r="P80" s="35"/>
    </row>
    <row r="81" spans="2:16">
      <c r="B81" s="28"/>
      <c r="C81" s="196"/>
      <c r="D81" s="47"/>
      <c r="E81" s="28"/>
      <c r="F81" s="215"/>
      <c r="G81" s="215"/>
      <c r="H81" s="2"/>
      <c r="I81" s="19"/>
      <c r="K81" s="35"/>
      <c r="M81" s="35"/>
      <c r="N81" s="35"/>
      <c r="O81" s="35"/>
      <c r="P81" s="35"/>
    </row>
    <row r="82" spans="2:16">
      <c r="B82" s="28"/>
      <c r="C82" s="196"/>
      <c r="D82" s="47"/>
      <c r="E82" s="28"/>
      <c r="F82" s="215"/>
      <c r="G82" s="215"/>
      <c r="H82" s="2"/>
      <c r="I82" s="19"/>
      <c r="K82" s="35"/>
      <c r="M82" s="35"/>
      <c r="N82" s="35"/>
      <c r="O82" s="35"/>
      <c r="P82" s="35"/>
    </row>
    <row r="83" spans="2:16">
      <c r="B83" s="28"/>
      <c r="C83" s="196"/>
      <c r="D83" s="47"/>
      <c r="E83" s="28"/>
      <c r="F83" s="215"/>
      <c r="G83" s="215"/>
      <c r="H83" s="2"/>
      <c r="I83" s="19"/>
      <c r="K83" s="35"/>
      <c r="M83" s="35"/>
      <c r="N83" s="35"/>
      <c r="O83" s="35"/>
      <c r="P83" s="35"/>
    </row>
    <row r="84" spans="2:16">
      <c r="B84" s="28"/>
      <c r="C84" s="196"/>
      <c r="D84" s="47"/>
      <c r="E84" s="28"/>
      <c r="F84" s="215"/>
      <c r="G84" s="215"/>
      <c r="H84" s="2"/>
      <c r="I84" s="19"/>
      <c r="K84" s="35"/>
      <c r="M84" s="35"/>
      <c r="N84" s="35"/>
      <c r="O84" s="35"/>
      <c r="P84" s="35"/>
    </row>
    <row r="85" spans="2:16">
      <c r="B85" s="28"/>
      <c r="C85" s="196"/>
      <c r="D85" s="47"/>
      <c r="E85" s="28"/>
      <c r="F85" s="215"/>
      <c r="G85" s="215"/>
      <c r="H85" s="2"/>
      <c r="I85" s="19"/>
      <c r="K85" s="35"/>
      <c r="M85" s="35"/>
      <c r="N85" s="35"/>
      <c r="O85" s="35"/>
      <c r="P85" s="35"/>
    </row>
    <row r="86" spans="2:16">
      <c r="B86" s="28"/>
      <c r="C86" s="196"/>
      <c r="D86" s="47"/>
      <c r="E86" s="28"/>
      <c r="F86" s="215"/>
      <c r="G86" s="215"/>
      <c r="H86" s="2"/>
      <c r="I86" s="19"/>
      <c r="K86" s="35"/>
      <c r="M86" s="35"/>
      <c r="N86" s="35"/>
      <c r="O86" s="35"/>
      <c r="P86" s="35"/>
    </row>
    <row r="87" spans="2:16">
      <c r="B87" s="28"/>
      <c r="C87" s="196"/>
      <c r="D87" s="47"/>
      <c r="E87" s="28"/>
      <c r="F87" s="215"/>
      <c r="G87" s="215"/>
      <c r="H87" s="2"/>
      <c r="I87" s="19"/>
      <c r="K87" s="35"/>
      <c r="M87" s="35"/>
      <c r="N87" s="35"/>
      <c r="O87" s="35"/>
      <c r="P87" s="35"/>
    </row>
    <row r="88" spans="2:16">
      <c r="B88" s="28"/>
      <c r="C88" s="196"/>
      <c r="D88" s="47"/>
      <c r="E88" s="28"/>
      <c r="F88" s="215"/>
      <c r="G88" s="215"/>
      <c r="H88" s="2"/>
      <c r="I88" s="19"/>
      <c r="K88" s="35"/>
      <c r="M88" s="35"/>
      <c r="N88" s="35"/>
      <c r="O88" s="35"/>
      <c r="P88" s="35"/>
    </row>
    <row r="89" spans="2:16">
      <c r="B89" s="28"/>
      <c r="C89" s="196"/>
      <c r="D89" s="47"/>
      <c r="E89" s="28"/>
      <c r="F89" s="215"/>
      <c r="G89" s="215"/>
      <c r="H89" s="2"/>
      <c r="I89" s="19"/>
      <c r="K89" s="35"/>
      <c r="M89" s="35"/>
      <c r="N89" s="35"/>
      <c r="O89" s="35"/>
      <c r="P89" s="35"/>
    </row>
    <row r="90" spans="2:16">
      <c r="B90" s="28"/>
      <c r="C90" s="196"/>
      <c r="D90" s="47"/>
      <c r="E90" s="28"/>
      <c r="F90" s="215"/>
      <c r="G90" s="215"/>
      <c r="H90" s="2"/>
      <c r="I90" s="19"/>
      <c r="K90" s="35"/>
      <c r="M90" s="35"/>
      <c r="N90" s="35"/>
      <c r="O90" s="35"/>
      <c r="P90" s="35"/>
    </row>
    <row r="91" spans="2:16">
      <c r="B91" s="28"/>
      <c r="C91" s="196"/>
      <c r="D91" s="47"/>
      <c r="E91" s="28"/>
      <c r="F91" s="215"/>
      <c r="G91" s="215"/>
      <c r="H91" s="2"/>
      <c r="I91" s="19"/>
      <c r="K91" s="35"/>
      <c r="M91" s="35"/>
      <c r="N91" s="35"/>
      <c r="O91" s="35"/>
      <c r="P91" s="35"/>
    </row>
    <row r="92" spans="2:16">
      <c r="B92" s="28"/>
      <c r="C92" s="196"/>
      <c r="D92" s="47"/>
      <c r="E92" s="28"/>
      <c r="F92" s="215"/>
      <c r="G92" s="215"/>
      <c r="H92" s="2"/>
      <c r="I92" s="19"/>
      <c r="K92" s="35"/>
      <c r="M92" s="35"/>
      <c r="N92" s="35"/>
      <c r="O92" s="35"/>
      <c r="P92" s="35"/>
    </row>
    <row r="93" spans="2:16">
      <c r="B93" s="28"/>
      <c r="C93" s="196"/>
      <c r="D93" s="47"/>
      <c r="E93" s="28"/>
      <c r="F93" s="215"/>
      <c r="G93" s="215"/>
      <c r="H93" s="2"/>
      <c r="I93" s="19"/>
      <c r="K93" s="35"/>
      <c r="M93" s="35"/>
      <c r="N93" s="35"/>
      <c r="O93" s="35"/>
      <c r="P93" s="35"/>
    </row>
    <row r="94" spans="2:16">
      <c r="B94" s="28"/>
      <c r="C94" s="196"/>
      <c r="D94" s="47"/>
      <c r="E94" s="28"/>
      <c r="F94" s="215"/>
      <c r="G94" s="215"/>
      <c r="H94" s="2"/>
      <c r="I94" s="19"/>
      <c r="K94" s="35"/>
      <c r="M94" s="35"/>
      <c r="N94" s="35"/>
      <c r="O94" s="35"/>
      <c r="P94" s="35"/>
    </row>
    <row r="95" spans="2:16">
      <c r="B95" s="28"/>
      <c r="C95" s="196"/>
      <c r="D95" s="47"/>
      <c r="E95" s="28"/>
      <c r="F95" s="215"/>
      <c r="G95" s="215"/>
      <c r="H95" s="2"/>
      <c r="I95" s="19"/>
      <c r="K95" s="35"/>
      <c r="M95" s="35"/>
      <c r="N95" s="35"/>
      <c r="O95" s="35"/>
      <c r="P95" s="35"/>
    </row>
    <row r="96" spans="2:16">
      <c r="B96" s="28"/>
      <c r="C96" s="196"/>
      <c r="D96" s="47"/>
      <c r="E96" s="28"/>
      <c r="F96" s="215"/>
      <c r="G96" s="215"/>
      <c r="H96" s="2"/>
      <c r="I96" s="19"/>
      <c r="K96" s="35"/>
      <c r="M96" s="35"/>
      <c r="N96" s="35"/>
      <c r="O96" s="35"/>
      <c r="P96" s="35"/>
    </row>
    <row r="97" spans="2:16">
      <c r="B97" s="28"/>
      <c r="C97" s="196"/>
      <c r="D97" s="47"/>
      <c r="E97" s="28"/>
      <c r="F97" s="215"/>
      <c r="G97" s="215"/>
      <c r="H97" s="2"/>
      <c r="I97" s="19"/>
      <c r="K97" s="35"/>
      <c r="M97" s="35"/>
      <c r="N97" s="35"/>
      <c r="O97" s="35"/>
      <c r="P97" s="35"/>
    </row>
    <row r="98" spans="2:16">
      <c r="B98" s="28"/>
      <c r="C98" s="196"/>
      <c r="D98" s="47"/>
      <c r="E98" s="28"/>
      <c r="F98" s="215"/>
      <c r="G98" s="215"/>
      <c r="H98" s="2"/>
      <c r="I98" s="19"/>
      <c r="K98" s="35"/>
      <c r="M98" s="35"/>
      <c r="N98" s="35"/>
      <c r="O98" s="35"/>
      <c r="P98" s="35"/>
    </row>
    <row r="99" spans="2:16">
      <c r="B99" s="28"/>
      <c r="C99" s="196"/>
      <c r="D99" s="47"/>
      <c r="E99" s="28"/>
      <c r="F99" s="215"/>
      <c r="G99" s="215"/>
      <c r="H99" s="2"/>
      <c r="I99" s="19"/>
      <c r="K99" s="35"/>
      <c r="M99" s="35"/>
      <c r="N99" s="35"/>
      <c r="O99" s="35"/>
      <c r="P99" s="35"/>
    </row>
    <row r="100" spans="2:16">
      <c r="B100" s="28"/>
      <c r="C100" s="196"/>
      <c r="D100" s="47"/>
      <c r="E100" s="28"/>
      <c r="F100" s="215"/>
      <c r="G100" s="215"/>
      <c r="H100" s="2"/>
      <c r="I100" s="19"/>
      <c r="K100" s="35"/>
      <c r="M100" s="35"/>
      <c r="N100" s="35"/>
      <c r="O100" s="35"/>
      <c r="P100" s="35"/>
    </row>
    <row r="101" spans="2:16">
      <c r="B101" s="28"/>
      <c r="C101" s="196"/>
      <c r="D101" s="47"/>
      <c r="E101" s="28"/>
      <c r="F101" s="215"/>
      <c r="G101" s="215"/>
      <c r="H101" s="2"/>
      <c r="I101" s="19"/>
      <c r="K101" s="35"/>
      <c r="M101" s="35"/>
      <c r="N101" s="35"/>
      <c r="O101" s="35"/>
      <c r="P101" s="35"/>
    </row>
    <row r="102" spans="2:16">
      <c r="B102" s="28"/>
      <c r="C102" s="196"/>
      <c r="D102" s="47"/>
      <c r="E102" s="28"/>
      <c r="F102" s="215"/>
      <c r="G102" s="215"/>
      <c r="H102" s="2"/>
      <c r="I102" s="19"/>
      <c r="K102" s="35"/>
      <c r="M102" s="35"/>
      <c r="N102" s="35"/>
      <c r="O102" s="35"/>
      <c r="P102" s="35"/>
    </row>
    <row r="103" spans="2:16">
      <c r="B103" s="28"/>
      <c r="C103" s="196"/>
      <c r="D103" s="47"/>
      <c r="E103" s="28"/>
      <c r="F103" s="215"/>
      <c r="G103" s="215"/>
      <c r="H103" s="2"/>
      <c r="I103" s="19"/>
      <c r="K103" s="35"/>
      <c r="M103" s="35"/>
      <c r="N103" s="35"/>
      <c r="O103" s="35"/>
      <c r="P103" s="35"/>
    </row>
    <row r="104" spans="2:16">
      <c r="B104" s="28"/>
      <c r="C104" s="196"/>
      <c r="D104" s="47"/>
      <c r="E104" s="28"/>
      <c r="F104" s="215"/>
      <c r="G104" s="215"/>
      <c r="H104" s="2"/>
      <c r="I104" s="19"/>
      <c r="K104" s="35"/>
      <c r="M104" s="35"/>
      <c r="N104" s="35"/>
      <c r="O104" s="35"/>
      <c r="P104" s="35"/>
    </row>
    <row r="105" spans="2:16">
      <c r="B105" s="28"/>
      <c r="C105" s="196"/>
      <c r="D105" s="47"/>
      <c r="E105" s="28"/>
      <c r="F105" s="215"/>
      <c r="G105" s="215"/>
      <c r="H105" s="2"/>
      <c r="I105" s="19"/>
      <c r="K105" s="35"/>
      <c r="M105" s="35"/>
      <c r="N105" s="35"/>
      <c r="O105" s="35"/>
      <c r="P105" s="35"/>
    </row>
    <row r="106" spans="2:16">
      <c r="B106" s="28"/>
      <c r="C106" s="196"/>
      <c r="D106" s="47"/>
      <c r="E106" s="28"/>
      <c r="F106" s="215"/>
      <c r="G106" s="215"/>
      <c r="H106" s="2"/>
      <c r="I106" s="19"/>
      <c r="K106" s="35"/>
      <c r="M106" s="35"/>
      <c r="N106" s="35"/>
      <c r="O106" s="35"/>
      <c r="P106" s="35"/>
    </row>
    <row r="107" spans="2:16">
      <c r="B107" s="28"/>
      <c r="C107" s="196"/>
      <c r="D107" s="47"/>
      <c r="E107" s="28"/>
      <c r="F107" s="215"/>
      <c r="G107" s="215"/>
      <c r="H107" s="2"/>
      <c r="I107" s="19"/>
      <c r="K107" s="35"/>
      <c r="M107" s="35"/>
      <c r="N107" s="35"/>
      <c r="O107" s="35"/>
      <c r="P107" s="35"/>
    </row>
    <row r="108" spans="2:16">
      <c r="B108" s="28"/>
      <c r="C108" s="196"/>
      <c r="D108" s="47"/>
      <c r="E108" s="28"/>
      <c r="F108" s="215"/>
      <c r="G108" s="215"/>
      <c r="H108" s="2"/>
      <c r="I108" s="19"/>
      <c r="K108" s="35"/>
      <c r="M108" s="35"/>
      <c r="N108" s="35"/>
      <c r="O108" s="35"/>
      <c r="P108" s="35"/>
    </row>
    <row r="109" spans="2:16">
      <c r="B109" s="28"/>
      <c r="C109" s="196"/>
      <c r="D109" s="47"/>
      <c r="E109" s="28"/>
      <c r="F109" s="215"/>
      <c r="G109" s="215"/>
      <c r="H109" s="2"/>
      <c r="I109" s="19"/>
      <c r="K109" s="35"/>
      <c r="M109" s="35"/>
      <c r="N109" s="35"/>
      <c r="O109" s="35"/>
      <c r="P109" s="35"/>
    </row>
    <row r="110" spans="2:16">
      <c r="B110" s="28"/>
      <c r="C110" s="196"/>
      <c r="D110" s="47"/>
      <c r="E110" s="28"/>
      <c r="F110" s="215"/>
      <c r="G110" s="215"/>
      <c r="H110" s="2"/>
      <c r="I110" s="19"/>
      <c r="K110" s="35"/>
      <c r="M110" s="35"/>
      <c r="N110" s="35"/>
      <c r="O110" s="35"/>
      <c r="P110" s="35"/>
    </row>
    <row r="111" spans="2:16">
      <c r="B111" s="28"/>
      <c r="C111" s="196"/>
      <c r="D111" s="47"/>
      <c r="E111" s="28"/>
      <c r="F111" s="215"/>
      <c r="G111" s="215"/>
      <c r="H111" s="2"/>
      <c r="I111" s="19"/>
      <c r="K111" s="35"/>
      <c r="M111" s="35"/>
      <c r="N111" s="35"/>
      <c r="O111" s="35"/>
      <c r="P111" s="35"/>
    </row>
    <row r="112" spans="2:16">
      <c r="B112" s="28"/>
      <c r="C112" s="196"/>
      <c r="D112" s="47"/>
      <c r="E112" s="28"/>
      <c r="F112" s="215"/>
      <c r="G112" s="215"/>
      <c r="H112" s="2"/>
      <c r="I112" s="19"/>
      <c r="K112" s="35"/>
      <c r="M112" s="35"/>
      <c r="N112" s="35"/>
      <c r="O112" s="35"/>
      <c r="P112" s="35"/>
    </row>
    <row r="113" spans="2:16">
      <c r="B113" s="28"/>
      <c r="C113" s="196"/>
      <c r="D113" s="47"/>
      <c r="E113" s="28"/>
      <c r="F113" s="215"/>
      <c r="G113" s="215"/>
      <c r="H113" s="2"/>
      <c r="I113" s="19"/>
      <c r="K113" s="35"/>
      <c r="M113" s="35"/>
      <c r="N113" s="35"/>
      <c r="O113" s="35"/>
      <c r="P113" s="35"/>
    </row>
    <row r="114" spans="2:16">
      <c r="B114" s="28"/>
      <c r="C114" s="196"/>
      <c r="D114" s="47"/>
      <c r="E114" s="28"/>
      <c r="F114" s="215"/>
      <c r="G114" s="215"/>
      <c r="H114" s="2"/>
      <c r="I114" s="19"/>
      <c r="K114" s="35"/>
      <c r="M114" s="35"/>
      <c r="N114" s="35"/>
      <c r="O114" s="35"/>
      <c r="P114" s="35"/>
    </row>
    <row r="115" spans="2:16">
      <c r="B115" s="28"/>
      <c r="C115" s="196"/>
      <c r="D115" s="47"/>
      <c r="E115" s="28"/>
      <c r="F115" s="215"/>
      <c r="G115" s="215"/>
      <c r="H115" s="2"/>
      <c r="I115" s="19"/>
      <c r="K115" s="35"/>
      <c r="M115" s="35"/>
      <c r="N115" s="35"/>
      <c r="O115" s="35"/>
      <c r="P115" s="35"/>
    </row>
    <row r="116" spans="2:16">
      <c r="B116" s="28"/>
      <c r="C116" s="196"/>
      <c r="D116" s="47"/>
      <c r="E116" s="28"/>
      <c r="F116" s="215"/>
      <c r="G116" s="215"/>
      <c r="H116" s="2"/>
      <c r="I116" s="19"/>
      <c r="K116" s="35"/>
      <c r="M116" s="35"/>
      <c r="N116" s="35"/>
      <c r="O116" s="35"/>
      <c r="P116" s="35"/>
    </row>
    <row r="117" spans="2:16">
      <c r="B117" s="28"/>
      <c r="C117" s="196"/>
      <c r="D117" s="47"/>
      <c r="E117" s="28"/>
      <c r="F117" s="215"/>
      <c r="G117" s="215"/>
      <c r="H117" s="2"/>
      <c r="I117" s="19"/>
      <c r="K117" s="35"/>
      <c r="M117" s="35"/>
      <c r="N117" s="35"/>
      <c r="O117" s="35"/>
      <c r="P117" s="35"/>
    </row>
    <row r="118" spans="2:16">
      <c r="B118" s="28"/>
      <c r="C118" s="196"/>
      <c r="D118" s="47"/>
      <c r="E118" s="28"/>
      <c r="F118" s="215"/>
      <c r="G118" s="215"/>
      <c r="H118" s="2"/>
      <c r="I118" s="19"/>
      <c r="K118" s="35"/>
      <c r="M118" s="35"/>
      <c r="N118" s="35"/>
      <c r="O118" s="35"/>
      <c r="P118" s="35"/>
    </row>
    <row r="119" spans="2:16">
      <c r="B119" s="28"/>
      <c r="C119" s="196"/>
      <c r="D119" s="47"/>
      <c r="E119" s="28"/>
      <c r="F119" s="215"/>
      <c r="G119" s="215"/>
      <c r="H119" s="2"/>
      <c r="I119" s="19"/>
      <c r="K119" s="35"/>
      <c r="M119" s="35"/>
      <c r="N119" s="35"/>
      <c r="O119" s="35"/>
      <c r="P119" s="35"/>
    </row>
    <row r="120" spans="2:16">
      <c r="B120" s="28"/>
      <c r="C120" s="196"/>
      <c r="D120" s="47"/>
      <c r="E120" s="28"/>
      <c r="F120" s="215"/>
      <c r="G120" s="215"/>
      <c r="H120" s="2"/>
      <c r="I120" s="19"/>
      <c r="K120" s="35"/>
      <c r="M120" s="35"/>
      <c r="N120" s="35"/>
      <c r="O120" s="35"/>
      <c r="P120" s="35"/>
    </row>
    <row r="121" spans="2:16">
      <c r="B121" s="28"/>
      <c r="C121" s="196"/>
      <c r="D121" s="47"/>
      <c r="E121" s="28"/>
      <c r="F121" s="215"/>
      <c r="G121" s="215"/>
      <c r="H121" s="2"/>
      <c r="I121" s="19"/>
      <c r="K121" s="35"/>
      <c r="M121" s="35"/>
      <c r="N121" s="35"/>
      <c r="O121" s="35"/>
      <c r="P121" s="35"/>
    </row>
    <row r="122" spans="2:16">
      <c r="B122" s="28"/>
      <c r="C122" s="196"/>
      <c r="D122" s="47"/>
      <c r="E122" s="28"/>
      <c r="F122" s="215"/>
      <c r="G122" s="215"/>
      <c r="H122" s="2"/>
      <c r="I122" s="19"/>
      <c r="K122" s="35"/>
      <c r="M122" s="35"/>
      <c r="N122" s="35"/>
      <c r="O122" s="35"/>
      <c r="P122" s="35"/>
    </row>
    <row r="123" spans="2:16">
      <c r="B123" s="28"/>
      <c r="C123" s="196"/>
      <c r="D123" s="47"/>
      <c r="E123" s="28"/>
      <c r="F123" s="215"/>
      <c r="G123" s="215"/>
      <c r="H123" s="2"/>
      <c r="I123" s="19"/>
      <c r="K123" s="35"/>
      <c r="M123" s="35"/>
      <c r="N123" s="35"/>
      <c r="O123" s="35"/>
      <c r="P123" s="35"/>
    </row>
    <row r="124" spans="2:16">
      <c r="B124" s="28"/>
      <c r="C124" s="196"/>
      <c r="D124" s="47"/>
      <c r="E124" s="28"/>
      <c r="F124" s="215"/>
      <c r="G124" s="215"/>
      <c r="H124" s="2"/>
      <c r="I124" s="19"/>
      <c r="K124" s="35"/>
      <c r="M124" s="35"/>
      <c r="N124" s="35"/>
      <c r="O124" s="35"/>
      <c r="P124" s="35"/>
    </row>
    <row r="125" spans="2:16">
      <c r="B125" s="28"/>
      <c r="C125" s="196"/>
      <c r="D125" s="47"/>
      <c r="E125" s="28"/>
      <c r="F125" s="215"/>
      <c r="G125" s="215"/>
      <c r="H125" s="2"/>
      <c r="I125" s="19"/>
      <c r="K125" s="35"/>
      <c r="M125" s="35"/>
      <c r="N125" s="35"/>
      <c r="O125" s="35"/>
      <c r="P125" s="35"/>
    </row>
    <row r="126" spans="2:16">
      <c r="B126" s="28"/>
      <c r="C126" s="196"/>
      <c r="D126" s="47"/>
      <c r="E126" s="28"/>
      <c r="F126" s="215"/>
      <c r="G126" s="215"/>
      <c r="H126" s="2"/>
      <c r="I126" s="19"/>
      <c r="K126" s="35"/>
      <c r="M126" s="35"/>
      <c r="N126" s="35"/>
      <c r="O126" s="35"/>
      <c r="P126" s="35"/>
    </row>
    <row r="127" spans="2:16">
      <c r="B127" s="28"/>
      <c r="C127" s="196"/>
      <c r="D127" s="47"/>
      <c r="E127" s="28"/>
      <c r="F127" s="215"/>
      <c r="G127" s="215"/>
      <c r="H127" s="2"/>
      <c r="I127" s="19"/>
      <c r="K127" s="35"/>
      <c r="M127" s="35"/>
      <c r="N127" s="35"/>
      <c r="O127" s="35"/>
      <c r="P127" s="35"/>
    </row>
    <row r="128" spans="2:16">
      <c r="B128" s="28"/>
      <c r="C128" s="196"/>
      <c r="D128" s="47"/>
      <c r="E128" s="28"/>
      <c r="F128" s="215"/>
      <c r="G128" s="215"/>
      <c r="H128" s="2"/>
      <c r="I128" s="19"/>
      <c r="K128" s="35"/>
      <c r="M128" s="35"/>
      <c r="N128" s="35"/>
      <c r="O128" s="35"/>
      <c r="P128" s="35"/>
    </row>
    <row r="129" spans="2:16">
      <c r="B129" s="28"/>
      <c r="C129" s="196"/>
      <c r="D129" s="47"/>
      <c r="E129" s="28"/>
      <c r="F129" s="215"/>
      <c r="G129" s="215"/>
      <c r="H129" s="2"/>
      <c r="I129" s="19"/>
      <c r="K129" s="35"/>
      <c r="M129" s="35"/>
      <c r="N129" s="35"/>
      <c r="O129" s="35"/>
      <c r="P129" s="35"/>
    </row>
    <row r="130" spans="2:16">
      <c r="B130" s="28"/>
      <c r="C130" s="196"/>
      <c r="D130" s="47"/>
      <c r="E130" s="28"/>
      <c r="F130" s="215"/>
      <c r="G130" s="215"/>
      <c r="H130" s="2"/>
      <c r="I130" s="19"/>
      <c r="K130" s="35"/>
      <c r="M130" s="35"/>
      <c r="N130" s="35"/>
      <c r="O130" s="35"/>
      <c r="P130" s="35"/>
    </row>
    <row r="131" spans="2:16">
      <c r="B131" s="28"/>
      <c r="C131" s="196"/>
      <c r="D131" s="47"/>
      <c r="E131" s="28"/>
      <c r="F131" s="215"/>
      <c r="G131" s="215"/>
      <c r="H131" s="2"/>
      <c r="I131" s="19"/>
      <c r="K131" s="35"/>
      <c r="M131" s="35"/>
      <c r="N131" s="35"/>
      <c r="O131" s="35"/>
      <c r="P131" s="35"/>
    </row>
    <row r="132" spans="2:16">
      <c r="B132" s="28"/>
      <c r="C132" s="196"/>
      <c r="D132" s="47"/>
      <c r="E132" s="28"/>
      <c r="F132" s="215"/>
      <c r="G132" s="215"/>
      <c r="H132" s="2"/>
      <c r="I132" s="19"/>
      <c r="K132" s="35"/>
      <c r="M132" s="35"/>
      <c r="N132" s="35"/>
      <c r="O132" s="35"/>
      <c r="P132" s="35"/>
    </row>
    <row r="133" spans="2:16">
      <c r="B133" s="28"/>
      <c r="C133" s="196"/>
      <c r="D133" s="47"/>
      <c r="E133" s="28"/>
      <c r="F133" s="215"/>
      <c r="G133" s="215"/>
      <c r="H133" s="2"/>
      <c r="I133" s="19"/>
      <c r="K133" s="35"/>
      <c r="M133" s="35"/>
      <c r="N133" s="35"/>
      <c r="O133" s="35"/>
      <c r="P133" s="35"/>
    </row>
    <row r="134" spans="2:16">
      <c r="B134" s="28"/>
      <c r="C134" s="196"/>
      <c r="D134" s="47"/>
      <c r="E134" s="28"/>
      <c r="F134" s="215"/>
      <c r="G134" s="215"/>
      <c r="H134" s="2"/>
      <c r="I134" s="19"/>
      <c r="K134" s="35"/>
      <c r="M134" s="35"/>
      <c r="N134" s="35"/>
      <c r="O134" s="35"/>
      <c r="P134" s="35"/>
    </row>
    <row r="135" spans="2:16">
      <c r="B135" s="28"/>
      <c r="C135" s="196"/>
      <c r="D135" s="47"/>
      <c r="E135" s="28"/>
      <c r="F135" s="215"/>
      <c r="G135" s="215"/>
      <c r="H135" s="2"/>
      <c r="I135" s="19"/>
      <c r="K135" s="35"/>
      <c r="M135" s="35"/>
      <c r="N135" s="35"/>
      <c r="O135" s="35"/>
      <c r="P135" s="35"/>
    </row>
    <row r="136" spans="2:16">
      <c r="B136" s="28"/>
      <c r="C136" s="196"/>
      <c r="D136" s="47"/>
      <c r="E136" s="28"/>
      <c r="F136" s="215"/>
      <c r="G136" s="215"/>
      <c r="H136" s="2"/>
      <c r="I136" s="19"/>
      <c r="K136" s="35"/>
      <c r="M136" s="35"/>
      <c r="N136" s="35"/>
      <c r="O136" s="35"/>
      <c r="P136" s="35"/>
    </row>
    <row r="137" spans="2:16">
      <c r="B137" s="28"/>
      <c r="C137" s="196"/>
      <c r="D137" s="47"/>
      <c r="E137" s="28"/>
      <c r="F137" s="215"/>
      <c r="G137" s="215"/>
      <c r="H137" s="2"/>
      <c r="I137" s="19"/>
      <c r="K137" s="35"/>
      <c r="M137" s="35"/>
      <c r="N137" s="35"/>
      <c r="O137" s="35"/>
      <c r="P137" s="35"/>
    </row>
    <row r="138" spans="2:16">
      <c r="B138" s="28"/>
      <c r="C138" s="196"/>
      <c r="D138" s="47"/>
      <c r="E138" s="28"/>
      <c r="F138" s="215"/>
      <c r="G138" s="215"/>
      <c r="H138" s="2"/>
      <c r="I138" s="19"/>
      <c r="K138" s="35"/>
      <c r="M138" s="35"/>
      <c r="N138" s="35"/>
      <c r="O138" s="35"/>
      <c r="P138" s="35"/>
    </row>
    <row r="139" spans="2:16">
      <c r="B139" s="28"/>
      <c r="C139" s="196"/>
      <c r="D139" s="47"/>
      <c r="E139" s="28"/>
      <c r="F139" s="215"/>
      <c r="G139" s="215"/>
      <c r="H139" s="2"/>
      <c r="I139" s="19"/>
      <c r="K139" s="35"/>
      <c r="M139" s="35"/>
      <c r="N139" s="35"/>
      <c r="O139" s="35"/>
      <c r="P139" s="35"/>
    </row>
    <row r="140" spans="2:16">
      <c r="B140" s="28"/>
      <c r="C140" s="196"/>
      <c r="D140" s="47"/>
      <c r="E140" s="28"/>
      <c r="F140" s="215"/>
      <c r="G140" s="215"/>
      <c r="H140" s="2"/>
      <c r="I140" s="19"/>
      <c r="K140" s="35"/>
      <c r="M140" s="35"/>
      <c r="N140" s="35"/>
      <c r="O140" s="35"/>
      <c r="P140" s="35"/>
    </row>
    <row r="141" spans="2:16">
      <c r="B141" s="28"/>
      <c r="C141" s="196"/>
      <c r="D141" s="47"/>
      <c r="E141" s="28"/>
      <c r="F141" s="215"/>
      <c r="G141" s="215"/>
      <c r="H141" s="2"/>
      <c r="I141" s="19"/>
      <c r="K141" s="35"/>
      <c r="M141" s="35"/>
      <c r="N141" s="35"/>
      <c r="O141" s="35"/>
      <c r="P141" s="35"/>
    </row>
    <row r="142" spans="2:16">
      <c r="B142" s="28"/>
      <c r="C142" s="196"/>
      <c r="D142" s="47"/>
      <c r="E142" s="28"/>
      <c r="F142" s="215"/>
      <c r="G142" s="215"/>
      <c r="H142" s="2"/>
      <c r="I142" s="19"/>
      <c r="K142" s="35"/>
      <c r="M142" s="35"/>
      <c r="N142" s="35"/>
      <c r="O142" s="35"/>
      <c r="P142" s="35"/>
    </row>
    <row r="143" spans="2:16">
      <c r="B143" s="28"/>
      <c r="C143" s="196"/>
      <c r="D143" s="47"/>
      <c r="E143" s="28"/>
      <c r="F143" s="215"/>
      <c r="G143" s="215"/>
      <c r="H143" s="2"/>
      <c r="I143" s="19"/>
      <c r="K143" s="35"/>
      <c r="M143" s="35"/>
      <c r="N143" s="35"/>
      <c r="O143" s="35"/>
      <c r="P143" s="35"/>
    </row>
    <row r="144" spans="2:16">
      <c r="B144" s="28"/>
      <c r="C144" s="196"/>
      <c r="D144" s="47"/>
      <c r="E144" s="28"/>
      <c r="F144" s="215"/>
      <c r="G144" s="215"/>
      <c r="H144" s="2"/>
      <c r="I144" s="19"/>
      <c r="K144" s="35"/>
      <c r="M144" s="35"/>
      <c r="N144" s="35"/>
      <c r="O144" s="35"/>
      <c r="P144" s="35"/>
    </row>
    <row r="145" spans="2:16">
      <c r="B145" s="28"/>
      <c r="C145" s="196"/>
      <c r="D145" s="47"/>
      <c r="E145" s="28"/>
      <c r="F145" s="215"/>
      <c r="G145" s="215"/>
      <c r="H145" s="2"/>
      <c r="I145" s="19"/>
      <c r="K145" s="35"/>
      <c r="M145" s="35"/>
      <c r="N145" s="35"/>
      <c r="O145" s="35"/>
      <c r="P145" s="35"/>
    </row>
    <row r="146" spans="2:16">
      <c r="B146" s="28"/>
      <c r="C146" s="196"/>
      <c r="D146" s="47"/>
      <c r="E146" s="28"/>
      <c r="F146" s="215"/>
      <c r="G146" s="215"/>
      <c r="H146" s="2"/>
      <c r="I146" s="19"/>
      <c r="K146" s="35"/>
      <c r="M146" s="35"/>
      <c r="N146" s="35"/>
      <c r="O146" s="35"/>
      <c r="P146" s="35"/>
    </row>
    <row r="147" spans="2:16">
      <c r="B147" s="28"/>
      <c r="C147" s="196"/>
      <c r="D147" s="47"/>
      <c r="E147" s="28"/>
      <c r="F147" s="215"/>
      <c r="G147" s="215"/>
      <c r="H147" s="2"/>
      <c r="I147" s="19"/>
      <c r="K147" s="35"/>
      <c r="M147" s="35"/>
      <c r="N147" s="35"/>
      <c r="O147" s="35"/>
      <c r="P147" s="35"/>
    </row>
    <row r="148" spans="2:16">
      <c r="B148" s="28"/>
      <c r="C148" s="196"/>
      <c r="D148" s="47"/>
      <c r="E148" s="28"/>
      <c r="F148" s="215"/>
      <c r="G148" s="215"/>
      <c r="H148" s="2"/>
      <c r="I148" s="19"/>
      <c r="K148" s="35"/>
      <c r="M148" s="35"/>
      <c r="N148" s="35"/>
      <c r="O148" s="35"/>
      <c r="P148" s="35"/>
    </row>
    <row r="149" spans="2:16">
      <c r="B149" s="28"/>
      <c r="C149" s="196"/>
      <c r="D149" s="47"/>
      <c r="E149" s="28"/>
      <c r="F149" s="215"/>
      <c r="G149" s="215"/>
      <c r="H149" s="2"/>
      <c r="I149" s="19"/>
      <c r="K149" s="35"/>
      <c r="M149" s="35"/>
      <c r="N149" s="35"/>
      <c r="O149" s="35"/>
      <c r="P149" s="35"/>
    </row>
    <row r="150" spans="2:16">
      <c r="B150" s="28"/>
      <c r="C150" s="196"/>
      <c r="D150" s="47"/>
      <c r="E150" s="28"/>
      <c r="F150" s="215"/>
      <c r="G150" s="215"/>
      <c r="H150" s="2"/>
      <c r="I150" s="19"/>
      <c r="K150" s="35"/>
      <c r="M150" s="35"/>
      <c r="N150" s="35"/>
      <c r="O150" s="35"/>
      <c r="P150" s="35"/>
    </row>
    <row r="151" spans="2:16">
      <c r="B151" s="28"/>
      <c r="C151" s="196"/>
      <c r="D151" s="47"/>
      <c r="E151" s="28"/>
      <c r="F151" s="215"/>
      <c r="G151" s="215"/>
      <c r="H151" s="2"/>
      <c r="I151" s="19"/>
      <c r="K151" s="35"/>
      <c r="M151" s="35"/>
      <c r="N151" s="35"/>
      <c r="O151" s="35"/>
      <c r="P151" s="35"/>
    </row>
    <row r="152" spans="2:16">
      <c r="B152" s="28"/>
      <c r="C152" s="196"/>
      <c r="D152" s="47"/>
      <c r="E152" s="28"/>
      <c r="F152" s="215"/>
      <c r="G152" s="215"/>
      <c r="H152" s="2"/>
      <c r="I152" s="19"/>
      <c r="K152" s="35"/>
      <c r="M152" s="35"/>
      <c r="N152" s="35"/>
      <c r="O152" s="35"/>
      <c r="P152" s="35"/>
    </row>
    <row r="153" spans="2:16">
      <c r="B153" s="28"/>
      <c r="C153" s="196"/>
      <c r="D153" s="47"/>
      <c r="E153" s="28"/>
      <c r="F153" s="215"/>
      <c r="G153" s="215"/>
      <c r="H153" s="2"/>
      <c r="I153" s="19"/>
      <c r="K153" s="35"/>
      <c r="M153" s="35"/>
      <c r="N153" s="35"/>
      <c r="O153" s="35"/>
      <c r="P153" s="35"/>
    </row>
    <row r="154" spans="2:16">
      <c r="B154" s="28"/>
      <c r="C154" s="196"/>
      <c r="D154" s="47"/>
      <c r="E154" s="28"/>
      <c r="F154" s="215"/>
      <c r="G154" s="215"/>
      <c r="H154" s="2"/>
      <c r="I154" s="19"/>
      <c r="K154" s="35"/>
      <c r="M154" s="35"/>
      <c r="N154" s="35"/>
      <c r="O154" s="35"/>
      <c r="P154" s="35"/>
    </row>
    <row r="155" spans="2:16">
      <c r="B155" s="28"/>
      <c r="C155" s="196"/>
      <c r="D155" s="47"/>
      <c r="E155" s="28"/>
      <c r="F155" s="215"/>
      <c r="G155" s="215"/>
      <c r="H155" s="2"/>
      <c r="I155" s="19"/>
      <c r="K155" s="35"/>
      <c r="M155" s="35"/>
      <c r="N155" s="35"/>
      <c r="O155" s="35"/>
      <c r="P155" s="35"/>
    </row>
    <row r="156" spans="2:16">
      <c r="B156" s="28"/>
      <c r="C156" s="196"/>
      <c r="D156" s="47"/>
      <c r="E156" s="28"/>
      <c r="F156" s="215"/>
      <c r="G156" s="215"/>
      <c r="H156" s="2"/>
      <c r="I156" s="19"/>
      <c r="K156" s="35"/>
      <c r="M156" s="35"/>
      <c r="N156" s="35"/>
      <c r="O156" s="35"/>
      <c r="P156" s="35"/>
    </row>
    <row r="157" spans="2:16">
      <c r="B157" s="28"/>
      <c r="C157" s="196"/>
      <c r="D157" s="47"/>
      <c r="E157" s="28"/>
      <c r="F157" s="215"/>
      <c r="G157" s="215"/>
      <c r="H157" s="2"/>
      <c r="I157" s="19"/>
      <c r="K157" s="35"/>
      <c r="M157" s="35"/>
      <c r="N157" s="35"/>
      <c r="O157" s="35"/>
      <c r="P157" s="35"/>
    </row>
    <row r="158" spans="2:16">
      <c r="B158" s="28"/>
      <c r="C158" s="196"/>
      <c r="D158" s="47"/>
      <c r="E158" s="28"/>
      <c r="F158" s="215"/>
      <c r="G158" s="215"/>
      <c r="H158" s="2"/>
      <c r="I158" s="19"/>
      <c r="K158" s="35"/>
      <c r="M158" s="35"/>
      <c r="N158" s="35"/>
      <c r="O158" s="35"/>
      <c r="P158" s="35"/>
    </row>
    <row r="159" spans="2:16">
      <c r="B159" s="28"/>
      <c r="C159" s="196"/>
      <c r="D159" s="47"/>
      <c r="E159" s="28"/>
      <c r="F159" s="215"/>
      <c r="G159" s="215"/>
      <c r="H159" s="2"/>
      <c r="I159" s="19"/>
      <c r="K159" s="35"/>
      <c r="M159" s="35"/>
      <c r="N159" s="35"/>
      <c r="O159" s="35"/>
      <c r="P159" s="35"/>
    </row>
    <row r="160" spans="2:16">
      <c r="B160" s="28"/>
      <c r="C160" s="196"/>
      <c r="D160" s="47"/>
      <c r="E160" s="28"/>
      <c r="F160" s="215"/>
      <c r="G160" s="215"/>
      <c r="H160" s="2"/>
      <c r="I160" s="19"/>
      <c r="K160" s="35"/>
      <c r="M160" s="35"/>
      <c r="N160" s="35"/>
      <c r="O160" s="35"/>
      <c r="P160" s="35"/>
    </row>
    <row r="161" spans="2:16">
      <c r="B161" s="28"/>
      <c r="C161" s="196"/>
      <c r="D161" s="47"/>
      <c r="E161" s="28"/>
      <c r="F161" s="215"/>
      <c r="G161" s="215"/>
      <c r="H161" s="2"/>
      <c r="I161" s="19"/>
      <c r="K161" s="35"/>
      <c r="M161" s="35"/>
      <c r="N161" s="35"/>
      <c r="O161" s="35"/>
      <c r="P161" s="35"/>
    </row>
    <row r="162" spans="2:16">
      <c r="B162" s="28"/>
      <c r="C162" s="196"/>
      <c r="D162" s="47"/>
      <c r="E162" s="28"/>
      <c r="F162" s="215"/>
      <c r="G162" s="215"/>
      <c r="H162" s="2"/>
      <c r="I162" s="19"/>
      <c r="K162" s="35"/>
      <c r="M162" s="35"/>
      <c r="N162" s="35"/>
      <c r="O162" s="35"/>
      <c r="P162" s="35"/>
    </row>
    <row r="163" spans="2:16">
      <c r="B163" s="28"/>
      <c r="C163" s="196"/>
      <c r="D163" s="47"/>
      <c r="E163" s="28"/>
      <c r="F163" s="215"/>
      <c r="G163" s="215"/>
      <c r="H163" s="2"/>
      <c r="I163" s="19"/>
      <c r="K163" s="35"/>
      <c r="M163" s="35"/>
      <c r="N163" s="35"/>
      <c r="O163" s="35"/>
      <c r="P163" s="35"/>
    </row>
    <row r="164" spans="2:16">
      <c r="B164" s="28"/>
      <c r="C164" s="196"/>
      <c r="D164" s="47"/>
      <c r="E164" s="28"/>
      <c r="F164" s="215"/>
      <c r="G164" s="215"/>
      <c r="H164" s="2"/>
      <c r="I164" s="19"/>
      <c r="K164" s="35"/>
      <c r="M164" s="35"/>
      <c r="N164" s="35"/>
      <c r="O164" s="35"/>
      <c r="P164" s="35"/>
    </row>
    <row r="165" spans="2:16">
      <c r="D165" s="47"/>
      <c r="E165" s="143"/>
      <c r="H165" s="2"/>
      <c r="I165" s="30"/>
    </row>
    <row r="166" spans="2:16">
      <c r="D166" s="47"/>
      <c r="E166" s="143"/>
      <c r="H166" s="2"/>
      <c r="I166" s="30"/>
    </row>
    <row r="167" spans="2:16">
      <c r="D167" s="47"/>
      <c r="E167" s="143"/>
      <c r="H167" s="2"/>
      <c r="I167" s="30"/>
    </row>
    <row r="168" spans="2:16">
      <c r="D168" s="47"/>
      <c r="E168" s="143"/>
      <c r="H168" s="2"/>
      <c r="I168" s="30"/>
    </row>
    <row r="169" spans="2:16">
      <c r="D169" s="47"/>
      <c r="E169" s="143"/>
      <c r="H169" s="2"/>
      <c r="I169" s="30"/>
    </row>
    <row r="170" spans="2:16">
      <c r="D170" s="47"/>
      <c r="E170" s="143"/>
      <c r="H170" s="2"/>
      <c r="I170" s="30"/>
    </row>
    <row r="171" spans="2:16">
      <c r="D171" s="47"/>
      <c r="E171" s="143"/>
      <c r="H171" s="2"/>
      <c r="I171" s="30"/>
    </row>
    <row r="172" spans="2:16">
      <c r="D172" s="47"/>
      <c r="E172" s="143"/>
      <c r="H172" s="2"/>
      <c r="I172" s="30"/>
    </row>
    <row r="173" spans="2:16">
      <c r="D173" s="47"/>
      <c r="E173" s="143"/>
      <c r="H173" s="2"/>
      <c r="I173" s="30"/>
    </row>
    <row r="174" spans="2:16">
      <c r="D174" s="47"/>
      <c r="E174" s="143"/>
      <c r="H174" s="2"/>
      <c r="I174" s="30"/>
    </row>
    <row r="175" spans="2:16">
      <c r="D175" s="47"/>
      <c r="E175" s="143"/>
      <c r="H175" s="2"/>
      <c r="I175" s="30"/>
    </row>
    <row r="176" spans="2:16">
      <c r="D176" s="47"/>
      <c r="E176" s="143"/>
      <c r="H176" s="2"/>
      <c r="I176" s="30"/>
    </row>
    <row r="177" spans="4:9">
      <c r="D177" s="47"/>
      <c r="E177" s="143"/>
      <c r="H177" s="2"/>
      <c r="I177" s="30"/>
    </row>
    <row r="178" spans="4:9">
      <c r="D178" s="47"/>
      <c r="E178" s="143"/>
      <c r="H178" s="2"/>
      <c r="I178" s="30"/>
    </row>
    <row r="179" spans="4:9">
      <c r="D179" s="47"/>
      <c r="E179" s="143"/>
      <c r="H179" s="2"/>
      <c r="I179" s="30"/>
    </row>
    <row r="180" spans="4:9">
      <c r="D180" s="47"/>
      <c r="E180" s="143"/>
      <c r="H180" s="2"/>
      <c r="I180" s="30"/>
    </row>
    <row r="181" spans="4:9">
      <c r="D181" s="47"/>
      <c r="E181" s="143"/>
      <c r="H181" s="2"/>
      <c r="I181" s="30"/>
    </row>
    <row r="182" spans="4:9">
      <c r="D182" s="47"/>
      <c r="E182" s="143"/>
      <c r="H182" s="2"/>
      <c r="I182" s="30"/>
    </row>
    <row r="183" spans="4:9">
      <c r="D183" s="47"/>
      <c r="E183" s="143"/>
      <c r="H183" s="2"/>
      <c r="I183" s="30"/>
    </row>
    <row r="184" spans="4:9">
      <c r="D184" s="47"/>
      <c r="E184" s="143"/>
      <c r="H184" s="2"/>
      <c r="I184" s="30"/>
    </row>
    <row r="185" spans="4:9">
      <c r="D185" s="47"/>
      <c r="E185" s="143"/>
      <c r="H185" s="2"/>
      <c r="I185" s="30"/>
    </row>
    <row r="186" spans="4:9">
      <c r="D186" s="47"/>
      <c r="E186" s="143"/>
      <c r="H186" s="2"/>
      <c r="I186" s="30"/>
    </row>
    <row r="187" spans="4:9">
      <c r="D187" s="47"/>
      <c r="E187" s="143"/>
      <c r="H187" s="2"/>
      <c r="I187" s="30"/>
    </row>
    <row r="188" spans="4:9">
      <c r="D188" s="47"/>
      <c r="E188" s="143"/>
      <c r="H188" s="2"/>
      <c r="I188" s="30"/>
    </row>
    <row r="189" spans="4:9">
      <c r="D189" s="47"/>
      <c r="E189" s="143"/>
      <c r="H189" s="2"/>
      <c r="I189" s="30"/>
    </row>
    <row r="190" spans="4:9">
      <c r="D190" s="47"/>
      <c r="E190" s="143"/>
      <c r="H190" s="2"/>
      <c r="I190" s="30"/>
    </row>
    <row r="191" spans="4:9">
      <c r="D191" s="47"/>
      <c r="E191" s="143"/>
      <c r="H191" s="2"/>
      <c r="I191" s="30"/>
    </row>
    <row r="192" spans="4:9">
      <c r="D192" s="47"/>
      <c r="E192" s="143"/>
      <c r="H192" s="2"/>
      <c r="I192" s="30"/>
    </row>
    <row r="193" spans="4:9">
      <c r="D193" s="47"/>
      <c r="E193" s="143"/>
      <c r="H193" s="2"/>
      <c r="I193" s="30"/>
    </row>
    <row r="194" spans="4:9">
      <c r="D194" s="47"/>
      <c r="E194" s="143"/>
      <c r="H194" s="2"/>
      <c r="I194" s="30"/>
    </row>
    <row r="195" spans="4:9">
      <c r="D195" s="47"/>
      <c r="E195" s="143"/>
      <c r="H195" s="2"/>
      <c r="I195" s="30"/>
    </row>
    <row r="196" spans="4:9">
      <c r="D196" s="47"/>
      <c r="E196" s="143"/>
      <c r="H196" s="2"/>
      <c r="I196" s="30"/>
    </row>
    <row r="197" spans="4:9">
      <c r="D197" s="47"/>
      <c r="E197" s="143"/>
      <c r="H197" s="2"/>
      <c r="I197" s="30"/>
    </row>
    <row r="198" spans="4:9">
      <c r="D198" s="47"/>
      <c r="E198" s="143"/>
      <c r="H198" s="2"/>
      <c r="I198" s="30"/>
    </row>
    <row r="199" spans="4:9">
      <c r="D199" s="47"/>
      <c r="E199" s="143"/>
      <c r="H199" s="2"/>
      <c r="I199" s="30"/>
    </row>
    <row r="200" spans="4:9">
      <c r="D200" s="47"/>
      <c r="E200" s="143"/>
      <c r="H200" s="2"/>
      <c r="I200" s="30"/>
    </row>
    <row r="201" spans="4:9">
      <c r="D201" s="47"/>
      <c r="E201" s="143"/>
      <c r="H201" s="2"/>
      <c r="I201" s="30"/>
    </row>
    <row r="202" spans="4:9">
      <c r="D202" s="47"/>
      <c r="E202" s="143"/>
      <c r="H202" s="2"/>
      <c r="I202" s="30"/>
    </row>
    <row r="203" spans="4:9">
      <c r="D203" s="47"/>
      <c r="E203" s="143"/>
      <c r="H203" s="2"/>
      <c r="I203" s="30"/>
    </row>
    <row r="204" spans="4:9">
      <c r="D204" s="47"/>
      <c r="E204" s="143"/>
      <c r="H204" s="2"/>
      <c r="I204" s="30"/>
    </row>
    <row r="205" spans="4:9">
      <c r="D205" s="47"/>
      <c r="E205" s="143"/>
      <c r="H205" s="2"/>
      <c r="I205" s="30"/>
    </row>
    <row r="206" spans="4:9">
      <c r="D206" s="47"/>
      <c r="E206" s="143"/>
      <c r="H206" s="2"/>
      <c r="I206" s="30"/>
    </row>
    <row r="207" spans="4:9">
      <c r="D207" s="47"/>
      <c r="E207" s="143"/>
      <c r="H207" s="2"/>
      <c r="I207" s="30"/>
    </row>
    <row r="208" spans="4:9">
      <c r="D208" s="47"/>
      <c r="E208" s="143"/>
      <c r="H208" s="2"/>
      <c r="I208" s="30"/>
    </row>
    <row r="209" spans="4:9">
      <c r="D209" s="47"/>
      <c r="E209" s="143"/>
      <c r="H209" s="2"/>
      <c r="I209" s="30"/>
    </row>
    <row r="210" spans="4:9">
      <c r="D210" s="47"/>
      <c r="E210" s="143"/>
      <c r="H210" s="2"/>
      <c r="I210" s="30"/>
    </row>
    <row r="211" spans="4:9">
      <c r="D211" s="47"/>
      <c r="E211" s="143"/>
      <c r="H211" s="2"/>
      <c r="I211" s="30"/>
    </row>
    <row r="212" spans="4:9">
      <c r="D212" s="47"/>
      <c r="E212" s="143"/>
      <c r="H212" s="2"/>
      <c r="I212" s="30"/>
    </row>
    <row r="213" spans="4:9">
      <c r="D213" s="47"/>
      <c r="E213" s="143"/>
      <c r="H213" s="2"/>
      <c r="I213" s="30"/>
    </row>
    <row r="214" spans="4:9">
      <c r="D214" s="47"/>
      <c r="E214" s="143"/>
      <c r="H214" s="2"/>
      <c r="I214" s="30"/>
    </row>
    <row r="215" spans="4:9">
      <c r="D215" s="47"/>
      <c r="E215" s="143"/>
      <c r="H215" s="2"/>
      <c r="I215" s="30"/>
    </row>
    <row r="216" spans="4:9">
      <c r="D216" s="47"/>
      <c r="E216" s="143"/>
      <c r="H216" s="2"/>
      <c r="I216" s="30"/>
    </row>
    <row r="217" spans="4:9">
      <c r="D217" s="47"/>
      <c r="E217" s="143"/>
      <c r="H217" s="2"/>
      <c r="I217" s="30"/>
    </row>
    <row r="218" spans="4:9">
      <c r="D218" s="47"/>
      <c r="E218" s="143"/>
      <c r="H218" s="2"/>
      <c r="I218" s="30"/>
    </row>
    <row r="219" spans="4:9">
      <c r="D219" s="47"/>
      <c r="E219" s="143"/>
      <c r="H219" s="2"/>
      <c r="I219" s="30"/>
    </row>
    <row r="220" spans="4:9">
      <c r="D220" s="47"/>
      <c r="E220" s="143"/>
      <c r="H220" s="2"/>
      <c r="I220" s="30"/>
    </row>
    <row r="221" spans="4:9">
      <c r="D221" s="47"/>
      <c r="E221" s="143"/>
      <c r="H221" s="2"/>
      <c r="I221" s="30"/>
    </row>
    <row r="222" spans="4:9">
      <c r="D222" s="47"/>
      <c r="E222" s="143"/>
      <c r="H222" s="2"/>
      <c r="I222" s="30"/>
    </row>
    <row r="223" spans="4:9">
      <c r="D223" s="47"/>
      <c r="E223" s="143"/>
      <c r="H223" s="2"/>
      <c r="I223" s="30"/>
    </row>
    <row r="224" spans="4:9">
      <c r="D224" s="47"/>
      <c r="E224" s="143"/>
      <c r="H224" s="2"/>
      <c r="I224" s="30"/>
    </row>
    <row r="225" spans="4:9">
      <c r="D225" s="47"/>
      <c r="E225" s="143"/>
      <c r="H225" s="2"/>
      <c r="I225" s="30"/>
    </row>
    <row r="226" spans="4:9">
      <c r="D226" s="47"/>
      <c r="E226" s="143"/>
      <c r="H226" s="2"/>
      <c r="I226" s="30"/>
    </row>
    <row r="227" spans="4:9">
      <c r="D227" s="47"/>
      <c r="E227" s="143"/>
      <c r="H227" s="2"/>
      <c r="I227" s="30"/>
    </row>
    <row r="228" spans="4:9">
      <c r="D228" s="47"/>
      <c r="E228" s="143"/>
      <c r="H228" s="2"/>
      <c r="I228" s="30"/>
    </row>
    <row r="229" spans="4:9">
      <c r="D229" s="47"/>
      <c r="E229" s="143"/>
      <c r="H229" s="2"/>
      <c r="I229" s="30"/>
    </row>
    <row r="230" spans="4:9">
      <c r="D230" s="47"/>
      <c r="E230" s="143"/>
      <c r="H230" s="2"/>
      <c r="I230" s="30"/>
    </row>
    <row r="231" spans="4:9">
      <c r="D231" s="47"/>
      <c r="E231" s="143"/>
      <c r="H231" s="2"/>
      <c r="I231" s="30"/>
    </row>
    <row r="232" spans="4:9">
      <c r="D232" s="47"/>
      <c r="E232" s="143"/>
      <c r="H232" s="2"/>
      <c r="I232" s="30"/>
    </row>
    <row r="233" spans="4:9">
      <c r="D233" s="47"/>
      <c r="E233" s="143"/>
      <c r="H233" s="2"/>
      <c r="I233" s="30"/>
    </row>
    <row r="234" spans="4:9">
      <c r="D234" s="47"/>
      <c r="E234" s="143"/>
      <c r="H234" s="2"/>
      <c r="I234" s="30"/>
    </row>
    <row r="235" spans="4:9">
      <c r="D235" s="47"/>
      <c r="E235" s="143"/>
      <c r="H235" s="2"/>
      <c r="I235" s="30"/>
    </row>
    <row r="236" spans="4:9">
      <c r="D236" s="47"/>
      <c r="E236" s="143"/>
      <c r="H236" s="2"/>
      <c r="I236" s="30"/>
    </row>
    <row r="237" spans="4:9">
      <c r="D237" s="47"/>
      <c r="E237" s="143"/>
      <c r="H237" s="2"/>
      <c r="I237" s="30"/>
    </row>
    <row r="238" spans="4:9">
      <c r="D238" s="47"/>
      <c r="E238" s="143"/>
      <c r="H238" s="2"/>
      <c r="I238" s="30"/>
    </row>
    <row r="239" spans="4:9">
      <c r="D239" s="47"/>
      <c r="E239" s="143"/>
      <c r="H239" s="2"/>
      <c r="I239" s="30"/>
    </row>
    <row r="240" spans="4:9">
      <c r="D240" s="47"/>
      <c r="E240" s="143"/>
      <c r="H240" s="2"/>
      <c r="I240" s="30"/>
    </row>
    <row r="241" spans="4:9">
      <c r="D241" s="47"/>
      <c r="E241" s="143"/>
      <c r="H241" s="2"/>
      <c r="I241" s="30"/>
    </row>
    <row r="242" spans="4:9">
      <c r="D242" s="47"/>
      <c r="E242" s="143"/>
      <c r="H242" s="2"/>
      <c r="I242" s="30"/>
    </row>
    <row r="243" spans="4:9">
      <c r="D243" s="47"/>
      <c r="E243" s="143"/>
      <c r="H243" s="2"/>
      <c r="I243" s="30"/>
    </row>
    <row r="244" spans="4:9">
      <c r="D244" s="47"/>
      <c r="E244" s="143"/>
      <c r="H244" s="2"/>
      <c r="I244" s="30"/>
    </row>
    <row r="245" spans="4:9">
      <c r="D245" s="47"/>
      <c r="E245" s="143"/>
      <c r="H245" s="2"/>
      <c r="I245" s="30"/>
    </row>
    <row r="246" spans="4:9">
      <c r="D246" s="47"/>
      <c r="E246" s="143"/>
      <c r="H246" s="2"/>
      <c r="I246" s="30"/>
    </row>
    <row r="247" spans="4:9">
      <c r="D247" s="47"/>
      <c r="E247" s="143"/>
      <c r="H247" s="2"/>
      <c r="I247" s="30"/>
    </row>
    <row r="248" spans="4:9">
      <c r="D248" s="47"/>
      <c r="E248" s="143"/>
      <c r="H248" s="2"/>
      <c r="I248" s="30"/>
    </row>
    <row r="249" spans="4:9">
      <c r="D249" s="47"/>
      <c r="E249" s="143"/>
      <c r="H249" s="2"/>
      <c r="I249" s="30"/>
    </row>
    <row r="250" spans="4:9">
      <c r="D250" s="47"/>
      <c r="E250" s="143"/>
      <c r="H250" s="2"/>
      <c r="I250" s="30"/>
    </row>
    <row r="251" spans="4:9">
      <c r="D251" s="47"/>
      <c r="E251" s="143"/>
      <c r="H251" s="2"/>
      <c r="I251" s="30"/>
    </row>
    <row r="252" spans="4:9">
      <c r="D252" s="47"/>
      <c r="E252" s="143"/>
      <c r="H252" s="2"/>
      <c r="I252" s="30"/>
    </row>
    <row r="253" spans="4:9">
      <c r="D253" s="47"/>
      <c r="E253" s="143"/>
      <c r="H253" s="2"/>
      <c r="I253" s="30"/>
    </row>
    <row r="254" spans="4:9">
      <c r="D254" s="47"/>
      <c r="E254" s="143"/>
      <c r="H254" s="2"/>
      <c r="I254" s="30"/>
    </row>
    <row r="255" spans="4:9">
      <c r="D255" s="47"/>
      <c r="E255" s="143"/>
      <c r="H255" s="2"/>
      <c r="I255" s="30"/>
    </row>
    <row r="256" spans="4:9">
      <c r="D256" s="47"/>
      <c r="E256" s="143"/>
      <c r="H256" s="2"/>
      <c r="I256" s="30"/>
    </row>
    <row r="257" spans="4:9">
      <c r="D257" s="47"/>
      <c r="E257" s="143"/>
      <c r="H257" s="2"/>
      <c r="I257" s="30"/>
    </row>
    <row r="258" spans="4:9">
      <c r="D258" s="47"/>
      <c r="E258" s="143"/>
      <c r="H258" s="2"/>
      <c r="I258" s="30"/>
    </row>
    <row r="259" spans="4:9">
      <c r="D259" s="47"/>
      <c r="E259" s="143"/>
      <c r="H259" s="2"/>
      <c r="I259" s="30"/>
    </row>
    <row r="260" spans="4:9">
      <c r="D260" s="47"/>
      <c r="E260" s="143"/>
      <c r="H260" s="2"/>
      <c r="I260" s="30"/>
    </row>
    <row r="261" spans="4:9">
      <c r="D261" s="47"/>
      <c r="E261" s="143"/>
      <c r="H261" s="2"/>
      <c r="I261" s="30"/>
    </row>
    <row r="262" spans="4:9">
      <c r="D262" s="47"/>
      <c r="E262" s="143"/>
      <c r="H262" s="2"/>
      <c r="I262" s="30"/>
    </row>
    <row r="263" spans="4:9">
      <c r="D263" s="47"/>
      <c r="E263" s="143"/>
      <c r="H263" s="2"/>
      <c r="I263" s="30"/>
    </row>
    <row r="264" spans="4:9">
      <c r="D264" s="47"/>
      <c r="E264" s="143"/>
      <c r="H264" s="2"/>
      <c r="I264" s="30"/>
    </row>
    <row r="265" spans="4:9">
      <c r="D265" s="47"/>
      <c r="E265" s="143"/>
      <c r="H265" s="2"/>
      <c r="I265" s="30"/>
    </row>
    <row r="266" spans="4:9">
      <c r="D266" s="47"/>
      <c r="E266" s="143"/>
      <c r="H266" s="2"/>
      <c r="I266" s="30"/>
    </row>
    <row r="267" spans="4:9">
      <c r="D267" s="47"/>
      <c r="E267" s="143"/>
      <c r="H267" s="2"/>
      <c r="I267" s="30"/>
    </row>
    <row r="268" spans="4:9">
      <c r="D268" s="47"/>
      <c r="E268" s="143"/>
      <c r="H268" s="2"/>
      <c r="I268" s="30"/>
    </row>
    <row r="269" spans="4:9">
      <c r="D269" s="47"/>
      <c r="E269" s="143"/>
      <c r="H269" s="2"/>
      <c r="I269" s="30"/>
    </row>
    <row r="270" spans="4:9">
      <c r="D270" s="47"/>
      <c r="E270" s="143"/>
      <c r="H270" s="2"/>
      <c r="I270" s="30"/>
    </row>
    <row r="271" spans="4:9">
      <c r="D271" s="47"/>
      <c r="E271" s="143"/>
      <c r="H271" s="2"/>
      <c r="I271" s="30"/>
    </row>
    <row r="272" spans="4:9">
      <c r="D272" s="47"/>
      <c r="E272" s="143"/>
      <c r="H272" s="2"/>
      <c r="I272" s="30"/>
    </row>
    <row r="273" spans="4:9">
      <c r="D273" s="47"/>
      <c r="E273" s="143"/>
      <c r="H273" s="2"/>
      <c r="I273" s="30"/>
    </row>
    <row r="274" spans="4:9">
      <c r="D274" s="47"/>
      <c r="E274" s="143"/>
      <c r="H274" s="2"/>
      <c r="I274" s="30"/>
    </row>
    <row r="275" spans="4:9">
      <c r="D275" s="47"/>
      <c r="E275" s="143"/>
      <c r="H275" s="2"/>
      <c r="I275" s="30"/>
    </row>
    <row r="276" spans="4:9">
      <c r="D276" s="47"/>
      <c r="E276" s="143"/>
      <c r="H276" s="2"/>
      <c r="I276" s="30"/>
    </row>
    <row r="277" spans="4:9">
      <c r="D277" s="47"/>
      <c r="E277" s="143"/>
      <c r="H277" s="2"/>
      <c r="I277" s="30"/>
    </row>
    <row r="278" spans="4:9">
      <c r="D278" s="47"/>
      <c r="E278" s="143"/>
      <c r="H278" s="2"/>
      <c r="I278" s="30"/>
    </row>
    <row r="279" spans="4:9">
      <c r="D279" s="47"/>
      <c r="E279" s="143"/>
      <c r="H279" s="2"/>
      <c r="I279" s="30"/>
    </row>
    <row r="280" spans="4:9">
      <c r="D280" s="47"/>
      <c r="E280" s="143"/>
      <c r="H280" s="2"/>
      <c r="I280" s="30"/>
    </row>
    <row r="281" spans="4:9">
      <c r="D281" s="47"/>
      <c r="E281" s="143"/>
      <c r="H281" s="2"/>
      <c r="I281" s="30"/>
    </row>
    <row r="282" spans="4:9">
      <c r="D282" s="47"/>
      <c r="E282" s="143"/>
      <c r="H282" s="2"/>
      <c r="I282" s="30"/>
    </row>
    <row r="283" spans="4:9">
      <c r="D283" s="47"/>
      <c r="E283" s="143"/>
      <c r="H283" s="2"/>
      <c r="I283" s="30"/>
    </row>
    <row r="284" spans="4:9">
      <c r="D284" s="47"/>
      <c r="E284" s="143"/>
      <c r="H284" s="2"/>
      <c r="I284" s="30"/>
    </row>
    <row r="285" spans="4:9">
      <c r="D285" s="47"/>
      <c r="E285" s="143"/>
      <c r="H285" s="2"/>
      <c r="I285" s="30"/>
    </row>
    <row r="286" spans="4:9">
      <c r="D286" s="47"/>
      <c r="E286" s="143"/>
      <c r="H286" s="2"/>
      <c r="I286" s="30"/>
    </row>
    <row r="287" spans="4:9">
      <c r="D287" s="47"/>
      <c r="E287" s="143"/>
      <c r="H287" s="2"/>
      <c r="I287" s="30"/>
    </row>
    <row r="288" spans="4:9">
      <c r="D288" s="47"/>
      <c r="E288" s="143"/>
      <c r="H288" s="2"/>
      <c r="I288" s="30"/>
    </row>
    <row r="289" spans="4:9">
      <c r="D289" s="47"/>
      <c r="E289" s="143"/>
      <c r="H289" s="2"/>
      <c r="I289" s="30"/>
    </row>
    <row r="290" spans="4:9">
      <c r="D290" s="47"/>
      <c r="E290" s="143"/>
      <c r="H290" s="2"/>
      <c r="I290" s="30"/>
    </row>
    <row r="291" spans="4:9">
      <c r="D291" s="47"/>
      <c r="E291" s="143"/>
      <c r="H291" s="2"/>
      <c r="I291" s="30"/>
    </row>
    <row r="292" spans="4:9">
      <c r="D292" s="47"/>
      <c r="E292" s="143"/>
      <c r="H292" s="2"/>
      <c r="I292" s="30"/>
    </row>
    <row r="293" spans="4:9">
      <c r="D293" s="47"/>
      <c r="E293" s="143"/>
      <c r="H293" s="2"/>
      <c r="I293" s="30"/>
    </row>
    <row r="294" spans="4:9">
      <c r="D294" s="47"/>
      <c r="E294" s="143"/>
      <c r="H294" s="2"/>
      <c r="I294" s="30"/>
    </row>
    <row r="295" spans="4:9">
      <c r="D295" s="47"/>
      <c r="E295" s="143"/>
      <c r="H295" s="2"/>
      <c r="I295" s="30"/>
    </row>
    <row r="296" spans="4:9">
      <c r="D296" s="47"/>
      <c r="E296" s="143"/>
      <c r="H296" s="2"/>
      <c r="I296" s="30"/>
    </row>
    <row r="297" spans="4:9">
      <c r="D297" s="47"/>
      <c r="E297" s="143"/>
      <c r="H297" s="2"/>
      <c r="I297" s="30"/>
    </row>
    <row r="298" spans="4:9">
      <c r="D298" s="47"/>
      <c r="E298" s="143"/>
      <c r="H298" s="2"/>
      <c r="I298" s="30"/>
    </row>
    <row r="299" spans="4:9">
      <c r="D299" s="47"/>
      <c r="E299" s="143"/>
      <c r="H299" s="2"/>
      <c r="I299" s="30"/>
    </row>
    <row r="300" spans="4:9">
      <c r="D300" s="47"/>
      <c r="E300" s="143"/>
      <c r="H300" s="2"/>
      <c r="I300" s="30"/>
    </row>
    <row r="301" spans="4:9">
      <c r="D301" s="47"/>
      <c r="E301" s="143"/>
      <c r="H301" s="2"/>
      <c r="I301" s="30"/>
    </row>
    <row r="302" spans="4:9">
      <c r="D302" s="47"/>
      <c r="E302" s="143"/>
      <c r="H302" s="2"/>
      <c r="I302" s="30"/>
    </row>
    <row r="303" spans="4:9">
      <c r="D303" s="47"/>
      <c r="E303" s="143"/>
      <c r="H303" s="2"/>
      <c r="I303" s="30"/>
    </row>
    <row r="304" spans="4:9">
      <c r="D304" s="47"/>
      <c r="E304" s="143"/>
      <c r="H304" s="2"/>
      <c r="I304" s="30"/>
    </row>
    <row r="305" spans="4:9">
      <c r="D305" s="47"/>
      <c r="E305" s="143"/>
      <c r="H305" s="2"/>
      <c r="I305" s="30"/>
    </row>
    <row r="306" spans="4:9">
      <c r="D306" s="47"/>
      <c r="E306" s="143"/>
      <c r="H306" s="2"/>
      <c r="I306" s="30"/>
    </row>
    <row r="307" spans="4:9">
      <c r="D307" s="47"/>
      <c r="E307" s="143"/>
      <c r="H307" s="2"/>
      <c r="I307" s="30"/>
    </row>
    <row r="308" spans="4:9">
      <c r="D308" s="47"/>
      <c r="E308" s="143"/>
      <c r="H308" s="2"/>
      <c r="I308" s="30"/>
    </row>
    <row r="309" spans="4:9">
      <c r="D309" s="47"/>
      <c r="E309" s="143"/>
      <c r="H309" s="2"/>
      <c r="I309" s="30"/>
    </row>
    <row r="310" spans="4:9">
      <c r="D310" s="47"/>
      <c r="E310" s="143"/>
      <c r="H310" s="2"/>
      <c r="I310" s="30"/>
    </row>
    <row r="311" spans="4:9">
      <c r="D311" s="47"/>
      <c r="E311" s="143"/>
      <c r="H311" s="2"/>
      <c r="I311" s="30"/>
    </row>
    <row r="312" spans="4:9">
      <c r="D312" s="47"/>
      <c r="E312" s="143"/>
      <c r="H312" s="2"/>
      <c r="I312" s="30"/>
    </row>
    <row r="313" spans="4:9">
      <c r="D313" s="47"/>
      <c r="E313" s="143"/>
      <c r="H313" s="2"/>
      <c r="I313" s="30"/>
    </row>
    <row r="314" spans="4:9">
      <c r="D314" s="47"/>
      <c r="E314" s="143"/>
      <c r="H314" s="2"/>
      <c r="I314" s="30"/>
    </row>
    <row r="315" spans="4:9">
      <c r="D315" s="47"/>
      <c r="E315" s="143"/>
      <c r="H315" s="2"/>
      <c r="I315" s="30"/>
    </row>
    <row r="316" spans="4:9">
      <c r="D316" s="47"/>
      <c r="E316" s="143"/>
      <c r="H316" s="2"/>
      <c r="I316" s="30"/>
    </row>
    <row r="317" spans="4:9">
      <c r="D317" s="47"/>
      <c r="E317" s="143"/>
      <c r="H317" s="2"/>
      <c r="I317" s="30"/>
    </row>
    <row r="318" spans="4:9">
      <c r="D318" s="47"/>
      <c r="E318" s="143"/>
      <c r="H318" s="2"/>
      <c r="I318" s="30"/>
    </row>
    <row r="319" spans="4:9">
      <c r="D319" s="47"/>
      <c r="E319" s="143"/>
      <c r="H319" s="2"/>
      <c r="I319" s="30"/>
    </row>
    <row r="320" spans="4:9">
      <c r="D320" s="47"/>
      <c r="E320" s="143"/>
      <c r="H320" s="2"/>
      <c r="I320" s="30"/>
    </row>
    <row r="321" spans="4:9">
      <c r="D321" s="47"/>
      <c r="E321" s="143"/>
      <c r="H321" s="2"/>
      <c r="I321" s="30"/>
    </row>
    <row r="322" spans="4:9">
      <c r="D322" s="47"/>
      <c r="E322" s="143"/>
      <c r="H322" s="2"/>
      <c r="I322" s="30"/>
    </row>
    <row r="323" spans="4:9">
      <c r="D323" s="47"/>
      <c r="E323" s="143"/>
      <c r="H323" s="2"/>
      <c r="I323" s="30"/>
    </row>
    <row r="324" spans="4:9">
      <c r="D324" s="47"/>
      <c r="E324" s="143"/>
      <c r="H324" s="2"/>
      <c r="I324" s="30"/>
    </row>
    <row r="325" spans="4:9">
      <c r="D325" s="47"/>
      <c r="E325" s="143"/>
      <c r="H325" s="2"/>
      <c r="I325" s="30"/>
    </row>
    <row r="326" spans="4:9">
      <c r="D326" s="47"/>
      <c r="E326" s="143"/>
      <c r="H326" s="2"/>
      <c r="I326" s="30"/>
    </row>
    <row r="327" spans="4:9">
      <c r="D327" s="47"/>
      <c r="E327" s="143"/>
      <c r="H327" s="2"/>
      <c r="I327" s="30"/>
    </row>
    <row r="328" spans="4:9">
      <c r="D328" s="47"/>
      <c r="E328" s="143"/>
      <c r="H328" s="2"/>
      <c r="I328" s="30"/>
    </row>
    <row r="329" spans="4:9">
      <c r="D329" s="47"/>
      <c r="E329" s="143"/>
      <c r="H329" s="2"/>
      <c r="I329" s="30"/>
    </row>
    <row r="330" spans="4:9">
      <c r="D330" s="47"/>
      <c r="E330" s="143"/>
      <c r="H330" s="2"/>
      <c r="I330" s="30"/>
    </row>
    <row r="331" spans="4:9">
      <c r="D331" s="47"/>
      <c r="E331" s="143"/>
      <c r="H331" s="2"/>
      <c r="I331" s="30"/>
    </row>
    <row r="332" spans="4:9">
      <c r="D332" s="47"/>
      <c r="E332" s="143"/>
      <c r="H332" s="2"/>
      <c r="I332" s="30"/>
    </row>
    <row r="333" spans="4:9">
      <c r="D333" s="47"/>
      <c r="E333" s="143"/>
      <c r="H333" s="2"/>
      <c r="I333" s="30"/>
    </row>
    <row r="334" spans="4:9">
      <c r="D334" s="47"/>
      <c r="E334" s="143"/>
      <c r="H334" s="2"/>
      <c r="I334" s="30"/>
    </row>
    <row r="335" spans="4:9">
      <c r="D335" s="47"/>
      <c r="E335" s="143"/>
      <c r="H335" s="2"/>
      <c r="I335" s="30"/>
    </row>
    <row r="336" spans="4:9">
      <c r="D336" s="47"/>
      <c r="E336" s="143"/>
      <c r="H336" s="2"/>
      <c r="I336" s="30"/>
    </row>
    <row r="337" spans="4:9">
      <c r="D337" s="47"/>
      <c r="E337" s="143"/>
      <c r="H337" s="2"/>
      <c r="I337" s="30"/>
    </row>
    <row r="338" spans="4:9">
      <c r="D338" s="47"/>
      <c r="E338" s="143"/>
      <c r="H338" s="2"/>
      <c r="I338" s="30"/>
    </row>
    <row r="339" spans="4:9">
      <c r="D339" s="47"/>
      <c r="E339" s="143"/>
      <c r="H339" s="2"/>
      <c r="I339" s="30"/>
    </row>
    <row r="340" spans="4:9">
      <c r="D340" s="47"/>
      <c r="E340" s="143"/>
      <c r="H340" s="2"/>
      <c r="I340" s="30"/>
    </row>
    <row r="341" spans="4:9">
      <c r="D341" s="47"/>
      <c r="E341" s="143"/>
      <c r="H341" s="2"/>
      <c r="I341" s="30"/>
    </row>
    <row r="342" spans="4:9">
      <c r="D342" s="47"/>
      <c r="E342" s="143"/>
      <c r="H342" s="2"/>
      <c r="I342" s="30"/>
    </row>
    <row r="343" spans="4:9">
      <c r="D343" s="47"/>
      <c r="E343" s="143"/>
      <c r="H343" s="2"/>
      <c r="I343" s="30"/>
    </row>
    <row r="344" spans="4:9">
      <c r="D344" s="47"/>
      <c r="E344" s="143"/>
      <c r="H344" s="2"/>
      <c r="I344" s="30"/>
    </row>
    <row r="345" spans="4:9">
      <c r="D345" s="47"/>
      <c r="E345" s="143"/>
      <c r="H345" s="2"/>
      <c r="I345" s="30"/>
    </row>
    <row r="346" spans="4:9">
      <c r="D346" s="47"/>
      <c r="E346" s="143"/>
      <c r="H346" s="2"/>
      <c r="I346" s="30"/>
    </row>
    <row r="347" spans="4:9">
      <c r="D347" s="47"/>
      <c r="E347" s="143"/>
      <c r="H347" s="2"/>
      <c r="I347" s="30"/>
    </row>
    <row r="348" spans="4:9">
      <c r="D348" s="47"/>
      <c r="E348" s="143"/>
      <c r="H348" s="2"/>
      <c r="I348" s="30"/>
    </row>
    <row r="349" spans="4:9">
      <c r="D349" s="47"/>
      <c r="E349" s="143"/>
      <c r="H349" s="2"/>
      <c r="I349" s="30"/>
    </row>
    <row r="350" spans="4:9">
      <c r="D350" s="47"/>
      <c r="E350" s="143"/>
      <c r="H350" s="2"/>
      <c r="I350" s="30"/>
    </row>
    <row r="351" spans="4:9">
      <c r="D351" s="47"/>
      <c r="E351" s="143"/>
      <c r="H351" s="2"/>
      <c r="I351" s="30"/>
    </row>
    <row r="352" spans="4:9">
      <c r="D352" s="47"/>
      <c r="E352" s="143"/>
      <c r="H352" s="2"/>
      <c r="I352" s="30"/>
    </row>
    <row r="353" spans="4:9">
      <c r="D353" s="47"/>
      <c r="E353" s="143"/>
      <c r="H353" s="2"/>
      <c r="I353" s="30"/>
    </row>
    <row r="354" spans="4:9">
      <c r="D354" s="47"/>
      <c r="E354" s="143"/>
      <c r="H354" s="2"/>
      <c r="I354" s="30"/>
    </row>
    <row r="355" spans="4:9">
      <c r="D355" s="47"/>
      <c r="E355" s="143"/>
      <c r="H355" s="2"/>
      <c r="I355" s="30"/>
    </row>
    <row r="356" spans="4:9">
      <c r="D356" s="47"/>
      <c r="E356" s="143"/>
      <c r="H356" s="2"/>
      <c r="I356" s="30"/>
    </row>
    <row r="357" spans="4:9">
      <c r="D357" s="47"/>
      <c r="E357" s="143"/>
      <c r="H357" s="2"/>
      <c r="I357" s="30"/>
    </row>
    <row r="358" spans="4:9">
      <c r="D358" s="47"/>
      <c r="E358" s="143"/>
      <c r="H358" s="2"/>
      <c r="I358" s="30"/>
    </row>
    <row r="359" spans="4:9">
      <c r="D359" s="47"/>
      <c r="E359" s="143"/>
      <c r="H359" s="2"/>
      <c r="I359" s="30"/>
    </row>
    <row r="360" spans="4:9">
      <c r="D360" s="47"/>
      <c r="E360" s="143"/>
      <c r="H360" s="2"/>
      <c r="I360" s="30"/>
    </row>
    <row r="361" spans="4:9">
      <c r="D361" s="47"/>
      <c r="E361" s="143"/>
      <c r="H361" s="2"/>
      <c r="I361" s="30"/>
    </row>
    <row r="362" spans="4:9">
      <c r="D362" s="47"/>
      <c r="E362" s="143"/>
      <c r="H362" s="2"/>
      <c r="I362" s="30"/>
    </row>
    <row r="363" spans="4:9">
      <c r="D363" s="47"/>
      <c r="E363" s="143"/>
      <c r="H363" s="2"/>
      <c r="I363" s="30"/>
    </row>
    <row r="364" spans="4:9">
      <c r="D364" s="47"/>
      <c r="E364" s="143"/>
      <c r="H364" s="2"/>
      <c r="I364" s="30"/>
    </row>
    <row r="365" spans="4:9">
      <c r="D365" s="47"/>
      <c r="E365" s="143"/>
      <c r="H365" s="2"/>
      <c r="I365" s="30"/>
    </row>
    <row r="366" spans="4:9">
      <c r="D366" s="47"/>
      <c r="E366" s="143"/>
      <c r="H366" s="2"/>
      <c r="I366" s="30"/>
    </row>
    <row r="367" spans="4:9">
      <c r="D367" s="47"/>
      <c r="E367" s="143"/>
      <c r="H367" s="2"/>
      <c r="I367" s="30"/>
    </row>
    <row r="368" spans="4:9">
      <c r="D368" s="47"/>
      <c r="E368" s="143"/>
      <c r="H368" s="2"/>
      <c r="I368" s="30"/>
    </row>
    <row r="369" spans="4:9">
      <c r="D369" s="47"/>
      <c r="E369" s="143"/>
      <c r="H369" s="2"/>
      <c r="I369" s="30"/>
    </row>
    <row r="370" spans="4:9">
      <c r="D370" s="47"/>
      <c r="E370" s="143"/>
      <c r="H370" s="2"/>
      <c r="I370" s="30"/>
    </row>
    <row r="371" spans="4:9">
      <c r="D371" s="47"/>
      <c r="E371" s="143"/>
      <c r="H371" s="2"/>
      <c r="I371" s="30"/>
    </row>
    <row r="372" spans="4:9">
      <c r="D372" s="47"/>
      <c r="E372" s="143"/>
      <c r="H372" s="2"/>
      <c r="I372" s="30"/>
    </row>
    <row r="373" spans="4:9">
      <c r="D373" s="47"/>
      <c r="E373" s="143"/>
      <c r="H373" s="2"/>
      <c r="I373" s="30"/>
    </row>
    <row r="374" spans="4:9">
      <c r="D374" s="47"/>
      <c r="E374" s="143"/>
      <c r="H374" s="2"/>
      <c r="I374" s="30"/>
    </row>
    <row r="375" spans="4:9">
      <c r="D375" s="47"/>
      <c r="E375" s="143"/>
      <c r="H375" s="2"/>
      <c r="I375" s="30"/>
    </row>
    <row r="376" spans="4:9">
      <c r="D376" s="47"/>
      <c r="E376" s="143"/>
      <c r="H376" s="2"/>
      <c r="I376" s="30"/>
    </row>
    <row r="377" spans="4:9">
      <c r="D377" s="47"/>
      <c r="E377" s="143"/>
      <c r="H377" s="2"/>
      <c r="I377" s="30"/>
    </row>
    <row r="378" spans="4:9">
      <c r="D378" s="47"/>
      <c r="E378" s="143"/>
      <c r="H378" s="2"/>
      <c r="I378" s="30"/>
    </row>
    <row r="379" spans="4:9">
      <c r="D379" s="47"/>
      <c r="E379" s="143"/>
      <c r="H379" s="2"/>
      <c r="I379" s="30"/>
    </row>
    <row r="380" spans="4:9">
      <c r="D380" s="47"/>
      <c r="E380" s="143"/>
      <c r="H380" s="2"/>
      <c r="I380" s="30"/>
    </row>
    <row r="381" spans="4:9">
      <c r="D381" s="47"/>
      <c r="E381" s="143"/>
      <c r="H381" s="2"/>
      <c r="I381" s="30"/>
    </row>
    <row r="382" spans="4:9">
      <c r="D382" s="47"/>
      <c r="E382" s="143"/>
      <c r="H382" s="2"/>
      <c r="I382" s="30"/>
    </row>
    <row r="383" spans="4:9">
      <c r="D383" s="47"/>
      <c r="E383" s="143"/>
      <c r="H383" s="2"/>
      <c r="I383" s="30"/>
    </row>
    <row r="384" spans="4:9">
      <c r="D384" s="47"/>
      <c r="E384" s="143"/>
      <c r="H384" s="2"/>
      <c r="I384" s="30"/>
    </row>
    <row r="385" spans="4:9">
      <c r="D385" s="47"/>
      <c r="E385" s="143"/>
      <c r="H385" s="2"/>
      <c r="I385" s="30"/>
    </row>
    <row r="386" spans="4:9">
      <c r="D386" s="47"/>
      <c r="E386" s="143"/>
      <c r="H386" s="2"/>
      <c r="I386" s="30"/>
    </row>
    <row r="387" spans="4:9">
      <c r="D387" s="47"/>
      <c r="E387" s="143"/>
      <c r="H387" s="2"/>
      <c r="I387" s="30"/>
    </row>
    <row r="388" spans="4:9">
      <c r="D388" s="47"/>
      <c r="E388" s="143"/>
      <c r="H388" s="2"/>
      <c r="I388" s="30"/>
    </row>
    <row r="389" spans="4:9">
      <c r="D389" s="47"/>
      <c r="E389" s="143"/>
      <c r="H389" s="2"/>
      <c r="I389" s="30"/>
    </row>
    <row r="390" spans="4:9">
      <c r="D390" s="47"/>
      <c r="E390" s="143"/>
      <c r="H390" s="2"/>
      <c r="I390" s="30"/>
    </row>
    <row r="391" spans="4:9">
      <c r="D391" s="47"/>
      <c r="E391" s="143"/>
      <c r="H391" s="2"/>
      <c r="I391" s="30"/>
    </row>
    <row r="392" spans="4:9">
      <c r="D392" s="47"/>
      <c r="E392" s="143"/>
      <c r="H392" s="2"/>
      <c r="I392" s="30"/>
    </row>
    <row r="393" spans="4:9">
      <c r="D393" s="47"/>
      <c r="E393" s="143"/>
      <c r="H393" s="2"/>
      <c r="I393" s="30"/>
    </row>
    <row r="394" spans="4:9">
      <c r="D394" s="47"/>
      <c r="E394" s="143"/>
      <c r="H394" s="2"/>
      <c r="I394" s="30"/>
    </row>
    <row r="395" spans="4:9">
      <c r="D395" s="47"/>
      <c r="E395" s="143"/>
      <c r="H395" s="2"/>
      <c r="I395" s="30"/>
    </row>
    <row r="396" spans="4:9">
      <c r="D396" s="47"/>
      <c r="E396" s="143"/>
      <c r="H396" s="2"/>
      <c r="I396" s="30"/>
    </row>
    <row r="397" spans="4:9">
      <c r="D397" s="47"/>
      <c r="E397" s="143"/>
      <c r="H397" s="2"/>
      <c r="I397" s="30"/>
    </row>
    <row r="398" spans="4:9">
      <c r="D398" s="47"/>
      <c r="E398" s="143"/>
      <c r="H398" s="2"/>
      <c r="I398" s="30"/>
    </row>
    <row r="399" spans="4:9">
      <c r="D399" s="47"/>
      <c r="E399" s="143"/>
      <c r="H399" s="2"/>
      <c r="I399" s="30"/>
    </row>
    <row r="400" spans="4:9">
      <c r="D400" s="47"/>
      <c r="E400" s="143"/>
      <c r="H400" s="2"/>
      <c r="I400" s="30"/>
    </row>
    <row r="401" spans="4:9">
      <c r="D401" s="47"/>
      <c r="E401" s="143"/>
      <c r="H401" s="2"/>
      <c r="I401" s="30"/>
    </row>
    <row r="402" spans="4:9">
      <c r="D402" s="47"/>
      <c r="E402" s="143"/>
      <c r="H402" s="2"/>
      <c r="I402" s="30"/>
    </row>
    <row r="403" spans="4:9">
      <c r="D403" s="47"/>
      <c r="E403" s="143"/>
      <c r="H403" s="2"/>
      <c r="I403" s="30"/>
    </row>
    <row r="404" spans="4:9">
      <c r="D404" s="47"/>
      <c r="E404" s="143"/>
      <c r="H404" s="2"/>
      <c r="I404" s="30"/>
    </row>
    <row r="405" spans="4:9">
      <c r="D405" s="47"/>
      <c r="E405" s="143"/>
      <c r="H405" s="2"/>
      <c r="I405" s="30"/>
    </row>
    <row r="406" spans="4:9">
      <c r="D406" s="47"/>
      <c r="E406" s="143"/>
      <c r="H406" s="2"/>
      <c r="I406" s="30"/>
    </row>
    <row r="407" spans="4:9">
      <c r="D407" s="47"/>
      <c r="E407" s="143"/>
      <c r="H407" s="2"/>
      <c r="I407" s="30"/>
    </row>
    <row r="408" spans="4:9">
      <c r="D408" s="47"/>
      <c r="E408" s="143"/>
      <c r="H408" s="2"/>
      <c r="I408" s="30"/>
    </row>
    <row r="409" spans="4:9">
      <c r="D409" s="47"/>
      <c r="E409" s="143"/>
      <c r="H409" s="2"/>
      <c r="I409" s="30"/>
    </row>
    <row r="410" spans="4:9">
      <c r="D410" s="47"/>
      <c r="E410" s="143"/>
      <c r="H410" s="2"/>
      <c r="I410" s="30"/>
    </row>
    <row r="411" spans="4:9">
      <c r="D411" s="47"/>
      <c r="E411" s="143"/>
      <c r="H411" s="2"/>
      <c r="I411" s="30"/>
    </row>
    <row r="412" spans="4:9">
      <c r="D412" s="47"/>
      <c r="E412" s="143"/>
      <c r="H412" s="2"/>
      <c r="I412" s="30"/>
    </row>
    <row r="413" spans="4:9">
      <c r="D413" s="47"/>
      <c r="E413" s="143"/>
      <c r="H413" s="2"/>
      <c r="I413" s="30"/>
    </row>
    <row r="414" spans="4:9">
      <c r="D414" s="47"/>
      <c r="E414" s="143"/>
      <c r="H414" s="2"/>
      <c r="I414" s="30"/>
    </row>
    <row r="415" spans="4:9">
      <c r="D415" s="47"/>
      <c r="E415" s="143"/>
      <c r="H415" s="2"/>
      <c r="I415" s="30"/>
    </row>
    <row r="416" spans="4:9">
      <c r="D416" s="47"/>
      <c r="E416" s="143"/>
      <c r="H416" s="2"/>
      <c r="I416" s="30"/>
    </row>
    <row r="417" spans="4:9">
      <c r="D417" s="47"/>
      <c r="E417" s="143"/>
      <c r="H417" s="2"/>
      <c r="I417" s="30"/>
    </row>
    <row r="418" spans="4:9">
      <c r="D418" s="47"/>
      <c r="E418" s="143"/>
      <c r="H418" s="2"/>
      <c r="I418" s="30"/>
    </row>
    <row r="419" spans="4:9">
      <c r="D419" s="47"/>
      <c r="E419" s="143"/>
      <c r="H419" s="2"/>
      <c r="I419" s="30"/>
    </row>
    <row r="420" spans="4:9">
      <c r="D420" s="47"/>
      <c r="E420" s="143"/>
      <c r="H420" s="2"/>
      <c r="I420" s="30"/>
    </row>
    <row r="421" spans="4:9">
      <c r="D421" s="47"/>
      <c r="E421" s="143"/>
      <c r="H421" s="2"/>
      <c r="I421" s="30"/>
    </row>
    <row r="422" spans="4:9">
      <c r="D422" s="47"/>
      <c r="E422" s="143"/>
      <c r="H422" s="2"/>
      <c r="I422" s="30"/>
    </row>
    <row r="423" spans="4:9">
      <c r="D423" s="47"/>
      <c r="E423" s="143"/>
      <c r="H423" s="2"/>
      <c r="I423" s="30"/>
    </row>
    <row r="424" spans="4:9">
      <c r="D424" s="47"/>
      <c r="E424" s="143"/>
      <c r="H424" s="2"/>
      <c r="I424" s="30"/>
    </row>
    <row r="425" spans="4:9">
      <c r="D425" s="47"/>
      <c r="E425" s="143"/>
      <c r="H425" s="2"/>
      <c r="I425" s="30"/>
    </row>
    <row r="426" spans="4:9">
      <c r="D426" s="47"/>
      <c r="E426" s="143"/>
      <c r="H426" s="2"/>
      <c r="I426" s="30"/>
    </row>
    <row r="427" spans="4:9">
      <c r="D427" s="47"/>
      <c r="E427" s="143"/>
      <c r="H427" s="2"/>
      <c r="I427" s="30"/>
    </row>
    <row r="428" spans="4:9">
      <c r="D428" s="47"/>
      <c r="E428" s="143"/>
      <c r="H428" s="2"/>
      <c r="I428" s="30"/>
    </row>
    <row r="429" spans="4:9">
      <c r="D429" s="47"/>
      <c r="E429" s="143"/>
      <c r="H429" s="2"/>
      <c r="I429" s="30"/>
    </row>
    <row r="430" spans="4:9">
      <c r="D430" s="47"/>
      <c r="E430" s="143"/>
      <c r="H430" s="2"/>
      <c r="I430" s="30"/>
    </row>
    <row r="431" spans="4:9">
      <c r="D431" s="47"/>
      <c r="E431" s="143"/>
      <c r="H431" s="2"/>
      <c r="I431" s="30"/>
    </row>
    <row r="432" spans="4:9">
      <c r="D432" s="47"/>
      <c r="E432" s="143"/>
      <c r="H432" s="2"/>
      <c r="I432" s="30"/>
    </row>
    <row r="433" spans="4:9">
      <c r="D433" s="47"/>
      <c r="E433" s="143"/>
      <c r="H433" s="2"/>
      <c r="I433" s="30"/>
    </row>
    <row r="434" spans="4:9">
      <c r="D434" s="47"/>
      <c r="E434" s="143"/>
      <c r="H434" s="2"/>
      <c r="I434" s="30"/>
    </row>
    <row r="435" spans="4:9">
      <c r="D435" s="47"/>
      <c r="E435" s="143"/>
      <c r="H435" s="2"/>
      <c r="I435" s="30"/>
    </row>
    <row r="436" spans="4:9">
      <c r="D436" s="47"/>
      <c r="E436" s="143"/>
      <c r="H436" s="2"/>
      <c r="I436" s="30"/>
    </row>
    <row r="437" spans="4:9">
      <c r="D437" s="47"/>
      <c r="E437" s="143"/>
      <c r="H437" s="2"/>
      <c r="I437" s="30"/>
    </row>
    <row r="438" spans="4:9">
      <c r="D438" s="47"/>
      <c r="E438" s="143"/>
      <c r="H438" s="2"/>
      <c r="I438" s="30"/>
    </row>
    <row r="439" spans="4:9">
      <c r="D439" s="47"/>
      <c r="E439" s="143"/>
      <c r="H439" s="2"/>
      <c r="I439" s="30"/>
    </row>
    <row r="440" spans="4:9">
      <c r="D440" s="47"/>
      <c r="E440" s="143"/>
      <c r="H440" s="2"/>
      <c r="I440" s="30"/>
    </row>
    <row r="441" spans="4:9">
      <c r="D441" s="47"/>
      <c r="E441" s="143"/>
      <c r="H441" s="2"/>
      <c r="I441" s="30"/>
    </row>
    <row r="442" spans="4:9">
      <c r="D442" s="47"/>
      <c r="E442" s="143"/>
      <c r="H442" s="2"/>
      <c r="I442" s="30"/>
    </row>
    <row r="443" spans="4:9">
      <c r="D443" s="47"/>
      <c r="E443" s="143"/>
      <c r="H443" s="2"/>
      <c r="I443" s="30"/>
    </row>
    <row r="444" spans="4:9">
      <c r="D444" s="47"/>
      <c r="E444" s="143"/>
      <c r="H444" s="2"/>
      <c r="I444" s="30"/>
    </row>
    <row r="445" spans="4:9">
      <c r="D445" s="47"/>
      <c r="E445" s="143"/>
      <c r="H445" s="2"/>
      <c r="I445" s="30"/>
    </row>
    <row r="446" spans="4:9">
      <c r="D446" s="47"/>
      <c r="E446" s="143"/>
      <c r="H446" s="2"/>
      <c r="I446" s="30"/>
    </row>
    <row r="447" spans="4:9">
      <c r="D447" s="47"/>
      <c r="E447" s="143"/>
      <c r="H447" s="2"/>
      <c r="I447" s="30"/>
    </row>
    <row r="448" spans="4:9">
      <c r="D448" s="47"/>
      <c r="E448" s="143"/>
      <c r="H448" s="2"/>
      <c r="I448" s="30"/>
    </row>
    <row r="449" spans="4:9">
      <c r="D449" s="47"/>
      <c r="E449" s="143"/>
      <c r="H449" s="2"/>
      <c r="I449" s="30"/>
    </row>
    <row r="450" spans="4:9">
      <c r="D450" s="47"/>
      <c r="E450" s="143"/>
      <c r="H450" s="2"/>
      <c r="I450" s="30"/>
    </row>
    <row r="451" spans="4:9">
      <c r="D451" s="47"/>
      <c r="E451" s="143"/>
      <c r="H451" s="2"/>
      <c r="I451" s="30"/>
    </row>
    <row r="452" spans="4:9">
      <c r="D452" s="47"/>
      <c r="E452" s="143"/>
      <c r="H452" s="2"/>
      <c r="I452" s="30"/>
    </row>
    <row r="453" spans="4:9">
      <c r="D453" s="47"/>
      <c r="E453" s="143"/>
      <c r="H453" s="2"/>
      <c r="I453" s="30"/>
    </row>
    <row r="454" spans="4:9">
      <c r="D454" s="47"/>
      <c r="E454" s="143"/>
      <c r="H454" s="2"/>
      <c r="I454" s="30"/>
    </row>
    <row r="455" spans="4:9">
      <c r="D455" s="47"/>
      <c r="E455" s="143"/>
      <c r="H455" s="2"/>
      <c r="I455" s="30"/>
    </row>
    <row r="456" spans="4:9">
      <c r="D456" s="47"/>
      <c r="E456" s="143"/>
      <c r="H456" s="2"/>
      <c r="I456" s="30"/>
    </row>
    <row r="457" spans="4:9">
      <c r="D457" s="47"/>
      <c r="E457" s="143"/>
      <c r="H457" s="2"/>
      <c r="I457" s="30"/>
    </row>
    <row r="458" spans="4:9">
      <c r="D458" s="47"/>
      <c r="E458" s="143"/>
      <c r="H458" s="2"/>
      <c r="I458" s="30"/>
    </row>
    <row r="459" spans="4:9">
      <c r="D459" s="47"/>
      <c r="E459" s="143"/>
      <c r="H459" s="2"/>
      <c r="I459" s="30"/>
    </row>
    <row r="460" spans="4:9">
      <c r="D460" s="47"/>
      <c r="E460" s="143"/>
      <c r="H460" s="2"/>
      <c r="I460" s="30"/>
    </row>
    <row r="461" spans="4:9">
      <c r="D461" s="47"/>
      <c r="E461" s="143"/>
      <c r="H461" s="2"/>
      <c r="I461" s="30"/>
    </row>
    <row r="462" spans="4:9">
      <c r="D462" s="47"/>
      <c r="E462" s="143"/>
      <c r="H462" s="2"/>
      <c r="I462" s="30"/>
    </row>
    <row r="463" spans="4:9">
      <c r="D463" s="47"/>
      <c r="E463" s="143"/>
      <c r="H463" s="2"/>
      <c r="I463" s="30"/>
    </row>
    <row r="464" spans="4:9">
      <c r="D464" s="47"/>
      <c r="E464" s="143"/>
      <c r="H464" s="2"/>
      <c r="I464" s="30"/>
    </row>
    <row r="465" spans="4:9">
      <c r="D465" s="47"/>
      <c r="E465" s="143"/>
      <c r="H465" s="2"/>
      <c r="I465" s="30"/>
    </row>
    <row r="466" spans="4:9">
      <c r="D466" s="47"/>
      <c r="E466" s="143"/>
      <c r="H466" s="2"/>
      <c r="I466" s="30"/>
    </row>
    <row r="467" spans="4:9">
      <c r="D467" s="47"/>
      <c r="E467" s="143"/>
      <c r="H467" s="2"/>
      <c r="I467" s="30"/>
    </row>
    <row r="468" spans="4:9">
      <c r="D468" s="47"/>
      <c r="E468" s="143"/>
      <c r="H468" s="2"/>
      <c r="I468" s="30"/>
    </row>
    <row r="469" spans="4:9">
      <c r="D469" s="47"/>
      <c r="E469" s="143"/>
      <c r="H469" s="2"/>
      <c r="I469" s="30"/>
    </row>
    <row r="470" spans="4:9">
      <c r="D470" s="47"/>
      <c r="E470" s="143"/>
      <c r="H470" s="2"/>
      <c r="I470" s="30"/>
    </row>
    <row r="471" spans="4:9">
      <c r="D471" s="47"/>
      <c r="E471" s="143"/>
      <c r="H471" s="2"/>
      <c r="I471" s="30"/>
    </row>
    <row r="472" spans="4:9">
      <c r="D472" s="47"/>
      <c r="E472" s="143"/>
      <c r="H472" s="2"/>
      <c r="I472" s="30"/>
    </row>
    <row r="473" spans="4:9">
      <c r="D473" s="47"/>
      <c r="E473" s="143"/>
      <c r="H473" s="2"/>
      <c r="I473" s="30"/>
    </row>
    <row r="474" spans="4:9">
      <c r="D474" s="47"/>
      <c r="E474" s="143"/>
      <c r="H474" s="2"/>
      <c r="I474" s="30"/>
    </row>
    <row r="475" spans="4:9">
      <c r="D475" s="47"/>
      <c r="E475" s="143"/>
      <c r="H475" s="2"/>
      <c r="I475" s="30"/>
    </row>
    <row r="476" spans="4:9">
      <c r="D476" s="47"/>
      <c r="E476" s="143"/>
      <c r="H476" s="2"/>
      <c r="I476" s="30"/>
    </row>
    <row r="477" spans="4:9">
      <c r="D477" s="47"/>
      <c r="E477" s="143"/>
      <c r="H477" s="2"/>
      <c r="I477" s="30"/>
    </row>
    <row r="478" spans="4:9">
      <c r="D478" s="47"/>
      <c r="E478" s="143"/>
      <c r="H478" s="2"/>
      <c r="I478" s="30"/>
    </row>
    <row r="479" spans="4:9">
      <c r="D479" s="47"/>
      <c r="E479" s="143"/>
      <c r="H479" s="2"/>
      <c r="I479" s="30"/>
    </row>
    <row r="480" spans="4:9">
      <c r="D480" s="47"/>
      <c r="E480" s="143"/>
      <c r="H480" s="2"/>
      <c r="I480" s="30"/>
    </row>
    <row r="481" spans="4:9">
      <c r="D481" s="47"/>
      <c r="E481" s="143"/>
      <c r="H481" s="2"/>
      <c r="I481" s="30"/>
    </row>
    <row r="482" spans="4:9">
      <c r="D482" s="47"/>
      <c r="E482" s="143"/>
      <c r="H482" s="2"/>
      <c r="I482" s="30"/>
    </row>
    <row r="483" spans="4:9">
      <c r="D483" s="47"/>
      <c r="E483" s="143"/>
      <c r="H483" s="2"/>
      <c r="I483" s="30"/>
    </row>
    <row r="484" spans="4:9">
      <c r="D484" s="47"/>
      <c r="E484" s="143"/>
      <c r="H484" s="2"/>
      <c r="I484" s="30"/>
    </row>
    <row r="485" spans="4:9">
      <c r="D485" s="47"/>
      <c r="E485" s="143"/>
      <c r="H485" s="2"/>
      <c r="I485" s="30"/>
    </row>
    <row r="486" spans="4:9">
      <c r="D486" s="47"/>
      <c r="E486" s="143"/>
      <c r="H486" s="2"/>
      <c r="I486" s="30"/>
    </row>
    <row r="487" spans="4:9">
      <c r="D487" s="47"/>
      <c r="E487" s="143"/>
      <c r="H487" s="2"/>
      <c r="I487" s="30"/>
    </row>
    <row r="488" spans="4:9">
      <c r="D488" s="47"/>
      <c r="E488" s="143"/>
      <c r="H488" s="2"/>
      <c r="I488" s="30"/>
    </row>
    <row r="489" spans="4:9">
      <c r="D489" s="47"/>
      <c r="E489" s="143"/>
      <c r="H489" s="2"/>
      <c r="I489" s="30"/>
    </row>
    <row r="490" spans="4:9">
      <c r="D490" s="47"/>
      <c r="E490" s="143"/>
      <c r="H490" s="2"/>
      <c r="I490" s="30"/>
    </row>
    <row r="491" spans="4:9">
      <c r="D491" s="47"/>
      <c r="E491" s="143"/>
      <c r="H491" s="2"/>
      <c r="I491" s="30"/>
    </row>
    <row r="492" spans="4:9">
      <c r="D492" s="47"/>
      <c r="E492" s="143"/>
      <c r="H492" s="2"/>
      <c r="I492" s="30"/>
    </row>
    <row r="493" spans="4:9">
      <c r="D493" s="47"/>
      <c r="E493" s="143"/>
      <c r="H493" s="2"/>
      <c r="I493" s="30"/>
    </row>
    <row r="494" spans="4:9">
      <c r="D494" s="47"/>
      <c r="E494" s="143"/>
      <c r="H494" s="2"/>
      <c r="I494" s="30"/>
    </row>
    <row r="495" spans="4:9">
      <c r="D495" s="47"/>
      <c r="E495" s="143"/>
      <c r="H495" s="2"/>
      <c r="I495" s="30"/>
    </row>
    <row r="496" spans="4:9">
      <c r="D496" s="47"/>
      <c r="E496" s="143"/>
      <c r="H496" s="2"/>
      <c r="I496" s="30"/>
    </row>
    <row r="497" spans="4:9">
      <c r="D497" s="47"/>
      <c r="E497" s="143"/>
      <c r="H497" s="2"/>
      <c r="I497" s="30"/>
    </row>
    <row r="498" spans="4:9">
      <c r="D498" s="47"/>
      <c r="E498" s="143"/>
      <c r="H498" s="2"/>
      <c r="I498" s="30"/>
    </row>
    <row r="499" spans="4:9">
      <c r="D499" s="47"/>
      <c r="E499" s="143"/>
      <c r="H499" s="2"/>
      <c r="I499" s="30"/>
    </row>
    <row r="500" spans="4:9">
      <c r="D500" s="47"/>
      <c r="E500" s="143"/>
      <c r="H500" s="2"/>
      <c r="I500" s="30"/>
    </row>
    <row r="501" spans="4:9">
      <c r="D501" s="47"/>
      <c r="E501" s="143"/>
      <c r="H501" s="2"/>
      <c r="I501" s="30"/>
    </row>
    <row r="502" spans="4:9">
      <c r="D502" s="47"/>
      <c r="E502" s="143"/>
      <c r="H502" s="2"/>
      <c r="I502" s="30"/>
    </row>
    <row r="503" spans="4:9">
      <c r="D503" s="47"/>
      <c r="E503" s="143"/>
      <c r="H503" s="2"/>
      <c r="I503" s="30"/>
    </row>
    <row r="504" spans="4:9">
      <c r="D504" s="47"/>
      <c r="E504" s="143"/>
      <c r="H504" s="2"/>
      <c r="I504" s="30"/>
    </row>
    <row r="505" spans="4:9">
      <c r="D505" s="47"/>
      <c r="E505" s="143"/>
      <c r="H505" s="2"/>
      <c r="I505" s="30"/>
    </row>
    <row r="506" spans="4:9">
      <c r="D506" s="47"/>
      <c r="E506" s="143"/>
      <c r="H506" s="2"/>
      <c r="I506" s="30"/>
    </row>
    <row r="507" spans="4:9">
      <c r="D507" s="47"/>
      <c r="E507" s="143"/>
      <c r="H507" s="2"/>
      <c r="I507" s="30"/>
    </row>
    <row r="508" spans="4:9">
      <c r="D508" s="47"/>
      <c r="E508" s="143"/>
      <c r="H508" s="2"/>
      <c r="I508" s="30"/>
    </row>
    <row r="509" spans="4:9">
      <c r="D509" s="47"/>
      <c r="E509" s="143"/>
      <c r="H509" s="2"/>
      <c r="I509" s="30"/>
    </row>
    <row r="510" spans="4:9">
      <c r="D510" s="47"/>
      <c r="E510" s="143"/>
      <c r="H510" s="2"/>
      <c r="I510" s="30"/>
    </row>
    <row r="511" spans="4:9">
      <c r="D511" s="47"/>
      <c r="E511" s="143"/>
      <c r="H511" s="2"/>
      <c r="I511" s="30"/>
    </row>
    <row r="512" spans="4:9">
      <c r="D512" s="47"/>
      <c r="E512" s="143"/>
      <c r="H512" s="2"/>
      <c r="I512" s="30"/>
    </row>
    <row r="513" spans="4:9">
      <c r="D513" s="47"/>
      <c r="E513" s="143"/>
      <c r="H513" s="2"/>
      <c r="I513" s="30"/>
    </row>
    <row r="514" spans="4:9">
      <c r="D514" s="47"/>
      <c r="E514" s="143"/>
      <c r="H514" s="2"/>
      <c r="I514" s="30"/>
    </row>
    <row r="515" spans="4:9">
      <c r="D515" s="47"/>
      <c r="E515" s="143"/>
      <c r="H515" s="2"/>
      <c r="I515" s="30"/>
    </row>
    <row r="516" spans="4:9">
      <c r="D516" s="47"/>
      <c r="E516" s="143"/>
      <c r="H516" s="2"/>
      <c r="I516" s="30"/>
    </row>
    <row r="517" spans="4:9">
      <c r="D517" s="47"/>
      <c r="E517" s="143"/>
      <c r="H517" s="2"/>
      <c r="I517" s="30"/>
    </row>
    <row r="518" spans="4:9">
      <c r="D518" s="47"/>
      <c r="E518" s="143"/>
      <c r="H518" s="2"/>
      <c r="I518" s="30"/>
    </row>
    <row r="519" spans="4:9">
      <c r="D519" s="47"/>
      <c r="E519" s="143"/>
      <c r="H519" s="2"/>
      <c r="I519" s="30"/>
    </row>
    <row r="520" spans="4:9">
      <c r="D520" s="47"/>
      <c r="E520" s="143"/>
      <c r="H520" s="2"/>
      <c r="I520" s="30"/>
    </row>
    <row r="521" spans="4:9">
      <c r="D521" s="47"/>
      <c r="E521" s="143"/>
      <c r="H521" s="2"/>
      <c r="I521" s="30"/>
    </row>
    <row r="522" spans="4:9">
      <c r="D522" s="47"/>
      <c r="E522" s="143"/>
      <c r="H522" s="2"/>
      <c r="I522" s="30"/>
    </row>
    <row r="523" spans="4:9">
      <c r="D523" s="47"/>
      <c r="E523" s="143"/>
      <c r="H523" s="2"/>
      <c r="I523" s="30"/>
    </row>
    <row r="524" spans="4:9">
      <c r="D524" s="47"/>
      <c r="E524" s="143"/>
      <c r="H524" s="2"/>
      <c r="I524" s="30"/>
    </row>
    <row r="525" spans="4:9">
      <c r="D525" s="47"/>
      <c r="E525" s="143"/>
      <c r="H525" s="2"/>
      <c r="I525" s="30"/>
    </row>
    <row r="526" spans="4:9">
      <c r="D526" s="47"/>
      <c r="E526" s="143"/>
      <c r="H526" s="2"/>
      <c r="I526" s="30"/>
    </row>
    <row r="527" spans="4:9">
      <c r="D527" s="47"/>
      <c r="E527" s="143"/>
      <c r="H527" s="2"/>
      <c r="I527" s="30"/>
    </row>
    <row r="528" spans="4:9">
      <c r="D528" s="47"/>
      <c r="E528" s="143"/>
      <c r="H528" s="2"/>
      <c r="I528" s="30"/>
    </row>
    <row r="529" spans="4:9">
      <c r="D529" s="47"/>
      <c r="E529" s="143"/>
      <c r="H529" s="2"/>
      <c r="I529" s="30"/>
    </row>
    <row r="530" spans="4:9">
      <c r="D530" s="47"/>
      <c r="E530" s="143"/>
      <c r="H530" s="2"/>
      <c r="I530" s="30"/>
    </row>
    <row r="531" spans="4:9">
      <c r="D531" s="47"/>
      <c r="E531" s="143"/>
      <c r="H531" s="2"/>
      <c r="I531" s="30"/>
    </row>
    <row r="532" spans="4:9">
      <c r="D532" s="47"/>
      <c r="E532" s="143"/>
      <c r="H532" s="2"/>
      <c r="I532" s="30"/>
    </row>
    <row r="533" spans="4:9">
      <c r="D533" s="47"/>
      <c r="E533" s="143"/>
      <c r="H533" s="2"/>
      <c r="I533" s="30"/>
    </row>
    <row r="534" spans="4:9">
      <c r="D534" s="47"/>
      <c r="E534" s="143"/>
      <c r="H534" s="2"/>
      <c r="I534" s="30"/>
    </row>
    <row r="535" spans="4:9">
      <c r="D535" s="47"/>
      <c r="E535" s="143"/>
      <c r="H535" s="2"/>
      <c r="I535" s="30"/>
    </row>
    <row r="536" spans="4:9">
      <c r="D536" s="47"/>
      <c r="E536" s="143"/>
      <c r="H536" s="2"/>
      <c r="I536" s="30"/>
    </row>
    <row r="537" spans="4:9">
      <c r="D537" s="47"/>
      <c r="E537" s="143"/>
      <c r="H537" s="2"/>
      <c r="I537" s="30"/>
    </row>
    <row r="538" spans="4:9">
      <c r="D538" s="47"/>
      <c r="E538" s="143"/>
      <c r="H538" s="2"/>
      <c r="I538" s="30"/>
    </row>
    <row r="539" spans="4:9">
      <c r="D539" s="47"/>
      <c r="E539" s="143"/>
      <c r="H539" s="2"/>
      <c r="I539" s="30"/>
    </row>
    <row r="540" spans="4:9">
      <c r="D540" s="47"/>
      <c r="E540" s="143"/>
      <c r="H540" s="2"/>
      <c r="I540" s="30"/>
    </row>
    <row r="541" spans="4:9">
      <c r="D541" s="47"/>
      <c r="E541" s="143"/>
      <c r="H541" s="2"/>
      <c r="I541" s="30"/>
    </row>
    <row r="542" spans="4:9">
      <c r="D542" s="47"/>
      <c r="E542" s="143"/>
      <c r="H542" s="2"/>
      <c r="I542" s="30"/>
    </row>
    <row r="543" spans="4:9">
      <c r="D543" s="47"/>
      <c r="E543" s="143"/>
      <c r="H543" s="2"/>
      <c r="I543" s="30"/>
    </row>
    <row r="544" spans="4:9">
      <c r="D544" s="47"/>
      <c r="E544" s="143"/>
      <c r="H544" s="2"/>
      <c r="I544" s="30"/>
    </row>
    <row r="545" spans="4:9">
      <c r="D545" s="47"/>
      <c r="E545" s="143"/>
      <c r="H545" s="2"/>
      <c r="I545" s="30"/>
    </row>
    <row r="546" spans="4:9">
      <c r="D546" s="47"/>
      <c r="E546" s="143"/>
      <c r="H546" s="2"/>
      <c r="I546" s="30"/>
    </row>
    <row r="547" spans="4:9">
      <c r="D547" s="47"/>
      <c r="E547" s="143"/>
      <c r="H547" s="2"/>
      <c r="I547" s="30"/>
    </row>
    <row r="548" spans="4:9">
      <c r="D548" s="47"/>
      <c r="E548" s="143"/>
      <c r="H548" s="2"/>
      <c r="I548" s="30"/>
    </row>
    <row r="549" spans="4:9">
      <c r="D549" s="47"/>
      <c r="E549" s="143"/>
      <c r="H549" s="2"/>
      <c r="I549" s="30"/>
    </row>
    <row r="550" spans="4:9">
      <c r="D550" s="47"/>
      <c r="E550" s="143"/>
      <c r="H550" s="2"/>
      <c r="I550" s="30"/>
    </row>
    <row r="551" spans="4:9">
      <c r="D551" s="47"/>
      <c r="E551" s="143"/>
      <c r="H551" s="2"/>
      <c r="I551" s="30"/>
    </row>
    <row r="552" spans="4:9">
      <c r="D552" s="47"/>
      <c r="E552" s="143"/>
      <c r="H552" s="2"/>
      <c r="I552" s="30"/>
    </row>
    <row r="553" spans="4:9">
      <c r="D553" s="47"/>
      <c r="E553" s="143"/>
      <c r="H553" s="2"/>
      <c r="I553" s="30"/>
    </row>
    <row r="554" spans="4:9">
      <c r="D554" s="47"/>
      <c r="E554" s="143"/>
      <c r="H554" s="2"/>
      <c r="I554" s="30"/>
    </row>
    <row r="555" spans="4:9">
      <c r="D555" s="47"/>
      <c r="E555" s="143"/>
      <c r="H555" s="2"/>
      <c r="I555" s="30"/>
    </row>
    <row r="556" spans="4:9">
      <c r="D556" s="47"/>
      <c r="E556" s="143"/>
      <c r="H556" s="2"/>
      <c r="I556" s="30"/>
    </row>
    <row r="557" spans="4:9">
      <c r="D557" s="47"/>
      <c r="E557" s="143"/>
      <c r="H557" s="2"/>
      <c r="I557" s="30"/>
    </row>
    <row r="558" spans="4:9">
      <c r="D558" s="47"/>
      <c r="E558" s="143"/>
      <c r="H558" s="2"/>
      <c r="I558" s="30"/>
    </row>
    <row r="559" spans="4:9">
      <c r="D559" s="47"/>
      <c r="E559" s="143"/>
      <c r="H559" s="2"/>
      <c r="I559" s="30"/>
    </row>
    <row r="560" spans="4:9">
      <c r="D560" s="47"/>
      <c r="E560" s="143"/>
      <c r="H560" s="2"/>
      <c r="I560" s="30"/>
    </row>
    <row r="561" spans="4:9">
      <c r="D561" s="47"/>
      <c r="E561" s="143"/>
      <c r="H561" s="2"/>
      <c r="I561" s="30"/>
    </row>
    <row r="562" spans="4:9">
      <c r="D562" s="47"/>
      <c r="E562" s="143"/>
      <c r="H562" s="2"/>
      <c r="I562" s="30"/>
    </row>
    <row r="563" spans="4:9">
      <c r="D563" s="47"/>
      <c r="E563" s="143"/>
      <c r="H563" s="2"/>
      <c r="I563" s="30"/>
    </row>
    <row r="564" spans="4:9">
      <c r="D564" s="47"/>
      <c r="E564" s="143"/>
      <c r="H564" s="2"/>
      <c r="I564" s="30"/>
    </row>
    <row r="565" spans="4:9">
      <c r="D565" s="47"/>
      <c r="E565" s="143"/>
      <c r="H565" s="2"/>
      <c r="I565" s="30"/>
    </row>
    <row r="566" spans="4:9">
      <c r="D566" s="47"/>
      <c r="E566" s="143"/>
      <c r="H566" s="2"/>
      <c r="I566" s="30"/>
    </row>
    <row r="567" spans="4:9">
      <c r="D567" s="47"/>
      <c r="E567" s="143"/>
      <c r="H567" s="2"/>
      <c r="I567" s="30"/>
    </row>
    <row r="568" spans="4:9">
      <c r="D568" s="47"/>
      <c r="E568" s="143"/>
      <c r="H568" s="2"/>
      <c r="I568" s="30"/>
    </row>
    <row r="569" spans="4:9">
      <c r="D569" s="47"/>
      <c r="E569" s="143"/>
      <c r="H569" s="2"/>
      <c r="I569" s="30"/>
    </row>
    <row r="570" spans="4:9">
      <c r="D570" s="47"/>
      <c r="E570" s="143"/>
      <c r="H570" s="2"/>
      <c r="I570" s="30"/>
    </row>
    <row r="571" spans="4:9">
      <c r="D571" s="47"/>
      <c r="E571" s="143"/>
      <c r="H571" s="2"/>
      <c r="I571" s="30"/>
    </row>
    <row r="572" spans="4:9">
      <c r="D572" s="47"/>
      <c r="E572" s="143"/>
      <c r="H572" s="2"/>
      <c r="I572" s="30"/>
    </row>
    <row r="573" spans="4:9">
      <c r="D573" s="47"/>
      <c r="E573" s="143"/>
      <c r="H573" s="2"/>
      <c r="I573" s="30"/>
    </row>
    <row r="574" spans="4:9">
      <c r="D574" s="47"/>
      <c r="E574" s="143"/>
      <c r="H574" s="2"/>
      <c r="I574" s="30"/>
    </row>
    <row r="575" spans="4:9">
      <c r="D575" s="47"/>
      <c r="E575" s="143"/>
      <c r="H575" s="2"/>
      <c r="I575" s="30"/>
    </row>
    <row r="576" spans="4:9">
      <c r="D576" s="47"/>
      <c r="E576" s="143"/>
      <c r="H576" s="2"/>
      <c r="I576" s="30"/>
    </row>
    <row r="577" spans="4:9">
      <c r="D577" s="47"/>
      <c r="E577" s="143"/>
      <c r="H577" s="2"/>
      <c r="I577" s="30"/>
    </row>
    <row r="578" spans="4:9">
      <c r="D578" s="47"/>
      <c r="E578" s="143"/>
      <c r="H578" s="2"/>
      <c r="I578" s="30"/>
    </row>
    <row r="579" spans="4:9">
      <c r="D579" s="47"/>
      <c r="E579" s="143"/>
      <c r="H579" s="2"/>
      <c r="I579" s="30"/>
    </row>
    <row r="580" spans="4:9">
      <c r="D580" s="47"/>
      <c r="E580" s="143"/>
      <c r="H580" s="2"/>
      <c r="I580" s="30"/>
    </row>
    <row r="581" spans="4:9">
      <c r="D581" s="47"/>
      <c r="E581" s="143"/>
      <c r="H581" s="2"/>
      <c r="I581" s="30"/>
    </row>
    <row r="582" spans="4:9">
      <c r="D582" s="47"/>
      <c r="E582" s="143"/>
      <c r="H582" s="2"/>
      <c r="I582" s="30"/>
    </row>
    <row r="583" spans="4:9">
      <c r="D583" s="47"/>
      <c r="E583" s="143"/>
      <c r="H583" s="2"/>
      <c r="I583" s="30"/>
    </row>
    <row r="584" spans="4:9">
      <c r="D584" s="47"/>
      <c r="E584" s="143"/>
      <c r="H584" s="2"/>
      <c r="I584" s="30"/>
    </row>
    <row r="585" spans="4:9">
      <c r="D585" s="47"/>
      <c r="E585" s="143"/>
      <c r="H585" s="2"/>
      <c r="I585" s="30"/>
    </row>
    <row r="586" spans="4:9">
      <c r="D586" s="47"/>
      <c r="E586" s="143"/>
      <c r="H586" s="2"/>
      <c r="I586" s="30"/>
    </row>
    <row r="587" spans="4:9">
      <c r="D587" s="47"/>
      <c r="E587" s="143"/>
      <c r="H587" s="2"/>
      <c r="I587" s="30"/>
    </row>
    <row r="588" spans="4:9">
      <c r="D588" s="47"/>
      <c r="E588" s="143"/>
      <c r="H588" s="2"/>
      <c r="I588" s="30"/>
    </row>
    <row r="589" spans="4:9">
      <c r="D589" s="47"/>
      <c r="E589" s="143"/>
      <c r="H589" s="2"/>
      <c r="I589" s="30"/>
    </row>
    <row r="590" spans="4:9">
      <c r="D590" s="47"/>
      <c r="E590" s="143"/>
      <c r="H590" s="2"/>
      <c r="I590" s="30"/>
    </row>
    <row r="591" spans="4:9">
      <c r="D591" s="47"/>
      <c r="E591" s="143"/>
      <c r="H591" s="2"/>
      <c r="I591" s="30"/>
    </row>
    <row r="592" spans="4:9">
      <c r="D592" s="47"/>
      <c r="E592" s="143"/>
      <c r="H592" s="2"/>
      <c r="I592" s="30"/>
    </row>
    <row r="593" spans="4:9">
      <c r="D593" s="47"/>
      <c r="E593" s="143"/>
      <c r="H593" s="2"/>
      <c r="I593" s="30"/>
    </row>
    <row r="594" spans="4:9">
      <c r="D594" s="47"/>
      <c r="E594" s="143"/>
      <c r="H594" s="2"/>
      <c r="I594" s="30"/>
    </row>
    <row r="595" spans="4:9">
      <c r="D595" s="47"/>
      <c r="E595" s="143"/>
      <c r="H595" s="2"/>
      <c r="I595" s="30"/>
    </row>
    <row r="596" spans="4:9">
      <c r="D596" s="47"/>
      <c r="E596" s="143"/>
      <c r="H596" s="2"/>
      <c r="I596" s="30"/>
    </row>
    <row r="597" spans="4:9">
      <c r="D597" s="47"/>
      <c r="E597" s="143"/>
      <c r="H597" s="2"/>
      <c r="I597" s="30"/>
    </row>
    <row r="598" spans="4:9">
      <c r="D598" s="47"/>
      <c r="E598" s="143"/>
      <c r="H598" s="2"/>
      <c r="I598" s="30"/>
    </row>
    <row r="599" spans="4:9">
      <c r="D599" s="47"/>
      <c r="E599" s="143"/>
      <c r="H599" s="2"/>
      <c r="I599" s="30"/>
    </row>
    <row r="600" spans="4:9">
      <c r="D600" s="47"/>
      <c r="E600" s="143"/>
      <c r="H600" s="2"/>
      <c r="I600" s="30"/>
    </row>
    <row r="601" spans="4:9">
      <c r="D601" s="47"/>
      <c r="E601" s="143"/>
      <c r="H601" s="2"/>
      <c r="I601" s="30"/>
    </row>
    <row r="602" spans="4:9">
      <c r="D602" s="47"/>
      <c r="E602" s="143"/>
      <c r="H602" s="2"/>
      <c r="I602" s="30"/>
    </row>
    <row r="603" spans="4:9">
      <c r="D603" s="47"/>
      <c r="E603" s="143"/>
      <c r="H603" s="2"/>
      <c r="I603" s="30"/>
    </row>
    <row r="604" spans="4:9">
      <c r="D604" s="47"/>
      <c r="E604" s="143"/>
      <c r="H604" s="2"/>
      <c r="I604" s="30"/>
    </row>
    <row r="605" spans="4:9">
      <c r="D605" s="47"/>
      <c r="E605" s="143"/>
      <c r="H605" s="2"/>
      <c r="I605" s="30"/>
    </row>
    <row r="606" spans="4:9">
      <c r="D606" s="47"/>
      <c r="E606" s="143"/>
      <c r="H606" s="2"/>
      <c r="I606" s="30"/>
    </row>
    <row r="607" spans="4:9">
      <c r="D607" s="47"/>
      <c r="E607" s="143"/>
      <c r="H607" s="2"/>
      <c r="I607" s="30"/>
    </row>
    <row r="608" spans="4:9">
      <c r="D608" s="47"/>
      <c r="E608" s="143"/>
      <c r="H608" s="2"/>
      <c r="I608" s="30"/>
    </row>
    <row r="609" spans="4:9">
      <c r="D609" s="47"/>
      <c r="E609" s="143"/>
      <c r="H609" s="2"/>
      <c r="I609" s="30"/>
    </row>
    <row r="610" spans="4:9">
      <c r="D610" s="47"/>
      <c r="E610" s="143"/>
      <c r="H610" s="2"/>
      <c r="I610" s="30"/>
    </row>
    <row r="611" spans="4:9">
      <c r="D611" s="47"/>
      <c r="E611" s="143"/>
      <c r="H611" s="2"/>
      <c r="I611" s="30"/>
    </row>
    <row r="612" spans="4:9">
      <c r="D612" s="47"/>
      <c r="E612" s="143"/>
      <c r="H612" s="2"/>
      <c r="I612" s="30"/>
    </row>
    <row r="613" spans="4:9">
      <c r="D613" s="47"/>
      <c r="E613" s="143"/>
      <c r="H613" s="2"/>
      <c r="I613" s="30"/>
    </row>
    <row r="614" spans="4:9">
      <c r="D614" s="47"/>
      <c r="E614" s="143"/>
      <c r="H614" s="2"/>
      <c r="I614" s="30"/>
    </row>
    <row r="615" spans="4:9">
      <c r="D615" s="47"/>
      <c r="E615" s="143"/>
      <c r="H615" s="2"/>
      <c r="I615" s="30"/>
    </row>
    <row r="616" spans="4:9">
      <c r="D616" s="47"/>
      <c r="E616" s="143"/>
      <c r="H616" s="2"/>
      <c r="I616" s="30"/>
    </row>
    <row r="617" spans="4:9">
      <c r="D617" s="47"/>
      <c r="E617" s="143"/>
      <c r="H617" s="2"/>
      <c r="I617" s="30"/>
    </row>
    <row r="618" spans="4:9">
      <c r="D618" s="47"/>
      <c r="E618" s="143"/>
      <c r="H618" s="2"/>
      <c r="I618" s="30"/>
    </row>
    <row r="619" spans="4:9">
      <c r="D619" s="47"/>
      <c r="E619" s="143"/>
      <c r="H619" s="2"/>
      <c r="I619" s="30"/>
    </row>
    <row r="620" spans="4:9">
      <c r="D620" s="47"/>
      <c r="E620" s="143"/>
      <c r="H620" s="2"/>
      <c r="I620" s="30"/>
    </row>
    <row r="621" spans="4:9">
      <c r="D621" s="47"/>
      <c r="E621" s="143"/>
      <c r="H621" s="2"/>
      <c r="I621" s="30"/>
    </row>
    <row r="622" spans="4:9">
      <c r="D622" s="47"/>
      <c r="E622" s="143"/>
      <c r="H622" s="2"/>
      <c r="I622" s="30"/>
    </row>
    <row r="623" spans="4:9">
      <c r="D623" s="47"/>
      <c r="E623" s="143"/>
      <c r="H623" s="2"/>
      <c r="I623" s="30"/>
    </row>
    <row r="624" spans="4:9">
      <c r="D624" s="47"/>
      <c r="E624" s="143"/>
      <c r="H624" s="2"/>
      <c r="I624" s="30"/>
    </row>
    <row r="625" spans="4:9">
      <c r="D625" s="47"/>
      <c r="E625" s="143"/>
      <c r="H625" s="2"/>
      <c r="I625" s="30"/>
    </row>
    <row r="626" spans="4:9">
      <c r="D626" s="47"/>
      <c r="E626" s="143"/>
      <c r="H626" s="2"/>
      <c r="I626" s="30"/>
    </row>
    <row r="627" spans="4:9">
      <c r="D627" s="47"/>
      <c r="E627" s="143"/>
      <c r="H627" s="2"/>
      <c r="I627" s="30"/>
    </row>
    <row r="628" spans="4:9">
      <c r="D628" s="47"/>
      <c r="E628" s="143"/>
      <c r="H628" s="2"/>
      <c r="I628" s="30"/>
    </row>
    <row r="629" spans="4:9">
      <c r="D629" s="47"/>
      <c r="E629" s="143"/>
      <c r="H629" s="2"/>
      <c r="I629" s="30"/>
    </row>
    <row r="630" spans="4:9">
      <c r="D630" s="47"/>
      <c r="E630" s="143"/>
      <c r="H630" s="2"/>
      <c r="I630" s="30"/>
    </row>
    <row r="631" spans="4:9">
      <c r="D631" s="47"/>
      <c r="E631" s="143"/>
      <c r="H631" s="2"/>
      <c r="I631" s="30"/>
    </row>
    <row r="632" spans="4:9">
      <c r="D632" s="47"/>
      <c r="E632" s="143"/>
      <c r="H632" s="2"/>
      <c r="I632" s="30"/>
    </row>
    <row r="633" spans="4:9">
      <c r="D633" s="47"/>
      <c r="E633" s="143"/>
      <c r="H633" s="2"/>
      <c r="I633" s="30"/>
    </row>
    <row r="634" spans="4:9">
      <c r="D634" s="47"/>
      <c r="E634" s="143"/>
      <c r="H634" s="2"/>
      <c r="I634" s="30"/>
    </row>
    <row r="635" spans="4:9">
      <c r="D635" s="47"/>
      <c r="E635" s="143"/>
      <c r="H635" s="2"/>
      <c r="I635" s="30"/>
    </row>
    <row r="636" spans="4:9">
      <c r="D636" s="47"/>
      <c r="E636" s="143"/>
      <c r="H636" s="2"/>
      <c r="I636" s="30"/>
    </row>
    <row r="637" spans="4:9">
      <c r="D637" s="47"/>
      <c r="E637" s="143"/>
      <c r="H637" s="2"/>
      <c r="I637" s="30"/>
    </row>
    <row r="638" spans="4:9">
      <c r="D638" s="47"/>
      <c r="E638" s="143"/>
      <c r="H638" s="2"/>
      <c r="I638" s="30"/>
    </row>
    <row r="639" spans="4:9">
      <c r="D639" s="47"/>
      <c r="E639" s="143"/>
      <c r="H639" s="2"/>
      <c r="I639" s="30"/>
    </row>
    <row r="640" spans="4:9">
      <c r="D640" s="47"/>
      <c r="E640" s="143"/>
      <c r="H640" s="2"/>
      <c r="I640" s="30"/>
    </row>
    <row r="641" spans="4:9">
      <c r="D641" s="47"/>
      <c r="E641" s="143"/>
      <c r="H641" s="2"/>
      <c r="I641" s="30"/>
    </row>
    <row r="642" spans="4:9">
      <c r="D642" s="47"/>
      <c r="E642" s="143"/>
      <c r="H642" s="2"/>
      <c r="I642" s="30"/>
    </row>
    <row r="643" spans="4:9">
      <c r="D643" s="47"/>
      <c r="E643" s="143"/>
      <c r="H643" s="2"/>
      <c r="I643" s="30"/>
    </row>
    <row r="644" spans="4:9">
      <c r="D644" s="47"/>
      <c r="E644" s="143"/>
      <c r="H644" s="2"/>
      <c r="I644" s="30"/>
    </row>
    <row r="645" spans="4:9">
      <c r="D645" s="47"/>
      <c r="E645" s="143"/>
      <c r="H645" s="2"/>
      <c r="I645" s="30"/>
    </row>
    <row r="646" spans="4:9">
      <c r="D646" s="47"/>
      <c r="E646" s="143"/>
      <c r="H646" s="2"/>
      <c r="I646" s="30"/>
    </row>
    <row r="647" spans="4:9">
      <c r="D647" s="47"/>
      <c r="E647" s="143"/>
      <c r="H647" s="2"/>
      <c r="I647" s="30"/>
    </row>
    <row r="648" spans="4:9">
      <c r="D648" s="47"/>
      <c r="E648" s="143"/>
      <c r="H648" s="2"/>
      <c r="I648" s="30"/>
    </row>
    <row r="649" spans="4:9">
      <c r="D649" s="47"/>
      <c r="E649" s="143"/>
      <c r="H649" s="2"/>
      <c r="I649" s="30"/>
    </row>
    <row r="650" spans="4:9">
      <c r="D650" s="47"/>
      <c r="E650" s="143"/>
      <c r="H650" s="2"/>
      <c r="I650" s="30"/>
    </row>
    <row r="651" spans="4:9">
      <c r="D651" s="47"/>
      <c r="E651" s="143"/>
      <c r="H651" s="2"/>
      <c r="I651" s="30"/>
    </row>
    <row r="652" spans="4:9">
      <c r="D652" s="47"/>
      <c r="E652" s="143"/>
      <c r="H652" s="2"/>
      <c r="I652" s="30"/>
    </row>
    <row r="653" spans="4:9">
      <c r="D653" s="47"/>
      <c r="E653" s="143"/>
      <c r="H653" s="2"/>
      <c r="I653" s="30"/>
    </row>
    <row r="654" spans="4:9">
      <c r="D654" s="47"/>
      <c r="E654" s="143"/>
      <c r="H654" s="2"/>
      <c r="I654" s="30"/>
    </row>
    <row r="655" spans="4:9">
      <c r="D655" s="47"/>
      <c r="E655" s="143"/>
      <c r="H655" s="2"/>
      <c r="I655" s="30"/>
    </row>
    <row r="656" spans="4:9">
      <c r="D656" s="47"/>
      <c r="E656" s="143"/>
      <c r="H656" s="2"/>
      <c r="I656" s="30"/>
    </row>
    <row r="657" spans="4:9">
      <c r="D657" s="47"/>
      <c r="E657" s="143"/>
      <c r="H657" s="2"/>
      <c r="I657" s="30"/>
    </row>
    <row r="658" spans="4:9">
      <c r="D658" s="47"/>
      <c r="E658" s="143"/>
      <c r="H658" s="2"/>
      <c r="I658" s="30"/>
    </row>
    <row r="659" spans="4:9">
      <c r="D659" s="47"/>
      <c r="E659" s="143"/>
      <c r="H659" s="2"/>
      <c r="I659" s="30"/>
    </row>
    <row r="660" spans="4:9">
      <c r="D660" s="47"/>
      <c r="E660" s="143"/>
      <c r="H660" s="2"/>
      <c r="I660" s="30"/>
    </row>
    <row r="661" spans="4:9">
      <c r="D661" s="47"/>
      <c r="E661" s="143"/>
      <c r="H661" s="2"/>
      <c r="I661" s="30"/>
    </row>
    <row r="662" spans="4:9">
      <c r="D662" s="47"/>
      <c r="E662" s="143"/>
      <c r="H662" s="2"/>
      <c r="I662" s="30"/>
    </row>
    <row r="663" spans="4:9">
      <c r="D663" s="47"/>
      <c r="E663" s="143"/>
      <c r="H663" s="2"/>
      <c r="I663" s="30"/>
    </row>
    <row r="664" spans="4:9">
      <c r="D664" s="47"/>
      <c r="E664" s="143"/>
      <c r="H664" s="2"/>
      <c r="I664" s="30"/>
    </row>
    <row r="665" spans="4:9">
      <c r="D665" s="47"/>
      <c r="E665" s="143"/>
      <c r="H665" s="2"/>
      <c r="I665" s="30"/>
    </row>
    <row r="666" spans="4:9">
      <c r="D666" s="47"/>
      <c r="E666" s="143"/>
      <c r="H666" s="2"/>
      <c r="I666" s="30"/>
    </row>
    <row r="667" spans="4:9">
      <c r="D667" s="47"/>
      <c r="E667" s="143"/>
      <c r="H667" s="2"/>
      <c r="I667" s="30"/>
    </row>
    <row r="668" spans="4:9">
      <c r="D668" s="47"/>
      <c r="E668" s="143"/>
      <c r="H668" s="2"/>
      <c r="I668" s="30"/>
    </row>
    <row r="669" spans="4:9">
      <c r="D669" s="47"/>
      <c r="E669" s="143"/>
      <c r="H669" s="2"/>
      <c r="I669" s="30"/>
    </row>
    <row r="670" spans="4:9">
      <c r="D670" s="47"/>
      <c r="E670" s="143"/>
      <c r="H670" s="2"/>
      <c r="I670" s="30"/>
    </row>
    <row r="671" spans="4:9">
      <c r="D671" s="47"/>
      <c r="E671" s="143"/>
      <c r="H671" s="2"/>
      <c r="I671" s="30"/>
    </row>
    <row r="672" spans="4:9">
      <c r="D672" s="47"/>
      <c r="E672" s="143"/>
      <c r="H672" s="2"/>
      <c r="I672" s="30"/>
    </row>
    <row r="673" spans="4:9">
      <c r="D673" s="47"/>
      <c r="E673" s="143"/>
      <c r="H673" s="2"/>
      <c r="I673" s="30"/>
    </row>
    <row r="674" spans="4:9">
      <c r="D674" s="47"/>
      <c r="E674" s="143"/>
      <c r="H674" s="2"/>
      <c r="I674" s="30"/>
    </row>
    <row r="675" spans="4:9">
      <c r="D675" s="47"/>
      <c r="E675" s="143"/>
      <c r="H675" s="2"/>
      <c r="I675" s="30"/>
    </row>
    <row r="676" spans="4:9">
      <c r="D676" s="47"/>
      <c r="E676" s="143"/>
      <c r="H676" s="2"/>
      <c r="I676" s="30"/>
    </row>
    <row r="677" spans="4:9">
      <c r="D677" s="47"/>
      <c r="E677" s="143"/>
      <c r="H677" s="2"/>
      <c r="I677" s="30"/>
    </row>
    <row r="678" spans="4:9">
      <c r="D678" s="47"/>
      <c r="E678" s="143"/>
      <c r="H678" s="2"/>
      <c r="I678" s="30"/>
    </row>
    <row r="679" spans="4:9">
      <c r="D679" s="47"/>
      <c r="E679" s="143"/>
      <c r="H679" s="2"/>
      <c r="I679" s="30"/>
    </row>
    <row r="680" spans="4:9">
      <c r="D680" s="47"/>
      <c r="E680" s="143"/>
      <c r="H680" s="2"/>
      <c r="I680" s="30"/>
    </row>
    <row r="681" spans="4:9">
      <c r="D681" s="47"/>
      <c r="E681" s="143"/>
      <c r="H681" s="2"/>
      <c r="I681" s="30"/>
    </row>
    <row r="682" spans="4:9">
      <c r="D682" s="47"/>
      <c r="E682" s="143"/>
      <c r="H682" s="2"/>
      <c r="I682" s="30"/>
    </row>
    <row r="683" spans="4:9">
      <c r="D683" s="47"/>
      <c r="E683" s="143"/>
      <c r="H683" s="2"/>
      <c r="I683" s="30"/>
    </row>
    <row r="684" spans="4:9">
      <c r="D684" s="47"/>
      <c r="E684" s="143"/>
      <c r="H684" s="2"/>
      <c r="I684" s="30"/>
    </row>
    <row r="685" spans="4:9">
      <c r="D685" s="47"/>
      <c r="E685" s="143"/>
      <c r="H685" s="2"/>
      <c r="I685" s="30"/>
    </row>
    <row r="686" spans="4:9">
      <c r="D686" s="47"/>
      <c r="E686" s="143"/>
      <c r="H686" s="2"/>
      <c r="I686" s="30"/>
    </row>
    <row r="687" spans="4:9">
      <c r="D687" s="47"/>
      <c r="E687" s="143"/>
      <c r="H687" s="2"/>
      <c r="I687" s="30"/>
    </row>
    <row r="688" spans="4:9">
      <c r="D688" s="47"/>
      <c r="E688" s="143"/>
      <c r="H688" s="2"/>
      <c r="I688" s="30"/>
    </row>
    <row r="689" spans="4:9">
      <c r="D689" s="47"/>
      <c r="E689" s="143"/>
      <c r="H689" s="2"/>
      <c r="I689" s="30"/>
    </row>
    <row r="690" spans="4:9">
      <c r="D690" s="47"/>
      <c r="E690" s="143"/>
      <c r="H690" s="2"/>
      <c r="I690" s="30"/>
    </row>
    <row r="691" spans="4:9">
      <c r="D691" s="47"/>
      <c r="E691" s="143"/>
      <c r="H691" s="2"/>
      <c r="I691" s="30"/>
    </row>
    <row r="692" spans="4:9">
      <c r="D692" s="47"/>
      <c r="E692" s="143"/>
      <c r="H692" s="2"/>
      <c r="I692" s="30"/>
    </row>
    <row r="693" spans="4:9">
      <c r="D693" s="47"/>
      <c r="E693" s="143"/>
      <c r="H693" s="2"/>
      <c r="I693" s="30"/>
    </row>
    <row r="694" spans="4:9">
      <c r="D694" s="47"/>
      <c r="E694" s="143"/>
      <c r="H694" s="2"/>
      <c r="I694" s="30"/>
    </row>
    <row r="695" spans="4:9">
      <c r="D695" s="47"/>
      <c r="E695" s="143"/>
      <c r="H695" s="2"/>
      <c r="I695" s="30"/>
    </row>
    <row r="696" spans="4:9">
      <c r="D696" s="47"/>
      <c r="E696" s="143"/>
      <c r="H696" s="2"/>
      <c r="I696" s="30"/>
    </row>
    <row r="697" spans="4:9">
      <c r="D697" s="47"/>
      <c r="E697" s="143"/>
      <c r="H697" s="2"/>
      <c r="I697" s="30"/>
    </row>
    <row r="698" spans="4:9">
      <c r="D698" s="47"/>
      <c r="E698" s="143"/>
      <c r="H698" s="2"/>
      <c r="I698" s="30"/>
    </row>
    <row r="699" spans="4:9">
      <c r="D699" s="47"/>
      <c r="E699" s="143"/>
      <c r="H699" s="2"/>
      <c r="I699" s="30"/>
    </row>
    <row r="700" spans="4:9">
      <c r="D700" s="47"/>
      <c r="E700" s="143"/>
      <c r="H700" s="2"/>
      <c r="I700" s="30"/>
    </row>
    <row r="701" spans="4:9">
      <c r="D701" s="47"/>
      <c r="E701" s="143"/>
      <c r="H701" s="2"/>
      <c r="I701" s="30"/>
    </row>
    <row r="702" spans="4:9">
      <c r="D702" s="47"/>
      <c r="E702" s="143"/>
      <c r="H702" s="2"/>
      <c r="I702" s="30"/>
    </row>
    <row r="703" spans="4:9">
      <c r="D703" s="47"/>
      <c r="E703" s="143"/>
      <c r="H703" s="2"/>
      <c r="I703" s="30"/>
    </row>
    <row r="704" spans="4:9">
      <c r="D704" s="47"/>
      <c r="E704" s="143"/>
      <c r="H704" s="2"/>
      <c r="I704" s="30"/>
    </row>
    <row r="705" spans="4:9">
      <c r="D705" s="47"/>
      <c r="E705" s="143"/>
      <c r="H705" s="2"/>
      <c r="I705" s="30"/>
    </row>
    <row r="706" spans="4:9">
      <c r="D706" s="47"/>
      <c r="E706" s="143"/>
      <c r="H706" s="2"/>
      <c r="I706" s="30"/>
    </row>
    <row r="707" spans="4:9">
      <c r="D707" s="47"/>
      <c r="E707" s="143"/>
      <c r="H707" s="2"/>
      <c r="I707" s="30"/>
    </row>
    <row r="708" spans="4:9">
      <c r="D708" s="47"/>
      <c r="E708" s="143"/>
      <c r="H708" s="2"/>
      <c r="I708" s="30"/>
    </row>
    <row r="709" spans="4:9">
      <c r="D709" s="47"/>
      <c r="E709" s="143"/>
      <c r="H709" s="2"/>
      <c r="I709" s="30"/>
    </row>
    <row r="710" spans="4:9">
      <c r="D710" s="47"/>
      <c r="E710" s="143"/>
      <c r="H710" s="2"/>
      <c r="I710" s="30"/>
    </row>
    <row r="711" spans="4:9">
      <c r="D711" s="47"/>
      <c r="E711" s="143"/>
      <c r="H711" s="2"/>
      <c r="I711" s="30"/>
    </row>
    <row r="712" spans="4:9">
      <c r="D712" s="47"/>
      <c r="E712" s="143"/>
      <c r="H712" s="2"/>
      <c r="I712" s="30"/>
    </row>
    <row r="713" spans="4:9">
      <c r="D713" s="47"/>
      <c r="E713" s="143"/>
      <c r="H713" s="2"/>
      <c r="I713" s="30"/>
    </row>
    <row r="714" spans="4:9">
      <c r="D714" s="47"/>
      <c r="E714" s="143"/>
      <c r="H714" s="2"/>
      <c r="I714" s="30"/>
    </row>
    <row r="715" spans="4:9">
      <c r="D715" s="47"/>
      <c r="E715" s="143"/>
      <c r="H715" s="2"/>
      <c r="I715" s="30"/>
    </row>
    <row r="716" spans="4:9">
      <c r="D716" s="47"/>
      <c r="E716" s="143"/>
      <c r="H716" s="2"/>
      <c r="I716" s="30"/>
    </row>
    <row r="717" spans="4:9">
      <c r="D717" s="47"/>
      <c r="E717" s="143"/>
      <c r="H717" s="2"/>
      <c r="I717" s="30"/>
    </row>
    <row r="718" spans="4:9">
      <c r="D718" s="47"/>
      <c r="E718" s="143"/>
      <c r="H718" s="2"/>
      <c r="I718" s="30"/>
    </row>
    <row r="719" spans="4:9">
      <c r="D719" s="47"/>
      <c r="E719" s="143"/>
      <c r="H719" s="2"/>
      <c r="I719" s="30"/>
    </row>
    <row r="720" spans="4:9">
      <c r="D720" s="47"/>
      <c r="E720" s="143"/>
      <c r="H720" s="2"/>
      <c r="I720" s="30"/>
    </row>
    <row r="721" spans="4:9">
      <c r="D721" s="47"/>
      <c r="E721" s="143"/>
      <c r="H721" s="2"/>
      <c r="I721" s="30"/>
    </row>
    <row r="722" spans="4:9">
      <c r="D722" s="47"/>
      <c r="E722" s="143"/>
      <c r="H722" s="2"/>
      <c r="I722" s="30"/>
    </row>
    <row r="723" spans="4:9">
      <c r="D723" s="47"/>
      <c r="E723" s="143"/>
      <c r="H723" s="2"/>
      <c r="I723" s="30"/>
    </row>
    <row r="724" spans="4:9">
      <c r="D724" s="47"/>
      <c r="E724" s="143"/>
      <c r="H724" s="2"/>
      <c r="I724" s="30"/>
    </row>
    <row r="725" spans="4:9">
      <c r="D725" s="47"/>
      <c r="E725" s="143"/>
      <c r="H725" s="2"/>
      <c r="I725" s="30"/>
    </row>
    <row r="726" spans="4:9">
      <c r="D726" s="47"/>
      <c r="E726" s="143"/>
      <c r="H726" s="2"/>
      <c r="I726" s="30"/>
    </row>
    <row r="727" spans="4:9">
      <c r="D727" s="47"/>
      <c r="E727" s="143"/>
      <c r="H727" s="2"/>
      <c r="I727" s="30"/>
    </row>
    <row r="728" spans="4:9">
      <c r="D728" s="47"/>
      <c r="E728" s="143"/>
      <c r="H728" s="2"/>
      <c r="I728" s="30"/>
    </row>
    <row r="729" spans="4:9">
      <c r="D729" s="47"/>
      <c r="E729" s="143"/>
      <c r="H729" s="2"/>
      <c r="I729" s="30"/>
    </row>
    <row r="730" spans="4:9">
      <c r="D730" s="47"/>
      <c r="E730" s="143"/>
      <c r="H730" s="2"/>
      <c r="I730" s="30"/>
    </row>
    <row r="731" spans="4:9">
      <c r="D731" s="47"/>
      <c r="E731" s="143"/>
      <c r="H731" s="2"/>
      <c r="I731" s="30"/>
    </row>
    <row r="732" spans="4:9">
      <c r="D732" s="47"/>
      <c r="E732" s="143"/>
      <c r="H732" s="2"/>
      <c r="I732" s="30"/>
    </row>
    <row r="733" spans="4:9">
      <c r="D733" s="47"/>
      <c r="E733" s="143"/>
      <c r="H733" s="2"/>
      <c r="I733" s="30"/>
    </row>
    <row r="734" spans="4:9">
      <c r="D734" s="47"/>
      <c r="E734" s="143"/>
      <c r="H734" s="2"/>
      <c r="I734" s="30"/>
    </row>
    <row r="735" spans="4:9">
      <c r="D735" s="47"/>
      <c r="E735" s="143"/>
      <c r="H735" s="2"/>
      <c r="I735" s="30"/>
    </row>
    <row r="736" spans="4:9">
      <c r="D736" s="47"/>
      <c r="E736" s="143"/>
      <c r="H736" s="2"/>
      <c r="I736" s="30"/>
    </row>
    <row r="737" spans="4:9">
      <c r="D737" s="47"/>
      <c r="E737" s="143"/>
      <c r="H737" s="2"/>
      <c r="I737" s="30"/>
    </row>
    <row r="738" spans="4:9">
      <c r="D738" s="47"/>
      <c r="E738" s="143"/>
      <c r="H738" s="2"/>
      <c r="I738" s="30"/>
    </row>
    <row r="739" spans="4:9">
      <c r="D739" s="47"/>
      <c r="E739" s="143"/>
      <c r="H739" s="2"/>
      <c r="I739" s="30"/>
    </row>
    <row r="740" spans="4:9">
      <c r="D740" s="47"/>
      <c r="E740" s="143"/>
      <c r="H740" s="2"/>
      <c r="I740" s="30"/>
    </row>
    <row r="741" spans="4:9">
      <c r="D741" s="47"/>
      <c r="E741" s="143"/>
      <c r="H741" s="2"/>
      <c r="I741" s="30"/>
    </row>
    <row r="742" spans="4:9">
      <c r="D742" s="47"/>
      <c r="E742" s="143"/>
      <c r="H742" s="2"/>
      <c r="I742" s="30"/>
    </row>
    <row r="743" spans="4:9">
      <c r="D743" s="47"/>
      <c r="E743" s="143"/>
      <c r="H743" s="2"/>
      <c r="I743" s="30"/>
    </row>
    <row r="744" spans="4:9">
      <c r="D744" s="47"/>
      <c r="E744" s="143"/>
      <c r="H744" s="2"/>
      <c r="I744" s="30"/>
    </row>
    <row r="745" spans="4:9">
      <c r="D745" s="47"/>
      <c r="E745" s="143"/>
      <c r="H745" s="2"/>
      <c r="I745" s="30"/>
    </row>
    <row r="746" spans="4:9">
      <c r="D746" s="47"/>
      <c r="E746" s="143"/>
      <c r="H746" s="2"/>
      <c r="I746" s="30"/>
    </row>
    <row r="747" spans="4:9">
      <c r="D747" s="47"/>
      <c r="E747" s="143"/>
      <c r="H747" s="2"/>
      <c r="I747" s="30"/>
    </row>
    <row r="748" spans="4:9">
      <c r="D748" s="47"/>
      <c r="E748" s="143"/>
      <c r="H748" s="2"/>
      <c r="I748" s="30"/>
    </row>
    <row r="749" spans="4:9">
      <c r="D749" s="47"/>
      <c r="E749" s="143"/>
      <c r="H749" s="2"/>
      <c r="I749" s="30"/>
    </row>
    <row r="750" spans="4:9">
      <c r="D750" s="47"/>
      <c r="E750" s="143"/>
      <c r="H750" s="2"/>
      <c r="I750" s="30"/>
    </row>
    <row r="751" spans="4:9">
      <c r="D751" s="47"/>
      <c r="E751" s="143"/>
      <c r="H751" s="2"/>
      <c r="I751" s="30"/>
    </row>
    <row r="752" spans="4:9">
      <c r="D752" s="47"/>
      <c r="E752" s="143"/>
      <c r="H752" s="2"/>
      <c r="I752" s="30"/>
    </row>
    <row r="753" spans="4:9">
      <c r="D753" s="47"/>
      <c r="E753" s="143"/>
      <c r="H753" s="2"/>
      <c r="I753" s="30"/>
    </row>
    <row r="754" spans="4:9">
      <c r="D754" s="47"/>
      <c r="E754" s="143"/>
      <c r="H754" s="2"/>
      <c r="I754" s="30"/>
    </row>
    <row r="755" spans="4:9">
      <c r="D755" s="47"/>
      <c r="E755" s="143"/>
      <c r="H755" s="2"/>
      <c r="I755" s="30"/>
    </row>
    <row r="756" spans="4:9">
      <c r="D756" s="47"/>
      <c r="E756" s="143"/>
      <c r="H756" s="2"/>
      <c r="I756" s="30"/>
    </row>
    <row r="757" spans="4:9">
      <c r="D757" s="47"/>
      <c r="E757" s="143"/>
      <c r="H757" s="2"/>
      <c r="I757" s="30"/>
    </row>
    <row r="758" spans="4:9">
      <c r="D758" s="47"/>
      <c r="E758" s="143"/>
      <c r="H758" s="2"/>
      <c r="I758" s="30"/>
    </row>
    <row r="759" spans="4:9">
      <c r="D759" s="47"/>
      <c r="E759" s="143"/>
      <c r="H759" s="2"/>
      <c r="I759" s="30"/>
    </row>
    <row r="760" spans="4:9">
      <c r="D760" s="47"/>
      <c r="E760" s="143"/>
      <c r="H760" s="2"/>
      <c r="I760" s="30"/>
    </row>
    <row r="761" spans="4:9">
      <c r="D761" s="47"/>
      <c r="E761" s="143"/>
      <c r="H761" s="2"/>
      <c r="I761" s="30"/>
    </row>
    <row r="762" spans="4:9">
      <c r="D762" s="47"/>
      <c r="E762" s="143"/>
      <c r="H762" s="2"/>
      <c r="I762" s="30"/>
    </row>
    <row r="763" spans="4:9">
      <c r="D763" s="47"/>
      <c r="E763" s="143"/>
      <c r="H763" s="2"/>
      <c r="I763" s="30"/>
    </row>
    <row r="764" spans="4:9">
      <c r="D764" s="47"/>
      <c r="E764" s="143"/>
      <c r="H764" s="2"/>
      <c r="I764" s="30"/>
    </row>
    <row r="765" spans="4:9">
      <c r="D765" s="47"/>
      <c r="E765" s="143"/>
      <c r="H765" s="2"/>
      <c r="I765" s="30"/>
    </row>
    <row r="766" spans="4:9">
      <c r="D766" s="47"/>
      <c r="E766" s="143"/>
      <c r="H766" s="2"/>
      <c r="I766" s="30"/>
    </row>
    <row r="767" spans="4:9">
      <c r="D767" s="47"/>
      <c r="E767" s="143"/>
      <c r="H767" s="2"/>
      <c r="I767" s="30"/>
    </row>
    <row r="768" spans="4:9">
      <c r="D768" s="47"/>
      <c r="E768" s="143"/>
      <c r="H768" s="2"/>
      <c r="I768" s="30"/>
    </row>
    <row r="769" spans="4:9">
      <c r="D769" s="47"/>
      <c r="E769" s="143"/>
      <c r="H769" s="2"/>
      <c r="I769" s="30"/>
    </row>
    <row r="770" spans="4:9">
      <c r="D770" s="47"/>
      <c r="E770" s="143"/>
      <c r="H770" s="2"/>
      <c r="I770" s="30"/>
    </row>
    <row r="771" spans="4:9">
      <c r="D771" s="47"/>
      <c r="E771" s="143"/>
      <c r="H771" s="2"/>
      <c r="I771" s="30"/>
    </row>
    <row r="772" spans="4:9">
      <c r="D772" s="47"/>
      <c r="E772" s="143"/>
      <c r="H772" s="2"/>
      <c r="I772" s="30"/>
    </row>
    <row r="773" spans="4:9">
      <c r="D773" s="47"/>
      <c r="E773" s="143"/>
      <c r="H773" s="2"/>
      <c r="I773" s="30"/>
    </row>
    <row r="774" spans="4:9">
      <c r="D774" s="47"/>
      <c r="E774" s="143"/>
      <c r="H774" s="2"/>
      <c r="I774" s="30"/>
    </row>
    <row r="775" spans="4:9">
      <c r="D775" s="47"/>
      <c r="E775" s="143"/>
      <c r="H775" s="2"/>
      <c r="I775" s="30"/>
    </row>
    <row r="776" spans="4:9">
      <c r="D776" s="47"/>
      <c r="E776" s="143"/>
      <c r="H776" s="2"/>
      <c r="I776" s="30"/>
    </row>
    <row r="777" spans="4:9">
      <c r="D777" s="47"/>
      <c r="E777" s="143"/>
      <c r="H777" s="2"/>
      <c r="I777" s="30"/>
    </row>
    <row r="778" spans="4:9">
      <c r="D778" s="47"/>
      <c r="E778" s="143"/>
      <c r="H778" s="2"/>
      <c r="I778" s="30"/>
    </row>
    <row r="779" spans="4:9">
      <c r="D779" s="47"/>
      <c r="E779" s="143"/>
      <c r="H779" s="2"/>
      <c r="I779" s="30"/>
    </row>
    <row r="780" spans="4:9">
      <c r="D780" s="47"/>
      <c r="E780" s="143"/>
      <c r="H780" s="2"/>
      <c r="I780" s="30"/>
    </row>
    <row r="781" spans="4:9">
      <c r="D781" s="47"/>
      <c r="E781" s="143"/>
      <c r="H781" s="2"/>
      <c r="I781" s="30"/>
    </row>
    <row r="782" spans="4:9">
      <c r="D782" s="47"/>
      <c r="E782" s="143"/>
      <c r="H782" s="2"/>
      <c r="I782" s="30"/>
    </row>
    <row r="783" spans="4:9">
      <c r="D783" s="47"/>
      <c r="E783" s="143"/>
      <c r="H783" s="2"/>
      <c r="I783" s="30"/>
    </row>
    <row r="784" spans="4:9">
      <c r="D784" s="47"/>
      <c r="E784" s="143"/>
      <c r="H784" s="2"/>
      <c r="I784" s="30"/>
    </row>
    <row r="785" spans="4:9">
      <c r="D785" s="47"/>
      <c r="E785" s="143"/>
      <c r="H785" s="2"/>
      <c r="I785" s="30"/>
    </row>
    <row r="786" spans="4:9">
      <c r="D786" s="47"/>
      <c r="E786" s="143"/>
      <c r="H786" s="2"/>
      <c r="I786" s="30"/>
    </row>
    <row r="787" spans="4:9">
      <c r="D787" s="47"/>
      <c r="E787" s="143"/>
      <c r="H787" s="2"/>
      <c r="I787" s="30"/>
    </row>
    <row r="788" spans="4:9">
      <c r="D788" s="47"/>
      <c r="E788" s="143"/>
      <c r="H788" s="2"/>
      <c r="I788" s="30"/>
    </row>
    <row r="789" spans="4:9">
      <c r="D789" s="47"/>
      <c r="E789" s="143"/>
      <c r="H789" s="2"/>
      <c r="I789" s="30"/>
    </row>
    <row r="790" spans="4:9">
      <c r="D790" s="47"/>
      <c r="E790" s="143"/>
      <c r="H790" s="2"/>
      <c r="I790" s="30"/>
    </row>
    <row r="791" spans="4:9">
      <c r="D791" s="47"/>
      <c r="E791" s="143"/>
      <c r="H791" s="2"/>
      <c r="I791" s="30"/>
    </row>
    <row r="792" spans="4:9">
      <c r="D792" s="47"/>
      <c r="E792" s="143"/>
      <c r="H792" s="2"/>
      <c r="I792" s="30"/>
    </row>
    <row r="793" spans="4:9">
      <c r="D793" s="47"/>
      <c r="E793" s="143"/>
      <c r="H793" s="2"/>
      <c r="I793" s="30"/>
    </row>
    <row r="794" spans="4:9">
      <c r="D794" s="47"/>
      <c r="E794" s="143"/>
      <c r="H794" s="2"/>
      <c r="I794" s="30"/>
    </row>
    <row r="795" spans="4:9">
      <c r="D795" s="47"/>
      <c r="E795" s="143"/>
      <c r="H795" s="2"/>
      <c r="I795" s="30"/>
    </row>
    <row r="796" spans="4:9">
      <c r="D796" s="47"/>
      <c r="E796" s="143"/>
      <c r="H796" s="2"/>
      <c r="I796" s="30"/>
    </row>
    <row r="797" spans="4:9">
      <c r="D797" s="47"/>
      <c r="E797" s="143"/>
      <c r="H797" s="2"/>
      <c r="I797" s="30"/>
    </row>
    <row r="798" spans="4:9">
      <c r="D798" s="47"/>
      <c r="E798" s="143"/>
      <c r="H798" s="2"/>
      <c r="I798" s="30"/>
    </row>
    <row r="799" spans="4:9">
      <c r="D799" s="47"/>
      <c r="E799" s="143"/>
      <c r="H799" s="2"/>
      <c r="I799" s="30"/>
    </row>
    <row r="800" spans="4:9">
      <c r="D800" s="47"/>
      <c r="E800" s="143"/>
      <c r="H800" s="2"/>
      <c r="I800" s="30"/>
    </row>
    <row r="801" spans="4:9">
      <c r="D801" s="47"/>
      <c r="E801" s="143"/>
      <c r="H801" s="2"/>
      <c r="I801" s="30"/>
    </row>
    <row r="802" spans="4:9">
      <c r="D802" s="47"/>
      <c r="E802" s="143"/>
      <c r="H802" s="2"/>
      <c r="I802" s="30"/>
    </row>
    <row r="803" spans="4:9">
      <c r="D803" s="47"/>
      <c r="E803" s="143"/>
      <c r="H803" s="2"/>
      <c r="I803" s="30"/>
    </row>
    <row r="804" spans="4:9">
      <c r="D804" s="47"/>
      <c r="E804" s="143"/>
      <c r="H804" s="2"/>
      <c r="I804" s="30"/>
    </row>
    <row r="805" spans="4:9">
      <c r="D805" s="47"/>
      <c r="E805" s="143"/>
      <c r="H805" s="2"/>
      <c r="I805" s="30"/>
    </row>
    <row r="806" spans="4:9">
      <c r="D806" s="47"/>
      <c r="E806" s="143"/>
      <c r="H806" s="2"/>
      <c r="I806" s="30"/>
    </row>
    <row r="807" spans="4:9">
      <c r="D807" s="47"/>
      <c r="E807" s="143"/>
      <c r="H807" s="2"/>
      <c r="I807" s="30"/>
    </row>
    <row r="808" spans="4:9">
      <c r="D808" s="47"/>
      <c r="E808" s="143"/>
      <c r="H808" s="2"/>
      <c r="I808" s="30"/>
    </row>
    <row r="809" spans="4:9">
      <c r="D809" s="47"/>
      <c r="E809" s="143"/>
      <c r="H809" s="2"/>
      <c r="I809" s="30"/>
    </row>
    <row r="810" spans="4:9">
      <c r="D810" s="47"/>
      <c r="E810" s="143"/>
      <c r="H810" s="2"/>
      <c r="I810" s="30"/>
    </row>
    <row r="811" spans="4:9">
      <c r="D811" s="47"/>
      <c r="E811" s="143"/>
      <c r="H811" s="2"/>
      <c r="I811" s="30"/>
    </row>
    <row r="812" spans="4:9">
      <c r="D812" s="47"/>
      <c r="E812" s="143"/>
      <c r="H812" s="2"/>
      <c r="I812" s="30"/>
    </row>
    <row r="813" spans="4:9">
      <c r="D813" s="47"/>
      <c r="E813" s="143"/>
      <c r="H813" s="2"/>
      <c r="I813" s="30"/>
    </row>
    <row r="814" spans="4:9">
      <c r="D814" s="47"/>
      <c r="E814" s="143"/>
      <c r="H814" s="2"/>
      <c r="I814" s="30"/>
    </row>
    <row r="815" spans="4:9">
      <c r="D815" s="47"/>
      <c r="E815" s="143"/>
      <c r="H815" s="2"/>
      <c r="I815" s="30"/>
    </row>
    <row r="816" spans="4:9">
      <c r="D816" s="47"/>
      <c r="E816" s="143"/>
      <c r="H816" s="2"/>
      <c r="I816" s="30"/>
    </row>
    <row r="817" spans="4:9">
      <c r="D817" s="47"/>
      <c r="E817" s="143"/>
      <c r="H817" s="2"/>
      <c r="I817" s="30"/>
    </row>
    <row r="818" spans="4:9">
      <c r="D818" s="47"/>
      <c r="E818" s="143"/>
      <c r="H818" s="2"/>
      <c r="I818" s="30"/>
    </row>
    <row r="819" spans="4:9">
      <c r="D819" s="47"/>
      <c r="E819" s="143"/>
      <c r="H819" s="2"/>
      <c r="I819" s="30"/>
    </row>
    <row r="820" spans="4:9">
      <c r="D820" s="47"/>
      <c r="E820" s="143"/>
      <c r="H820" s="2"/>
      <c r="I820" s="30"/>
    </row>
    <row r="821" spans="4:9">
      <c r="D821" s="47"/>
      <c r="E821" s="143"/>
      <c r="H821" s="2"/>
      <c r="I821" s="30"/>
    </row>
    <row r="822" spans="4:9">
      <c r="D822" s="47"/>
      <c r="E822" s="143"/>
      <c r="H822" s="2"/>
      <c r="I822" s="30"/>
    </row>
    <row r="823" spans="4:9">
      <c r="D823" s="47"/>
      <c r="E823" s="143"/>
      <c r="H823" s="2"/>
      <c r="I823" s="30"/>
    </row>
    <row r="824" spans="4:9">
      <c r="D824" s="47"/>
      <c r="E824" s="143"/>
      <c r="H824" s="2"/>
      <c r="I824" s="30"/>
    </row>
    <row r="825" spans="4:9">
      <c r="D825" s="47"/>
      <c r="E825" s="143"/>
      <c r="H825" s="2"/>
      <c r="I825" s="30"/>
    </row>
    <row r="826" spans="4:9">
      <c r="D826" s="47"/>
      <c r="E826" s="143"/>
      <c r="H826" s="2"/>
      <c r="I826" s="30"/>
    </row>
    <row r="827" spans="4:9">
      <c r="D827" s="47"/>
      <c r="E827" s="143"/>
      <c r="H827" s="2"/>
      <c r="I827" s="30"/>
    </row>
    <row r="828" spans="4:9">
      <c r="D828" s="47"/>
      <c r="E828" s="143"/>
      <c r="H828" s="2"/>
      <c r="I828" s="30"/>
    </row>
    <row r="829" spans="4:9">
      <c r="D829" s="47"/>
      <c r="E829" s="143"/>
      <c r="H829" s="2"/>
      <c r="I829" s="30"/>
    </row>
    <row r="830" spans="4:9">
      <c r="D830" s="47"/>
      <c r="E830" s="143"/>
      <c r="H830" s="2"/>
      <c r="I830" s="30"/>
    </row>
    <row r="831" spans="4:9">
      <c r="D831" s="47"/>
      <c r="E831" s="143"/>
      <c r="H831" s="2"/>
      <c r="I831" s="30"/>
    </row>
    <row r="832" spans="4:9">
      <c r="D832" s="47"/>
      <c r="E832" s="143"/>
      <c r="H832" s="2"/>
      <c r="I832" s="30"/>
    </row>
    <row r="833" spans="4:9">
      <c r="D833" s="47"/>
      <c r="E833" s="143"/>
      <c r="H833" s="2"/>
      <c r="I833" s="30"/>
    </row>
    <row r="834" spans="4:9">
      <c r="D834" s="47"/>
      <c r="E834" s="143"/>
      <c r="H834" s="2"/>
      <c r="I834" s="30"/>
    </row>
    <row r="835" spans="4:9">
      <c r="D835" s="47"/>
      <c r="E835" s="143"/>
      <c r="H835" s="2"/>
      <c r="I835" s="30"/>
    </row>
    <row r="836" spans="4:9">
      <c r="D836" s="47"/>
      <c r="E836" s="143"/>
      <c r="H836" s="2"/>
      <c r="I836" s="30"/>
    </row>
    <row r="837" spans="4:9">
      <c r="D837" s="47"/>
      <c r="E837" s="143"/>
      <c r="H837" s="2"/>
      <c r="I837" s="30"/>
    </row>
    <row r="838" spans="4:9">
      <c r="D838" s="47"/>
      <c r="E838" s="143"/>
      <c r="H838" s="2"/>
      <c r="I838" s="30"/>
    </row>
    <row r="839" spans="4:9">
      <c r="D839" s="47"/>
      <c r="E839" s="143"/>
      <c r="H839" s="2"/>
      <c r="I839" s="30"/>
    </row>
    <row r="840" spans="4:9">
      <c r="D840" s="47"/>
      <c r="E840" s="143"/>
      <c r="H840" s="2"/>
      <c r="I840" s="30"/>
    </row>
    <row r="841" spans="4:9">
      <c r="D841" s="47"/>
      <c r="E841" s="143"/>
      <c r="H841" s="2"/>
      <c r="I841" s="30"/>
    </row>
    <row r="842" spans="4:9">
      <c r="D842" s="47"/>
      <c r="E842" s="143"/>
      <c r="H842" s="2"/>
      <c r="I842" s="30"/>
    </row>
    <row r="843" spans="4:9">
      <c r="D843" s="47"/>
      <c r="E843" s="143"/>
      <c r="H843" s="2"/>
      <c r="I843" s="30"/>
    </row>
    <row r="844" spans="4:9">
      <c r="D844" s="47"/>
      <c r="E844" s="143"/>
      <c r="H844" s="2"/>
      <c r="I844" s="30"/>
    </row>
    <row r="845" spans="4:9">
      <c r="D845" s="47"/>
      <c r="E845" s="143"/>
      <c r="H845" s="2"/>
      <c r="I845" s="30"/>
    </row>
    <row r="846" spans="4:9">
      <c r="D846" s="47"/>
      <c r="E846" s="143"/>
      <c r="H846" s="2"/>
      <c r="I846" s="30"/>
    </row>
    <row r="847" spans="4:9">
      <c r="D847" s="47"/>
      <c r="E847" s="143"/>
      <c r="H847" s="2"/>
      <c r="I847" s="30"/>
    </row>
    <row r="848" spans="4:9">
      <c r="D848" s="47"/>
      <c r="E848" s="143"/>
      <c r="H848" s="2"/>
      <c r="I848" s="30"/>
    </row>
    <row r="849" spans="4:9">
      <c r="D849" s="47"/>
      <c r="E849" s="143"/>
      <c r="H849" s="2"/>
      <c r="I849" s="30"/>
    </row>
    <row r="850" spans="4:9">
      <c r="D850" s="47"/>
      <c r="E850" s="143"/>
      <c r="H850" s="2"/>
      <c r="I850" s="30"/>
    </row>
    <row r="851" spans="4:9">
      <c r="D851" s="47"/>
      <c r="E851" s="143"/>
      <c r="H851" s="2"/>
      <c r="I851" s="30"/>
    </row>
    <row r="852" spans="4:9">
      <c r="D852" s="47"/>
      <c r="E852" s="143"/>
      <c r="H852" s="2"/>
      <c r="I852" s="30"/>
    </row>
    <row r="853" spans="4:9">
      <c r="D853" s="47"/>
      <c r="E853" s="143"/>
      <c r="H853" s="2"/>
      <c r="I853" s="30"/>
    </row>
    <row r="854" spans="4:9">
      <c r="D854" s="47"/>
      <c r="E854" s="143"/>
      <c r="H854" s="2"/>
      <c r="I854" s="30"/>
    </row>
    <row r="855" spans="4:9">
      <c r="D855" s="47"/>
      <c r="E855" s="143"/>
      <c r="H855" s="2"/>
      <c r="I855" s="30"/>
    </row>
    <row r="856" spans="4:9">
      <c r="D856" s="47"/>
      <c r="E856" s="143"/>
      <c r="H856" s="2"/>
      <c r="I856" s="30"/>
    </row>
    <row r="857" spans="4:9">
      <c r="D857" s="47"/>
      <c r="E857" s="143"/>
      <c r="H857" s="2"/>
      <c r="I857" s="30"/>
    </row>
    <row r="858" spans="4:9">
      <c r="D858" s="47"/>
      <c r="E858" s="143"/>
      <c r="H858" s="2"/>
      <c r="I858" s="30"/>
    </row>
    <row r="859" spans="4:9">
      <c r="D859" s="47"/>
      <c r="E859" s="143"/>
      <c r="H859" s="2"/>
      <c r="I859" s="30"/>
    </row>
    <row r="860" spans="4:9">
      <c r="D860" s="47"/>
      <c r="E860" s="143"/>
      <c r="H860" s="2"/>
      <c r="I860" s="30"/>
    </row>
    <row r="861" spans="4:9">
      <c r="D861" s="47"/>
      <c r="E861" s="143"/>
      <c r="H861" s="2"/>
      <c r="I861" s="30"/>
    </row>
    <row r="862" spans="4:9">
      <c r="D862" s="47"/>
      <c r="E862" s="143"/>
      <c r="H862" s="2"/>
      <c r="I862" s="30"/>
    </row>
    <row r="863" spans="4:9">
      <c r="D863" s="47"/>
      <c r="E863" s="143"/>
      <c r="H863" s="2"/>
      <c r="I863" s="30"/>
    </row>
    <row r="864" spans="4:9">
      <c r="D864" s="47"/>
      <c r="E864" s="143"/>
      <c r="H864" s="2"/>
      <c r="I864" s="30"/>
    </row>
    <row r="865" spans="4:9">
      <c r="D865" s="47"/>
      <c r="E865" s="143"/>
      <c r="H865" s="2"/>
      <c r="I865" s="30"/>
    </row>
    <row r="866" spans="4:9">
      <c r="D866" s="47"/>
      <c r="E866" s="143"/>
      <c r="H866" s="2"/>
      <c r="I866" s="30"/>
    </row>
    <row r="867" spans="4:9">
      <c r="D867" s="47"/>
      <c r="E867" s="143"/>
      <c r="H867" s="2"/>
      <c r="I867" s="30"/>
    </row>
    <row r="868" spans="4:9">
      <c r="D868" s="47"/>
      <c r="E868" s="143"/>
      <c r="H868" s="2"/>
      <c r="I868" s="30"/>
    </row>
    <row r="869" spans="4:9">
      <c r="D869" s="47"/>
      <c r="E869" s="143"/>
      <c r="H869" s="2"/>
      <c r="I869" s="30"/>
    </row>
    <row r="870" spans="4:9">
      <c r="D870" s="47"/>
      <c r="E870" s="143"/>
      <c r="H870" s="2"/>
      <c r="I870" s="30"/>
    </row>
    <row r="871" spans="4:9">
      <c r="D871" s="47"/>
      <c r="E871" s="143"/>
      <c r="H871" s="2"/>
      <c r="I871" s="30"/>
    </row>
    <row r="872" spans="4:9">
      <c r="D872" s="47"/>
      <c r="E872" s="143"/>
      <c r="H872" s="2"/>
      <c r="I872" s="30"/>
    </row>
    <row r="873" spans="4:9">
      <c r="D873" s="47"/>
      <c r="E873" s="143"/>
      <c r="H873" s="2"/>
      <c r="I873" s="30"/>
    </row>
    <row r="874" spans="4:9">
      <c r="D874" s="47"/>
      <c r="E874" s="143"/>
      <c r="H874" s="2"/>
      <c r="I874" s="30"/>
    </row>
    <row r="875" spans="4:9">
      <c r="D875" s="47"/>
      <c r="E875" s="143"/>
      <c r="H875" s="2"/>
      <c r="I875" s="30"/>
    </row>
    <row r="876" spans="4:9">
      <c r="D876" s="47"/>
      <c r="E876" s="143"/>
      <c r="H876" s="2"/>
      <c r="I876" s="30"/>
    </row>
    <row r="877" spans="4:9">
      <c r="D877" s="47"/>
      <c r="E877" s="143"/>
      <c r="H877" s="2"/>
      <c r="I877" s="30"/>
    </row>
    <row r="878" spans="4:9">
      <c r="D878" s="47"/>
      <c r="E878" s="143"/>
      <c r="H878" s="2"/>
      <c r="I878" s="30"/>
    </row>
    <row r="879" spans="4:9">
      <c r="D879" s="47"/>
      <c r="E879" s="143"/>
      <c r="H879" s="2"/>
      <c r="I879" s="30"/>
    </row>
    <row r="880" spans="4:9">
      <c r="D880" s="47"/>
      <c r="E880" s="143"/>
      <c r="H880" s="2"/>
      <c r="I880" s="30"/>
    </row>
    <row r="881" spans="4:9">
      <c r="D881" s="47"/>
      <c r="E881" s="143"/>
      <c r="H881" s="2"/>
      <c r="I881" s="30"/>
    </row>
    <row r="882" spans="4:9">
      <c r="D882" s="47"/>
      <c r="E882" s="143"/>
      <c r="H882" s="2"/>
      <c r="I882" s="30"/>
    </row>
    <row r="883" spans="4:9">
      <c r="D883" s="47"/>
      <c r="E883" s="143"/>
      <c r="H883" s="2"/>
      <c r="I883" s="30"/>
    </row>
    <row r="884" spans="4:9">
      <c r="D884" s="47"/>
      <c r="E884" s="143"/>
      <c r="H884" s="2"/>
      <c r="I884" s="30"/>
    </row>
    <row r="885" spans="4:9">
      <c r="D885" s="47"/>
      <c r="E885" s="143"/>
      <c r="H885" s="2"/>
      <c r="I885" s="30"/>
    </row>
    <row r="886" spans="4:9">
      <c r="D886" s="47"/>
      <c r="E886" s="143"/>
      <c r="H886" s="2"/>
      <c r="I886" s="30"/>
    </row>
    <row r="887" spans="4:9">
      <c r="D887" s="47"/>
      <c r="E887" s="143"/>
      <c r="H887" s="2"/>
      <c r="I887" s="30"/>
    </row>
    <row r="888" spans="4:9">
      <c r="D888" s="47"/>
      <c r="E888" s="143"/>
      <c r="H888" s="2"/>
      <c r="I888" s="30"/>
    </row>
    <row r="889" spans="4:9">
      <c r="D889" s="47"/>
      <c r="E889" s="143"/>
      <c r="H889" s="2"/>
      <c r="I889" s="30"/>
    </row>
    <row r="890" spans="4:9">
      <c r="D890" s="47"/>
      <c r="E890" s="143"/>
      <c r="H890" s="2"/>
      <c r="I890" s="30"/>
    </row>
    <row r="891" spans="4:9">
      <c r="D891" s="47"/>
      <c r="E891" s="143"/>
      <c r="H891" s="2"/>
      <c r="I891" s="30"/>
    </row>
    <row r="892" spans="4:9">
      <c r="D892" s="47"/>
      <c r="E892" s="143"/>
      <c r="H892" s="2"/>
      <c r="I892" s="30"/>
    </row>
    <row r="893" spans="4:9">
      <c r="D893" s="47"/>
      <c r="E893" s="143"/>
      <c r="H893" s="2"/>
      <c r="I893" s="30"/>
    </row>
    <row r="894" spans="4:9">
      <c r="D894" s="47"/>
      <c r="E894" s="143"/>
      <c r="H894" s="2"/>
      <c r="I894" s="30"/>
    </row>
    <row r="895" spans="4:9">
      <c r="D895" s="47"/>
      <c r="E895" s="143"/>
      <c r="H895" s="2"/>
      <c r="I895" s="30"/>
    </row>
    <row r="896" spans="4:9">
      <c r="D896" s="47"/>
      <c r="E896" s="143"/>
      <c r="H896" s="2"/>
      <c r="I896" s="30"/>
    </row>
    <row r="897" spans="4:9">
      <c r="D897" s="47"/>
      <c r="E897" s="143"/>
      <c r="H897" s="2"/>
      <c r="I897" s="30"/>
    </row>
    <row r="898" spans="4:9">
      <c r="D898" s="47"/>
      <c r="E898" s="143"/>
      <c r="H898" s="2"/>
      <c r="I898" s="30"/>
    </row>
    <row r="899" spans="4:9">
      <c r="D899" s="47"/>
      <c r="E899" s="143"/>
      <c r="H899" s="2"/>
      <c r="I899" s="30"/>
    </row>
    <row r="900" spans="4:9">
      <c r="D900" s="47"/>
      <c r="E900" s="143"/>
      <c r="H900" s="2"/>
      <c r="I900" s="30"/>
    </row>
    <row r="901" spans="4:9">
      <c r="D901" s="47"/>
      <c r="E901" s="143"/>
      <c r="H901" s="2"/>
      <c r="I901" s="30"/>
    </row>
    <row r="902" spans="4:9">
      <c r="D902" s="47"/>
      <c r="E902" s="143"/>
      <c r="H902" s="2"/>
      <c r="I902" s="30"/>
    </row>
    <row r="903" spans="4:9">
      <c r="D903" s="47"/>
      <c r="E903" s="143"/>
      <c r="H903" s="2"/>
      <c r="I903" s="30"/>
    </row>
    <row r="904" spans="4:9">
      <c r="D904" s="47"/>
      <c r="E904" s="143"/>
      <c r="H904" s="2"/>
      <c r="I904" s="30"/>
    </row>
    <row r="905" spans="4:9">
      <c r="D905" s="47"/>
      <c r="E905" s="143"/>
      <c r="H905" s="2"/>
      <c r="I905" s="30"/>
    </row>
    <row r="906" spans="4:9">
      <c r="D906" s="47"/>
      <c r="E906" s="143"/>
      <c r="H906" s="2"/>
      <c r="I906" s="30"/>
    </row>
    <row r="907" spans="4:9">
      <c r="D907" s="47"/>
      <c r="E907" s="143"/>
      <c r="H907" s="2"/>
      <c r="I907" s="30"/>
    </row>
    <row r="908" spans="4:9">
      <c r="D908" s="47"/>
      <c r="E908" s="143"/>
      <c r="H908" s="2"/>
      <c r="I908" s="30"/>
    </row>
    <row r="909" spans="4:9">
      <c r="D909" s="47"/>
      <c r="E909" s="143"/>
      <c r="H909" s="2"/>
      <c r="I909" s="30"/>
    </row>
    <row r="910" spans="4:9">
      <c r="D910" s="47"/>
      <c r="E910" s="143"/>
      <c r="H910" s="2"/>
      <c r="I910" s="30"/>
    </row>
    <row r="911" spans="4:9">
      <c r="D911" s="47"/>
      <c r="E911" s="143"/>
      <c r="H911" s="2"/>
      <c r="I911" s="30"/>
    </row>
    <row r="912" spans="4:9">
      <c r="D912" s="47"/>
      <c r="E912" s="143"/>
      <c r="H912" s="2"/>
      <c r="I912" s="30"/>
    </row>
    <row r="913" spans="4:9">
      <c r="D913" s="47"/>
      <c r="E913" s="143"/>
      <c r="H913" s="2"/>
      <c r="I913" s="30"/>
    </row>
    <row r="914" spans="4:9">
      <c r="D914" s="47"/>
      <c r="E914" s="143"/>
      <c r="H914" s="2"/>
      <c r="I914" s="30"/>
    </row>
    <row r="915" spans="4:9">
      <c r="D915" s="47"/>
      <c r="E915" s="143"/>
      <c r="H915" s="2"/>
      <c r="I915" s="30"/>
    </row>
    <row r="916" spans="4:9">
      <c r="D916" s="47"/>
      <c r="E916" s="143"/>
      <c r="H916" s="2"/>
      <c r="I916" s="30"/>
    </row>
    <row r="917" spans="4:9">
      <c r="D917" s="47"/>
      <c r="E917" s="143"/>
      <c r="H917" s="2"/>
      <c r="I917" s="30"/>
    </row>
    <row r="918" spans="4:9">
      <c r="D918" s="47"/>
      <c r="E918" s="143"/>
      <c r="H918" s="2"/>
      <c r="I918" s="30"/>
    </row>
    <row r="919" spans="4:9">
      <c r="D919" s="47"/>
      <c r="E919" s="143"/>
      <c r="H919" s="2"/>
      <c r="I919" s="30"/>
    </row>
    <row r="920" spans="4:9">
      <c r="D920" s="47"/>
      <c r="E920" s="143"/>
      <c r="H920" s="2"/>
      <c r="I920" s="30"/>
    </row>
    <row r="921" spans="4:9">
      <c r="D921" s="47"/>
      <c r="E921" s="143"/>
      <c r="H921" s="2"/>
      <c r="I921" s="30"/>
    </row>
    <row r="922" spans="4:9">
      <c r="D922" s="47"/>
      <c r="E922" s="143"/>
      <c r="H922" s="2"/>
      <c r="I922" s="30"/>
    </row>
    <row r="923" spans="4:9">
      <c r="D923" s="47"/>
      <c r="E923" s="143"/>
      <c r="H923" s="2"/>
      <c r="I923" s="30"/>
    </row>
    <row r="924" spans="4:9">
      <c r="D924" s="47"/>
      <c r="E924" s="143"/>
      <c r="H924" s="2"/>
      <c r="I924" s="30"/>
    </row>
    <row r="925" spans="4:9">
      <c r="D925" s="47"/>
      <c r="E925" s="143"/>
      <c r="H925" s="2"/>
      <c r="I925" s="30"/>
    </row>
    <row r="926" spans="4:9">
      <c r="D926" s="47"/>
      <c r="E926" s="143"/>
      <c r="H926" s="2"/>
      <c r="I926" s="30"/>
    </row>
    <row r="927" spans="4:9">
      <c r="D927" s="47"/>
      <c r="E927" s="143"/>
      <c r="H927" s="2"/>
      <c r="I927" s="30"/>
    </row>
    <row r="928" spans="4:9">
      <c r="D928" s="47"/>
      <c r="E928" s="143"/>
      <c r="H928" s="2"/>
      <c r="I928" s="30"/>
    </row>
    <row r="929" spans="4:9">
      <c r="D929" s="47"/>
      <c r="E929" s="143"/>
      <c r="H929" s="2"/>
      <c r="I929" s="30"/>
    </row>
    <row r="930" spans="4:9">
      <c r="D930" s="47"/>
      <c r="E930" s="143"/>
      <c r="H930" s="2"/>
      <c r="I930" s="30"/>
    </row>
    <row r="931" spans="4:9">
      <c r="D931" s="47"/>
      <c r="E931" s="143"/>
      <c r="H931" s="2"/>
      <c r="I931" s="30"/>
    </row>
    <row r="932" spans="4:9">
      <c r="D932" s="47"/>
      <c r="E932" s="143"/>
      <c r="H932" s="2"/>
      <c r="I932" s="30"/>
    </row>
    <row r="933" spans="4:9">
      <c r="D933" s="47"/>
      <c r="E933" s="143"/>
      <c r="H933" s="2"/>
      <c r="I933" s="30"/>
    </row>
    <row r="934" spans="4:9">
      <c r="D934" s="47"/>
      <c r="E934" s="143"/>
      <c r="H934" s="2"/>
      <c r="I934" s="30"/>
    </row>
    <row r="935" spans="4:9">
      <c r="D935" s="47"/>
      <c r="E935" s="143"/>
      <c r="H935" s="2"/>
      <c r="I935" s="30"/>
    </row>
    <row r="936" spans="4:9">
      <c r="D936" s="47"/>
      <c r="E936" s="143"/>
      <c r="H936" s="2"/>
      <c r="I936" s="30"/>
    </row>
    <row r="937" spans="4:9">
      <c r="D937" s="47"/>
      <c r="E937" s="143"/>
      <c r="H937" s="2"/>
      <c r="I937" s="30"/>
    </row>
    <row r="938" spans="4:9">
      <c r="D938" s="47"/>
      <c r="E938" s="143"/>
      <c r="H938" s="2"/>
      <c r="I938" s="30"/>
    </row>
    <row r="939" spans="4:9">
      <c r="D939" s="47"/>
      <c r="E939" s="143"/>
      <c r="H939" s="2"/>
      <c r="I939" s="30"/>
    </row>
    <row r="940" spans="4:9">
      <c r="D940" s="47"/>
      <c r="E940" s="143"/>
      <c r="H940" s="2"/>
      <c r="I940" s="30"/>
    </row>
    <row r="941" spans="4:9">
      <c r="D941" s="47"/>
      <c r="E941" s="143"/>
      <c r="H941" s="2"/>
      <c r="I941" s="30"/>
    </row>
    <row r="942" spans="4:9">
      <c r="D942" s="47"/>
      <c r="E942" s="143"/>
      <c r="H942" s="2"/>
      <c r="I942" s="30"/>
    </row>
    <row r="943" spans="4:9">
      <c r="D943" s="47"/>
      <c r="E943" s="143"/>
      <c r="H943" s="2"/>
      <c r="I943" s="30"/>
    </row>
    <row r="944" spans="4:9">
      <c r="D944" s="47"/>
      <c r="E944" s="143"/>
      <c r="H944" s="2"/>
      <c r="I944" s="30"/>
    </row>
    <row r="945" spans="11:15">
      <c r="K945" s="143"/>
      <c r="N945" s="2"/>
      <c r="O945" s="30"/>
    </row>
    <row r="946" spans="11:15">
      <c r="K946" s="143"/>
      <c r="N946" s="2"/>
      <c r="O946" s="30"/>
    </row>
    <row r="947" spans="11:15">
      <c r="K947" s="143"/>
      <c r="N947" s="2"/>
      <c r="O947" s="30"/>
    </row>
    <row r="948" spans="11:15">
      <c r="K948" s="143"/>
      <c r="N948" s="2"/>
      <c r="O948" s="30"/>
    </row>
    <row r="949" spans="11:15">
      <c r="K949" s="143"/>
      <c r="N949" s="2"/>
      <c r="O949" s="30"/>
    </row>
    <row r="950" spans="11:15">
      <c r="K950" s="143"/>
      <c r="N950" s="2"/>
      <c r="O950" s="30"/>
    </row>
    <row r="951" spans="11:15">
      <c r="K951" s="143"/>
      <c r="N951" s="2"/>
      <c r="O951" s="30"/>
    </row>
    <row r="952" spans="11:15">
      <c r="K952" s="143"/>
      <c r="N952" s="2"/>
      <c r="O952" s="30"/>
    </row>
    <row r="953" spans="11:15">
      <c r="K953" s="143"/>
      <c r="N953" s="2"/>
      <c r="O953" s="30"/>
    </row>
    <row r="954" spans="11:15">
      <c r="K954" s="143"/>
      <c r="N954" s="2"/>
      <c r="O954" s="30"/>
    </row>
    <row r="955" spans="11:15">
      <c r="K955" s="143"/>
      <c r="N955" s="2"/>
      <c r="O955" s="30"/>
    </row>
    <row r="956" spans="11:15">
      <c r="K956" s="143"/>
      <c r="N956" s="2"/>
      <c r="O956" s="30"/>
    </row>
    <row r="957" spans="11:15">
      <c r="K957" s="143"/>
      <c r="N957" s="2"/>
      <c r="O957" s="30"/>
    </row>
    <row r="958" spans="11:15">
      <c r="K958" s="143"/>
      <c r="N958" s="2"/>
      <c r="O958" s="30"/>
    </row>
    <row r="959" spans="11:15">
      <c r="K959" s="143"/>
      <c r="N959" s="2"/>
      <c r="O959" s="30"/>
    </row>
    <row r="960" spans="11:15">
      <c r="K960" s="143"/>
      <c r="N960" s="2"/>
      <c r="O960" s="30"/>
    </row>
    <row r="961" spans="11:15">
      <c r="K961" s="143"/>
      <c r="N961" s="2"/>
      <c r="O961" s="30"/>
    </row>
    <row r="962" spans="11:15">
      <c r="K962" s="143"/>
      <c r="N962" s="2"/>
      <c r="O962" s="30"/>
    </row>
    <row r="963" spans="11:15">
      <c r="K963" s="143"/>
      <c r="N963" s="2"/>
      <c r="O963" s="30"/>
    </row>
    <row r="964" spans="11:15">
      <c r="K964" s="143"/>
      <c r="N964" s="2"/>
      <c r="O964" s="30"/>
    </row>
    <row r="965" spans="11:15">
      <c r="K965" s="143"/>
      <c r="N965" s="2"/>
      <c r="O965" s="30"/>
    </row>
    <row r="966" spans="11:15">
      <c r="K966" s="143"/>
      <c r="N966" s="2"/>
      <c r="O966" s="30"/>
    </row>
  </sheetData>
  <mergeCells count="2">
    <mergeCell ref="F5:F6"/>
    <mergeCell ref="G5:G6"/>
  </mergeCells>
  <hyperlinks>
    <hyperlink ref="M3" r:id="rId1" xr:uid="{9A802B09-0F1B-4E33-922E-56C02F67DC01}"/>
    <hyperlink ref="M4" r:id="rId2" xr:uid="{7F262B4D-B29F-4189-979F-85ADE675C819}"/>
    <hyperlink ref="M6" r:id="rId3" xr:uid="{B2598144-B6ED-441E-BD52-F739AC81D268}"/>
  </hyperlinks>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C1DD9-FBBD-4D56-9323-B58E521F77C7}">
  <dimension ref="A1:Z4"/>
  <sheetViews>
    <sheetView workbookViewId="0">
      <selection activeCell="A3" sqref="A3"/>
    </sheetView>
  </sheetViews>
  <sheetFormatPr defaultRowHeight="12.75"/>
  <cols>
    <col min="1" max="1" width="7.5703125" customWidth="1"/>
    <col min="2" max="2" width="20" customWidth="1"/>
    <col min="3" max="3" width="17.7109375" customWidth="1"/>
    <col min="4" max="4" width="16.140625" customWidth="1"/>
    <col min="5" max="5" width="14.7109375" customWidth="1"/>
    <col min="6" max="6" width="53.85546875" customWidth="1"/>
    <col min="7" max="7" width="14.140625" customWidth="1"/>
    <col min="8" max="8" width="16.5703125" customWidth="1"/>
    <col min="9" max="9" width="19" customWidth="1"/>
    <col min="10" max="10" width="18.140625" customWidth="1"/>
    <col min="11" max="11" width="15.28515625" customWidth="1"/>
  </cols>
  <sheetData>
    <row r="1" spans="1:26" ht="13.5">
      <c r="A1" s="59" t="s">
        <v>254</v>
      </c>
      <c r="B1" s="154" t="s">
        <v>11</v>
      </c>
      <c r="C1" s="155" t="s">
        <v>322</v>
      </c>
      <c r="D1" s="154" t="s">
        <v>256</v>
      </c>
      <c r="E1" s="155" t="s">
        <v>324</v>
      </c>
      <c r="F1" s="155" t="s">
        <v>325</v>
      </c>
      <c r="G1" s="154" t="s">
        <v>326</v>
      </c>
      <c r="H1" s="154" t="s">
        <v>328</v>
      </c>
      <c r="I1" s="154" t="s">
        <v>259</v>
      </c>
      <c r="J1" s="156" t="s">
        <v>329</v>
      </c>
      <c r="K1" s="157" t="s">
        <v>280</v>
      </c>
      <c r="L1" s="35"/>
      <c r="M1" s="35"/>
      <c r="N1" s="35"/>
      <c r="O1" s="35"/>
      <c r="P1" s="35"/>
      <c r="Q1" s="35"/>
      <c r="R1" s="35"/>
      <c r="S1" s="35"/>
      <c r="T1" s="35"/>
      <c r="U1" s="35"/>
      <c r="V1" s="35"/>
      <c r="W1" s="35"/>
      <c r="X1" s="35"/>
      <c r="Y1" s="35"/>
      <c r="Z1" s="35"/>
    </row>
    <row r="2" spans="1:26" s="137" customFormat="1">
      <c r="A2" s="318" t="s">
        <v>1734</v>
      </c>
      <c r="B2" s="319"/>
      <c r="C2" s="256"/>
      <c r="D2" s="288"/>
      <c r="E2" s="244"/>
      <c r="F2" s="320"/>
      <c r="G2" s="244"/>
      <c r="H2" s="244"/>
      <c r="I2" s="244"/>
      <c r="J2" s="244"/>
      <c r="K2" s="244"/>
      <c r="L2" s="244"/>
      <c r="M2" s="244"/>
      <c r="N2" s="244"/>
      <c r="O2" s="244"/>
      <c r="P2" s="244"/>
      <c r="Q2" s="244"/>
      <c r="R2" s="244"/>
      <c r="S2" s="244"/>
      <c r="T2" s="244"/>
      <c r="U2" s="244"/>
      <c r="V2" s="244"/>
    </row>
    <row r="3" spans="1:26" s="137" customFormat="1">
      <c r="A3" s="256"/>
      <c r="B3" s="319"/>
      <c r="C3" s="256"/>
      <c r="D3" s="288"/>
      <c r="E3" s="244"/>
      <c r="F3" s="321"/>
      <c r="G3" s="244"/>
      <c r="H3" s="244"/>
      <c r="I3" s="244"/>
      <c r="J3" s="244"/>
      <c r="K3" s="244"/>
    </row>
    <row r="4" spans="1:26">
      <c r="B4" s="3"/>
      <c r="D4" s="35"/>
      <c r="E4" s="35"/>
      <c r="F4" s="144"/>
      <c r="G4" s="35"/>
      <c r="H4" s="35"/>
      <c r="I4" s="35"/>
      <c r="J4" s="35"/>
      <c r="K4" s="35"/>
    </row>
  </sheetData>
  <dataValidations count="4">
    <dataValidation type="list" allowBlank="1" showErrorMessage="1" sqref="H2:H4" xr:uid="{BBEB7880-A866-432F-B21D-967836F4CC9C}">
      <formula1>"Internal,External"</formula1>
    </dataValidation>
    <dataValidation type="list" allowBlank="1" showErrorMessage="1" sqref="E2:E4" xr:uid="{67E2EB71-39BC-4F70-B1FA-01778DD50E12}">
      <formula1>"Bounceback,Defect,None"</formula1>
    </dataValidation>
    <dataValidation type="list" allowBlank="1" showErrorMessage="1" sqref="I2:I4" xr:uid="{82C3F1B3-DACC-4144-936E-06CCA28455FA}">
      <formula1>"Open,Inprogress,Closed"</formula1>
    </dataValidation>
    <dataValidation type="list" allowBlank="1" showErrorMessage="1" sqref="G2:G4" xr:uid="{41DBDD45-321A-4F7C-8C25-9AFB846D3256}">
      <formula1>"Minor,Significant,Major"</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D0778261-CCB5-4ADB-AA33-A8A3E73595D7}">
          <x14:formula1>
            <xm:f>Details!$A$2:$A$10</xm:f>
          </x14:formula1>
          <xm:sqref>J2:J4</xm:sqref>
        </x14:dataValidation>
      </x14:dataValidations>
    </ext>
  </extLst>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209C2-5342-42EA-91E8-B349BE4F5AA5}">
  <dimension ref="A1:X972"/>
  <sheetViews>
    <sheetView topLeftCell="F1" workbookViewId="0">
      <selection activeCell="F8" sqref="F8"/>
    </sheetView>
  </sheetViews>
  <sheetFormatPr defaultRowHeight="12.75"/>
  <cols>
    <col min="1" max="1" width="8.28515625" style="181" customWidth="1"/>
    <col min="2" max="2" width="20.42578125" customWidth="1"/>
    <col min="3" max="3" width="20.7109375" style="47" customWidth="1"/>
    <col min="4" max="4" width="16.85546875" customWidth="1"/>
    <col min="5" max="5" width="42" customWidth="1"/>
    <col min="6" max="7" width="9.140625" style="53"/>
    <col min="12" max="12" width="33.140625" customWidth="1"/>
    <col min="13" max="13" width="22.7109375" customWidth="1"/>
    <col min="14" max="14" width="10.7109375" bestFit="1" customWidth="1"/>
    <col min="15" max="15" width="10.42578125" customWidth="1"/>
    <col min="17" max="17" width="13.28515625" customWidth="1"/>
    <col min="19" max="19" width="9.42578125" bestFit="1" customWidth="1"/>
    <col min="20" max="20" width="14.7109375" customWidth="1"/>
    <col min="21" max="21" width="15.28515625" customWidth="1"/>
    <col min="22" max="22" width="14.7109375" customWidth="1"/>
    <col min="23" max="23" width="11.5703125" style="137" customWidth="1"/>
    <col min="24" max="24" width="48.28515625" customWidth="1"/>
  </cols>
  <sheetData>
    <row r="1" spans="1:24">
      <c r="A1" s="184"/>
      <c r="B1" s="4"/>
      <c r="C1" s="5"/>
      <c r="D1" s="5"/>
      <c r="E1" s="4"/>
      <c r="F1" s="48"/>
      <c r="G1" s="48"/>
      <c r="H1" s="197"/>
      <c r="I1" s="243"/>
      <c r="J1" s="197"/>
      <c r="K1" s="197"/>
      <c r="L1" s="197"/>
      <c r="M1" s="197"/>
      <c r="N1" s="197"/>
      <c r="O1" s="197"/>
      <c r="P1" s="197"/>
      <c r="Q1" s="197"/>
      <c r="R1" s="197"/>
      <c r="S1" s="197"/>
      <c r="T1" s="197"/>
      <c r="U1" s="197"/>
      <c r="V1" s="197"/>
      <c r="W1" s="188"/>
      <c r="X1" s="209"/>
    </row>
    <row r="2" spans="1:24" ht="48">
      <c r="A2" s="193" t="s">
        <v>254</v>
      </c>
      <c r="B2" s="59" t="s">
        <v>255</v>
      </c>
      <c r="C2" s="195" t="s">
        <v>256</v>
      </c>
      <c r="D2" s="68" t="s">
        <v>257</v>
      </c>
      <c r="E2" s="70" t="s">
        <v>258</v>
      </c>
      <c r="F2" s="71" t="s">
        <v>260</v>
      </c>
      <c r="G2" s="71" t="s">
        <v>261</v>
      </c>
      <c r="H2" s="199" t="s">
        <v>265</v>
      </c>
      <c r="I2" s="199" t="s">
        <v>266</v>
      </c>
      <c r="J2" s="199" t="s">
        <v>267</v>
      </c>
      <c r="K2" s="199" t="s">
        <v>268</v>
      </c>
      <c r="L2" s="199" t="s">
        <v>269</v>
      </c>
      <c r="M2" s="199" t="s">
        <v>270</v>
      </c>
      <c r="N2" s="199" t="s">
        <v>271</v>
      </c>
      <c r="O2" s="199" t="s">
        <v>272</v>
      </c>
      <c r="P2" s="199" t="s">
        <v>1708</v>
      </c>
      <c r="Q2" s="199" t="s">
        <v>274</v>
      </c>
      <c r="R2" s="199" t="s">
        <v>1709</v>
      </c>
      <c r="S2" s="199" t="s">
        <v>276</v>
      </c>
      <c r="T2" s="199" t="s">
        <v>274</v>
      </c>
      <c r="U2" s="199" t="s">
        <v>278</v>
      </c>
      <c r="V2" s="199" t="s">
        <v>279</v>
      </c>
      <c r="W2" s="189" t="s">
        <v>259</v>
      </c>
      <c r="X2" s="210" t="s">
        <v>280</v>
      </c>
    </row>
    <row r="3" spans="1:24" s="137" customFormat="1" ht="28.5" customHeight="1">
      <c r="A3" s="302">
        <v>1</v>
      </c>
      <c r="B3" s="298" t="s">
        <v>1735</v>
      </c>
      <c r="C3" s="304" t="s">
        <v>1736</v>
      </c>
      <c r="D3" s="62" t="s">
        <v>1737</v>
      </c>
      <c r="E3" s="225" t="s">
        <v>1738</v>
      </c>
      <c r="F3" s="555">
        <v>3</v>
      </c>
      <c r="G3" s="555">
        <v>3</v>
      </c>
      <c r="H3" s="83" t="s">
        <v>290</v>
      </c>
      <c r="I3" s="41" t="s">
        <v>292</v>
      </c>
      <c r="J3" s="203" t="s">
        <v>1663</v>
      </c>
      <c r="K3" s="41" t="s">
        <v>862</v>
      </c>
      <c r="L3" s="203" t="s">
        <v>1694</v>
      </c>
      <c r="M3" s="231" t="s">
        <v>1739</v>
      </c>
      <c r="N3" s="232">
        <v>45496</v>
      </c>
      <c r="O3" s="232">
        <v>45499</v>
      </c>
      <c r="P3" s="41" t="s">
        <v>1590</v>
      </c>
      <c r="Q3" s="282" t="s">
        <v>1694</v>
      </c>
      <c r="R3" s="203" t="s">
        <v>862</v>
      </c>
      <c r="S3" s="206">
        <v>45499</v>
      </c>
      <c r="T3" s="282" t="s">
        <v>1694</v>
      </c>
      <c r="U3" s="282" t="s">
        <v>1694</v>
      </c>
      <c r="V3" s="282" t="s">
        <v>1694</v>
      </c>
      <c r="W3" s="203" t="s">
        <v>289</v>
      </c>
      <c r="X3" s="203"/>
    </row>
    <row r="4" spans="1:24" s="137" customFormat="1" ht="28.5" customHeight="1">
      <c r="A4" s="302">
        <v>2</v>
      </c>
      <c r="B4" s="298" t="s">
        <v>1735</v>
      </c>
      <c r="C4" s="304" t="s">
        <v>292</v>
      </c>
      <c r="D4" s="62" t="s">
        <v>1740</v>
      </c>
      <c r="E4" s="225" t="s">
        <v>1741</v>
      </c>
      <c r="F4" s="561"/>
      <c r="G4" s="561"/>
      <c r="H4" s="83" t="s">
        <v>290</v>
      </c>
      <c r="I4" s="41" t="s">
        <v>1714</v>
      </c>
      <c r="J4" s="203" t="s">
        <v>1663</v>
      </c>
      <c r="K4" s="41" t="s">
        <v>862</v>
      </c>
      <c r="L4" s="203" t="s">
        <v>1694</v>
      </c>
      <c r="M4" s="231" t="s">
        <v>1742</v>
      </c>
      <c r="N4" s="232">
        <v>45499</v>
      </c>
      <c r="O4" s="232">
        <v>45502</v>
      </c>
      <c r="P4" s="41" t="s">
        <v>1590</v>
      </c>
      <c r="Q4" s="282" t="s">
        <v>1694</v>
      </c>
      <c r="R4" s="203" t="s">
        <v>862</v>
      </c>
      <c r="S4" s="206">
        <v>45502</v>
      </c>
      <c r="T4" s="282" t="s">
        <v>1694</v>
      </c>
      <c r="U4" s="282" t="s">
        <v>1694</v>
      </c>
      <c r="V4" s="282" t="s">
        <v>1694</v>
      </c>
      <c r="W4" s="203" t="s">
        <v>289</v>
      </c>
      <c r="X4" s="203"/>
    </row>
    <row r="5" spans="1:24" s="137" customFormat="1" ht="28.5" customHeight="1">
      <c r="A5" s="302">
        <v>3</v>
      </c>
      <c r="B5" s="298" t="s">
        <v>1735</v>
      </c>
      <c r="C5" s="304" t="s">
        <v>1736</v>
      </c>
      <c r="D5" s="62" t="s">
        <v>1743</v>
      </c>
      <c r="E5" s="225" t="s">
        <v>1744</v>
      </c>
      <c r="F5" s="556"/>
      <c r="G5" s="556"/>
      <c r="H5" s="83" t="s">
        <v>290</v>
      </c>
      <c r="I5" s="41" t="s">
        <v>1714</v>
      </c>
      <c r="J5" s="203" t="s">
        <v>1663</v>
      </c>
      <c r="K5" s="41" t="s">
        <v>862</v>
      </c>
      <c r="L5" s="203" t="s">
        <v>1694</v>
      </c>
      <c r="M5" s="231" t="s">
        <v>1745</v>
      </c>
      <c r="N5" s="232">
        <v>45496</v>
      </c>
      <c r="O5" s="232">
        <v>45499</v>
      </c>
      <c r="P5" s="41" t="s">
        <v>1590</v>
      </c>
      <c r="Q5" s="282" t="s">
        <v>1694</v>
      </c>
      <c r="R5" s="203" t="s">
        <v>862</v>
      </c>
      <c r="S5" s="206">
        <v>45499</v>
      </c>
      <c r="T5" s="282" t="s">
        <v>1694</v>
      </c>
      <c r="U5" s="282" t="s">
        <v>1694</v>
      </c>
      <c r="V5" s="282" t="s">
        <v>1694</v>
      </c>
      <c r="W5" s="203" t="s">
        <v>289</v>
      </c>
      <c r="X5" s="203"/>
    </row>
    <row r="6" spans="1:24" s="137" customFormat="1" ht="30.75" customHeight="1">
      <c r="A6" s="302">
        <v>4</v>
      </c>
      <c r="B6" s="298" t="s">
        <v>1735</v>
      </c>
      <c r="C6" s="304" t="s">
        <v>1736</v>
      </c>
      <c r="D6" s="62" t="s">
        <v>1746</v>
      </c>
      <c r="E6" s="225" t="s">
        <v>1747</v>
      </c>
      <c r="F6" s="17">
        <v>3</v>
      </c>
      <c r="G6" s="17">
        <v>3</v>
      </c>
      <c r="H6" s="83" t="s">
        <v>290</v>
      </c>
      <c r="I6" s="41" t="s">
        <v>1714</v>
      </c>
      <c r="J6" s="203" t="s">
        <v>1663</v>
      </c>
      <c r="K6" s="41" t="s">
        <v>862</v>
      </c>
      <c r="L6" s="203" t="s">
        <v>1694</v>
      </c>
      <c r="M6" s="311" t="s">
        <v>1748</v>
      </c>
      <c r="N6" s="232">
        <v>45502</v>
      </c>
      <c r="O6" s="232">
        <v>45503</v>
      </c>
      <c r="P6" s="41" t="s">
        <v>1590</v>
      </c>
      <c r="Q6" s="282" t="s">
        <v>1694</v>
      </c>
      <c r="R6" s="203" t="s">
        <v>862</v>
      </c>
      <c r="S6" s="206">
        <v>45503</v>
      </c>
      <c r="T6" s="282" t="s">
        <v>1694</v>
      </c>
      <c r="U6" s="282" t="s">
        <v>1694</v>
      </c>
      <c r="V6" s="282" t="s">
        <v>1694</v>
      </c>
      <c r="W6" s="203" t="s">
        <v>289</v>
      </c>
      <c r="X6" s="203"/>
    </row>
    <row r="7" spans="1:24" s="137" customFormat="1" ht="31.5" customHeight="1">
      <c r="A7" s="317">
        <v>5</v>
      </c>
      <c r="B7" s="303" t="s">
        <v>1735</v>
      </c>
      <c r="C7" s="309" t="s">
        <v>1749</v>
      </c>
      <c r="D7" s="257" t="s">
        <v>1750</v>
      </c>
      <c r="E7" s="314" t="s">
        <v>1751</v>
      </c>
      <c r="F7" s="310">
        <v>3</v>
      </c>
      <c r="G7" s="310">
        <v>3</v>
      </c>
      <c r="H7" s="313" t="s">
        <v>290</v>
      </c>
      <c r="I7" s="126" t="s">
        <v>292</v>
      </c>
      <c r="J7" s="229" t="s">
        <v>1663</v>
      </c>
      <c r="K7" s="126" t="s">
        <v>862</v>
      </c>
      <c r="L7" s="229" t="s">
        <v>1694</v>
      </c>
      <c r="M7" s="312" t="s">
        <v>1748</v>
      </c>
      <c r="N7" s="306">
        <v>45502</v>
      </c>
      <c r="O7" s="306">
        <v>45503</v>
      </c>
      <c r="P7" s="126" t="s">
        <v>1590</v>
      </c>
      <c r="Q7" s="315" t="s">
        <v>1694</v>
      </c>
      <c r="R7" s="229" t="s">
        <v>862</v>
      </c>
      <c r="S7" s="307">
        <v>45503</v>
      </c>
      <c r="T7" s="315" t="s">
        <v>1694</v>
      </c>
      <c r="U7" s="315" t="s">
        <v>1694</v>
      </c>
      <c r="V7" s="315" t="s">
        <v>1694</v>
      </c>
      <c r="W7" s="229" t="s">
        <v>289</v>
      </c>
      <c r="X7" s="229"/>
    </row>
    <row r="8" spans="1:24" s="137" customFormat="1" ht="27" customHeight="1">
      <c r="A8" s="564">
        <v>6</v>
      </c>
      <c r="B8" s="562" t="s">
        <v>1735</v>
      </c>
      <c r="C8" s="563" t="s">
        <v>1736</v>
      </c>
      <c r="D8" s="565" t="s">
        <v>1720</v>
      </c>
      <c r="E8" s="566" t="s">
        <v>1752</v>
      </c>
      <c r="F8" s="567">
        <v>3</v>
      </c>
      <c r="G8" s="567">
        <v>2</v>
      </c>
      <c r="H8" s="83" t="s">
        <v>290</v>
      </c>
      <c r="I8" s="41" t="s">
        <v>1714</v>
      </c>
      <c r="J8" s="203" t="s">
        <v>1663</v>
      </c>
      <c r="K8" s="41" t="s">
        <v>862</v>
      </c>
      <c r="L8" s="203" t="s">
        <v>1694</v>
      </c>
      <c r="M8" s="231" t="s">
        <v>1753</v>
      </c>
      <c r="N8" s="232">
        <v>45504</v>
      </c>
      <c r="O8" s="232">
        <v>45505</v>
      </c>
      <c r="P8" s="41" t="s">
        <v>1590</v>
      </c>
      <c r="Q8" s="282" t="s">
        <v>1694</v>
      </c>
      <c r="R8" s="203" t="s">
        <v>862</v>
      </c>
      <c r="S8" s="206">
        <v>45505</v>
      </c>
      <c r="T8" s="282" t="s">
        <v>1694</v>
      </c>
      <c r="U8" s="282" t="s">
        <v>1694</v>
      </c>
      <c r="V8" s="282" t="s">
        <v>1694</v>
      </c>
      <c r="W8" s="557" t="s">
        <v>289</v>
      </c>
      <c r="X8" s="559" t="s">
        <v>1754</v>
      </c>
    </row>
    <row r="9" spans="1:24" ht="24.75" customHeight="1">
      <c r="A9" s="564"/>
      <c r="B9" s="562"/>
      <c r="C9" s="563"/>
      <c r="D9" s="565"/>
      <c r="E9" s="566"/>
      <c r="F9" s="567"/>
      <c r="G9" s="567"/>
      <c r="H9" s="83" t="s">
        <v>290</v>
      </c>
      <c r="I9" s="41" t="s">
        <v>292</v>
      </c>
      <c r="J9" s="203" t="s">
        <v>1663</v>
      </c>
      <c r="K9" s="41" t="s">
        <v>862</v>
      </c>
      <c r="L9" s="203" t="s">
        <v>1694</v>
      </c>
      <c r="M9" s="231" t="s">
        <v>1755</v>
      </c>
      <c r="N9" s="206">
        <v>45505</v>
      </c>
      <c r="O9" s="206">
        <v>45505</v>
      </c>
      <c r="P9" s="41" t="s">
        <v>1590</v>
      </c>
      <c r="Q9" s="282" t="s">
        <v>1694</v>
      </c>
      <c r="R9" s="203" t="s">
        <v>862</v>
      </c>
      <c r="S9" s="206">
        <v>45505</v>
      </c>
      <c r="T9" s="282" t="s">
        <v>1694</v>
      </c>
      <c r="U9" s="282" t="s">
        <v>1694</v>
      </c>
      <c r="V9" s="282" t="s">
        <v>1694</v>
      </c>
      <c r="W9" s="558"/>
      <c r="X9" s="560"/>
    </row>
    <row r="10" spans="1:24">
      <c r="B10" s="28"/>
      <c r="C10" s="196"/>
      <c r="D10" s="47"/>
      <c r="E10" s="28"/>
      <c r="F10" s="215"/>
      <c r="G10" s="215"/>
      <c r="H10" s="2"/>
      <c r="I10" s="35"/>
      <c r="K10" s="35"/>
      <c r="M10" s="35"/>
      <c r="N10" s="35"/>
      <c r="O10" s="35"/>
      <c r="P10" s="35"/>
    </row>
    <row r="11" spans="1:24">
      <c r="B11" s="28"/>
      <c r="C11" s="196"/>
      <c r="D11" s="47"/>
      <c r="E11" s="28"/>
      <c r="F11" s="215"/>
      <c r="G11" s="215"/>
      <c r="H11" s="2"/>
      <c r="I11" s="35"/>
      <c r="K11" s="35"/>
      <c r="M11" s="35"/>
      <c r="N11" s="35"/>
      <c r="O11" s="35"/>
      <c r="P11" s="35"/>
    </row>
    <row r="12" spans="1:24">
      <c r="B12" s="28"/>
      <c r="C12" s="196"/>
      <c r="D12" s="47"/>
      <c r="E12" s="28"/>
      <c r="F12" s="215"/>
      <c r="G12" s="215"/>
      <c r="H12" s="2"/>
      <c r="I12" s="35"/>
      <c r="K12" s="35"/>
      <c r="M12" s="35"/>
      <c r="N12" s="35"/>
      <c r="O12" s="35"/>
      <c r="P12" s="35"/>
    </row>
    <row r="13" spans="1:24">
      <c r="B13" s="28"/>
      <c r="C13" s="196"/>
      <c r="D13" s="47"/>
      <c r="E13" s="28"/>
      <c r="F13" s="215"/>
      <c r="G13" s="215"/>
      <c r="H13" s="2"/>
      <c r="I13" s="35"/>
      <c r="K13" s="35"/>
      <c r="M13" s="35"/>
      <c r="N13" s="35"/>
      <c r="O13" s="35"/>
      <c r="P13" s="35"/>
    </row>
    <row r="14" spans="1:24">
      <c r="B14" s="28"/>
      <c r="C14" s="196"/>
      <c r="D14" s="47"/>
      <c r="E14" s="28"/>
      <c r="F14" s="215"/>
      <c r="G14" s="215"/>
      <c r="H14" s="2"/>
      <c r="I14" s="35"/>
      <c r="K14" s="35"/>
      <c r="M14" s="35"/>
      <c r="N14" s="35"/>
      <c r="O14" s="35"/>
      <c r="P14" s="35"/>
    </row>
    <row r="15" spans="1:24">
      <c r="B15" s="28"/>
      <c r="C15" s="196"/>
      <c r="D15" s="47"/>
      <c r="E15" s="28"/>
      <c r="F15" s="215"/>
      <c r="G15" s="215"/>
      <c r="H15" s="2"/>
      <c r="I15" s="35"/>
      <c r="K15" s="35"/>
      <c r="M15" s="35"/>
      <c r="N15" s="35"/>
      <c r="O15" s="35"/>
      <c r="P15" s="35"/>
    </row>
    <row r="16" spans="1:24">
      <c r="B16" s="28"/>
      <c r="C16" s="196"/>
      <c r="D16" s="47"/>
      <c r="E16" s="28"/>
      <c r="F16" s="215"/>
      <c r="G16" s="215"/>
      <c r="H16" s="2"/>
      <c r="I16" s="35"/>
      <c r="K16" s="35"/>
      <c r="M16" s="35"/>
      <c r="N16" s="35"/>
      <c r="O16" s="35"/>
      <c r="P16" s="35"/>
    </row>
    <row r="17" spans="2:16">
      <c r="B17" s="28"/>
      <c r="C17" s="196"/>
      <c r="D17" s="47"/>
      <c r="E17" s="28"/>
      <c r="F17" s="215"/>
      <c r="G17" s="215"/>
      <c r="H17" s="2"/>
      <c r="I17" s="35"/>
      <c r="K17" s="35"/>
      <c r="M17" s="35"/>
      <c r="N17" s="35"/>
      <c r="O17" s="35"/>
      <c r="P17" s="35"/>
    </row>
    <row r="18" spans="2:16">
      <c r="B18" s="28"/>
      <c r="C18" s="196"/>
      <c r="D18" s="47"/>
      <c r="E18" s="28"/>
      <c r="F18" s="215"/>
      <c r="G18" s="215"/>
      <c r="H18" s="2"/>
      <c r="I18" s="35"/>
      <c r="K18" s="35"/>
      <c r="M18" s="35"/>
      <c r="N18" s="35"/>
      <c r="O18" s="35"/>
      <c r="P18" s="35"/>
    </row>
    <row r="19" spans="2:16">
      <c r="B19" s="28"/>
      <c r="C19" s="196"/>
      <c r="D19" s="47"/>
      <c r="E19" s="28"/>
      <c r="F19" s="215"/>
      <c r="G19" s="215"/>
      <c r="H19" s="2"/>
      <c r="I19" s="35"/>
      <c r="K19" s="35"/>
      <c r="M19" s="35"/>
      <c r="N19" s="35"/>
      <c r="O19" s="35"/>
      <c r="P19" s="35"/>
    </row>
    <row r="20" spans="2:16">
      <c r="B20" s="28"/>
      <c r="C20" s="196"/>
      <c r="D20" s="47"/>
      <c r="E20" s="28"/>
      <c r="F20" s="215"/>
      <c r="G20" s="215"/>
      <c r="H20" s="2"/>
      <c r="I20" s="35"/>
      <c r="K20" s="35"/>
      <c r="M20" s="35"/>
      <c r="N20" s="35"/>
      <c r="O20" s="35"/>
      <c r="P20" s="35"/>
    </row>
    <row r="21" spans="2:16">
      <c r="B21" s="28"/>
      <c r="C21" s="196"/>
      <c r="D21" s="47"/>
      <c r="E21" s="28"/>
      <c r="F21" s="215"/>
      <c r="G21" s="215"/>
      <c r="H21" s="2"/>
      <c r="I21" s="35"/>
      <c r="K21" s="35"/>
      <c r="M21" s="35"/>
      <c r="N21" s="35"/>
      <c r="O21" s="35"/>
      <c r="P21" s="35"/>
    </row>
    <row r="22" spans="2:16">
      <c r="B22" s="28"/>
      <c r="C22" s="196"/>
      <c r="D22" s="47"/>
      <c r="E22" s="28"/>
      <c r="F22" s="215"/>
      <c r="G22" s="215"/>
      <c r="H22" s="2"/>
      <c r="I22" s="35"/>
      <c r="K22" s="35"/>
      <c r="M22" s="35"/>
      <c r="N22" s="35"/>
      <c r="O22" s="35"/>
      <c r="P22" s="35"/>
    </row>
    <row r="23" spans="2:16">
      <c r="B23" s="28"/>
      <c r="C23" s="196"/>
      <c r="D23" s="47"/>
      <c r="E23" s="28"/>
      <c r="F23" s="215"/>
      <c r="G23" s="215"/>
      <c r="H23" s="2"/>
      <c r="I23" s="35"/>
      <c r="K23" s="35"/>
      <c r="M23" s="35"/>
      <c r="N23" s="35"/>
      <c r="O23" s="35"/>
      <c r="P23" s="35"/>
    </row>
    <row r="24" spans="2:16">
      <c r="B24" s="28"/>
      <c r="C24" s="196"/>
      <c r="D24" s="47"/>
      <c r="E24" s="28"/>
      <c r="F24" s="215"/>
      <c r="G24" s="215"/>
      <c r="H24" s="2"/>
      <c r="I24" s="35"/>
      <c r="K24" s="35"/>
      <c r="M24" s="35"/>
      <c r="N24" s="35"/>
      <c r="O24" s="35"/>
      <c r="P24" s="35"/>
    </row>
    <row r="25" spans="2:16">
      <c r="B25" s="28"/>
      <c r="C25" s="196"/>
      <c r="D25" s="47"/>
      <c r="E25" s="28"/>
      <c r="F25" s="215"/>
      <c r="G25" s="215"/>
      <c r="H25" s="2"/>
      <c r="I25" s="35"/>
      <c r="K25" s="35"/>
      <c r="M25" s="35"/>
      <c r="N25" s="35"/>
      <c r="O25" s="35"/>
      <c r="P25" s="35"/>
    </row>
    <row r="26" spans="2:16">
      <c r="B26" s="28"/>
      <c r="C26" s="196"/>
      <c r="D26" s="47"/>
      <c r="E26" s="28"/>
      <c r="F26" s="215"/>
      <c r="G26" s="215"/>
      <c r="H26" s="2"/>
      <c r="I26" s="35"/>
      <c r="K26" s="35"/>
      <c r="M26" s="35"/>
      <c r="N26" s="35"/>
      <c r="O26" s="35"/>
      <c r="P26" s="35"/>
    </row>
    <row r="27" spans="2:16">
      <c r="B27" s="28"/>
      <c r="C27" s="196"/>
      <c r="D27" s="47"/>
      <c r="E27" s="28"/>
      <c r="F27" s="215"/>
      <c r="G27" s="215"/>
      <c r="H27" s="2"/>
      <c r="I27" s="35"/>
      <c r="K27" s="35"/>
      <c r="M27" s="35"/>
      <c r="N27" s="35"/>
      <c r="O27" s="35"/>
      <c r="P27" s="35"/>
    </row>
    <row r="28" spans="2:16">
      <c r="B28" s="28"/>
      <c r="C28" s="196"/>
      <c r="D28" s="47"/>
      <c r="E28" s="28"/>
      <c r="F28" s="215"/>
      <c r="G28" s="215"/>
      <c r="H28" s="2"/>
      <c r="I28" s="35"/>
      <c r="K28" s="35"/>
      <c r="M28" s="35"/>
      <c r="N28" s="35"/>
      <c r="O28" s="35"/>
      <c r="P28" s="35"/>
    </row>
    <row r="29" spans="2:16">
      <c r="B29" s="28"/>
      <c r="C29" s="196"/>
      <c r="D29" s="47"/>
      <c r="E29" s="28"/>
      <c r="F29" s="215"/>
      <c r="G29" s="215"/>
      <c r="H29" s="2"/>
      <c r="I29" s="35"/>
      <c r="K29" s="35"/>
      <c r="M29" s="35"/>
      <c r="N29" s="35"/>
      <c r="O29" s="35"/>
      <c r="P29" s="35"/>
    </row>
    <row r="30" spans="2:16">
      <c r="B30" s="28"/>
      <c r="C30" s="196"/>
      <c r="D30" s="47"/>
      <c r="E30" s="28"/>
      <c r="F30" s="215"/>
      <c r="G30" s="215"/>
      <c r="H30" s="2"/>
      <c r="I30" s="35"/>
      <c r="K30" s="35"/>
      <c r="M30" s="35"/>
      <c r="N30" s="35"/>
      <c r="O30" s="35"/>
      <c r="P30" s="35"/>
    </row>
    <row r="31" spans="2:16">
      <c r="B31" s="28"/>
      <c r="C31" s="196"/>
      <c r="D31" s="47"/>
      <c r="E31" s="28"/>
      <c r="F31" s="215"/>
      <c r="G31" s="215"/>
      <c r="H31" s="2"/>
      <c r="I31" s="35"/>
      <c r="K31" s="35"/>
      <c r="M31" s="35"/>
      <c r="N31" s="35"/>
      <c r="O31" s="35"/>
      <c r="P31" s="35"/>
    </row>
    <row r="32" spans="2:16">
      <c r="B32" s="28"/>
      <c r="C32" s="196"/>
      <c r="D32" s="47"/>
      <c r="E32" s="28"/>
      <c r="F32" s="215"/>
      <c r="G32" s="215"/>
      <c r="H32" s="2"/>
      <c r="I32" s="35"/>
      <c r="K32" s="35"/>
      <c r="M32" s="35"/>
      <c r="N32" s="35"/>
      <c r="O32" s="35"/>
      <c r="P32" s="35"/>
    </row>
    <row r="33" spans="2:16">
      <c r="B33" s="28"/>
      <c r="C33" s="196"/>
      <c r="D33" s="47"/>
      <c r="E33" s="28"/>
      <c r="F33" s="215"/>
      <c r="G33" s="215"/>
      <c r="H33" s="2"/>
      <c r="I33" s="35"/>
      <c r="K33" s="35"/>
      <c r="M33" s="35"/>
      <c r="N33" s="35"/>
      <c r="O33" s="35"/>
      <c r="P33" s="35"/>
    </row>
    <row r="34" spans="2:16">
      <c r="B34" s="28"/>
      <c r="C34" s="196"/>
      <c r="D34" s="47"/>
      <c r="E34" s="28"/>
      <c r="F34" s="215"/>
      <c r="G34" s="215"/>
      <c r="H34" s="2"/>
      <c r="I34" s="35"/>
      <c r="K34" s="35"/>
      <c r="M34" s="35"/>
      <c r="N34" s="35"/>
      <c r="O34" s="35"/>
      <c r="P34" s="35"/>
    </row>
    <row r="35" spans="2:16">
      <c r="B35" s="28"/>
      <c r="C35" s="196"/>
      <c r="D35" s="47"/>
      <c r="E35" s="28"/>
      <c r="F35" s="215"/>
      <c r="G35" s="215"/>
      <c r="H35" s="2"/>
      <c r="I35" s="35"/>
      <c r="K35" s="35"/>
      <c r="M35" s="35"/>
      <c r="N35" s="35"/>
      <c r="O35" s="35"/>
      <c r="P35" s="35"/>
    </row>
    <row r="36" spans="2:16">
      <c r="B36" s="28"/>
      <c r="C36" s="196"/>
      <c r="D36" s="47"/>
      <c r="E36" s="28"/>
      <c r="F36" s="215"/>
      <c r="G36" s="215"/>
      <c r="H36" s="2"/>
      <c r="I36" s="35"/>
      <c r="K36" s="35"/>
      <c r="M36" s="35"/>
      <c r="N36" s="35"/>
      <c r="O36" s="35"/>
      <c r="P36" s="35"/>
    </row>
    <row r="37" spans="2:16">
      <c r="B37" s="28"/>
      <c r="C37" s="196"/>
      <c r="D37" s="47"/>
      <c r="E37" s="28"/>
      <c r="F37" s="215"/>
      <c r="G37" s="215"/>
      <c r="H37" s="2"/>
      <c r="I37" s="35"/>
      <c r="K37" s="35"/>
      <c r="M37" s="35"/>
      <c r="N37" s="35"/>
      <c r="O37" s="35"/>
      <c r="P37" s="35"/>
    </row>
    <row r="38" spans="2:16">
      <c r="B38" s="28"/>
      <c r="C38" s="196"/>
      <c r="D38" s="47"/>
      <c r="E38" s="28"/>
      <c r="F38" s="215"/>
      <c r="G38" s="215"/>
      <c r="H38" s="2"/>
      <c r="I38" s="35"/>
      <c r="K38" s="35"/>
      <c r="M38" s="35"/>
      <c r="N38" s="35"/>
      <c r="O38" s="35"/>
      <c r="P38" s="35"/>
    </row>
    <row r="39" spans="2:16">
      <c r="B39" s="28"/>
      <c r="C39" s="196"/>
      <c r="D39" s="47"/>
      <c r="E39" s="28"/>
      <c r="F39" s="215"/>
      <c r="G39" s="215"/>
      <c r="H39" s="2"/>
      <c r="I39" s="35"/>
      <c r="K39" s="35"/>
      <c r="M39" s="35"/>
      <c r="N39" s="35"/>
      <c r="O39" s="35"/>
      <c r="P39" s="35"/>
    </row>
    <row r="40" spans="2:16">
      <c r="B40" s="28"/>
      <c r="C40" s="196"/>
      <c r="D40" s="47"/>
      <c r="E40" s="28"/>
      <c r="F40" s="215"/>
      <c r="G40" s="215"/>
      <c r="H40" s="2"/>
      <c r="I40" s="35"/>
      <c r="K40" s="35"/>
      <c r="M40" s="35"/>
      <c r="N40" s="35"/>
      <c r="O40" s="35"/>
      <c r="P40" s="35"/>
    </row>
    <row r="41" spans="2:16">
      <c r="B41" s="28"/>
      <c r="C41" s="196"/>
      <c r="D41" s="47"/>
      <c r="E41" s="28"/>
      <c r="F41" s="215"/>
      <c r="G41" s="215"/>
      <c r="H41" s="2"/>
      <c r="I41" s="35"/>
      <c r="K41" s="35"/>
      <c r="M41" s="35"/>
      <c r="N41" s="35"/>
      <c r="O41" s="35"/>
      <c r="P41" s="35"/>
    </row>
    <row r="42" spans="2:16">
      <c r="B42" s="28"/>
      <c r="C42" s="196"/>
      <c r="D42" s="47"/>
      <c r="E42" s="28"/>
      <c r="F42" s="215"/>
      <c r="G42" s="215"/>
      <c r="H42" s="2"/>
      <c r="I42" s="35"/>
      <c r="K42" s="35"/>
      <c r="M42" s="35"/>
      <c r="N42" s="35"/>
      <c r="O42" s="35"/>
      <c r="P42" s="35"/>
    </row>
    <row r="43" spans="2:16">
      <c r="B43" s="28"/>
      <c r="C43" s="196"/>
      <c r="D43" s="47"/>
      <c r="E43" s="28"/>
      <c r="F43" s="215"/>
      <c r="G43" s="215"/>
      <c r="H43" s="2"/>
      <c r="I43" s="35"/>
      <c r="K43" s="35"/>
      <c r="M43" s="35"/>
      <c r="N43" s="35"/>
      <c r="O43" s="35"/>
      <c r="P43" s="35"/>
    </row>
    <row r="44" spans="2:16">
      <c r="B44" s="28"/>
      <c r="C44" s="196"/>
      <c r="D44" s="47"/>
      <c r="E44" s="28"/>
      <c r="F44" s="215"/>
      <c r="G44" s="215"/>
      <c r="H44" s="2"/>
      <c r="I44" s="35"/>
      <c r="K44" s="35"/>
      <c r="M44" s="35"/>
      <c r="N44" s="35"/>
      <c r="O44" s="35"/>
      <c r="P44" s="35"/>
    </row>
    <row r="45" spans="2:16">
      <c r="B45" s="28"/>
      <c r="C45" s="196"/>
      <c r="D45" s="47"/>
      <c r="E45" s="28"/>
      <c r="F45" s="215"/>
      <c r="G45" s="215"/>
      <c r="H45" s="2"/>
      <c r="I45" s="35"/>
      <c r="K45" s="35"/>
      <c r="M45" s="35"/>
      <c r="N45" s="35"/>
      <c r="O45" s="35"/>
      <c r="P45" s="35"/>
    </row>
    <row r="46" spans="2:16">
      <c r="B46" s="28"/>
      <c r="C46" s="196"/>
      <c r="D46" s="47"/>
      <c r="E46" s="28"/>
      <c r="F46" s="215"/>
      <c r="G46" s="215"/>
      <c r="H46" s="2"/>
      <c r="I46" s="35"/>
      <c r="K46" s="35"/>
      <c r="M46" s="35"/>
      <c r="N46" s="35"/>
      <c r="O46" s="35"/>
      <c r="P46" s="35"/>
    </row>
    <row r="47" spans="2:16">
      <c r="B47" s="28"/>
      <c r="C47" s="196"/>
      <c r="D47" s="47"/>
      <c r="E47" s="28"/>
      <c r="F47" s="215"/>
      <c r="G47" s="215"/>
      <c r="H47" s="2"/>
      <c r="I47" s="35"/>
      <c r="K47" s="35"/>
      <c r="M47" s="35"/>
      <c r="N47" s="35"/>
      <c r="O47" s="35"/>
      <c r="P47" s="35"/>
    </row>
    <row r="48" spans="2:16">
      <c r="B48" s="28"/>
      <c r="C48" s="196"/>
      <c r="D48" s="47"/>
      <c r="E48" s="28"/>
      <c r="F48" s="215"/>
      <c r="G48" s="215"/>
      <c r="H48" s="2"/>
      <c r="I48" s="35"/>
      <c r="K48" s="35"/>
      <c r="M48" s="35"/>
      <c r="N48" s="35"/>
      <c r="O48" s="35"/>
      <c r="P48" s="35"/>
    </row>
    <row r="49" spans="2:16">
      <c r="B49" s="28"/>
      <c r="C49" s="196"/>
      <c r="D49" s="47"/>
      <c r="E49" s="28"/>
      <c r="F49" s="215"/>
      <c r="G49" s="215"/>
      <c r="H49" s="2"/>
      <c r="I49" s="35"/>
      <c r="K49" s="35"/>
      <c r="M49" s="35"/>
      <c r="N49" s="35"/>
      <c r="O49" s="35"/>
      <c r="P49" s="35"/>
    </row>
    <row r="50" spans="2:16">
      <c r="B50" s="28"/>
      <c r="C50" s="196"/>
      <c r="D50" s="47"/>
      <c r="E50" s="28"/>
      <c r="F50" s="215"/>
      <c r="G50" s="215"/>
      <c r="H50" s="2"/>
      <c r="I50" s="35"/>
      <c r="K50" s="35"/>
      <c r="M50" s="35"/>
      <c r="N50" s="35"/>
      <c r="O50" s="35"/>
      <c r="P50" s="35"/>
    </row>
    <row r="51" spans="2:16">
      <c r="B51" s="28"/>
      <c r="C51" s="196"/>
      <c r="D51" s="47"/>
      <c r="E51" s="28"/>
      <c r="F51" s="215"/>
      <c r="G51" s="215"/>
      <c r="H51" s="2"/>
      <c r="I51" s="35"/>
      <c r="K51" s="35"/>
      <c r="M51" s="35"/>
      <c r="N51" s="35"/>
      <c r="O51" s="35"/>
      <c r="P51" s="35"/>
    </row>
    <row r="52" spans="2:16">
      <c r="B52" s="28"/>
      <c r="C52" s="196"/>
      <c r="D52" s="47"/>
      <c r="E52" s="28"/>
      <c r="F52" s="215"/>
      <c r="G52" s="215"/>
      <c r="H52" s="2"/>
      <c r="I52" s="35"/>
      <c r="K52" s="35"/>
      <c r="M52" s="35"/>
      <c r="N52" s="35"/>
      <c r="O52" s="35"/>
      <c r="P52" s="35"/>
    </row>
    <row r="53" spans="2:16">
      <c r="B53" s="28"/>
      <c r="C53" s="196"/>
      <c r="D53" s="47"/>
      <c r="E53" s="28"/>
      <c r="F53" s="215"/>
      <c r="G53" s="215"/>
      <c r="H53" s="2"/>
      <c r="I53" s="35"/>
      <c r="K53" s="35"/>
      <c r="M53" s="35"/>
      <c r="N53" s="35"/>
      <c r="O53" s="35"/>
      <c r="P53" s="35"/>
    </row>
    <row r="54" spans="2:16">
      <c r="B54" s="28"/>
      <c r="C54" s="196"/>
      <c r="D54" s="47"/>
      <c r="E54" s="28"/>
      <c r="F54" s="215"/>
      <c r="G54" s="215"/>
      <c r="H54" s="2"/>
      <c r="I54" s="35"/>
      <c r="K54" s="35"/>
      <c r="M54" s="35"/>
      <c r="N54" s="35"/>
      <c r="O54" s="35"/>
      <c r="P54" s="35"/>
    </row>
    <row r="55" spans="2:16">
      <c r="B55" s="28"/>
      <c r="C55" s="196"/>
      <c r="D55" s="47"/>
      <c r="E55" s="28"/>
      <c r="F55" s="215"/>
      <c r="G55" s="215"/>
      <c r="H55" s="2"/>
      <c r="I55" s="35"/>
      <c r="K55" s="35"/>
      <c r="M55" s="35"/>
      <c r="N55" s="35"/>
      <c r="O55" s="35"/>
      <c r="P55" s="35"/>
    </row>
    <row r="56" spans="2:16">
      <c r="B56" s="28"/>
      <c r="C56" s="196"/>
      <c r="D56" s="47"/>
      <c r="E56" s="28"/>
      <c r="F56" s="215"/>
      <c r="G56" s="215"/>
      <c r="H56" s="2"/>
      <c r="I56" s="35"/>
      <c r="K56" s="35"/>
      <c r="M56" s="35"/>
      <c r="N56" s="35"/>
      <c r="O56" s="35"/>
      <c r="P56" s="35"/>
    </row>
    <row r="57" spans="2:16">
      <c r="B57" s="28"/>
      <c r="C57" s="196"/>
      <c r="D57" s="47"/>
      <c r="E57" s="28"/>
      <c r="F57" s="215"/>
      <c r="G57" s="215"/>
      <c r="H57" s="2"/>
      <c r="I57" s="35"/>
      <c r="K57" s="35"/>
      <c r="M57" s="35"/>
      <c r="N57" s="35"/>
      <c r="O57" s="35"/>
      <c r="P57" s="35"/>
    </row>
    <row r="58" spans="2:16">
      <c r="B58" s="28"/>
      <c r="C58" s="196"/>
      <c r="D58" s="47"/>
      <c r="E58" s="28"/>
      <c r="F58" s="215"/>
      <c r="G58" s="215"/>
      <c r="H58" s="2"/>
      <c r="I58" s="35"/>
      <c r="K58" s="35"/>
      <c r="M58" s="35"/>
      <c r="N58" s="35"/>
      <c r="O58" s="35"/>
      <c r="P58" s="35"/>
    </row>
    <row r="59" spans="2:16">
      <c r="B59" s="28"/>
      <c r="C59" s="196"/>
      <c r="D59" s="47"/>
      <c r="E59" s="28"/>
      <c r="F59" s="215"/>
      <c r="G59" s="215"/>
      <c r="H59" s="2"/>
      <c r="I59" s="35"/>
      <c r="K59" s="35"/>
      <c r="M59" s="35"/>
      <c r="N59" s="35"/>
      <c r="O59" s="35"/>
      <c r="P59" s="35"/>
    </row>
    <row r="60" spans="2:16">
      <c r="B60" s="28"/>
      <c r="C60" s="196"/>
      <c r="D60" s="47"/>
      <c r="E60" s="28"/>
      <c r="F60" s="215"/>
      <c r="G60" s="215"/>
      <c r="H60" s="2"/>
      <c r="I60" s="35"/>
      <c r="K60" s="35"/>
      <c r="M60" s="35"/>
      <c r="N60" s="35"/>
      <c r="O60" s="35"/>
      <c r="P60" s="35"/>
    </row>
    <row r="61" spans="2:16">
      <c r="B61" s="28"/>
      <c r="C61" s="196"/>
      <c r="D61" s="47"/>
      <c r="E61" s="28"/>
      <c r="F61" s="215"/>
      <c r="G61" s="215"/>
      <c r="H61" s="2"/>
      <c r="I61" s="35"/>
      <c r="K61" s="35"/>
      <c r="M61" s="35"/>
      <c r="N61" s="35"/>
      <c r="O61" s="35"/>
      <c r="P61" s="35"/>
    </row>
    <row r="62" spans="2:16">
      <c r="B62" s="28"/>
      <c r="C62" s="196"/>
      <c r="D62" s="47"/>
      <c r="E62" s="28"/>
      <c r="F62" s="215"/>
      <c r="G62" s="215"/>
      <c r="H62" s="2"/>
      <c r="I62" s="35"/>
      <c r="K62" s="35"/>
      <c r="M62" s="35"/>
      <c r="N62" s="35"/>
      <c r="O62" s="35"/>
      <c r="P62" s="35"/>
    </row>
    <row r="63" spans="2:16">
      <c r="B63" s="28"/>
      <c r="C63" s="196"/>
      <c r="D63" s="47"/>
      <c r="E63" s="28"/>
      <c r="F63" s="215"/>
      <c r="G63" s="215"/>
      <c r="H63" s="2"/>
      <c r="I63" s="35"/>
      <c r="K63" s="35"/>
      <c r="M63" s="35"/>
      <c r="N63" s="35"/>
      <c r="O63" s="35"/>
      <c r="P63" s="35"/>
    </row>
    <row r="64" spans="2:16">
      <c r="B64" s="28"/>
      <c r="C64" s="196"/>
      <c r="D64" s="47"/>
      <c r="E64" s="28"/>
      <c r="F64" s="215"/>
      <c r="G64" s="215"/>
      <c r="H64" s="2"/>
      <c r="I64" s="35"/>
      <c r="K64" s="35"/>
      <c r="M64" s="35"/>
      <c r="N64" s="35"/>
      <c r="O64" s="35"/>
      <c r="P64" s="35"/>
    </row>
    <row r="65" spans="2:16">
      <c r="B65" s="28"/>
      <c r="C65" s="196"/>
      <c r="D65" s="47"/>
      <c r="E65" s="28"/>
      <c r="F65" s="215"/>
      <c r="G65" s="215"/>
      <c r="H65" s="2"/>
      <c r="I65" s="35"/>
      <c r="K65" s="35"/>
      <c r="M65" s="35"/>
      <c r="N65" s="35"/>
      <c r="O65" s="35"/>
      <c r="P65" s="35"/>
    </row>
    <row r="66" spans="2:16">
      <c r="B66" s="28"/>
      <c r="C66" s="196"/>
      <c r="D66" s="47"/>
      <c r="E66" s="28"/>
      <c r="F66" s="215"/>
      <c r="G66" s="215"/>
      <c r="H66" s="2"/>
      <c r="I66" s="35"/>
      <c r="K66" s="35"/>
      <c r="M66" s="35"/>
      <c r="N66" s="35"/>
      <c r="O66" s="35"/>
      <c r="P66" s="35"/>
    </row>
    <row r="67" spans="2:16">
      <c r="B67" s="28"/>
      <c r="C67" s="196"/>
      <c r="D67" s="47"/>
      <c r="E67" s="28"/>
      <c r="F67" s="215"/>
      <c r="G67" s="215"/>
      <c r="H67" s="2"/>
      <c r="I67" s="35"/>
      <c r="K67" s="35"/>
      <c r="M67" s="35"/>
      <c r="N67" s="35"/>
      <c r="O67" s="35"/>
      <c r="P67" s="35"/>
    </row>
    <row r="68" spans="2:16">
      <c r="B68" s="28"/>
      <c r="C68" s="196"/>
      <c r="D68" s="47"/>
      <c r="E68" s="28"/>
      <c r="F68" s="215"/>
      <c r="G68" s="215"/>
      <c r="H68" s="2"/>
      <c r="I68" s="35"/>
      <c r="K68" s="35"/>
      <c r="M68" s="35"/>
      <c r="N68" s="35"/>
      <c r="O68" s="35"/>
      <c r="P68" s="35"/>
    </row>
    <row r="69" spans="2:16">
      <c r="B69" s="28"/>
      <c r="C69" s="196"/>
      <c r="D69" s="47"/>
      <c r="E69" s="28"/>
      <c r="F69" s="215"/>
      <c r="G69" s="215"/>
      <c r="H69" s="2"/>
      <c r="I69" s="35"/>
      <c r="K69" s="35"/>
      <c r="M69" s="35"/>
      <c r="N69" s="35"/>
      <c r="O69" s="35"/>
      <c r="P69" s="35"/>
    </row>
    <row r="70" spans="2:16">
      <c r="B70" s="28"/>
      <c r="C70" s="196"/>
      <c r="D70" s="47"/>
      <c r="E70" s="28"/>
      <c r="F70" s="215"/>
      <c r="G70" s="215"/>
      <c r="H70" s="2"/>
      <c r="I70" s="35"/>
      <c r="K70" s="35"/>
      <c r="M70" s="35"/>
      <c r="N70" s="35"/>
      <c r="O70" s="35"/>
      <c r="P70" s="35"/>
    </row>
    <row r="71" spans="2:16">
      <c r="B71" s="28"/>
      <c r="C71" s="196"/>
      <c r="D71" s="47"/>
      <c r="E71" s="28"/>
      <c r="F71" s="215"/>
      <c r="G71" s="215"/>
      <c r="H71" s="2"/>
      <c r="I71" s="35"/>
      <c r="K71" s="35"/>
      <c r="M71" s="35"/>
      <c r="N71" s="35"/>
      <c r="O71" s="35"/>
      <c r="P71" s="35"/>
    </row>
    <row r="72" spans="2:16">
      <c r="B72" s="28"/>
      <c r="C72" s="196"/>
      <c r="D72" s="47"/>
      <c r="E72" s="28"/>
      <c r="F72" s="215"/>
      <c r="G72" s="215"/>
      <c r="H72" s="2"/>
      <c r="I72" s="35"/>
      <c r="K72" s="35"/>
      <c r="M72" s="35"/>
      <c r="N72" s="35"/>
      <c r="O72" s="35"/>
      <c r="P72" s="35"/>
    </row>
    <row r="73" spans="2:16">
      <c r="B73" s="28"/>
      <c r="C73" s="196"/>
      <c r="D73" s="47"/>
      <c r="E73" s="28"/>
      <c r="F73" s="215"/>
      <c r="G73" s="215"/>
      <c r="H73" s="2"/>
      <c r="I73" s="35"/>
      <c r="K73" s="35"/>
      <c r="M73" s="35"/>
      <c r="N73" s="35"/>
      <c r="O73" s="35"/>
      <c r="P73" s="35"/>
    </row>
    <row r="74" spans="2:16">
      <c r="B74" s="28"/>
      <c r="C74" s="196"/>
      <c r="D74" s="47"/>
      <c r="E74" s="28"/>
      <c r="F74" s="215"/>
      <c r="G74" s="215"/>
      <c r="H74" s="2"/>
      <c r="I74" s="35"/>
      <c r="K74" s="35"/>
      <c r="M74" s="35"/>
      <c r="N74" s="35"/>
      <c r="O74" s="35"/>
      <c r="P74" s="35"/>
    </row>
    <row r="75" spans="2:16">
      <c r="B75" s="28"/>
      <c r="C75" s="196"/>
      <c r="D75" s="47"/>
      <c r="E75" s="28"/>
      <c r="F75" s="215"/>
      <c r="G75" s="215"/>
      <c r="H75" s="2"/>
      <c r="I75" s="35"/>
      <c r="K75" s="35"/>
      <c r="M75" s="35"/>
      <c r="N75" s="35"/>
      <c r="O75" s="35"/>
      <c r="P75" s="35"/>
    </row>
    <row r="76" spans="2:16">
      <c r="B76" s="28"/>
      <c r="C76" s="196"/>
      <c r="D76" s="47"/>
      <c r="E76" s="28"/>
      <c r="F76" s="215"/>
      <c r="G76" s="215"/>
      <c r="H76" s="2"/>
      <c r="I76" s="35"/>
      <c r="K76" s="35"/>
      <c r="M76" s="35"/>
      <c r="N76" s="35"/>
      <c r="O76" s="35"/>
      <c r="P76" s="35"/>
    </row>
    <row r="77" spans="2:16">
      <c r="B77" s="28"/>
      <c r="C77" s="196"/>
      <c r="D77" s="47"/>
      <c r="E77" s="28"/>
      <c r="F77" s="215"/>
      <c r="G77" s="215"/>
      <c r="H77" s="2"/>
      <c r="I77" s="35"/>
      <c r="K77" s="35"/>
      <c r="M77" s="35"/>
      <c r="N77" s="35"/>
      <c r="O77" s="35"/>
      <c r="P77" s="35"/>
    </row>
    <row r="78" spans="2:16">
      <c r="B78" s="28"/>
      <c r="C78" s="196"/>
      <c r="D78" s="47"/>
      <c r="E78" s="28"/>
      <c r="F78" s="215"/>
      <c r="G78" s="215"/>
      <c r="H78" s="2"/>
      <c r="I78" s="35"/>
      <c r="K78" s="35"/>
      <c r="M78" s="35"/>
      <c r="N78" s="35"/>
      <c r="O78" s="35"/>
      <c r="P78" s="35"/>
    </row>
    <row r="79" spans="2:16">
      <c r="B79" s="28"/>
      <c r="C79" s="196"/>
      <c r="D79" s="47"/>
      <c r="E79" s="28"/>
      <c r="F79" s="215"/>
      <c r="G79" s="215"/>
      <c r="H79" s="2"/>
      <c r="I79" s="35"/>
      <c r="K79" s="35"/>
      <c r="M79" s="35"/>
      <c r="N79" s="35"/>
      <c r="O79" s="35"/>
      <c r="P79" s="35"/>
    </row>
    <row r="80" spans="2:16">
      <c r="B80" s="28"/>
      <c r="C80" s="196"/>
      <c r="D80" s="47"/>
      <c r="E80" s="28"/>
      <c r="F80" s="215"/>
      <c r="G80" s="215"/>
      <c r="H80" s="2"/>
      <c r="I80" s="35"/>
      <c r="K80" s="35"/>
      <c r="M80" s="35"/>
      <c r="N80" s="35"/>
      <c r="O80" s="35"/>
      <c r="P80" s="35"/>
    </row>
    <row r="81" spans="2:16">
      <c r="B81" s="28"/>
      <c r="C81" s="196"/>
      <c r="D81" s="47"/>
      <c r="E81" s="28"/>
      <c r="F81" s="215"/>
      <c r="G81" s="215"/>
      <c r="H81" s="2"/>
      <c r="I81" s="107"/>
      <c r="K81" s="35"/>
      <c r="M81" s="35"/>
      <c r="N81" s="35"/>
      <c r="O81" s="35"/>
      <c r="P81" s="35"/>
    </row>
    <row r="82" spans="2:16">
      <c r="B82" s="28"/>
      <c r="C82" s="196"/>
      <c r="D82" s="47"/>
      <c r="E82" s="28"/>
      <c r="F82" s="215"/>
      <c r="G82" s="215"/>
      <c r="H82" s="2"/>
      <c r="I82" s="19"/>
      <c r="K82" s="35"/>
      <c r="M82" s="35"/>
      <c r="N82" s="35"/>
      <c r="O82" s="35"/>
      <c r="P82" s="35"/>
    </row>
    <row r="83" spans="2:16">
      <c r="B83" s="28"/>
      <c r="C83" s="196"/>
      <c r="D83" s="47"/>
      <c r="E83" s="28"/>
      <c r="F83" s="215"/>
      <c r="G83" s="215"/>
      <c r="H83" s="2"/>
      <c r="I83" s="19"/>
      <c r="K83" s="35"/>
      <c r="M83" s="35"/>
      <c r="N83" s="35"/>
      <c r="O83" s="35"/>
      <c r="P83" s="35"/>
    </row>
    <row r="84" spans="2:16">
      <c r="B84" s="28"/>
      <c r="C84" s="196"/>
      <c r="D84" s="47"/>
      <c r="E84" s="28"/>
      <c r="F84" s="215"/>
      <c r="G84" s="215"/>
      <c r="H84" s="2"/>
      <c r="I84" s="19"/>
      <c r="K84" s="35"/>
      <c r="M84" s="35"/>
      <c r="N84" s="35"/>
      <c r="O84" s="35"/>
      <c r="P84" s="35"/>
    </row>
    <row r="85" spans="2:16">
      <c r="B85" s="28"/>
      <c r="C85" s="196"/>
      <c r="D85" s="47"/>
      <c r="E85" s="28"/>
      <c r="F85" s="215"/>
      <c r="G85" s="215"/>
      <c r="H85" s="2"/>
      <c r="I85" s="19"/>
      <c r="K85" s="35"/>
      <c r="M85" s="35"/>
      <c r="N85" s="35"/>
      <c r="O85" s="35"/>
      <c r="P85" s="35"/>
    </row>
    <row r="86" spans="2:16">
      <c r="B86" s="28"/>
      <c r="C86" s="196"/>
      <c r="D86" s="47"/>
      <c r="E86" s="28"/>
      <c r="F86" s="215"/>
      <c r="G86" s="215"/>
      <c r="H86" s="2"/>
      <c r="I86" s="19"/>
      <c r="K86" s="35"/>
      <c r="M86" s="35"/>
      <c r="N86" s="35"/>
      <c r="O86" s="35"/>
      <c r="P86" s="35"/>
    </row>
    <row r="87" spans="2:16">
      <c r="B87" s="28"/>
      <c r="C87" s="196"/>
      <c r="D87" s="47"/>
      <c r="E87" s="28"/>
      <c r="F87" s="215"/>
      <c r="G87" s="215"/>
      <c r="H87" s="2"/>
      <c r="I87" s="19"/>
      <c r="K87" s="35"/>
      <c r="M87" s="35"/>
      <c r="N87" s="35"/>
      <c r="O87" s="35"/>
      <c r="P87" s="35"/>
    </row>
    <row r="88" spans="2:16">
      <c r="B88" s="28"/>
      <c r="C88" s="196"/>
      <c r="D88" s="47"/>
      <c r="E88" s="28"/>
      <c r="F88" s="215"/>
      <c r="G88" s="215"/>
      <c r="H88" s="2"/>
      <c r="I88" s="19"/>
      <c r="K88" s="35"/>
      <c r="M88" s="35"/>
      <c r="N88" s="35"/>
      <c r="O88" s="35"/>
      <c r="P88" s="35"/>
    </row>
    <row r="89" spans="2:16">
      <c r="B89" s="28"/>
      <c r="C89" s="196"/>
      <c r="D89" s="47"/>
      <c r="E89" s="28"/>
      <c r="F89" s="215"/>
      <c r="G89" s="215"/>
      <c r="H89" s="2"/>
      <c r="I89" s="19"/>
      <c r="K89" s="35"/>
      <c r="M89" s="35"/>
      <c r="N89" s="35"/>
      <c r="O89" s="35"/>
      <c r="P89" s="35"/>
    </row>
    <row r="90" spans="2:16">
      <c r="B90" s="28"/>
      <c r="C90" s="196"/>
      <c r="D90" s="47"/>
      <c r="E90" s="28"/>
      <c r="F90" s="215"/>
      <c r="G90" s="215"/>
      <c r="H90" s="2"/>
      <c r="I90" s="19"/>
      <c r="K90" s="35"/>
      <c r="M90" s="35"/>
      <c r="N90" s="35"/>
      <c r="O90" s="35"/>
      <c r="P90" s="35"/>
    </row>
    <row r="91" spans="2:16">
      <c r="B91" s="28"/>
      <c r="C91" s="196"/>
      <c r="D91" s="47"/>
      <c r="E91" s="28"/>
      <c r="F91" s="215"/>
      <c r="G91" s="215"/>
      <c r="H91" s="2"/>
      <c r="I91" s="19"/>
      <c r="K91" s="35"/>
      <c r="M91" s="35"/>
      <c r="N91" s="35"/>
      <c r="O91" s="35"/>
      <c r="P91" s="35"/>
    </row>
    <row r="92" spans="2:16">
      <c r="B92" s="28"/>
      <c r="C92" s="196"/>
      <c r="D92" s="47"/>
      <c r="E92" s="28"/>
      <c r="F92" s="215"/>
      <c r="G92" s="215"/>
      <c r="H92" s="2"/>
      <c r="I92" s="19"/>
      <c r="K92" s="35"/>
      <c r="M92" s="35"/>
      <c r="N92" s="35"/>
      <c r="O92" s="35"/>
      <c r="P92" s="35"/>
    </row>
    <row r="93" spans="2:16">
      <c r="B93" s="28"/>
      <c r="C93" s="196"/>
      <c r="D93" s="47"/>
      <c r="E93" s="28"/>
      <c r="F93" s="215"/>
      <c r="G93" s="215"/>
      <c r="H93" s="2"/>
      <c r="I93" s="19"/>
      <c r="K93" s="35"/>
      <c r="M93" s="35"/>
      <c r="N93" s="35"/>
      <c r="O93" s="35"/>
      <c r="P93" s="35"/>
    </row>
    <row r="94" spans="2:16">
      <c r="B94" s="28"/>
      <c r="C94" s="196"/>
      <c r="D94" s="47"/>
      <c r="E94" s="28"/>
      <c r="F94" s="215"/>
      <c r="G94" s="215"/>
      <c r="H94" s="2"/>
      <c r="I94" s="19"/>
      <c r="K94" s="35"/>
      <c r="M94" s="35"/>
      <c r="N94" s="35"/>
      <c r="O94" s="35"/>
      <c r="P94" s="35"/>
    </row>
    <row r="95" spans="2:16">
      <c r="B95" s="28"/>
      <c r="C95" s="196"/>
      <c r="D95" s="47"/>
      <c r="E95" s="28"/>
      <c r="F95" s="215"/>
      <c r="G95" s="215"/>
      <c r="H95" s="2"/>
      <c r="I95" s="19"/>
      <c r="K95" s="35"/>
      <c r="M95" s="35"/>
      <c r="N95" s="35"/>
      <c r="O95" s="35"/>
      <c r="P95" s="35"/>
    </row>
    <row r="96" spans="2:16">
      <c r="B96" s="28"/>
      <c r="C96" s="196"/>
      <c r="D96" s="47"/>
      <c r="E96" s="28"/>
      <c r="F96" s="215"/>
      <c r="G96" s="215"/>
      <c r="H96" s="2"/>
      <c r="I96" s="19"/>
      <c r="K96" s="35"/>
      <c r="M96" s="35"/>
      <c r="N96" s="35"/>
      <c r="O96" s="35"/>
      <c r="P96" s="35"/>
    </row>
    <row r="97" spans="2:16">
      <c r="B97" s="28"/>
      <c r="C97" s="196"/>
      <c r="D97" s="47"/>
      <c r="E97" s="28"/>
      <c r="F97" s="215"/>
      <c r="G97" s="215"/>
      <c r="H97" s="2"/>
      <c r="I97" s="19"/>
      <c r="K97" s="35"/>
      <c r="M97" s="35"/>
      <c r="N97" s="35"/>
      <c r="O97" s="35"/>
      <c r="P97" s="35"/>
    </row>
    <row r="98" spans="2:16">
      <c r="B98" s="28"/>
      <c r="C98" s="196"/>
      <c r="D98" s="47"/>
      <c r="E98" s="28"/>
      <c r="F98" s="215"/>
      <c r="G98" s="215"/>
      <c r="H98" s="2"/>
      <c r="I98" s="19"/>
      <c r="K98" s="35"/>
      <c r="M98" s="35"/>
      <c r="N98" s="35"/>
      <c r="O98" s="35"/>
      <c r="P98" s="35"/>
    </row>
    <row r="99" spans="2:16">
      <c r="B99" s="28"/>
      <c r="C99" s="196"/>
      <c r="D99" s="47"/>
      <c r="E99" s="28"/>
      <c r="F99" s="215"/>
      <c r="G99" s="215"/>
      <c r="H99" s="2"/>
      <c r="I99" s="19"/>
      <c r="K99" s="35"/>
      <c r="M99" s="35"/>
      <c r="N99" s="35"/>
      <c r="O99" s="35"/>
      <c r="P99" s="35"/>
    </row>
    <row r="100" spans="2:16">
      <c r="B100" s="28"/>
      <c r="C100" s="196"/>
      <c r="D100" s="47"/>
      <c r="E100" s="28"/>
      <c r="F100" s="215"/>
      <c r="G100" s="215"/>
      <c r="H100" s="2"/>
      <c r="I100" s="19"/>
      <c r="K100" s="35"/>
      <c r="M100" s="35"/>
      <c r="N100" s="35"/>
      <c r="O100" s="35"/>
      <c r="P100" s="35"/>
    </row>
    <row r="101" spans="2:16">
      <c r="B101" s="28"/>
      <c r="C101" s="196"/>
      <c r="D101" s="47"/>
      <c r="E101" s="28"/>
      <c r="F101" s="215"/>
      <c r="G101" s="215"/>
      <c r="H101" s="2"/>
      <c r="I101" s="19"/>
      <c r="K101" s="35"/>
      <c r="M101" s="35"/>
      <c r="N101" s="35"/>
      <c r="O101" s="35"/>
      <c r="P101" s="35"/>
    </row>
    <row r="102" spans="2:16">
      <c r="B102" s="28"/>
      <c r="C102" s="196"/>
      <c r="D102" s="47"/>
      <c r="E102" s="28"/>
      <c r="F102" s="215"/>
      <c r="G102" s="215"/>
      <c r="H102" s="2"/>
      <c r="I102" s="19"/>
      <c r="K102" s="35"/>
      <c r="M102" s="35"/>
      <c r="N102" s="35"/>
      <c r="O102" s="35"/>
      <c r="P102" s="35"/>
    </row>
    <row r="103" spans="2:16">
      <c r="B103" s="28"/>
      <c r="C103" s="196"/>
      <c r="D103" s="47"/>
      <c r="E103" s="28"/>
      <c r="F103" s="215"/>
      <c r="G103" s="215"/>
      <c r="H103" s="2"/>
      <c r="I103" s="19"/>
      <c r="K103" s="35"/>
      <c r="M103" s="35"/>
      <c r="N103" s="35"/>
      <c r="O103" s="35"/>
      <c r="P103" s="35"/>
    </row>
    <row r="104" spans="2:16">
      <c r="B104" s="28"/>
      <c r="C104" s="196"/>
      <c r="D104" s="47"/>
      <c r="E104" s="28"/>
      <c r="F104" s="215"/>
      <c r="G104" s="215"/>
      <c r="H104" s="2"/>
      <c r="I104" s="19"/>
      <c r="K104" s="35"/>
      <c r="M104" s="35"/>
      <c r="N104" s="35"/>
      <c r="O104" s="35"/>
      <c r="P104" s="35"/>
    </row>
    <row r="105" spans="2:16">
      <c r="B105" s="28"/>
      <c r="C105" s="196"/>
      <c r="D105" s="47"/>
      <c r="E105" s="28"/>
      <c r="F105" s="215"/>
      <c r="G105" s="215"/>
      <c r="H105" s="2"/>
      <c r="I105" s="19"/>
      <c r="K105" s="35"/>
      <c r="M105" s="35"/>
      <c r="N105" s="35"/>
      <c r="O105" s="35"/>
      <c r="P105" s="35"/>
    </row>
    <row r="106" spans="2:16">
      <c r="B106" s="28"/>
      <c r="C106" s="196"/>
      <c r="D106" s="47"/>
      <c r="E106" s="28"/>
      <c r="F106" s="215"/>
      <c r="G106" s="215"/>
      <c r="H106" s="2"/>
      <c r="I106" s="19"/>
      <c r="K106" s="35"/>
      <c r="M106" s="35"/>
      <c r="N106" s="35"/>
      <c r="O106" s="35"/>
      <c r="P106" s="35"/>
    </row>
    <row r="107" spans="2:16">
      <c r="B107" s="28"/>
      <c r="C107" s="196"/>
      <c r="D107" s="47"/>
      <c r="E107" s="28"/>
      <c r="F107" s="215"/>
      <c r="G107" s="215"/>
      <c r="H107" s="2"/>
      <c r="I107" s="19"/>
      <c r="K107" s="35"/>
      <c r="M107" s="35"/>
      <c r="N107" s="35"/>
      <c r="O107" s="35"/>
      <c r="P107" s="35"/>
    </row>
    <row r="108" spans="2:16">
      <c r="B108" s="28"/>
      <c r="C108" s="196"/>
      <c r="D108" s="47"/>
      <c r="E108" s="28"/>
      <c r="F108" s="215"/>
      <c r="G108" s="215"/>
      <c r="H108" s="2"/>
      <c r="I108" s="19"/>
      <c r="K108" s="35"/>
      <c r="M108" s="35"/>
      <c r="N108" s="35"/>
      <c r="O108" s="35"/>
      <c r="P108" s="35"/>
    </row>
    <row r="109" spans="2:16">
      <c r="B109" s="28"/>
      <c r="C109" s="196"/>
      <c r="D109" s="47"/>
      <c r="E109" s="28"/>
      <c r="F109" s="215"/>
      <c r="G109" s="215"/>
      <c r="H109" s="2"/>
      <c r="I109" s="19"/>
      <c r="K109" s="35"/>
      <c r="M109" s="35"/>
      <c r="N109" s="35"/>
      <c r="O109" s="35"/>
      <c r="P109" s="35"/>
    </row>
    <row r="110" spans="2:16">
      <c r="B110" s="28"/>
      <c r="C110" s="196"/>
      <c r="D110" s="47"/>
      <c r="E110" s="28"/>
      <c r="F110" s="215"/>
      <c r="G110" s="215"/>
      <c r="H110" s="2"/>
      <c r="I110" s="19"/>
      <c r="K110" s="35"/>
      <c r="M110" s="35"/>
      <c r="N110" s="35"/>
      <c r="O110" s="35"/>
      <c r="P110" s="35"/>
    </row>
    <row r="111" spans="2:16">
      <c r="B111" s="28"/>
      <c r="C111" s="196"/>
      <c r="D111" s="47"/>
      <c r="E111" s="28"/>
      <c r="F111" s="215"/>
      <c r="G111" s="215"/>
      <c r="H111" s="2"/>
      <c r="I111" s="19"/>
      <c r="K111" s="35"/>
      <c r="M111" s="35"/>
      <c r="N111" s="35"/>
      <c r="O111" s="35"/>
      <c r="P111" s="35"/>
    </row>
    <row r="112" spans="2:16">
      <c r="B112" s="28"/>
      <c r="C112" s="196"/>
      <c r="D112" s="47"/>
      <c r="E112" s="28"/>
      <c r="F112" s="215"/>
      <c r="G112" s="215"/>
      <c r="H112" s="2"/>
      <c r="I112" s="19"/>
      <c r="K112" s="35"/>
      <c r="M112" s="35"/>
      <c r="N112" s="35"/>
      <c r="O112" s="35"/>
      <c r="P112" s="35"/>
    </row>
    <row r="113" spans="2:16">
      <c r="B113" s="28"/>
      <c r="C113" s="196"/>
      <c r="D113" s="47"/>
      <c r="E113" s="28"/>
      <c r="F113" s="215"/>
      <c r="G113" s="215"/>
      <c r="H113" s="2"/>
      <c r="I113" s="19"/>
      <c r="K113" s="35"/>
      <c r="M113" s="35"/>
      <c r="N113" s="35"/>
      <c r="O113" s="35"/>
      <c r="P113" s="35"/>
    </row>
    <row r="114" spans="2:16">
      <c r="B114" s="28"/>
      <c r="C114" s="196"/>
      <c r="D114" s="47"/>
      <c r="E114" s="28"/>
      <c r="F114" s="215"/>
      <c r="G114" s="215"/>
      <c r="H114" s="2"/>
      <c r="I114" s="19"/>
      <c r="K114" s="35"/>
      <c r="M114" s="35"/>
      <c r="N114" s="35"/>
      <c r="O114" s="35"/>
      <c r="P114" s="35"/>
    </row>
    <row r="115" spans="2:16">
      <c r="B115" s="28"/>
      <c r="C115" s="196"/>
      <c r="D115" s="47"/>
      <c r="E115" s="28"/>
      <c r="F115" s="215"/>
      <c r="G115" s="215"/>
      <c r="H115" s="2"/>
      <c r="I115" s="19"/>
      <c r="K115" s="35"/>
      <c r="M115" s="35"/>
      <c r="N115" s="35"/>
      <c r="O115" s="35"/>
      <c r="P115" s="35"/>
    </row>
    <row r="116" spans="2:16">
      <c r="B116" s="28"/>
      <c r="C116" s="196"/>
      <c r="D116" s="47"/>
      <c r="E116" s="28"/>
      <c r="F116" s="215"/>
      <c r="G116" s="215"/>
      <c r="H116" s="2"/>
      <c r="I116" s="19"/>
      <c r="K116" s="35"/>
      <c r="M116" s="35"/>
      <c r="N116" s="35"/>
      <c r="O116" s="35"/>
      <c r="P116" s="35"/>
    </row>
    <row r="117" spans="2:16">
      <c r="B117" s="28"/>
      <c r="C117" s="196"/>
      <c r="D117" s="47"/>
      <c r="E117" s="28"/>
      <c r="F117" s="215"/>
      <c r="G117" s="215"/>
      <c r="H117" s="2"/>
      <c r="I117" s="19"/>
      <c r="K117" s="35"/>
      <c r="M117" s="35"/>
      <c r="N117" s="35"/>
      <c r="O117" s="35"/>
      <c r="P117" s="35"/>
    </row>
    <row r="118" spans="2:16">
      <c r="B118" s="28"/>
      <c r="C118" s="196"/>
      <c r="D118" s="47"/>
      <c r="E118" s="28"/>
      <c r="F118" s="215"/>
      <c r="G118" s="215"/>
      <c r="H118" s="2"/>
      <c r="I118" s="19"/>
      <c r="K118" s="35"/>
      <c r="M118" s="35"/>
      <c r="N118" s="35"/>
      <c r="O118" s="35"/>
      <c r="P118" s="35"/>
    </row>
    <row r="119" spans="2:16">
      <c r="B119" s="28"/>
      <c r="C119" s="196"/>
      <c r="D119" s="47"/>
      <c r="E119" s="28"/>
      <c r="F119" s="215"/>
      <c r="G119" s="215"/>
      <c r="H119" s="2"/>
      <c r="I119" s="19"/>
      <c r="K119" s="35"/>
      <c r="M119" s="35"/>
      <c r="N119" s="35"/>
      <c r="O119" s="35"/>
      <c r="P119" s="35"/>
    </row>
    <row r="120" spans="2:16">
      <c r="B120" s="28"/>
      <c r="C120" s="196"/>
      <c r="D120" s="47"/>
      <c r="E120" s="28"/>
      <c r="F120" s="215"/>
      <c r="G120" s="215"/>
      <c r="H120" s="2"/>
      <c r="I120" s="19"/>
      <c r="K120" s="35"/>
      <c r="M120" s="35"/>
      <c r="N120" s="35"/>
      <c r="O120" s="35"/>
      <c r="P120" s="35"/>
    </row>
    <row r="121" spans="2:16">
      <c r="B121" s="28"/>
      <c r="C121" s="196"/>
      <c r="D121" s="47"/>
      <c r="E121" s="28"/>
      <c r="F121" s="215"/>
      <c r="G121" s="215"/>
      <c r="H121" s="2"/>
      <c r="I121" s="19"/>
      <c r="K121" s="35"/>
      <c r="M121" s="35"/>
      <c r="N121" s="35"/>
      <c r="O121" s="35"/>
      <c r="P121" s="35"/>
    </row>
    <row r="122" spans="2:16">
      <c r="B122" s="28"/>
      <c r="C122" s="196"/>
      <c r="D122" s="47"/>
      <c r="E122" s="28"/>
      <c r="F122" s="215"/>
      <c r="G122" s="215"/>
      <c r="H122" s="2"/>
      <c r="I122" s="19"/>
      <c r="K122" s="35"/>
      <c r="M122" s="35"/>
      <c r="N122" s="35"/>
      <c r="O122" s="35"/>
      <c r="P122" s="35"/>
    </row>
    <row r="123" spans="2:16">
      <c r="B123" s="28"/>
      <c r="C123" s="196"/>
      <c r="D123" s="47"/>
      <c r="E123" s="28"/>
      <c r="F123" s="215"/>
      <c r="G123" s="215"/>
      <c r="H123" s="2"/>
      <c r="I123" s="19"/>
      <c r="K123" s="35"/>
      <c r="M123" s="35"/>
      <c r="N123" s="35"/>
      <c r="O123" s="35"/>
      <c r="P123" s="35"/>
    </row>
    <row r="124" spans="2:16">
      <c r="B124" s="28"/>
      <c r="C124" s="196"/>
      <c r="D124" s="47"/>
      <c r="E124" s="28"/>
      <c r="F124" s="215"/>
      <c r="G124" s="215"/>
      <c r="H124" s="2"/>
      <c r="I124" s="19"/>
      <c r="K124" s="35"/>
      <c r="M124" s="35"/>
      <c r="N124" s="35"/>
      <c r="O124" s="35"/>
      <c r="P124" s="35"/>
    </row>
    <row r="125" spans="2:16">
      <c r="B125" s="28"/>
      <c r="C125" s="196"/>
      <c r="D125" s="47"/>
      <c r="E125" s="28"/>
      <c r="F125" s="215"/>
      <c r="G125" s="215"/>
      <c r="H125" s="2"/>
      <c r="I125" s="19"/>
      <c r="K125" s="35"/>
      <c r="M125" s="35"/>
      <c r="N125" s="35"/>
      <c r="O125" s="35"/>
      <c r="P125" s="35"/>
    </row>
    <row r="126" spans="2:16">
      <c r="B126" s="28"/>
      <c r="C126" s="196"/>
      <c r="D126" s="47"/>
      <c r="E126" s="28"/>
      <c r="F126" s="215"/>
      <c r="G126" s="215"/>
      <c r="H126" s="2"/>
      <c r="I126" s="19"/>
      <c r="K126" s="35"/>
      <c r="M126" s="35"/>
      <c r="N126" s="35"/>
      <c r="O126" s="35"/>
      <c r="P126" s="35"/>
    </row>
    <row r="127" spans="2:16">
      <c r="B127" s="28"/>
      <c r="C127" s="196"/>
      <c r="D127" s="47"/>
      <c r="E127" s="28"/>
      <c r="F127" s="215"/>
      <c r="G127" s="215"/>
      <c r="H127" s="2"/>
      <c r="I127" s="19"/>
      <c r="K127" s="35"/>
      <c r="M127" s="35"/>
      <c r="N127" s="35"/>
      <c r="O127" s="35"/>
      <c r="P127" s="35"/>
    </row>
    <row r="128" spans="2:16">
      <c r="B128" s="28"/>
      <c r="C128" s="196"/>
      <c r="D128" s="47"/>
      <c r="E128" s="28"/>
      <c r="F128" s="215"/>
      <c r="G128" s="215"/>
      <c r="H128" s="2"/>
      <c r="I128" s="19"/>
      <c r="K128" s="35"/>
      <c r="M128" s="35"/>
      <c r="N128" s="35"/>
      <c r="O128" s="35"/>
      <c r="P128" s="35"/>
    </row>
    <row r="129" spans="2:16">
      <c r="B129" s="28"/>
      <c r="C129" s="196"/>
      <c r="D129" s="47"/>
      <c r="E129" s="28"/>
      <c r="F129" s="215"/>
      <c r="G129" s="215"/>
      <c r="H129" s="2"/>
      <c r="I129" s="19"/>
      <c r="K129" s="35"/>
      <c r="M129" s="35"/>
      <c r="N129" s="35"/>
      <c r="O129" s="35"/>
      <c r="P129" s="35"/>
    </row>
    <row r="130" spans="2:16">
      <c r="B130" s="28"/>
      <c r="C130" s="196"/>
      <c r="D130" s="47"/>
      <c r="E130" s="28"/>
      <c r="F130" s="215"/>
      <c r="G130" s="215"/>
      <c r="H130" s="2"/>
      <c r="I130" s="19"/>
      <c r="K130" s="35"/>
      <c r="M130" s="35"/>
      <c r="N130" s="35"/>
      <c r="O130" s="35"/>
      <c r="P130" s="35"/>
    </row>
    <row r="131" spans="2:16">
      <c r="B131" s="28"/>
      <c r="C131" s="196"/>
      <c r="D131" s="47"/>
      <c r="E131" s="28"/>
      <c r="F131" s="215"/>
      <c r="G131" s="215"/>
      <c r="H131" s="2"/>
      <c r="I131" s="19"/>
      <c r="K131" s="35"/>
      <c r="M131" s="35"/>
      <c r="N131" s="35"/>
      <c r="O131" s="35"/>
      <c r="P131" s="35"/>
    </row>
    <row r="132" spans="2:16">
      <c r="B132" s="28"/>
      <c r="C132" s="196"/>
      <c r="D132" s="47"/>
      <c r="E132" s="28"/>
      <c r="F132" s="215"/>
      <c r="G132" s="215"/>
      <c r="H132" s="2"/>
      <c r="I132" s="19"/>
      <c r="K132" s="35"/>
      <c r="M132" s="35"/>
      <c r="N132" s="35"/>
      <c r="O132" s="35"/>
      <c r="P132" s="35"/>
    </row>
    <row r="133" spans="2:16">
      <c r="B133" s="28"/>
      <c r="C133" s="196"/>
      <c r="D133" s="47"/>
      <c r="E133" s="28"/>
      <c r="F133" s="215"/>
      <c r="G133" s="215"/>
      <c r="H133" s="2"/>
      <c r="I133" s="19"/>
      <c r="K133" s="35"/>
      <c r="M133" s="35"/>
      <c r="N133" s="35"/>
      <c r="O133" s="35"/>
      <c r="P133" s="35"/>
    </row>
    <row r="134" spans="2:16">
      <c r="B134" s="28"/>
      <c r="C134" s="196"/>
      <c r="D134" s="47"/>
      <c r="E134" s="28"/>
      <c r="F134" s="215"/>
      <c r="G134" s="215"/>
      <c r="H134" s="2"/>
      <c r="I134" s="19"/>
      <c r="K134" s="35"/>
      <c r="M134" s="35"/>
      <c r="N134" s="35"/>
      <c r="O134" s="35"/>
      <c r="P134" s="35"/>
    </row>
    <row r="135" spans="2:16">
      <c r="B135" s="28"/>
      <c r="C135" s="196"/>
      <c r="D135" s="47"/>
      <c r="E135" s="28"/>
      <c r="F135" s="215"/>
      <c r="G135" s="215"/>
      <c r="H135" s="2"/>
      <c r="I135" s="19"/>
      <c r="K135" s="35"/>
      <c r="M135" s="35"/>
      <c r="N135" s="35"/>
      <c r="O135" s="35"/>
      <c r="P135" s="35"/>
    </row>
    <row r="136" spans="2:16">
      <c r="B136" s="28"/>
      <c r="C136" s="196"/>
      <c r="D136" s="47"/>
      <c r="E136" s="28"/>
      <c r="F136" s="215"/>
      <c r="G136" s="215"/>
      <c r="H136" s="2"/>
      <c r="I136" s="19"/>
      <c r="K136" s="35"/>
      <c r="M136" s="35"/>
      <c r="N136" s="35"/>
      <c r="O136" s="35"/>
      <c r="P136" s="35"/>
    </row>
    <row r="137" spans="2:16">
      <c r="B137" s="28"/>
      <c r="C137" s="196"/>
      <c r="D137" s="47"/>
      <c r="E137" s="28"/>
      <c r="F137" s="215"/>
      <c r="G137" s="215"/>
      <c r="H137" s="2"/>
      <c r="I137" s="19"/>
      <c r="K137" s="35"/>
      <c r="M137" s="35"/>
      <c r="N137" s="35"/>
      <c r="O137" s="35"/>
      <c r="P137" s="35"/>
    </row>
    <row r="138" spans="2:16">
      <c r="B138" s="28"/>
      <c r="C138" s="196"/>
      <c r="D138" s="47"/>
      <c r="E138" s="28"/>
      <c r="F138" s="215"/>
      <c r="G138" s="215"/>
      <c r="H138" s="2"/>
      <c r="I138" s="19"/>
      <c r="K138" s="35"/>
      <c r="M138" s="35"/>
      <c r="N138" s="35"/>
      <c r="O138" s="35"/>
      <c r="P138" s="35"/>
    </row>
    <row r="139" spans="2:16">
      <c r="B139" s="28"/>
      <c r="C139" s="196"/>
      <c r="D139" s="47"/>
      <c r="E139" s="28"/>
      <c r="F139" s="215"/>
      <c r="G139" s="215"/>
      <c r="H139" s="2"/>
      <c r="I139" s="19"/>
      <c r="K139" s="35"/>
      <c r="M139" s="35"/>
      <c r="N139" s="35"/>
      <c r="O139" s="35"/>
      <c r="P139" s="35"/>
    </row>
    <row r="140" spans="2:16">
      <c r="B140" s="28"/>
      <c r="C140" s="196"/>
      <c r="D140" s="47"/>
      <c r="E140" s="28"/>
      <c r="F140" s="215"/>
      <c r="G140" s="215"/>
      <c r="H140" s="2"/>
      <c r="I140" s="19"/>
      <c r="K140" s="35"/>
      <c r="M140" s="35"/>
      <c r="N140" s="35"/>
      <c r="O140" s="35"/>
      <c r="P140" s="35"/>
    </row>
    <row r="141" spans="2:16">
      <c r="B141" s="28"/>
      <c r="C141" s="196"/>
      <c r="D141" s="47"/>
      <c r="E141" s="28"/>
      <c r="F141" s="215"/>
      <c r="G141" s="215"/>
      <c r="H141" s="2"/>
      <c r="I141" s="19"/>
      <c r="K141" s="35"/>
      <c r="M141" s="35"/>
      <c r="N141" s="35"/>
      <c r="O141" s="35"/>
      <c r="P141" s="35"/>
    </row>
    <row r="142" spans="2:16">
      <c r="B142" s="28"/>
      <c r="C142" s="196"/>
      <c r="D142" s="47"/>
      <c r="E142" s="28"/>
      <c r="F142" s="215"/>
      <c r="G142" s="215"/>
      <c r="H142" s="2"/>
      <c r="I142" s="19"/>
      <c r="K142" s="35"/>
      <c r="M142" s="35"/>
      <c r="N142" s="35"/>
      <c r="O142" s="35"/>
      <c r="P142" s="35"/>
    </row>
    <row r="143" spans="2:16">
      <c r="B143" s="28"/>
      <c r="C143" s="196"/>
      <c r="D143" s="47"/>
      <c r="E143" s="28"/>
      <c r="F143" s="215"/>
      <c r="G143" s="215"/>
      <c r="H143" s="2"/>
      <c r="I143" s="19"/>
      <c r="K143" s="35"/>
      <c r="M143" s="35"/>
      <c r="N143" s="35"/>
      <c r="O143" s="35"/>
      <c r="P143" s="35"/>
    </row>
    <row r="144" spans="2:16">
      <c r="B144" s="28"/>
      <c r="C144" s="196"/>
      <c r="D144" s="47"/>
      <c r="E144" s="28"/>
      <c r="F144" s="215"/>
      <c r="G144" s="215"/>
      <c r="H144" s="2"/>
      <c r="I144" s="19"/>
      <c r="K144" s="35"/>
      <c r="M144" s="35"/>
      <c r="N144" s="35"/>
      <c r="O144" s="35"/>
      <c r="P144" s="35"/>
    </row>
    <row r="145" spans="2:16">
      <c r="B145" s="28"/>
      <c r="C145" s="196"/>
      <c r="D145" s="47"/>
      <c r="E145" s="28"/>
      <c r="F145" s="215"/>
      <c r="G145" s="215"/>
      <c r="H145" s="2"/>
      <c r="I145" s="19"/>
      <c r="K145" s="35"/>
      <c r="M145" s="35"/>
      <c r="N145" s="35"/>
      <c r="O145" s="35"/>
      <c r="P145" s="35"/>
    </row>
    <row r="146" spans="2:16">
      <c r="B146" s="28"/>
      <c r="C146" s="196"/>
      <c r="D146" s="47"/>
      <c r="E146" s="28"/>
      <c r="F146" s="215"/>
      <c r="G146" s="215"/>
      <c r="H146" s="2"/>
      <c r="I146" s="19"/>
      <c r="K146" s="35"/>
      <c r="M146" s="35"/>
      <c r="N146" s="35"/>
      <c r="O146" s="35"/>
      <c r="P146" s="35"/>
    </row>
    <row r="147" spans="2:16">
      <c r="B147" s="28"/>
      <c r="C147" s="196"/>
      <c r="D147" s="47"/>
      <c r="E147" s="28"/>
      <c r="F147" s="215"/>
      <c r="G147" s="215"/>
      <c r="H147" s="2"/>
      <c r="I147" s="19"/>
      <c r="K147" s="35"/>
      <c r="M147" s="35"/>
      <c r="N147" s="35"/>
      <c r="O147" s="35"/>
      <c r="P147" s="35"/>
    </row>
    <row r="148" spans="2:16">
      <c r="B148" s="28"/>
      <c r="C148" s="196"/>
      <c r="D148" s="47"/>
      <c r="E148" s="28"/>
      <c r="F148" s="215"/>
      <c r="G148" s="215"/>
      <c r="H148" s="2"/>
      <c r="I148" s="19"/>
      <c r="K148" s="35"/>
      <c r="M148" s="35"/>
      <c r="N148" s="35"/>
      <c r="O148" s="35"/>
      <c r="P148" s="35"/>
    </row>
    <row r="149" spans="2:16">
      <c r="B149" s="28"/>
      <c r="C149" s="196"/>
      <c r="D149" s="47"/>
      <c r="E149" s="28"/>
      <c r="F149" s="215"/>
      <c r="G149" s="215"/>
      <c r="H149" s="2"/>
      <c r="I149" s="19"/>
      <c r="K149" s="35"/>
      <c r="M149" s="35"/>
      <c r="N149" s="35"/>
      <c r="O149" s="35"/>
      <c r="P149" s="35"/>
    </row>
    <row r="150" spans="2:16">
      <c r="B150" s="28"/>
      <c r="C150" s="196"/>
      <c r="D150" s="47"/>
      <c r="E150" s="28"/>
      <c r="F150" s="215"/>
      <c r="G150" s="215"/>
      <c r="H150" s="2"/>
      <c r="I150" s="19"/>
      <c r="K150" s="35"/>
      <c r="M150" s="35"/>
      <c r="N150" s="35"/>
      <c r="O150" s="35"/>
      <c r="P150" s="35"/>
    </row>
    <row r="151" spans="2:16">
      <c r="B151" s="28"/>
      <c r="C151" s="196"/>
      <c r="D151" s="47"/>
      <c r="E151" s="28"/>
      <c r="F151" s="215"/>
      <c r="G151" s="215"/>
      <c r="H151" s="2"/>
      <c r="I151" s="19"/>
      <c r="K151" s="35"/>
      <c r="M151" s="35"/>
      <c r="N151" s="35"/>
      <c r="O151" s="35"/>
      <c r="P151" s="35"/>
    </row>
    <row r="152" spans="2:16">
      <c r="B152" s="28"/>
      <c r="C152" s="196"/>
      <c r="D152" s="47"/>
      <c r="E152" s="28"/>
      <c r="F152" s="215"/>
      <c r="G152" s="215"/>
      <c r="H152" s="2"/>
      <c r="I152" s="19"/>
      <c r="K152" s="35"/>
      <c r="M152" s="35"/>
      <c r="N152" s="35"/>
      <c r="O152" s="35"/>
      <c r="P152" s="35"/>
    </row>
    <row r="153" spans="2:16">
      <c r="B153" s="28"/>
      <c r="C153" s="196"/>
      <c r="D153" s="47"/>
      <c r="E153" s="28"/>
      <c r="F153" s="215"/>
      <c r="G153" s="215"/>
      <c r="H153" s="2"/>
      <c r="I153" s="19"/>
      <c r="K153" s="35"/>
      <c r="M153" s="35"/>
      <c r="N153" s="35"/>
      <c r="O153" s="35"/>
      <c r="P153" s="35"/>
    </row>
    <row r="154" spans="2:16">
      <c r="B154" s="28"/>
      <c r="C154" s="196"/>
      <c r="D154" s="47"/>
      <c r="E154" s="28"/>
      <c r="F154" s="215"/>
      <c r="G154" s="215"/>
      <c r="H154" s="2"/>
      <c r="I154" s="19"/>
      <c r="K154" s="35"/>
      <c r="M154" s="35"/>
      <c r="N154" s="35"/>
      <c r="O154" s="35"/>
      <c r="P154" s="35"/>
    </row>
    <row r="155" spans="2:16">
      <c r="B155" s="28"/>
      <c r="C155" s="196"/>
      <c r="D155" s="47"/>
      <c r="E155" s="28"/>
      <c r="F155" s="215"/>
      <c r="G155" s="215"/>
      <c r="H155" s="2"/>
      <c r="I155" s="19"/>
      <c r="K155" s="35"/>
      <c r="M155" s="35"/>
      <c r="N155" s="35"/>
      <c r="O155" s="35"/>
      <c r="P155" s="35"/>
    </row>
    <row r="156" spans="2:16">
      <c r="B156" s="28"/>
      <c r="C156" s="196"/>
      <c r="D156" s="47"/>
      <c r="E156" s="28"/>
      <c r="F156" s="215"/>
      <c r="G156" s="215"/>
      <c r="H156" s="2"/>
      <c r="I156" s="19"/>
      <c r="K156" s="35"/>
      <c r="M156" s="35"/>
      <c r="N156" s="35"/>
      <c r="O156" s="35"/>
      <c r="P156" s="35"/>
    </row>
    <row r="157" spans="2:16">
      <c r="B157" s="28"/>
      <c r="C157" s="196"/>
      <c r="D157" s="47"/>
      <c r="E157" s="28"/>
      <c r="F157" s="215"/>
      <c r="G157" s="215"/>
      <c r="H157" s="2"/>
      <c r="I157" s="19"/>
      <c r="K157" s="35"/>
      <c r="M157" s="35"/>
      <c r="N157" s="35"/>
      <c r="O157" s="35"/>
      <c r="P157" s="35"/>
    </row>
    <row r="158" spans="2:16">
      <c r="B158" s="28"/>
      <c r="C158" s="196"/>
      <c r="D158" s="47"/>
      <c r="E158" s="28"/>
      <c r="F158" s="215"/>
      <c r="G158" s="215"/>
      <c r="H158" s="2"/>
      <c r="I158" s="19"/>
      <c r="K158" s="35"/>
      <c r="M158" s="35"/>
      <c r="N158" s="35"/>
      <c r="O158" s="35"/>
      <c r="P158" s="35"/>
    </row>
    <row r="159" spans="2:16">
      <c r="B159" s="28"/>
      <c r="C159" s="196"/>
      <c r="D159" s="47"/>
      <c r="E159" s="28"/>
      <c r="F159" s="215"/>
      <c r="G159" s="215"/>
      <c r="H159" s="2"/>
      <c r="I159" s="19"/>
      <c r="K159" s="35"/>
      <c r="M159" s="35"/>
      <c r="N159" s="35"/>
      <c r="O159" s="35"/>
      <c r="P159" s="35"/>
    </row>
    <row r="160" spans="2:16">
      <c r="B160" s="28"/>
      <c r="C160" s="196"/>
      <c r="D160" s="47"/>
      <c r="E160" s="28"/>
      <c r="F160" s="215"/>
      <c r="G160" s="215"/>
      <c r="H160" s="2"/>
      <c r="I160" s="19"/>
      <c r="K160" s="35"/>
      <c r="M160" s="35"/>
      <c r="N160" s="35"/>
      <c r="O160" s="35"/>
      <c r="P160" s="35"/>
    </row>
    <row r="161" spans="2:16">
      <c r="B161" s="28"/>
      <c r="C161" s="196"/>
      <c r="D161" s="47"/>
      <c r="E161" s="28"/>
      <c r="F161" s="215"/>
      <c r="G161" s="215"/>
      <c r="H161" s="2"/>
      <c r="I161" s="19"/>
      <c r="K161" s="35"/>
      <c r="M161" s="35"/>
      <c r="N161" s="35"/>
      <c r="O161" s="35"/>
      <c r="P161" s="35"/>
    </row>
    <row r="162" spans="2:16">
      <c r="B162" s="28"/>
      <c r="C162" s="196"/>
      <c r="D162" s="47"/>
      <c r="E162" s="28"/>
      <c r="F162" s="215"/>
      <c r="G162" s="215"/>
      <c r="H162" s="2"/>
      <c r="I162" s="19"/>
      <c r="K162" s="35"/>
      <c r="M162" s="35"/>
      <c r="N162" s="35"/>
      <c r="O162" s="35"/>
      <c r="P162" s="35"/>
    </row>
    <row r="163" spans="2:16">
      <c r="B163" s="28"/>
      <c r="C163" s="196"/>
      <c r="D163" s="47"/>
      <c r="E163" s="28"/>
      <c r="F163" s="215"/>
      <c r="G163" s="215"/>
      <c r="H163" s="2"/>
      <c r="I163" s="19"/>
      <c r="K163" s="35"/>
      <c r="M163" s="35"/>
      <c r="N163" s="35"/>
      <c r="O163" s="35"/>
      <c r="P163" s="35"/>
    </row>
    <row r="164" spans="2:16">
      <c r="B164" s="28"/>
      <c r="C164" s="196"/>
      <c r="D164" s="47"/>
      <c r="E164" s="28"/>
      <c r="F164" s="215"/>
      <c r="G164" s="215"/>
      <c r="H164" s="2"/>
      <c r="I164" s="19"/>
      <c r="K164" s="35"/>
      <c r="M164" s="35"/>
      <c r="N164" s="35"/>
      <c r="O164" s="35"/>
      <c r="P164" s="35"/>
    </row>
    <row r="165" spans="2:16">
      <c r="B165" s="28"/>
      <c r="C165" s="196"/>
      <c r="D165" s="47"/>
      <c r="E165" s="28"/>
      <c r="F165" s="215"/>
      <c r="G165" s="215"/>
      <c r="H165" s="2"/>
      <c r="I165" s="19"/>
      <c r="K165" s="35"/>
      <c r="M165" s="35"/>
      <c r="N165" s="35"/>
      <c r="O165" s="35"/>
      <c r="P165" s="35"/>
    </row>
    <row r="166" spans="2:16">
      <c r="B166" s="28"/>
      <c r="C166" s="196"/>
      <c r="D166" s="47"/>
      <c r="E166" s="28"/>
      <c r="F166" s="215"/>
      <c r="G166" s="215"/>
      <c r="H166" s="2"/>
      <c r="I166" s="19"/>
      <c r="K166" s="35"/>
      <c r="M166" s="35"/>
      <c r="N166" s="35"/>
      <c r="O166" s="35"/>
      <c r="P166" s="35"/>
    </row>
    <row r="167" spans="2:16">
      <c r="B167" s="28"/>
      <c r="C167" s="196"/>
      <c r="D167" s="47"/>
      <c r="E167" s="28"/>
      <c r="F167" s="215"/>
      <c r="G167" s="215"/>
      <c r="H167" s="2"/>
      <c r="I167" s="19"/>
      <c r="K167" s="35"/>
      <c r="M167" s="35"/>
      <c r="N167" s="35"/>
      <c r="O167" s="35"/>
      <c r="P167" s="35"/>
    </row>
    <row r="168" spans="2:16">
      <c r="B168" s="28"/>
      <c r="C168" s="196"/>
      <c r="D168" s="47"/>
      <c r="E168" s="28"/>
      <c r="F168" s="215"/>
      <c r="G168" s="215"/>
      <c r="H168" s="2"/>
      <c r="I168" s="19"/>
      <c r="K168" s="35"/>
      <c r="M168" s="35"/>
      <c r="N168" s="35"/>
      <c r="O168" s="35"/>
      <c r="P168" s="35"/>
    </row>
    <row r="169" spans="2:16">
      <c r="B169" s="28"/>
      <c r="C169" s="196"/>
      <c r="D169" s="47"/>
      <c r="E169" s="28"/>
      <c r="F169" s="215"/>
      <c r="G169" s="215"/>
      <c r="H169" s="2"/>
      <c r="I169" s="19"/>
      <c r="K169" s="35"/>
      <c r="M169" s="35"/>
      <c r="N169" s="35"/>
      <c r="O169" s="35"/>
      <c r="P169" s="35"/>
    </row>
    <row r="170" spans="2:16">
      <c r="B170" s="28"/>
      <c r="C170" s="196"/>
      <c r="D170" s="47"/>
      <c r="E170" s="28"/>
      <c r="F170" s="215"/>
      <c r="G170" s="215"/>
      <c r="H170" s="2"/>
      <c r="I170" s="19"/>
      <c r="K170" s="35"/>
      <c r="M170" s="35"/>
      <c r="N170" s="35"/>
      <c r="O170" s="35"/>
      <c r="P170" s="35"/>
    </row>
    <row r="171" spans="2:16">
      <c r="D171" s="47"/>
      <c r="E171" s="143"/>
      <c r="H171" s="2"/>
      <c r="I171" s="30"/>
    </row>
    <row r="172" spans="2:16">
      <c r="D172" s="47"/>
      <c r="E172" s="143"/>
      <c r="H172" s="2"/>
      <c r="I172" s="30"/>
    </row>
    <row r="173" spans="2:16">
      <c r="D173" s="47"/>
      <c r="E173" s="143"/>
      <c r="H173" s="2"/>
      <c r="I173" s="30"/>
    </row>
    <row r="174" spans="2:16">
      <c r="D174" s="47"/>
      <c r="E174" s="143"/>
      <c r="H174" s="2"/>
      <c r="I174" s="30"/>
    </row>
    <row r="175" spans="2:16">
      <c r="D175" s="47"/>
      <c r="E175" s="143"/>
      <c r="H175" s="2"/>
      <c r="I175" s="30"/>
    </row>
    <row r="176" spans="2:16">
      <c r="D176" s="47"/>
      <c r="E176" s="143"/>
      <c r="H176" s="2"/>
      <c r="I176" s="30"/>
    </row>
    <row r="177" spans="4:9">
      <c r="D177" s="47"/>
      <c r="E177" s="143"/>
      <c r="H177" s="2"/>
      <c r="I177" s="30"/>
    </row>
    <row r="178" spans="4:9">
      <c r="D178" s="47"/>
      <c r="E178" s="143"/>
      <c r="H178" s="2"/>
      <c r="I178" s="30"/>
    </row>
    <row r="179" spans="4:9">
      <c r="D179" s="47"/>
      <c r="E179" s="143"/>
      <c r="H179" s="2"/>
      <c r="I179" s="30"/>
    </row>
    <row r="180" spans="4:9">
      <c r="D180" s="47"/>
      <c r="E180" s="143"/>
      <c r="H180" s="2"/>
      <c r="I180" s="30"/>
    </row>
    <row r="181" spans="4:9">
      <c r="D181" s="47"/>
      <c r="E181" s="143"/>
      <c r="H181" s="2"/>
      <c r="I181" s="30"/>
    </row>
    <row r="182" spans="4:9">
      <c r="D182" s="47"/>
      <c r="E182" s="143"/>
      <c r="H182" s="2"/>
      <c r="I182" s="30"/>
    </row>
    <row r="183" spans="4:9">
      <c r="D183" s="47"/>
      <c r="E183" s="143"/>
      <c r="H183" s="2"/>
      <c r="I183" s="30"/>
    </row>
    <row r="184" spans="4:9">
      <c r="D184" s="47"/>
      <c r="E184" s="143"/>
      <c r="H184" s="2"/>
      <c r="I184" s="30"/>
    </row>
    <row r="185" spans="4:9">
      <c r="D185" s="47"/>
      <c r="E185" s="143"/>
      <c r="H185" s="2"/>
      <c r="I185" s="30"/>
    </row>
    <row r="186" spans="4:9">
      <c r="D186" s="47"/>
      <c r="E186" s="143"/>
      <c r="H186" s="2"/>
      <c r="I186" s="30"/>
    </row>
    <row r="187" spans="4:9">
      <c r="D187" s="47"/>
      <c r="E187" s="143"/>
      <c r="H187" s="2"/>
      <c r="I187" s="30"/>
    </row>
    <row r="188" spans="4:9">
      <c r="D188" s="47"/>
      <c r="E188" s="143"/>
      <c r="H188" s="2"/>
      <c r="I188" s="30"/>
    </row>
    <row r="189" spans="4:9">
      <c r="D189" s="47"/>
      <c r="E189" s="143"/>
      <c r="H189" s="2"/>
      <c r="I189" s="30"/>
    </row>
    <row r="190" spans="4:9">
      <c r="D190" s="47"/>
      <c r="E190" s="143"/>
      <c r="H190" s="2"/>
      <c r="I190" s="30"/>
    </row>
    <row r="191" spans="4:9">
      <c r="D191" s="47"/>
      <c r="E191" s="143"/>
      <c r="H191" s="2"/>
      <c r="I191" s="30"/>
    </row>
    <row r="192" spans="4:9">
      <c r="D192" s="47"/>
      <c r="E192" s="143"/>
      <c r="H192" s="2"/>
      <c r="I192" s="30"/>
    </row>
    <row r="193" spans="4:9">
      <c r="D193" s="47"/>
      <c r="E193" s="143"/>
      <c r="H193" s="2"/>
      <c r="I193" s="30"/>
    </row>
    <row r="194" spans="4:9">
      <c r="D194" s="47"/>
      <c r="E194" s="143"/>
      <c r="H194" s="2"/>
      <c r="I194" s="30"/>
    </row>
    <row r="195" spans="4:9">
      <c r="D195" s="47"/>
      <c r="E195" s="143"/>
      <c r="H195" s="2"/>
      <c r="I195" s="30"/>
    </row>
    <row r="196" spans="4:9">
      <c r="D196" s="47"/>
      <c r="E196" s="143"/>
      <c r="H196" s="2"/>
      <c r="I196" s="30"/>
    </row>
    <row r="197" spans="4:9">
      <c r="D197" s="47"/>
      <c r="E197" s="143"/>
      <c r="H197" s="2"/>
      <c r="I197" s="30"/>
    </row>
    <row r="198" spans="4:9">
      <c r="D198" s="47"/>
      <c r="E198" s="143"/>
      <c r="H198" s="2"/>
      <c r="I198" s="30"/>
    </row>
    <row r="199" spans="4:9">
      <c r="D199" s="47"/>
      <c r="E199" s="143"/>
      <c r="H199" s="2"/>
      <c r="I199" s="30"/>
    </row>
    <row r="200" spans="4:9">
      <c r="D200" s="47"/>
      <c r="E200" s="143"/>
      <c r="H200" s="2"/>
      <c r="I200" s="30"/>
    </row>
    <row r="201" spans="4:9">
      <c r="D201" s="47"/>
      <c r="E201" s="143"/>
      <c r="H201" s="2"/>
      <c r="I201" s="30"/>
    </row>
    <row r="202" spans="4:9">
      <c r="D202" s="47"/>
      <c r="E202" s="143"/>
      <c r="H202" s="2"/>
      <c r="I202" s="30"/>
    </row>
    <row r="203" spans="4:9">
      <c r="D203" s="47"/>
      <c r="E203" s="143"/>
      <c r="H203" s="2"/>
      <c r="I203" s="30"/>
    </row>
    <row r="204" spans="4:9">
      <c r="D204" s="47"/>
      <c r="E204" s="143"/>
      <c r="H204" s="2"/>
      <c r="I204" s="30"/>
    </row>
    <row r="205" spans="4:9">
      <c r="D205" s="47"/>
      <c r="E205" s="143"/>
      <c r="H205" s="2"/>
      <c r="I205" s="30"/>
    </row>
    <row r="206" spans="4:9">
      <c r="D206" s="47"/>
      <c r="E206" s="143"/>
      <c r="H206" s="2"/>
      <c r="I206" s="30"/>
    </row>
    <row r="207" spans="4:9">
      <c r="D207" s="47"/>
      <c r="E207" s="143"/>
      <c r="H207" s="2"/>
      <c r="I207" s="30"/>
    </row>
    <row r="208" spans="4:9">
      <c r="D208" s="47"/>
      <c r="E208" s="143"/>
      <c r="H208" s="2"/>
      <c r="I208" s="30"/>
    </row>
    <row r="209" spans="4:9">
      <c r="D209" s="47"/>
      <c r="E209" s="143"/>
      <c r="H209" s="2"/>
      <c r="I209" s="30"/>
    </row>
    <row r="210" spans="4:9">
      <c r="D210" s="47"/>
      <c r="E210" s="143"/>
      <c r="H210" s="2"/>
      <c r="I210" s="30"/>
    </row>
    <row r="211" spans="4:9">
      <c r="D211" s="47"/>
      <c r="E211" s="143"/>
      <c r="H211" s="2"/>
      <c r="I211" s="30"/>
    </row>
    <row r="212" spans="4:9">
      <c r="D212" s="47"/>
      <c r="E212" s="143"/>
      <c r="H212" s="2"/>
      <c r="I212" s="30"/>
    </row>
    <row r="213" spans="4:9">
      <c r="D213" s="47"/>
      <c r="E213" s="143"/>
      <c r="H213" s="2"/>
      <c r="I213" s="30"/>
    </row>
    <row r="214" spans="4:9">
      <c r="D214" s="47"/>
      <c r="E214" s="143"/>
      <c r="H214" s="2"/>
      <c r="I214" s="30"/>
    </row>
    <row r="215" spans="4:9">
      <c r="D215" s="47"/>
      <c r="E215" s="143"/>
      <c r="H215" s="2"/>
      <c r="I215" s="30"/>
    </row>
    <row r="216" spans="4:9">
      <c r="D216" s="47"/>
      <c r="E216" s="143"/>
      <c r="H216" s="2"/>
      <c r="I216" s="30"/>
    </row>
    <row r="217" spans="4:9">
      <c r="D217" s="47"/>
      <c r="E217" s="143"/>
      <c r="H217" s="2"/>
      <c r="I217" s="30"/>
    </row>
    <row r="218" spans="4:9">
      <c r="D218" s="47"/>
      <c r="E218" s="143"/>
      <c r="H218" s="2"/>
      <c r="I218" s="30"/>
    </row>
    <row r="219" spans="4:9">
      <c r="D219" s="47"/>
      <c r="E219" s="143"/>
      <c r="H219" s="2"/>
      <c r="I219" s="30"/>
    </row>
    <row r="220" spans="4:9">
      <c r="D220" s="47"/>
      <c r="E220" s="143"/>
      <c r="H220" s="2"/>
      <c r="I220" s="30"/>
    </row>
    <row r="221" spans="4:9">
      <c r="D221" s="47"/>
      <c r="E221" s="143"/>
      <c r="H221" s="2"/>
      <c r="I221" s="30"/>
    </row>
    <row r="222" spans="4:9">
      <c r="D222" s="47"/>
      <c r="E222" s="143"/>
      <c r="H222" s="2"/>
      <c r="I222" s="30"/>
    </row>
    <row r="223" spans="4:9">
      <c r="D223" s="47"/>
      <c r="E223" s="143"/>
      <c r="H223" s="2"/>
      <c r="I223" s="30"/>
    </row>
    <row r="224" spans="4:9">
      <c r="D224" s="47"/>
      <c r="E224" s="143"/>
      <c r="H224" s="2"/>
      <c r="I224" s="30"/>
    </row>
    <row r="225" spans="4:9">
      <c r="D225" s="47"/>
      <c r="E225" s="143"/>
      <c r="H225" s="2"/>
      <c r="I225" s="30"/>
    </row>
    <row r="226" spans="4:9">
      <c r="D226" s="47"/>
      <c r="E226" s="143"/>
      <c r="H226" s="2"/>
      <c r="I226" s="30"/>
    </row>
    <row r="227" spans="4:9">
      <c r="D227" s="47"/>
      <c r="E227" s="143"/>
      <c r="H227" s="2"/>
      <c r="I227" s="30"/>
    </row>
    <row r="228" spans="4:9">
      <c r="D228" s="47"/>
      <c r="E228" s="143"/>
      <c r="H228" s="2"/>
      <c r="I228" s="30"/>
    </row>
    <row r="229" spans="4:9">
      <c r="D229" s="47"/>
      <c r="E229" s="143"/>
      <c r="H229" s="2"/>
      <c r="I229" s="30"/>
    </row>
    <row r="230" spans="4:9">
      <c r="D230" s="47"/>
      <c r="E230" s="143"/>
      <c r="H230" s="2"/>
      <c r="I230" s="30"/>
    </row>
    <row r="231" spans="4:9">
      <c r="D231" s="47"/>
      <c r="E231" s="143"/>
      <c r="H231" s="2"/>
      <c r="I231" s="30"/>
    </row>
    <row r="232" spans="4:9">
      <c r="D232" s="47"/>
      <c r="E232" s="143"/>
      <c r="H232" s="2"/>
      <c r="I232" s="30"/>
    </row>
    <row r="233" spans="4:9">
      <c r="D233" s="47"/>
      <c r="E233" s="143"/>
      <c r="H233" s="2"/>
      <c r="I233" s="30"/>
    </row>
    <row r="234" spans="4:9">
      <c r="D234" s="47"/>
      <c r="E234" s="143"/>
      <c r="H234" s="2"/>
      <c r="I234" s="30"/>
    </row>
    <row r="235" spans="4:9">
      <c r="D235" s="47"/>
      <c r="E235" s="143"/>
      <c r="H235" s="2"/>
      <c r="I235" s="30"/>
    </row>
    <row r="236" spans="4:9">
      <c r="D236" s="47"/>
      <c r="E236" s="143"/>
      <c r="H236" s="2"/>
      <c r="I236" s="30"/>
    </row>
    <row r="237" spans="4:9">
      <c r="D237" s="47"/>
      <c r="E237" s="143"/>
      <c r="H237" s="2"/>
      <c r="I237" s="30"/>
    </row>
    <row r="238" spans="4:9">
      <c r="D238" s="47"/>
      <c r="E238" s="143"/>
      <c r="H238" s="2"/>
      <c r="I238" s="30"/>
    </row>
    <row r="239" spans="4:9">
      <c r="D239" s="47"/>
      <c r="E239" s="143"/>
      <c r="H239" s="2"/>
      <c r="I239" s="30"/>
    </row>
    <row r="240" spans="4:9">
      <c r="D240" s="47"/>
      <c r="E240" s="143"/>
      <c r="H240" s="2"/>
      <c r="I240" s="30"/>
    </row>
    <row r="241" spans="4:9">
      <c r="D241" s="47"/>
      <c r="E241" s="143"/>
      <c r="H241" s="2"/>
      <c r="I241" s="30"/>
    </row>
    <row r="242" spans="4:9">
      <c r="D242" s="47"/>
      <c r="E242" s="143"/>
      <c r="H242" s="2"/>
      <c r="I242" s="30"/>
    </row>
    <row r="243" spans="4:9">
      <c r="D243" s="47"/>
      <c r="E243" s="143"/>
      <c r="H243" s="2"/>
      <c r="I243" s="30"/>
    </row>
    <row r="244" spans="4:9">
      <c r="D244" s="47"/>
      <c r="E244" s="143"/>
      <c r="H244" s="2"/>
      <c r="I244" s="30"/>
    </row>
    <row r="245" spans="4:9">
      <c r="D245" s="47"/>
      <c r="E245" s="143"/>
      <c r="H245" s="2"/>
      <c r="I245" s="30"/>
    </row>
    <row r="246" spans="4:9">
      <c r="D246" s="47"/>
      <c r="E246" s="143"/>
      <c r="H246" s="2"/>
      <c r="I246" s="30"/>
    </row>
    <row r="247" spans="4:9">
      <c r="D247" s="47"/>
      <c r="E247" s="143"/>
      <c r="H247" s="2"/>
      <c r="I247" s="30"/>
    </row>
    <row r="248" spans="4:9">
      <c r="D248" s="47"/>
      <c r="E248" s="143"/>
      <c r="H248" s="2"/>
      <c r="I248" s="30"/>
    </row>
    <row r="249" spans="4:9">
      <c r="D249" s="47"/>
      <c r="E249" s="143"/>
      <c r="H249" s="2"/>
      <c r="I249" s="30"/>
    </row>
    <row r="250" spans="4:9">
      <c r="D250" s="47"/>
      <c r="E250" s="143"/>
      <c r="H250" s="2"/>
      <c r="I250" s="30"/>
    </row>
    <row r="251" spans="4:9">
      <c r="D251" s="47"/>
      <c r="E251" s="143"/>
      <c r="H251" s="2"/>
      <c r="I251" s="30"/>
    </row>
    <row r="252" spans="4:9">
      <c r="D252" s="47"/>
      <c r="E252" s="143"/>
      <c r="H252" s="2"/>
      <c r="I252" s="30"/>
    </row>
    <row r="253" spans="4:9">
      <c r="D253" s="47"/>
      <c r="E253" s="143"/>
      <c r="H253" s="2"/>
      <c r="I253" s="30"/>
    </row>
    <row r="254" spans="4:9">
      <c r="D254" s="47"/>
      <c r="E254" s="143"/>
      <c r="H254" s="2"/>
      <c r="I254" s="30"/>
    </row>
    <row r="255" spans="4:9">
      <c r="D255" s="47"/>
      <c r="E255" s="143"/>
      <c r="H255" s="2"/>
      <c r="I255" s="30"/>
    </row>
    <row r="256" spans="4:9">
      <c r="D256" s="47"/>
      <c r="E256" s="143"/>
      <c r="H256" s="2"/>
      <c r="I256" s="30"/>
    </row>
    <row r="257" spans="4:9">
      <c r="D257" s="47"/>
      <c r="E257" s="143"/>
      <c r="H257" s="2"/>
      <c r="I257" s="30"/>
    </row>
    <row r="258" spans="4:9">
      <c r="D258" s="47"/>
      <c r="E258" s="143"/>
      <c r="H258" s="2"/>
      <c r="I258" s="30"/>
    </row>
    <row r="259" spans="4:9">
      <c r="D259" s="47"/>
      <c r="E259" s="143"/>
      <c r="H259" s="2"/>
      <c r="I259" s="30"/>
    </row>
    <row r="260" spans="4:9">
      <c r="D260" s="47"/>
      <c r="E260" s="143"/>
      <c r="H260" s="2"/>
      <c r="I260" s="30"/>
    </row>
    <row r="261" spans="4:9">
      <c r="D261" s="47"/>
      <c r="E261" s="143"/>
      <c r="H261" s="2"/>
      <c r="I261" s="30"/>
    </row>
    <row r="262" spans="4:9">
      <c r="D262" s="47"/>
      <c r="E262" s="143"/>
      <c r="H262" s="2"/>
      <c r="I262" s="30"/>
    </row>
    <row r="263" spans="4:9">
      <c r="D263" s="47"/>
      <c r="E263" s="143"/>
      <c r="H263" s="2"/>
      <c r="I263" s="30"/>
    </row>
    <row r="264" spans="4:9">
      <c r="D264" s="47"/>
      <c r="E264" s="143"/>
      <c r="H264" s="2"/>
      <c r="I264" s="30"/>
    </row>
    <row r="265" spans="4:9">
      <c r="D265" s="47"/>
      <c r="E265" s="143"/>
      <c r="H265" s="2"/>
      <c r="I265" s="30"/>
    </row>
    <row r="266" spans="4:9">
      <c r="D266" s="47"/>
      <c r="E266" s="143"/>
      <c r="H266" s="2"/>
      <c r="I266" s="30"/>
    </row>
    <row r="267" spans="4:9">
      <c r="D267" s="47"/>
      <c r="E267" s="143"/>
      <c r="H267" s="2"/>
      <c r="I267" s="30"/>
    </row>
    <row r="268" spans="4:9">
      <c r="D268" s="47"/>
      <c r="E268" s="143"/>
      <c r="H268" s="2"/>
      <c r="I268" s="30"/>
    </row>
    <row r="269" spans="4:9">
      <c r="D269" s="47"/>
      <c r="E269" s="143"/>
      <c r="H269" s="2"/>
      <c r="I269" s="30"/>
    </row>
    <row r="270" spans="4:9">
      <c r="D270" s="47"/>
      <c r="E270" s="143"/>
      <c r="H270" s="2"/>
      <c r="I270" s="30"/>
    </row>
    <row r="271" spans="4:9">
      <c r="D271" s="47"/>
      <c r="E271" s="143"/>
      <c r="H271" s="2"/>
      <c r="I271" s="30"/>
    </row>
    <row r="272" spans="4:9">
      <c r="D272" s="47"/>
      <c r="E272" s="143"/>
      <c r="H272" s="2"/>
      <c r="I272" s="30"/>
    </row>
    <row r="273" spans="4:9">
      <c r="D273" s="47"/>
      <c r="E273" s="143"/>
      <c r="H273" s="2"/>
      <c r="I273" s="30"/>
    </row>
    <row r="274" spans="4:9">
      <c r="D274" s="47"/>
      <c r="E274" s="143"/>
      <c r="H274" s="2"/>
      <c r="I274" s="30"/>
    </row>
    <row r="275" spans="4:9">
      <c r="D275" s="47"/>
      <c r="E275" s="143"/>
      <c r="H275" s="2"/>
      <c r="I275" s="30"/>
    </row>
    <row r="276" spans="4:9">
      <c r="D276" s="47"/>
      <c r="E276" s="143"/>
      <c r="H276" s="2"/>
      <c r="I276" s="30"/>
    </row>
    <row r="277" spans="4:9">
      <c r="D277" s="47"/>
      <c r="E277" s="143"/>
      <c r="H277" s="2"/>
      <c r="I277" s="30"/>
    </row>
    <row r="278" spans="4:9">
      <c r="D278" s="47"/>
      <c r="E278" s="143"/>
      <c r="H278" s="2"/>
      <c r="I278" s="30"/>
    </row>
    <row r="279" spans="4:9">
      <c r="D279" s="47"/>
      <c r="E279" s="143"/>
      <c r="H279" s="2"/>
      <c r="I279" s="30"/>
    </row>
    <row r="280" spans="4:9">
      <c r="D280" s="47"/>
      <c r="E280" s="143"/>
      <c r="H280" s="2"/>
      <c r="I280" s="30"/>
    </row>
    <row r="281" spans="4:9">
      <c r="D281" s="47"/>
      <c r="E281" s="143"/>
      <c r="H281" s="2"/>
      <c r="I281" s="30"/>
    </row>
    <row r="282" spans="4:9">
      <c r="D282" s="47"/>
      <c r="E282" s="143"/>
      <c r="H282" s="2"/>
      <c r="I282" s="30"/>
    </row>
    <row r="283" spans="4:9">
      <c r="D283" s="47"/>
      <c r="E283" s="143"/>
      <c r="H283" s="2"/>
      <c r="I283" s="30"/>
    </row>
    <row r="284" spans="4:9">
      <c r="D284" s="47"/>
      <c r="E284" s="143"/>
      <c r="H284" s="2"/>
      <c r="I284" s="30"/>
    </row>
    <row r="285" spans="4:9">
      <c r="D285" s="47"/>
      <c r="E285" s="143"/>
      <c r="H285" s="2"/>
      <c r="I285" s="30"/>
    </row>
    <row r="286" spans="4:9">
      <c r="D286" s="47"/>
      <c r="E286" s="143"/>
      <c r="H286" s="2"/>
      <c r="I286" s="30"/>
    </row>
    <row r="287" spans="4:9">
      <c r="D287" s="47"/>
      <c r="E287" s="143"/>
      <c r="H287" s="2"/>
      <c r="I287" s="30"/>
    </row>
    <row r="288" spans="4:9">
      <c r="D288" s="47"/>
      <c r="E288" s="143"/>
      <c r="H288" s="2"/>
      <c r="I288" s="30"/>
    </row>
    <row r="289" spans="4:9">
      <c r="D289" s="47"/>
      <c r="E289" s="143"/>
      <c r="H289" s="2"/>
      <c r="I289" s="30"/>
    </row>
    <row r="290" spans="4:9">
      <c r="D290" s="47"/>
      <c r="E290" s="143"/>
      <c r="H290" s="2"/>
      <c r="I290" s="30"/>
    </row>
    <row r="291" spans="4:9">
      <c r="D291" s="47"/>
      <c r="E291" s="143"/>
      <c r="H291" s="2"/>
      <c r="I291" s="30"/>
    </row>
    <row r="292" spans="4:9">
      <c r="D292" s="47"/>
      <c r="E292" s="143"/>
      <c r="H292" s="2"/>
      <c r="I292" s="30"/>
    </row>
    <row r="293" spans="4:9">
      <c r="D293" s="47"/>
      <c r="E293" s="143"/>
      <c r="H293" s="2"/>
      <c r="I293" s="30"/>
    </row>
    <row r="294" spans="4:9">
      <c r="D294" s="47"/>
      <c r="E294" s="143"/>
      <c r="H294" s="2"/>
      <c r="I294" s="30"/>
    </row>
    <row r="295" spans="4:9">
      <c r="D295" s="47"/>
      <c r="E295" s="143"/>
      <c r="H295" s="2"/>
      <c r="I295" s="30"/>
    </row>
    <row r="296" spans="4:9">
      <c r="D296" s="47"/>
      <c r="E296" s="143"/>
      <c r="H296" s="2"/>
      <c r="I296" s="30"/>
    </row>
    <row r="297" spans="4:9">
      <c r="D297" s="47"/>
      <c r="E297" s="143"/>
      <c r="H297" s="2"/>
      <c r="I297" s="30"/>
    </row>
    <row r="298" spans="4:9">
      <c r="D298" s="47"/>
      <c r="E298" s="143"/>
      <c r="H298" s="2"/>
      <c r="I298" s="30"/>
    </row>
    <row r="299" spans="4:9">
      <c r="D299" s="47"/>
      <c r="E299" s="143"/>
      <c r="H299" s="2"/>
      <c r="I299" s="30"/>
    </row>
    <row r="300" spans="4:9">
      <c r="D300" s="47"/>
      <c r="E300" s="143"/>
      <c r="H300" s="2"/>
      <c r="I300" s="30"/>
    </row>
    <row r="301" spans="4:9">
      <c r="D301" s="47"/>
      <c r="E301" s="143"/>
      <c r="H301" s="2"/>
      <c r="I301" s="30"/>
    </row>
    <row r="302" spans="4:9">
      <c r="D302" s="47"/>
      <c r="E302" s="143"/>
      <c r="H302" s="2"/>
      <c r="I302" s="30"/>
    </row>
    <row r="303" spans="4:9">
      <c r="D303" s="47"/>
      <c r="E303" s="143"/>
      <c r="H303" s="2"/>
      <c r="I303" s="30"/>
    </row>
    <row r="304" spans="4:9">
      <c r="D304" s="47"/>
      <c r="E304" s="143"/>
      <c r="H304" s="2"/>
      <c r="I304" s="30"/>
    </row>
    <row r="305" spans="4:9">
      <c r="D305" s="47"/>
      <c r="E305" s="143"/>
      <c r="H305" s="2"/>
      <c r="I305" s="30"/>
    </row>
    <row r="306" spans="4:9">
      <c r="D306" s="47"/>
      <c r="E306" s="143"/>
      <c r="H306" s="2"/>
      <c r="I306" s="30"/>
    </row>
    <row r="307" spans="4:9">
      <c r="D307" s="47"/>
      <c r="E307" s="143"/>
      <c r="H307" s="2"/>
      <c r="I307" s="30"/>
    </row>
    <row r="308" spans="4:9">
      <c r="D308" s="47"/>
      <c r="E308" s="143"/>
      <c r="H308" s="2"/>
      <c r="I308" s="30"/>
    </row>
    <row r="309" spans="4:9">
      <c r="D309" s="47"/>
      <c r="E309" s="143"/>
      <c r="H309" s="2"/>
      <c r="I309" s="30"/>
    </row>
    <row r="310" spans="4:9">
      <c r="D310" s="47"/>
      <c r="E310" s="143"/>
      <c r="H310" s="2"/>
      <c r="I310" s="30"/>
    </row>
    <row r="311" spans="4:9">
      <c r="D311" s="47"/>
      <c r="E311" s="143"/>
      <c r="H311" s="2"/>
      <c r="I311" s="30"/>
    </row>
    <row r="312" spans="4:9">
      <c r="D312" s="47"/>
      <c r="E312" s="143"/>
      <c r="H312" s="2"/>
      <c r="I312" s="30"/>
    </row>
    <row r="313" spans="4:9">
      <c r="D313" s="47"/>
      <c r="E313" s="143"/>
      <c r="H313" s="2"/>
      <c r="I313" s="30"/>
    </row>
    <row r="314" spans="4:9">
      <c r="D314" s="47"/>
      <c r="E314" s="143"/>
      <c r="H314" s="2"/>
      <c r="I314" s="30"/>
    </row>
    <row r="315" spans="4:9">
      <c r="D315" s="47"/>
      <c r="E315" s="143"/>
      <c r="H315" s="2"/>
      <c r="I315" s="30"/>
    </row>
    <row r="316" spans="4:9">
      <c r="D316" s="47"/>
      <c r="E316" s="143"/>
      <c r="H316" s="2"/>
      <c r="I316" s="30"/>
    </row>
    <row r="317" spans="4:9">
      <c r="D317" s="47"/>
      <c r="E317" s="143"/>
      <c r="H317" s="2"/>
      <c r="I317" s="30"/>
    </row>
    <row r="318" spans="4:9">
      <c r="D318" s="47"/>
      <c r="E318" s="143"/>
      <c r="H318" s="2"/>
      <c r="I318" s="30"/>
    </row>
    <row r="319" spans="4:9">
      <c r="D319" s="47"/>
      <c r="E319" s="143"/>
      <c r="H319" s="2"/>
      <c r="I319" s="30"/>
    </row>
    <row r="320" spans="4:9">
      <c r="D320" s="47"/>
      <c r="E320" s="143"/>
      <c r="H320" s="2"/>
      <c r="I320" s="30"/>
    </row>
    <row r="321" spans="4:9">
      <c r="D321" s="47"/>
      <c r="E321" s="143"/>
      <c r="H321" s="2"/>
      <c r="I321" s="30"/>
    </row>
    <row r="322" spans="4:9">
      <c r="D322" s="47"/>
      <c r="E322" s="143"/>
      <c r="H322" s="2"/>
      <c r="I322" s="30"/>
    </row>
    <row r="323" spans="4:9">
      <c r="D323" s="47"/>
      <c r="E323" s="143"/>
      <c r="H323" s="2"/>
      <c r="I323" s="30"/>
    </row>
    <row r="324" spans="4:9">
      <c r="D324" s="47"/>
      <c r="E324" s="143"/>
      <c r="H324" s="2"/>
      <c r="I324" s="30"/>
    </row>
    <row r="325" spans="4:9">
      <c r="D325" s="47"/>
      <c r="E325" s="143"/>
      <c r="H325" s="2"/>
      <c r="I325" s="30"/>
    </row>
    <row r="326" spans="4:9">
      <c r="D326" s="47"/>
      <c r="E326" s="143"/>
      <c r="H326" s="2"/>
      <c r="I326" s="30"/>
    </row>
    <row r="327" spans="4:9">
      <c r="D327" s="47"/>
      <c r="E327" s="143"/>
      <c r="H327" s="2"/>
      <c r="I327" s="30"/>
    </row>
    <row r="328" spans="4:9">
      <c r="D328" s="47"/>
      <c r="E328" s="143"/>
      <c r="H328" s="2"/>
      <c r="I328" s="30"/>
    </row>
    <row r="329" spans="4:9">
      <c r="D329" s="47"/>
      <c r="E329" s="143"/>
      <c r="H329" s="2"/>
      <c r="I329" s="30"/>
    </row>
    <row r="330" spans="4:9">
      <c r="D330" s="47"/>
      <c r="E330" s="143"/>
      <c r="H330" s="2"/>
      <c r="I330" s="30"/>
    </row>
    <row r="331" spans="4:9">
      <c r="D331" s="47"/>
      <c r="E331" s="143"/>
      <c r="H331" s="2"/>
      <c r="I331" s="30"/>
    </row>
    <row r="332" spans="4:9">
      <c r="D332" s="47"/>
      <c r="E332" s="143"/>
      <c r="H332" s="2"/>
      <c r="I332" s="30"/>
    </row>
    <row r="333" spans="4:9">
      <c r="D333" s="47"/>
      <c r="E333" s="143"/>
      <c r="H333" s="2"/>
      <c r="I333" s="30"/>
    </row>
    <row r="334" spans="4:9">
      <c r="D334" s="47"/>
      <c r="E334" s="143"/>
      <c r="H334" s="2"/>
      <c r="I334" s="30"/>
    </row>
    <row r="335" spans="4:9">
      <c r="D335" s="47"/>
      <c r="E335" s="143"/>
      <c r="H335" s="2"/>
      <c r="I335" s="30"/>
    </row>
    <row r="336" spans="4:9">
      <c r="D336" s="47"/>
      <c r="E336" s="143"/>
      <c r="H336" s="2"/>
      <c r="I336" s="30"/>
    </row>
    <row r="337" spans="4:9">
      <c r="D337" s="47"/>
      <c r="E337" s="143"/>
      <c r="H337" s="2"/>
      <c r="I337" s="30"/>
    </row>
    <row r="338" spans="4:9">
      <c r="D338" s="47"/>
      <c r="E338" s="143"/>
      <c r="H338" s="2"/>
      <c r="I338" s="30"/>
    </row>
    <row r="339" spans="4:9">
      <c r="D339" s="47"/>
      <c r="E339" s="143"/>
      <c r="H339" s="2"/>
      <c r="I339" s="30"/>
    </row>
    <row r="340" spans="4:9">
      <c r="D340" s="47"/>
      <c r="E340" s="143"/>
      <c r="H340" s="2"/>
      <c r="I340" s="30"/>
    </row>
    <row r="341" spans="4:9">
      <c r="D341" s="47"/>
      <c r="E341" s="143"/>
      <c r="H341" s="2"/>
      <c r="I341" s="30"/>
    </row>
    <row r="342" spans="4:9">
      <c r="D342" s="47"/>
      <c r="E342" s="143"/>
      <c r="H342" s="2"/>
      <c r="I342" s="30"/>
    </row>
    <row r="343" spans="4:9">
      <c r="D343" s="47"/>
      <c r="E343" s="143"/>
      <c r="H343" s="2"/>
      <c r="I343" s="30"/>
    </row>
    <row r="344" spans="4:9">
      <c r="D344" s="47"/>
      <c r="E344" s="143"/>
      <c r="H344" s="2"/>
      <c r="I344" s="30"/>
    </row>
    <row r="345" spans="4:9">
      <c r="D345" s="47"/>
      <c r="E345" s="143"/>
      <c r="H345" s="2"/>
      <c r="I345" s="30"/>
    </row>
    <row r="346" spans="4:9">
      <c r="D346" s="47"/>
      <c r="E346" s="143"/>
      <c r="H346" s="2"/>
      <c r="I346" s="30"/>
    </row>
    <row r="347" spans="4:9">
      <c r="D347" s="47"/>
      <c r="E347" s="143"/>
      <c r="H347" s="2"/>
      <c r="I347" s="30"/>
    </row>
    <row r="348" spans="4:9">
      <c r="D348" s="47"/>
      <c r="E348" s="143"/>
      <c r="H348" s="2"/>
      <c r="I348" s="30"/>
    </row>
    <row r="349" spans="4:9">
      <c r="D349" s="47"/>
      <c r="E349" s="143"/>
      <c r="H349" s="2"/>
      <c r="I349" s="30"/>
    </row>
    <row r="350" spans="4:9">
      <c r="D350" s="47"/>
      <c r="E350" s="143"/>
      <c r="H350" s="2"/>
      <c r="I350" s="30"/>
    </row>
    <row r="351" spans="4:9">
      <c r="D351" s="47"/>
      <c r="E351" s="143"/>
      <c r="H351" s="2"/>
      <c r="I351" s="30"/>
    </row>
    <row r="352" spans="4:9">
      <c r="D352" s="47"/>
      <c r="E352" s="143"/>
      <c r="H352" s="2"/>
      <c r="I352" s="30"/>
    </row>
    <row r="353" spans="4:9">
      <c r="D353" s="47"/>
      <c r="E353" s="143"/>
      <c r="H353" s="2"/>
      <c r="I353" s="30"/>
    </row>
    <row r="354" spans="4:9">
      <c r="D354" s="47"/>
      <c r="E354" s="143"/>
      <c r="H354" s="2"/>
      <c r="I354" s="30"/>
    </row>
    <row r="355" spans="4:9">
      <c r="D355" s="47"/>
      <c r="E355" s="143"/>
      <c r="H355" s="2"/>
      <c r="I355" s="30"/>
    </row>
    <row r="356" spans="4:9">
      <c r="D356" s="47"/>
      <c r="E356" s="143"/>
      <c r="H356" s="2"/>
      <c r="I356" s="30"/>
    </row>
    <row r="357" spans="4:9">
      <c r="D357" s="47"/>
      <c r="E357" s="143"/>
      <c r="H357" s="2"/>
      <c r="I357" s="30"/>
    </row>
    <row r="358" spans="4:9">
      <c r="D358" s="47"/>
      <c r="E358" s="143"/>
      <c r="H358" s="2"/>
      <c r="I358" s="30"/>
    </row>
    <row r="359" spans="4:9">
      <c r="D359" s="47"/>
      <c r="E359" s="143"/>
      <c r="H359" s="2"/>
      <c r="I359" s="30"/>
    </row>
    <row r="360" spans="4:9">
      <c r="D360" s="47"/>
      <c r="E360" s="143"/>
      <c r="H360" s="2"/>
      <c r="I360" s="30"/>
    </row>
    <row r="361" spans="4:9">
      <c r="D361" s="47"/>
      <c r="E361" s="143"/>
      <c r="H361" s="2"/>
      <c r="I361" s="30"/>
    </row>
    <row r="362" spans="4:9">
      <c r="D362" s="47"/>
      <c r="E362" s="143"/>
      <c r="H362" s="2"/>
      <c r="I362" s="30"/>
    </row>
    <row r="363" spans="4:9">
      <c r="D363" s="47"/>
      <c r="E363" s="143"/>
      <c r="H363" s="2"/>
      <c r="I363" s="30"/>
    </row>
    <row r="364" spans="4:9">
      <c r="D364" s="47"/>
      <c r="E364" s="143"/>
      <c r="H364" s="2"/>
      <c r="I364" s="30"/>
    </row>
    <row r="365" spans="4:9">
      <c r="D365" s="47"/>
      <c r="E365" s="143"/>
      <c r="H365" s="2"/>
      <c r="I365" s="30"/>
    </row>
    <row r="366" spans="4:9">
      <c r="D366" s="47"/>
      <c r="E366" s="143"/>
      <c r="H366" s="2"/>
      <c r="I366" s="30"/>
    </row>
    <row r="367" spans="4:9">
      <c r="D367" s="47"/>
      <c r="E367" s="143"/>
      <c r="H367" s="2"/>
      <c r="I367" s="30"/>
    </row>
    <row r="368" spans="4:9">
      <c r="D368" s="47"/>
      <c r="E368" s="143"/>
      <c r="H368" s="2"/>
      <c r="I368" s="30"/>
    </row>
    <row r="369" spans="4:9">
      <c r="D369" s="47"/>
      <c r="E369" s="143"/>
      <c r="H369" s="2"/>
      <c r="I369" s="30"/>
    </row>
    <row r="370" spans="4:9">
      <c r="D370" s="47"/>
      <c r="E370" s="143"/>
      <c r="H370" s="2"/>
      <c r="I370" s="30"/>
    </row>
    <row r="371" spans="4:9">
      <c r="D371" s="47"/>
      <c r="E371" s="143"/>
      <c r="H371" s="2"/>
      <c r="I371" s="30"/>
    </row>
    <row r="372" spans="4:9">
      <c r="D372" s="47"/>
      <c r="E372" s="143"/>
      <c r="H372" s="2"/>
      <c r="I372" s="30"/>
    </row>
    <row r="373" spans="4:9">
      <c r="D373" s="47"/>
      <c r="E373" s="143"/>
      <c r="H373" s="2"/>
      <c r="I373" s="30"/>
    </row>
    <row r="374" spans="4:9">
      <c r="D374" s="47"/>
      <c r="E374" s="143"/>
      <c r="H374" s="2"/>
      <c r="I374" s="30"/>
    </row>
    <row r="375" spans="4:9">
      <c r="D375" s="47"/>
      <c r="E375" s="143"/>
      <c r="H375" s="2"/>
      <c r="I375" s="30"/>
    </row>
    <row r="376" spans="4:9">
      <c r="D376" s="47"/>
      <c r="E376" s="143"/>
      <c r="H376" s="2"/>
      <c r="I376" s="30"/>
    </row>
    <row r="377" spans="4:9">
      <c r="D377" s="47"/>
      <c r="E377" s="143"/>
      <c r="H377" s="2"/>
      <c r="I377" s="30"/>
    </row>
    <row r="378" spans="4:9">
      <c r="D378" s="47"/>
      <c r="E378" s="143"/>
      <c r="H378" s="2"/>
      <c r="I378" s="30"/>
    </row>
    <row r="379" spans="4:9">
      <c r="D379" s="47"/>
      <c r="E379" s="143"/>
      <c r="H379" s="2"/>
      <c r="I379" s="30"/>
    </row>
    <row r="380" spans="4:9">
      <c r="D380" s="47"/>
      <c r="E380" s="143"/>
      <c r="H380" s="2"/>
      <c r="I380" s="30"/>
    </row>
    <row r="381" spans="4:9">
      <c r="D381" s="47"/>
      <c r="E381" s="143"/>
      <c r="H381" s="2"/>
      <c r="I381" s="30"/>
    </row>
    <row r="382" spans="4:9">
      <c r="D382" s="47"/>
      <c r="E382" s="143"/>
      <c r="H382" s="2"/>
      <c r="I382" s="30"/>
    </row>
    <row r="383" spans="4:9">
      <c r="D383" s="47"/>
      <c r="E383" s="143"/>
      <c r="H383" s="2"/>
      <c r="I383" s="30"/>
    </row>
    <row r="384" spans="4:9">
      <c r="D384" s="47"/>
      <c r="E384" s="143"/>
      <c r="H384" s="2"/>
      <c r="I384" s="30"/>
    </row>
    <row r="385" spans="4:9">
      <c r="D385" s="47"/>
      <c r="E385" s="143"/>
      <c r="H385" s="2"/>
      <c r="I385" s="30"/>
    </row>
    <row r="386" spans="4:9">
      <c r="D386" s="47"/>
      <c r="E386" s="143"/>
      <c r="H386" s="2"/>
      <c r="I386" s="30"/>
    </row>
    <row r="387" spans="4:9">
      <c r="D387" s="47"/>
      <c r="E387" s="143"/>
      <c r="H387" s="2"/>
      <c r="I387" s="30"/>
    </row>
    <row r="388" spans="4:9">
      <c r="D388" s="47"/>
      <c r="E388" s="143"/>
      <c r="H388" s="2"/>
      <c r="I388" s="30"/>
    </row>
    <row r="389" spans="4:9">
      <c r="D389" s="47"/>
      <c r="E389" s="143"/>
      <c r="H389" s="2"/>
      <c r="I389" s="30"/>
    </row>
    <row r="390" spans="4:9">
      <c r="D390" s="47"/>
      <c r="E390" s="143"/>
      <c r="H390" s="2"/>
      <c r="I390" s="30"/>
    </row>
    <row r="391" spans="4:9">
      <c r="D391" s="47"/>
      <c r="E391" s="143"/>
      <c r="H391" s="2"/>
      <c r="I391" s="30"/>
    </row>
    <row r="392" spans="4:9">
      <c r="D392" s="47"/>
      <c r="E392" s="143"/>
      <c r="H392" s="2"/>
      <c r="I392" s="30"/>
    </row>
    <row r="393" spans="4:9">
      <c r="D393" s="47"/>
      <c r="E393" s="143"/>
      <c r="H393" s="2"/>
      <c r="I393" s="30"/>
    </row>
    <row r="394" spans="4:9">
      <c r="D394" s="47"/>
      <c r="E394" s="143"/>
      <c r="H394" s="2"/>
      <c r="I394" s="30"/>
    </row>
    <row r="395" spans="4:9">
      <c r="D395" s="47"/>
      <c r="E395" s="143"/>
      <c r="H395" s="2"/>
      <c r="I395" s="30"/>
    </row>
    <row r="396" spans="4:9">
      <c r="D396" s="47"/>
      <c r="E396" s="143"/>
      <c r="H396" s="2"/>
      <c r="I396" s="30"/>
    </row>
    <row r="397" spans="4:9">
      <c r="D397" s="47"/>
      <c r="E397" s="143"/>
      <c r="H397" s="2"/>
      <c r="I397" s="30"/>
    </row>
    <row r="398" spans="4:9">
      <c r="D398" s="47"/>
      <c r="E398" s="143"/>
      <c r="H398" s="2"/>
      <c r="I398" s="30"/>
    </row>
    <row r="399" spans="4:9">
      <c r="D399" s="47"/>
      <c r="E399" s="143"/>
      <c r="H399" s="2"/>
      <c r="I399" s="30"/>
    </row>
    <row r="400" spans="4:9">
      <c r="D400" s="47"/>
      <c r="E400" s="143"/>
      <c r="H400" s="2"/>
      <c r="I400" s="30"/>
    </row>
    <row r="401" spans="4:9">
      <c r="D401" s="47"/>
      <c r="E401" s="143"/>
      <c r="H401" s="2"/>
      <c r="I401" s="30"/>
    </row>
    <row r="402" spans="4:9">
      <c r="D402" s="47"/>
      <c r="E402" s="143"/>
      <c r="H402" s="2"/>
      <c r="I402" s="30"/>
    </row>
    <row r="403" spans="4:9">
      <c r="D403" s="47"/>
      <c r="E403" s="143"/>
      <c r="H403" s="2"/>
      <c r="I403" s="30"/>
    </row>
    <row r="404" spans="4:9">
      <c r="D404" s="47"/>
      <c r="E404" s="143"/>
      <c r="H404" s="2"/>
      <c r="I404" s="30"/>
    </row>
    <row r="405" spans="4:9">
      <c r="D405" s="47"/>
      <c r="E405" s="143"/>
      <c r="H405" s="2"/>
      <c r="I405" s="30"/>
    </row>
    <row r="406" spans="4:9">
      <c r="D406" s="47"/>
      <c r="E406" s="143"/>
      <c r="H406" s="2"/>
      <c r="I406" s="30"/>
    </row>
    <row r="407" spans="4:9">
      <c r="D407" s="47"/>
      <c r="E407" s="143"/>
      <c r="H407" s="2"/>
      <c r="I407" s="30"/>
    </row>
    <row r="408" spans="4:9">
      <c r="D408" s="47"/>
      <c r="E408" s="143"/>
      <c r="H408" s="2"/>
      <c r="I408" s="30"/>
    </row>
    <row r="409" spans="4:9">
      <c r="D409" s="47"/>
      <c r="E409" s="143"/>
      <c r="H409" s="2"/>
      <c r="I409" s="30"/>
    </row>
    <row r="410" spans="4:9">
      <c r="D410" s="47"/>
      <c r="E410" s="143"/>
      <c r="H410" s="2"/>
      <c r="I410" s="30"/>
    </row>
    <row r="411" spans="4:9">
      <c r="D411" s="47"/>
      <c r="E411" s="143"/>
      <c r="H411" s="2"/>
      <c r="I411" s="30"/>
    </row>
    <row r="412" spans="4:9">
      <c r="D412" s="47"/>
      <c r="E412" s="143"/>
      <c r="H412" s="2"/>
      <c r="I412" s="30"/>
    </row>
    <row r="413" spans="4:9">
      <c r="D413" s="47"/>
      <c r="E413" s="143"/>
      <c r="H413" s="2"/>
      <c r="I413" s="30"/>
    </row>
    <row r="414" spans="4:9">
      <c r="D414" s="47"/>
      <c r="E414" s="143"/>
      <c r="H414" s="2"/>
      <c r="I414" s="30"/>
    </row>
    <row r="415" spans="4:9">
      <c r="D415" s="47"/>
      <c r="E415" s="143"/>
      <c r="H415" s="2"/>
      <c r="I415" s="30"/>
    </row>
    <row r="416" spans="4:9">
      <c r="D416" s="47"/>
      <c r="E416" s="143"/>
      <c r="H416" s="2"/>
      <c r="I416" s="30"/>
    </row>
    <row r="417" spans="4:9">
      <c r="D417" s="47"/>
      <c r="E417" s="143"/>
      <c r="H417" s="2"/>
      <c r="I417" s="30"/>
    </row>
    <row r="418" spans="4:9">
      <c r="D418" s="47"/>
      <c r="E418" s="143"/>
      <c r="H418" s="2"/>
      <c r="I418" s="30"/>
    </row>
    <row r="419" spans="4:9">
      <c r="D419" s="47"/>
      <c r="E419" s="143"/>
      <c r="H419" s="2"/>
      <c r="I419" s="30"/>
    </row>
    <row r="420" spans="4:9">
      <c r="D420" s="47"/>
      <c r="E420" s="143"/>
      <c r="H420" s="2"/>
      <c r="I420" s="30"/>
    </row>
    <row r="421" spans="4:9">
      <c r="D421" s="47"/>
      <c r="E421" s="143"/>
      <c r="H421" s="2"/>
      <c r="I421" s="30"/>
    </row>
    <row r="422" spans="4:9">
      <c r="D422" s="47"/>
      <c r="E422" s="143"/>
      <c r="H422" s="2"/>
      <c r="I422" s="30"/>
    </row>
    <row r="423" spans="4:9">
      <c r="D423" s="47"/>
      <c r="E423" s="143"/>
      <c r="H423" s="2"/>
      <c r="I423" s="30"/>
    </row>
    <row r="424" spans="4:9">
      <c r="D424" s="47"/>
      <c r="E424" s="143"/>
      <c r="H424" s="2"/>
      <c r="I424" s="30"/>
    </row>
    <row r="425" spans="4:9">
      <c r="D425" s="47"/>
      <c r="E425" s="143"/>
      <c r="H425" s="2"/>
      <c r="I425" s="30"/>
    </row>
    <row r="426" spans="4:9">
      <c r="D426" s="47"/>
      <c r="E426" s="143"/>
      <c r="H426" s="2"/>
      <c r="I426" s="30"/>
    </row>
    <row r="427" spans="4:9">
      <c r="D427" s="47"/>
      <c r="E427" s="143"/>
      <c r="H427" s="2"/>
      <c r="I427" s="30"/>
    </row>
    <row r="428" spans="4:9">
      <c r="D428" s="47"/>
      <c r="E428" s="143"/>
      <c r="H428" s="2"/>
      <c r="I428" s="30"/>
    </row>
    <row r="429" spans="4:9">
      <c r="D429" s="47"/>
      <c r="E429" s="143"/>
      <c r="H429" s="2"/>
      <c r="I429" s="30"/>
    </row>
    <row r="430" spans="4:9">
      <c r="D430" s="47"/>
      <c r="E430" s="143"/>
      <c r="H430" s="2"/>
      <c r="I430" s="30"/>
    </row>
    <row r="431" spans="4:9">
      <c r="D431" s="47"/>
      <c r="E431" s="143"/>
      <c r="H431" s="2"/>
      <c r="I431" s="30"/>
    </row>
    <row r="432" spans="4:9">
      <c r="D432" s="47"/>
      <c r="E432" s="143"/>
      <c r="H432" s="2"/>
      <c r="I432" s="30"/>
    </row>
    <row r="433" spans="4:9">
      <c r="D433" s="47"/>
      <c r="E433" s="143"/>
      <c r="H433" s="2"/>
      <c r="I433" s="30"/>
    </row>
    <row r="434" spans="4:9">
      <c r="D434" s="47"/>
      <c r="E434" s="143"/>
      <c r="H434" s="2"/>
      <c r="I434" s="30"/>
    </row>
    <row r="435" spans="4:9">
      <c r="D435" s="47"/>
      <c r="E435" s="143"/>
      <c r="H435" s="2"/>
      <c r="I435" s="30"/>
    </row>
    <row r="436" spans="4:9">
      <c r="D436" s="47"/>
      <c r="E436" s="143"/>
      <c r="H436" s="2"/>
      <c r="I436" s="30"/>
    </row>
    <row r="437" spans="4:9">
      <c r="D437" s="47"/>
      <c r="E437" s="143"/>
      <c r="H437" s="2"/>
      <c r="I437" s="30"/>
    </row>
    <row r="438" spans="4:9">
      <c r="D438" s="47"/>
      <c r="E438" s="143"/>
      <c r="H438" s="2"/>
      <c r="I438" s="30"/>
    </row>
    <row r="439" spans="4:9">
      <c r="D439" s="47"/>
      <c r="E439" s="143"/>
      <c r="H439" s="2"/>
      <c r="I439" s="30"/>
    </row>
    <row r="440" spans="4:9">
      <c r="D440" s="47"/>
      <c r="E440" s="143"/>
      <c r="H440" s="2"/>
      <c r="I440" s="30"/>
    </row>
    <row r="441" spans="4:9">
      <c r="D441" s="47"/>
      <c r="E441" s="143"/>
      <c r="H441" s="2"/>
      <c r="I441" s="30"/>
    </row>
    <row r="442" spans="4:9">
      <c r="D442" s="47"/>
      <c r="E442" s="143"/>
      <c r="H442" s="2"/>
      <c r="I442" s="30"/>
    </row>
    <row r="443" spans="4:9">
      <c r="D443" s="47"/>
      <c r="E443" s="143"/>
      <c r="H443" s="2"/>
      <c r="I443" s="30"/>
    </row>
    <row r="444" spans="4:9">
      <c r="D444" s="47"/>
      <c r="E444" s="143"/>
      <c r="H444" s="2"/>
      <c r="I444" s="30"/>
    </row>
    <row r="445" spans="4:9">
      <c r="D445" s="47"/>
      <c r="E445" s="143"/>
      <c r="H445" s="2"/>
      <c r="I445" s="30"/>
    </row>
    <row r="446" spans="4:9">
      <c r="D446" s="47"/>
      <c r="E446" s="143"/>
      <c r="H446" s="2"/>
      <c r="I446" s="30"/>
    </row>
    <row r="447" spans="4:9">
      <c r="D447" s="47"/>
      <c r="E447" s="143"/>
      <c r="H447" s="2"/>
      <c r="I447" s="30"/>
    </row>
    <row r="448" spans="4:9">
      <c r="D448" s="47"/>
      <c r="E448" s="143"/>
      <c r="H448" s="2"/>
      <c r="I448" s="30"/>
    </row>
    <row r="449" spans="4:9">
      <c r="D449" s="47"/>
      <c r="E449" s="143"/>
      <c r="H449" s="2"/>
      <c r="I449" s="30"/>
    </row>
    <row r="450" spans="4:9">
      <c r="D450" s="47"/>
      <c r="E450" s="143"/>
      <c r="H450" s="2"/>
      <c r="I450" s="30"/>
    </row>
    <row r="451" spans="4:9">
      <c r="D451" s="47"/>
      <c r="E451" s="143"/>
      <c r="H451" s="2"/>
      <c r="I451" s="30"/>
    </row>
    <row r="452" spans="4:9">
      <c r="D452" s="47"/>
      <c r="E452" s="143"/>
      <c r="H452" s="2"/>
      <c r="I452" s="30"/>
    </row>
    <row r="453" spans="4:9">
      <c r="D453" s="47"/>
      <c r="E453" s="143"/>
      <c r="H453" s="2"/>
      <c r="I453" s="30"/>
    </row>
    <row r="454" spans="4:9">
      <c r="D454" s="47"/>
      <c r="E454" s="143"/>
      <c r="H454" s="2"/>
      <c r="I454" s="30"/>
    </row>
    <row r="455" spans="4:9">
      <c r="D455" s="47"/>
      <c r="E455" s="143"/>
      <c r="H455" s="2"/>
      <c r="I455" s="30"/>
    </row>
    <row r="456" spans="4:9">
      <c r="D456" s="47"/>
      <c r="E456" s="143"/>
      <c r="H456" s="2"/>
      <c r="I456" s="30"/>
    </row>
    <row r="457" spans="4:9">
      <c r="D457" s="47"/>
      <c r="E457" s="143"/>
      <c r="H457" s="2"/>
      <c r="I457" s="30"/>
    </row>
    <row r="458" spans="4:9">
      <c r="D458" s="47"/>
      <c r="E458" s="143"/>
      <c r="H458" s="2"/>
      <c r="I458" s="30"/>
    </row>
    <row r="459" spans="4:9">
      <c r="D459" s="47"/>
      <c r="E459" s="143"/>
      <c r="H459" s="2"/>
      <c r="I459" s="30"/>
    </row>
    <row r="460" spans="4:9">
      <c r="D460" s="47"/>
      <c r="E460" s="143"/>
      <c r="H460" s="2"/>
      <c r="I460" s="30"/>
    </row>
    <row r="461" spans="4:9">
      <c r="D461" s="47"/>
      <c r="E461" s="143"/>
      <c r="H461" s="2"/>
      <c r="I461" s="30"/>
    </row>
    <row r="462" spans="4:9">
      <c r="D462" s="47"/>
      <c r="E462" s="143"/>
      <c r="H462" s="2"/>
      <c r="I462" s="30"/>
    </row>
    <row r="463" spans="4:9">
      <c r="D463" s="47"/>
      <c r="E463" s="143"/>
      <c r="H463" s="2"/>
      <c r="I463" s="30"/>
    </row>
    <row r="464" spans="4:9">
      <c r="D464" s="47"/>
      <c r="E464" s="143"/>
      <c r="H464" s="2"/>
      <c r="I464" s="30"/>
    </row>
    <row r="465" spans="4:9">
      <c r="D465" s="47"/>
      <c r="E465" s="143"/>
      <c r="H465" s="2"/>
      <c r="I465" s="30"/>
    </row>
    <row r="466" spans="4:9">
      <c r="D466" s="47"/>
      <c r="E466" s="143"/>
      <c r="H466" s="2"/>
      <c r="I466" s="30"/>
    </row>
    <row r="467" spans="4:9">
      <c r="D467" s="47"/>
      <c r="E467" s="143"/>
      <c r="H467" s="2"/>
      <c r="I467" s="30"/>
    </row>
    <row r="468" spans="4:9">
      <c r="D468" s="47"/>
      <c r="E468" s="143"/>
      <c r="H468" s="2"/>
      <c r="I468" s="30"/>
    </row>
    <row r="469" spans="4:9">
      <c r="D469" s="47"/>
      <c r="E469" s="143"/>
      <c r="H469" s="2"/>
      <c r="I469" s="30"/>
    </row>
    <row r="470" spans="4:9">
      <c r="D470" s="47"/>
      <c r="E470" s="143"/>
      <c r="H470" s="2"/>
      <c r="I470" s="30"/>
    </row>
    <row r="471" spans="4:9">
      <c r="D471" s="47"/>
      <c r="E471" s="143"/>
      <c r="H471" s="2"/>
      <c r="I471" s="30"/>
    </row>
    <row r="472" spans="4:9">
      <c r="D472" s="47"/>
      <c r="E472" s="143"/>
      <c r="H472" s="2"/>
      <c r="I472" s="30"/>
    </row>
    <row r="473" spans="4:9">
      <c r="D473" s="47"/>
      <c r="E473" s="143"/>
      <c r="H473" s="2"/>
      <c r="I473" s="30"/>
    </row>
    <row r="474" spans="4:9">
      <c r="D474" s="47"/>
      <c r="E474" s="143"/>
      <c r="H474" s="2"/>
      <c r="I474" s="30"/>
    </row>
    <row r="475" spans="4:9">
      <c r="D475" s="47"/>
      <c r="E475" s="143"/>
      <c r="H475" s="2"/>
      <c r="I475" s="30"/>
    </row>
    <row r="476" spans="4:9">
      <c r="D476" s="47"/>
      <c r="E476" s="143"/>
      <c r="H476" s="2"/>
      <c r="I476" s="30"/>
    </row>
    <row r="477" spans="4:9">
      <c r="D477" s="47"/>
      <c r="E477" s="143"/>
      <c r="H477" s="2"/>
      <c r="I477" s="30"/>
    </row>
    <row r="478" spans="4:9">
      <c r="D478" s="47"/>
      <c r="E478" s="143"/>
      <c r="H478" s="2"/>
      <c r="I478" s="30"/>
    </row>
    <row r="479" spans="4:9">
      <c r="D479" s="47"/>
      <c r="E479" s="143"/>
      <c r="H479" s="2"/>
      <c r="I479" s="30"/>
    </row>
    <row r="480" spans="4:9">
      <c r="D480" s="47"/>
      <c r="E480" s="143"/>
      <c r="H480" s="2"/>
      <c r="I480" s="30"/>
    </row>
    <row r="481" spans="4:9">
      <c r="D481" s="47"/>
      <c r="E481" s="143"/>
      <c r="H481" s="2"/>
      <c r="I481" s="30"/>
    </row>
    <row r="482" spans="4:9">
      <c r="D482" s="47"/>
      <c r="E482" s="143"/>
      <c r="H482" s="2"/>
      <c r="I482" s="30"/>
    </row>
    <row r="483" spans="4:9">
      <c r="D483" s="47"/>
      <c r="E483" s="143"/>
      <c r="H483" s="2"/>
      <c r="I483" s="30"/>
    </row>
    <row r="484" spans="4:9">
      <c r="D484" s="47"/>
      <c r="E484" s="143"/>
      <c r="H484" s="2"/>
      <c r="I484" s="30"/>
    </row>
    <row r="485" spans="4:9">
      <c r="D485" s="47"/>
      <c r="E485" s="143"/>
      <c r="H485" s="2"/>
      <c r="I485" s="30"/>
    </row>
    <row r="486" spans="4:9">
      <c r="D486" s="47"/>
      <c r="E486" s="143"/>
      <c r="H486" s="2"/>
      <c r="I486" s="30"/>
    </row>
    <row r="487" spans="4:9">
      <c r="D487" s="47"/>
      <c r="E487" s="143"/>
      <c r="H487" s="2"/>
      <c r="I487" s="30"/>
    </row>
    <row r="488" spans="4:9">
      <c r="D488" s="47"/>
      <c r="E488" s="143"/>
      <c r="H488" s="2"/>
      <c r="I488" s="30"/>
    </row>
    <row r="489" spans="4:9">
      <c r="D489" s="47"/>
      <c r="E489" s="143"/>
      <c r="H489" s="2"/>
      <c r="I489" s="30"/>
    </row>
    <row r="490" spans="4:9">
      <c r="D490" s="47"/>
      <c r="E490" s="143"/>
      <c r="H490" s="2"/>
      <c r="I490" s="30"/>
    </row>
    <row r="491" spans="4:9">
      <c r="D491" s="47"/>
      <c r="E491" s="143"/>
      <c r="H491" s="2"/>
      <c r="I491" s="30"/>
    </row>
    <row r="492" spans="4:9">
      <c r="D492" s="47"/>
      <c r="E492" s="143"/>
      <c r="H492" s="2"/>
      <c r="I492" s="30"/>
    </row>
    <row r="493" spans="4:9">
      <c r="D493" s="47"/>
      <c r="E493" s="143"/>
      <c r="H493" s="2"/>
      <c r="I493" s="30"/>
    </row>
    <row r="494" spans="4:9">
      <c r="D494" s="47"/>
      <c r="E494" s="143"/>
      <c r="H494" s="2"/>
      <c r="I494" s="30"/>
    </row>
    <row r="495" spans="4:9">
      <c r="D495" s="47"/>
      <c r="E495" s="143"/>
      <c r="H495" s="2"/>
      <c r="I495" s="30"/>
    </row>
    <row r="496" spans="4:9">
      <c r="D496" s="47"/>
      <c r="E496" s="143"/>
      <c r="H496" s="2"/>
      <c r="I496" s="30"/>
    </row>
    <row r="497" spans="4:9">
      <c r="D497" s="47"/>
      <c r="E497" s="143"/>
      <c r="H497" s="2"/>
      <c r="I497" s="30"/>
    </row>
    <row r="498" spans="4:9">
      <c r="D498" s="47"/>
      <c r="E498" s="143"/>
      <c r="H498" s="2"/>
      <c r="I498" s="30"/>
    </row>
    <row r="499" spans="4:9">
      <c r="D499" s="47"/>
      <c r="E499" s="143"/>
      <c r="H499" s="2"/>
      <c r="I499" s="30"/>
    </row>
    <row r="500" spans="4:9">
      <c r="D500" s="47"/>
      <c r="E500" s="143"/>
      <c r="H500" s="2"/>
      <c r="I500" s="30"/>
    </row>
    <row r="501" spans="4:9">
      <c r="D501" s="47"/>
      <c r="E501" s="143"/>
      <c r="H501" s="2"/>
      <c r="I501" s="30"/>
    </row>
    <row r="502" spans="4:9">
      <c r="D502" s="47"/>
      <c r="E502" s="143"/>
      <c r="H502" s="2"/>
      <c r="I502" s="30"/>
    </row>
    <row r="503" spans="4:9">
      <c r="D503" s="47"/>
      <c r="E503" s="143"/>
      <c r="H503" s="2"/>
      <c r="I503" s="30"/>
    </row>
    <row r="504" spans="4:9">
      <c r="D504" s="47"/>
      <c r="E504" s="143"/>
      <c r="H504" s="2"/>
      <c r="I504" s="30"/>
    </row>
    <row r="505" spans="4:9">
      <c r="D505" s="47"/>
      <c r="E505" s="143"/>
      <c r="H505" s="2"/>
      <c r="I505" s="30"/>
    </row>
    <row r="506" spans="4:9">
      <c r="D506" s="47"/>
      <c r="E506" s="143"/>
      <c r="H506" s="2"/>
      <c r="I506" s="30"/>
    </row>
    <row r="507" spans="4:9">
      <c r="D507" s="47"/>
      <c r="E507" s="143"/>
      <c r="H507" s="2"/>
      <c r="I507" s="30"/>
    </row>
    <row r="508" spans="4:9">
      <c r="D508" s="47"/>
      <c r="E508" s="143"/>
      <c r="H508" s="2"/>
      <c r="I508" s="30"/>
    </row>
    <row r="509" spans="4:9">
      <c r="D509" s="47"/>
      <c r="E509" s="143"/>
      <c r="H509" s="2"/>
      <c r="I509" s="30"/>
    </row>
    <row r="510" spans="4:9">
      <c r="D510" s="47"/>
      <c r="E510" s="143"/>
      <c r="H510" s="2"/>
      <c r="I510" s="30"/>
    </row>
    <row r="511" spans="4:9">
      <c r="D511" s="47"/>
      <c r="E511" s="143"/>
      <c r="H511" s="2"/>
      <c r="I511" s="30"/>
    </row>
    <row r="512" spans="4:9">
      <c r="D512" s="47"/>
      <c r="E512" s="143"/>
      <c r="H512" s="2"/>
      <c r="I512" s="30"/>
    </row>
    <row r="513" spans="4:9">
      <c r="D513" s="47"/>
      <c r="E513" s="143"/>
      <c r="H513" s="2"/>
      <c r="I513" s="30"/>
    </row>
    <row r="514" spans="4:9">
      <c r="D514" s="47"/>
      <c r="E514" s="143"/>
      <c r="H514" s="2"/>
      <c r="I514" s="30"/>
    </row>
    <row r="515" spans="4:9">
      <c r="D515" s="47"/>
      <c r="E515" s="143"/>
      <c r="H515" s="2"/>
      <c r="I515" s="30"/>
    </row>
    <row r="516" spans="4:9">
      <c r="D516" s="47"/>
      <c r="E516" s="143"/>
      <c r="H516" s="2"/>
      <c r="I516" s="30"/>
    </row>
    <row r="517" spans="4:9">
      <c r="D517" s="47"/>
      <c r="E517" s="143"/>
      <c r="H517" s="2"/>
      <c r="I517" s="30"/>
    </row>
    <row r="518" spans="4:9">
      <c r="D518" s="47"/>
      <c r="E518" s="143"/>
      <c r="H518" s="2"/>
      <c r="I518" s="30"/>
    </row>
    <row r="519" spans="4:9">
      <c r="D519" s="47"/>
      <c r="E519" s="143"/>
      <c r="H519" s="2"/>
      <c r="I519" s="30"/>
    </row>
    <row r="520" spans="4:9">
      <c r="D520" s="47"/>
      <c r="E520" s="143"/>
      <c r="H520" s="2"/>
      <c r="I520" s="30"/>
    </row>
    <row r="521" spans="4:9">
      <c r="D521" s="47"/>
      <c r="E521" s="143"/>
      <c r="H521" s="2"/>
      <c r="I521" s="30"/>
    </row>
    <row r="522" spans="4:9">
      <c r="D522" s="47"/>
      <c r="E522" s="143"/>
      <c r="H522" s="2"/>
      <c r="I522" s="30"/>
    </row>
    <row r="523" spans="4:9">
      <c r="D523" s="47"/>
      <c r="E523" s="143"/>
      <c r="H523" s="2"/>
      <c r="I523" s="30"/>
    </row>
    <row r="524" spans="4:9">
      <c r="D524" s="47"/>
      <c r="E524" s="143"/>
      <c r="H524" s="2"/>
      <c r="I524" s="30"/>
    </row>
    <row r="525" spans="4:9">
      <c r="D525" s="47"/>
      <c r="E525" s="143"/>
      <c r="H525" s="2"/>
      <c r="I525" s="30"/>
    </row>
    <row r="526" spans="4:9">
      <c r="D526" s="47"/>
      <c r="E526" s="143"/>
      <c r="H526" s="2"/>
      <c r="I526" s="30"/>
    </row>
    <row r="527" spans="4:9">
      <c r="D527" s="47"/>
      <c r="E527" s="143"/>
      <c r="H527" s="2"/>
      <c r="I527" s="30"/>
    </row>
    <row r="528" spans="4:9">
      <c r="D528" s="47"/>
      <c r="E528" s="143"/>
      <c r="H528" s="2"/>
      <c r="I528" s="30"/>
    </row>
    <row r="529" spans="4:9">
      <c r="D529" s="47"/>
      <c r="E529" s="143"/>
      <c r="H529" s="2"/>
      <c r="I529" s="30"/>
    </row>
    <row r="530" spans="4:9">
      <c r="D530" s="47"/>
      <c r="E530" s="143"/>
      <c r="H530" s="2"/>
      <c r="I530" s="30"/>
    </row>
    <row r="531" spans="4:9">
      <c r="D531" s="47"/>
      <c r="E531" s="143"/>
      <c r="H531" s="2"/>
      <c r="I531" s="30"/>
    </row>
    <row r="532" spans="4:9">
      <c r="D532" s="47"/>
      <c r="E532" s="143"/>
      <c r="H532" s="2"/>
      <c r="I532" s="30"/>
    </row>
    <row r="533" spans="4:9">
      <c r="D533" s="47"/>
      <c r="E533" s="143"/>
      <c r="H533" s="2"/>
      <c r="I533" s="30"/>
    </row>
    <row r="534" spans="4:9">
      <c r="D534" s="47"/>
      <c r="E534" s="143"/>
      <c r="H534" s="2"/>
      <c r="I534" s="30"/>
    </row>
    <row r="535" spans="4:9">
      <c r="D535" s="47"/>
      <c r="E535" s="143"/>
      <c r="H535" s="2"/>
      <c r="I535" s="30"/>
    </row>
    <row r="536" spans="4:9">
      <c r="D536" s="47"/>
      <c r="E536" s="143"/>
      <c r="H536" s="2"/>
      <c r="I536" s="30"/>
    </row>
    <row r="537" spans="4:9">
      <c r="D537" s="47"/>
      <c r="E537" s="143"/>
      <c r="H537" s="2"/>
      <c r="I537" s="30"/>
    </row>
    <row r="538" spans="4:9">
      <c r="D538" s="47"/>
      <c r="E538" s="143"/>
      <c r="H538" s="2"/>
      <c r="I538" s="30"/>
    </row>
    <row r="539" spans="4:9">
      <c r="D539" s="47"/>
      <c r="E539" s="143"/>
      <c r="H539" s="2"/>
      <c r="I539" s="30"/>
    </row>
    <row r="540" spans="4:9">
      <c r="D540" s="47"/>
      <c r="E540" s="143"/>
      <c r="H540" s="2"/>
      <c r="I540" s="30"/>
    </row>
    <row r="541" spans="4:9">
      <c r="D541" s="47"/>
      <c r="E541" s="143"/>
      <c r="H541" s="2"/>
      <c r="I541" s="30"/>
    </row>
    <row r="542" spans="4:9">
      <c r="D542" s="47"/>
      <c r="E542" s="143"/>
      <c r="H542" s="2"/>
      <c r="I542" s="30"/>
    </row>
    <row r="543" spans="4:9">
      <c r="D543" s="47"/>
      <c r="E543" s="143"/>
      <c r="H543" s="2"/>
      <c r="I543" s="30"/>
    </row>
    <row r="544" spans="4:9">
      <c r="D544" s="47"/>
      <c r="E544" s="143"/>
      <c r="H544" s="2"/>
      <c r="I544" s="30"/>
    </row>
    <row r="545" spans="4:9">
      <c r="D545" s="47"/>
      <c r="E545" s="143"/>
      <c r="H545" s="2"/>
      <c r="I545" s="30"/>
    </row>
    <row r="546" spans="4:9">
      <c r="D546" s="47"/>
      <c r="E546" s="143"/>
      <c r="H546" s="2"/>
      <c r="I546" s="30"/>
    </row>
    <row r="547" spans="4:9">
      <c r="D547" s="47"/>
      <c r="E547" s="143"/>
      <c r="H547" s="2"/>
      <c r="I547" s="30"/>
    </row>
    <row r="548" spans="4:9">
      <c r="D548" s="47"/>
      <c r="E548" s="143"/>
      <c r="H548" s="2"/>
      <c r="I548" s="30"/>
    </row>
    <row r="549" spans="4:9">
      <c r="D549" s="47"/>
      <c r="E549" s="143"/>
      <c r="H549" s="2"/>
      <c r="I549" s="30"/>
    </row>
    <row r="550" spans="4:9">
      <c r="D550" s="47"/>
      <c r="E550" s="143"/>
      <c r="H550" s="2"/>
      <c r="I550" s="30"/>
    </row>
    <row r="551" spans="4:9">
      <c r="D551" s="47"/>
      <c r="E551" s="143"/>
      <c r="H551" s="2"/>
      <c r="I551" s="30"/>
    </row>
    <row r="552" spans="4:9">
      <c r="D552" s="47"/>
      <c r="E552" s="143"/>
      <c r="H552" s="2"/>
      <c r="I552" s="30"/>
    </row>
    <row r="553" spans="4:9">
      <c r="D553" s="47"/>
      <c r="E553" s="143"/>
      <c r="H553" s="2"/>
      <c r="I553" s="30"/>
    </row>
    <row r="554" spans="4:9">
      <c r="D554" s="47"/>
      <c r="E554" s="143"/>
      <c r="H554" s="2"/>
      <c r="I554" s="30"/>
    </row>
    <row r="555" spans="4:9">
      <c r="D555" s="47"/>
      <c r="E555" s="143"/>
      <c r="H555" s="2"/>
      <c r="I555" s="30"/>
    </row>
    <row r="556" spans="4:9">
      <c r="D556" s="47"/>
      <c r="E556" s="143"/>
      <c r="H556" s="2"/>
      <c r="I556" s="30"/>
    </row>
    <row r="557" spans="4:9">
      <c r="D557" s="47"/>
      <c r="E557" s="143"/>
      <c r="H557" s="2"/>
      <c r="I557" s="30"/>
    </row>
    <row r="558" spans="4:9">
      <c r="D558" s="47"/>
      <c r="E558" s="143"/>
      <c r="H558" s="2"/>
      <c r="I558" s="30"/>
    </row>
    <row r="559" spans="4:9">
      <c r="D559" s="47"/>
      <c r="E559" s="143"/>
      <c r="H559" s="2"/>
      <c r="I559" s="30"/>
    </row>
    <row r="560" spans="4:9">
      <c r="D560" s="47"/>
      <c r="E560" s="143"/>
      <c r="H560" s="2"/>
      <c r="I560" s="30"/>
    </row>
    <row r="561" spans="4:9">
      <c r="D561" s="47"/>
      <c r="E561" s="143"/>
      <c r="H561" s="2"/>
      <c r="I561" s="30"/>
    </row>
    <row r="562" spans="4:9">
      <c r="D562" s="47"/>
      <c r="E562" s="143"/>
      <c r="H562" s="2"/>
      <c r="I562" s="30"/>
    </row>
    <row r="563" spans="4:9">
      <c r="D563" s="47"/>
      <c r="E563" s="143"/>
      <c r="H563" s="2"/>
      <c r="I563" s="30"/>
    </row>
    <row r="564" spans="4:9">
      <c r="D564" s="47"/>
      <c r="E564" s="143"/>
      <c r="H564" s="2"/>
      <c r="I564" s="30"/>
    </row>
    <row r="565" spans="4:9">
      <c r="D565" s="47"/>
      <c r="E565" s="143"/>
      <c r="H565" s="2"/>
      <c r="I565" s="30"/>
    </row>
    <row r="566" spans="4:9">
      <c r="D566" s="47"/>
      <c r="E566" s="143"/>
      <c r="H566" s="2"/>
      <c r="I566" s="30"/>
    </row>
    <row r="567" spans="4:9">
      <c r="D567" s="47"/>
      <c r="E567" s="143"/>
      <c r="H567" s="2"/>
      <c r="I567" s="30"/>
    </row>
    <row r="568" spans="4:9">
      <c r="D568" s="47"/>
      <c r="E568" s="143"/>
      <c r="H568" s="2"/>
      <c r="I568" s="30"/>
    </row>
    <row r="569" spans="4:9">
      <c r="D569" s="47"/>
      <c r="E569" s="143"/>
      <c r="H569" s="2"/>
      <c r="I569" s="30"/>
    </row>
    <row r="570" spans="4:9">
      <c r="D570" s="47"/>
      <c r="E570" s="143"/>
      <c r="H570" s="2"/>
      <c r="I570" s="30"/>
    </row>
    <row r="571" spans="4:9">
      <c r="D571" s="47"/>
      <c r="E571" s="143"/>
      <c r="H571" s="2"/>
      <c r="I571" s="30"/>
    </row>
    <row r="572" spans="4:9">
      <c r="D572" s="47"/>
      <c r="E572" s="143"/>
      <c r="H572" s="2"/>
      <c r="I572" s="30"/>
    </row>
    <row r="573" spans="4:9">
      <c r="D573" s="47"/>
      <c r="E573" s="143"/>
      <c r="H573" s="2"/>
      <c r="I573" s="30"/>
    </row>
    <row r="574" spans="4:9">
      <c r="D574" s="47"/>
      <c r="E574" s="143"/>
      <c r="H574" s="2"/>
      <c r="I574" s="30"/>
    </row>
    <row r="575" spans="4:9">
      <c r="D575" s="47"/>
      <c r="E575" s="143"/>
      <c r="H575" s="2"/>
      <c r="I575" s="30"/>
    </row>
    <row r="576" spans="4:9">
      <c r="D576" s="47"/>
      <c r="E576" s="143"/>
      <c r="H576" s="2"/>
      <c r="I576" s="30"/>
    </row>
    <row r="577" spans="4:9">
      <c r="D577" s="47"/>
      <c r="E577" s="143"/>
      <c r="H577" s="2"/>
      <c r="I577" s="30"/>
    </row>
    <row r="578" spans="4:9">
      <c r="D578" s="47"/>
      <c r="E578" s="143"/>
      <c r="H578" s="2"/>
      <c r="I578" s="30"/>
    </row>
    <row r="579" spans="4:9">
      <c r="D579" s="47"/>
      <c r="E579" s="143"/>
      <c r="H579" s="2"/>
      <c r="I579" s="30"/>
    </row>
    <row r="580" spans="4:9">
      <c r="D580" s="47"/>
      <c r="E580" s="143"/>
      <c r="H580" s="2"/>
      <c r="I580" s="30"/>
    </row>
    <row r="581" spans="4:9">
      <c r="D581" s="47"/>
      <c r="E581" s="143"/>
      <c r="H581" s="2"/>
      <c r="I581" s="30"/>
    </row>
    <row r="582" spans="4:9">
      <c r="D582" s="47"/>
      <c r="E582" s="143"/>
      <c r="H582" s="2"/>
      <c r="I582" s="30"/>
    </row>
    <row r="583" spans="4:9">
      <c r="D583" s="47"/>
      <c r="E583" s="143"/>
      <c r="H583" s="2"/>
      <c r="I583" s="30"/>
    </row>
    <row r="584" spans="4:9">
      <c r="D584" s="47"/>
      <c r="E584" s="143"/>
      <c r="H584" s="2"/>
      <c r="I584" s="30"/>
    </row>
    <row r="585" spans="4:9">
      <c r="D585" s="47"/>
      <c r="E585" s="143"/>
      <c r="H585" s="2"/>
      <c r="I585" s="30"/>
    </row>
    <row r="586" spans="4:9">
      <c r="D586" s="47"/>
      <c r="E586" s="143"/>
      <c r="H586" s="2"/>
      <c r="I586" s="30"/>
    </row>
    <row r="587" spans="4:9">
      <c r="D587" s="47"/>
      <c r="E587" s="143"/>
      <c r="H587" s="2"/>
      <c r="I587" s="30"/>
    </row>
    <row r="588" spans="4:9">
      <c r="D588" s="47"/>
      <c r="E588" s="143"/>
      <c r="H588" s="2"/>
      <c r="I588" s="30"/>
    </row>
    <row r="589" spans="4:9">
      <c r="D589" s="47"/>
      <c r="E589" s="143"/>
      <c r="H589" s="2"/>
      <c r="I589" s="30"/>
    </row>
    <row r="590" spans="4:9">
      <c r="D590" s="47"/>
      <c r="E590" s="143"/>
      <c r="H590" s="2"/>
      <c r="I590" s="30"/>
    </row>
    <row r="591" spans="4:9">
      <c r="D591" s="47"/>
      <c r="E591" s="143"/>
      <c r="H591" s="2"/>
      <c r="I591" s="30"/>
    </row>
    <row r="592" spans="4:9">
      <c r="D592" s="47"/>
      <c r="E592" s="143"/>
      <c r="H592" s="2"/>
      <c r="I592" s="30"/>
    </row>
    <row r="593" spans="4:9">
      <c r="D593" s="47"/>
      <c r="E593" s="143"/>
      <c r="H593" s="2"/>
      <c r="I593" s="30"/>
    </row>
    <row r="594" spans="4:9">
      <c r="D594" s="47"/>
      <c r="E594" s="143"/>
      <c r="H594" s="2"/>
      <c r="I594" s="30"/>
    </row>
    <row r="595" spans="4:9">
      <c r="D595" s="47"/>
      <c r="E595" s="143"/>
      <c r="H595" s="2"/>
      <c r="I595" s="30"/>
    </row>
    <row r="596" spans="4:9">
      <c r="D596" s="47"/>
      <c r="E596" s="143"/>
      <c r="H596" s="2"/>
      <c r="I596" s="30"/>
    </row>
    <row r="597" spans="4:9">
      <c r="D597" s="47"/>
      <c r="E597" s="143"/>
      <c r="H597" s="2"/>
      <c r="I597" s="30"/>
    </row>
    <row r="598" spans="4:9">
      <c r="D598" s="47"/>
      <c r="E598" s="143"/>
      <c r="H598" s="2"/>
      <c r="I598" s="30"/>
    </row>
    <row r="599" spans="4:9">
      <c r="D599" s="47"/>
      <c r="E599" s="143"/>
      <c r="H599" s="2"/>
      <c r="I599" s="30"/>
    </row>
    <row r="600" spans="4:9">
      <c r="D600" s="47"/>
      <c r="E600" s="143"/>
      <c r="H600" s="2"/>
      <c r="I600" s="30"/>
    </row>
    <row r="601" spans="4:9">
      <c r="D601" s="47"/>
      <c r="E601" s="143"/>
      <c r="H601" s="2"/>
      <c r="I601" s="30"/>
    </row>
    <row r="602" spans="4:9">
      <c r="D602" s="47"/>
      <c r="E602" s="143"/>
      <c r="H602" s="2"/>
      <c r="I602" s="30"/>
    </row>
    <row r="603" spans="4:9">
      <c r="D603" s="47"/>
      <c r="E603" s="143"/>
      <c r="H603" s="2"/>
      <c r="I603" s="30"/>
    </row>
    <row r="604" spans="4:9">
      <c r="D604" s="47"/>
      <c r="E604" s="143"/>
      <c r="H604" s="2"/>
      <c r="I604" s="30"/>
    </row>
    <row r="605" spans="4:9">
      <c r="D605" s="47"/>
      <c r="E605" s="143"/>
      <c r="H605" s="2"/>
      <c r="I605" s="30"/>
    </row>
    <row r="606" spans="4:9">
      <c r="D606" s="47"/>
      <c r="E606" s="143"/>
      <c r="H606" s="2"/>
      <c r="I606" s="30"/>
    </row>
    <row r="607" spans="4:9">
      <c r="D607" s="47"/>
      <c r="E607" s="143"/>
      <c r="H607" s="2"/>
      <c r="I607" s="30"/>
    </row>
    <row r="608" spans="4:9">
      <c r="D608" s="47"/>
      <c r="E608" s="143"/>
      <c r="H608" s="2"/>
      <c r="I608" s="30"/>
    </row>
    <row r="609" spans="4:9">
      <c r="D609" s="47"/>
      <c r="E609" s="143"/>
      <c r="H609" s="2"/>
      <c r="I609" s="30"/>
    </row>
    <row r="610" spans="4:9">
      <c r="D610" s="47"/>
      <c r="E610" s="143"/>
      <c r="H610" s="2"/>
      <c r="I610" s="30"/>
    </row>
    <row r="611" spans="4:9">
      <c r="D611" s="47"/>
      <c r="E611" s="143"/>
      <c r="H611" s="2"/>
      <c r="I611" s="30"/>
    </row>
    <row r="612" spans="4:9">
      <c r="D612" s="47"/>
      <c r="E612" s="143"/>
      <c r="H612" s="2"/>
      <c r="I612" s="30"/>
    </row>
    <row r="613" spans="4:9">
      <c r="D613" s="47"/>
      <c r="E613" s="143"/>
      <c r="H613" s="2"/>
      <c r="I613" s="30"/>
    </row>
    <row r="614" spans="4:9">
      <c r="D614" s="47"/>
      <c r="E614" s="143"/>
      <c r="H614" s="2"/>
      <c r="I614" s="30"/>
    </row>
    <row r="615" spans="4:9">
      <c r="D615" s="47"/>
      <c r="E615" s="143"/>
      <c r="H615" s="2"/>
      <c r="I615" s="30"/>
    </row>
    <row r="616" spans="4:9">
      <c r="D616" s="47"/>
      <c r="E616" s="143"/>
      <c r="H616" s="2"/>
      <c r="I616" s="30"/>
    </row>
    <row r="617" spans="4:9">
      <c r="D617" s="47"/>
      <c r="E617" s="143"/>
      <c r="H617" s="2"/>
      <c r="I617" s="30"/>
    </row>
    <row r="618" spans="4:9">
      <c r="D618" s="47"/>
      <c r="E618" s="143"/>
      <c r="H618" s="2"/>
      <c r="I618" s="30"/>
    </row>
    <row r="619" spans="4:9">
      <c r="D619" s="47"/>
      <c r="E619" s="143"/>
      <c r="H619" s="2"/>
      <c r="I619" s="30"/>
    </row>
    <row r="620" spans="4:9">
      <c r="D620" s="47"/>
      <c r="E620" s="143"/>
      <c r="H620" s="2"/>
      <c r="I620" s="30"/>
    </row>
    <row r="621" spans="4:9">
      <c r="D621" s="47"/>
      <c r="E621" s="143"/>
      <c r="H621" s="2"/>
      <c r="I621" s="30"/>
    </row>
    <row r="622" spans="4:9">
      <c r="D622" s="47"/>
      <c r="E622" s="143"/>
      <c r="H622" s="2"/>
      <c r="I622" s="30"/>
    </row>
    <row r="623" spans="4:9">
      <c r="D623" s="47"/>
      <c r="E623" s="143"/>
      <c r="H623" s="2"/>
      <c r="I623" s="30"/>
    </row>
    <row r="624" spans="4:9">
      <c r="D624" s="47"/>
      <c r="E624" s="143"/>
      <c r="H624" s="2"/>
      <c r="I624" s="30"/>
    </row>
    <row r="625" spans="4:9">
      <c r="D625" s="47"/>
      <c r="E625" s="143"/>
      <c r="H625" s="2"/>
      <c r="I625" s="30"/>
    </row>
    <row r="626" spans="4:9">
      <c r="D626" s="47"/>
      <c r="E626" s="143"/>
      <c r="H626" s="2"/>
      <c r="I626" s="30"/>
    </row>
    <row r="627" spans="4:9">
      <c r="D627" s="47"/>
      <c r="E627" s="143"/>
      <c r="H627" s="2"/>
      <c r="I627" s="30"/>
    </row>
    <row r="628" spans="4:9">
      <c r="D628" s="47"/>
      <c r="E628" s="143"/>
      <c r="H628" s="2"/>
      <c r="I628" s="30"/>
    </row>
    <row r="629" spans="4:9">
      <c r="D629" s="47"/>
      <c r="E629" s="143"/>
      <c r="H629" s="2"/>
      <c r="I629" s="30"/>
    </row>
    <row r="630" spans="4:9">
      <c r="D630" s="47"/>
      <c r="E630" s="143"/>
      <c r="H630" s="2"/>
      <c r="I630" s="30"/>
    </row>
    <row r="631" spans="4:9">
      <c r="D631" s="47"/>
      <c r="E631" s="143"/>
      <c r="H631" s="2"/>
      <c r="I631" s="30"/>
    </row>
    <row r="632" spans="4:9">
      <c r="D632" s="47"/>
      <c r="E632" s="143"/>
      <c r="H632" s="2"/>
      <c r="I632" s="30"/>
    </row>
    <row r="633" spans="4:9">
      <c r="D633" s="47"/>
      <c r="E633" s="143"/>
      <c r="H633" s="2"/>
      <c r="I633" s="30"/>
    </row>
    <row r="634" spans="4:9">
      <c r="D634" s="47"/>
      <c r="E634" s="143"/>
      <c r="H634" s="2"/>
      <c r="I634" s="30"/>
    </row>
    <row r="635" spans="4:9">
      <c r="D635" s="47"/>
      <c r="E635" s="143"/>
      <c r="H635" s="2"/>
      <c r="I635" s="30"/>
    </row>
    <row r="636" spans="4:9">
      <c r="D636" s="47"/>
      <c r="E636" s="143"/>
      <c r="H636" s="2"/>
      <c r="I636" s="30"/>
    </row>
    <row r="637" spans="4:9">
      <c r="D637" s="47"/>
      <c r="E637" s="143"/>
      <c r="H637" s="2"/>
      <c r="I637" s="30"/>
    </row>
    <row r="638" spans="4:9">
      <c r="D638" s="47"/>
      <c r="E638" s="143"/>
      <c r="H638" s="2"/>
      <c r="I638" s="30"/>
    </row>
    <row r="639" spans="4:9">
      <c r="D639" s="47"/>
      <c r="E639" s="143"/>
      <c r="H639" s="2"/>
      <c r="I639" s="30"/>
    </row>
    <row r="640" spans="4:9">
      <c r="D640" s="47"/>
      <c r="E640" s="143"/>
      <c r="H640" s="2"/>
      <c r="I640" s="30"/>
    </row>
    <row r="641" spans="4:9">
      <c r="D641" s="47"/>
      <c r="E641" s="143"/>
      <c r="H641" s="2"/>
      <c r="I641" s="30"/>
    </row>
    <row r="642" spans="4:9">
      <c r="D642" s="47"/>
      <c r="E642" s="143"/>
      <c r="H642" s="2"/>
      <c r="I642" s="30"/>
    </row>
    <row r="643" spans="4:9">
      <c r="D643" s="47"/>
      <c r="E643" s="143"/>
      <c r="H643" s="2"/>
      <c r="I643" s="30"/>
    </row>
    <row r="644" spans="4:9">
      <c r="D644" s="47"/>
      <c r="E644" s="143"/>
      <c r="H644" s="2"/>
      <c r="I644" s="30"/>
    </row>
    <row r="645" spans="4:9">
      <c r="D645" s="47"/>
      <c r="E645" s="143"/>
      <c r="H645" s="2"/>
      <c r="I645" s="30"/>
    </row>
    <row r="646" spans="4:9">
      <c r="D646" s="47"/>
      <c r="E646" s="143"/>
      <c r="H646" s="2"/>
      <c r="I646" s="30"/>
    </row>
    <row r="647" spans="4:9">
      <c r="D647" s="47"/>
      <c r="E647" s="143"/>
      <c r="H647" s="2"/>
      <c r="I647" s="30"/>
    </row>
    <row r="648" spans="4:9">
      <c r="D648" s="47"/>
      <c r="E648" s="143"/>
      <c r="H648" s="2"/>
      <c r="I648" s="30"/>
    </row>
    <row r="649" spans="4:9">
      <c r="D649" s="47"/>
      <c r="E649" s="143"/>
      <c r="H649" s="2"/>
      <c r="I649" s="30"/>
    </row>
    <row r="650" spans="4:9">
      <c r="D650" s="47"/>
      <c r="E650" s="143"/>
      <c r="H650" s="2"/>
      <c r="I650" s="30"/>
    </row>
    <row r="651" spans="4:9">
      <c r="D651" s="47"/>
      <c r="E651" s="143"/>
      <c r="H651" s="2"/>
      <c r="I651" s="30"/>
    </row>
    <row r="652" spans="4:9">
      <c r="D652" s="47"/>
      <c r="E652" s="143"/>
      <c r="H652" s="2"/>
      <c r="I652" s="30"/>
    </row>
    <row r="653" spans="4:9">
      <c r="D653" s="47"/>
      <c r="E653" s="143"/>
      <c r="H653" s="2"/>
      <c r="I653" s="30"/>
    </row>
    <row r="654" spans="4:9">
      <c r="D654" s="47"/>
      <c r="E654" s="143"/>
      <c r="H654" s="2"/>
      <c r="I654" s="30"/>
    </row>
    <row r="655" spans="4:9">
      <c r="D655" s="47"/>
      <c r="E655" s="143"/>
      <c r="H655" s="2"/>
      <c r="I655" s="30"/>
    </row>
    <row r="656" spans="4:9">
      <c r="D656" s="47"/>
      <c r="E656" s="143"/>
      <c r="H656" s="2"/>
      <c r="I656" s="30"/>
    </row>
    <row r="657" spans="4:9">
      <c r="D657" s="47"/>
      <c r="E657" s="143"/>
      <c r="H657" s="2"/>
      <c r="I657" s="30"/>
    </row>
    <row r="658" spans="4:9">
      <c r="D658" s="47"/>
      <c r="E658" s="143"/>
      <c r="H658" s="2"/>
      <c r="I658" s="30"/>
    </row>
    <row r="659" spans="4:9">
      <c r="D659" s="47"/>
      <c r="E659" s="143"/>
      <c r="H659" s="2"/>
      <c r="I659" s="30"/>
    </row>
    <row r="660" spans="4:9">
      <c r="D660" s="47"/>
      <c r="E660" s="143"/>
      <c r="H660" s="2"/>
      <c r="I660" s="30"/>
    </row>
    <row r="661" spans="4:9">
      <c r="D661" s="47"/>
      <c r="E661" s="143"/>
      <c r="H661" s="2"/>
      <c r="I661" s="30"/>
    </row>
    <row r="662" spans="4:9">
      <c r="D662" s="47"/>
      <c r="E662" s="143"/>
      <c r="H662" s="2"/>
      <c r="I662" s="30"/>
    </row>
    <row r="663" spans="4:9">
      <c r="D663" s="47"/>
      <c r="E663" s="143"/>
      <c r="H663" s="2"/>
      <c r="I663" s="30"/>
    </row>
    <row r="664" spans="4:9">
      <c r="D664" s="47"/>
      <c r="E664" s="143"/>
      <c r="H664" s="2"/>
      <c r="I664" s="30"/>
    </row>
    <row r="665" spans="4:9">
      <c r="D665" s="47"/>
      <c r="E665" s="143"/>
      <c r="H665" s="2"/>
      <c r="I665" s="30"/>
    </row>
    <row r="666" spans="4:9">
      <c r="D666" s="47"/>
      <c r="E666" s="143"/>
      <c r="H666" s="2"/>
      <c r="I666" s="30"/>
    </row>
    <row r="667" spans="4:9">
      <c r="D667" s="47"/>
      <c r="E667" s="143"/>
      <c r="H667" s="2"/>
      <c r="I667" s="30"/>
    </row>
    <row r="668" spans="4:9">
      <c r="D668" s="47"/>
      <c r="E668" s="143"/>
      <c r="H668" s="2"/>
      <c r="I668" s="30"/>
    </row>
    <row r="669" spans="4:9">
      <c r="D669" s="47"/>
      <c r="E669" s="143"/>
      <c r="H669" s="2"/>
      <c r="I669" s="30"/>
    </row>
    <row r="670" spans="4:9">
      <c r="D670" s="47"/>
      <c r="E670" s="143"/>
      <c r="H670" s="2"/>
      <c r="I670" s="30"/>
    </row>
    <row r="671" spans="4:9">
      <c r="D671" s="47"/>
      <c r="E671" s="143"/>
      <c r="H671" s="2"/>
      <c r="I671" s="30"/>
    </row>
    <row r="672" spans="4:9">
      <c r="D672" s="47"/>
      <c r="E672" s="143"/>
      <c r="H672" s="2"/>
      <c r="I672" s="30"/>
    </row>
    <row r="673" spans="4:9">
      <c r="D673" s="47"/>
      <c r="E673" s="143"/>
      <c r="H673" s="2"/>
      <c r="I673" s="30"/>
    </row>
    <row r="674" spans="4:9">
      <c r="D674" s="47"/>
      <c r="E674" s="143"/>
      <c r="H674" s="2"/>
      <c r="I674" s="30"/>
    </row>
    <row r="675" spans="4:9">
      <c r="D675" s="47"/>
      <c r="E675" s="143"/>
      <c r="H675" s="2"/>
      <c r="I675" s="30"/>
    </row>
    <row r="676" spans="4:9">
      <c r="D676" s="47"/>
      <c r="E676" s="143"/>
      <c r="H676" s="2"/>
      <c r="I676" s="30"/>
    </row>
    <row r="677" spans="4:9">
      <c r="D677" s="47"/>
      <c r="E677" s="143"/>
      <c r="H677" s="2"/>
      <c r="I677" s="30"/>
    </row>
    <row r="678" spans="4:9">
      <c r="D678" s="47"/>
      <c r="E678" s="143"/>
      <c r="H678" s="2"/>
      <c r="I678" s="30"/>
    </row>
    <row r="679" spans="4:9">
      <c r="D679" s="47"/>
      <c r="E679" s="143"/>
      <c r="H679" s="2"/>
      <c r="I679" s="30"/>
    </row>
    <row r="680" spans="4:9">
      <c r="D680" s="47"/>
      <c r="E680" s="143"/>
      <c r="H680" s="2"/>
      <c r="I680" s="30"/>
    </row>
    <row r="681" spans="4:9">
      <c r="D681" s="47"/>
      <c r="E681" s="143"/>
      <c r="H681" s="2"/>
      <c r="I681" s="30"/>
    </row>
    <row r="682" spans="4:9">
      <c r="D682" s="47"/>
      <c r="E682" s="143"/>
      <c r="H682" s="2"/>
      <c r="I682" s="30"/>
    </row>
    <row r="683" spans="4:9">
      <c r="D683" s="47"/>
      <c r="E683" s="143"/>
      <c r="H683" s="2"/>
      <c r="I683" s="30"/>
    </row>
    <row r="684" spans="4:9">
      <c r="D684" s="47"/>
      <c r="E684" s="143"/>
      <c r="H684" s="2"/>
      <c r="I684" s="30"/>
    </row>
    <row r="685" spans="4:9">
      <c r="D685" s="47"/>
      <c r="E685" s="143"/>
      <c r="H685" s="2"/>
      <c r="I685" s="30"/>
    </row>
    <row r="686" spans="4:9">
      <c r="D686" s="47"/>
      <c r="E686" s="143"/>
      <c r="H686" s="2"/>
      <c r="I686" s="30"/>
    </row>
    <row r="687" spans="4:9">
      <c r="D687" s="47"/>
      <c r="E687" s="143"/>
      <c r="H687" s="2"/>
      <c r="I687" s="30"/>
    </row>
    <row r="688" spans="4:9">
      <c r="D688" s="47"/>
      <c r="E688" s="143"/>
      <c r="H688" s="2"/>
      <c r="I688" s="30"/>
    </row>
    <row r="689" spans="4:9">
      <c r="D689" s="47"/>
      <c r="E689" s="143"/>
      <c r="H689" s="2"/>
      <c r="I689" s="30"/>
    </row>
    <row r="690" spans="4:9">
      <c r="D690" s="47"/>
      <c r="E690" s="143"/>
      <c r="H690" s="2"/>
      <c r="I690" s="30"/>
    </row>
    <row r="691" spans="4:9">
      <c r="D691" s="47"/>
      <c r="E691" s="143"/>
      <c r="H691" s="2"/>
      <c r="I691" s="30"/>
    </row>
    <row r="692" spans="4:9">
      <c r="D692" s="47"/>
      <c r="E692" s="143"/>
      <c r="H692" s="2"/>
      <c r="I692" s="30"/>
    </row>
    <row r="693" spans="4:9">
      <c r="D693" s="47"/>
      <c r="E693" s="143"/>
      <c r="H693" s="2"/>
      <c r="I693" s="30"/>
    </row>
    <row r="694" spans="4:9">
      <c r="D694" s="47"/>
      <c r="E694" s="143"/>
      <c r="H694" s="2"/>
      <c r="I694" s="30"/>
    </row>
    <row r="695" spans="4:9">
      <c r="D695" s="47"/>
      <c r="E695" s="143"/>
      <c r="H695" s="2"/>
      <c r="I695" s="30"/>
    </row>
    <row r="696" spans="4:9">
      <c r="D696" s="47"/>
      <c r="E696" s="143"/>
      <c r="H696" s="2"/>
      <c r="I696" s="30"/>
    </row>
    <row r="697" spans="4:9">
      <c r="D697" s="47"/>
      <c r="E697" s="143"/>
      <c r="H697" s="2"/>
      <c r="I697" s="30"/>
    </row>
    <row r="698" spans="4:9">
      <c r="D698" s="47"/>
      <c r="E698" s="143"/>
      <c r="H698" s="2"/>
      <c r="I698" s="30"/>
    </row>
    <row r="699" spans="4:9">
      <c r="D699" s="47"/>
      <c r="E699" s="143"/>
      <c r="H699" s="2"/>
      <c r="I699" s="30"/>
    </row>
    <row r="700" spans="4:9">
      <c r="D700" s="47"/>
      <c r="E700" s="143"/>
      <c r="H700" s="2"/>
      <c r="I700" s="30"/>
    </row>
    <row r="701" spans="4:9">
      <c r="D701" s="47"/>
      <c r="E701" s="143"/>
      <c r="H701" s="2"/>
      <c r="I701" s="30"/>
    </row>
    <row r="702" spans="4:9">
      <c r="D702" s="47"/>
      <c r="E702" s="143"/>
      <c r="H702" s="2"/>
      <c r="I702" s="30"/>
    </row>
    <row r="703" spans="4:9">
      <c r="D703" s="47"/>
      <c r="E703" s="143"/>
      <c r="H703" s="2"/>
      <c r="I703" s="30"/>
    </row>
    <row r="704" spans="4:9">
      <c r="D704" s="47"/>
      <c r="E704" s="143"/>
      <c r="H704" s="2"/>
      <c r="I704" s="30"/>
    </row>
    <row r="705" spans="4:9">
      <c r="D705" s="47"/>
      <c r="E705" s="143"/>
      <c r="H705" s="2"/>
      <c r="I705" s="30"/>
    </row>
    <row r="706" spans="4:9">
      <c r="D706" s="47"/>
      <c r="E706" s="143"/>
      <c r="H706" s="2"/>
      <c r="I706" s="30"/>
    </row>
    <row r="707" spans="4:9">
      <c r="D707" s="47"/>
      <c r="E707" s="143"/>
      <c r="H707" s="2"/>
      <c r="I707" s="30"/>
    </row>
    <row r="708" spans="4:9">
      <c r="D708" s="47"/>
      <c r="E708" s="143"/>
      <c r="H708" s="2"/>
      <c r="I708" s="30"/>
    </row>
    <row r="709" spans="4:9">
      <c r="D709" s="47"/>
      <c r="E709" s="143"/>
      <c r="H709" s="2"/>
      <c r="I709" s="30"/>
    </row>
    <row r="710" spans="4:9">
      <c r="D710" s="47"/>
      <c r="E710" s="143"/>
      <c r="H710" s="2"/>
      <c r="I710" s="30"/>
    </row>
    <row r="711" spans="4:9">
      <c r="D711" s="47"/>
      <c r="E711" s="143"/>
      <c r="H711" s="2"/>
      <c r="I711" s="30"/>
    </row>
    <row r="712" spans="4:9">
      <c r="D712" s="47"/>
      <c r="E712" s="143"/>
      <c r="H712" s="2"/>
      <c r="I712" s="30"/>
    </row>
    <row r="713" spans="4:9">
      <c r="D713" s="47"/>
      <c r="E713" s="143"/>
      <c r="H713" s="2"/>
      <c r="I713" s="30"/>
    </row>
    <row r="714" spans="4:9">
      <c r="D714" s="47"/>
      <c r="E714" s="143"/>
      <c r="H714" s="2"/>
      <c r="I714" s="30"/>
    </row>
    <row r="715" spans="4:9">
      <c r="D715" s="47"/>
      <c r="E715" s="143"/>
      <c r="H715" s="2"/>
      <c r="I715" s="30"/>
    </row>
    <row r="716" spans="4:9">
      <c r="D716" s="47"/>
      <c r="E716" s="143"/>
      <c r="H716" s="2"/>
      <c r="I716" s="30"/>
    </row>
    <row r="717" spans="4:9">
      <c r="D717" s="47"/>
      <c r="E717" s="143"/>
      <c r="H717" s="2"/>
      <c r="I717" s="30"/>
    </row>
    <row r="718" spans="4:9">
      <c r="D718" s="47"/>
      <c r="E718" s="143"/>
      <c r="H718" s="2"/>
      <c r="I718" s="30"/>
    </row>
    <row r="719" spans="4:9">
      <c r="D719" s="47"/>
      <c r="E719" s="143"/>
      <c r="H719" s="2"/>
      <c r="I719" s="30"/>
    </row>
    <row r="720" spans="4:9">
      <c r="D720" s="47"/>
      <c r="E720" s="143"/>
      <c r="H720" s="2"/>
      <c r="I720" s="30"/>
    </row>
    <row r="721" spans="4:9">
      <c r="D721" s="47"/>
      <c r="E721" s="143"/>
      <c r="H721" s="2"/>
      <c r="I721" s="30"/>
    </row>
    <row r="722" spans="4:9">
      <c r="D722" s="47"/>
      <c r="E722" s="143"/>
      <c r="H722" s="2"/>
      <c r="I722" s="30"/>
    </row>
    <row r="723" spans="4:9">
      <c r="D723" s="47"/>
      <c r="E723" s="143"/>
      <c r="H723" s="2"/>
      <c r="I723" s="30"/>
    </row>
    <row r="724" spans="4:9">
      <c r="D724" s="47"/>
      <c r="E724" s="143"/>
      <c r="H724" s="2"/>
      <c r="I724" s="30"/>
    </row>
    <row r="725" spans="4:9">
      <c r="D725" s="47"/>
      <c r="E725" s="143"/>
      <c r="H725" s="2"/>
      <c r="I725" s="30"/>
    </row>
    <row r="726" spans="4:9">
      <c r="D726" s="47"/>
      <c r="E726" s="143"/>
      <c r="H726" s="2"/>
      <c r="I726" s="30"/>
    </row>
    <row r="727" spans="4:9">
      <c r="D727" s="47"/>
      <c r="E727" s="143"/>
      <c r="H727" s="2"/>
      <c r="I727" s="30"/>
    </row>
    <row r="728" spans="4:9">
      <c r="D728" s="47"/>
      <c r="E728" s="143"/>
      <c r="H728" s="2"/>
      <c r="I728" s="30"/>
    </row>
    <row r="729" spans="4:9">
      <c r="D729" s="47"/>
      <c r="E729" s="143"/>
      <c r="H729" s="2"/>
      <c r="I729" s="30"/>
    </row>
    <row r="730" spans="4:9">
      <c r="D730" s="47"/>
      <c r="E730" s="143"/>
      <c r="H730" s="2"/>
      <c r="I730" s="30"/>
    </row>
    <row r="731" spans="4:9">
      <c r="D731" s="47"/>
      <c r="E731" s="143"/>
      <c r="H731" s="2"/>
      <c r="I731" s="30"/>
    </row>
    <row r="732" spans="4:9">
      <c r="D732" s="47"/>
      <c r="E732" s="143"/>
      <c r="H732" s="2"/>
      <c r="I732" s="30"/>
    </row>
    <row r="733" spans="4:9">
      <c r="D733" s="47"/>
      <c r="E733" s="143"/>
      <c r="H733" s="2"/>
      <c r="I733" s="30"/>
    </row>
    <row r="734" spans="4:9">
      <c r="D734" s="47"/>
      <c r="E734" s="143"/>
      <c r="H734" s="2"/>
      <c r="I734" s="30"/>
    </row>
    <row r="735" spans="4:9">
      <c r="D735" s="47"/>
      <c r="E735" s="143"/>
      <c r="H735" s="2"/>
      <c r="I735" s="30"/>
    </row>
    <row r="736" spans="4:9">
      <c r="D736" s="47"/>
      <c r="E736" s="143"/>
      <c r="H736" s="2"/>
      <c r="I736" s="30"/>
    </row>
    <row r="737" spans="4:9">
      <c r="D737" s="47"/>
      <c r="E737" s="143"/>
      <c r="H737" s="2"/>
      <c r="I737" s="30"/>
    </row>
    <row r="738" spans="4:9">
      <c r="D738" s="47"/>
      <c r="E738" s="143"/>
      <c r="H738" s="2"/>
      <c r="I738" s="30"/>
    </row>
    <row r="739" spans="4:9">
      <c r="D739" s="47"/>
      <c r="E739" s="143"/>
      <c r="H739" s="2"/>
      <c r="I739" s="30"/>
    </row>
    <row r="740" spans="4:9">
      <c r="D740" s="47"/>
      <c r="E740" s="143"/>
      <c r="H740" s="2"/>
      <c r="I740" s="30"/>
    </row>
    <row r="741" spans="4:9">
      <c r="D741" s="47"/>
      <c r="E741" s="143"/>
      <c r="H741" s="2"/>
      <c r="I741" s="30"/>
    </row>
    <row r="742" spans="4:9">
      <c r="D742" s="47"/>
      <c r="E742" s="143"/>
      <c r="H742" s="2"/>
      <c r="I742" s="30"/>
    </row>
    <row r="743" spans="4:9">
      <c r="D743" s="47"/>
      <c r="E743" s="143"/>
      <c r="H743" s="2"/>
      <c r="I743" s="30"/>
    </row>
    <row r="744" spans="4:9">
      <c r="D744" s="47"/>
      <c r="E744" s="143"/>
      <c r="H744" s="2"/>
      <c r="I744" s="30"/>
    </row>
    <row r="745" spans="4:9">
      <c r="D745" s="47"/>
      <c r="E745" s="143"/>
      <c r="H745" s="2"/>
      <c r="I745" s="30"/>
    </row>
    <row r="746" spans="4:9">
      <c r="D746" s="47"/>
      <c r="E746" s="143"/>
      <c r="H746" s="2"/>
      <c r="I746" s="30"/>
    </row>
    <row r="747" spans="4:9">
      <c r="D747" s="47"/>
      <c r="E747" s="143"/>
      <c r="H747" s="2"/>
      <c r="I747" s="30"/>
    </row>
    <row r="748" spans="4:9">
      <c r="D748" s="47"/>
      <c r="E748" s="143"/>
      <c r="H748" s="2"/>
      <c r="I748" s="30"/>
    </row>
    <row r="749" spans="4:9">
      <c r="D749" s="47"/>
      <c r="E749" s="143"/>
      <c r="H749" s="2"/>
      <c r="I749" s="30"/>
    </row>
    <row r="750" spans="4:9">
      <c r="D750" s="47"/>
      <c r="E750" s="143"/>
      <c r="H750" s="2"/>
      <c r="I750" s="30"/>
    </row>
    <row r="751" spans="4:9">
      <c r="D751" s="47"/>
      <c r="E751" s="143"/>
      <c r="H751" s="2"/>
      <c r="I751" s="30"/>
    </row>
    <row r="752" spans="4:9">
      <c r="D752" s="47"/>
      <c r="E752" s="143"/>
      <c r="H752" s="2"/>
      <c r="I752" s="30"/>
    </row>
    <row r="753" spans="4:9">
      <c r="D753" s="47"/>
      <c r="E753" s="143"/>
      <c r="H753" s="2"/>
      <c r="I753" s="30"/>
    </row>
    <row r="754" spans="4:9">
      <c r="D754" s="47"/>
      <c r="E754" s="143"/>
      <c r="H754" s="2"/>
      <c r="I754" s="30"/>
    </row>
    <row r="755" spans="4:9">
      <c r="D755" s="47"/>
      <c r="E755" s="143"/>
      <c r="H755" s="2"/>
      <c r="I755" s="30"/>
    </row>
    <row r="756" spans="4:9">
      <c r="D756" s="47"/>
      <c r="E756" s="143"/>
      <c r="H756" s="2"/>
      <c r="I756" s="30"/>
    </row>
    <row r="757" spans="4:9">
      <c r="D757" s="47"/>
      <c r="E757" s="143"/>
      <c r="H757" s="2"/>
      <c r="I757" s="30"/>
    </row>
    <row r="758" spans="4:9">
      <c r="D758" s="47"/>
      <c r="E758" s="143"/>
      <c r="H758" s="2"/>
      <c r="I758" s="30"/>
    </row>
    <row r="759" spans="4:9">
      <c r="D759" s="47"/>
      <c r="E759" s="143"/>
      <c r="H759" s="2"/>
      <c r="I759" s="30"/>
    </row>
    <row r="760" spans="4:9">
      <c r="D760" s="47"/>
      <c r="E760" s="143"/>
      <c r="H760" s="2"/>
      <c r="I760" s="30"/>
    </row>
    <row r="761" spans="4:9">
      <c r="D761" s="47"/>
      <c r="E761" s="143"/>
      <c r="H761" s="2"/>
      <c r="I761" s="30"/>
    </row>
    <row r="762" spans="4:9">
      <c r="D762" s="47"/>
      <c r="E762" s="143"/>
      <c r="H762" s="2"/>
      <c r="I762" s="30"/>
    </row>
    <row r="763" spans="4:9">
      <c r="D763" s="47"/>
      <c r="E763" s="143"/>
      <c r="H763" s="2"/>
      <c r="I763" s="30"/>
    </row>
    <row r="764" spans="4:9">
      <c r="D764" s="47"/>
      <c r="E764" s="143"/>
      <c r="H764" s="2"/>
      <c r="I764" s="30"/>
    </row>
    <row r="765" spans="4:9">
      <c r="D765" s="47"/>
      <c r="E765" s="143"/>
      <c r="H765" s="2"/>
      <c r="I765" s="30"/>
    </row>
    <row r="766" spans="4:9">
      <c r="D766" s="47"/>
      <c r="E766" s="143"/>
      <c r="H766" s="2"/>
      <c r="I766" s="30"/>
    </row>
    <row r="767" spans="4:9">
      <c r="D767" s="47"/>
      <c r="E767" s="143"/>
      <c r="H767" s="2"/>
      <c r="I767" s="30"/>
    </row>
    <row r="768" spans="4:9">
      <c r="D768" s="47"/>
      <c r="E768" s="143"/>
      <c r="H768" s="2"/>
      <c r="I768" s="30"/>
    </row>
    <row r="769" spans="4:9">
      <c r="D769" s="47"/>
      <c r="E769" s="143"/>
      <c r="H769" s="2"/>
      <c r="I769" s="30"/>
    </row>
    <row r="770" spans="4:9">
      <c r="D770" s="47"/>
      <c r="E770" s="143"/>
      <c r="H770" s="2"/>
      <c r="I770" s="30"/>
    </row>
    <row r="771" spans="4:9">
      <c r="D771" s="47"/>
      <c r="E771" s="143"/>
      <c r="H771" s="2"/>
      <c r="I771" s="30"/>
    </row>
    <row r="772" spans="4:9">
      <c r="D772" s="47"/>
      <c r="E772" s="143"/>
      <c r="H772" s="2"/>
      <c r="I772" s="30"/>
    </row>
    <row r="773" spans="4:9">
      <c r="D773" s="47"/>
      <c r="E773" s="143"/>
      <c r="H773" s="2"/>
      <c r="I773" s="30"/>
    </row>
    <row r="774" spans="4:9">
      <c r="D774" s="47"/>
      <c r="E774" s="143"/>
      <c r="H774" s="2"/>
      <c r="I774" s="30"/>
    </row>
    <row r="775" spans="4:9">
      <c r="D775" s="47"/>
      <c r="E775" s="143"/>
      <c r="H775" s="2"/>
      <c r="I775" s="30"/>
    </row>
    <row r="776" spans="4:9">
      <c r="D776" s="47"/>
      <c r="E776" s="143"/>
      <c r="H776" s="2"/>
      <c r="I776" s="30"/>
    </row>
    <row r="777" spans="4:9">
      <c r="D777" s="47"/>
      <c r="E777" s="143"/>
      <c r="H777" s="2"/>
      <c r="I777" s="30"/>
    </row>
    <row r="778" spans="4:9">
      <c r="D778" s="47"/>
      <c r="E778" s="143"/>
      <c r="H778" s="2"/>
      <c r="I778" s="30"/>
    </row>
    <row r="779" spans="4:9">
      <c r="D779" s="47"/>
      <c r="E779" s="143"/>
      <c r="H779" s="2"/>
      <c r="I779" s="30"/>
    </row>
    <row r="780" spans="4:9">
      <c r="D780" s="47"/>
      <c r="E780" s="143"/>
      <c r="H780" s="2"/>
      <c r="I780" s="30"/>
    </row>
    <row r="781" spans="4:9">
      <c r="D781" s="47"/>
      <c r="E781" s="143"/>
      <c r="H781" s="2"/>
      <c r="I781" s="30"/>
    </row>
    <row r="782" spans="4:9">
      <c r="D782" s="47"/>
      <c r="E782" s="143"/>
      <c r="H782" s="2"/>
      <c r="I782" s="30"/>
    </row>
    <row r="783" spans="4:9">
      <c r="D783" s="47"/>
      <c r="E783" s="143"/>
      <c r="H783" s="2"/>
      <c r="I783" s="30"/>
    </row>
    <row r="784" spans="4:9">
      <c r="D784" s="47"/>
      <c r="E784" s="143"/>
      <c r="H784" s="2"/>
      <c r="I784" s="30"/>
    </row>
    <row r="785" spans="4:9">
      <c r="D785" s="47"/>
      <c r="E785" s="143"/>
      <c r="H785" s="2"/>
      <c r="I785" s="30"/>
    </row>
    <row r="786" spans="4:9">
      <c r="D786" s="47"/>
      <c r="E786" s="143"/>
      <c r="H786" s="2"/>
      <c r="I786" s="30"/>
    </row>
    <row r="787" spans="4:9">
      <c r="D787" s="47"/>
      <c r="E787" s="143"/>
      <c r="H787" s="2"/>
      <c r="I787" s="30"/>
    </row>
    <row r="788" spans="4:9">
      <c r="D788" s="47"/>
      <c r="E788" s="143"/>
      <c r="H788" s="2"/>
      <c r="I788" s="30"/>
    </row>
    <row r="789" spans="4:9">
      <c r="D789" s="47"/>
      <c r="E789" s="143"/>
      <c r="H789" s="2"/>
      <c r="I789" s="30"/>
    </row>
    <row r="790" spans="4:9">
      <c r="D790" s="47"/>
      <c r="E790" s="143"/>
      <c r="H790" s="2"/>
      <c r="I790" s="30"/>
    </row>
    <row r="791" spans="4:9">
      <c r="D791" s="47"/>
      <c r="E791" s="143"/>
      <c r="H791" s="2"/>
      <c r="I791" s="30"/>
    </row>
    <row r="792" spans="4:9">
      <c r="D792" s="47"/>
      <c r="E792" s="143"/>
      <c r="H792" s="2"/>
      <c r="I792" s="30"/>
    </row>
    <row r="793" spans="4:9">
      <c r="D793" s="47"/>
      <c r="E793" s="143"/>
      <c r="H793" s="2"/>
      <c r="I793" s="30"/>
    </row>
    <row r="794" spans="4:9">
      <c r="D794" s="47"/>
      <c r="E794" s="143"/>
      <c r="H794" s="2"/>
      <c r="I794" s="30"/>
    </row>
    <row r="795" spans="4:9">
      <c r="D795" s="47"/>
      <c r="E795" s="143"/>
      <c r="H795" s="2"/>
      <c r="I795" s="30"/>
    </row>
    <row r="796" spans="4:9">
      <c r="D796" s="47"/>
      <c r="E796" s="143"/>
      <c r="H796" s="2"/>
      <c r="I796" s="30"/>
    </row>
    <row r="797" spans="4:9">
      <c r="D797" s="47"/>
      <c r="E797" s="143"/>
      <c r="H797" s="2"/>
      <c r="I797" s="30"/>
    </row>
    <row r="798" spans="4:9">
      <c r="D798" s="47"/>
      <c r="E798" s="143"/>
      <c r="H798" s="2"/>
      <c r="I798" s="30"/>
    </row>
    <row r="799" spans="4:9">
      <c r="D799" s="47"/>
      <c r="E799" s="143"/>
      <c r="H799" s="2"/>
      <c r="I799" s="30"/>
    </row>
    <row r="800" spans="4:9">
      <c r="D800" s="47"/>
      <c r="E800" s="143"/>
      <c r="H800" s="2"/>
      <c r="I800" s="30"/>
    </row>
    <row r="801" spans="4:9">
      <c r="D801" s="47"/>
      <c r="E801" s="143"/>
      <c r="H801" s="2"/>
      <c r="I801" s="30"/>
    </row>
    <row r="802" spans="4:9">
      <c r="D802" s="47"/>
      <c r="E802" s="143"/>
      <c r="H802" s="2"/>
      <c r="I802" s="30"/>
    </row>
    <row r="803" spans="4:9">
      <c r="D803" s="47"/>
      <c r="E803" s="143"/>
      <c r="H803" s="2"/>
      <c r="I803" s="30"/>
    </row>
    <row r="804" spans="4:9">
      <c r="D804" s="47"/>
      <c r="E804" s="143"/>
      <c r="H804" s="2"/>
      <c r="I804" s="30"/>
    </row>
    <row r="805" spans="4:9">
      <c r="D805" s="47"/>
      <c r="E805" s="143"/>
      <c r="H805" s="2"/>
      <c r="I805" s="30"/>
    </row>
    <row r="806" spans="4:9">
      <c r="D806" s="47"/>
      <c r="E806" s="143"/>
      <c r="H806" s="2"/>
      <c r="I806" s="30"/>
    </row>
    <row r="807" spans="4:9">
      <c r="D807" s="47"/>
      <c r="E807" s="143"/>
      <c r="H807" s="2"/>
      <c r="I807" s="30"/>
    </row>
    <row r="808" spans="4:9">
      <c r="D808" s="47"/>
      <c r="E808" s="143"/>
      <c r="H808" s="2"/>
      <c r="I808" s="30"/>
    </row>
    <row r="809" spans="4:9">
      <c r="D809" s="47"/>
      <c r="E809" s="143"/>
      <c r="H809" s="2"/>
      <c r="I809" s="30"/>
    </row>
    <row r="810" spans="4:9">
      <c r="D810" s="47"/>
      <c r="E810" s="143"/>
      <c r="H810" s="2"/>
      <c r="I810" s="30"/>
    </row>
    <row r="811" spans="4:9">
      <c r="D811" s="47"/>
      <c r="E811" s="143"/>
      <c r="H811" s="2"/>
      <c r="I811" s="30"/>
    </row>
    <row r="812" spans="4:9">
      <c r="D812" s="47"/>
      <c r="E812" s="143"/>
      <c r="H812" s="2"/>
      <c r="I812" s="30"/>
    </row>
    <row r="813" spans="4:9">
      <c r="D813" s="47"/>
      <c r="E813" s="143"/>
      <c r="H813" s="2"/>
      <c r="I813" s="30"/>
    </row>
    <row r="814" spans="4:9">
      <c r="D814" s="47"/>
      <c r="E814" s="143"/>
      <c r="H814" s="2"/>
      <c r="I814" s="30"/>
    </row>
    <row r="815" spans="4:9">
      <c r="D815" s="47"/>
      <c r="E815" s="143"/>
      <c r="H815" s="2"/>
      <c r="I815" s="30"/>
    </row>
    <row r="816" spans="4:9">
      <c r="D816" s="47"/>
      <c r="E816" s="143"/>
      <c r="H816" s="2"/>
      <c r="I816" s="30"/>
    </row>
    <row r="817" spans="4:9">
      <c r="D817" s="47"/>
      <c r="E817" s="143"/>
      <c r="H817" s="2"/>
      <c r="I817" s="30"/>
    </row>
    <row r="818" spans="4:9">
      <c r="D818" s="47"/>
      <c r="E818" s="143"/>
      <c r="H818" s="2"/>
      <c r="I818" s="30"/>
    </row>
    <row r="819" spans="4:9">
      <c r="D819" s="47"/>
      <c r="E819" s="143"/>
      <c r="H819" s="2"/>
      <c r="I819" s="30"/>
    </row>
    <row r="820" spans="4:9">
      <c r="D820" s="47"/>
      <c r="E820" s="143"/>
      <c r="H820" s="2"/>
      <c r="I820" s="30"/>
    </row>
    <row r="821" spans="4:9">
      <c r="D821" s="47"/>
      <c r="E821" s="143"/>
      <c r="H821" s="2"/>
      <c r="I821" s="30"/>
    </row>
    <row r="822" spans="4:9">
      <c r="D822" s="47"/>
      <c r="E822" s="143"/>
      <c r="H822" s="2"/>
      <c r="I822" s="30"/>
    </row>
    <row r="823" spans="4:9">
      <c r="D823" s="47"/>
      <c r="E823" s="143"/>
      <c r="H823" s="2"/>
      <c r="I823" s="30"/>
    </row>
    <row r="824" spans="4:9">
      <c r="D824" s="47"/>
      <c r="E824" s="143"/>
      <c r="H824" s="2"/>
      <c r="I824" s="30"/>
    </row>
    <row r="825" spans="4:9">
      <c r="D825" s="47"/>
      <c r="E825" s="143"/>
      <c r="H825" s="2"/>
      <c r="I825" s="30"/>
    </row>
    <row r="826" spans="4:9">
      <c r="D826" s="47"/>
      <c r="E826" s="143"/>
      <c r="H826" s="2"/>
      <c r="I826" s="30"/>
    </row>
    <row r="827" spans="4:9">
      <c r="D827" s="47"/>
      <c r="E827" s="143"/>
      <c r="H827" s="2"/>
      <c r="I827" s="30"/>
    </row>
    <row r="828" spans="4:9">
      <c r="D828" s="47"/>
      <c r="E828" s="143"/>
      <c r="H828" s="2"/>
      <c r="I828" s="30"/>
    </row>
    <row r="829" spans="4:9">
      <c r="D829" s="47"/>
      <c r="E829" s="143"/>
      <c r="H829" s="2"/>
      <c r="I829" s="30"/>
    </row>
    <row r="830" spans="4:9">
      <c r="D830" s="47"/>
      <c r="E830" s="143"/>
      <c r="H830" s="2"/>
      <c r="I830" s="30"/>
    </row>
    <row r="831" spans="4:9">
      <c r="D831" s="47"/>
      <c r="E831" s="143"/>
      <c r="H831" s="2"/>
      <c r="I831" s="30"/>
    </row>
    <row r="832" spans="4:9">
      <c r="D832" s="47"/>
      <c r="E832" s="143"/>
      <c r="H832" s="2"/>
      <c r="I832" s="30"/>
    </row>
    <row r="833" spans="4:9">
      <c r="D833" s="47"/>
      <c r="E833" s="143"/>
      <c r="H833" s="2"/>
      <c r="I833" s="30"/>
    </row>
    <row r="834" spans="4:9">
      <c r="D834" s="47"/>
      <c r="E834" s="143"/>
      <c r="H834" s="2"/>
      <c r="I834" s="30"/>
    </row>
    <row r="835" spans="4:9">
      <c r="D835" s="47"/>
      <c r="E835" s="143"/>
      <c r="H835" s="2"/>
      <c r="I835" s="30"/>
    </row>
    <row r="836" spans="4:9">
      <c r="D836" s="47"/>
      <c r="E836" s="143"/>
      <c r="H836" s="2"/>
      <c r="I836" s="30"/>
    </row>
    <row r="837" spans="4:9">
      <c r="D837" s="47"/>
      <c r="E837" s="143"/>
      <c r="H837" s="2"/>
      <c r="I837" s="30"/>
    </row>
    <row r="838" spans="4:9">
      <c r="D838" s="47"/>
      <c r="E838" s="143"/>
      <c r="H838" s="2"/>
      <c r="I838" s="30"/>
    </row>
    <row r="839" spans="4:9">
      <c r="D839" s="47"/>
      <c r="E839" s="143"/>
      <c r="H839" s="2"/>
      <c r="I839" s="30"/>
    </row>
    <row r="840" spans="4:9">
      <c r="D840" s="47"/>
      <c r="E840" s="143"/>
      <c r="H840" s="2"/>
      <c r="I840" s="30"/>
    </row>
    <row r="841" spans="4:9">
      <c r="D841" s="47"/>
      <c r="E841" s="143"/>
      <c r="H841" s="2"/>
      <c r="I841" s="30"/>
    </row>
    <row r="842" spans="4:9">
      <c r="D842" s="47"/>
      <c r="E842" s="143"/>
      <c r="H842" s="2"/>
      <c r="I842" s="30"/>
    </row>
    <row r="843" spans="4:9">
      <c r="D843" s="47"/>
      <c r="E843" s="143"/>
      <c r="H843" s="2"/>
      <c r="I843" s="30"/>
    </row>
    <row r="844" spans="4:9">
      <c r="D844" s="47"/>
      <c r="E844" s="143"/>
      <c r="H844" s="2"/>
      <c r="I844" s="30"/>
    </row>
    <row r="845" spans="4:9">
      <c r="D845" s="47"/>
      <c r="E845" s="143"/>
      <c r="H845" s="2"/>
      <c r="I845" s="30"/>
    </row>
    <row r="846" spans="4:9">
      <c r="D846" s="47"/>
      <c r="E846" s="143"/>
      <c r="H846" s="2"/>
      <c r="I846" s="30"/>
    </row>
    <row r="847" spans="4:9">
      <c r="D847" s="47"/>
      <c r="E847" s="143"/>
      <c r="H847" s="2"/>
      <c r="I847" s="30"/>
    </row>
    <row r="848" spans="4:9">
      <c r="D848" s="47"/>
      <c r="E848" s="143"/>
      <c r="H848" s="2"/>
      <c r="I848" s="30"/>
    </row>
    <row r="849" spans="4:9">
      <c r="D849" s="47"/>
      <c r="E849" s="143"/>
      <c r="H849" s="2"/>
      <c r="I849" s="30"/>
    </row>
    <row r="850" spans="4:9">
      <c r="D850" s="47"/>
      <c r="E850" s="143"/>
      <c r="H850" s="2"/>
      <c r="I850" s="30"/>
    </row>
    <row r="851" spans="4:9">
      <c r="D851" s="47"/>
      <c r="E851" s="143"/>
      <c r="H851" s="2"/>
      <c r="I851" s="30"/>
    </row>
    <row r="852" spans="4:9">
      <c r="D852" s="47"/>
      <c r="E852" s="143"/>
      <c r="H852" s="2"/>
      <c r="I852" s="30"/>
    </row>
    <row r="853" spans="4:9">
      <c r="D853" s="47"/>
      <c r="E853" s="143"/>
      <c r="H853" s="2"/>
      <c r="I853" s="30"/>
    </row>
    <row r="854" spans="4:9">
      <c r="D854" s="47"/>
      <c r="E854" s="143"/>
      <c r="H854" s="2"/>
      <c r="I854" s="30"/>
    </row>
    <row r="855" spans="4:9">
      <c r="D855" s="47"/>
      <c r="E855" s="143"/>
      <c r="H855" s="2"/>
      <c r="I855" s="30"/>
    </row>
    <row r="856" spans="4:9">
      <c r="D856" s="47"/>
      <c r="E856" s="143"/>
      <c r="H856" s="2"/>
      <c r="I856" s="30"/>
    </row>
    <row r="857" spans="4:9">
      <c r="D857" s="47"/>
      <c r="E857" s="143"/>
      <c r="H857" s="2"/>
      <c r="I857" s="30"/>
    </row>
    <row r="858" spans="4:9">
      <c r="D858" s="47"/>
      <c r="E858" s="143"/>
      <c r="H858" s="2"/>
      <c r="I858" s="30"/>
    </row>
    <row r="859" spans="4:9">
      <c r="D859" s="47"/>
      <c r="E859" s="143"/>
      <c r="H859" s="2"/>
      <c r="I859" s="30"/>
    </row>
    <row r="860" spans="4:9">
      <c r="D860" s="47"/>
      <c r="E860" s="143"/>
      <c r="H860" s="2"/>
      <c r="I860" s="30"/>
    </row>
    <row r="861" spans="4:9">
      <c r="D861" s="47"/>
      <c r="E861" s="143"/>
      <c r="H861" s="2"/>
      <c r="I861" s="30"/>
    </row>
    <row r="862" spans="4:9">
      <c r="D862" s="47"/>
      <c r="E862" s="143"/>
      <c r="H862" s="2"/>
      <c r="I862" s="30"/>
    </row>
    <row r="863" spans="4:9">
      <c r="D863" s="47"/>
      <c r="E863" s="143"/>
      <c r="H863" s="2"/>
      <c r="I863" s="30"/>
    </row>
    <row r="864" spans="4:9">
      <c r="D864" s="47"/>
      <c r="E864" s="143"/>
      <c r="H864" s="2"/>
      <c r="I864" s="30"/>
    </row>
    <row r="865" spans="4:9">
      <c r="D865" s="47"/>
      <c r="E865" s="143"/>
      <c r="H865" s="2"/>
      <c r="I865" s="30"/>
    </row>
    <row r="866" spans="4:9">
      <c r="D866" s="47"/>
      <c r="E866" s="143"/>
      <c r="H866" s="2"/>
      <c r="I866" s="30"/>
    </row>
    <row r="867" spans="4:9">
      <c r="D867" s="47"/>
      <c r="E867" s="143"/>
      <c r="H867" s="2"/>
      <c r="I867" s="30"/>
    </row>
    <row r="868" spans="4:9">
      <c r="D868" s="47"/>
      <c r="E868" s="143"/>
      <c r="H868" s="2"/>
      <c r="I868" s="30"/>
    </row>
    <row r="869" spans="4:9">
      <c r="D869" s="47"/>
      <c r="E869" s="143"/>
      <c r="H869" s="2"/>
      <c r="I869" s="30"/>
    </row>
    <row r="870" spans="4:9">
      <c r="D870" s="47"/>
      <c r="E870" s="143"/>
      <c r="H870" s="2"/>
      <c r="I870" s="30"/>
    </row>
    <row r="871" spans="4:9">
      <c r="D871" s="47"/>
      <c r="E871" s="143"/>
      <c r="H871" s="2"/>
      <c r="I871" s="30"/>
    </row>
    <row r="872" spans="4:9">
      <c r="D872" s="47"/>
      <c r="E872" s="143"/>
      <c r="H872" s="2"/>
      <c r="I872" s="30"/>
    </row>
    <row r="873" spans="4:9">
      <c r="D873" s="47"/>
      <c r="E873" s="143"/>
      <c r="H873" s="2"/>
      <c r="I873" s="30"/>
    </row>
    <row r="874" spans="4:9">
      <c r="D874" s="47"/>
      <c r="E874" s="143"/>
      <c r="H874" s="2"/>
      <c r="I874" s="30"/>
    </row>
    <row r="875" spans="4:9">
      <c r="D875" s="47"/>
      <c r="E875" s="143"/>
      <c r="H875" s="2"/>
      <c r="I875" s="30"/>
    </row>
    <row r="876" spans="4:9">
      <c r="D876" s="47"/>
      <c r="E876" s="143"/>
      <c r="H876" s="2"/>
      <c r="I876" s="30"/>
    </row>
    <row r="877" spans="4:9">
      <c r="D877" s="47"/>
      <c r="E877" s="143"/>
      <c r="H877" s="2"/>
      <c r="I877" s="30"/>
    </row>
    <row r="878" spans="4:9">
      <c r="D878" s="47"/>
      <c r="E878" s="143"/>
      <c r="H878" s="2"/>
      <c r="I878" s="30"/>
    </row>
    <row r="879" spans="4:9">
      <c r="D879" s="47"/>
      <c r="E879" s="143"/>
      <c r="H879" s="2"/>
      <c r="I879" s="30"/>
    </row>
    <row r="880" spans="4:9">
      <c r="D880" s="47"/>
      <c r="E880" s="143"/>
      <c r="H880" s="2"/>
      <c r="I880" s="30"/>
    </row>
    <row r="881" spans="4:9">
      <c r="D881" s="47"/>
      <c r="E881" s="143"/>
      <c r="H881" s="2"/>
      <c r="I881" s="30"/>
    </row>
    <row r="882" spans="4:9">
      <c r="D882" s="47"/>
      <c r="E882" s="143"/>
      <c r="H882" s="2"/>
      <c r="I882" s="30"/>
    </row>
    <row r="883" spans="4:9">
      <c r="D883" s="47"/>
      <c r="E883" s="143"/>
      <c r="H883" s="2"/>
      <c r="I883" s="30"/>
    </row>
    <row r="884" spans="4:9">
      <c r="D884" s="47"/>
      <c r="E884" s="143"/>
      <c r="H884" s="2"/>
      <c r="I884" s="30"/>
    </row>
    <row r="885" spans="4:9">
      <c r="D885" s="47"/>
      <c r="E885" s="143"/>
      <c r="H885" s="2"/>
      <c r="I885" s="30"/>
    </row>
    <row r="886" spans="4:9">
      <c r="D886" s="47"/>
      <c r="E886" s="143"/>
      <c r="H886" s="2"/>
      <c r="I886" s="30"/>
    </row>
    <row r="887" spans="4:9">
      <c r="D887" s="47"/>
      <c r="E887" s="143"/>
      <c r="H887" s="2"/>
      <c r="I887" s="30"/>
    </row>
    <row r="888" spans="4:9">
      <c r="D888" s="47"/>
      <c r="E888" s="143"/>
      <c r="H888" s="2"/>
      <c r="I888" s="30"/>
    </row>
    <row r="889" spans="4:9">
      <c r="D889" s="47"/>
      <c r="E889" s="143"/>
      <c r="H889" s="2"/>
      <c r="I889" s="30"/>
    </row>
    <row r="890" spans="4:9">
      <c r="D890" s="47"/>
      <c r="E890" s="143"/>
      <c r="H890" s="2"/>
      <c r="I890" s="30"/>
    </row>
    <row r="891" spans="4:9">
      <c r="D891" s="47"/>
      <c r="E891" s="143"/>
      <c r="H891" s="2"/>
      <c r="I891" s="30"/>
    </row>
    <row r="892" spans="4:9">
      <c r="D892" s="47"/>
      <c r="E892" s="143"/>
      <c r="H892" s="2"/>
      <c r="I892" s="30"/>
    </row>
    <row r="893" spans="4:9">
      <c r="D893" s="47"/>
      <c r="E893" s="143"/>
      <c r="H893" s="2"/>
      <c r="I893" s="30"/>
    </row>
    <row r="894" spans="4:9">
      <c r="D894" s="47"/>
      <c r="E894" s="143"/>
      <c r="H894" s="2"/>
      <c r="I894" s="30"/>
    </row>
    <row r="895" spans="4:9">
      <c r="D895" s="47"/>
      <c r="E895" s="143"/>
      <c r="H895" s="2"/>
      <c r="I895" s="30"/>
    </row>
    <row r="896" spans="4:9">
      <c r="D896" s="47"/>
      <c r="E896" s="143"/>
      <c r="H896" s="2"/>
      <c r="I896" s="30"/>
    </row>
    <row r="897" spans="4:9">
      <c r="D897" s="47"/>
      <c r="E897" s="143"/>
      <c r="H897" s="2"/>
      <c r="I897" s="30"/>
    </row>
    <row r="898" spans="4:9">
      <c r="D898" s="47"/>
      <c r="E898" s="143"/>
      <c r="H898" s="2"/>
      <c r="I898" s="30"/>
    </row>
    <row r="899" spans="4:9">
      <c r="D899" s="47"/>
      <c r="E899" s="143"/>
      <c r="H899" s="2"/>
      <c r="I899" s="30"/>
    </row>
    <row r="900" spans="4:9">
      <c r="D900" s="47"/>
      <c r="E900" s="143"/>
      <c r="H900" s="2"/>
      <c r="I900" s="30"/>
    </row>
    <row r="901" spans="4:9">
      <c r="D901" s="47"/>
      <c r="E901" s="143"/>
      <c r="H901" s="2"/>
      <c r="I901" s="30"/>
    </row>
    <row r="902" spans="4:9">
      <c r="D902" s="47"/>
      <c r="E902" s="143"/>
      <c r="H902" s="2"/>
      <c r="I902" s="30"/>
    </row>
    <row r="903" spans="4:9">
      <c r="D903" s="47"/>
      <c r="E903" s="143"/>
      <c r="H903" s="2"/>
      <c r="I903" s="30"/>
    </row>
    <row r="904" spans="4:9">
      <c r="D904" s="47"/>
      <c r="E904" s="143"/>
      <c r="H904" s="2"/>
      <c r="I904" s="30"/>
    </row>
    <row r="905" spans="4:9">
      <c r="D905" s="47"/>
      <c r="E905" s="143"/>
      <c r="H905" s="2"/>
      <c r="I905" s="30"/>
    </row>
    <row r="906" spans="4:9">
      <c r="D906" s="47"/>
      <c r="E906" s="143"/>
      <c r="H906" s="2"/>
      <c r="I906" s="30"/>
    </row>
    <row r="907" spans="4:9">
      <c r="D907" s="47"/>
      <c r="E907" s="143"/>
      <c r="H907" s="2"/>
      <c r="I907" s="30"/>
    </row>
    <row r="908" spans="4:9">
      <c r="D908" s="47"/>
      <c r="E908" s="143"/>
      <c r="H908" s="2"/>
      <c r="I908" s="30"/>
    </row>
    <row r="909" spans="4:9">
      <c r="D909" s="47"/>
      <c r="E909" s="143"/>
      <c r="H909" s="2"/>
      <c r="I909" s="30"/>
    </row>
    <row r="910" spans="4:9">
      <c r="D910" s="47"/>
      <c r="E910" s="143"/>
      <c r="H910" s="2"/>
      <c r="I910" s="30"/>
    </row>
    <row r="911" spans="4:9">
      <c r="D911" s="47"/>
      <c r="E911" s="143"/>
      <c r="H911" s="2"/>
      <c r="I911" s="30"/>
    </row>
    <row r="912" spans="4:9">
      <c r="D912" s="47"/>
      <c r="E912" s="143"/>
      <c r="H912" s="2"/>
      <c r="I912" s="30"/>
    </row>
    <row r="913" spans="4:9">
      <c r="D913" s="47"/>
      <c r="E913" s="143"/>
      <c r="H913" s="2"/>
      <c r="I913" s="30"/>
    </row>
    <row r="914" spans="4:9">
      <c r="D914" s="47"/>
      <c r="E914" s="143"/>
      <c r="H914" s="2"/>
      <c r="I914" s="30"/>
    </row>
    <row r="915" spans="4:9">
      <c r="D915" s="47"/>
      <c r="E915" s="143"/>
      <c r="H915" s="2"/>
      <c r="I915" s="30"/>
    </row>
    <row r="916" spans="4:9">
      <c r="D916" s="47"/>
      <c r="E916" s="143"/>
      <c r="H916" s="2"/>
      <c r="I916" s="30"/>
    </row>
    <row r="917" spans="4:9">
      <c r="D917" s="47"/>
      <c r="E917" s="143"/>
      <c r="H917" s="2"/>
      <c r="I917" s="30"/>
    </row>
    <row r="918" spans="4:9">
      <c r="D918" s="47"/>
      <c r="E918" s="143"/>
      <c r="H918" s="2"/>
      <c r="I918" s="30"/>
    </row>
    <row r="919" spans="4:9">
      <c r="D919" s="47"/>
      <c r="E919" s="143"/>
      <c r="H919" s="2"/>
      <c r="I919" s="30"/>
    </row>
    <row r="920" spans="4:9">
      <c r="D920" s="47"/>
      <c r="E920" s="143"/>
      <c r="H920" s="2"/>
      <c r="I920" s="30"/>
    </row>
    <row r="921" spans="4:9">
      <c r="D921" s="47"/>
      <c r="E921" s="143"/>
      <c r="H921" s="2"/>
      <c r="I921" s="30"/>
    </row>
    <row r="922" spans="4:9">
      <c r="D922" s="47"/>
      <c r="E922" s="143"/>
      <c r="H922" s="2"/>
      <c r="I922" s="30"/>
    </row>
    <row r="923" spans="4:9">
      <c r="D923" s="47"/>
      <c r="E923" s="143"/>
      <c r="H923" s="2"/>
      <c r="I923" s="30"/>
    </row>
    <row r="924" spans="4:9">
      <c r="D924" s="47"/>
      <c r="E924" s="143"/>
      <c r="H924" s="2"/>
      <c r="I924" s="30"/>
    </row>
    <row r="925" spans="4:9">
      <c r="D925" s="47"/>
      <c r="E925" s="143"/>
      <c r="H925" s="2"/>
      <c r="I925" s="30"/>
    </row>
    <row r="926" spans="4:9">
      <c r="D926" s="47"/>
      <c r="E926" s="143"/>
      <c r="H926" s="2"/>
      <c r="I926" s="30"/>
    </row>
    <row r="927" spans="4:9">
      <c r="D927" s="47"/>
      <c r="E927" s="143"/>
      <c r="H927" s="2"/>
      <c r="I927" s="30"/>
    </row>
    <row r="928" spans="4:9">
      <c r="D928" s="47"/>
      <c r="E928" s="143"/>
      <c r="H928" s="2"/>
      <c r="I928" s="30"/>
    </row>
    <row r="929" spans="4:9">
      <c r="D929" s="47"/>
      <c r="E929" s="143"/>
      <c r="H929" s="2"/>
      <c r="I929" s="30"/>
    </row>
    <row r="930" spans="4:9">
      <c r="D930" s="47"/>
      <c r="E930" s="143"/>
      <c r="H930" s="2"/>
      <c r="I930" s="30"/>
    </row>
    <row r="931" spans="4:9">
      <c r="D931" s="47"/>
      <c r="E931" s="143"/>
      <c r="H931" s="2"/>
      <c r="I931" s="30"/>
    </row>
    <row r="932" spans="4:9">
      <c r="D932" s="47"/>
      <c r="E932" s="143"/>
      <c r="H932" s="2"/>
      <c r="I932" s="30"/>
    </row>
    <row r="933" spans="4:9">
      <c r="D933" s="47"/>
      <c r="E933" s="143"/>
      <c r="H933" s="2"/>
      <c r="I933" s="30"/>
    </row>
    <row r="934" spans="4:9">
      <c r="D934" s="47"/>
      <c r="E934" s="143"/>
      <c r="H934" s="2"/>
      <c r="I934" s="30"/>
    </row>
    <row r="935" spans="4:9">
      <c r="D935" s="47"/>
      <c r="E935" s="143"/>
      <c r="H935" s="2"/>
      <c r="I935" s="30"/>
    </row>
    <row r="936" spans="4:9">
      <c r="D936" s="47"/>
      <c r="E936" s="143"/>
      <c r="H936" s="2"/>
      <c r="I936" s="30"/>
    </row>
    <row r="937" spans="4:9">
      <c r="D937" s="47"/>
      <c r="E937" s="143"/>
      <c r="H937" s="2"/>
      <c r="I937" s="30"/>
    </row>
    <row r="938" spans="4:9">
      <c r="D938" s="47"/>
      <c r="E938" s="143"/>
      <c r="H938" s="2"/>
      <c r="I938" s="30"/>
    </row>
    <row r="939" spans="4:9">
      <c r="D939" s="47"/>
      <c r="E939" s="143"/>
      <c r="H939" s="2"/>
      <c r="I939" s="30"/>
    </row>
    <row r="940" spans="4:9">
      <c r="D940" s="47"/>
      <c r="E940" s="143"/>
      <c r="H940" s="2"/>
      <c r="I940" s="30"/>
    </row>
    <row r="941" spans="4:9">
      <c r="D941" s="47"/>
      <c r="E941" s="143"/>
      <c r="H941" s="2"/>
      <c r="I941" s="30"/>
    </row>
    <row r="942" spans="4:9">
      <c r="D942" s="47"/>
      <c r="E942" s="143"/>
      <c r="H942" s="2"/>
      <c r="I942" s="30"/>
    </row>
    <row r="943" spans="4:9">
      <c r="D943" s="47"/>
      <c r="E943" s="143"/>
      <c r="H943" s="2"/>
      <c r="I943" s="30"/>
    </row>
    <row r="944" spans="4:9">
      <c r="D944" s="47"/>
      <c r="E944" s="143"/>
      <c r="H944" s="2"/>
      <c r="I944" s="30"/>
    </row>
    <row r="945" spans="4:15">
      <c r="D945" s="47"/>
      <c r="E945" s="143"/>
      <c r="H945" s="2"/>
      <c r="I945" s="30"/>
    </row>
    <row r="946" spans="4:15">
      <c r="D946" s="47"/>
      <c r="E946" s="143"/>
      <c r="H946" s="2"/>
      <c r="I946" s="30"/>
    </row>
    <row r="947" spans="4:15">
      <c r="D947" s="47"/>
      <c r="E947" s="143"/>
      <c r="H947" s="2"/>
      <c r="I947" s="30"/>
    </row>
    <row r="948" spans="4:15">
      <c r="D948" s="47"/>
      <c r="E948" s="143"/>
      <c r="H948" s="2"/>
      <c r="I948" s="30"/>
    </row>
    <row r="949" spans="4:15">
      <c r="D949" s="47"/>
      <c r="E949" s="143"/>
      <c r="H949" s="2"/>
      <c r="I949" s="30"/>
    </row>
    <row r="950" spans="4:15">
      <c r="D950" s="47"/>
      <c r="E950" s="143"/>
      <c r="H950" s="2"/>
      <c r="I950" s="30"/>
    </row>
    <row r="951" spans="4:15">
      <c r="K951" s="143"/>
      <c r="N951" s="2"/>
      <c r="O951" s="30"/>
    </row>
    <row r="952" spans="4:15">
      <c r="K952" s="143"/>
      <c r="N952" s="2"/>
      <c r="O952" s="30"/>
    </row>
    <row r="953" spans="4:15">
      <c r="K953" s="143"/>
      <c r="N953" s="2"/>
      <c r="O953" s="30"/>
    </row>
    <row r="954" spans="4:15">
      <c r="K954" s="143"/>
      <c r="N954" s="2"/>
      <c r="O954" s="30"/>
    </row>
    <row r="955" spans="4:15">
      <c r="K955" s="143"/>
      <c r="N955" s="2"/>
      <c r="O955" s="30"/>
    </row>
    <row r="956" spans="4:15">
      <c r="K956" s="143"/>
      <c r="N956" s="2"/>
      <c r="O956" s="30"/>
    </row>
    <row r="957" spans="4:15">
      <c r="K957" s="143"/>
      <c r="N957" s="2"/>
      <c r="O957" s="30"/>
    </row>
    <row r="958" spans="4:15">
      <c r="K958" s="143"/>
      <c r="N958" s="2"/>
      <c r="O958" s="30"/>
    </row>
    <row r="959" spans="4:15">
      <c r="K959" s="143"/>
      <c r="N959" s="2"/>
      <c r="O959" s="30"/>
    </row>
    <row r="960" spans="4:15">
      <c r="K960" s="143"/>
      <c r="N960" s="2"/>
      <c r="O960" s="30"/>
    </row>
    <row r="961" spans="11:15">
      <c r="K961" s="143"/>
      <c r="N961" s="2"/>
      <c r="O961" s="30"/>
    </row>
    <row r="962" spans="11:15">
      <c r="K962" s="143"/>
      <c r="N962" s="2"/>
      <c r="O962" s="30"/>
    </row>
    <row r="963" spans="11:15">
      <c r="K963" s="143"/>
      <c r="N963" s="2"/>
      <c r="O963" s="30"/>
    </row>
    <row r="964" spans="11:15">
      <c r="K964" s="143"/>
      <c r="N964" s="2"/>
      <c r="O964" s="30"/>
    </row>
    <row r="965" spans="11:15">
      <c r="K965" s="143"/>
      <c r="N965" s="2"/>
      <c r="O965" s="30"/>
    </row>
    <row r="966" spans="11:15">
      <c r="K966" s="143"/>
      <c r="N966" s="2"/>
      <c r="O966" s="30"/>
    </row>
    <row r="967" spans="11:15">
      <c r="K967" s="143"/>
      <c r="N967" s="2"/>
      <c r="O967" s="30"/>
    </row>
    <row r="968" spans="11:15">
      <c r="K968" s="143"/>
      <c r="N968" s="2"/>
      <c r="O968" s="30"/>
    </row>
    <row r="969" spans="11:15">
      <c r="K969" s="143"/>
      <c r="N969" s="2"/>
      <c r="O969" s="30"/>
    </row>
    <row r="970" spans="11:15">
      <c r="K970" s="143"/>
      <c r="N970" s="2"/>
      <c r="O970" s="30"/>
    </row>
    <row r="971" spans="11:15">
      <c r="K971" s="143"/>
      <c r="N971" s="2"/>
      <c r="O971" s="30"/>
    </row>
    <row r="972" spans="11:15">
      <c r="K972" s="143"/>
      <c r="N972" s="2"/>
      <c r="O972" s="30"/>
    </row>
  </sheetData>
  <mergeCells count="11">
    <mergeCell ref="A8:A9"/>
    <mergeCell ref="D8:D9"/>
    <mergeCell ref="E8:E9"/>
    <mergeCell ref="F8:F9"/>
    <mergeCell ref="G8:G9"/>
    <mergeCell ref="W8:W9"/>
    <mergeCell ref="X8:X9"/>
    <mergeCell ref="F3:F5"/>
    <mergeCell ref="G3:G5"/>
    <mergeCell ref="B8:B9"/>
    <mergeCell ref="C8:C9"/>
  </mergeCells>
  <hyperlinks>
    <hyperlink ref="M6" r:id="rId1" xr:uid="{EF5D3C23-D262-4D8F-A502-E3747867C4E0}"/>
    <hyperlink ref="M7" r:id="rId2" xr:uid="{125C5EFD-7AC2-463C-9AF0-BBFCD0B606EC}"/>
    <hyperlink ref="M4" r:id="rId3" xr:uid="{9BBD97E8-EA17-4F61-B5BC-30E35983A88E}"/>
    <hyperlink ref="M3" r:id="rId4" xr:uid="{583BE0B9-7DFF-45A3-A2AE-A2119FFE09F3}"/>
    <hyperlink ref="M5" r:id="rId5" xr:uid="{0C41DD07-7A6C-4535-B491-FB71CE3F7517}"/>
    <hyperlink ref="M8" r:id="rId6" xr:uid="{4B47DEFA-AB37-427E-9E07-C3A845F2C568}"/>
    <hyperlink ref="M9" r:id="rId7" xr:uid="{6DD61A07-7B91-45AB-A755-CA4E1F2330D3}"/>
  </hyperlinks>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BEC6A-DC6F-4925-9DCD-A628CEA23542}">
  <dimension ref="A1:Z4"/>
  <sheetViews>
    <sheetView workbookViewId="0">
      <selection activeCell="C3" sqref="C3"/>
    </sheetView>
  </sheetViews>
  <sheetFormatPr defaultRowHeight="12.75"/>
  <cols>
    <col min="1" max="1" width="7.5703125" customWidth="1"/>
    <col min="2" max="2" width="20" customWidth="1"/>
    <col min="3" max="3" width="17.7109375" customWidth="1"/>
    <col min="4" max="4" width="16.140625" customWidth="1"/>
    <col min="5" max="5" width="14.7109375" customWidth="1"/>
    <col min="6" max="6" width="53.85546875" customWidth="1"/>
    <col min="7" max="7" width="14.140625" customWidth="1"/>
    <col min="8" max="8" width="16.5703125" customWidth="1"/>
    <col min="9" max="9" width="19" customWidth="1"/>
    <col min="10" max="10" width="18.140625" customWidth="1"/>
    <col min="11" max="11" width="15.28515625" customWidth="1"/>
  </cols>
  <sheetData>
    <row r="1" spans="1:26" ht="13.5">
      <c r="A1" s="59" t="s">
        <v>254</v>
      </c>
      <c r="B1" s="154" t="s">
        <v>11</v>
      </c>
      <c r="C1" s="155" t="s">
        <v>322</v>
      </c>
      <c r="D1" s="154" t="s">
        <v>256</v>
      </c>
      <c r="E1" s="155" t="s">
        <v>324</v>
      </c>
      <c r="F1" s="155" t="s">
        <v>325</v>
      </c>
      <c r="G1" s="154" t="s">
        <v>326</v>
      </c>
      <c r="H1" s="154" t="s">
        <v>328</v>
      </c>
      <c r="I1" s="154" t="s">
        <v>259</v>
      </c>
      <c r="J1" s="156" t="s">
        <v>329</v>
      </c>
      <c r="K1" s="157" t="s">
        <v>280</v>
      </c>
      <c r="L1" s="35"/>
      <c r="M1" s="35"/>
      <c r="N1" s="35"/>
      <c r="O1" s="35"/>
      <c r="P1" s="35"/>
      <c r="Q1" s="35"/>
      <c r="R1" s="35"/>
      <c r="S1" s="35"/>
      <c r="T1" s="35"/>
      <c r="U1" s="35"/>
      <c r="V1" s="35"/>
      <c r="W1" s="35"/>
      <c r="X1" s="35"/>
      <c r="Y1" s="35"/>
      <c r="Z1" s="35"/>
    </row>
    <row r="2" spans="1:26" s="137" customFormat="1">
      <c r="A2" s="46">
        <v>1</v>
      </c>
      <c r="B2" s="298" t="s">
        <v>1735</v>
      </c>
      <c r="C2" s="62" t="s">
        <v>1756</v>
      </c>
      <c r="D2" s="304" t="s">
        <v>292</v>
      </c>
      <c r="E2" s="41" t="s">
        <v>380</v>
      </c>
      <c r="F2" s="11" t="s">
        <v>1741</v>
      </c>
      <c r="G2" s="41" t="s">
        <v>381</v>
      </c>
      <c r="H2" s="41" t="s">
        <v>383</v>
      </c>
      <c r="I2" s="41" t="s">
        <v>384</v>
      </c>
      <c r="J2" s="41" t="s">
        <v>385</v>
      </c>
      <c r="K2" s="41" t="s">
        <v>1757</v>
      </c>
      <c r="L2" s="244"/>
      <c r="M2" s="244"/>
      <c r="N2" s="244"/>
      <c r="O2" s="244"/>
      <c r="P2" s="244"/>
      <c r="Q2" s="244"/>
      <c r="R2" s="244"/>
      <c r="S2" s="244"/>
      <c r="T2" s="244"/>
      <c r="U2" s="244"/>
      <c r="V2" s="244"/>
    </row>
    <row r="3" spans="1:26" s="137" customFormat="1" ht="24">
      <c r="A3" s="62">
        <v>2</v>
      </c>
      <c r="B3" s="298" t="s">
        <v>1735</v>
      </c>
      <c r="C3" s="62" t="s">
        <v>1758</v>
      </c>
      <c r="D3" s="304" t="s">
        <v>292</v>
      </c>
      <c r="E3" s="41" t="s">
        <v>380</v>
      </c>
      <c r="F3" s="316" t="s">
        <v>1744</v>
      </c>
      <c r="G3" s="41" t="s">
        <v>381</v>
      </c>
      <c r="H3" s="41" t="s">
        <v>383</v>
      </c>
      <c r="I3" s="41" t="s">
        <v>384</v>
      </c>
      <c r="J3" s="41" t="s">
        <v>385</v>
      </c>
      <c r="K3" s="41" t="s">
        <v>1757</v>
      </c>
    </row>
    <row r="4" spans="1:26">
      <c r="B4" s="298"/>
      <c r="D4" s="35"/>
      <c r="E4" s="35"/>
      <c r="F4" s="144"/>
      <c r="G4" s="35"/>
      <c r="H4" s="35"/>
      <c r="I4" s="35"/>
      <c r="J4" s="35"/>
      <c r="K4" s="35"/>
    </row>
  </sheetData>
  <dataValidations count="4">
    <dataValidation type="list" allowBlank="1" showErrorMessage="1" sqref="G2:G4" xr:uid="{15A5B737-ED5E-4200-B0D0-8BD51E26D9CC}">
      <formula1>"Minor,Significant,Major"</formula1>
    </dataValidation>
    <dataValidation type="list" allowBlank="1" showErrorMessage="1" sqref="I2:I4" xr:uid="{EE6EF92D-1137-4926-AF4F-DEBFAF33523E}">
      <formula1>"Open,Inprogress,Closed"</formula1>
    </dataValidation>
    <dataValidation type="list" allowBlank="1" showErrorMessage="1" sqref="E2:E4" xr:uid="{935AFF2A-CB26-460A-AB97-AAD9E3DDCDF4}">
      <formula1>"Bounceback,Defect,None"</formula1>
    </dataValidation>
    <dataValidation type="list" allowBlank="1" showErrorMessage="1" sqref="H2:H4" xr:uid="{E9851822-3ECA-460E-A791-BDC1C31CEDA7}">
      <formula1>"Internal,External"</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B79DEEC6-E1EF-422F-BD62-1953E3CDF7C1}">
          <x14:formula1>
            <xm:f>Details!$A$2:$A$10</xm:f>
          </x14:formula1>
          <xm:sqref>J2:J4</xm:sqref>
        </x14:dataValidation>
      </x14:dataValidations>
    </ext>
  </extLst>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B70B8-F927-40A9-BD97-EEECDE161FA5}">
  <dimension ref="A1:AD976"/>
  <sheetViews>
    <sheetView topLeftCell="T1" workbookViewId="0">
      <selection activeCell="W10" sqref="W10"/>
    </sheetView>
  </sheetViews>
  <sheetFormatPr defaultRowHeight="12.75"/>
  <cols>
    <col min="1" max="1" width="8.28515625" style="181" customWidth="1"/>
    <col min="2" max="2" width="27.5703125" customWidth="1"/>
    <col min="3" max="3" width="18.5703125" style="47" customWidth="1"/>
    <col min="4" max="4" width="18.28515625" customWidth="1"/>
    <col min="5" max="5" width="35.140625" customWidth="1"/>
    <col min="6" max="7" width="9.140625" style="53"/>
    <col min="12" max="12" width="33.140625" customWidth="1"/>
    <col min="13" max="13" width="22.7109375" customWidth="1"/>
    <col min="14" max="14" width="10.7109375" bestFit="1" customWidth="1"/>
    <col min="15" max="15" width="10.42578125" customWidth="1"/>
    <col min="17" max="17" width="13.28515625" customWidth="1"/>
    <col min="19" max="19" width="9.42578125" bestFit="1" customWidth="1"/>
    <col min="20" max="20" width="14.7109375" customWidth="1"/>
    <col min="21" max="21" width="15.28515625" customWidth="1"/>
    <col min="22" max="22" width="14.7109375" customWidth="1"/>
    <col min="23" max="23" width="18.140625" style="137" customWidth="1"/>
    <col min="24" max="24" width="48.28515625" customWidth="1"/>
  </cols>
  <sheetData>
    <row r="1" spans="1:30">
      <c r="A1" s="184"/>
      <c r="B1" s="4"/>
      <c r="C1" s="5"/>
      <c r="D1" s="5"/>
      <c r="E1" s="4"/>
      <c r="F1" s="48"/>
      <c r="G1" s="48"/>
      <c r="H1" s="197"/>
      <c r="I1" s="243"/>
      <c r="J1" s="197"/>
      <c r="K1" s="197"/>
      <c r="L1" s="197"/>
      <c r="M1" s="197"/>
      <c r="N1" s="197"/>
      <c r="O1" s="197"/>
      <c r="P1" s="197"/>
      <c r="Q1" s="197"/>
      <c r="R1" s="197"/>
      <c r="S1" s="197"/>
      <c r="T1" s="197"/>
      <c r="U1" s="197"/>
      <c r="V1" s="197"/>
      <c r="W1" s="188"/>
      <c r="X1" s="209"/>
    </row>
    <row r="2" spans="1:30" ht="48">
      <c r="A2" s="193" t="s">
        <v>254</v>
      </c>
      <c r="B2" s="59" t="s">
        <v>255</v>
      </c>
      <c r="C2" s="195" t="s">
        <v>256</v>
      </c>
      <c r="D2" s="68" t="s">
        <v>257</v>
      </c>
      <c r="E2" s="70" t="s">
        <v>258</v>
      </c>
      <c r="F2" s="71" t="s">
        <v>260</v>
      </c>
      <c r="G2" s="71" t="s">
        <v>261</v>
      </c>
      <c r="H2" s="199" t="s">
        <v>265</v>
      </c>
      <c r="I2" s="199" t="s">
        <v>266</v>
      </c>
      <c r="J2" s="199" t="s">
        <v>267</v>
      </c>
      <c r="K2" s="199" t="s">
        <v>268</v>
      </c>
      <c r="L2" s="199" t="s">
        <v>269</v>
      </c>
      <c r="M2" s="199" t="s">
        <v>270</v>
      </c>
      <c r="N2" s="199" t="s">
        <v>271</v>
      </c>
      <c r="O2" s="199" t="s">
        <v>272</v>
      </c>
      <c r="P2" s="199" t="s">
        <v>1708</v>
      </c>
      <c r="Q2" s="199" t="s">
        <v>274</v>
      </c>
      <c r="R2" s="199" t="s">
        <v>1709</v>
      </c>
      <c r="S2" s="199" t="s">
        <v>276</v>
      </c>
      <c r="T2" s="199" t="s">
        <v>274</v>
      </c>
      <c r="U2" s="199" t="s">
        <v>278</v>
      </c>
      <c r="V2" s="199" t="s">
        <v>279</v>
      </c>
      <c r="W2" s="189" t="s">
        <v>259</v>
      </c>
      <c r="X2" s="210" t="s">
        <v>280</v>
      </c>
    </row>
    <row r="3" spans="1:30" s="286" customFormat="1" ht="27.75" customHeight="1">
      <c r="A3" s="302">
        <v>1</v>
      </c>
      <c r="B3" s="298" t="s">
        <v>1759</v>
      </c>
      <c r="C3" s="304" t="s">
        <v>292</v>
      </c>
      <c r="D3" s="275" t="s">
        <v>1760</v>
      </c>
      <c r="E3" s="291" t="s">
        <v>1761</v>
      </c>
      <c r="F3" s="568">
        <v>5</v>
      </c>
      <c r="G3" s="568">
        <v>5</v>
      </c>
      <c r="H3" s="191" t="s">
        <v>290</v>
      </c>
      <c r="I3" s="191" t="s">
        <v>1714</v>
      </c>
      <c r="J3" s="191" t="s">
        <v>1693</v>
      </c>
      <c r="K3" s="191" t="s">
        <v>862</v>
      </c>
      <c r="L3" s="191" t="s">
        <v>1694</v>
      </c>
      <c r="M3" s="279" t="s">
        <v>1762</v>
      </c>
      <c r="N3" s="282">
        <v>45488</v>
      </c>
      <c r="O3" s="282">
        <v>45489</v>
      </c>
      <c r="P3" s="282" t="s">
        <v>294</v>
      </c>
      <c r="Q3" s="282" t="s">
        <v>1694</v>
      </c>
      <c r="R3" s="282" t="s">
        <v>295</v>
      </c>
      <c r="S3" s="282">
        <v>45489</v>
      </c>
      <c r="T3" s="282" t="s">
        <v>1694</v>
      </c>
      <c r="U3" s="282" t="s">
        <v>1694</v>
      </c>
      <c r="V3" s="282" t="s">
        <v>1694</v>
      </c>
      <c r="W3" s="203" t="s">
        <v>289</v>
      </c>
      <c r="X3" s="191"/>
    </row>
    <row r="4" spans="1:30" s="287" customFormat="1" ht="27.75" customHeight="1">
      <c r="A4" s="302">
        <v>2</v>
      </c>
      <c r="B4" s="298" t="s">
        <v>1759</v>
      </c>
      <c r="C4" s="304" t="s">
        <v>292</v>
      </c>
      <c r="D4" s="203" t="s">
        <v>1763</v>
      </c>
      <c r="E4" s="203" t="s">
        <v>1764</v>
      </c>
      <c r="F4" s="569"/>
      <c r="G4" s="569"/>
      <c r="H4" s="304" t="s">
        <v>290</v>
      </c>
      <c r="I4" s="304" t="s">
        <v>1714</v>
      </c>
      <c r="J4" s="304" t="s">
        <v>1693</v>
      </c>
      <c r="K4" s="304" t="s">
        <v>862</v>
      </c>
      <c r="L4" s="304" t="s">
        <v>1694</v>
      </c>
      <c r="M4" s="231" t="s">
        <v>1765</v>
      </c>
      <c r="N4" s="284">
        <v>45489</v>
      </c>
      <c r="O4" s="232">
        <v>45489</v>
      </c>
      <c r="P4" s="41" t="s">
        <v>294</v>
      </c>
      <c r="Q4" s="203" t="s">
        <v>1694</v>
      </c>
      <c r="R4" s="203" t="s">
        <v>1059</v>
      </c>
      <c r="S4" s="206">
        <v>45489</v>
      </c>
      <c r="T4" s="203" t="s">
        <v>1694</v>
      </c>
      <c r="U4" s="203" t="s">
        <v>1694</v>
      </c>
      <c r="V4" s="203" t="s">
        <v>1694</v>
      </c>
      <c r="W4" s="203" t="s">
        <v>289</v>
      </c>
      <c r="X4" s="203"/>
      <c r="Y4" s="137"/>
      <c r="Z4" s="137"/>
      <c r="AA4" s="137"/>
      <c r="AB4" s="137"/>
      <c r="AC4" s="137"/>
      <c r="AD4" s="137"/>
    </row>
    <row r="5" spans="1:30" s="286" customFormat="1" ht="27.75" customHeight="1">
      <c r="A5" s="302">
        <v>3</v>
      </c>
      <c r="B5" s="303" t="s">
        <v>1759</v>
      </c>
      <c r="C5" s="126" t="s">
        <v>1766</v>
      </c>
      <c r="D5" s="257" t="s">
        <v>1767</v>
      </c>
      <c r="E5" s="305" t="s">
        <v>1768</v>
      </c>
      <c r="F5" s="570"/>
      <c r="G5" s="570"/>
      <c r="H5" s="304" t="s">
        <v>290</v>
      </c>
      <c r="I5" s="304" t="s">
        <v>1714</v>
      </c>
      <c r="J5" s="304" t="s">
        <v>1693</v>
      </c>
      <c r="K5" s="304" t="s">
        <v>862</v>
      </c>
      <c r="L5" s="304" t="s">
        <v>1694</v>
      </c>
      <c r="M5" s="271" t="s">
        <v>1769</v>
      </c>
      <c r="N5" s="308">
        <v>45490</v>
      </c>
      <c r="O5" s="306">
        <v>45490</v>
      </c>
      <c r="P5" s="41" t="s">
        <v>294</v>
      </c>
      <c r="Q5" s="203" t="s">
        <v>1694</v>
      </c>
      <c r="R5" s="203" t="s">
        <v>1059</v>
      </c>
      <c r="S5" s="307">
        <v>45490</v>
      </c>
      <c r="T5" s="203" t="s">
        <v>1694</v>
      </c>
      <c r="U5" s="203" t="s">
        <v>1694</v>
      </c>
      <c r="V5" s="203" t="s">
        <v>1694</v>
      </c>
      <c r="W5" s="203" t="s">
        <v>289</v>
      </c>
      <c r="X5" s="218"/>
      <c r="Y5"/>
      <c r="Z5"/>
      <c r="AA5"/>
      <c r="AB5"/>
      <c r="AC5"/>
      <c r="AD5"/>
    </row>
    <row r="6" spans="1:30" s="287" customFormat="1" ht="24" customHeight="1">
      <c r="A6" s="302">
        <v>4</v>
      </c>
      <c r="B6" s="298" t="s">
        <v>1759</v>
      </c>
      <c r="C6" s="304" t="s">
        <v>862</v>
      </c>
      <c r="D6" s="275" t="s">
        <v>1770</v>
      </c>
      <c r="E6" s="291" t="s">
        <v>1771</v>
      </c>
      <c r="F6" s="568">
        <v>3</v>
      </c>
      <c r="G6" s="568">
        <v>3</v>
      </c>
      <c r="H6" s="191" t="s">
        <v>290</v>
      </c>
      <c r="I6" s="191" t="s">
        <v>862</v>
      </c>
      <c r="J6" s="191" t="s">
        <v>1693</v>
      </c>
      <c r="K6" s="191" t="s">
        <v>862</v>
      </c>
      <c r="L6" s="191" t="s">
        <v>1694</v>
      </c>
      <c r="M6" s="279" t="s">
        <v>1772</v>
      </c>
      <c r="N6" s="282">
        <v>45489</v>
      </c>
      <c r="O6" s="301">
        <v>45489</v>
      </c>
      <c r="P6" s="191" t="s">
        <v>294</v>
      </c>
      <c r="Q6" s="191" t="s">
        <v>1694</v>
      </c>
      <c r="R6" s="282" t="s">
        <v>295</v>
      </c>
      <c r="S6" s="282">
        <v>45490</v>
      </c>
      <c r="T6" s="282" t="s">
        <v>1694</v>
      </c>
      <c r="U6" s="282" t="s">
        <v>1694</v>
      </c>
      <c r="V6" s="282" t="s">
        <v>1694</v>
      </c>
      <c r="W6" s="203" t="s">
        <v>289</v>
      </c>
      <c r="X6" s="278"/>
      <c r="Y6" s="288"/>
      <c r="Z6" s="288"/>
      <c r="AA6" s="288"/>
      <c r="AB6" s="288"/>
      <c r="AC6" s="288"/>
      <c r="AD6" s="288"/>
    </row>
    <row r="7" spans="1:30" s="287" customFormat="1" ht="24" customHeight="1">
      <c r="A7" s="302">
        <v>5</v>
      </c>
      <c r="B7" s="298" t="s">
        <v>1759</v>
      </c>
      <c r="C7" s="304" t="s">
        <v>292</v>
      </c>
      <c r="D7" s="62" t="s">
        <v>1773</v>
      </c>
      <c r="E7" s="225" t="s">
        <v>1774</v>
      </c>
      <c r="F7" s="570"/>
      <c r="G7" s="570"/>
      <c r="H7" s="191" t="s">
        <v>290</v>
      </c>
      <c r="I7" s="191" t="s">
        <v>1714</v>
      </c>
      <c r="J7" s="191" t="s">
        <v>1693</v>
      </c>
      <c r="K7" s="191" t="s">
        <v>862</v>
      </c>
      <c r="L7" s="191" t="s">
        <v>1694</v>
      </c>
      <c r="M7" s="231" t="s">
        <v>1775</v>
      </c>
      <c r="N7" s="284">
        <v>45489</v>
      </c>
      <c r="O7" s="284">
        <v>45489</v>
      </c>
      <c r="P7" s="41" t="s">
        <v>294</v>
      </c>
      <c r="Q7" s="191" t="s">
        <v>1694</v>
      </c>
      <c r="R7" s="203" t="s">
        <v>1059</v>
      </c>
      <c r="S7" s="206">
        <v>45489</v>
      </c>
      <c r="T7" s="203" t="s">
        <v>1694</v>
      </c>
      <c r="U7" s="203" t="s">
        <v>1694</v>
      </c>
      <c r="V7" s="203" t="s">
        <v>1694</v>
      </c>
      <c r="W7" s="203" t="s">
        <v>289</v>
      </c>
      <c r="X7" s="58"/>
      <c r="Y7"/>
      <c r="Z7"/>
      <c r="AA7"/>
      <c r="AB7"/>
      <c r="AC7"/>
      <c r="AD7"/>
    </row>
    <row r="8" spans="1:30" ht="26.25" customHeight="1">
      <c r="A8" s="302">
        <v>6</v>
      </c>
      <c r="B8" s="298" t="s">
        <v>1759</v>
      </c>
      <c r="C8" s="304" t="s">
        <v>1776</v>
      </c>
      <c r="D8" s="62" t="s">
        <v>1777</v>
      </c>
      <c r="E8" s="299" t="s">
        <v>1778</v>
      </c>
      <c r="F8" s="17">
        <v>3</v>
      </c>
      <c r="G8" s="17">
        <v>3</v>
      </c>
      <c r="H8" s="191" t="s">
        <v>290</v>
      </c>
      <c r="I8" s="191" t="s">
        <v>292</v>
      </c>
      <c r="J8" s="191" t="s">
        <v>1693</v>
      </c>
      <c r="K8" s="46" t="s">
        <v>862</v>
      </c>
      <c r="L8" s="62" t="s">
        <v>1694</v>
      </c>
      <c r="M8" s="279" t="s">
        <v>1779</v>
      </c>
      <c r="N8" s="284">
        <v>45488</v>
      </c>
      <c r="O8" s="284">
        <v>45488</v>
      </c>
      <c r="P8" s="191" t="s">
        <v>294</v>
      </c>
      <c r="Q8" s="191" t="s">
        <v>1694</v>
      </c>
      <c r="R8" s="191" t="s">
        <v>295</v>
      </c>
      <c r="S8" s="284">
        <v>45489</v>
      </c>
      <c r="T8" s="191" t="s">
        <v>1694</v>
      </c>
      <c r="U8" s="191" t="s">
        <v>1694</v>
      </c>
      <c r="V8" s="191" t="s">
        <v>1694</v>
      </c>
      <c r="W8" s="203" t="s">
        <v>289</v>
      </c>
      <c r="X8" s="58"/>
    </row>
    <row r="9" spans="1:30" ht="26.25" customHeight="1">
      <c r="A9" s="302">
        <v>7</v>
      </c>
      <c r="B9" s="298" t="s">
        <v>1759</v>
      </c>
      <c r="C9" s="304" t="s">
        <v>862</v>
      </c>
      <c r="D9" s="62" t="s">
        <v>1780</v>
      </c>
      <c r="E9" s="299" t="s">
        <v>1781</v>
      </c>
      <c r="F9" s="17">
        <v>2</v>
      </c>
      <c r="G9" s="17">
        <v>2</v>
      </c>
      <c r="H9" s="191" t="s">
        <v>290</v>
      </c>
      <c r="I9" s="191" t="s">
        <v>862</v>
      </c>
      <c r="J9" s="191" t="s">
        <v>1693</v>
      </c>
      <c r="K9" s="46" t="s">
        <v>862</v>
      </c>
      <c r="L9" s="62" t="s">
        <v>1694</v>
      </c>
      <c r="M9" s="279" t="s">
        <v>1782</v>
      </c>
      <c r="N9" s="284">
        <v>45489</v>
      </c>
      <c r="O9" s="284">
        <v>45489</v>
      </c>
      <c r="P9" s="191" t="s">
        <v>294</v>
      </c>
      <c r="Q9" s="191" t="s">
        <v>1694</v>
      </c>
      <c r="R9" s="203" t="s">
        <v>1059</v>
      </c>
      <c r="S9" s="284">
        <v>45489</v>
      </c>
      <c r="T9" s="191" t="s">
        <v>1694</v>
      </c>
      <c r="U9" s="191" t="s">
        <v>1694</v>
      </c>
      <c r="V9" s="191" t="s">
        <v>1694</v>
      </c>
      <c r="W9" s="203" t="s">
        <v>289</v>
      </c>
      <c r="X9" s="58"/>
    </row>
    <row r="10" spans="1:30">
      <c r="B10" s="28"/>
      <c r="C10" s="196"/>
      <c r="D10" s="47"/>
      <c r="E10" s="28"/>
      <c r="F10" s="215"/>
      <c r="G10" s="215"/>
      <c r="H10" s="2"/>
      <c r="I10" s="35"/>
      <c r="K10" s="35"/>
      <c r="M10" s="35"/>
      <c r="N10" s="35"/>
      <c r="O10" s="35"/>
      <c r="P10" s="35"/>
    </row>
    <row r="11" spans="1:30">
      <c r="B11" s="28"/>
      <c r="C11" s="196"/>
      <c r="D11" s="47"/>
      <c r="E11" s="28"/>
      <c r="F11" s="215"/>
      <c r="G11" s="215"/>
      <c r="H11" s="2"/>
      <c r="I11" s="35"/>
      <c r="K11" s="35"/>
      <c r="M11" s="35"/>
      <c r="N11" s="35"/>
      <c r="O11" s="35"/>
      <c r="P11" s="35"/>
    </row>
    <row r="12" spans="1:30">
      <c r="B12" s="28"/>
      <c r="C12" s="196"/>
      <c r="D12" s="47"/>
      <c r="E12" s="28"/>
      <c r="F12" s="215"/>
      <c r="G12" s="215"/>
      <c r="H12" s="2"/>
      <c r="I12" s="35"/>
      <c r="K12" s="35"/>
      <c r="M12" s="35"/>
      <c r="N12" s="35"/>
      <c r="O12" s="35"/>
      <c r="P12" s="35"/>
    </row>
    <row r="13" spans="1:30">
      <c r="B13" s="28"/>
      <c r="C13" s="196"/>
      <c r="D13" s="47"/>
      <c r="E13" s="28"/>
      <c r="F13" s="215"/>
      <c r="G13" s="215"/>
      <c r="H13" s="2"/>
      <c r="I13" s="35"/>
      <c r="K13" s="35"/>
      <c r="M13" s="35"/>
      <c r="N13" s="35"/>
      <c r="O13" s="35"/>
      <c r="P13" s="35"/>
    </row>
    <row r="14" spans="1:30">
      <c r="B14" s="28"/>
      <c r="C14" s="196"/>
      <c r="D14" s="47"/>
      <c r="E14" s="28"/>
      <c r="F14" s="215"/>
      <c r="G14" s="215"/>
      <c r="H14" s="2"/>
      <c r="I14" s="35"/>
      <c r="K14" s="35"/>
      <c r="M14" s="35"/>
      <c r="N14" s="35"/>
      <c r="O14" s="35"/>
      <c r="P14" s="35"/>
    </row>
    <row r="15" spans="1:30">
      <c r="B15" s="28"/>
      <c r="C15" s="196"/>
      <c r="D15" s="47"/>
      <c r="E15" s="28"/>
      <c r="F15" s="215"/>
      <c r="G15" s="215"/>
      <c r="H15" s="2"/>
      <c r="I15" s="35"/>
      <c r="K15" s="35"/>
      <c r="M15" s="35"/>
      <c r="N15" s="35"/>
      <c r="O15" s="35"/>
      <c r="P15" s="35"/>
    </row>
    <row r="16" spans="1:30">
      <c r="B16" s="28"/>
      <c r="C16" s="196"/>
      <c r="D16" s="47"/>
      <c r="E16" s="28"/>
      <c r="F16" s="215"/>
      <c r="G16" s="215"/>
      <c r="H16" s="2"/>
      <c r="I16" s="35"/>
      <c r="K16" s="35"/>
      <c r="M16" s="35"/>
      <c r="N16" s="35"/>
      <c r="O16" s="35"/>
      <c r="P16" s="35"/>
    </row>
    <row r="17" spans="2:16">
      <c r="B17" s="28"/>
      <c r="C17" s="196"/>
      <c r="D17" s="47"/>
      <c r="E17" s="28"/>
      <c r="F17" s="215"/>
      <c r="G17" s="215"/>
      <c r="H17" s="2"/>
      <c r="I17" s="35"/>
      <c r="K17" s="35"/>
      <c r="M17" s="35"/>
      <c r="N17" s="35"/>
      <c r="O17" s="35"/>
      <c r="P17" s="35"/>
    </row>
    <row r="18" spans="2:16">
      <c r="B18" s="28"/>
      <c r="C18" s="196"/>
      <c r="D18" s="47"/>
      <c r="E18" s="28"/>
      <c r="F18" s="215"/>
      <c r="G18" s="215"/>
      <c r="H18" s="2"/>
      <c r="I18" s="35"/>
      <c r="K18" s="35"/>
      <c r="M18" s="35"/>
      <c r="N18" s="35"/>
      <c r="O18" s="35"/>
      <c r="P18" s="35"/>
    </row>
    <row r="19" spans="2:16">
      <c r="B19" s="28"/>
      <c r="C19" s="196"/>
      <c r="D19" s="47"/>
      <c r="E19" s="28"/>
      <c r="F19" s="215"/>
      <c r="G19" s="215"/>
      <c r="H19" s="2"/>
      <c r="I19" s="35"/>
      <c r="K19" s="35"/>
      <c r="M19" s="35"/>
      <c r="N19" s="35"/>
      <c r="O19" s="35"/>
      <c r="P19" s="35"/>
    </row>
    <row r="20" spans="2:16">
      <c r="B20" s="28"/>
      <c r="C20" s="196"/>
      <c r="D20" s="47"/>
      <c r="E20" s="28"/>
      <c r="F20" s="215"/>
      <c r="G20" s="215"/>
      <c r="H20" s="2"/>
      <c r="I20" s="35"/>
      <c r="K20" s="35"/>
      <c r="M20" s="35"/>
      <c r="N20" s="35"/>
      <c r="O20" s="35"/>
      <c r="P20" s="35"/>
    </row>
    <row r="21" spans="2:16">
      <c r="B21" s="28"/>
      <c r="C21" s="196"/>
      <c r="D21" s="47"/>
      <c r="E21" s="28"/>
      <c r="F21" s="215"/>
      <c r="G21" s="215"/>
      <c r="H21" s="2"/>
      <c r="I21" s="35"/>
      <c r="K21" s="35"/>
      <c r="M21" s="35"/>
      <c r="N21" s="35"/>
      <c r="O21" s="35"/>
      <c r="P21" s="35"/>
    </row>
    <row r="22" spans="2:16">
      <c r="B22" s="28"/>
      <c r="C22" s="196"/>
      <c r="D22" s="47"/>
      <c r="E22" s="28"/>
      <c r="F22" s="215"/>
      <c r="G22" s="215"/>
      <c r="H22" s="2"/>
      <c r="I22" s="35"/>
      <c r="K22" s="35"/>
      <c r="M22" s="35"/>
      <c r="N22" s="35"/>
      <c r="O22" s="35"/>
      <c r="P22" s="35"/>
    </row>
    <row r="23" spans="2:16">
      <c r="B23" s="28"/>
      <c r="C23" s="196"/>
      <c r="D23" s="47"/>
      <c r="E23" s="28"/>
      <c r="F23" s="215"/>
      <c r="G23" s="215"/>
      <c r="H23" s="2"/>
      <c r="I23" s="35"/>
      <c r="K23" s="35"/>
      <c r="M23" s="35"/>
      <c r="N23" s="35"/>
      <c r="O23" s="35"/>
      <c r="P23" s="35"/>
    </row>
    <row r="24" spans="2:16">
      <c r="B24" s="28"/>
      <c r="C24" s="196"/>
      <c r="D24" s="47"/>
      <c r="E24" s="28"/>
      <c r="F24" s="215"/>
      <c r="G24" s="215"/>
      <c r="H24" s="2"/>
      <c r="I24" s="35"/>
      <c r="K24" s="35"/>
      <c r="M24" s="35"/>
      <c r="N24" s="35"/>
      <c r="O24" s="35"/>
      <c r="P24" s="35"/>
    </row>
    <row r="25" spans="2:16">
      <c r="B25" s="28"/>
      <c r="C25" s="196"/>
      <c r="D25" s="47"/>
      <c r="E25" s="28"/>
      <c r="F25" s="215"/>
      <c r="G25" s="215"/>
      <c r="H25" s="2"/>
      <c r="I25" s="35"/>
      <c r="K25" s="35"/>
      <c r="M25" s="35"/>
      <c r="N25" s="35"/>
      <c r="O25" s="35"/>
      <c r="P25" s="35"/>
    </row>
    <row r="26" spans="2:16">
      <c r="B26" s="28"/>
      <c r="C26" s="196"/>
      <c r="D26" s="47"/>
      <c r="E26" s="28"/>
      <c r="F26" s="215"/>
      <c r="G26" s="215"/>
      <c r="H26" s="2"/>
      <c r="I26" s="35"/>
      <c r="K26" s="35"/>
      <c r="M26" s="35"/>
      <c r="N26" s="35"/>
      <c r="O26" s="35"/>
      <c r="P26" s="35"/>
    </row>
    <row r="27" spans="2:16">
      <c r="B27" s="28"/>
      <c r="C27" s="196"/>
      <c r="D27" s="47"/>
      <c r="E27" s="28"/>
      <c r="F27" s="215"/>
      <c r="G27" s="215"/>
      <c r="H27" s="2"/>
      <c r="I27" s="35"/>
      <c r="K27" s="35"/>
      <c r="M27" s="35"/>
      <c r="N27" s="35"/>
      <c r="O27" s="35"/>
      <c r="P27" s="35"/>
    </row>
    <row r="28" spans="2:16">
      <c r="B28" s="28"/>
      <c r="C28" s="196"/>
      <c r="D28" s="47"/>
      <c r="E28" s="28"/>
      <c r="F28" s="215"/>
      <c r="G28" s="215"/>
      <c r="H28" s="2"/>
      <c r="I28" s="35"/>
      <c r="K28" s="35"/>
      <c r="M28" s="35"/>
      <c r="N28" s="35"/>
      <c r="O28" s="35"/>
      <c r="P28" s="35"/>
    </row>
    <row r="29" spans="2:16">
      <c r="B29" s="28"/>
      <c r="C29" s="196"/>
      <c r="D29" s="47"/>
      <c r="E29" s="28"/>
      <c r="F29" s="215"/>
      <c r="G29" s="215"/>
      <c r="H29" s="2"/>
      <c r="I29" s="35"/>
      <c r="K29" s="35"/>
      <c r="M29" s="35"/>
      <c r="N29" s="35"/>
      <c r="O29" s="35"/>
      <c r="P29" s="35"/>
    </row>
    <row r="30" spans="2:16">
      <c r="B30" s="28"/>
      <c r="C30" s="196"/>
      <c r="D30" s="47"/>
      <c r="E30" s="28"/>
      <c r="F30" s="215"/>
      <c r="G30" s="215"/>
      <c r="H30" s="2"/>
      <c r="I30" s="35"/>
      <c r="K30" s="35"/>
      <c r="M30" s="35"/>
      <c r="N30" s="35"/>
      <c r="O30" s="35"/>
      <c r="P30" s="35"/>
    </row>
    <row r="31" spans="2:16">
      <c r="B31" s="28"/>
      <c r="C31" s="196"/>
      <c r="D31" s="47"/>
      <c r="E31" s="28"/>
      <c r="F31" s="215"/>
      <c r="G31" s="215"/>
      <c r="H31" s="2"/>
      <c r="I31" s="35"/>
      <c r="K31" s="35"/>
      <c r="M31" s="35"/>
      <c r="N31" s="35"/>
      <c r="O31" s="35"/>
      <c r="P31" s="35"/>
    </row>
    <row r="32" spans="2:16">
      <c r="B32" s="28"/>
      <c r="C32" s="196"/>
      <c r="D32" s="47"/>
      <c r="E32" s="28"/>
      <c r="F32" s="215"/>
      <c r="G32" s="215"/>
      <c r="H32" s="2"/>
      <c r="I32" s="35"/>
      <c r="K32" s="35"/>
      <c r="M32" s="35"/>
      <c r="N32" s="35"/>
      <c r="O32" s="35"/>
      <c r="P32" s="35"/>
    </row>
    <row r="33" spans="2:16">
      <c r="B33" s="28"/>
      <c r="C33" s="196"/>
      <c r="D33" s="47"/>
      <c r="E33" s="28"/>
      <c r="F33" s="215"/>
      <c r="G33" s="215"/>
      <c r="H33" s="2"/>
      <c r="I33" s="35"/>
      <c r="K33" s="35"/>
      <c r="M33" s="35"/>
      <c r="N33" s="35"/>
      <c r="O33" s="35"/>
      <c r="P33" s="35"/>
    </row>
    <row r="34" spans="2:16">
      <c r="B34" s="28"/>
      <c r="C34" s="196"/>
      <c r="D34" s="47"/>
      <c r="E34" s="28"/>
      <c r="F34" s="215"/>
      <c r="G34" s="215"/>
      <c r="H34" s="2"/>
      <c r="I34" s="35"/>
      <c r="K34" s="35"/>
      <c r="M34" s="35"/>
      <c r="N34" s="35"/>
      <c r="O34" s="35"/>
      <c r="P34" s="35"/>
    </row>
    <row r="35" spans="2:16">
      <c r="B35" s="28"/>
      <c r="C35" s="196"/>
      <c r="D35" s="47"/>
      <c r="E35" s="28"/>
      <c r="F35" s="215"/>
      <c r="G35" s="215"/>
      <c r="H35" s="2"/>
      <c r="I35" s="35"/>
      <c r="K35" s="35"/>
      <c r="M35" s="35"/>
      <c r="N35" s="35"/>
      <c r="O35" s="35"/>
      <c r="P35" s="35"/>
    </row>
    <row r="36" spans="2:16">
      <c r="B36" s="28"/>
      <c r="C36" s="196"/>
      <c r="D36" s="47"/>
      <c r="E36" s="28"/>
      <c r="F36" s="215"/>
      <c r="G36" s="215"/>
      <c r="H36" s="2"/>
      <c r="I36" s="35"/>
      <c r="K36" s="35"/>
      <c r="M36" s="35"/>
      <c r="N36" s="35"/>
      <c r="O36" s="35"/>
      <c r="P36" s="35"/>
    </row>
    <row r="37" spans="2:16">
      <c r="B37" s="28"/>
      <c r="C37" s="196"/>
      <c r="D37" s="47"/>
      <c r="E37" s="28"/>
      <c r="F37" s="215"/>
      <c r="G37" s="215"/>
      <c r="H37" s="2"/>
      <c r="I37" s="35"/>
      <c r="K37" s="35"/>
      <c r="M37" s="35"/>
      <c r="N37" s="35"/>
      <c r="O37" s="35"/>
      <c r="P37" s="35"/>
    </row>
    <row r="38" spans="2:16">
      <c r="B38" s="28"/>
      <c r="C38" s="196"/>
      <c r="D38" s="47"/>
      <c r="E38" s="28"/>
      <c r="F38" s="215"/>
      <c r="G38" s="215"/>
      <c r="H38" s="2"/>
      <c r="I38" s="35"/>
      <c r="K38" s="35"/>
      <c r="M38" s="35"/>
      <c r="N38" s="35"/>
      <c r="O38" s="35"/>
      <c r="P38" s="35"/>
    </row>
    <row r="39" spans="2:16">
      <c r="B39" s="28"/>
      <c r="C39" s="196"/>
      <c r="D39" s="47"/>
      <c r="E39" s="28"/>
      <c r="F39" s="215"/>
      <c r="G39" s="215"/>
      <c r="H39" s="2"/>
      <c r="I39" s="35"/>
      <c r="K39" s="35"/>
      <c r="M39" s="35"/>
      <c r="N39" s="35"/>
      <c r="O39" s="35"/>
      <c r="P39" s="35"/>
    </row>
    <row r="40" spans="2:16">
      <c r="B40" s="28"/>
      <c r="C40" s="196"/>
      <c r="D40" s="47"/>
      <c r="E40" s="28"/>
      <c r="F40" s="215"/>
      <c r="G40" s="215"/>
      <c r="H40" s="2"/>
      <c r="I40" s="35"/>
      <c r="K40" s="35"/>
      <c r="M40" s="35"/>
      <c r="N40" s="35"/>
      <c r="O40" s="35"/>
      <c r="P40" s="35"/>
    </row>
    <row r="41" spans="2:16">
      <c r="B41" s="28"/>
      <c r="C41" s="196"/>
      <c r="D41" s="47"/>
      <c r="E41" s="28"/>
      <c r="F41" s="215"/>
      <c r="G41" s="215"/>
      <c r="H41" s="2"/>
      <c r="I41" s="35"/>
      <c r="K41" s="35"/>
      <c r="M41" s="35"/>
      <c r="N41" s="35"/>
      <c r="O41" s="35"/>
      <c r="P41" s="35"/>
    </row>
    <row r="42" spans="2:16">
      <c r="B42" s="28"/>
      <c r="C42" s="196"/>
      <c r="D42" s="47"/>
      <c r="E42" s="28"/>
      <c r="F42" s="215"/>
      <c r="G42" s="215"/>
      <c r="H42" s="2"/>
      <c r="I42" s="35"/>
      <c r="K42" s="35"/>
      <c r="M42" s="35"/>
      <c r="N42" s="35"/>
      <c r="O42" s="35"/>
      <c r="P42" s="35"/>
    </row>
    <row r="43" spans="2:16">
      <c r="B43" s="28"/>
      <c r="C43" s="196"/>
      <c r="D43" s="47"/>
      <c r="E43" s="28"/>
      <c r="F43" s="215"/>
      <c r="G43" s="215"/>
      <c r="H43" s="2"/>
      <c r="I43" s="35"/>
      <c r="K43" s="35"/>
      <c r="M43" s="35"/>
      <c r="N43" s="35"/>
      <c r="O43" s="35"/>
      <c r="P43" s="35"/>
    </row>
    <row r="44" spans="2:16">
      <c r="B44" s="28"/>
      <c r="C44" s="196"/>
      <c r="D44" s="47"/>
      <c r="E44" s="28"/>
      <c r="F44" s="215"/>
      <c r="G44" s="215"/>
      <c r="H44" s="2"/>
      <c r="I44" s="35"/>
      <c r="K44" s="35"/>
      <c r="M44" s="35"/>
      <c r="N44" s="35"/>
      <c r="O44" s="35"/>
      <c r="P44" s="35"/>
    </row>
    <row r="45" spans="2:16">
      <c r="B45" s="28"/>
      <c r="C45" s="196"/>
      <c r="D45" s="47"/>
      <c r="E45" s="28"/>
      <c r="F45" s="215"/>
      <c r="G45" s="215"/>
      <c r="H45" s="2"/>
      <c r="I45" s="35"/>
      <c r="K45" s="35"/>
      <c r="M45" s="35"/>
      <c r="N45" s="35"/>
      <c r="O45" s="35"/>
      <c r="P45" s="35"/>
    </row>
    <row r="46" spans="2:16">
      <c r="B46" s="28"/>
      <c r="C46" s="196"/>
      <c r="D46" s="47"/>
      <c r="E46" s="28"/>
      <c r="F46" s="215"/>
      <c r="G46" s="215"/>
      <c r="H46" s="2"/>
      <c r="I46" s="35"/>
      <c r="K46" s="35"/>
      <c r="M46" s="35"/>
      <c r="N46" s="35"/>
      <c r="O46" s="35"/>
      <c r="P46" s="35"/>
    </row>
    <row r="47" spans="2:16">
      <c r="B47" s="28"/>
      <c r="C47" s="196"/>
      <c r="D47" s="47"/>
      <c r="E47" s="28"/>
      <c r="F47" s="215"/>
      <c r="G47" s="215"/>
      <c r="H47" s="2"/>
      <c r="I47" s="35"/>
      <c r="K47" s="35"/>
      <c r="M47" s="35"/>
      <c r="N47" s="35"/>
      <c r="O47" s="35"/>
      <c r="P47" s="35"/>
    </row>
    <row r="48" spans="2:16">
      <c r="B48" s="28"/>
      <c r="C48" s="196"/>
      <c r="D48" s="47"/>
      <c r="E48" s="28"/>
      <c r="F48" s="215"/>
      <c r="G48" s="215"/>
      <c r="H48" s="2"/>
      <c r="I48" s="35"/>
      <c r="K48" s="35"/>
      <c r="M48" s="35"/>
      <c r="N48" s="35"/>
      <c r="O48" s="35"/>
      <c r="P48" s="35"/>
    </row>
    <row r="49" spans="2:16">
      <c r="B49" s="28"/>
      <c r="C49" s="196"/>
      <c r="D49" s="47"/>
      <c r="E49" s="28"/>
      <c r="F49" s="215"/>
      <c r="G49" s="215"/>
      <c r="H49" s="2"/>
      <c r="I49" s="35"/>
      <c r="K49" s="35"/>
      <c r="M49" s="35"/>
      <c r="N49" s="35"/>
      <c r="O49" s="35"/>
      <c r="P49" s="35"/>
    </row>
    <row r="50" spans="2:16">
      <c r="B50" s="28"/>
      <c r="C50" s="196"/>
      <c r="D50" s="47"/>
      <c r="E50" s="28"/>
      <c r="F50" s="215"/>
      <c r="G50" s="215"/>
      <c r="H50" s="2"/>
      <c r="I50" s="35"/>
      <c r="K50" s="35"/>
      <c r="M50" s="35"/>
      <c r="N50" s="35"/>
      <c r="O50" s="35"/>
      <c r="P50" s="35"/>
    </row>
    <row r="51" spans="2:16">
      <c r="B51" s="28"/>
      <c r="C51" s="196"/>
      <c r="D51" s="47"/>
      <c r="E51" s="28"/>
      <c r="F51" s="215"/>
      <c r="G51" s="215"/>
      <c r="H51" s="2"/>
      <c r="I51" s="35"/>
      <c r="K51" s="35"/>
      <c r="M51" s="35"/>
      <c r="N51" s="35"/>
      <c r="O51" s="35"/>
      <c r="P51" s="35"/>
    </row>
    <row r="52" spans="2:16">
      <c r="B52" s="28"/>
      <c r="C52" s="196"/>
      <c r="D52" s="47"/>
      <c r="E52" s="28"/>
      <c r="F52" s="215"/>
      <c r="G52" s="215"/>
      <c r="H52" s="2"/>
      <c r="I52" s="35"/>
      <c r="K52" s="35"/>
      <c r="M52" s="35"/>
      <c r="N52" s="35"/>
      <c r="O52" s="35"/>
      <c r="P52" s="35"/>
    </row>
    <row r="53" spans="2:16">
      <c r="B53" s="28"/>
      <c r="C53" s="196"/>
      <c r="D53" s="47"/>
      <c r="E53" s="28"/>
      <c r="F53" s="215"/>
      <c r="G53" s="215"/>
      <c r="H53" s="2"/>
      <c r="I53" s="35"/>
      <c r="K53" s="35"/>
      <c r="M53" s="35"/>
      <c r="N53" s="35"/>
      <c r="O53" s="35"/>
      <c r="P53" s="35"/>
    </row>
    <row r="54" spans="2:16">
      <c r="B54" s="28"/>
      <c r="C54" s="196"/>
      <c r="D54" s="47"/>
      <c r="E54" s="28"/>
      <c r="F54" s="215"/>
      <c r="G54" s="215"/>
      <c r="H54" s="2"/>
      <c r="I54" s="35"/>
      <c r="K54" s="35"/>
      <c r="M54" s="35"/>
      <c r="N54" s="35"/>
      <c r="O54" s="35"/>
      <c r="P54" s="35"/>
    </row>
    <row r="55" spans="2:16">
      <c r="B55" s="28"/>
      <c r="C55" s="196"/>
      <c r="D55" s="47"/>
      <c r="E55" s="28"/>
      <c r="F55" s="215"/>
      <c r="G55" s="215"/>
      <c r="H55" s="2"/>
      <c r="I55" s="35"/>
      <c r="K55" s="35"/>
      <c r="M55" s="35"/>
      <c r="N55" s="35"/>
      <c r="O55" s="35"/>
      <c r="P55" s="35"/>
    </row>
    <row r="56" spans="2:16">
      <c r="B56" s="28"/>
      <c r="C56" s="196"/>
      <c r="D56" s="47"/>
      <c r="E56" s="28"/>
      <c r="F56" s="215"/>
      <c r="G56" s="215"/>
      <c r="H56" s="2"/>
      <c r="I56" s="35"/>
      <c r="K56" s="35"/>
      <c r="M56" s="35"/>
      <c r="N56" s="35"/>
      <c r="O56" s="35"/>
      <c r="P56" s="35"/>
    </row>
    <row r="57" spans="2:16">
      <c r="B57" s="28"/>
      <c r="C57" s="196"/>
      <c r="D57" s="47"/>
      <c r="E57" s="28"/>
      <c r="F57" s="215"/>
      <c r="G57" s="215"/>
      <c r="H57" s="2"/>
      <c r="I57" s="35"/>
      <c r="K57" s="35"/>
      <c r="M57" s="35"/>
      <c r="N57" s="35"/>
      <c r="O57" s="35"/>
      <c r="P57" s="35"/>
    </row>
    <row r="58" spans="2:16">
      <c r="B58" s="28"/>
      <c r="C58" s="196"/>
      <c r="D58" s="47"/>
      <c r="E58" s="28"/>
      <c r="F58" s="215"/>
      <c r="G58" s="215"/>
      <c r="H58" s="2"/>
      <c r="I58" s="35"/>
      <c r="K58" s="35"/>
      <c r="M58" s="35"/>
      <c r="N58" s="35"/>
      <c r="O58" s="35"/>
      <c r="P58" s="35"/>
    </row>
    <row r="59" spans="2:16">
      <c r="B59" s="28"/>
      <c r="C59" s="196"/>
      <c r="D59" s="47"/>
      <c r="E59" s="28"/>
      <c r="F59" s="215"/>
      <c r="G59" s="215"/>
      <c r="H59" s="2"/>
      <c r="I59" s="35"/>
      <c r="K59" s="35"/>
      <c r="M59" s="35"/>
      <c r="N59" s="35"/>
      <c r="O59" s="35"/>
      <c r="P59" s="35"/>
    </row>
    <row r="60" spans="2:16">
      <c r="B60" s="28"/>
      <c r="C60" s="196"/>
      <c r="D60" s="47"/>
      <c r="E60" s="28"/>
      <c r="F60" s="215"/>
      <c r="G60" s="215"/>
      <c r="H60" s="2"/>
      <c r="I60" s="35"/>
      <c r="K60" s="35"/>
      <c r="M60" s="35"/>
      <c r="N60" s="35"/>
      <c r="O60" s="35"/>
      <c r="P60" s="35"/>
    </row>
    <row r="61" spans="2:16">
      <c r="B61" s="28"/>
      <c r="C61" s="196"/>
      <c r="D61" s="47"/>
      <c r="E61" s="28"/>
      <c r="F61" s="215"/>
      <c r="G61" s="215"/>
      <c r="H61" s="2"/>
      <c r="I61" s="35"/>
      <c r="K61" s="35"/>
      <c r="M61" s="35"/>
      <c r="N61" s="35"/>
      <c r="O61" s="35"/>
      <c r="P61" s="35"/>
    </row>
    <row r="62" spans="2:16">
      <c r="B62" s="28"/>
      <c r="C62" s="196"/>
      <c r="D62" s="47"/>
      <c r="E62" s="28"/>
      <c r="F62" s="215"/>
      <c r="G62" s="215"/>
      <c r="H62" s="2"/>
      <c r="I62" s="35"/>
      <c r="K62" s="35"/>
      <c r="M62" s="35"/>
      <c r="N62" s="35"/>
      <c r="O62" s="35"/>
      <c r="P62" s="35"/>
    </row>
    <row r="63" spans="2:16">
      <c r="B63" s="28"/>
      <c r="C63" s="196"/>
      <c r="D63" s="47"/>
      <c r="E63" s="28"/>
      <c r="F63" s="215"/>
      <c r="G63" s="215"/>
      <c r="H63" s="2"/>
      <c r="I63" s="35"/>
      <c r="K63" s="35"/>
      <c r="M63" s="35"/>
      <c r="N63" s="35"/>
      <c r="O63" s="35"/>
      <c r="P63" s="35"/>
    </row>
    <row r="64" spans="2:16">
      <c r="B64" s="28"/>
      <c r="C64" s="196"/>
      <c r="D64" s="47"/>
      <c r="E64" s="28"/>
      <c r="F64" s="215"/>
      <c r="G64" s="215"/>
      <c r="H64" s="2"/>
      <c r="I64" s="35"/>
      <c r="K64" s="35"/>
      <c r="M64" s="35"/>
      <c r="N64" s="35"/>
      <c r="O64" s="35"/>
      <c r="P64" s="35"/>
    </row>
    <row r="65" spans="2:16">
      <c r="B65" s="28"/>
      <c r="C65" s="196"/>
      <c r="D65" s="47"/>
      <c r="E65" s="28"/>
      <c r="F65" s="215"/>
      <c r="G65" s="215"/>
      <c r="H65" s="2"/>
      <c r="I65" s="35"/>
      <c r="K65" s="35"/>
      <c r="M65" s="35"/>
      <c r="N65" s="35"/>
      <c r="O65" s="35"/>
      <c r="P65" s="35"/>
    </row>
    <row r="66" spans="2:16">
      <c r="B66" s="28"/>
      <c r="C66" s="196"/>
      <c r="D66" s="47"/>
      <c r="E66" s="28"/>
      <c r="F66" s="215"/>
      <c r="G66" s="215"/>
      <c r="H66" s="2"/>
      <c r="I66" s="35"/>
      <c r="K66" s="35"/>
      <c r="M66" s="35"/>
      <c r="N66" s="35"/>
      <c r="O66" s="35"/>
      <c r="P66" s="35"/>
    </row>
    <row r="67" spans="2:16">
      <c r="B67" s="28"/>
      <c r="C67" s="196"/>
      <c r="D67" s="47"/>
      <c r="E67" s="28"/>
      <c r="F67" s="215"/>
      <c r="G67" s="215"/>
      <c r="H67" s="2"/>
      <c r="I67" s="35"/>
      <c r="K67" s="35"/>
      <c r="M67" s="35"/>
      <c r="N67" s="35"/>
      <c r="O67" s="35"/>
      <c r="P67" s="35"/>
    </row>
    <row r="68" spans="2:16">
      <c r="B68" s="28"/>
      <c r="C68" s="196"/>
      <c r="D68" s="47"/>
      <c r="E68" s="28"/>
      <c r="F68" s="215"/>
      <c r="G68" s="215"/>
      <c r="H68" s="2"/>
      <c r="I68" s="35"/>
      <c r="K68" s="35"/>
      <c r="M68" s="35"/>
      <c r="N68" s="35"/>
      <c r="O68" s="35"/>
      <c r="P68" s="35"/>
    </row>
    <row r="69" spans="2:16">
      <c r="B69" s="28"/>
      <c r="C69" s="196"/>
      <c r="D69" s="47"/>
      <c r="E69" s="28"/>
      <c r="F69" s="215"/>
      <c r="G69" s="215"/>
      <c r="H69" s="2"/>
      <c r="I69" s="35"/>
      <c r="K69" s="35"/>
      <c r="M69" s="35"/>
      <c r="N69" s="35"/>
      <c r="O69" s="35"/>
      <c r="P69" s="35"/>
    </row>
    <row r="70" spans="2:16">
      <c r="B70" s="28"/>
      <c r="C70" s="196"/>
      <c r="D70" s="47"/>
      <c r="E70" s="28"/>
      <c r="F70" s="215"/>
      <c r="G70" s="215"/>
      <c r="H70" s="2"/>
      <c r="I70" s="35"/>
      <c r="K70" s="35"/>
      <c r="M70" s="35"/>
      <c r="N70" s="35"/>
      <c r="O70" s="35"/>
      <c r="P70" s="35"/>
    </row>
    <row r="71" spans="2:16">
      <c r="B71" s="28"/>
      <c r="C71" s="196"/>
      <c r="D71" s="47"/>
      <c r="E71" s="28"/>
      <c r="F71" s="215"/>
      <c r="G71" s="215"/>
      <c r="H71" s="2"/>
      <c r="I71" s="35"/>
      <c r="K71" s="35"/>
      <c r="M71" s="35"/>
      <c r="N71" s="35"/>
      <c r="O71" s="35"/>
      <c r="P71" s="35"/>
    </row>
    <row r="72" spans="2:16">
      <c r="B72" s="28"/>
      <c r="C72" s="196"/>
      <c r="D72" s="47"/>
      <c r="E72" s="28"/>
      <c r="F72" s="215"/>
      <c r="G72" s="215"/>
      <c r="H72" s="2"/>
      <c r="I72" s="35"/>
      <c r="K72" s="35"/>
      <c r="M72" s="35"/>
      <c r="N72" s="35"/>
      <c r="O72" s="35"/>
      <c r="P72" s="35"/>
    </row>
    <row r="73" spans="2:16">
      <c r="B73" s="28"/>
      <c r="C73" s="196"/>
      <c r="D73" s="47"/>
      <c r="E73" s="28"/>
      <c r="F73" s="215"/>
      <c r="G73" s="215"/>
      <c r="H73" s="2"/>
      <c r="I73" s="35"/>
      <c r="K73" s="35"/>
      <c r="M73" s="35"/>
      <c r="N73" s="35"/>
      <c r="O73" s="35"/>
      <c r="P73" s="35"/>
    </row>
    <row r="74" spans="2:16">
      <c r="B74" s="28"/>
      <c r="C74" s="196"/>
      <c r="D74" s="47"/>
      <c r="E74" s="28"/>
      <c r="F74" s="215"/>
      <c r="G74" s="215"/>
      <c r="H74" s="2"/>
      <c r="I74" s="35"/>
      <c r="K74" s="35"/>
      <c r="M74" s="35"/>
      <c r="N74" s="35"/>
      <c r="O74" s="35"/>
      <c r="P74" s="35"/>
    </row>
    <row r="75" spans="2:16">
      <c r="B75" s="28"/>
      <c r="C75" s="196"/>
      <c r="D75" s="47"/>
      <c r="E75" s="28"/>
      <c r="F75" s="215"/>
      <c r="G75" s="215"/>
      <c r="H75" s="2"/>
      <c r="I75" s="35"/>
      <c r="K75" s="35"/>
      <c r="M75" s="35"/>
      <c r="N75" s="35"/>
      <c r="O75" s="35"/>
      <c r="P75" s="35"/>
    </row>
    <row r="76" spans="2:16">
      <c r="B76" s="28"/>
      <c r="C76" s="196"/>
      <c r="D76" s="47"/>
      <c r="E76" s="28"/>
      <c r="F76" s="215"/>
      <c r="G76" s="215"/>
      <c r="H76" s="2"/>
      <c r="I76" s="35"/>
      <c r="K76" s="35"/>
      <c r="M76" s="35"/>
      <c r="N76" s="35"/>
      <c r="O76" s="35"/>
      <c r="P76" s="35"/>
    </row>
    <row r="77" spans="2:16">
      <c r="B77" s="28"/>
      <c r="C77" s="196"/>
      <c r="D77" s="47"/>
      <c r="E77" s="28"/>
      <c r="F77" s="215"/>
      <c r="G77" s="215"/>
      <c r="H77" s="2"/>
      <c r="I77" s="35"/>
      <c r="K77" s="35"/>
      <c r="M77" s="35"/>
      <c r="N77" s="35"/>
      <c r="O77" s="35"/>
      <c r="P77" s="35"/>
    </row>
    <row r="78" spans="2:16">
      <c r="B78" s="28"/>
      <c r="C78" s="196"/>
      <c r="D78" s="47"/>
      <c r="E78" s="28"/>
      <c r="F78" s="215"/>
      <c r="G78" s="215"/>
      <c r="H78" s="2"/>
      <c r="I78" s="35"/>
      <c r="K78" s="35"/>
      <c r="M78" s="35"/>
      <c r="N78" s="35"/>
      <c r="O78" s="35"/>
      <c r="P78" s="35"/>
    </row>
    <row r="79" spans="2:16">
      <c r="B79" s="28"/>
      <c r="C79" s="196"/>
      <c r="D79" s="47"/>
      <c r="E79" s="28"/>
      <c r="F79" s="215"/>
      <c r="G79" s="215"/>
      <c r="H79" s="2"/>
      <c r="I79" s="35"/>
      <c r="K79" s="35"/>
      <c r="M79" s="35"/>
      <c r="N79" s="35"/>
      <c r="O79" s="35"/>
      <c r="P79" s="35"/>
    </row>
    <row r="80" spans="2:16">
      <c r="B80" s="28"/>
      <c r="C80" s="196"/>
      <c r="D80" s="47"/>
      <c r="E80" s="28"/>
      <c r="F80" s="215"/>
      <c r="G80" s="215"/>
      <c r="H80" s="2"/>
      <c r="I80" s="35"/>
      <c r="K80" s="35"/>
      <c r="M80" s="35"/>
      <c r="N80" s="35"/>
      <c r="O80" s="35"/>
      <c r="P80" s="35"/>
    </row>
    <row r="81" spans="2:16">
      <c r="B81" s="28"/>
      <c r="C81" s="196"/>
      <c r="D81" s="47"/>
      <c r="E81" s="28"/>
      <c r="F81" s="215"/>
      <c r="G81" s="215"/>
      <c r="H81" s="2"/>
      <c r="I81" s="35"/>
      <c r="K81" s="35"/>
      <c r="M81" s="35"/>
      <c r="N81" s="35"/>
      <c r="O81" s="35"/>
      <c r="P81" s="35"/>
    </row>
    <row r="82" spans="2:16">
      <c r="B82" s="28"/>
      <c r="C82" s="196"/>
      <c r="D82" s="47"/>
      <c r="E82" s="28"/>
      <c r="F82" s="215"/>
      <c r="G82" s="215"/>
      <c r="H82" s="2"/>
      <c r="I82" s="35"/>
      <c r="K82" s="35"/>
      <c r="M82" s="35"/>
      <c r="N82" s="35"/>
      <c r="O82" s="35"/>
      <c r="P82" s="35"/>
    </row>
    <row r="83" spans="2:16">
      <c r="B83" s="28"/>
      <c r="C83" s="196"/>
      <c r="D83" s="47"/>
      <c r="E83" s="28"/>
      <c r="F83" s="215"/>
      <c r="G83" s="215"/>
      <c r="H83" s="2"/>
      <c r="I83" s="35"/>
      <c r="K83" s="35"/>
      <c r="M83" s="35"/>
      <c r="N83" s="35"/>
      <c r="O83" s="35"/>
      <c r="P83" s="35"/>
    </row>
    <row r="84" spans="2:16">
      <c r="B84" s="28"/>
      <c r="C84" s="196"/>
      <c r="D84" s="47"/>
      <c r="E84" s="28"/>
      <c r="F84" s="215"/>
      <c r="G84" s="215"/>
      <c r="H84" s="2"/>
      <c r="I84" s="35"/>
      <c r="K84" s="35"/>
      <c r="M84" s="35"/>
      <c r="N84" s="35"/>
      <c r="O84" s="35"/>
      <c r="P84" s="35"/>
    </row>
    <row r="85" spans="2:16">
      <c r="B85" s="28"/>
      <c r="C85" s="196"/>
      <c r="D85" s="47"/>
      <c r="E85" s="28"/>
      <c r="F85" s="215"/>
      <c r="G85" s="215"/>
      <c r="H85" s="2"/>
      <c r="I85" s="107"/>
      <c r="K85" s="35"/>
      <c r="M85" s="35"/>
      <c r="N85" s="35"/>
      <c r="O85" s="35"/>
      <c r="P85" s="35"/>
    </row>
    <row r="86" spans="2:16">
      <c r="B86" s="28"/>
      <c r="C86" s="196"/>
      <c r="D86" s="47"/>
      <c r="E86" s="28"/>
      <c r="F86" s="215"/>
      <c r="G86" s="215"/>
      <c r="H86" s="2"/>
      <c r="I86" s="19"/>
      <c r="K86" s="35"/>
      <c r="M86" s="35"/>
      <c r="N86" s="35"/>
      <c r="O86" s="35"/>
      <c r="P86" s="35"/>
    </row>
    <row r="87" spans="2:16">
      <c r="B87" s="28"/>
      <c r="C87" s="196"/>
      <c r="D87" s="47"/>
      <c r="E87" s="28"/>
      <c r="F87" s="215"/>
      <c r="G87" s="215"/>
      <c r="H87" s="2"/>
      <c r="I87" s="19"/>
      <c r="K87" s="35"/>
      <c r="M87" s="35"/>
      <c r="N87" s="35"/>
      <c r="O87" s="35"/>
      <c r="P87" s="35"/>
    </row>
    <row r="88" spans="2:16">
      <c r="B88" s="28"/>
      <c r="C88" s="196"/>
      <c r="D88" s="47"/>
      <c r="E88" s="28"/>
      <c r="F88" s="215"/>
      <c r="G88" s="215"/>
      <c r="H88" s="2"/>
      <c r="I88" s="19"/>
      <c r="K88" s="35"/>
      <c r="M88" s="35"/>
      <c r="N88" s="35"/>
      <c r="O88" s="35"/>
      <c r="P88" s="35"/>
    </row>
    <row r="89" spans="2:16">
      <c r="B89" s="28"/>
      <c r="C89" s="196"/>
      <c r="D89" s="47"/>
      <c r="E89" s="28"/>
      <c r="F89" s="215"/>
      <c r="G89" s="215"/>
      <c r="H89" s="2"/>
      <c r="I89" s="19"/>
      <c r="K89" s="35"/>
      <c r="M89" s="35"/>
      <c r="N89" s="35"/>
      <c r="O89" s="35"/>
      <c r="P89" s="35"/>
    </row>
    <row r="90" spans="2:16">
      <c r="B90" s="28"/>
      <c r="C90" s="196"/>
      <c r="D90" s="47"/>
      <c r="E90" s="28"/>
      <c r="F90" s="215"/>
      <c r="G90" s="215"/>
      <c r="H90" s="2"/>
      <c r="I90" s="19"/>
      <c r="K90" s="35"/>
      <c r="M90" s="35"/>
      <c r="N90" s="35"/>
      <c r="O90" s="35"/>
      <c r="P90" s="35"/>
    </row>
    <row r="91" spans="2:16">
      <c r="B91" s="28"/>
      <c r="C91" s="196"/>
      <c r="D91" s="47"/>
      <c r="E91" s="28"/>
      <c r="F91" s="215"/>
      <c r="G91" s="215"/>
      <c r="H91" s="2"/>
      <c r="I91" s="19"/>
      <c r="K91" s="35"/>
      <c r="M91" s="35"/>
      <c r="N91" s="35"/>
      <c r="O91" s="35"/>
      <c r="P91" s="35"/>
    </row>
    <row r="92" spans="2:16">
      <c r="B92" s="28"/>
      <c r="C92" s="196"/>
      <c r="D92" s="47"/>
      <c r="E92" s="28"/>
      <c r="F92" s="215"/>
      <c r="G92" s="215"/>
      <c r="H92" s="2"/>
      <c r="I92" s="19"/>
      <c r="K92" s="35"/>
      <c r="M92" s="35"/>
      <c r="N92" s="35"/>
      <c r="O92" s="35"/>
      <c r="P92" s="35"/>
    </row>
    <row r="93" spans="2:16">
      <c r="B93" s="28"/>
      <c r="C93" s="196"/>
      <c r="D93" s="47"/>
      <c r="E93" s="28"/>
      <c r="F93" s="215"/>
      <c r="G93" s="215"/>
      <c r="H93" s="2"/>
      <c r="I93" s="19"/>
      <c r="K93" s="35"/>
      <c r="M93" s="35"/>
      <c r="N93" s="35"/>
      <c r="O93" s="35"/>
      <c r="P93" s="35"/>
    </row>
    <row r="94" spans="2:16">
      <c r="B94" s="28"/>
      <c r="C94" s="196"/>
      <c r="D94" s="47"/>
      <c r="E94" s="28"/>
      <c r="F94" s="215"/>
      <c r="G94" s="215"/>
      <c r="H94" s="2"/>
      <c r="I94" s="19"/>
      <c r="K94" s="35"/>
      <c r="M94" s="35"/>
      <c r="N94" s="35"/>
      <c r="O94" s="35"/>
      <c r="P94" s="35"/>
    </row>
    <row r="95" spans="2:16">
      <c r="B95" s="28"/>
      <c r="C95" s="196"/>
      <c r="D95" s="47"/>
      <c r="E95" s="28"/>
      <c r="F95" s="215"/>
      <c r="G95" s="215"/>
      <c r="H95" s="2"/>
      <c r="I95" s="19"/>
      <c r="K95" s="35"/>
      <c r="M95" s="35"/>
      <c r="N95" s="35"/>
      <c r="O95" s="35"/>
      <c r="P95" s="35"/>
    </row>
    <row r="96" spans="2:16">
      <c r="B96" s="28"/>
      <c r="C96" s="196"/>
      <c r="D96" s="47"/>
      <c r="E96" s="28"/>
      <c r="F96" s="215"/>
      <c r="G96" s="215"/>
      <c r="H96" s="2"/>
      <c r="I96" s="19"/>
      <c r="K96" s="35"/>
      <c r="M96" s="35"/>
      <c r="N96" s="35"/>
      <c r="O96" s="35"/>
      <c r="P96" s="35"/>
    </row>
    <row r="97" spans="2:16">
      <c r="B97" s="28"/>
      <c r="C97" s="196"/>
      <c r="D97" s="47"/>
      <c r="E97" s="28"/>
      <c r="F97" s="215"/>
      <c r="G97" s="215"/>
      <c r="H97" s="2"/>
      <c r="I97" s="19"/>
      <c r="K97" s="35"/>
      <c r="M97" s="35"/>
      <c r="N97" s="35"/>
      <c r="O97" s="35"/>
      <c r="P97" s="35"/>
    </row>
    <row r="98" spans="2:16">
      <c r="B98" s="28"/>
      <c r="C98" s="196"/>
      <c r="D98" s="47"/>
      <c r="E98" s="28"/>
      <c r="F98" s="215"/>
      <c r="G98" s="215"/>
      <c r="H98" s="2"/>
      <c r="I98" s="19"/>
      <c r="K98" s="35"/>
      <c r="M98" s="35"/>
      <c r="N98" s="35"/>
      <c r="O98" s="35"/>
      <c r="P98" s="35"/>
    </row>
    <row r="99" spans="2:16">
      <c r="B99" s="28"/>
      <c r="C99" s="196"/>
      <c r="D99" s="47"/>
      <c r="E99" s="28"/>
      <c r="F99" s="215"/>
      <c r="G99" s="215"/>
      <c r="H99" s="2"/>
      <c r="I99" s="19"/>
      <c r="K99" s="35"/>
      <c r="M99" s="35"/>
      <c r="N99" s="35"/>
      <c r="O99" s="35"/>
      <c r="P99" s="35"/>
    </row>
    <row r="100" spans="2:16">
      <c r="B100" s="28"/>
      <c r="C100" s="196"/>
      <c r="D100" s="47"/>
      <c r="E100" s="28"/>
      <c r="F100" s="215"/>
      <c r="G100" s="215"/>
      <c r="H100" s="2"/>
      <c r="I100" s="19"/>
      <c r="K100" s="35"/>
      <c r="M100" s="35"/>
      <c r="N100" s="35"/>
      <c r="O100" s="35"/>
      <c r="P100" s="35"/>
    </row>
    <row r="101" spans="2:16">
      <c r="B101" s="28"/>
      <c r="C101" s="196"/>
      <c r="D101" s="47"/>
      <c r="E101" s="28"/>
      <c r="F101" s="215"/>
      <c r="G101" s="215"/>
      <c r="H101" s="2"/>
      <c r="I101" s="19"/>
      <c r="K101" s="35"/>
      <c r="M101" s="35"/>
      <c r="N101" s="35"/>
      <c r="O101" s="35"/>
      <c r="P101" s="35"/>
    </row>
    <row r="102" spans="2:16">
      <c r="B102" s="28"/>
      <c r="C102" s="196"/>
      <c r="D102" s="47"/>
      <c r="E102" s="28"/>
      <c r="F102" s="215"/>
      <c r="G102" s="215"/>
      <c r="H102" s="2"/>
      <c r="I102" s="19"/>
      <c r="K102" s="35"/>
      <c r="M102" s="35"/>
      <c r="N102" s="35"/>
      <c r="O102" s="35"/>
      <c r="P102" s="35"/>
    </row>
    <row r="103" spans="2:16">
      <c r="B103" s="28"/>
      <c r="C103" s="196"/>
      <c r="D103" s="47"/>
      <c r="E103" s="28"/>
      <c r="F103" s="215"/>
      <c r="G103" s="215"/>
      <c r="H103" s="2"/>
      <c r="I103" s="19"/>
      <c r="K103" s="35"/>
      <c r="M103" s="35"/>
      <c r="N103" s="35"/>
      <c r="O103" s="35"/>
      <c r="P103" s="35"/>
    </row>
    <row r="104" spans="2:16">
      <c r="B104" s="28"/>
      <c r="C104" s="196"/>
      <c r="D104" s="47"/>
      <c r="E104" s="28"/>
      <c r="F104" s="215"/>
      <c r="G104" s="215"/>
      <c r="H104" s="2"/>
      <c r="I104" s="19"/>
      <c r="K104" s="35"/>
      <c r="M104" s="35"/>
      <c r="N104" s="35"/>
      <c r="O104" s="35"/>
      <c r="P104" s="35"/>
    </row>
    <row r="105" spans="2:16">
      <c r="B105" s="28"/>
      <c r="C105" s="196"/>
      <c r="D105" s="47"/>
      <c r="E105" s="28"/>
      <c r="F105" s="215"/>
      <c r="G105" s="215"/>
      <c r="H105" s="2"/>
      <c r="I105" s="19"/>
      <c r="K105" s="35"/>
      <c r="M105" s="35"/>
      <c r="N105" s="35"/>
      <c r="O105" s="35"/>
      <c r="P105" s="35"/>
    </row>
    <row r="106" spans="2:16">
      <c r="B106" s="28"/>
      <c r="C106" s="196"/>
      <c r="D106" s="47"/>
      <c r="E106" s="28"/>
      <c r="F106" s="215"/>
      <c r="G106" s="215"/>
      <c r="H106" s="2"/>
      <c r="I106" s="19"/>
      <c r="K106" s="35"/>
      <c r="M106" s="35"/>
      <c r="N106" s="35"/>
      <c r="O106" s="35"/>
      <c r="P106" s="35"/>
    </row>
    <row r="107" spans="2:16">
      <c r="B107" s="28"/>
      <c r="C107" s="196"/>
      <c r="D107" s="47"/>
      <c r="E107" s="28"/>
      <c r="F107" s="215"/>
      <c r="G107" s="215"/>
      <c r="H107" s="2"/>
      <c r="I107" s="19"/>
      <c r="K107" s="35"/>
      <c r="M107" s="35"/>
      <c r="N107" s="35"/>
      <c r="O107" s="35"/>
      <c r="P107" s="35"/>
    </row>
    <row r="108" spans="2:16">
      <c r="B108" s="28"/>
      <c r="C108" s="196"/>
      <c r="D108" s="47"/>
      <c r="E108" s="28"/>
      <c r="F108" s="215"/>
      <c r="G108" s="215"/>
      <c r="H108" s="2"/>
      <c r="I108" s="19"/>
      <c r="K108" s="35"/>
      <c r="M108" s="35"/>
      <c r="N108" s="35"/>
      <c r="O108" s="35"/>
      <c r="P108" s="35"/>
    </row>
    <row r="109" spans="2:16">
      <c r="B109" s="28"/>
      <c r="C109" s="196"/>
      <c r="D109" s="47"/>
      <c r="E109" s="28"/>
      <c r="F109" s="215"/>
      <c r="G109" s="215"/>
      <c r="H109" s="2"/>
      <c r="I109" s="19"/>
      <c r="K109" s="35"/>
      <c r="M109" s="35"/>
      <c r="N109" s="35"/>
      <c r="O109" s="35"/>
      <c r="P109" s="35"/>
    </row>
    <row r="110" spans="2:16">
      <c r="B110" s="28"/>
      <c r="C110" s="196"/>
      <c r="D110" s="47"/>
      <c r="E110" s="28"/>
      <c r="F110" s="215"/>
      <c r="G110" s="215"/>
      <c r="H110" s="2"/>
      <c r="I110" s="19"/>
      <c r="K110" s="35"/>
      <c r="M110" s="35"/>
      <c r="N110" s="35"/>
      <c r="O110" s="35"/>
      <c r="P110" s="35"/>
    </row>
    <row r="111" spans="2:16">
      <c r="B111" s="28"/>
      <c r="C111" s="196"/>
      <c r="D111" s="47"/>
      <c r="E111" s="28"/>
      <c r="F111" s="215"/>
      <c r="G111" s="215"/>
      <c r="H111" s="2"/>
      <c r="I111" s="19"/>
      <c r="K111" s="35"/>
      <c r="M111" s="35"/>
      <c r="N111" s="35"/>
      <c r="O111" s="35"/>
      <c r="P111" s="35"/>
    </row>
    <row r="112" spans="2:16">
      <c r="B112" s="28"/>
      <c r="C112" s="196"/>
      <c r="D112" s="47"/>
      <c r="E112" s="28"/>
      <c r="F112" s="215"/>
      <c r="G112" s="215"/>
      <c r="H112" s="2"/>
      <c r="I112" s="19"/>
      <c r="K112" s="35"/>
      <c r="M112" s="35"/>
      <c r="N112" s="35"/>
      <c r="O112" s="35"/>
      <c r="P112" s="35"/>
    </row>
    <row r="113" spans="2:16">
      <c r="B113" s="28"/>
      <c r="C113" s="196"/>
      <c r="D113" s="47"/>
      <c r="E113" s="28"/>
      <c r="F113" s="215"/>
      <c r="G113" s="215"/>
      <c r="H113" s="2"/>
      <c r="I113" s="19"/>
      <c r="K113" s="35"/>
      <c r="M113" s="35"/>
      <c r="N113" s="35"/>
      <c r="O113" s="35"/>
      <c r="P113" s="35"/>
    </row>
    <row r="114" spans="2:16">
      <c r="B114" s="28"/>
      <c r="C114" s="196"/>
      <c r="D114" s="47"/>
      <c r="E114" s="28"/>
      <c r="F114" s="215"/>
      <c r="G114" s="215"/>
      <c r="H114" s="2"/>
      <c r="I114" s="19"/>
      <c r="K114" s="35"/>
      <c r="M114" s="35"/>
      <c r="N114" s="35"/>
      <c r="O114" s="35"/>
      <c r="P114" s="35"/>
    </row>
    <row r="115" spans="2:16">
      <c r="B115" s="28"/>
      <c r="C115" s="196"/>
      <c r="D115" s="47"/>
      <c r="E115" s="28"/>
      <c r="F115" s="215"/>
      <c r="G115" s="215"/>
      <c r="H115" s="2"/>
      <c r="I115" s="19"/>
      <c r="K115" s="35"/>
      <c r="M115" s="35"/>
      <c r="N115" s="35"/>
      <c r="O115" s="35"/>
      <c r="P115" s="35"/>
    </row>
    <row r="116" spans="2:16">
      <c r="B116" s="28"/>
      <c r="C116" s="196"/>
      <c r="D116" s="47"/>
      <c r="E116" s="28"/>
      <c r="F116" s="215"/>
      <c r="G116" s="215"/>
      <c r="H116" s="2"/>
      <c r="I116" s="19"/>
      <c r="K116" s="35"/>
      <c r="M116" s="35"/>
      <c r="N116" s="35"/>
      <c r="O116" s="35"/>
      <c r="P116" s="35"/>
    </row>
    <row r="117" spans="2:16">
      <c r="B117" s="28"/>
      <c r="C117" s="196"/>
      <c r="D117" s="47"/>
      <c r="E117" s="28"/>
      <c r="F117" s="215"/>
      <c r="G117" s="215"/>
      <c r="H117" s="2"/>
      <c r="I117" s="19"/>
      <c r="K117" s="35"/>
      <c r="M117" s="35"/>
      <c r="N117" s="35"/>
      <c r="O117" s="35"/>
      <c r="P117" s="35"/>
    </row>
    <row r="118" spans="2:16">
      <c r="B118" s="28"/>
      <c r="C118" s="196"/>
      <c r="D118" s="47"/>
      <c r="E118" s="28"/>
      <c r="F118" s="215"/>
      <c r="G118" s="215"/>
      <c r="H118" s="2"/>
      <c r="I118" s="19"/>
      <c r="K118" s="35"/>
      <c r="M118" s="35"/>
      <c r="N118" s="35"/>
      <c r="O118" s="35"/>
      <c r="P118" s="35"/>
    </row>
    <row r="119" spans="2:16">
      <c r="B119" s="28"/>
      <c r="C119" s="196"/>
      <c r="D119" s="47"/>
      <c r="E119" s="28"/>
      <c r="F119" s="215"/>
      <c r="G119" s="215"/>
      <c r="H119" s="2"/>
      <c r="I119" s="19"/>
      <c r="K119" s="35"/>
      <c r="M119" s="35"/>
      <c r="N119" s="35"/>
      <c r="O119" s="35"/>
      <c r="P119" s="35"/>
    </row>
    <row r="120" spans="2:16">
      <c r="B120" s="28"/>
      <c r="C120" s="196"/>
      <c r="D120" s="47"/>
      <c r="E120" s="28"/>
      <c r="F120" s="215"/>
      <c r="G120" s="215"/>
      <c r="H120" s="2"/>
      <c r="I120" s="19"/>
      <c r="K120" s="35"/>
      <c r="M120" s="35"/>
      <c r="N120" s="35"/>
      <c r="O120" s="35"/>
      <c r="P120" s="35"/>
    </row>
    <row r="121" spans="2:16">
      <c r="B121" s="28"/>
      <c r="C121" s="196"/>
      <c r="D121" s="47"/>
      <c r="E121" s="28"/>
      <c r="F121" s="215"/>
      <c r="G121" s="215"/>
      <c r="H121" s="2"/>
      <c r="I121" s="19"/>
      <c r="K121" s="35"/>
      <c r="M121" s="35"/>
      <c r="N121" s="35"/>
      <c r="O121" s="35"/>
      <c r="P121" s="35"/>
    </row>
    <row r="122" spans="2:16">
      <c r="B122" s="28"/>
      <c r="C122" s="196"/>
      <c r="D122" s="47"/>
      <c r="E122" s="28"/>
      <c r="F122" s="215"/>
      <c r="G122" s="215"/>
      <c r="H122" s="2"/>
      <c r="I122" s="19"/>
      <c r="K122" s="35"/>
      <c r="M122" s="35"/>
      <c r="N122" s="35"/>
      <c r="O122" s="35"/>
      <c r="P122" s="35"/>
    </row>
    <row r="123" spans="2:16">
      <c r="B123" s="28"/>
      <c r="C123" s="196"/>
      <c r="D123" s="47"/>
      <c r="E123" s="28"/>
      <c r="F123" s="215"/>
      <c r="G123" s="215"/>
      <c r="H123" s="2"/>
      <c r="I123" s="19"/>
      <c r="K123" s="35"/>
      <c r="M123" s="35"/>
      <c r="N123" s="35"/>
      <c r="O123" s="35"/>
      <c r="P123" s="35"/>
    </row>
    <row r="124" spans="2:16">
      <c r="B124" s="28"/>
      <c r="C124" s="196"/>
      <c r="D124" s="47"/>
      <c r="E124" s="28"/>
      <c r="F124" s="215"/>
      <c r="G124" s="215"/>
      <c r="H124" s="2"/>
      <c r="I124" s="19"/>
      <c r="K124" s="35"/>
      <c r="M124" s="35"/>
      <c r="N124" s="35"/>
      <c r="O124" s="35"/>
      <c r="P124" s="35"/>
    </row>
    <row r="125" spans="2:16">
      <c r="B125" s="28"/>
      <c r="C125" s="196"/>
      <c r="D125" s="47"/>
      <c r="E125" s="28"/>
      <c r="F125" s="215"/>
      <c r="G125" s="215"/>
      <c r="H125" s="2"/>
      <c r="I125" s="19"/>
      <c r="K125" s="35"/>
      <c r="M125" s="35"/>
      <c r="N125" s="35"/>
      <c r="O125" s="35"/>
      <c r="P125" s="35"/>
    </row>
    <row r="126" spans="2:16">
      <c r="B126" s="28"/>
      <c r="C126" s="196"/>
      <c r="D126" s="47"/>
      <c r="E126" s="28"/>
      <c r="F126" s="215"/>
      <c r="G126" s="215"/>
      <c r="H126" s="2"/>
      <c r="I126" s="19"/>
      <c r="K126" s="35"/>
      <c r="M126" s="35"/>
      <c r="N126" s="35"/>
      <c r="O126" s="35"/>
      <c r="P126" s="35"/>
    </row>
    <row r="127" spans="2:16">
      <c r="B127" s="28"/>
      <c r="C127" s="196"/>
      <c r="D127" s="47"/>
      <c r="E127" s="28"/>
      <c r="F127" s="215"/>
      <c r="G127" s="215"/>
      <c r="H127" s="2"/>
      <c r="I127" s="19"/>
      <c r="K127" s="35"/>
      <c r="M127" s="35"/>
      <c r="N127" s="35"/>
      <c r="O127" s="35"/>
      <c r="P127" s="35"/>
    </row>
    <row r="128" spans="2:16">
      <c r="B128" s="28"/>
      <c r="C128" s="196"/>
      <c r="D128" s="47"/>
      <c r="E128" s="28"/>
      <c r="F128" s="215"/>
      <c r="G128" s="215"/>
      <c r="H128" s="2"/>
      <c r="I128" s="19"/>
      <c r="K128" s="35"/>
      <c r="M128" s="35"/>
      <c r="N128" s="35"/>
      <c r="O128" s="35"/>
      <c r="P128" s="35"/>
    </row>
    <row r="129" spans="2:16">
      <c r="B129" s="28"/>
      <c r="C129" s="196"/>
      <c r="D129" s="47"/>
      <c r="E129" s="28"/>
      <c r="F129" s="215"/>
      <c r="G129" s="215"/>
      <c r="H129" s="2"/>
      <c r="I129" s="19"/>
      <c r="K129" s="35"/>
      <c r="M129" s="35"/>
      <c r="N129" s="35"/>
      <c r="O129" s="35"/>
      <c r="P129" s="35"/>
    </row>
    <row r="130" spans="2:16">
      <c r="B130" s="28"/>
      <c r="C130" s="196"/>
      <c r="D130" s="47"/>
      <c r="E130" s="28"/>
      <c r="F130" s="215"/>
      <c r="G130" s="215"/>
      <c r="H130" s="2"/>
      <c r="I130" s="19"/>
      <c r="K130" s="35"/>
      <c r="M130" s="35"/>
      <c r="N130" s="35"/>
      <c r="O130" s="35"/>
      <c r="P130" s="35"/>
    </row>
    <row r="131" spans="2:16">
      <c r="B131" s="28"/>
      <c r="C131" s="196"/>
      <c r="D131" s="47"/>
      <c r="E131" s="28"/>
      <c r="F131" s="215"/>
      <c r="G131" s="215"/>
      <c r="H131" s="2"/>
      <c r="I131" s="19"/>
      <c r="K131" s="35"/>
      <c r="M131" s="35"/>
      <c r="N131" s="35"/>
      <c r="O131" s="35"/>
      <c r="P131" s="35"/>
    </row>
    <row r="132" spans="2:16">
      <c r="B132" s="28"/>
      <c r="C132" s="196"/>
      <c r="D132" s="47"/>
      <c r="E132" s="28"/>
      <c r="F132" s="215"/>
      <c r="G132" s="215"/>
      <c r="H132" s="2"/>
      <c r="I132" s="19"/>
      <c r="K132" s="35"/>
      <c r="M132" s="35"/>
      <c r="N132" s="35"/>
      <c r="O132" s="35"/>
      <c r="P132" s="35"/>
    </row>
    <row r="133" spans="2:16">
      <c r="B133" s="28"/>
      <c r="C133" s="196"/>
      <c r="D133" s="47"/>
      <c r="E133" s="28"/>
      <c r="F133" s="215"/>
      <c r="G133" s="215"/>
      <c r="H133" s="2"/>
      <c r="I133" s="19"/>
      <c r="K133" s="35"/>
      <c r="M133" s="35"/>
      <c r="N133" s="35"/>
      <c r="O133" s="35"/>
      <c r="P133" s="35"/>
    </row>
    <row r="134" spans="2:16">
      <c r="B134" s="28"/>
      <c r="C134" s="196"/>
      <c r="D134" s="47"/>
      <c r="E134" s="28"/>
      <c r="F134" s="215"/>
      <c r="G134" s="215"/>
      <c r="H134" s="2"/>
      <c r="I134" s="19"/>
      <c r="K134" s="35"/>
      <c r="M134" s="35"/>
      <c r="N134" s="35"/>
      <c r="O134" s="35"/>
      <c r="P134" s="35"/>
    </row>
    <row r="135" spans="2:16">
      <c r="B135" s="28"/>
      <c r="C135" s="196"/>
      <c r="D135" s="47"/>
      <c r="E135" s="28"/>
      <c r="F135" s="215"/>
      <c r="G135" s="215"/>
      <c r="H135" s="2"/>
      <c r="I135" s="19"/>
      <c r="K135" s="35"/>
      <c r="M135" s="35"/>
      <c r="N135" s="35"/>
      <c r="O135" s="35"/>
      <c r="P135" s="35"/>
    </row>
    <row r="136" spans="2:16">
      <c r="B136" s="28"/>
      <c r="C136" s="196"/>
      <c r="D136" s="47"/>
      <c r="E136" s="28"/>
      <c r="F136" s="215"/>
      <c r="G136" s="215"/>
      <c r="H136" s="2"/>
      <c r="I136" s="19"/>
      <c r="K136" s="35"/>
      <c r="M136" s="35"/>
      <c r="N136" s="35"/>
      <c r="O136" s="35"/>
      <c r="P136" s="35"/>
    </row>
    <row r="137" spans="2:16">
      <c r="B137" s="28"/>
      <c r="C137" s="196"/>
      <c r="D137" s="47"/>
      <c r="E137" s="28"/>
      <c r="F137" s="215"/>
      <c r="G137" s="215"/>
      <c r="H137" s="2"/>
      <c r="I137" s="19"/>
      <c r="K137" s="35"/>
      <c r="M137" s="35"/>
      <c r="N137" s="35"/>
      <c r="O137" s="35"/>
      <c r="P137" s="35"/>
    </row>
    <row r="138" spans="2:16">
      <c r="B138" s="28"/>
      <c r="C138" s="196"/>
      <c r="D138" s="47"/>
      <c r="E138" s="28"/>
      <c r="F138" s="215"/>
      <c r="G138" s="215"/>
      <c r="H138" s="2"/>
      <c r="I138" s="19"/>
      <c r="K138" s="35"/>
      <c r="M138" s="35"/>
      <c r="N138" s="35"/>
      <c r="O138" s="35"/>
      <c r="P138" s="35"/>
    </row>
    <row r="139" spans="2:16">
      <c r="B139" s="28"/>
      <c r="C139" s="196"/>
      <c r="D139" s="47"/>
      <c r="E139" s="28"/>
      <c r="F139" s="215"/>
      <c r="G139" s="215"/>
      <c r="H139" s="2"/>
      <c r="I139" s="19"/>
      <c r="K139" s="35"/>
      <c r="M139" s="35"/>
      <c r="N139" s="35"/>
      <c r="O139" s="35"/>
      <c r="P139" s="35"/>
    </row>
    <row r="140" spans="2:16">
      <c r="B140" s="28"/>
      <c r="C140" s="196"/>
      <c r="D140" s="47"/>
      <c r="E140" s="28"/>
      <c r="F140" s="215"/>
      <c r="G140" s="215"/>
      <c r="H140" s="2"/>
      <c r="I140" s="19"/>
      <c r="K140" s="35"/>
      <c r="M140" s="35"/>
      <c r="N140" s="35"/>
      <c r="O140" s="35"/>
      <c r="P140" s="35"/>
    </row>
    <row r="141" spans="2:16">
      <c r="B141" s="28"/>
      <c r="C141" s="196"/>
      <c r="D141" s="47"/>
      <c r="E141" s="28"/>
      <c r="F141" s="215"/>
      <c r="G141" s="215"/>
      <c r="H141" s="2"/>
      <c r="I141" s="19"/>
      <c r="K141" s="35"/>
      <c r="M141" s="35"/>
      <c r="N141" s="35"/>
      <c r="O141" s="35"/>
      <c r="P141" s="35"/>
    </row>
    <row r="142" spans="2:16">
      <c r="B142" s="28"/>
      <c r="C142" s="196"/>
      <c r="D142" s="47"/>
      <c r="E142" s="28"/>
      <c r="F142" s="215"/>
      <c r="G142" s="215"/>
      <c r="H142" s="2"/>
      <c r="I142" s="19"/>
      <c r="K142" s="35"/>
      <c r="M142" s="35"/>
      <c r="N142" s="35"/>
      <c r="O142" s="35"/>
      <c r="P142" s="35"/>
    </row>
    <row r="143" spans="2:16">
      <c r="B143" s="28"/>
      <c r="C143" s="196"/>
      <c r="D143" s="47"/>
      <c r="E143" s="28"/>
      <c r="F143" s="215"/>
      <c r="G143" s="215"/>
      <c r="H143" s="2"/>
      <c r="I143" s="19"/>
      <c r="K143" s="35"/>
      <c r="M143" s="35"/>
      <c r="N143" s="35"/>
      <c r="O143" s="35"/>
      <c r="P143" s="35"/>
    </row>
    <row r="144" spans="2:16">
      <c r="B144" s="28"/>
      <c r="C144" s="196"/>
      <c r="D144" s="47"/>
      <c r="E144" s="28"/>
      <c r="F144" s="215"/>
      <c r="G144" s="215"/>
      <c r="H144" s="2"/>
      <c r="I144" s="19"/>
      <c r="K144" s="35"/>
      <c r="M144" s="35"/>
      <c r="N144" s="35"/>
      <c r="O144" s="35"/>
      <c r="P144" s="35"/>
    </row>
    <row r="145" spans="2:16">
      <c r="B145" s="28"/>
      <c r="C145" s="196"/>
      <c r="D145" s="47"/>
      <c r="E145" s="28"/>
      <c r="F145" s="215"/>
      <c r="G145" s="215"/>
      <c r="H145" s="2"/>
      <c r="I145" s="19"/>
      <c r="K145" s="35"/>
      <c r="M145" s="35"/>
      <c r="N145" s="35"/>
      <c r="O145" s="35"/>
      <c r="P145" s="35"/>
    </row>
    <row r="146" spans="2:16">
      <c r="B146" s="28"/>
      <c r="C146" s="196"/>
      <c r="D146" s="47"/>
      <c r="E146" s="28"/>
      <c r="F146" s="215"/>
      <c r="G146" s="215"/>
      <c r="H146" s="2"/>
      <c r="I146" s="19"/>
      <c r="K146" s="35"/>
      <c r="M146" s="35"/>
      <c r="N146" s="35"/>
      <c r="O146" s="35"/>
      <c r="P146" s="35"/>
    </row>
    <row r="147" spans="2:16">
      <c r="B147" s="28"/>
      <c r="C147" s="196"/>
      <c r="D147" s="47"/>
      <c r="E147" s="28"/>
      <c r="F147" s="215"/>
      <c r="G147" s="215"/>
      <c r="H147" s="2"/>
      <c r="I147" s="19"/>
      <c r="K147" s="35"/>
      <c r="M147" s="35"/>
      <c r="N147" s="35"/>
      <c r="O147" s="35"/>
      <c r="P147" s="35"/>
    </row>
    <row r="148" spans="2:16">
      <c r="B148" s="28"/>
      <c r="C148" s="196"/>
      <c r="D148" s="47"/>
      <c r="E148" s="28"/>
      <c r="F148" s="215"/>
      <c r="G148" s="215"/>
      <c r="H148" s="2"/>
      <c r="I148" s="19"/>
      <c r="K148" s="35"/>
      <c r="M148" s="35"/>
      <c r="N148" s="35"/>
      <c r="O148" s="35"/>
      <c r="P148" s="35"/>
    </row>
    <row r="149" spans="2:16">
      <c r="B149" s="28"/>
      <c r="C149" s="196"/>
      <c r="D149" s="47"/>
      <c r="E149" s="28"/>
      <c r="F149" s="215"/>
      <c r="G149" s="215"/>
      <c r="H149" s="2"/>
      <c r="I149" s="19"/>
      <c r="K149" s="35"/>
      <c r="M149" s="35"/>
      <c r="N149" s="35"/>
      <c r="O149" s="35"/>
      <c r="P149" s="35"/>
    </row>
    <row r="150" spans="2:16">
      <c r="B150" s="28"/>
      <c r="C150" s="196"/>
      <c r="D150" s="47"/>
      <c r="E150" s="28"/>
      <c r="F150" s="215"/>
      <c r="G150" s="215"/>
      <c r="H150" s="2"/>
      <c r="I150" s="19"/>
      <c r="K150" s="35"/>
      <c r="M150" s="35"/>
      <c r="N150" s="35"/>
      <c r="O150" s="35"/>
      <c r="P150" s="35"/>
    </row>
    <row r="151" spans="2:16">
      <c r="B151" s="28"/>
      <c r="C151" s="196"/>
      <c r="D151" s="47"/>
      <c r="E151" s="28"/>
      <c r="F151" s="215"/>
      <c r="G151" s="215"/>
      <c r="H151" s="2"/>
      <c r="I151" s="19"/>
      <c r="K151" s="35"/>
      <c r="M151" s="35"/>
      <c r="N151" s="35"/>
      <c r="O151" s="35"/>
      <c r="P151" s="35"/>
    </row>
    <row r="152" spans="2:16">
      <c r="B152" s="28"/>
      <c r="C152" s="196"/>
      <c r="D152" s="47"/>
      <c r="E152" s="28"/>
      <c r="F152" s="215"/>
      <c r="G152" s="215"/>
      <c r="H152" s="2"/>
      <c r="I152" s="19"/>
      <c r="K152" s="35"/>
      <c r="M152" s="35"/>
      <c r="N152" s="35"/>
      <c r="O152" s="35"/>
      <c r="P152" s="35"/>
    </row>
    <row r="153" spans="2:16">
      <c r="B153" s="28"/>
      <c r="C153" s="196"/>
      <c r="D153" s="47"/>
      <c r="E153" s="28"/>
      <c r="F153" s="215"/>
      <c r="G153" s="215"/>
      <c r="H153" s="2"/>
      <c r="I153" s="19"/>
      <c r="K153" s="35"/>
      <c r="M153" s="35"/>
      <c r="N153" s="35"/>
      <c r="O153" s="35"/>
      <c r="P153" s="35"/>
    </row>
    <row r="154" spans="2:16">
      <c r="B154" s="28"/>
      <c r="C154" s="196"/>
      <c r="D154" s="47"/>
      <c r="E154" s="28"/>
      <c r="F154" s="215"/>
      <c r="G154" s="215"/>
      <c r="H154" s="2"/>
      <c r="I154" s="19"/>
      <c r="K154" s="35"/>
      <c r="M154" s="35"/>
      <c r="N154" s="35"/>
      <c r="O154" s="35"/>
      <c r="P154" s="35"/>
    </row>
    <row r="155" spans="2:16">
      <c r="B155" s="28"/>
      <c r="C155" s="196"/>
      <c r="D155" s="47"/>
      <c r="E155" s="28"/>
      <c r="F155" s="215"/>
      <c r="G155" s="215"/>
      <c r="H155" s="2"/>
      <c r="I155" s="19"/>
      <c r="K155" s="35"/>
      <c r="M155" s="35"/>
      <c r="N155" s="35"/>
      <c r="O155" s="35"/>
      <c r="P155" s="35"/>
    </row>
    <row r="156" spans="2:16">
      <c r="B156" s="28"/>
      <c r="C156" s="196"/>
      <c r="D156" s="47"/>
      <c r="E156" s="28"/>
      <c r="F156" s="215"/>
      <c r="G156" s="215"/>
      <c r="H156" s="2"/>
      <c r="I156" s="19"/>
      <c r="K156" s="35"/>
      <c r="M156" s="35"/>
      <c r="N156" s="35"/>
      <c r="O156" s="35"/>
      <c r="P156" s="35"/>
    </row>
    <row r="157" spans="2:16">
      <c r="B157" s="28"/>
      <c r="C157" s="196"/>
      <c r="D157" s="47"/>
      <c r="E157" s="28"/>
      <c r="F157" s="215"/>
      <c r="G157" s="215"/>
      <c r="H157" s="2"/>
      <c r="I157" s="19"/>
      <c r="K157" s="35"/>
      <c r="M157" s="35"/>
      <c r="N157" s="35"/>
      <c r="O157" s="35"/>
      <c r="P157" s="35"/>
    </row>
    <row r="158" spans="2:16">
      <c r="B158" s="28"/>
      <c r="C158" s="196"/>
      <c r="D158" s="47"/>
      <c r="E158" s="28"/>
      <c r="F158" s="215"/>
      <c r="G158" s="215"/>
      <c r="H158" s="2"/>
      <c r="I158" s="19"/>
      <c r="K158" s="35"/>
      <c r="M158" s="35"/>
      <c r="N158" s="35"/>
      <c r="O158" s="35"/>
      <c r="P158" s="35"/>
    </row>
    <row r="159" spans="2:16">
      <c r="B159" s="28"/>
      <c r="C159" s="196"/>
      <c r="D159" s="47"/>
      <c r="E159" s="28"/>
      <c r="F159" s="215"/>
      <c r="G159" s="215"/>
      <c r="H159" s="2"/>
      <c r="I159" s="19"/>
      <c r="K159" s="35"/>
      <c r="M159" s="35"/>
      <c r="N159" s="35"/>
      <c r="O159" s="35"/>
      <c r="P159" s="35"/>
    </row>
    <row r="160" spans="2:16">
      <c r="B160" s="28"/>
      <c r="C160" s="196"/>
      <c r="D160" s="47"/>
      <c r="E160" s="28"/>
      <c r="F160" s="215"/>
      <c r="G160" s="215"/>
      <c r="H160" s="2"/>
      <c r="I160" s="19"/>
      <c r="K160" s="35"/>
      <c r="M160" s="35"/>
      <c r="N160" s="35"/>
      <c r="O160" s="35"/>
      <c r="P160" s="35"/>
    </row>
    <row r="161" spans="2:16">
      <c r="B161" s="28"/>
      <c r="C161" s="196"/>
      <c r="D161" s="47"/>
      <c r="E161" s="28"/>
      <c r="F161" s="215"/>
      <c r="G161" s="215"/>
      <c r="H161" s="2"/>
      <c r="I161" s="19"/>
      <c r="K161" s="35"/>
      <c r="M161" s="35"/>
      <c r="N161" s="35"/>
      <c r="O161" s="35"/>
      <c r="P161" s="35"/>
    </row>
    <row r="162" spans="2:16">
      <c r="B162" s="28"/>
      <c r="C162" s="196"/>
      <c r="D162" s="47"/>
      <c r="E162" s="28"/>
      <c r="F162" s="215"/>
      <c r="G162" s="215"/>
      <c r="H162" s="2"/>
      <c r="I162" s="19"/>
      <c r="K162" s="35"/>
      <c r="M162" s="35"/>
      <c r="N162" s="35"/>
      <c r="O162" s="35"/>
      <c r="P162" s="35"/>
    </row>
    <row r="163" spans="2:16">
      <c r="B163" s="28"/>
      <c r="C163" s="196"/>
      <c r="D163" s="47"/>
      <c r="E163" s="28"/>
      <c r="F163" s="215"/>
      <c r="G163" s="215"/>
      <c r="H163" s="2"/>
      <c r="I163" s="19"/>
      <c r="K163" s="35"/>
      <c r="M163" s="35"/>
      <c r="N163" s="35"/>
      <c r="O163" s="35"/>
      <c r="P163" s="35"/>
    </row>
    <row r="164" spans="2:16">
      <c r="B164" s="28"/>
      <c r="C164" s="196"/>
      <c r="D164" s="47"/>
      <c r="E164" s="28"/>
      <c r="F164" s="215"/>
      <c r="G164" s="215"/>
      <c r="H164" s="2"/>
      <c r="I164" s="19"/>
      <c r="K164" s="35"/>
      <c r="M164" s="35"/>
      <c r="N164" s="35"/>
      <c r="O164" s="35"/>
      <c r="P164" s="35"/>
    </row>
    <row r="165" spans="2:16">
      <c r="B165" s="28"/>
      <c r="C165" s="196"/>
      <c r="D165" s="47"/>
      <c r="E165" s="28"/>
      <c r="F165" s="215"/>
      <c r="G165" s="215"/>
      <c r="H165" s="2"/>
      <c r="I165" s="19"/>
      <c r="K165" s="35"/>
      <c r="M165" s="35"/>
      <c r="N165" s="35"/>
      <c r="O165" s="35"/>
      <c r="P165" s="35"/>
    </row>
    <row r="166" spans="2:16">
      <c r="B166" s="28"/>
      <c r="C166" s="196"/>
      <c r="D166" s="47"/>
      <c r="E166" s="28"/>
      <c r="F166" s="215"/>
      <c r="G166" s="215"/>
      <c r="H166" s="2"/>
      <c r="I166" s="19"/>
      <c r="K166" s="35"/>
      <c r="M166" s="35"/>
      <c r="N166" s="35"/>
      <c r="O166" s="35"/>
      <c r="P166" s="35"/>
    </row>
    <row r="167" spans="2:16">
      <c r="B167" s="28"/>
      <c r="C167" s="196"/>
      <c r="D167" s="47"/>
      <c r="E167" s="28"/>
      <c r="F167" s="215"/>
      <c r="G167" s="215"/>
      <c r="H167" s="2"/>
      <c r="I167" s="19"/>
      <c r="K167" s="35"/>
      <c r="M167" s="35"/>
      <c r="N167" s="35"/>
      <c r="O167" s="35"/>
      <c r="P167" s="35"/>
    </row>
    <row r="168" spans="2:16">
      <c r="B168" s="28"/>
      <c r="C168" s="196"/>
      <c r="D168" s="47"/>
      <c r="E168" s="28"/>
      <c r="F168" s="215"/>
      <c r="G168" s="215"/>
      <c r="H168" s="2"/>
      <c r="I168" s="19"/>
      <c r="K168" s="35"/>
      <c r="M168" s="35"/>
      <c r="N168" s="35"/>
      <c r="O168" s="35"/>
      <c r="P168" s="35"/>
    </row>
    <row r="169" spans="2:16">
      <c r="B169" s="28"/>
      <c r="C169" s="196"/>
      <c r="D169" s="47"/>
      <c r="E169" s="28"/>
      <c r="F169" s="215"/>
      <c r="G169" s="215"/>
      <c r="H169" s="2"/>
      <c r="I169" s="19"/>
      <c r="K169" s="35"/>
      <c r="M169" s="35"/>
      <c r="N169" s="35"/>
      <c r="O169" s="35"/>
      <c r="P169" s="35"/>
    </row>
    <row r="170" spans="2:16">
      <c r="B170" s="28"/>
      <c r="C170" s="196"/>
      <c r="D170" s="47"/>
      <c r="E170" s="28"/>
      <c r="F170" s="215"/>
      <c r="G170" s="215"/>
      <c r="H170" s="2"/>
      <c r="I170" s="19"/>
      <c r="K170" s="35"/>
      <c r="M170" s="35"/>
      <c r="N170" s="35"/>
      <c r="O170" s="35"/>
      <c r="P170" s="35"/>
    </row>
    <row r="171" spans="2:16">
      <c r="B171" s="28"/>
      <c r="C171" s="196"/>
      <c r="D171" s="47"/>
      <c r="E171" s="28"/>
      <c r="F171" s="215"/>
      <c r="G171" s="215"/>
      <c r="H171" s="2"/>
      <c r="I171" s="19"/>
      <c r="K171" s="35"/>
      <c r="M171" s="35"/>
      <c r="N171" s="35"/>
      <c r="O171" s="35"/>
      <c r="P171" s="35"/>
    </row>
    <row r="172" spans="2:16">
      <c r="B172" s="28"/>
      <c r="C172" s="196"/>
      <c r="D172" s="47"/>
      <c r="E172" s="28"/>
      <c r="F172" s="215"/>
      <c r="G172" s="215"/>
      <c r="H172" s="2"/>
      <c r="I172" s="19"/>
      <c r="K172" s="35"/>
      <c r="M172" s="35"/>
      <c r="N172" s="35"/>
      <c r="O172" s="35"/>
      <c r="P172" s="35"/>
    </row>
    <row r="173" spans="2:16">
      <c r="B173" s="28"/>
      <c r="C173" s="196"/>
      <c r="D173" s="47"/>
      <c r="E173" s="28"/>
      <c r="F173" s="215"/>
      <c r="G173" s="215"/>
      <c r="H173" s="2"/>
      <c r="I173" s="19"/>
      <c r="K173" s="35"/>
      <c r="M173" s="35"/>
      <c r="N173" s="35"/>
      <c r="O173" s="35"/>
      <c r="P173" s="35"/>
    </row>
    <row r="174" spans="2:16">
      <c r="B174" s="28"/>
      <c r="C174" s="196"/>
      <c r="D174" s="47"/>
      <c r="E174" s="28"/>
      <c r="F174" s="215"/>
      <c r="G174" s="215"/>
      <c r="H174" s="2"/>
      <c r="I174" s="19"/>
      <c r="K174" s="35"/>
      <c r="M174" s="35"/>
      <c r="N174" s="35"/>
      <c r="O174" s="35"/>
      <c r="P174" s="35"/>
    </row>
    <row r="175" spans="2:16">
      <c r="D175" s="47"/>
      <c r="E175" s="143"/>
      <c r="H175" s="2"/>
      <c r="I175" s="30"/>
    </row>
    <row r="176" spans="2:16">
      <c r="D176" s="47"/>
      <c r="E176" s="143"/>
      <c r="H176" s="2"/>
      <c r="I176" s="30"/>
    </row>
    <row r="177" spans="4:9">
      <c r="D177" s="47"/>
      <c r="E177" s="143"/>
      <c r="H177" s="2"/>
      <c r="I177" s="30"/>
    </row>
    <row r="178" spans="4:9">
      <c r="D178" s="47"/>
      <c r="E178" s="143"/>
      <c r="H178" s="2"/>
      <c r="I178" s="30"/>
    </row>
    <row r="179" spans="4:9">
      <c r="D179" s="47"/>
      <c r="E179" s="143"/>
      <c r="H179" s="2"/>
      <c r="I179" s="30"/>
    </row>
    <row r="180" spans="4:9">
      <c r="D180" s="47"/>
      <c r="E180" s="143"/>
      <c r="H180" s="2"/>
      <c r="I180" s="30"/>
    </row>
    <row r="181" spans="4:9">
      <c r="D181" s="47"/>
      <c r="E181" s="143"/>
      <c r="H181" s="2"/>
      <c r="I181" s="30"/>
    </row>
    <row r="182" spans="4:9">
      <c r="D182" s="47"/>
      <c r="E182" s="143"/>
      <c r="H182" s="2"/>
      <c r="I182" s="30"/>
    </row>
    <row r="183" spans="4:9">
      <c r="D183" s="47"/>
      <c r="E183" s="143"/>
      <c r="H183" s="2"/>
      <c r="I183" s="30"/>
    </row>
    <row r="184" spans="4:9">
      <c r="D184" s="47"/>
      <c r="E184" s="143"/>
      <c r="H184" s="2"/>
      <c r="I184" s="30"/>
    </row>
    <row r="185" spans="4:9">
      <c r="D185" s="47"/>
      <c r="E185" s="143"/>
      <c r="H185" s="2"/>
      <c r="I185" s="30"/>
    </row>
    <row r="186" spans="4:9">
      <c r="D186" s="47"/>
      <c r="E186" s="143"/>
      <c r="H186" s="2"/>
      <c r="I186" s="30"/>
    </row>
    <row r="187" spans="4:9">
      <c r="D187" s="47"/>
      <c r="E187" s="143"/>
      <c r="H187" s="2"/>
      <c r="I187" s="30"/>
    </row>
    <row r="188" spans="4:9">
      <c r="D188" s="47"/>
      <c r="E188" s="143"/>
      <c r="H188" s="2"/>
      <c r="I188" s="30"/>
    </row>
    <row r="189" spans="4:9">
      <c r="D189" s="47"/>
      <c r="E189" s="143"/>
      <c r="H189" s="2"/>
      <c r="I189" s="30"/>
    </row>
    <row r="190" spans="4:9">
      <c r="D190" s="47"/>
      <c r="E190" s="143"/>
      <c r="H190" s="2"/>
      <c r="I190" s="30"/>
    </row>
    <row r="191" spans="4:9">
      <c r="D191" s="47"/>
      <c r="E191" s="143"/>
      <c r="H191" s="2"/>
      <c r="I191" s="30"/>
    </row>
    <row r="192" spans="4:9">
      <c r="D192" s="47"/>
      <c r="E192" s="143"/>
      <c r="H192" s="2"/>
      <c r="I192" s="30"/>
    </row>
    <row r="193" spans="4:9">
      <c r="D193" s="47"/>
      <c r="E193" s="143"/>
      <c r="H193" s="2"/>
      <c r="I193" s="30"/>
    </row>
    <row r="194" spans="4:9">
      <c r="D194" s="47"/>
      <c r="E194" s="143"/>
      <c r="H194" s="2"/>
      <c r="I194" s="30"/>
    </row>
    <row r="195" spans="4:9">
      <c r="D195" s="47"/>
      <c r="E195" s="143"/>
      <c r="H195" s="2"/>
      <c r="I195" s="30"/>
    </row>
    <row r="196" spans="4:9">
      <c r="D196" s="47"/>
      <c r="E196" s="143"/>
      <c r="H196" s="2"/>
      <c r="I196" s="30"/>
    </row>
    <row r="197" spans="4:9">
      <c r="D197" s="47"/>
      <c r="E197" s="143"/>
      <c r="H197" s="2"/>
      <c r="I197" s="30"/>
    </row>
    <row r="198" spans="4:9">
      <c r="D198" s="47"/>
      <c r="E198" s="143"/>
      <c r="H198" s="2"/>
      <c r="I198" s="30"/>
    </row>
    <row r="199" spans="4:9">
      <c r="D199" s="47"/>
      <c r="E199" s="143"/>
      <c r="H199" s="2"/>
      <c r="I199" s="30"/>
    </row>
    <row r="200" spans="4:9">
      <c r="D200" s="47"/>
      <c r="E200" s="143"/>
      <c r="H200" s="2"/>
      <c r="I200" s="30"/>
    </row>
    <row r="201" spans="4:9">
      <c r="D201" s="47"/>
      <c r="E201" s="143"/>
      <c r="H201" s="2"/>
      <c r="I201" s="30"/>
    </row>
    <row r="202" spans="4:9">
      <c r="D202" s="47"/>
      <c r="E202" s="143"/>
      <c r="H202" s="2"/>
      <c r="I202" s="30"/>
    </row>
    <row r="203" spans="4:9">
      <c r="D203" s="47"/>
      <c r="E203" s="143"/>
      <c r="H203" s="2"/>
      <c r="I203" s="30"/>
    </row>
    <row r="204" spans="4:9">
      <c r="D204" s="47"/>
      <c r="E204" s="143"/>
      <c r="H204" s="2"/>
      <c r="I204" s="30"/>
    </row>
    <row r="205" spans="4:9">
      <c r="D205" s="47"/>
      <c r="E205" s="143"/>
      <c r="H205" s="2"/>
      <c r="I205" s="30"/>
    </row>
    <row r="206" spans="4:9">
      <c r="D206" s="47"/>
      <c r="E206" s="143"/>
      <c r="H206" s="2"/>
      <c r="I206" s="30"/>
    </row>
    <row r="207" spans="4:9">
      <c r="D207" s="47"/>
      <c r="E207" s="143"/>
      <c r="H207" s="2"/>
      <c r="I207" s="30"/>
    </row>
    <row r="208" spans="4:9">
      <c r="D208" s="47"/>
      <c r="E208" s="143"/>
      <c r="H208" s="2"/>
      <c r="I208" s="30"/>
    </row>
    <row r="209" spans="4:9">
      <c r="D209" s="47"/>
      <c r="E209" s="143"/>
      <c r="H209" s="2"/>
      <c r="I209" s="30"/>
    </row>
    <row r="210" spans="4:9">
      <c r="D210" s="47"/>
      <c r="E210" s="143"/>
      <c r="H210" s="2"/>
      <c r="I210" s="30"/>
    </row>
    <row r="211" spans="4:9">
      <c r="D211" s="47"/>
      <c r="E211" s="143"/>
      <c r="H211" s="2"/>
      <c r="I211" s="30"/>
    </row>
    <row r="212" spans="4:9">
      <c r="D212" s="47"/>
      <c r="E212" s="143"/>
      <c r="H212" s="2"/>
      <c r="I212" s="30"/>
    </row>
    <row r="213" spans="4:9">
      <c r="D213" s="47"/>
      <c r="E213" s="143"/>
      <c r="H213" s="2"/>
      <c r="I213" s="30"/>
    </row>
    <row r="214" spans="4:9">
      <c r="D214" s="47"/>
      <c r="E214" s="143"/>
      <c r="H214" s="2"/>
      <c r="I214" s="30"/>
    </row>
    <row r="215" spans="4:9">
      <c r="D215" s="47"/>
      <c r="E215" s="143"/>
      <c r="H215" s="2"/>
      <c r="I215" s="30"/>
    </row>
    <row r="216" spans="4:9">
      <c r="D216" s="47"/>
      <c r="E216" s="143"/>
      <c r="H216" s="2"/>
      <c r="I216" s="30"/>
    </row>
    <row r="217" spans="4:9">
      <c r="D217" s="47"/>
      <c r="E217" s="143"/>
      <c r="H217" s="2"/>
      <c r="I217" s="30"/>
    </row>
    <row r="218" spans="4:9">
      <c r="D218" s="47"/>
      <c r="E218" s="143"/>
      <c r="H218" s="2"/>
      <c r="I218" s="30"/>
    </row>
    <row r="219" spans="4:9">
      <c r="D219" s="47"/>
      <c r="E219" s="143"/>
      <c r="H219" s="2"/>
      <c r="I219" s="30"/>
    </row>
    <row r="220" spans="4:9">
      <c r="D220" s="47"/>
      <c r="E220" s="143"/>
      <c r="H220" s="2"/>
      <c r="I220" s="30"/>
    </row>
    <row r="221" spans="4:9">
      <c r="D221" s="47"/>
      <c r="E221" s="143"/>
      <c r="H221" s="2"/>
      <c r="I221" s="30"/>
    </row>
    <row r="222" spans="4:9">
      <c r="D222" s="47"/>
      <c r="E222" s="143"/>
      <c r="H222" s="2"/>
      <c r="I222" s="30"/>
    </row>
    <row r="223" spans="4:9">
      <c r="D223" s="47"/>
      <c r="E223" s="143"/>
      <c r="H223" s="2"/>
      <c r="I223" s="30"/>
    </row>
    <row r="224" spans="4:9">
      <c r="D224" s="47"/>
      <c r="E224" s="143"/>
      <c r="H224" s="2"/>
      <c r="I224" s="30"/>
    </row>
    <row r="225" spans="4:9">
      <c r="D225" s="47"/>
      <c r="E225" s="143"/>
      <c r="H225" s="2"/>
      <c r="I225" s="30"/>
    </row>
    <row r="226" spans="4:9">
      <c r="D226" s="47"/>
      <c r="E226" s="143"/>
      <c r="H226" s="2"/>
      <c r="I226" s="30"/>
    </row>
    <row r="227" spans="4:9">
      <c r="D227" s="47"/>
      <c r="E227" s="143"/>
      <c r="H227" s="2"/>
      <c r="I227" s="30"/>
    </row>
    <row r="228" spans="4:9">
      <c r="D228" s="47"/>
      <c r="E228" s="143"/>
      <c r="H228" s="2"/>
      <c r="I228" s="30"/>
    </row>
    <row r="229" spans="4:9">
      <c r="D229" s="47"/>
      <c r="E229" s="143"/>
      <c r="H229" s="2"/>
      <c r="I229" s="30"/>
    </row>
    <row r="230" spans="4:9">
      <c r="D230" s="47"/>
      <c r="E230" s="143"/>
      <c r="H230" s="2"/>
      <c r="I230" s="30"/>
    </row>
    <row r="231" spans="4:9">
      <c r="D231" s="47"/>
      <c r="E231" s="143"/>
      <c r="H231" s="2"/>
      <c r="I231" s="30"/>
    </row>
    <row r="232" spans="4:9">
      <c r="D232" s="47"/>
      <c r="E232" s="143"/>
      <c r="H232" s="2"/>
      <c r="I232" s="30"/>
    </row>
    <row r="233" spans="4:9">
      <c r="D233" s="47"/>
      <c r="E233" s="143"/>
      <c r="H233" s="2"/>
      <c r="I233" s="30"/>
    </row>
    <row r="234" spans="4:9">
      <c r="D234" s="47"/>
      <c r="E234" s="143"/>
      <c r="H234" s="2"/>
      <c r="I234" s="30"/>
    </row>
    <row r="235" spans="4:9">
      <c r="D235" s="47"/>
      <c r="E235" s="143"/>
      <c r="H235" s="2"/>
      <c r="I235" s="30"/>
    </row>
    <row r="236" spans="4:9">
      <c r="D236" s="47"/>
      <c r="E236" s="143"/>
      <c r="H236" s="2"/>
      <c r="I236" s="30"/>
    </row>
    <row r="237" spans="4:9">
      <c r="D237" s="47"/>
      <c r="E237" s="143"/>
      <c r="H237" s="2"/>
      <c r="I237" s="30"/>
    </row>
    <row r="238" spans="4:9">
      <c r="D238" s="47"/>
      <c r="E238" s="143"/>
      <c r="H238" s="2"/>
      <c r="I238" s="30"/>
    </row>
    <row r="239" spans="4:9">
      <c r="D239" s="47"/>
      <c r="E239" s="143"/>
      <c r="H239" s="2"/>
      <c r="I239" s="30"/>
    </row>
    <row r="240" spans="4:9">
      <c r="D240" s="47"/>
      <c r="E240" s="143"/>
      <c r="H240" s="2"/>
      <c r="I240" s="30"/>
    </row>
    <row r="241" spans="4:9">
      <c r="D241" s="47"/>
      <c r="E241" s="143"/>
      <c r="H241" s="2"/>
      <c r="I241" s="30"/>
    </row>
    <row r="242" spans="4:9">
      <c r="D242" s="47"/>
      <c r="E242" s="143"/>
      <c r="H242" s="2"/>
      <c r="I242" s="30"/>
    </row>
    <row r="243" spans="4:9">
      <c r="D243" s="47"/>
      <c r="E243" s="143"/>
      <c r="H243" s="2"/>
      <c r="I243" s="30"/>
    </row>
    <row r="244" spans="4:9">
      <c r="D244" s="47"/>
      <c r="E244" s="143"/>
      <c r="H244" s="2"/>
      <c r="I244" s="30"/>
    </row>
    <row r="245" spans="4:9">
      <c r="D245" s="47"/>
      <c r="E245" s="143"/>
      <c r="H245" s="2"/>
      <c r="I245" s="30"/>
    </row>
    <row r="246" spans="4:9">
      <c r="D246" s="47"/>
      <c r="E246" s="143"/>
      <c r="H246" s="2"/>
      <c r="I246" s="30"/>
    </row>
    <row r="247" spans="4:9">
      <c r="D247" s="47"/>
      <c r="E247" s="143"/>
      <c r="H247" s="2"/>
      <c r="I247" s="30"/>
    </row>
    <row r="248" spans="4:9">
      <c r="D248" s="47"/>
      <c r="E248" s="143"/>
      <c r="H248" s="2"/>
      <c r="I248" s="30"/>
    </row>
    <row r="249" spans="4:9">
      <c r="D249" s="47"/>
      <c r="E249" s="143"/>
      <c r="H249" s="2"/>
      <c r="I249" s="30"/>
    </row>
    <row r="250" spans="4:9">
      <c r="D250" s="47"/>
      <c r="E250" s="143"/>
      <c r="H250" s="2"/>
      <c r="I250" s="30"/>
    </row>
    <row r="251" spans="4:9">
      <c r="D251" s="47"/>
      <c r="E251" s="143"/>
      <c r="H251" s="2"/>
      <c r="I251" s="30"/>
    </row>
    <row r="252" spans="4:9">
      <c r="D252" s="47"/>
      <c r="E252" s="143"/>
      <c r="H252" s="2"/>
      <c r="I252" s="30"/>
    </row>
    <row r="253" spans="4:9">
      <c r="D253" s="47"/>
      <c r="E253" s="143"/>
      <c r="H253" s="2"/>
      <c r="I253" s="30"/>
    </row>
    <row r="254" spans="4:9">
      <c r="D254" s="47"/>
      <c r="E254" s="143"/>
      <c r="H254" s="2"/>
      <c r="I254" s="30"/>
    </row>
    <row r="255" spans="4:9">
      <c r="D255" s="47"/>
      <c r="E255" s="143"/>
      <c r="H255" s="2"/>
      <c r="I255" s="30"/>
    </row>
    <row r="256" spans="4:9">
      <c r="D256" s="47"/>
      <c r="E256" s="143"/>
      <c r="H256" s="2"/>
      <c r="I256" s="30"/>
    </row>
    <row r="257" spans="4:9">
      <c r="D257" s="47"/>
      <c r="E257" s="143"/>
      <c r="H257" s="2"/>
      <c r="I257" s="30"/>
    </row>
    <row r="258" spans="4:9">
      <c r="D258" s="47"/>
      <c r="E258" s="143"/>
      <c r="H258" s="2"/>
      <c r="I258" s="30"/>
    </row>
    <row r="259" spans="4:9">
      <c r="D259" s="47"/>
      <c r="E259" s="143"/>
      <c r="H259" s="2"/>
      <c r="I259" s="30"/>
    </row>
    <row r="260" spans="4:9">
      <c r="D260" s="47"/>
      <c r="E260" s="143"/>
      <c r="H260" s="2"/>
      <c r="I260" s="30"/>
    </row>
    <row r="261" spans="4:9">
      <c r="D261" s="47"/>
      <c r="E261" s="143"/>
      <c r="H261" s="2"/>
      <c r="I261" s="30"/>
    </row>
    <row r="262" spans="4:9">
      <c r="D262" s="47"/>
      <c r="E262" s="143"/>
      <c r="H262" s="2"/>
      <c r="I262" s="30"/>
    </row>
    <row r="263" spans="4:9">
      <c r="D263" s="47"/>
      <c r="E263" s="143"/>
      <c r="H263" s="2"/>
      <c r="I263" s="30"/>
    </row>
    <row r="264" spans="4:9">
      <c r="D264" s="47"/>
      <c r="E264" s="143"/>
      <c r="H264" s="2"/>
      <c r="I264" s="30"/>
    </row>
    <row r="265" spans="4:9">
      <c r="D265" s="47"/>
      <c r="E265" s="143"/>
      <c r="H265" s="2"/>
      <c r="I265" s="30"/>
    </row>
    <row r="266" spans="4:9">
      <c r="D266" s="47"/>
      <c r="E266" s="143"/>
      <c r="H266" s="2"/>
      <c r="I266" s="30"/>
    </row>
    <row r="267" spans="4:9">
      <c r="D267" s="47"/>
      <c r="E267" s="143"/>
      <c r="H267" s="2"/>
      <c r="I267" s="30"/>
    </row>
    <row r="268" spans="4:9">
      <c r="D268" s="47"/>
      <c r="E268" s="143"/>
      <c r="H268" s="2"/>
      <c r="I268" s="30"/>
    </row>
    <row r="269" spans="4:9">
      <c r="D269" s="47"/>
      <c r="E269" s="143"/>
      <c r="H269" s="2"/>
      <c r="I269" s="30"/>
    </row>
    <row r="270" spans="4:9">
      <c r="D270" s="47"/>
      <c r="E270" s="143"/>
      <c r="H270" s="2"/>
      <c r="I270" s="30"/>
    </row>
    <row r="271" spans="4:9">
      <c r="D271" s="47"/>
      <c r="E271" s="143"/>
      <c r="H271" s="2"/>
      <c r="I271" s="30"/>
    </row>
    <row r="272" spans="4:9">
      <c r="D272" s="47"/>
      <c r="E272" s="143"/>
      <c r="H272" s="2"/>
      <c r="I272" s="30"/>
    </row>
    <row r="273" spans="4:9">
      <c r="D273" s="47"/>
      <c r="E273" s="143"/>
      <c r="H273" s="2"/>
      <c r="I273" s="30"/>
    </row>
    <row r="274" spans="4:9">
      <c r="D274" s="47"/>
      <c r="E274" s="143"/>
      <c r="H274" s="2"/>
      <c r="I274" s="30"/>
    </row>
    <row r="275" spans="4:9">
      <c r="D275" s="47"/>
      <c r="E275" s="143"/>
      <c r="H275" s="2"/>
      <c r="I275" s="30"/>
    </row>
    <row r="276" spans="4:9">
      <c r="D276" s="47"/>
      <c r="E276" s="143"/>
      <c r="H276" s="2"/>
      <c r="I276" s="30"/>
    </row>
    <row r="277" spans="4:9">
      <c r="D277" s="47"/>
      <c r="E277" s="143"/>
      <c r="H277" s="2"/>
      <c r="I277" s="30"/>
    </row>
    <row r="278" spans="4:9">
      <c r="D278" s="47"/>
      <c r="E278" s="143"/>
      <c r="H278" s="2"/>
      <c r="I278" s="30"/>
    </row>
    <row r="279" spans="4:9">
      <c r="D279" s="47"/>
      <c r="E279" s="143"/>
      <c r="H279" s="2"/>
      <c r="I279" s="30"/>
    </row>
    <row r="280" spans="4:9">
      <c r="D280" s="47"/>
      <c r="E280" s="143"/>
      <c r="H280" s="2"/>
      <c r="I280" s="30"/>
    </row>
    <row r="281" spans="4:9">
      <c r="D281" s="47"/>
      <c r="E281" s="143"/>
      <c r="H281" s="2"/>
      <c r="I281" s="30"/>
    </row>
    <row r="282" spans="4:9">
      <c r="D282" s="47"/>
      <c r="E282" s="143"/>
      <c r="H282" s="2"/>
      <c r="I282" s="30"/>
    </row>
    <row r="283" spans="4:9">
      <c r="D283" s="47"/>
      <c r="E283" s="143"/>
      <c r="H283" s="2"/>
      <c r="I283" s="30"/>
    </row>
    <row r="284" spans="4:9">
      <c r="D284" s="47"/>
      <c r="E284" s="143"/>
      <c r="H284" s="2"/>
      <c r="I284" s="30"/>
    </row>
    <row r="285" spans="4:9">
      <c r="D285" s="47"/>
      <c r="E285" s="143"/>
      <c r="H285" s="2"/>
      <c r="I285" s="30"/>
    </row>
    <row r="286" spans="4:9">
      <c r="D286" s="47"/>
      <c r="E286" s="143"/>
      <c r="H286" s="2"/>
      <c r="I286" s="30"/>
    </row>
    <row r="287" spans="4:9">
      <c r="D287" s="47"/>
      <c r="E287" s="143"/>
      <c r="H287" s="2"/>
      <c r="I287" s="30"/>
    </row>
    <row r="288" spans="4:9">
      <c r="D288" s="47"/>
      <c r="E288" s="143"/>
      <c r="H288" s="2"/>
      <c r="I288" s="30"/>
    </row>
    <row r="289" spans="4:9">
      <c r="D289" s="47"/>
      <c r="E289" s="143"/>
      <c r="H289" s="2"/>
      <c r="I289" s="30"/>
    </row>
    <row r="290" spans="4:9">
      <c r="D290" s="47"/>
      <c r="E290" s="143"/>
      <c r="H290" s="2"/>
      <c r="I290" s="30"/>
    </row>
    <row r="291" spans="4:9">
      <c r="D291" s="47"/>
      <c r="E291" s="143"/>
      <c r="H291" s="2"/>
      <c r="I291" s="30"/>
    </row>
    <row r="292" spans="4:9">
      <c r="D292" s="47"/>
      <c r="E292" s="143"/>
      <c r="H292" s="2"/>
      <c r="I292" s="30"/>
    </row>
    <row r="293" spans="4:9">
      <c r="D293" s="47"/>
      <c r="E293" s="143"/>
      <c r="H293" s="2"/>
      <c r="I293" s="30"/>
    </row>
    <row r="294" spans="4:9">
      <c r="D294" s="47"/>
      <c r="E294" s="143"/>
      <c r="H294" s="2"/>
      <c r="I294" s="30"/>
    </row>
    <row r="295" spans="4:9">
      <c r="D295" s="47"/>
      <c r="E295" s="143"/>
      <c r="H295" s="2"/>
      <c r="I295" s="30"/>
    </row>
    <row r="296" spans="4:9">
      <c r="D296" s="47"/>
      <c r="E296" s="143"/>
      <c r="H296" s="2"/>
      <c r="I296" s="30"/>
    </row>
    <row r="297" spans="4:9">
      <c r="D297" s="47"/>
      <c r="E297" s="143"/>
      <c r="H297" s="2"/>
      <c r="I297" s="30"/>
    </row>
    <row r="298" spans="4:9">
      <c r="D298" s="47"/>
      <c r="E298" s="143"/>
      <c r="H298" s="2"/>
      <c r="I298" s="30"/>
    </row>
    <row r="299" spans="4:9">
      <c r="D299" s="47"/>
      <c r="E299" s="143"/>
      <c r="H299" s="2"/>
      <c r="I299" s="30"/>
    </row>
    <row r="300" spans="4:9">
      <c r="D300" s="47"/>
      <c r="E300" s="143"/>
      <c r="H300" s="2"/>
      <c r="I300" s="30"/>
    </row>
    <row r="301" spans="4:9">
      <c r="D301" s="47"/>
      <c r="E301" s="143"/>
      <c r="H301" s="2"/>
      <c r="I301" s="30"/>
    </row>
    <row r="302" spans="4:9">
      <c r="D302" s="47"/>
      <c r="E302" s="143"/>
      <c r="H302" s="2"/>
      <c r="I302" s="30"/>
    </row>
    <row r="303" spans="4:9">
      <c r="D303" s="47"/>
      <c r="E303" s="143"/>
      <c r="H303" s="2"/>
      <c r="I303" s="30"/>
    </row>
    <row r="304" spans="4:9">
      <c r="D304" s="47"/>
      <c r="E304" s="143"/>
      <c r="H304" s="2"/>
      <c r="I304" s="30"/>
    </row>
    <row r="305" spans="4:9">
      <c r="D305" s="47"/>
      <c r="E305" s="143"/>
      <c r="H305" s="2"/>
      <c r="I305" s="30"/>
    </row>
    <row r="306" spans="4:9">
      <c r="D306" s="47"/>
      <c r="E306" s="143"/>
      <c r="H306" s="2"/>
      <c r="I306" s="30"/>
    </row>
    <row r="307" spans="4:9">
      <c r="D307" s="47"/>
      <c r="E307" s="143"/>
      <c r="H307" s="2"/>
      <c r="I307" s="30"/>
    </row>
    <row r="308" spans="4:9">
      <c r="D308" s="47"/>
      <c r="E308" s="143"/>
      <c r="H308" s="2"/>
      <c r="I308" s="30"/>
    </row>
    <row r="309" spans="4:9">
      <c r="D309" s="47"/>
      <c r="E309" s="143"/>
      <c r="H309" s="2"/>
      <c r="I309" s="30"/>
    </row>
    <row r="310" spans="4:9">
      <c r="D310" s="47"/>
      <c r="E310" s="143"/>
      <c r="H310" s="2"/>
      <c r="I310" s="30"/>
    </row>
    <row r="311" spans="4:9">
      <c r="D311" s="47"/>
      <c r="E311" s="143"/>
      <c r="H311" s="2"/>
      <c r="I311" s="30"/>
    </row>
    <row r="312" spans="4:9">
      <c r="D312" s="47"/>
      <c r="E312" s="143"/>
      <c r="H312" s="2"/>
      <c r="I312" s="30"/>
    </row>
    <row r="313" spans="4:9">
      <c r="D313" s="47"/>
      <c r="E313" s="143"/>
      <c r="H313" s="2"/>
      <c r="I313" s="30"/>
    </row>
    <row r="314" spans="4:9">
      <c r="D314" s="47"/>
      <c r="E314" s="143"/>
      <c r="H314" s="2"/>
      <c r="I314" s="30"/>
    </row>
    <row r="315" spans="4:9">
      <c r="D315" s="47"/>
      <c r="E315" s="143"/>
      <c r="H315" s="2"/>
      <c r="I315" s="30"/>
    </row>
    <row r="316" spans="4:9">
      <c r="D316" s="47"/>
      <c r="E316" s="143"/>
      <c r="H316" s="2"/>
      <c r="I316" s="30"/>
    </row>
    <row r="317" spans="4:9">
      <c r="D317" s="47"/>
      <c r="E317" s="143"/>
      <c r="H317" s="2"/>
      <c r="I317" s="30"/>
    </row>
    <row r="318" spans="4:9">
      <c r="D318" s="47"/>
      <c r="E318" s="143"/>
      <c r="H318" s="2"/>
      <c r="I318" s="30"/>
    </row>
    <row r="319" spans="4:9">
      <c r="D319" s="47"/>
      <c r="E319" s="143"/>
      <c r="H319" s="2"/>
      <c r="I319" s="30"/>
    </row>
    <row r="320" spans="4:9">
      <c r="D320" s="47"/>
      <c r="E320" s="143"/>
      <c r="H320" s="2"/>
      <c r="I320" s="30"/>
    </row>
    <row r="321" spans="4:9">
      <c r="D321" s="47"/>
      <c r="E321" s="143"/>
      <c r="H321" s="2"/>
      <c r="I321" s="30"/>
    </row>
    <row r="322" spans="4:9">
      <c r="D322" s="47"/>
      <c r="E322" s="143"/>
      <c r="H322" s="2"/>
      <c r="I322" s="30"/>
    </row>
    <row r="323" spans="4:9">
      <c r="D323" s="47"/>
      <c r="E323" s="143"/>
      <c r="H323" s="2"/>
      <c r="I323" s="30"/>
    </row>
    <row r="324" spans="4:9">
      <c r="D324" s="47"/>
      <c r="E324" s="143"/>
      <c r="H324" s="2"/>
      <c r="I324" s="30"/>
    </row>
    <row r="325" spans="4:9">
      <c r="D325" s="47"/>
      <c r="E325" s="143"/>
      <c r="H325" s="2"/>
      <c r="I325" s="30"/>
    </row>
    <row r="326" spans="4:9">
      <c r="D326" s="47"/>
      <c r="E326" s="143"/>
      <c r="H326" s="2"/>
      <c r="I326" s="30"/>
    </row>
    <row r="327" spans="4:9">
      <c r="D327" s="47"/>
      <c r="E327" s="143"/>
      <c r="H327" s="2"/>
      <c r="I327" s="30"/>
    </row>
    <row r="328" spans="4:9">
      <c r="D328" s="47"/>
      <c r="E328" s="143"/>
      <c r="H328" s="2"/>
      <c r="I328" s="30"/>
    </row>
    <row r="329" spans="4:9">
      <c r="D329" s="47"/>
      <c r="E329" s="143"/>
      <c r="H329" s="2"/>
      <c r="I329" s="30"/>
    </row>
    <row r="330" spans="4:9">
      <c r="D330" s="47"/>
      <c r="E330" s="143"/>
      <c r="H330" s="2"/>
      <c r="I330" s="30"/>
    </row>
    <row r="331" spans="4:9">
      <c r="D331" s="47"/>
      <c r="E331" s="143"/>
      <c r="H331" s="2"/>
      <c r="I331" s="30"/>
    </row>
    <row r="332" spans="4:9">
      <c r="D332" s="47"/>
      <c r="E332" s="143"/>
      <c r="H332" s="2"/>
      <c r="I332" s="30"/>
    </row>
    <row r="333" spans="4:9">
      <c r="D333" s="47"/>
      <c r="E333" s="143"/>
      <c r="H333" s="2"/>
      <c r="I333" s="30"/>
    </row>
    <row r="334" spans="4:9">
      <c r="D334" s="47"/>
      <c r="E334" s="143"/>
      <c r="H334" s="2"/>
      <c r="I334" s="30"/>
    </row>
    <row r="335" spans="4:9">
      <c r="D335" s="47"/>
      <c r="E335" s="143"/>
      <c r="H335" s="2"/>
      <c r="I335" s="30"/>
    </row>
    <row r="336" spans="4:9">
      <c r="D336" s="47"/>
      <c r="E336" s="143"/>
      <c r="H336" s="2"/>
      <c r="I336" s="30"/>
    </row>
    <row r="337" spans="4:9">
      <c r="D337" s="47"/>
      <c r="E337" s="143"/>
      <c r="H337" s="2"/>
      <c r="I337" s="30"/>
    </row>
    <row r="338" spans="4:9">
      <c r="D338" s="47"/>
      <c r="E338" s="143"/>
      <c r="H338" s="2"/>
      <c r="I338" s="30"/>
    </row>
    <row r="339" spans="4:9">
      <c r="D339" s="47"/>
      <c r="E339" s="143"/>
      <c r="H339" s="2"/>
      <c r="I339" s="30"/>
    </row>
    <row r="340" spans="4:9">
      <c r="D340" s="47"/>
      <c r="E340" s="143"/>
      <c r="H340" s="2"/>
      <c r="I340" s="30"/>
    </row>
    <row r="341" spans="4:9">
      <c r="D341" s="47"/>
      <c r="E341" s="143"/>
      <c r="H341" s="2"/>
      <c r="I341" s="30"/>
    </row>
    <row r="342" spans="4:9">
      <c r="D342" s="47"/>
      <c r="E342" s="143"/>
      <c r="H342" s="2"/>
      <c r="I342" s="30"/>
    </row>
    <row r="343" spans="4:9">
      <c r="D343" s="47"/>
      <c r="E343" s="143"/>
      <c r="H343" s="2"/>
      <c r="I343" s="30"/>
    </row>
    <row r="344" spans="4:9">
      <c r="D344" s="47"/>
      <c r="E344" s="143"/>
      <c r="H344" s="2"/>
      <c r="I344" s="30"/>
    </row>
    <row r="345" spans="4:9">
      <c r="D345" s="47"/>
      <c r="E345" s="143"/>
      <c r="H345" s="2"/>
      <c r="I345" s="30"/>
    </row>
    <row r="346" spans="4:9">
      <c r="D346" s="47"/>
      <c r="E346" s="143"/>
      <c r="H346" s="2"/>
      <c r="I346" s="30"/>
    </row>
    <row r="347" spans="4:9">
      <c r="D347" s="47"/>
      <c r="E347" s="143"/>
      <c r="H347" s="2"/>
      <c r="I347" s="30"/>
    </row>
    <row r="348" spans="4:9">
      <c r="D348" s="47"/>
      <c r="E348" s="143"/>
      <c r="H348" s="2"/>
      <c r="I348" s="30"/>
    </row>
    <row r="349" spans="4:9">
      <c r="D349" s="47"/>
      <c r="E349" s="143"/>
      <c r="H349" s="2"/>
      <c r="I349" s="30"/>
    </row>
    <row r="350" spans="4:9">
      <c r="D350" s="47"/>
      <c r="E350" s="143"/>
      <c r="H350" s="2"/>
      <c r="I350" s="30"/>
    </row>
    <row r="351" spans="4:9">
      <c r="D351" s="47"/>
      <c r="E351" s="143"/>
      <c r="H351" s="2"/>
      <c r="I351" s="30"/>
    </row>
    <row r="352" spans="4:9">
      <c r="D352" s="47"/>
      <c r="E352" s="143"/>
      <c r="H352" s="2"/>
      <c r="I352" s="30"/>
    </row>
    <row r="353" spans="4:9">
      <c r="D353" s="47"/>
      <c r="E353" s="143"/>
      <c r="H353" s="2"/>
      <c r="I353" s="30"/>
    </row>
    <row r="354" spans="4:9">
      <c r="D354" s="47"/>
      <c r="E354" s="143"/>
      <c r="H354" s="2"/>
      <c r="I354" s="30"/>
    </row>
    <row r="355" spans="4:9">
      <c r="D355" s="47"/>
      <c r="E355" s="143"/>
      <c r="H355" s="2"/>
      <c r="I355" s="30"/>
    </row>
    <row r="356" spans="4:9">
      <c r="D356" s="47"/>
      <c r="E356" s="143"/>
      <c r="H356" s="2"/>
      <c r="I356" s="30"/>
    </row>
    <row r="357" spans="4:9">
      <c r="D357" s="47"/>
      <c r="E357" s="143"/>
      <c r="H357" s="2"/>
      <c r="I357" s="30"/>
    </row>
    <row r="358" spans="4:9">
      <c r="D358" s="47"/>
      <c r="E358" s="143"/>
      <c r="H358" s="2"/>
      <c r="I358" s="30"/>
    </row>
    <row r="359" spans="4:9">
      <c r="D359" s="47"/>
      <c r="E359" s="143"/>
      <c r="H359" s="2"/>
      <c r="I359" s="30"/>
    </row>
    <row r="360" spans="4:9">
      <c r="D360" s="47"/>
      <c r="E360" s="143"/>
      <c r="H360" s="2"/>
      <c r="I360" s="30"/>
    </row>
    <row r="361" spans="4:9">
      <c r="D361" s="47"/>
      <c r="E361" s="143"/>
      <c r="H361" s="2"/>
      <c r="I361" s="30"/>
    </row>
    <row r="362" spans="4:9">
      <c r="D362" s="47"/>
      <c r="E362" s="143"/>
      <c r="H362" s="2"/>
      <c r="I362" s="30"/>
    </row>
    <row r="363" spans="4:9">
      <c r="D363" s="47"/>
      <c r="E363" s="143"/>
      <c r="H363" s="2"/>
      <c r="I363" s="30"/>
    </row>
    <row r="364" spans="4:9">
      <c r="D364" s="47"/>
      <c r="E364" s="143"/>
      <c r="H364" s="2"/>
      <c r="I364" s="30"/>
    </row>
    <row r="365" spans="4:9">
      <c r="D365" s="47"/>
      <c r="E365" s="143"/>
      <c r="H365" s="2"/>
      <c r="I365" s="30"/>
    </row>
    <row r="366" spans="4:9">
      <c r="D366" s="47"/>
      <c r="E366" s="143"/>
      <c r="H366" s="2"/>
      <c r="I366" s="30"/>
    </row>
    <row r="367" spans="4:9">
      <c r="D367" s="47"/>
      <c r="E367" s="143"/>
      <c r="H367" s="2"/>
      <c r="I367" s="30"/>
    </row>
    <row r="368" spans="4:9">
      <c r="D368" s="47"/>
      <c r="E368" s="143"/>
      <c r="H368" s="2"/>
      <c r="I368" s="30"/>
    </row>
    <row r="369" spans="4:9">
      <c r="D369" s="47"/>
      <c r="E369" s="143"/>
      <c r="H369" s="2"/>
      <c r="I369" s="30"/>
    </row>
    <row r="370" spans="4:9">
      <c r="D370" s="47"/>
      <c r="E370" s="143"/>
      <c r="H370" s="2"/>
      <c r="I370" s="30"/>
    </row>
    <row r="371" spans="4:9">
      <c r="D371" s="47"/>
      <c r="E371" s="143"/>
      <c r="H371" s="2"/>
      <c r="I371" s="30"/>
    </row>
    <row r="372" spans="4:9">
      <c r="D372" s="47"/>
      <c r="E372" s="143"/>
      <c r="H372" s="2"/>
      <c r="I372" s="30"/>
    </row>
    <row r="373" spans="4:9">
      <c r="D373" s="47"/>
      <c r="E373" s="143"/>
      <c r="H373" s="2"/>
      <c r="I373" s="30"/>
    </row>
    <row r="374" spans="4:9">
      <c r="D374" s="47"/>
      <c r="E374" s="143"/>
      <c r="H374" s="2"/>
      <c r="I374" s="30"/>
    </row>
    <row r="375" spans="4:9">
      <c r="D375" s="47"/>
      <c r="E375" s="143"/>
      <c r="H375" s="2"/>
      <c r="I375" s="30"/>
    </row>
    <row r="376" spans="4:9">
      <c r="D376" s="47"/>
      <c r="E376" s="143"/>
      <c r="H376" s="2"/>
      <c r="I376" s="30"/>
    </row>
    <row r="377" spans="4:9">
      <c r="D377" s="47"/>
      <c r="E377" s="143"/>
      <c r="H377" s="2"/>
      <c r="I377" s="30"/>
    </row>
    <row r="378" spans="4:9">
      <c r="D378" s="47"/>
      <c r="E378" s="143"/>
      <c r="H378" s="2"/>
      <c r="I378" s="30"/>
    </row>
    <row r="379" spans="4:9">
      <c r="D379" s="47"/>
      <c r="E379" s="143"/>
      <c r="H379" s="2"/>
      <c r="I379" s="30"/>
    </row>
    <row r="380" spans="4:9">
      <c r="D380" s="47"/>
      <c r="E380" s="143"/>
      <c r="H380" s="2"/>
      <c r="I380" s="30"/>
    </row>
    <row r="381" spans="4:9">
      <c r="D381" s="47"/>
      <c r="E381" s="143"/>
      <c r="H381" s="2"/>
      <c r="I381" s="30"/>
    </row>
    <row r="382" spans="4:9">
      <c r="D382" s="47"/>
      <c r="E382" s="143"/>
      <c r="H382" s="2"/>
      <c r="I382" s="30"/>
    </row>
    <row r="383" spans="4:9">
      <c r="D383" s="47"/>
      <c r="E383" s="143"/>
      <c r="H383" s="2"/>
      <c r="I383" s="30"/>
    </row>
    <row r="384" spans="4:9">
      <c r="D384" s="47"/>
      <c r="E384" s="143"/>
      <c r="H384" s="2"/>
      <c r="I384" s="30"/>
    </row>
    <row r="385" spans="4:9">
      <c r="D385" s="47"/>
      <c r="E385" s="143"/>
      <c r="H385" s="2"/>
      <c r="I385" s="30"/>
    </row>
    <row r="386" spans="4:9">
      <c r="D386" s="47"/>
      <c r="E386" s="143"/>
      <c r="H386" s="2"/>
      <c r="I386" s="30"/>
    </row>
    <row r="387" spans="4:9">
      <c r="D387" s="47"/>
      <c r="E387" s="143"/>
      <c r="H387" s="2"/>
      <c r="I387" s="30"/>
    </row>
    <row r="388" spans="4:9">
      <c r="D388" s="47"/>
      <c r="E388" s="143"/>
      <c r="H388" s="2"/>
      <c r="I388" s="30"/>
    </row>
    <row r="389" spans="4:9">
      <c r="D389" s="47"/>
      <c r="E389" s="143"/>
      <c r="H389" s="2"/>
      <c r="I389" s="30"/>
    </row>
    <row r="390" spans="4:9">
      <c r="D390" s="47"/>
      <c r="E390" s="143"/>
      <c r="H390" s="2"/>
      <c r="I390" s="30"/>
    </row>
    <row r="391" spans="4:9">
      <c r="D391" s="47"/>
      <c r="E391" s="143"/>
      <c r="H391" s="2"/>
      <c r="I391" s="30"/>
    </row>
    <row r="392" spans="4:9">
      <c r="D392" s="47"/>
      <c r="E392" s="143"/>
      <c r="H392" s="2"/>
      <c r="I392" s="30"/>
    </row>
    <row r="393" spans="4:9">
      <c r="D393" s="47"/>
      <c r="E393" s="143"/>
      <c r="H393" s="2"/>
      <c r="I393" s="30"/>
    </row>
    <row r="394" spans="4:9">
      <c r="D394" s="47"/>
      <c r="E394" s="143"/>
      <c r="H394" s="2"/>
      <c r="I394" s="30"/>
    </row>
    <row r="395" spans="4:9">
      <c r="D395" s="47"/>
      <c r="E395" s="143"/>
      <c r="H395" s="2"/>
      <c r="I395" s="30"/>
    </row>
    <row r="396" spans="4:9">
      <c r="D396" s="47"/>
      <c r="E396" s="143"/>
      <c r="H396" s="2"/>
      <c r="I396" s="30"/>
    </row>
    <row r="397" spans="4:9">
      <c r="D397" s="47"/>
      <c r="E397" s="143"/>
      <c r="H397" s="2"/>
      <c r="I397" s="30"/>
    </row>
    <row r="398" spans="4:9">
      <c r="D398" s="47"/>
      <c r="E398" s="143"/>
      <c r="H398" s="2"/>
      <c r="I398" s="30"/>
    </row>
    <row r="399" spans="4:9">
      <c r="D399" s="47"/>
      <c r="E399" s="143"/>
      <c r="H399" s="2"/>
      <c r="I399" s="30"/>
    </row>
    <row r="400" spans="4:9">
      <c r="D400" s="47"/>
      <c r="E400" s="143"/>
      <c r="H400" s="2"/>
      <c r="I400" s="30"/>
    </row>
    <row r="401" spans="4:9">
      <c r="D401" s="47"/>
      <c r="E401" s="143"/>
      <c r="H401" s="2"/>
      <c r="I401" s="30"/>
    </row>
    <row r="402" spans="4:9">
      <c r="D402" s="47"/>
      <c r="E402" s="143"/>
      <c r="H402" s="2"/>
      <c r="I402" s="30"/>
    </row>
    <row r="403" spans="4:9">
      <c r="D403" s="47"/>
      <c r="E403" s="143"/>
      <c r="H403" s="2"/>
      <c r="I403" s="30"/>
    </row>
    <row r="404" spans="4:9">
      <c r="D404" s="47"/>
      <c r="E404" s="143"/>
      <c r="H404" s="2"/>
      <c r="I404" s="30"/>
    </row>
    <row r="405" spans="4:9">
      <c r="D405" s="47"/>
      <c r="E405" s="143"/>
      <c r="H405" s="2"/>
      <c r="I405" s="30"/>
    </row>
    <row r="406" spans="4:9">
      <c r="D406" s="47"/>
      <c r="E406" s="143"/>
      <c r="H406" s="2"/>
      <c r="I406" s="30"/>
    </row>
    <row r="407" spans="4:9">
      <c r="D407" s="47"/>
      <c r="E407" s="143"/>
      <c r="H407" s="2"/>
      <c r="I407" s="30"/>
    </row>
    <row r="408" spans="4:9">
      <c r="D408" s="47"/>
      <c r="E408" s="143"/>
      <c r="H408" s="2"/>
      <c r="I408" s="30"/>
    </row>
    <row r="409" spans="4:9">
      <c r="D409" s="47"/>
      <c r="E409" s="143"/>
      <c r="H409" s="2"/>
      <c r="I409" s="30"/>
    </row>
    <row r="410" spans="4:9">
      <c r="D410" s="47"/>
      <c r="E410" s="143"/>
      <c r="H410" s="2"/>
      <c r="I410" s="30"/>
    </row>
    <row r="411" spans="4:9">
      <c r="D411" s="47"/>
      <c r="E411" s="143"/>
      <c r="H411" s="2"/>
      <c r="I411" s="30"/>
    </row>
    <row r="412" spans="4:9">
      <c r="D412" s="47"/>
      <c r="E412" s="143"/>
      <c r="H412" s="2"/>
      <c r="I412" s="30"/>
    </row>
    <row r="413" spans="4:9">
      <c r="D413" s="47"/>
      <c r="E413" s="143"/>
      <c r="H413" s="2"/>
      <c r="I413" s="30"/>
    </row>
    <row r="414" spans="4:9">
      <c r="D414" s="47"/>
      <c r="E414" s="143"/>
      <c r="H414" s="2"/>
      <c r="I414" s="30"/>
    </row>
    <row r="415" spans="4:9">
      <c r="D415" s="47"/>
      <c r="E415" s="143"/>
      <c r="H415" s="2"/>
      <c r="I415" s="30"/>
    </row>
    <row r="416" spans="4:9">
      <c r="D416" s="47"/>
      <c r="E416" s="143"/>
      <c r="H416" s="2"/>
      <c r="I416" s="30"/>
    </row>
    <row r="417" spans="4:9">
      <c r="D417" s="47"/>
      <c r="E417" s="143"/>
      <c r="H417" s="2"/>
      <c r="I417" s="30"/>
    </row>
    <row r="418" spans="4:9">
      <c r="D418" s="47"/>
      <c r="E418" s="143"/>
      <c r="H418" s="2"/>
      <c r="I418" s="30"/>
    </row>
    <row r="419" spans="4:9">
      <c r="D419" s="47"/>
      <c r="E419" s="143"/>
      <c r="H419" s="2"/>
      <c r="I419" s="30"/>
    </row>
    <row r="420" spans="4:9">
      <c r="D420" s="47"/>
      <c r="E420" s="143"/>
      <c r="H420" s="2"/>
      <c r="I420" s="30"/>
    </row>
    <row r="421" spans="4:9">
      <c r="D421" s="47"/>
      <c r="E421" s="143"/>
      <c r="H421" s="2"/>
      <c r="I421" s="30"/>
    </row>
    <row r="422" spans="4:9">
      <c r="D422" s="47"/>
      <c r="E422" s="143"/>
      <c r="H422" s="2"/>
      <c r="I422" s="30"/>
    </row>
    <row r="423" spans="4:9">
      <c r="D423" s="47"/>
      <c r="E423" s="143"/>
      <c r="H423" s="2"/>
      <c r="I423" s="30"/>
    </row>
    <row r="424" spans="4:9">
      <c r="D424" s="47"/>
      <c r="E424" s="143"/>
      <c r="H424" s="2"/>
      <c r="I424" s="30"/>
    </row>
    <row r="425" spans="4:9">
      <c r="D425" s="47"/>
      <c r="E425" s="143"/>
      <c r="H425" s="2"/>
      <c r="I425" s="30"/>
    </row>
    <row r="426" spans="4:9">
      <c r="D426" s="47"/>
      <c r="E426" s="143"/>
      <c r="H426" s="2"/>
      <c r="I426" s="30"/>
    </row>
    <row r="427" spans="4:9">
      <c r="D427" s="47"/>
      <c r="E427" s="143"/>
      <c r="H427" s="2"/>
      <c r="I427" s="30"/>
    </row>
    <row r="428" spans="4:9">
      <c r="D428" s="47"/>
      <c r="E428" s="143"/>
      <c r="H428" s="2"/>
      <c r="I428" s="30"/>
    </row>
    <row r="429" spans="4:9">
      <c r="D429" s="47"/>
      <c r="E429" s="143"/>
      <c r="H429" s="2"/>
      <c r="I429" s="30"/>
    </row>
    <row r="430" spans="4:9">
      <c r="D430" s="47"/>
      <c r="E430" s="143"/>
      <c r="H430" s="2"/>
      <c r="I430" s="30"/>
    </row>
    <row r="431" spans="4:9">
      <c r="D431" s="47"/>
      <c r="E431" s="143"/>
      <c r="H431" s="2"/>
      <c r="I431" s="30"/>
    </row>
    <row r="432" spans="4:9">
      <c r="D432" s="47"/>
      <c r="E432" s="143"/>
      <c r="H432" s="2"/>
      <c r="I432" s="30"/>
    </row>
    <row r="433" spans="4:9">
      <c r="D433" s="47"/>
      <c r="E433" s="143"/>
      <c r="H433" s="2"/>
      <c r="I433" s="30"/>
    </row>
    <row r="434" spans="4:9">
      <c r="D434" s="47"/>
      <c r="E434" s="143"/>
      <c r="H434" s="2"/>
      <c r="I434" s="30"/>
    </row>
    <row r="435" spans="4:9">
      <c r="D435" s="47"/>
      <c r="E435" s="143"/>
      <c r="H435" s="2"/>
      <c r="I435" s="30"/>
    </row>
    <row r="436" spans="4:9">
      <c r="D436" s="47"/>
      <c r="E436" s="143"/>
      <c r="H436" s="2"/>
      <c r="I436" s="30"/>
    </row>
    <row r="437" spans="4:9">
      <c r="D437" s="47"/>
      <c r="E437" s="143"/>
      <c r="H437" s="2"/>
      <c r="I437" s="30"/>
    </row>
    <row r="438" spans="4:9">
      <c r="D438" s="47"/>
      <c r="E438" s="143"/>
      <c r="H438" s="2"/>
      <c r="I438" s="30"/>
    </row>
    <row r="439" spans="4:9">
      <c r="D439" s="47"/>
      <c r="E439" s="143"/>
      <c r="H439" s="2"/>
      <c r="I439" s="30"/>
    </row>
    <row r="440" spans="4:9">
      <c r="D440" s="47"/>
      <c r="E440" s="143"/>
      <c r="H440" s="2"/>
      <c r="I440" s="30"/>
    </row>
    <row r="441" spans="4:9">
      <c r="D441" s="47"/>
      <c r="E441" s="143"/>
      <c r="H441" s="2"/>
      <c r="I441" s="30"/>
    </row>
    <row r="442" spans="4:9">
      <c r="D442" s="47"/>
      <c r="E442" s="143"/>
      <c r="H442" s="2"/>
      <c r="I442" s="30"/>
    </row>
    <row r="443" spans="4:9">
      <c r="D443" s="47"/>
      <c r="E443" s="143"/>
      <c r="H443" s="2"/>
      <c r="I443" s="30"/>
    </row>
    <row r="444" spans="4:9">
      <c r="D444" s="47"/>
      <c r="E444" s="143"/>
      <c r="H444" s="2"/>
      <c r="I444" s="30"/>
    </row>
    <row r="445" spans="4:9">
      <c r="D445" s="47"/>
      <c r="E445" s="143"/>
      <c r="H445" s="2"/>
      <c r="I445" s="30"/>
    </row>
    <row r="446" spans="4:9">
      <c r="D446" s="47"/>
      <c r="E446" s="143"/>
      <c r="H446" s="2"/>
      <c r="I446" s="30"/>
    </row>
    <row r="447" spans="4:9">
      <c r="D447" s="47"/>
      <c r="E447" s="143"/>
      <c r="H447" s="2"/>
      <c r="I447" s="30"/>
    </row>
    <row r="448" spans="4:9">
      <c r="D448" s="47"/>
      <c r="E448" s="143"/>
      <c r="H448" s="2"/>
      <c r="I448" s="30"/>
    </row>
    <row r="449" spans="4:9">
      <c r="D449" s="47"/>
      <c r="E449" s="143"/>
      <c r="H449" s="2"/>
      <c r="I449" s="30"/>
    </row>
    <row r="450" spans="4:9">
      <c r="D450" s="47"/>
      <c r="E450" s="143"/>
      <c r="H450" s="2"/>
      <c r="I450" s="30"/>
    </row>
    <row r="451" spans="4:9">
      <c r="D451" s="47"/>
      <c r="E451" s="143"/>
      <c r="H451" s="2"/>
      <c r="I451" s="30"/>
    </row>
    <row r="452" spans="4:9">
      <c r="D452" s="47"/>
      <c r="E452" s="143"/>
      <c r="H452" s="2"/>
      <c r="I452" s="30"/>
    </row>
    <row r="453" spans="4:9">
      <c r="D453" s="47"/>
      <c r="E453" s="143"/>
      <c r="H453" s="2"/>
      <c r="I453" s="30"/>
    </row>
    <row r="454" spans="4:9">
      <c r="D454" s="47"/>
      <c r="E454" s="143"/>
      <c r="H454" s="2"/>
      <c r="I454" s="30"/>
    </row>
    <row r="455" spans="4:9">
      <c r="D455" s="47"/>
      <c r="E455" s="143"/>
      <c r="H455" s="2"/>
      <c r="I455" s="30"/>
    </row>
    <row r="456" spans="4:9">
      <c r="D456" s="47"/>
      <c r="E456" s="143"/>
      <c r="H456" s="2"/>
      <c r="I456" s="30"/>
    </row>
    <row r="457" spans="4:9">
      <c r="D457" s="47"/>
      <c r="E457" s="143"/>
      <c r="H457" s="2"/>
      <c r="I457" s="30"/>
    </row>
    <row r="458" spans="4:9">
      <c r="D458" s="47"/>
      <c r="E458" s="143"/>
      <c r="H458" s="2"/>
      <c r="I458" s="30"/>
    </row>
    <row r="459" spans="4:9">
      <c r="D459" s="47"/>
      <c r="E459" s="143"/>
      <c r="H459" s="2"/>
      <c r="I459" s="30"/>
    </row>
    <row r="460" spans="4:9">
      <c r="D460" s="47"/>
      <c r="E460" s="143"/>
      <c r="H460" s="2"/>
      <c r="I460" s="30"/>
    </row>
    <row r="461" spans="4:9">
      <c r="D461" s="47"/>
      <c r="E461" s="143"/>
      <c r="H461" s="2"/>
      <c r="I461" s="30"/>
    </row>
    <row r="462" spans="4:9">
      <c r="D462" s="47"/>
      <c r="E462" s="143"/>
      <c r="H462" s="2"/>
      <c r="I462" s="30"/>
    </row>
    <row r="463" spans="4:9">
      <c r="D463" s="47"/>
      <c r="E463" s="143"/>
      <c r="H463" s="2"/>
      <c r="I463" s="30"/>
    </row>
    <row r="464" spans="4:9">
      <c r="D464" s="47"/>
      <c r="E464" s="143"/>
      <c r="H464" s="2"/>
      <c r="I464" s="30"/>
    </row>
    <row r="465" spans="4:9">
      <c r="D465" s="47"/>
      <c r="E465" s="143"/>
      <c r="H465" s="2"/>
      <c r="I465" s="30"/>
    </row>
    <row r="466" spans="4:9">
      <c r="D466" s="47"/>
      <c r="E466" s="143"/>
      <c r="H466" s="2"/>
      <c r="I466" s="30"/>
    </row>
    <row r="467" spans="4:9">
      <c r="D467" s="47"/>
      <c r="E467" s="143"/>
      <c r="H467" s="2"/>
      <c r="I467" s="30"/>
    </row>
    <row r="468" spans="4:9">
      <c r="D468" s="47"/>
      <c r="E468" s="143"/>
      <c r="H468" s="2"/>
      <c r="I468" s="30"/>
    </row>
    <row r="469" spans="4:9">
      <c r="D469" s="47"/>
      <c r="E469" s="143"/>
      <c r="H469" s="2"/>
      <c r="I469" s="30"/>
    </row>
    <row r="470" spans="4:9">
      <c r="D470" s="47"/>
      <c r="E470" s="143"/>
      <c r="H470" s="2"/>
      <c r="I470" s="30"/>
    </row>
    <row r="471" spans="4:9">
      <c r="D471" s="47"/>
      <c r="E471" s="143"/>
      <c r="H471" s="2"/>
      <c r="I471" s="30"/>
    </row>
    <row r="472" spans="4:9">
      <c r="D472" s="47"/>
      <c r="E472" s="143"/>
      <c r="H472" s="2"/>
      <c r="I472" s="30"/>
    </row>
    <row r="473" spans="4:9">
      <c r="D473" s="47"/>
      <c r="E473" s="143"/>
      <c r="H473" s="2"/>
      <c r="I473" s="30"/>
    </row>
    <row r="474" spans="4:9">
      <c r="D474" s="47"/>
      <c r="E474" s="143"/>
      <c r="H474" s="2"/>
      <c r="I474" s="30"/>
    </row>
    <row r="475" spans="4:9">
      <c r="D475" s="47"/>
      <c r="E475" s="143"/>
      <c r="H475" s="2"/>
      <c r="I475" s="30"/>
    </row>
    <row r="476" spans="4:9">
      <c r="D476" s="47"/>
      <c r="E476" s="143"/>
      <c r="H476" s="2"/>
      <c r="I476" s="30"/>
    </row>
    <row r="477" spans="4:9">
      <c r="D477" s="47"/>
      <c r="E477" s="143"/>
      <c r="H477" s="2"/>
      <c r="I477" s="30"/>
    </row>
    <row r="478" spans="4:9">
      <c r="D478" s="47"/>
      <c r="E478" s="143"/>
      <c r="H478" s="2"/>
      <c r="I478" s="30"/>
    </row>
    <row r="479" spans="4:9">
      <c r="D479" s="47"/>
      <c r="E479" s="143"/>
      <c r="H479" s="2"/>
      <c r="I479" s="30"/>
    </row>
    <row r="480" spans="4:9">
      <c r="D480" s="47"/>
      <c r="E480" s="143"/>
      <c r="H480" s="2"/>
      <c r="I480" s="30"/>
    </row>
    <row r="481" spans="4:9">
      <c r="D481" s="47"/>
      <c r="E481" s="143"/>
      <c r="H481" s="2"/>
      <c r="I481" s="30"/>
    </row>
    <row r="482" spans="4:9">
      <c r="D482" s="47"/>
      <c r="E482" s="143"/>
      <c r="H482" s="2"/>
      <c r="I482" s="30"/>
    </row>
    <row r="483" spans="4:9">
      <c r="D483" s="47"/>
      <c r="E483" s="143"/>
      <c r="H483" s="2"/>
      <c r="I483" s="30"/>
    </row>
    <row r="484" spans="4:9">
      <c r="D484" s="47"/>
      <c r="E484" s="143"/>
      <c r="H484" s="2"/>
      <c r="I484" s="30"/>
    </row>
    <row r="485" spans="4:9">
      <c r="D485" s="47"/>
      <c r="E485" s="143"/>
      <c r="H485" s="2"/>
      <c r="I485" s="30"/>
    </row>
    <row r="486" spans="4:9">
      <c r="D486" s="47"/>
      <c r="E486" s="143"/>
      <c r="H486" s="2"/>
      <c r="I486" s="30"/>
    </row>
    <row r="487" spans="4:9">
      <c r="D487" s="47"/>
      <c r="E487" s="143"/>
      <c r="H487" s="2"/>
      <c r="I487" s="30"/>
    </row>
    <row r="488" spans="4:9">
      <c r="D488" s="47"/>
      <c r="E488" s="143"/>
      <c r="H488" s="2"/>
      <c r="I488" s="30"/>
    </row>
    <row r="489" spans="4:9">
      <c r="D489" s="47"/>
      <c r="E489" s="143"/>
      <c r="H489" s="2"/>
      <c r="I489" s="30"/>
    </row>
    <row r="490" spans="4:9">
      <c r="D490" s="47"/>
      <c r="E490" s="143"/>
      <c r="H490" s="2"/>
      <c r="I490" s="30"/>
    </row>
    <row r="491" spans="4:9">
      <c r="D491" s="47"/>
      <c r="E491" s="143"/>
      <c r="H491" s="2"/>
      <c r="I491" s="30"/>
    </row>
    <row r="492" spans="4:9">
      <c r="D492" s="47"/>
      <c r="E492" s="143"/>
      <c r="H492" s="2"/>
      <c r="I492" s="30"/>
    </row>
    <row r="493" spans="4:9">
      <c r="D493" s="47"/>
      <c r="E493" s="143"/>
      <c r="H493" s="2"/>
      <c r="I493" s="30"/>
    </row>
    <row r="494" spans="4:9">
      <c r="D494" s="47"/>
      <c r="E494" s="143"/>
      <c r="H494" s="2"/>
      <c r="I494" s="30"/>
    </row>
    <row r="495" spans="4:9">
      <c r="D495" s="47"/>
      <c r="E495" s="143"/>
      <c r="H495" s="2"/>
      <c r="I495" s="30"/>
    </row>
    <row r="496" spans="4:9">
      <c r="D496" s="47"/>
      <c r="E496" s="143"/>
      <c r="H496" s="2"/>
      <c r="I496" s="30"/>
    </row>
    <row r="497" spans="4:9">
      <c r="D497" s="47"/>
      <c r="E497" s="143"/>
      <c r="H497" s="2"/>
      <c r="I497" s="30"/>
    </row>
    <row r="498" spans="4:9">
      <c r="D498" s="47"/>
      <c r="E498" s="143"/>
      <c r="H498" s="2"/>
      <c r="I498" s="30"/>
    </row>
    <row r="499" spans="4:9">
      <c r="D499" s="47"/>
      <c r="E499" s="143"/>
      <c r="H499" s="2"/>
      <c r="I499" s="30"/>
    </row>
    <row r="500" spans="4:9">
      <c r="D500" s="47"/>
      <c r="E500" s="143"/>
      <c r="H500" s="2"/>
      <c r="I500" s="30"/>
    </row>
    <row r="501" spans="4:9">
      <c r="D501" s="47"/>
      <c r="E501" s="143"/>
      <c r="H501" s="2"/>
      <c r="I501" s="30"/>
    </row>
    <row r="502" spans="4:9">
      <c r="D502" s="47"/>
      <c r="E502" s="143"/>
      <c r="H502" s="2"/>
      <c r="I502" s="30"/>
    </row>
    <row r="503" spans="4:9">
      <c r="D503" s="47"/>
      <c r="E503" s="143"/>
      <c r="H503" s="2"/>
      <c r="I503" s="30"/>
    </row>
    <row r="504" spans="4:9">
      <c r="D504" s="47"/>
      <c r="E504" s="143"/>
      <c r="H504" s="2"/>
      <c r="I504" s="30"/>
    </row>
    <row r="505" spans="4:9">
      <c r="D505" s="47"/>
      <c r="E505" s="143"/>
      <c r="H505" s="2"/>
      <c r="I505" s="30"/>
    </row>
    <row r="506" spans="4:9">
      <c r="D506" s="47"/>
      <c r="E506" s="143"/>
      <c r="H506" s="2"/>
      <c r="I506" s="30"/>
    </row>
    <row r="507" spans="4:9">
      <c r="D507" s="47"/>
      <c r="E507" s="143"/>
      <c r="H507" s="2"/>
      <c r="I507" s="30"/>
    </row>
    <row r="508" spans="4:9">
      <c r="D508" s="47"/>
      <c r="E508" s="143"/>
      <c r="H508" s="2"/>
      <c r="I508" s="30"/>
    </row>
    <row r="509" spans="4:9">
      <c r="D509" s="47"/>
      <c r="E509" s="143"/>
      <c r="H509" s="2"/>
      <c r="I509" s="30"/>
    </row>
    <row r="510" spans="4:9">
      <c r="D510" s="47"/>
      <c r="E510" s="143"/>
      <c r="H510" s="2"/>
      <c r="I510" s="30"/>
    </row>
    <row r="511" spans="4:9">
      <c r="D511" s="47"/>
      <c r="E511" s="143"/>
      <c r="H511" s="2"/>
      <c r="I511" s="30"/>
    </row>
    <row r="512" spans="4:9">
      <c r="D512" s="47"/>
      <c r="E512" s="143"/>
      <c r="H512" s="2"/>
      <c r="I512" s="30"/>
    </row>
    <row r="513" spans="4:9">
      <c r="D513" s="47"/>
      <c r="E513" s="143"/>
      <c r="H513" s="2"/>
      <c r="I513" s="30"/>
    </row>
    <row r="514" spans="4:9">
      <c r="D514" s="47"/>
      <c r="E514" s="143"/>
      <c r="H514" s="2"/>
      <c r="I514" s="30"/>
    </row>
    <row r="515" spans="4:9">
      <c r="D515" s="47"/>
      <c r="E515" s="143"/>
      <c r="H515" s="2"/>
      <c r="I515" s="30"/>
    </row>
    <row r="516" spans="4:9">
      <c r="D516" s="47"/>
      <c r="E516" s="143"/>
      <c r="H516" s="2"/>
      <c r="I516" s="30"/>
    </row>
    <row r="517" spans="4:9">
      <c r="D517" s="47"/>
      <c r="E517" s="143"/>
      <c r="H517" s="2"/>
      <c r="I517" s="30"/>
    </row>
    <row r="518" spans="4:9">
      <c r="D518" s="47"/>
      <c r="E518" s="143"/>
      <c r="H518" s="2"/>
      <c r="I518" s="30"/>
    </row>
    <row r="519" spans="4:9">
      <c r="D519" s="47"/>
      <c r="E519" s="143"/>
      <c r="H519" s="2"/>
      <c r="I519" s="30"/>
    </row>
    <row r="520" spans="4:9">
      <c r="D520" s="47"/>
      <c r="E520" s="143"/>
      <c r="H520" s="2"/>
      <c r="I520" s="30"/>
    </row>
    <row r="521" spans="4:9">
      <c r="D521" s="47"/>
      <c r="E521" s="143"/>
      <c r="H521" s="2"/>
      <c r="I521" s="30"/>
    </row>
    <row r="522" spans="4:9">
      <c r="D522" s="47"/>
      <c r="E522" s="143"/>
      <c r="H522" s="2"/>
      <c r="I522" s="30"/>
    </row>
    <row r="523" spans="4:9">
      <c r="D523" s="47"/>
      <c r="E523" s="143"/>
      <c r="H523" s="2"/>
      <c r="I523" s="30"/>
    </row>
    <row r="524" spans="4:9">
      <c r="D524" s="47"/>
      <c r="E524" s="143"/>
      <c r="H524" s="2"/>
      <c r="I524" s="30"/>
    </row>
    <row r="525" spans="4:9">
      <c r="D525" s="47"/>
      <c r="E525" s="143"/>
      <c r="H525" s="2"/>
      <c r="I525" s="30"/>
    </row>
    <row r="526" spans="4:9">
      <c r="D526" s="47"/>
      <c r="E526" s="143"/>
      <c r="H526" s="2"/>
      <c r="I526" s="30"/>
    </row>
    <row r="527" spans="4:9">
      <c r="D527" s="47"/>
      <c r="E527" s="143"/>
      <c r="H527" s="2"/>
      <c r="I527" s="30"/>
    </row>
    <row r="528" spans="4:9">
      <c r="D528" s="47"/>
      <c r="E528" s="143"/>
      <c r="H528" s="2"/>
      <c r="I528" s="30"/>
    </row>
    <row r="529" spans="4:9">
      <c r="D529" s="47"/>
      <c r="E529" s="143"/>
      <c r="H529" s="2"/>
      <c r="I529" s="30"/>
    </row>
    <row r="530" spans="4:9">
      <c r="D530" s="47"/>
      <c r="E530" s="143"/>
      <c r="H530" s="2"/>
      <c r="I530" s="30"/>
    </row>
    <row r="531" spans="4:9">
      <c r="D531" s="47"/>
      <c r="E531" s="143"/>
      <c r="H531" s="2"/>
      <c r="I531" s="30"/>
    </row>
    <row r="532" spans="4:9">
      <c r="D532" s="47"/>
      <c r="E532" s="143"/>
      <c r="H532" s="2"/>
      <c r="I532" s="30"/>
    </row>
    <row r="533" spans="4:9">
      <c r="D533" s="47"/>
      <c r="E533" s="143"/>
      <c r="H533" s="2"/>
      <c r="I533" s="30"/>
    </row>
    <row r="534" spans="4:9">
      <c r="D534" s="47"/>
      <c r="E534" s="143"/>
      <c r="H534" s="2"/>
      <c r="I534" s="30"/>
    </row>
    <row r="535" spans="4:9">
      <c r="D535" s="47"/>
      <c r="E535" s="143"/>
      <c r="H535" s="2"/>
      <c r="I535" s="30"/>
    </row>
    <row r="536" spans="4:9">
      <c r="D536" s="47"/>
      <c r="E536" s="143"/>
      <c r="H536" s="2"/>
      <c r="I536" s="30"/>
    </row>
    <row r="537" spans="4:9">
      <c r="D537" s="47"/>
      <c r="E537" s="143"/>
      <c r="H537" s="2"/>
      <c r="I537" s="30"/>
    </row>
    <row r="538" spans="4:9">
      <c r="D538" s="47"/>
      <c r="E538" s="143"/>
      <c r="H538" s="2"/>
      <c r="I538" s="30"/>
    </row>
    <row r="539" spans="4:9">
      <c r="D539" s="47"/>
      <c r="E539" s="143"/>
      <c r="H539" s="2"/>
      <c r="I539" s="30"/>
    </row>
    <row r="540" spans="4:9">
      <c r="D540" s="47"/>
      <c r="E540" s="143"/>
      <c r="H540" s="2"/>
      <c r="I540" s="30"/>
    </row>
    <row r="541" spans="4:9">
      <c r="D541" s="47"/>
      <c r="E541" s="143"/>
      <c r="H541" s="2"/>
      <c r="I541" s="30"/>
    </row>
    <row r="542" spans="4:9">
      <c r="D542" s="47"/>
      <c r="E542" s="143"/>
      <c r="H542" s="2"/>
      <c r="I542" s="30"/>
    </row>
    <row r="543" spans="4:9">
      <c r="D543" s="47"/>
      <c r="E543" s="143"/>
      <c r="H543" s="2"/>
      <c r="I543" s="30"/>
    </row>
    <row r="544" spans="4:9">
      <c r="D544" s="47"/>
      <c r="E544" s="143"/>
      <c r="H544" s="2"/>
      <c r="I544" s="30"/>
    </row>
    <row r="545" spans="4:9">
      <c r="D545" s="47"/>
      <c r="E545" s="143"/>
      <c r="H545" s="2"/>
      <c r="I545" s="30"/>
    </row>
    <row r="546" spans="4:9">
      <c r="D546" s="47"/>
      <c r="E546" s="143"/>
      <c r="H546" s="2"/>
      <c r="I546" s="30"/>
    </row>
    <row r="547" spans="4:9">
      <c r="D547" s="47"/>
      <c r="E547" s="143"/>
      <c r="H547" s="2"/>
      <c r="I547" s="30"/>
    </row>
    <row r="548" spans="4:9">
      <c r="D548" s="47"/>
      <c r="E548" s="143"/>
      <c r="H548" s="2"/>
      <c r="I548" s="30"/>
    </row>
    <row r="549" spans="4:9">
      <c r="D549" s="47"/>
      <c r="E549" s="143"/>
      <c r="H549" s="2"/>
      <c r="I549" s="30"/>
    </row>
    <row r="550" spans="4:9">
      <c r="D550" s="47"/>
      <c r="E550" s="143"/>
      <c r="H550" s="2"/>
      <c r="I550" s="30"/>
    </row>
    <row r="551" spans="4:9">
      <c r="D551" s="47"/>
      <c r="E551" s="143"/>
      <c r="H551" s="2"/>
      <c r="I551" s="30"/>
    </row>
    <row r="552" spans="4:9">
      <c r="D552" s="47"/>
      <c r="E552" s="143"/>
      <c r="H552" s="2"/>
      <c r="I552" s="30"/>
    </row>
    <row r="553" spans="4:9">
      <c r="D553" s="47"/>
      <c r="E553" s="143"/>
      <c r="H553" s="2"/>
      <c r="I553" s="30"/>
    </row>
    <row r="554" spans="4:9">
      <c r="D554" s="47"/>
      <c r="E554" s="143"/>
      <c r="H554" s="2"/>
      <c r="I554" s="30"/>
    </row>
    <row r="555" spans="4:9">
      <c r="D555" s="47"/>
      <c r="E555" s="143"/>
      <c r="H555" s="2"/>
      <c r="I555" s="30"/>
    </row>
    <row r="556" spans="4:9">
      <c r="D556" s="47"/>
      <c r="E556" s="143"/>
      <c r="H556" s="2"/>
      <c r="I556" s="30"/>
    </row>
    <row r="557" spans="4:9">
      <c r="D557" s="47"/>
      <c r="E557" s="143"/>
      <c r="H557" s="2"/>
      <c r="I557" s="30"/>
    </row>
    <row r="558" spans="4:9">
      <c r="D558" s="47"/>
      <c r="E558" s="143"/>
      <c r="H558" s="2"/>
      <c r="I558" s="30"/>
    </row>
    <row r="559" spans="4:9">
      <c r="D559" s="47"/>
      <c r="E559" s="143"/>
      <c r="H559" s="2"/>
      <c r="I559" s="30"/>
    </row>
    <row r="560" spans="4:9">
      <c r="D560" s="47"/>
      <c r="E560" s="143"/>
      <c r="H560" s="2"/>
      <c r="I560" s="30"/>
    </row>
    <row r="561" spans="4:9">
      <c r="D561" s="47"/>
      <c r="E561" s="143"/>
      <c r="H561" s="2"/>
      <c r="I561" s="30"/>
    </row>
    <row r="562" spans="4:9">
      <c r="D562" s="47"/>
      <c r="E562" s="143"/>
      <c r="H562" s="2"/>
      <c r="I562" s="30"/>
    </row>
    <row r="563" spans="4:9">
      <c r="D563" s="47"/>
      <c r="E563" s="143"/>
      <c r="H563" s="2"/>
      <c r="I563" s="30"/>
    </row>
    <row r="564" spans="4:9">
      <c r="D564" s="47"/>
      <c r="E564" s="143"/>
      <c r="H564" s="2"/>
      <c r="I564" s="30"/>
    </row>
    <row r="565" spans="4:9">
      <c r="D565" s="47"/>
      <c r="E565" s="143"/>
      <c r="H565" s="2"/>
      <c r="I565" s="30"/>
    </row>
    <row r="566" spans="4:9">
      <c r="D566" s="47"/>
      <c r="E566" s="143"/>
      <c r="H566" s="2"/>
      <c r="I566" s="30"/>
    </row>
    <row r="567" spans="4:9">
      <c r="D567" s="47"/>
      <c r="E567" s="143"/>
      <c r="H567" s="2"/>
      <c r="I567" s="30"/>
    </row>
    <row r="568" spans="4:9">
      <c r="D568" s="47"/>
      <c r="E568" s="143"/>
      <c r="H568" s="2"/>
      <c r="I568" s="30"/>
    </row>
    <row r="569" spans="4:9">
      <c r="D569" s="47"/>
      <c r="E569" s="143"/>
      <c r="H569" s="2"/>
      <c r="I569" s="30"/>
    </row>
    <row r="570" spans="4:9">
      <c r="D570" s="47"/>
      <c r="E570" s="143"/>
      <c r="H570" s="2"/>
      <c r="I570" s="30"/>
    </row>
    <row r="571" spans="4:9">
      <c r="D571" s="47"/>
      <c r="E571" s="143"/>
      <c r="H571" s="2"/>
      <c r="I571" s="30"/>
    </row>
    <row r="572" spans="4:9">
      <c r="D572" s="47"/>
      <c r="E572" s="143"/>
      <c r="H572" s="2"/>
      <c r="I572" s="30"/>
    </row>
    <row r="573" spans="4:9">
      <c r="D573" s="47"/>
      <c r="E573" s="143"/>
      <c r="H573" s="2"/>
      <c r="I573" s="30"/>
    </row>
    <row r="574" spans="4:9">
      <c r="D574" s="47"/>
      <c r="E574" s="143"/>
      <c r="H574" s="2"/>
      <c r="I574" s="30"/>
    </row>
    <row r="575" spans="4:9">
      <c r="D575" s="47"/>
      <c r="E575" s="143"/>
      <c r="H575" s="2"/>
      <c r="I575" s="30"/>
    </row>
    <row r="576" spans="4:9">
      <c r="D576" s="47"/>
      <c r="E576" s="143"/>
      <c r="H576" s="2"/>
      <c r="I576" s="30"/>
    </row>
    <row r="577" spans="4:9">
      <c r="D577" s="47"/>
      <c r="E577" s="143"/>
      <c r="H577" s="2"/>
      <c r="I577" s="30"/>
    </row>
    <row r="578" spans="4:9">
      <c r="D578" s="47"/>
      <c r="E578" s="143"/>
      <c r="H578" s="2"/>
      <c r="I578" s="30"/>
    </row>
    <row r="579" spans="4:9">
      <c r="D579" s="47"/>
      <c r="E579" s="143"/>
      <c r="H579" s="2"/>
      <c r="I579" s="30"/>
    </row>
    <row r="580" spans="4:9">
      <c r="D580" s="47"/>
      <c r="E580" s="143"/>
      <c r="H580" s="2"/>
      <c r="I580" s="30"/>
    </row>
    <row r="581" spans="4:9">
      <c r="D581" s="47"/>
      <c r="E581" s="143"/>
      <c r="H581" s="2"/>
      <c r="I581" s="30"/>
    </row>
    <row r="582" spans="4:9">
      <c r="D582" s="47"/>
      <c r="E582" s="143"/>
      <c r="H582" s="2"/>
      <c r="I582" s="30"/>
    </row>
    <row r="583" spans="4:9">
      <c r="D583" s="47"/>
      <c r="E583" s="143"/>
      <c r="H583" s="2"/>
      <c r="I583" s="30"/>
    </row>
    <row r="584" spans="4:9">
      <c r="D584" s="47"/>
      <c r="E584" s="143"/>
      <c r="H584" s="2"/>
      <c r="I584" s="30"/>
    </row>
    <row r="585" spans="4:9">
      <c r="D585" s="47"/>
      <c r="E585" s="143"/>
      <c r="H585" s="2"/>
      <c r="I585" s="30"/>
    </row>
    <row r="586" spans="4:9">
      <c r="D586" s="47"/>
      <c r="E586" s="143"/>
      <c r="H586" s="2"/>
      <c r="I586" s="30"/>
    </row>
    <row r="587" spans="4:9">
      <c r="D587" s="47"/>
      <c r="E587" s="143"/>
      <c r="H587" s="2"/>
      <c r="I587" s="30"/>
    </row>
    <row r="588" spans="4:9">
      <c r="D588" s="47"/>
      <c r="E588" s="143"/>
      <c r="H588" s="2"/>
      <c r="I588" s="30"/>
    </row>
    <row r="589" spans="4:9">
      <c r="D589" s="47"/>
      <c r="E589" s="143"/>
      <c r="H589" s="2"/>
      <c r="I589" s="30"/>
    </row>
    <row r="590" spans="4:9">
      <c r="D590" s="47"/>
      <c r="E590" s="143"/>
      <c r="H590" s="2"/>
      <c r="I590" s="30"/>
    </row>
    <row r="591" spans="4:9">
      <c r="D591" s="47"/>
      <c r="E591" s="143"/>
      <c r="H591" s="2"/>
      <c r="I591" s="30"/>
    </row>
    <row r="592" spans="4:9">
      <c r="D592" s="47"/>
      <c r="E592" s="143"/>
      <c r="H592" s="2"/>
      <c r="I592" s="30"/>
    </row>
    <row r="593" spans="4:9">
      <c r="D593" s="47"/>
      <c r="E593" s="143"/>
      <c r="H593" s="2"/>
      <c r="I593" s="30"/>
    </row>
    <row r="594" spans="4:9">
      <c r="D594" s="47"/>
      <c r="E594" s="143"/>
      <c r="H594" s="2"/>
      <c r="I594" s="30"/>
    </row>
    <row r="595" spans="4:9">
      <c r="D595" s="47"/>
      <c r="E595" s="143"/>
      <c r="H595" s="2"/>
      <c r="I595" s="30"/>
    </row>
    <row r="596" spans="4:9">
      <c r="D596" s="47"/>
      <c r="E596" s="143"/>
      <c r="H596" s="2"/>
      <c r="I596" s="30"/>
    </row>
    <row r="597" spans="4:9">
      <c r="D597" s="47"/>
      <c r="E597" s="143"/>
      <c r="H597" s="2"/>
      <c r="I597" s="30"/>
    </row>
    <row r="598" spans="4:9">
      <c r="D598" s="47"/>
      <c r="E598" s="143"/>
      <c r="H598" s="2"/>
      <c r="I598" s="30"/>
    </row>
    <row r="599" spans="4:9">
      <c r="D599" s="47"/>
      <c r="E599" s="143"/>
      <c r="H599" s="2"/>
      <c r="I599" s="30"/>
    </row>
    <row r="600" spans="4:9">
      <c r="D600" s="47"/>
      <c r="E600" s="143"/>
      <c r="H600" s="2"/>
      <c r="I600" s="30"/>
    </row>
    <row r="601" spans="4:9">
      <c r="D601" s="47"/>
      <c r="E601" s="143"/>
      <c r="H601" s="2"/>
      <c r="I601" s="30"/>
    </row>
    <row r="602" spans="4:9">
      <c r="D602" s="47"/>
      <c r="E602" s="143"/>
      <c r="H602" s="2"/>
      <c r="I602" s="30"/>
    </row>
    <row r="603" spans="4:9">
      <c r="D603" s="47"/>
      <c r="E603" s="143"/>
      <c r="H603" s="2"/>
      <c r="I603" s="30"/>
    </row>
    <row r="604" spans="4:9">
      <c r="D604" s="47"/>
      <c r="E604" s="143"/>
      <c r="H604" s="2"/>
      <c r="I604" s="30"/>
    </row>
    <row r="605" spans="4:9">
      <c r="D605" s="47"/>
      <c r="E605" s="143"/>
      <c r="H605" s="2"/>
      <c r="I605" s="30"/>
    </row>
    <row r="606" spans="4:9">
      <c r="D606" s="47"/>
      <c r="E606" s="143"/>
      <c r="H606" s="2"/>
      <c r="I606" s="30"/>
    </row>
    <row r="607" spans="4:9">
      <c r="D607" s="47"/>
      <c r="E607" s="143"/>
      <c r="H607" s="2"/>
      <c r="I607" s="30"/>
    </row>
    <row r="608" spans="4:9">
      <c r="D608" s="47"/>
      <c r="E608" s="143"/>
      <c r="H608" s="2"/>
      <c r="I608" s="30"/>
    </row>
    <row r="609" spans="4:9">
      <c r="D609" s="47"/>
      <c r="E609" s="143"/>
      <c r="H609" s="2"/>
      <c r="I609" s="30"/>
    </row>
    <row r="610" spans="4:9">
      <c r="D610" s="47"/>
      <c r="E610" s="143"/>
      <c r="H610" s="2"/>
      <c r="I610" s="30"/>
    </row>
    <row r="611" spans="4:9">
      <c r="D611" s="47"/>
      <c r="E611" s="143"/>
      <c r="H611" s="2"/>
      <c r="I611" s="30"/>
    </row>
    <row r="612" spans="4:9">
      <c r="D612" s="47"/>
      <c r="E612" s="143"/>
      <c r="H612" s="2"/>
      <c r="I612" s="30"/>
    </row>
    <row r="613" spans="4:9">
      <c r="D613" s="47"/>
      <c r="E613" s="143"/>
      <c r="H613" s="2"/>
      <c r="I613" s="30"/>
    </row>
    <row r="614" spans="4:9">
      <c r="D614" s="47"/>
      <c r="E614" s="143"/>
      <c r="H614" s="2"/>
      <c r="I614" s="30"/>
    </row>
    <row r="615" spans="4:9">
      <c r="D615" s="47"/>
      <c r="E615" s="143"/>
      <c r="H615" s="2"/>
      <c r="I615" s="30"/>
    </row>
    <row r="616" spans="4:9">
      <c r="D616" s="47"/>
      <c r="E616" s="143"/>
      <c r="H616" s="2"/>
      <c r="I616" s="30"/>
    </row>
    <row r="617" spans="4:9">
      <c r="D617" s="47"/>
      <c r="E617" s="143"/>
      <c r="H617" s="2"/>
      <c r="I617" s="30"/>
    </row>
    <row r="618" spans="4:9">
      <c r="D618" s="47"/>
      <c r="E618" s="143"/>
      <c r="H618" s="2"/>
      <c r="I618" s="30"/>
    </row>
    <row r="619" spans="4:9">
      <c r="D619" s="47"/>
      <c r="E619" s="143"/>
      <c r="H619" s="2"/>
      <c r="I619" s="30"/>
    </row>
    <row r="620" spans="4:9">
      <c r="D620" s="47"/>
      <c r="E620" s="143"/>
      <c r="H620" s="2"/>
      <c r="I620" s="30"/>
    </row>
    <row r="621" spans="4:9">
      <c r="D621" s="47"/>
      <c r="E621" s="143"/>
      <c r="H621" s="2"/>
      <c r="I621" s="30"/>
    </row>
    <row r="622" spans="4:9">
      <c r="D622" s="47"/>
      <c r="E622" s="143"/>
      <c r="H622" s="2"/>
      <c r="I622" s="30"/>
    </row>
    <row r="623" spans="4:9">
      <c r="D623" s="47"/>
      <c r="E623" s="143"/>
      <c r="H623" s="2"/>
      <c r="I623" s="30"/>
    </row>
    <row r="624" spans="4:9">
      <c r="D624" s="47"/>
      <c r="E624" s="143"/>
      <c r="H624" s="2"/>
      <c r="I624" s="30"/>
    </row>
    <row r="625" spans="4:9">
      <c r="D625" s="47"/>
      <c r="E625" s="143"/>
      <c r="H625" s="2"/>
      <c r="I625" s="30"/>
    </row>
    <row r="626" spans="4:9">
      <c r="D626" s="47"/>
      <c r="E626" s="143"/>
      <c r="H626" s="2"/>
      <c r="I626" s="30"/>
    </row>
    <row r="627" spans="4:9">
      <c r="D627" s="47"/>
      <c r="E627" s="143"/>
      <c r="H627" s="2"/>
      <c r="I627" s="30"/>
    </row>
    <row r="628" spans="4:9">
      <c r="D628" s="47"/>
      <c r="E628" s="143"/>
      <c r="H628" s="2"/>
      <c r="I628" s="30"/>
    </row>
    <row r="629" spans="4:9">
      <c r="D629" s="47"/>
      <c r="E629" s="143"/>
      <c r="H629" s="2"/>
      <c r="I629" s="30"/>
    </row>
    <row r="630" spans="4:9">
      <c r="D630" s="47"/>
      <c r="E630" s="143"/>
      <c r="H630" s="2"/>
      <c r="I630" s="30"/>
    </row>
    <row r="631" spans="4:9">
      <c r="D631" s="47"/>
      <c r="E631" s="143"/>
      <c r="H631" s="2"/>
      <c r="I631" s="30"/>
    </row>
    <row r="632" spans="4:9">
      <c r="D632" s="47"/>
      <c r="E632" s="143"/>
      <c r="H632" s="2"/>
      <c r="I632" s="30"/>
    </row>
    <row r="633" spans="4:9">
      <c r="D633" s="47"/>
      <c r="E633" s="143"/>
      <c r="H633" s="2"/>
      <c r="I633" s="30"/>
    </row>
    <row r="634" spans="4:9">
      <c r="D634" s="47"/>
      <c r="E634" s="143"/>
      <c r="H634" s="2"/>
      <c r="I634" s="30"/>
    </row>
    <row r="635" spans="4:9">
      <c r="D635" s="47"/>
      <c r="E635" s="143"/>
      <c r="H635" s="2"/>
      <c r="I635" s="30"/>
    </row>
    <row r="636" spans="4:9">
      <c r="D636" s="47"/>
      <c r="E636" s="143"/>
      <c r="H636" s="2"/>
      <c r="I636" s="30"/>
    </row>
    <row r="637" spans="4:9">
      <c r="D637" s="47"/>
      <c r="E637" s="143"/>
      <c r="H637" s="2"/>
      <c r="I637" s="30"/>
    </row>
    <row r="638" spans="4:9">
      <c r="D638" s="47"/>
      <c r="E638" s="143"/>
      <c r="H638" s="2"/>
      <c r="I638" s="30"/>
    </row>
    <row r="639" spans="4:9">
      <c r="D639" s="47"/>
      <c r="E639" s="143"/>
      <c r="H639" s="2"/>
      <c r="I639" s="30"/>
    </row>
    <row r="640" spans="4:9">
      <c r="D640" s="47"/>
      <c r="E640" s="143"/>
      <c r="H640" s="2"/>
      <c r="I640" s="30"/>
    </row>
    <row r="641" spans="4:9">
      <c r="D641" s="47"/>
      <c r="E641" s="143"/>
      <c r="H641" s="2"/>
      <c r="I641" s="30"/>
    </row>
    <row r="642" spans="4:9">
      <c r="D642" s="47"/>
      <c r="E642" s="143"/>
      <c r="H642" s="2"/>
      <c r="I642" s="30"/>
    </row>
    <row r="643" spans="4:9">
      <c r="D643" s="47"/>
      <c r="E643" s="143"/>
      <c r="H643" s="2"/>
      <c r="I643" s="30"/>
    </row>
    <row r="644" spans="4:9">
      <c r="D644" s="47"/>
      <c r="E644" s="143"/>
      <c r="H644" s="2"/>
      <c r="I644" s="30"/>
    </row>
    <row r="645" spans="4:9">
      <c r="D645" s="47"/>
      <c r="E645" s="143"/>
      <c r="H645" s="2"/>
      <c r="I645" s="30"/>
    </row>
    <row r="646" spans="4:9">
      <c r="D646" s="47"/>
      <c r="E646" s="143"/>
      <c r="H646" s="2"/>
      <c r="I646" s="30"/>
    </row>
    <row r="647" spans="4:9">
      <c r="D647" s="47"/>
      <c r="E647" s="143"/>
      <c r="H647" s="2"/>
      <c r="I647" s="30"/>
    </row>
    <row r="648" spans="4:9">
      <c r="D648" s="47"/>
      <c r="E648" s="143"/>
      <c r="H648" s="2"/>
      <c r="I648" s="30"/>
    </row>
    <row r="649" spans="4:9">
      <c r="D649" s="47"/>
      <c r="E649" s="143"/>
      <c r="H649" s="2"/>
      <c r="I649" s="30"/>
    </row>
    <row r="650" spans="4:9">
      <c r="D650" s="47"/>
      <c r="E650" s="143"/>
      <c r="H650" s="2"/>
      <c r="I650" s="30"/>
    </row>
    <row r="651" spans="4:9">
      <c r="D651" s="47"/>
      <c r="E651" s="143"/>
      <c r="H651" s="2"/>
      <c r="I651" s="30"/>
    </row>
    <row r="652" spans="4:9">
      <c r="D652" s="47"/>
      <c r="E652" s="143"/>
      <c r="H652" s="2"/>
      <c r="I652" s="30"/>
    </row>
    <row r="653" spans="4:9">
      <c r="D653" s="47"/>
      <c r="E653" s="143"/>
      <c r="H653" s="2"/>
      <c r="I653" s="30"/>
    </row>
    <row r="654" spans="4:9">
      <c r="D654" s="47"/>
      <c r="E654" s="143"/>
      <c r="H654" s="2"/>
      <c r="I654" s="30"/>
    </row>
    <row r="655" spans="4:9">
      <c r="D655" s="47"/>
      <c r="E655" s="143"/>
      <c r="H655" s="2"/>
      <c r="I655" s="30"/>
    </row>
    <row r="656" spans="4:9">
      <c r="D656" s="47"/>
      <c r="E656" s="143"/>
      <c r="H656" s="2"/>
      <c r="I656" s="30"/>
    </row>
    <row r="657" spans="4:9">
      <c r="D657" s="47"/>
      <c r="E657" s="143"/>
      <c r="H657" s="2"/>
      <c r="I657" s="30"/>
    </row>
    <row r="658" spans="4:9">
      <c r="D658" s="47"/>
      <c r="E658" s="143"/>
      <c r="H658" s="2"/>
      <c r="I658" s="30"/>
    </row>
    <row r="659" spans="4:9">
      <c r="D659" s="47"/>
      <c r="E659" s="143"/>
      <c r="H659" s="2"/>
      <c r="I659" s="30"/>
    </row>
    <row r="660" spans="4:9">
      <c r="D660" s="47"/>
      <c r="E660" s="143"/>
      <c r="H660" s="2"/>
      <c r="I660" s="30"/>
    </row>
    <row r="661" spans="4:9">
      <c r="D661" s="47"/>
      <c r="E661" s="143"/>
      <c r="H661" s="2"/>
      <c r="I661" s="30"/>
    </row>
    <row r="662" spans="4:9">
      <c r="D662" s="47"/>
      <c r="E662" s="143"/>
      <c r="H662" s="2"/>
      <c r="I662" s="30"/>
    </row>
    <row r="663" spans="4:9">
      <c r="D663" s="47"/>
      <c r="E663" s="143"/>
      <c r="H663" s="2"/>
      <c r="I663" s="30"/>
    </row>
    <row r="664" spans="4:9">
      <c r="D664" s="47"/>
      <c r="E664" s="143"/>
      <c r="H664" s="2"/>
      <c r="I664" s="30"/>
    </row>
    <row r="665" spans="4:9">
      <c r="D665" s="47"/>
      <c r="E665" s="143"/>
      <c r="H665" s="2"/>
      <c r="I665" s="30"/>
    </row>
    <row r="666" spans="4:9">
      <c r="D666" s="47"/>
      <c r="E666" s="143"/>
      <c r="H666" s="2"/>
      <c r="I666" s="30"/>
    </row>
    <row r="667" spans="4:9">
      <c r="D667" s="47"/>
      <c r="E667" s="143"/>
      <c r="H667" s="2"/>
      <c r="I667" s="30"/>
    </row>
    <row r="668" spans="4:9">
      <c r="D668" s="47"/>
      <c r="E668" s="143"/>
      <c r="H668" s="2"/>
      <c r="I668" s="30"/>
    </row>
    <row r="669" spans="4:9">
      <c r="D669" s="47"/>
      <c r="E669" s="143"/>
      <c r="H669" s="2"/>
      <c r="I669" s="30"/>
    </row>
    <row r="670" spans="4:9">
      <c r="D670" s="47"/>
      <c r="E670" s="143"/>
      <c r="H670" s="2"/>
      <c r="I670" s="30"/>
    </row>
    <row r="671" spans="4:9">
      <c r="D671" s="47"/>
      <c r="E671" s="143"/>
      <c r="H671" s="2"/>
      <c r="I671" s="30"/>
    </row>
    <row r="672" spans="4:9">
      <c r="D672" s="47"/>
      <c r="E672" s="143"/>
      <c r="H672" s="2"/>
      <c r="I672" s="30"/>
    </row>
    <row r="673" spans="4:9">
      <c r="D673" s="47"/>
      <c r="E673" s="143"/>
      <c r="H673" s="2"/>
      <c r="I673" s="30"/>
    </row>
    <row r="674" spans="4:9">
      <c r="D674" s="47"/>
      <c r="E674" s="143"/>
      <c r="H674" s="2"/>
      <c r="I674" s="30"/>
    </row>
    <row r="675" spans="4:9">
      <c r="D675" s="47"/>
      <c r="E675" s="143"/>
      <c r="H675" s="2"/>
      <c r="I675" s="30"/>
    </row>
    <row r="676" spans="4:9">
      <c r="D676" s="47"/>
      <c r="E676" s="143"/>
      <c r="H676" s="2"/>
      <c r="I676" s="30"/>
    </row>
    <row r="677" spans="4:9">
      <c r="D677" s="47"/>
      <c r="E677" s="143"/>
      <c r="H677" s="2"/>
      <c r="I677" s="30"/>
    </row>
    <row r="678" spans="4:9">
      <c r="D678" s="47"/>
      <c r="E678" s="143"/>
      <c r="H678" s="2"/>
      <c r="I678" s="30"/>
    </row>
    <row r="679" spans="4:9">
      <c r="D679" s="47"/>
      <c r="E679" s="143"/>
      <c r="H679" s="2"/>
      <c r="I679" s="30"/>
    </row>
    <row r="680" spans="4:9">
      <c r="D680" s="47"/>
      <c r="E680" s="143"/>
      <c r="H680" s="2"/>
      <c r="I680" s="30"/>
    </row>
    <row r="681" spans="4:9">
      <c r="D681" s="47"/>
      <c r="E681" s="143"/>
      <c r="H681" s="2"/>
      <c r="I681" s="30"/>
    </row>
    <row r="682" spans="4:9">
      <c r="D682" s="47"/>
      <c r="E682" s="143"/>
      <c r="H682" s="2"/>
      <c r="I682" s="30"/>
    </row>
    <row r="683" spans="4:9">
      <c r="D683" s="47"/>
      <c r="E683" s="143"/>
      <c r="H683" s="2"/>
      <c r="I683" s="30"/>
    </row>
    <row r="684" spans="4:9">
      <c r="D684" s="47"/>
      <c r="E684" s="143"/>
      <c r="H684" s="2"/>
      <c r="I684" s="30"/>
    </row>
    <row r="685" spans="4:9">
      <c r="D685" s="47"/>
      <c r="E685" s="143"/>
      <c r="H685" s="2"/>
      <c r="I685" s="30"/>
    </row>
    <row r="686" spans="4:9">
      <c r="D686" s="47"/>
      <c r="E686" s="143"/>
      <c r="H686" s="2"/>
      <c r="I686" s="30"/>
    </row>
    <row r="687" spans="4:9">
      <c r="D687" s="47"/>
      <c r="E687" s="143"/>
      <c r="H687" s="2"/>
      <c r="I687" s="30"/>
    </row>
    <row r="688" spans="4:9">
      <c r="D688" s="47"/>
      <c r="E688" s="143"/>
      <c r="H688" s="2"/>
      <c r="I688" s="30"/>
    </row>
    <row r="689" spans="4:9">
      <c r="D689" s="47"/>
      <c r="E689" s="143"/>
      <c r="H689" s="2"/>
      <c r="I689" s="30"/>
    </row>
    <row r="690" spans="4:9">
      <c r="D690" s="47"/>
      <c r="E690" s="143"/>
      <c r="H690" s="2"/>
      <c r="I690" s="30"/>
    </row>
    <row r="691" spans="4:9">
      <c r="D691" s="47"/>
      <c r="E691" s="143"/>
      <c r="H691" s="2"/>
      <c r="I691" s="30"/>
    </row>
    <row r="692" spans="4:9">
      <c r="D692" s="47"/>
      <c r="E692" s="143"/>
      <c r="H692" s="2"/>
      <c r="I692" s="30"/>
    </row>
    <row r="693" spans="4:9">
      <c r="D693" s="47"/>
      <c r="E693" s="143"/>
      <c r="H693" s="2"/>
      <c r="I693" s="30"/>
    </row>
    <row r="694" spans="4:9">
      <c r="D694" s="47"/>
      <c r="E694" s="143"/>
      <c r="H694" s="2"/>
      <c r="I694" s="30"/>
    </row>
    <row r="695" spans="4:9">
      <c r="D695" s="47"/>
      <c r="E695" s="143"/>
      <c r="H695" s="2"/>
      <c r="I695" s="30"/>
    </row>
    <row r="696" spans="4:9">
      <c r="D696" s="47"/>
      <c r="E696" s="143"/>
      <c r="H696" s="2"/>
      <c r="I696" s="30"/>
    </row>
    <row r="697" spans="4:9">
      <c r="D697" s="47"/>
      <c r="E697" s="143"/>
      <c r="H697" s="2"/>
      <c r="I697" s="30"/>
    </row>
    <row r="698" spans="4:9">
      <c r="D698" s="47"/>
      <c r="E698" s="143"/>
      <c r="H698" s="2"/>
      <c r="I698" s="30"/>
    </row>
    <row r="699" spans="4:9">
      <c r="D699" s="47"/>
      <c r="E699" s="143"/>
      <c r="H699" s="2"/>
      <c r="I699" s="30"/>
    </row>
    <row r="700" spans="4:9">
      <c r="D700" s="47"/>
      <c r="E700" s="143"/>
      <c r="H700" s="2"/>
      <c r="I700" s="30"/>
    </row>
    <row r="701" spans="4:9">
      <c r="D701" s="47"/>
      <c r="E701" s="143"/>
      <c r="H701" s="2"/>
      <c r="I701" s="30"/>
    </row>
    <row r="702" spans="4:9">
      <c r="D702" s="47"/>
      <c r="E702" s="143"/>
      <c r="H702" s="2"/>
      <c r="I702" s="30"/>
    </row>
    <row r="703" spans="4:9">
      <c r="D703" s="47"/>
      <c r="E703" s="143"/>
      <c r="H703" s="2"/>
      <c r="I703" s="30"/>
    </row>
    <row r="704" spans="4:9">
      <c r="D704" s="47"/>
      <c r="E704" s="143"/>
      <c r="H704" s="2"/>
      <c r="I704" s="30"/>
    </row>
    <row r="705" spans="4:9">
      <c r="D705" s="47"/>
      <c r="E705" s="143"/>
      <c r="H705" s="2"/>
      <c r="I705" s="30"/>
    </row>
    <row r="706" spans="4:9">
      <c r="D706" s="47"/>
      <c r="E706" s="143"/>
      <c r="H706" s="2"/>
      <c r="I706" s="30"/>
    </row>
    <row r="707" spans="4:9">
      <c r="D707" s="47"/>
      <c r="E707" s="143"/>
      <c r="H707" s="2"/>
      <c r="I707" s="30"/>
    </row>
    <row r="708" spans="4:9">
      <c r="D708" s="47"/>
      <c r="E708" s="143"/>
      <c r="H708" s="2"/>
      <c r="I708" s="30"/>
    </row>
    <row r="709" spans="4:9">
      <c r="D709" s="47"/>
      <c r="E709" s="143"/>
      <c r="H709" s="2"/>
      <c r="I709" s="30"/>
    </row>
    <row r="710" spans="4:9">
      <c r="D710" s="47"/>
      <c r="E710" s="143"/>
      <c r="H710" s="2"/>
      <c r="I710" s="30"/>
    </row>
    <row r="711" spans="4:9">
      <c r="D711" s="47"/>
      <c r="E711" s="143"/>
      <c r="H711" s="2"/>
      <c r="I711" s="30"/>
    </row>
    <row r="712" spans="4:9">
      <c r="D712" s="47"/>
      <c r="E712" s="143"/>
      <c r="H712" s="2"/>
      <c r="I712" s="30"/>
    </row>
    <row r="713" spans="4:9">
      <c r="D713" s="47"/>
      <c r="E713" s="143"/>
      <c r="H713" s="2"/>
      <c r="I713" s="30"/>
    </row>
    <row r="714" spans="4:9">
      <c r="D714" s="47"/>
      <c r="E714" s="143"/>
      <c r="H714" s="2"/>
      <c r="I714" s="30"/>
    </row>
    <row r="715" spans="4:9">
      <c r="D715" s="47"/>
      <c r="E715" s="143"/>
      <c r="H715" s="2"/>
      <c r="I715" s="30"/>
    </row>
    <row r="716" spans="4:9">
      <c r="D716" s="47"/>
      <c r="E716" s="143"/>
      <c r="H716" s="2"/>
      <c r="I716" s="30"/>
    </row>
    <row r="717" spans="4:9">
      <c r="D717" s="47"/>
      <c r="E717" s="143"/>
      <c r="H717" s="2"/>
      <c r="I717" s="30"/>
    </row>
    <row r="718" spans="4:9">
      <c r="D718" s="47"/>
      <c r="E718" s="143"/>
      <c r="H718" s="2"/>
      <c r="I718" s="30"/>
    </row>
    <row r="719" spans="4:9">
      <c r="D719" s="47"/>
      <c r="E719" s="143"/>
      <c r="H719" s="2"/>
      <c r="I719" s="30"/>
    </row>
    <row r="720" spans="4:9">
      <c r="D720" s="47"/>
      <c r="E720" s="143"/>
      <c r="H720" s="2"/>
      <c r="I720" s="30"/>
    </row>
    <row r="721" spans="4:9">
      <c r="D721" s="47"/>
      <c r="E721" s="143"/>
      <c r="H721" s="2"/>
      <c r="I721" s="30"/>
    </row>
    <row r="722" spans="4:9">
      <c r="D722" s="47"/>
      <c r="E722" s="143"/>
      <c r="H722" s="2"/>
      <c r="I722" s="30"/>
    </row>
    <row r="723" spans="4:9">
      <c r="D723" s="47"/>
      <c r="E723" s="143"/>
      <c r="H723" s="2"/>
      <c r="I723" s="30"/>
    </row>
    <row r="724" spans="4:9">
      <c r="D724" s="47"/>
      <c r="E724" s="143"/>
      <c r="H724" s="2"/>
      <c r="I724" s="30"/>
    </row>
    <row r="725" spans="4:9">
      <c r="D725" s="47"/>
      <c r="E725" s="143"/>
      <c r="H725" s="2"/>
      <c r="I725" s="30"/>
    </row>
    <row r="726" spans="4:9">
      <c r="D726" s="47"/>
      <c r="E726" s="143"/>
      <c r="H726" s="2"/>
      <c r="I726" s="30"/>
    </row>
    <row r="727" spans="4:9">
      <c r="D727" s="47"/>
      <c r="E727" s="143"/>
      <c r="H727" s="2"/>
      <c r="I727" s="30"/>
    </row>
    <row r="728" spans="4:9">
      <c r="D728" s="47"/>
      <c r="E728" s="143"/>
      <c r="H728" s="2"/>
      <c r="I728" s="30"/>
    </row>
    <row r="729" spans="4:9">
      <c r="D729" s="47"/>
      <c r="E729" s="143"/>
      <c r="H729" s="2"/>
      <c r="I729" s="30"/>
    </row>
    <row r="730" spans="4:9">
      <c r="D730" s="47"/>
      <c r="E730" s="143"/>
      <c r="H730" s="2"/>
      <c r="I730" s="30"/>
    </row>
    <row r="731" spans="4:9">
      <c r="D731" s="47"/>
      <c r="E731" s="143"/>
      <c r="H731" s="2"/>
      <c r="I731" s="30"/>
    </row>
    <row r="732" spans="4:9">
      <c r="D732" s="47"/>
      <c r="E732" s="143"/>
      <c r="H732" s="2"/>
      <c r="I732" s="30"/>
    </row>
    <row r="733" spans="4:9">
      <c r="D733" s="47"/>
      <c r="E733" s="143"/>
      <c r="H733" s="2"/>
      <c r="I733" s="30"/>
    </row>
    <row r="734" spans="4:9">
      <c r="D734" s="47"/>
      <c r="E734" s="143"/>
      <c r="H734" s="2"/>
      <c r="I734" s="30"/>
    </row>
    <row r="735" spans="4:9">
      <c r="D735" s="47"/>
      <c r="E735" s="143"/>
      <c r="H735" s="2"/>
      <c r="I735" s="30"/>
    </row>
    <row r="736" spans="4:9">
      <c r="D736" s="47"/>
      <c r="E736" s="143"/>
      <c r="H736" s="2"/>
      <c r="I736" s="30"/>
    </row>
    <row r="737" spans="4:9">
      <c r="D737" s="47"/>
      <c r="E737" s="143"/>
      <c r="H737" s="2"/>
      <c r="I737" s="30"/>
    </row>
    <row r="738" spans="4:9">
      <c r="D738" s="47"/>
      <c r="E738" s="143"/>
      <c r="H738" s="2"/>
      <c r="I738" s="30"/>
    </row>
    <row r="739" spans="4:9">
      <c r="D739" s="47"/>
      <c r="E739" s="143"/>
      <c r="H739" s="2"/>
      <c r="I739" s="30"/>
    </row>
    <row r="740" spans="4:9">
      <c r="D740" s="47"/>
      <c r="E740" s="143"/>
      <c r="H740" s="2"/>
      <c r="I740" s="30"/>
    </row>
    <row r="741" spans="4:9">
      <c r="D741" s="47"/>
      <c r="E741" s="143"/>
      <c r="H741" s="2"/>
      <c r="I741" s="30"/>
    </row>
    <row r="742" spans="4:9">
      <c r="D742" s="47"/>
      <c r="E742" s="143"/>
      <c r="H742" s="2"/>
      <c r="I742" s="30"/>
    </row>
    <row r="743" spans="4:9">
      <c r="D743" s="47"/>
      <c r="E743" s="143"/>
      <c r="H743" s="2"/>
      <c r="I743" s="30"/>
    </row>
    <row r="744" spans="4:9">
      <c r="D744" s="47"/>
      <c r="E744" s="143"/>
      <c r="H744" s="2"/>
      <c r="I744" s="30"/>
    </row>
    <row r="745" spans="4:9">
      <c r="D745" s="47"/>
      <c r="E745" s="143"/>
      <c r="H745" s="2"/>
      <c r="I745" s="30"/>
    </row>
    <row r="746" spans="4:9">
      <c r="D746" s="47"/>
      <c r="E746" s="143"/>
      <c r="H746" s="2"/>
      <c r="I746" s="30"/>
    </row>
    <row r="747" spans="4:9">
      <c r="D747" s="47"/>
      <c r="E747" s="143"/>
      <c r="H747" s="2"/>
      <c r="I747" s="30"/>
    </row>
    <row r="748" spans="4:9">
      <c r="D748" s="47"/>
      <c r="E748" s="143"/>
      <c r="H748" s="2"/>
      <c r="I748" s="30"/>
    </row>
    <row r="749" spans="4:9">
      <c r="D749" s="47"/>
      <c r="E749" s="143"/>
      <c r="H749" s="2"/>
      <c r="I749" s="30"/>
    </row>
    <row r="750" spans="4:9">
      <c r="D750" s="47"/>
      <c r="E750" s="143"/>
      <c r="H750" s="2"/>
      <c r="I750" s="30"/>
    </row>
    <row r="751" spans="4:9">
      <c r="D751" s="47"/>
      <c r="E751" s="143"/>
      <c r="H751" s="2"/>
      <c r="I751" s="30"/>
    </row>
    <row r="752" spans="4:9">
      <c r="D752" s="47"/>
      <c r="E752" s="143"/>
      <c r="H752" s="2"/>
      <c r="I752" s="30"/>
    </row>
    <row r="753" spans="4:9">
      <c r="D753" s="47"/>
      <c r="E753" s="143"/>
      <c r="H753" s="2"/>
      <c r="I753" s="30"/>
    </row>
    <row r="754" spans="4:9">
      <c r="D754" s="47"/>
      <c r="E754" s="143"/>
      <c r="H754" s="2"/>
      <c r="I754" s="30"/>
    </row>
    <row r="755" spans="4:9">
      <c r="D755" s="47"/>
      <c r="E755" s="143"/>
      <c r="H755" s="2"/>
      <c r="I755" s="30"/>
    </row>
    <row r="756" spans="4:9">
      <c r="D756" s="47"/>
      <c r="E756" s="143"/>
      <c r="H756" s="2"/>
      <c r="I756" s="30"/>
    </row>
    <row r="757" spans="4:9">
      <c r="D757" s="47"/>
      <c r="E757" s="143"/>
      <c r="H757" s="2"/>
      <c r="I757" s="30"/>
    </row>
    <row r="758" spans="4:9">
      <c r="D758" s="47"/>
      <c r="E758" s="143"/>
      <c r="H758" s="2"/>
      <c r="I758" s="30"/>
    </row>
    <row r="759" spans="4:9">
      <c r="D759" s="47"/>
      <c r="E759" s="143"/>
      <c r="H759" s="2"/>
      <c r="I759" s="30"/>
    </row>
    <row r="760" spans="4:9">
      <c r="D760" s="47"/>
      <c r="E760" s="143"/>
      <c r="H760" s="2"/>
      <c r="I760" s="30"/>
    </row>
    <row r="761" spans="4:9">
      <c r="D761" s="47"/>
      <c r="E761" s="143"/>
      <c r="H761" s="2"/>
      <c r="I761" s="30"/>
    </row>
    <row r="762" spans="4:9">
      <c r="D762" s="47"/>
      <c r="E762" s="143"/>
      <c r="H762" s="2"/>
      <c r="I762" s="30"/>
    </row>
    <row r="763" spans="4:9">
      <c r="D763" s="47"/>
      <c r="E763" s="143"/>
      <c r="H763" s="2"/>
      <c r="I763" s="30"/>
    </row>
    <row r="764" spans="4:9">
      <c r="D764" s="47"/>
      <c r="E764" s="143"/>
      <c r="H764" s="2"/>
      <c r="I764" s="30"/>
    </row>
    <row r="765" spans="4:9">
      <c r="D765" s="47"/>
      <c r="E765" s="143"/>
      <c r="H765" s="2"/>
      <c r="I765" s="30"/>
    </row>
    <row r="766" spans="4:9">
      <c r="D766" s="47"/>
      <c r="E766" s="143"/>
      <c r="H766" s="2"/>
      <c r="I766" s="30"/>
    </row>
    <row r="767" spans="4:9">
      <c r="D767" s="47"/>
      <c r="E767" s="143"/>
      <c r="H767" s="2"/>
      <c r="I767" s="30"/>
    </row>
    <row r="768" spans="4:9">
      <c r="D768" s="47"/>
      <c r="E768" s="143"/>
      <c r="H768" s="2"/>
      <c r="I768" s="30"/>
    </row>
    <row r="769" spans="4:9">
      <c r="D769" s="47"/>
      <c r="E769" s="143"/>
      <c r="H769" s="2"/>
      <c r="I769" s="30"/>
    </row>
    <row r="770" spans="4:9">
      <c r="D770" s="47"/>
      <c r="E770" s="143"/>
      <c r="H770" s="2"/>
      <c r="I770" s="30"/>
    </row>
    <row r="771" spans="4:9">
      <c r="D771" s="47"/>
      <c r="E771" s="143"/>
      <c r="H771" s="2"/>
      <c r="I771" s="30"/>
    </row>
    <row r="772" spans="4:9">
      <c r="D772" s="47"/>
      <c r="E772" s="143"/>
      <c r="H772" s="2"/>
      <c r="I772" s="30"/>
    </row>
    <row r="773" spans="4:9">
      <c r="D773" s="47"/>
      <c r="E773" s="143"/>
      <c r="H773" s="2"/>
      <c r="I773" s="30"/>
    </row>
    <row r="774" spans="4:9">
      <c r="D774" s="47"/>
      <c r="E774" s="143"/>
      <c r="H774" s="2"/>
      <c r="I774" s="30"/>
    </row>
    <row r="775" spans="4:9">
      <c r="D775" s="47"/>
      <c r="E775" s="143"/>
      <c r="H775" s="2"/>
      <c r="I775" s="30"/>
    </row>
    <row r="776" spans="4:9">
      <c r="D776" s="47"/>
      <c r="E776" s="143"/>
      <c r="H776" s="2"/>
      <c r="I776" s="30"/>
    </row>
    <row r="777" spans="4:9">
      <c r="D777" s="47"/>
      <c r="E777" s="143"/>
      <c r="H777" s="2"/>
      <c r="I777" s="30"/>
    </row>
    <row r="778" spans="4:9">
      <c r="D778" s="47"/>
      <c r="E778" s="143"/>
      <c r="H778" s="2"/>
      <c r="I778" s="30"/>
    </row>
    <row r="779" spans="4:9">
      <c r="D779" s="47"/>
      <c r="E779" s="143"/>
      <c r="H779" s="2"/>
      <c r="I779" s="30"/>
    </row>
    <row r="780" spans="4:9">
      <c r="D780" s="47"/>
      <c r="E780" s="143"/>
      <c r="H780" s="2"/>
      <c r="I780" s="30"/>
    </row>
    <row r="781" spans="4:9">
      <c r="D781" s="47"/>
      <c r="E781" s="143"/>
      <c r="H781" s="2"/>
      <c r="I781" s="30"/>
    </row>
    <row r="782" spans="4:9">
      <c r="D782" s="47"/>
      <c r="E782" s="143"/>
      <c r="H782" s="2"/>
      <c r="I782" s="30"/>
    </row>
    <row r="783" spans="4:9">
      <c r="D783" s="47"/>
      <c r="E783" s="143"/>
      <c r="H783" s="2"/>
      <c r="I783" s="30"/>
    </row>
    <row r="784" spans="4:9">
      <c r="D784" s="47"/>
      <c r="E784" s="143"/>
      <c r="H784" s="2"/>
      <c r="I784" s="30"/>
    </row>
    <row r="785" spans="4:9">
      <c r="D785" s="47"/>
      <c r="E785" s="143"/>
      <c r="H785" s="2"/>
      <c r="I785" s="30"/>
    </row>
    <row r="786" spans="4:9">
      <c r="D786" s="47"/>
      <c r="E786" s="143"/>
      <c r="H786" s="2"/>
      <c r="I786" s="30"/>
    </row>
    <row r="787" spans="4:9">
      <c r="D787" s="47"/>
      <c r="E787" s="143"/>
      <c r="H787" s="2"/>
      <c r="I787" s="30"/>
    </row>
    <row r="788" spans="4:9">
      <c r="D788" s="47"/>
      <c r="E788" s="143"/>
      <c r="H788" s="2"/>
      <c r="I788" s="30"/>
    </row>
    <row r="789" spans="4:9">
      <c r="D789" s="47"/>
      <c r="E789" s="143"/>
      <c r="H789" s="2"/>
      <c r="I789" s="30"/>
    </row>
    <row r="790" spans="4:9">
      <c r="D790" s="47"/>
      <c r="E790" s="143"/>
      <c r="H790" s="2"/>
      <c r="I790" s="30"/>
    </row>
    <row r="791" spans="4:9">
      <c r="D791" s="47"/>
      <c r="E791" s="143"/>
      <c r="H791" s="2"/>
      <c r="I791" s="30"/>
    </row>
    <row r="792" spans="4:9">
      <c r="D792" s="47"/>
      <c r="E792" s="143"/>
      <c r="H792" s="2"/>
      <c r="I792" s="30"/>
    </row>
    <row r="793" spans="4:9">
      <c r="D793" s="47"/>
      <c r="E793" s="143"/>
      <c r="H793" s="2"/>
      <c r="I793" s="30"/>
    </row>
    <row r="794" spans="4:9">
      <c r="D794" s="47"/>
      <c r="E794" s="143"/>
      <c r="H794" s="2"/>
      <c r="I794" s="30"/>
    </row>
    <row r="795" spans="4:9">
      <c r="D795" s="47"/>
      <c r="E795" s="143"/>
      <c r="H795" s="2"/>
      <c r="I795" s="30"/>
    </row>
    <row r="796" spans="4:9">
      <c r="D796" s="47"/>
      <c r="E796" s="143"/>
      <c r="H796" s="2"/>
      <c r="I796" s="30"/>
    </row>
    <row r="797" spans="4:9">
      <c r="D797" s="47"/>
      <c r="E797" s="143"/>
      <c r="H797" s="2"/>
      <c r="I797" s="30"/>
    </row>
    <row r="798" spans="4:9">
      <c r="D798" s="47"/>
      <c r="E798" s="143"/>
      <c r="H798" s="2"/>
      <c r="I798" s="30"/>
    </row>
    <row r="799" spans="4:9">
      <c r="D799" s="47"/>
      <c r="E799" s="143"/>
      <c r="H799" s="2"/>
      <c r="I799" s="30"/>
    </row>
    <row r="800" spans="4:9">
      <c r="D800" s="47"/>
      <c r="E800" s="143"/>
      <c r="H800" s="2"/>
      <c r="I800" s="30"/>
    </row>
    <row r="801" spans="4:9">
      <c r="D801" s="47"/>
      <c r="E801" s="143"/>
      <c r="H801" s="2"/>
      <c r="I801" s="30"/>
    </row>
    <row r="802" spans="4:9">
      <c r="D802" s="47"/>
      <c r="E802" s="143"/>
      <c r="H802" s="2"/>
      <c r="I802" s="30"/>
    </row>
    <row r="803" spans="4:9">
      <c r="D803" s="47"/>
      <c r="E803" s="143"/>
      <c r="H803" s="2"/>
      <c r="I803" s="30"/>
    </row>
    <row r="804" spans="4:9">
      <c r="D804" s="47"/>
      <c r="E804" s="143"/>
      <c r="H804" s="2"/>
      <c r="I804" s="30"/>
    </row>
    <row r="805" spans="4:9">
      <c r="D805" s="47"/>
      <c r="E805" s="143"/>
      <c r="H805" s="2"/>
      <c r="I805" s="30"/>
    </row>
    <row r="806" spans="4:9">
      <c r="D806" s="47"/>
      <c r="E806" s="143"/>
      <c r="H806" s="2"/>
      <c r="I806" s="30"/>
    </row>
    <row r="807" spans="4:9">
      <c r="D807" s="47"/>
      <c r="E807" s="143"/>
      <c r="H807" s="2"/>
      <c r="I807" s="30"/>
    </row>
    <row r="808" spans="4:9">
      <c r="D808" s="47"/>
      <c r="E808" s="143"/>
      <c r="H808" s="2"/>
      <c r="I808" s="30"/>
    </row>
    <row r="809" spans="4:9">
      <c r="D809" s="47"/>
      <c r="E809" s="143"/>
      <c r="H809" s="2"/>
      <c r="I809" s="30"/>
    </row>
    <row r="810" spans="4:9">
      <c r="D810" s="47"/>
      <c r="E810" s="143"/>
      <c r="H810" s="2"/>
      <c r="I810" s="30"/>
    </row>
    <row r="811" spans="4:9">
      <c r="D811" s="47"/>
      <c r="E811" s="143"/>
      <c r="H811" s="2"/>
      <c r="I811" s="30"/>
    </row>
    <row r="812" spans="4:9">
      <c r="D812" s="47"/>
      <c r="E812" s="143"/>
      <c r="H812" s="2"/>
      <c r="I812" s="30"/>
    </row>
    <row r="813" spans="4:9">
      <c r="D813" s="47"/>
      <c r="E813" s="143"/>
      <c r="H813" s="2"/>
      <c r="I813" s="30"/>
    </row>
    <row r="814" spans="4:9">
      <c r="D814" s="47"/>
      <c r="E814" s="143"/>
      <c r="H814" s="2"/>
      <c r="I814" s="30"/>
    </row>
    <row r="815" spans="4:9">
      <c r="D815" s="47"/>
      <c r="E815" s="143"/>
      <c r="H815" s="2"/>
      <c r="I815" s="30"/>
    </row>
    <row r="816" spans="4:9">
      <c r="D816" s="47"/>
      <c r="E816" s="143"/>
      <c r="H816" s="2"/>
      <c r="I816" s="30"/>
    </row>
    <row r="817" spans="4:9">
      <c r="D817" s="47"/>
      <c r="E817" s="143"/>
      <c r="H817" s="2"/>
      <c r="I817" s="30"/>
    </row>
    <row r="818" spans="4:9">
      <c r="D818" s="47"/>
      <c r="E818" s="143"/>
      <c r="H818" s="2"/>
      <c r="I818" s="30"/>
    </row>
    <row r="819" spans="4:9">
      <c r="D819" s="47"/>
      <c r="E819" s="143"/>
      <c r="H819" s="2"/>
      <c r="I819" s="30"/>
    </row>
    <row r="820" spans="4:9">
      <c r="D820" s="47"/>
      <c r="E820" s="143"/>
      <c r="H820" s="2"/>
      <c r="I820" s="30"/>
    </row>
    <row r="821" spans="4:9">
      <c r="D821" s="47"/>
      <c r="E821" s="143"/>
      <c r="H821" s="2"/>
      <c r="I821" s="30"/>
    </row>
    <row r="822" spans="4:9">
      <c r="D822" s="47"/>
      <c r="E822" s="143"/>
      <c r="H822" s="2"/>
      <c r="I822" s="30"/>
    </row>
    <row r="823" spans="4:9">
      <c r="D823" s="47"/>
      <c r="E823" s="143"/>
      <c r="H823" s="2"/>
      <c r="I823" s="30"/>
    </row>
    <row r="824" spans="4:9">
      <c r="D824" s="47"/>
      <c r="E824" s="143"/>
      <c r="H824" s="2"/>
      <c r="I824" s="30"/>
    </row>
    <row r="825" spans="4:9">
      <c r="D825" s="47"/>
      <c r="E825" s="143"/>
      <c r="H825" s="2"/>
      <c r="I825" s="30"/>
    </row>
    <row r="826" spans="4:9">
      <c r="D826" s="47"/>
      <c r="E826" s="143"/>
      <c r="H826" s="2"/>
      <c r="I826" s="30"/>
    </row>
    <row r="827" spans="4:9">
      <c r="D827" s="47"/>
      <c r="E827" s="143"/>
      <c r="H827" s="2"/>
      <c r="I827" s="30"/>
    </row>
    <row r="828" spans="4:9">
      <c r="D828" s="47"/>
      <c r="E828" s="143"/>
      <c r="H828" s="2"/>
      <c r="I828" s="30"/>
    </row>
    <row r="829" spans="4:9">
      <c r="D829" s="47"/>
      <c r="E829" s="143"/>
      <c r="H829" s="2"/>
      <c r="I829" s="30"/>
    </row>
    <row r="830" spans="4:9">
      <c r="D830" s="47"/>
      <c r="E830" s="143"/>
      <c r="H830" s="2"/>
      <c r="I830" s="30"/>
    </row>
    <row r="831" spans="4:9">
      <c r="D831" s="47"/>
      <c r="E831" s="143"/>
      <c r="H831" s="2"/>
      <c r="I831" s="30"/>
    </row>
    <row r="832" spans="4:9">
      <c r="D832" s="47"/>
      <c r="E832" s="143"/>
      <c r="H832" s="2"/>
      <c r="I832" s="30"/>
    </row>
    <row r="833" spans="4:9">
      <c r="D833" s="47"/>
      <c r="E833" s="143"/>
      <c r="H833" s="2"/>
      <c r="I833" s="30"/>
    </row>
    <row r="834" spans="4:9">
      <c r="D834" s="47"/>
      <c r="E834" s="143"/>
      <c r="H834" s="2"/>
      <c r="I834" s="30"/>
    </row>
    <row r="835" spans="4:9">
      <c r="D835" s="47"/>
      <c r="E835" s="143"/>
      <c r="H835" s="2"/>
      <c r="I835" s="30"/>
    </row>
    <row r="836" spans="4:9">
      <c r="D836" s="47"/>
      <c r="E836" s="143"/>
      <c r="H836" s="2"/>
      <c r="I836" s="30"/>
    </row>
    <row r="837" spans="4:9">
      <c r="D837" s="47"/>
      <c r="E837" s="143"/>
      <c r="H837" s="2"/>
      <c r="I837" s="30"/>
    </row>
    <row r="838" spans="4:9">
      <c r="D838" s="47"/>
      <c r="E838" s="143"/>
      <c r="H838" s="2"/>
      <c r="I838" s="30"/>
    </row>
    <row r="839" spans="4:9">
      <c r="D839" s="47"/>
      <c r="E839" s="143"/>
      <c r="H839" s="2"/>
      <c r="I839" s="30"/>
    </row>
    <row r="840" spans="4:9">
      <c r="D840" s="47"/>
      <c r="E840" s="143"/>
      <c r="H840" s="2"/>
      <c r="I840" s="30"/>
    </row>
    <row r="841" spans="4:9">
      <c r="D841" s="47"/>
      <c r="E841" s="143"/>
      <c r="H841" s="2"/>
      <c r="I841" s="30"/>
    </row>
    <row r="842" spans="4:9">
      <c r="D842" s="47"/>
      <c r="E842" s="143"/>
      <c r="H842" s="2"/>
      <c r="I842" s="30"/>
    </row>
    <row r="843" spans="4:9">
      <c r="D843" s="47"/>
      <c r="E843" s="143"/>
      <c r="H843" s="2"/>
      <c r="I843" s="30"/>
    </row>
    <row r="844" spans="4:9">
      <c r="D844" s="47"/>
      <c r="E844" s="143"/>
      <c r="H844" s="2"/>
      <c r="I844" s="30"/>
    </row>
    <row r="845" spans="4:9">
      <c r="D845" s="47"/>
      <c r="E845" s="143"/>
      <c r="H845" s="2"/>
      <c r="I845" s="30"/>
    </row>
    <row r="846" spans="4:9">
      <c r="D846" s="47"/>
      <c r="E846" s="143"/>
      <c r="H846" s="2"/>
      <c r="I846" s="30"/>
    </row>
    <row r="847" spans="4:9">
      <c r="D847" s="47"/>
      <c r="E847" s="143"/>
      <c r="H847" s="2"/>
      <c r="I847" s="30"/>
    </row>
    <row r="848" spans="4:9">
      <c r="D848" s="47"/>
      <c r="E848" s="143"/>
      <c r="H848" s="2"/>
      <c r="I848" s="30"/>
    </row>
    <row r="849" spans="4:9">
      <c r="D849" s="47"/>
      <c r="E849" s="143"/>
      <c r="H849" s="2"/>
      <c r="I849" s="30"/>
    </row>
    <row r="850" spans="4:9">
      <c r="D850" s="47"/>
      <c r="E850" s="143"/>
      <c r="H850" s="2"/>
      <c r="I850" s="30"/>
    </row>
    <row r="851" spans="4:9">
      <c r="D851" s="47"/>
      <c r="E851" s="143"/>
      <c r="H851" s="2"/>
      <c r="I851" s="30"/>
    </row>
    <row r="852" spans="4:9">
      <c r="D852" s="47"/>
      <c r="E852" s="143"/>
      <c r="H852" s="2"/>
      <c r="I852" s="30"/>
    </row>
    <row r="853" spans="4:9">
      <c r="D853" s="47"/>
      <c r="E853" s="143"/>
      <c r="H853" s="2"/>
      <c r="I853" s="30"/>
    </row>
    <row r="854" spans="4:9">
      <c r="D854" s="47"/>
      <c r="E854" s="143"/>
      <c r="H854" s="2"/>
      <c r="I854" s="30"/>
    </row>
    <row r="855" spans="4:9">
      <c r="D855" s="47"/>
      <c r="E855" s="143"/>
      <c r="H855" s="2"/>
      <c r="I855" s="30"/>
    </row>
    <row r="856" spans="4:9">
      <c r="D856" s="47"/>
      <c r="E856" s="143"/>
      <c r="H856" s="2"/>
      <c r="I856" s="30"/>
    </row>
    <row r="857" spans="4:9">
      <c r="D857" s="47"/>
      <c r="E857" s="143"/>
      <c r="H857" s="2"/>
      <c r="I857" s="30"/>
    </row>
    <row r="858" spans="4:9">
      <c r="D858" s="47"/>
      <c r="E858" s="143"/>
      <c r="H858" s="2"/>
      <c r="I858" s="30"/>
    </row>
    <row r="859" spans="4:9">
      <c r="D859" s="47"/>
      <c r="E859" s="143"/>
      <c r="H859" s="2"/>
      <c r="I859" s="30"/>
    </row>
    <row r="860" spans="4:9">
      <c r="D860" s="47"/>
      <c r="E860" s="143"/>
      <c r="H860" s="2"/>
      <c r="I860" s="30"/>
    </row>
    <row r="861" spans="4:9">
      <c r="D861" s="47"/>
      <c r="E861" s="143"/>
      <c r="H861" s="2"/>
      <c r="I861" s="30"/>
    </row>
    <row r="862" spans="4:9">
      <c r="D862" s="47"/>
      <c r="E862" s="143"/>
      <c r="H862" s="2"/>
      <c r="I862" s="30"/>
    </row>
    <row r="863" spans="4:9">
      <c r="D863" s="47"/>
      <c r="E863" s="143"/>
      <c r="H863" s="2"/>
      <c r="I863" s="30"/>
    </row>
    <row r="864" spans="4:9">
      <c r="D864" s="47"/>
      <c r="E864" s="143"/>
      <c r="H864" s="2"/>
      <c r="I864" s="30"/>
    </row>
    <row r="865" spans="4:9">
      <c r="D865" s="47"/>
      <c r="E865" s="143"/>
      <c r="H865" s="2"/>
      <c r="I865" s="30"/>
    </row>
    <row r="866" spans="4:9">
      <c r="D866" s="47"/>
      <c r="E866" s="143"/>
      <c r="H866" s="2"/>
      <c r="I866" s="30"/>
    </row>
    <row r="867" spans="4:9">
      <c r="D867" s="47"/>
      <c r="E867" s="143"/>
      <c r="H867" s="2"/>
      <c r="I867" s="30"/>
    </row>
    <row r="868" spans="4:9">
      <c r="D868" s="47"/>
      <c r="E868" s="143"/>
      <c r="H868" s="2"/>
      <c r="I868" s="30"/>
    </row>
    <row r="869" spans="4:9">
      <c r="D869" s="47"/>
      <c r="E869" s="143"/>
      <c r="H869" s="2"/>
      <c r="I869" s="30"/>
    </row>
    <row r="870" spans="4:9">
      <c r="D870" s="47"/>
      <c r="E870" s="143"/>
      <c r="H870" s="2"/>
      <c r="I870" s="30"/>
    </row>
    <row r="871" spans="4:9">
      <c r="D871" s="47"/>
      <c r="E871" s="143"/>
      <c r="H871" s="2"/>
      <c r="I871" s="30"/>
    </row>
    <row r="872" spans="4:9">
      <c r="D872" s="47"/>
      <c r="E872" s="143"/>
      <c r="H872" s="2"/>
      <c r="I872" s="30"/>
    </row>
    <row r="873" spans="4:9">
      <c r="D873" s="47"/>
      <c r="E873" s="143"/>
      <c r="H873" s="2"/>
      <c r="I873" s="30"/>
    </row>
    <row r="874" spans="4:9">
      <c r="D874" s="47"/>
      <c r="E874" s="143"/>
      <c r="H874" s="2"/>
      <c r="I874" s="30"/>
    </row>
    <row r="875" spans="4:9">
      <c r="D875" s="47"/>
      <c r="E875" s="143"/>
      <c r="H875" s="2"/>
      <c r="I875" s="30"/>
    </row>
    <row r="876" spans="4:9">
      <c r="D876" s="47"/>
      <c r="E876" s="143"/>
      <c r="H876" s="2"/>
      <c r="I876" s="30"/>
    </row>
    <row r="877" spans="4:9">
      <c r="D877" s="47"/>
      <c r="E877" s="143"/>
      <c r="H877" s="2"/>
      <c r="I877" s="30"/>
    </row>
    <row r="878" spans="4:9">
      <c r="D878" s="47"/>
      <c r="E878" s="143"/>
      <c r="H878" s="2"/>
      <c r="I878" s="30"/>
    </row>
    <row r="879" spans="4:9">
      <c r="D879" s="47"/>
      <c r="E879" s="143"/>
      <c r="H879" s="2"/>
      <c r="I879" s="30"/>
    </row>
    <row r="880" spans="4:9">
      <c r="D880" s="47"/>
      <c r="E880" s="143"/>
      <c r="H880" s="2"/>
      <c r="I880" s="30"/>
    </row>
    <row r="881" spans="4:9">
      <c r="D881" s="47"/>
      <c r="E881" s="143"/>
      <c r="H881" s="2"/>
      <c r="I881" s="30"/>
    </row>
    <row r="882" spans="4:9">
      <c r="D882" s="47"/>
      <c r="E882" s="143"/>
      <c r="H882" s="2"/>
      <c r="I882" s="30"/>
    </row>
    <row r="883" spans="4:9">
      <c r="D883" s="47"/>
      <c r="E883" s="143"/>
      <c r="H883" s="2"/>
      <c r="I883" s="30"/>
    </row>
    <row r="884" spans="4:9">
      <c r="D884" s="47"/>
      <c r="E884" s="143"/>
      <c r="H884" s="2"/>
      <c r="I884" s="30"/>
    </row>
    <row r="885" spans="4:9">
      <c r="D885" s="47"/>
      <c r="E885" s="143"/>
      <c r="H885" s="2"/>
      <c r="I885" s="30"/>
    </row>
    <row r="886" spans="4:9">
      <c r="D886" s="47"/>
      <c r="E886" s="143"/>
      <c r="H886" s="2"/>
      <c r="I886" s="30"/>
    </row>
    <row r="887" spans="4:9">
      <c r="D887" s="47"/>
      <c r="E887" s="143"/>
      <c r="H887" s="2"/>
      <c r="I887" s="30"/>
    </row>
    <row r="888" spans="4:9">
      <c r="D888" s="47"/>
      <c r="E888" s="143"/>
      <c r="H888" s="2"/>
      <c r="I888" s="30"/>
    </row>
    <row r="889" spans="4:9">
      <c r="D889" s="47"/>
      <c r="E889" s="143"/>
      <c r="H889" s="2"/>
      <c r="I889" s="30"/>
    </row>
    <row r="890" spans="4:9">
      <c r="D890" s="47"/>
      <c r="E890" s="143"/>
      <c r="H890" s="2"/>
      <c r="I890" s="30"/>
    </row>
    <row r="891" spans="4:9">
      <c r="D891" s="47"/>
      <c r="E891" s="143"/>
      <c r="H891" s="2"/>
      <c r="I891" s="30"/>
    </row>
    <row r="892" spans="4:9">
      <c r="D892" s="47"/>
      <c r="E892" s="143"/>
      <c r="H892" s="2"/>
      <c r="I892" s="30"/>
    </row>
    <row r="893" spans="4:9">
      <c r="D893" s="47"/>
      <c r="E893" s="143"/>
      <c r="H893" s="2"/>
      <c r="I893" s="30"/>
    </row>
    <row r="894" spans="4:9">
      <c r="D894" s="47"/>
      <c r="E894" s="143"/>
      <c r="H894" s="2"/>
      <c r="I894" s="30"/>
    </row>
    <row r="895" spans="4:9">
      <c r="D895" s="47"/>
      <c r="E895" s="143"/>
      <c r="H895" s="2"/>
      <c r="I895" s="30"/>
    </row>
    <row r="896" spans="4:9">
      <c r="D896" s="47"/>
      <c r="E896" s="143"/>
      <c r="H896" s="2"/>
      <c r="I896" s="30"/>
    </row>
    <row r="897" spans="4:9">
      <c r="D897" s="47"/>
      <c r="E897" s="143"/>
      <c r="H897" s="2"/>
      <c r="I897" s="30"/>
    </row>
    <row r="898" spans="4:9">
      <c r="D898" s="47"/>
      <c r="E898" s="143"/>
      <c r="H898" s="2"/>
      <c r="I898" s="30"/>
    </row>
    <row r="899" spans="4:9">
      <c r="D899" s="47"/>
      <c r="E899" s="143"/>
      <c r="H899" s="2"/>
      <c r="I899" s="30"/>
    </row>
    <row r="900" spans="4:9">
      <c r="D900" s="47"/>
      <c r="E900" s="143"/>
      <c r="H900" s="2"/>
      <c r="I900" s="30"/>
    </row>
    <row r="901" spans="4:9">
      <c r="D901" s="47"/>
      <c r="E901" s="143"/>
      <c r="H901" s="2"/>
      <c r="I901" s="30"/>
    </row>
    <row r="902" spans="4:9">
      <c r="D902" s="47"/>
      <c r="E902" s="143"/>
      <c r="H902" s="2"/>
      <c r="I902" s="30"/>
    </row>
    <row r="903" spans="4:9">
      <c r="D903" s="47"/>
      <c r="E903" s="143"/>
      <c r="H903" s="2"/>
      <c r="I903" s="30"/>
    </row>
    <row r="904" spans="4:9">
      <c r="D904" s="47"/>
      <c r="E904" s="143"/>
      <c r="H904" s="2"/>
      <c r="I904" s="30"/>
    </row>
    <row r="905" spans="4:9">
      <c r="D905" s="47"/>
      <c r="E905" s="143"/>
      <c r="H905" s="2"/>
      <c r="I905" s="30"/>
    </row>
    <row r="906" spans="4:9">
      <c r="D906" s="47"/>
      <c r="E906" s="143"/>
      <c r="H906" s="2"/>
      <c r="I906" s="30"/>
    </row>
    <row r="907" spans="4:9">
      <c r="D907" s="47"/>
      <c r="E907" s="143"/>
      <c r="H907" s="2"/>
      <c r="I907" s="30"/>
    </row>
    <row r="908" spans="4:9">
      <c r="D908" s="47"/>
      <c r="E908" s="143"/>
      <c r="H908" s="2"/>
      <c r="I908" s="30"/>
    </row>
    <row r="909" spans="4:9">
      <c r="D909" s="47"/>
      <c r="E909" s="143"/>
      <c r="H909" s="2"/>
      <c r="I909" s="30"/>
    </row>
    <row r="910" spans="4:9">
      <c r="D910" s="47"/>
      <c r="E910" s="143"/>
      <c r="H910" s="2"/>
      <c r="I910" s="30"/>
    </row>
    <row r="911" spans="4:9">
      <c r="D911" s="47"/>
      <c r="E911" s="143"/>
      <c r="H911" s="2"/>
      <c r="I911" s="30"/>
    </row>
    <row r="912" spans="4:9">
      <c r="D912" s="47"/>
      <c r="E912" s="143"/>
      <c r="H912" s="2"/>
      <c r="I912" s="30"/>
    </row>
    <row r="913" spans="4:9">
      <c r="D913" s="47"/>
      <c r="E913" s="143"/>
      <c r="H913" s="2"/>
      <c r="I913" s="30"/>
    </row>
    <row r="914" spans="4:9">
      <c r="D914" s="47"/>
      <c r="E914" s="143"/>
      <c r="H914" s="2"/>
      <c r="I914" s="30"/>
    </row>
    <row r="915" spans="4:9">
      <c r="D915" s="47"/>
      <c r="E915" s="143"/>
      <c r="H915" s="2"/>
      <c r="I915" s="30"/>
    </row>
    <row r="916" spans="4:9">
      <c r="D916" s="47"/>
      <c r="E916" s="143"/>
      <c r="H916" s="2"/>
      <c r="I916" s="30"/>
    </row>
    <row r="917" spans="4:9">
      <c r="D917" s="47"/>
      <c r="E917" s="143"/>
      <c r="H917" s="2"/>
      <c r="I917" s="30"/>
    </row>
    <row r="918" spans="4:9">
      <c r="D918" s="47"/>
      <c r="E918" s="143"/>
      <c r="H918" s="2"/>
      <c r="I918" s="30"/>
    </row>
    <row r="919" spans="4:9">
      <c r="D919" s="47"/>
      <c r="E919" s="143"/>
      <c r="H919" s="2"/>
      <c r="I919" s="30"/>
    </row>
    <row r="920" spans="4:9">
      <c r="D920" s="47"/>
      <c r="E920" s="143"/>
      <c r="H920" s="2"/>
      <c r="I920" s="30"/>
    </row>
    <row r="921" spans="4:9">
      <c r="D921" s="47"/>
      <c r="E921" s="143"/>
      <c r="H921" s="2"/>
      <c r="I921" s="30"/>
    </row>
    <row r="922" spans="4:9">
      <c r="D922" s="47"/>
      <c r="E922" s="143"/>
      <c r="H922" s="2"/>
      <c r="I922" s="30"/>
    </row>
    <row r="923" spans="4:9">
      <c r="D923" s="47"/>
      <c r="E923" s="143"/>
      <c r="H923" s="2"/>
      <c r="I923" s="30"/>
    </row>
    <row r="924" spans="4:9">
      <c r="D924" s="47"/>
      <c r="E924" s="143"/>
      <c r="H924" s="2"/>
      <c r="I924" s="30"/>
    </row>
    <row r="925" spans="4:9">
      <c r="D925" s="47"/>
      <c r="E925" s="143"/>
      <c r="H925" s="2"/>
      <c r="I925" s="30"/>
    </row>
    <row r="926" spans="4:9">
      <c r="D926" s="47"/>
      <c r="E926" s="143"/>
      <c r="H926" s="2"/>
      <c r="I926" s="30"/>
    </row>
    <row r="927" spans="4:9">
      <c r="D927" s="47"/>
      <c r="E927" s="143"/>
      <c r="H927" s="2"/>
      <c r="I927" s="30"/>
    </row>
    <row r="928" spans="4:9">
      <c r="D928" s="47"/>
      <c r="E928" s="143"/>
      <c r="H928" s="2"/>
      <c r="I928" s="30"/>
    </row>
    <row r="929" spans="4:9">
      <c r="D929" s="47"/>
      <c r="E929" s="143"/>
      <c r="H929" s="2"/>
      <c r="I929" s="30"/>
    </row>
    <row r="930" spans="4:9">
      <c r="D930" s="47"/>
      <c r="E930" s="143"/>
      <c r="H930" s="2"/>
      <c r="I930" s="30"/>
    </row>
    <row r="931" spans="4:9">
      <c r="D931" s="47"/>
      <c r="E931" s="143"/>
      <c r="H931" s="2"/>
      <c r="I931" s="30"/>
    </row>
    <row r="932" spans="4:9">
      <c r="D932" s="47"/>
      <c r="E932" s="143"/>
      <c r="H932" s="2"/>
      <c r="I932" s="30"/>
    </row>
    <row r="933" spans="4:9">
      <c r="D933" s="47"/>
      <c r="E933" s="143"/>
      <c r="H933" s="2"/>
      <c r="I933" s="30"/>
    </row>
    <row r="934" spans="4:9">
      <c r="D934" s="47"/>
      <c r="E934" s="143"/>
      <c r="H934" s="2"/>
      <c r="I934" s="30"/>
    </row>
    <row r="935" spans="4:9">
      <c r="D935" s="47"/>
      <c r="E935" s="143"/>
      <c r="H935" s="2"/>
      <c r="I935" s="30"/>
    </row>
    <row r="936" spans="4:9">
      <c r="D936" s="47"/>
      <c r="E936" s="143"/>
      <c r="H936" s="2"/>
      <c r="I936" s="30"/>
    </row>
    <row r="937" spans="4:9">
      <c r="D937" s="47"/>
      <c r="E937" s="143"/>
      <c r="H937" s="2"/>
      <c r="I937" s="30"/>
    </row>
    <row r="938" spans="4:9">
      <c r="D938" s="47"/>
      <c r="E938" s="143"/>
      <c r="H938" s="2"/>
      <c r="I938" s="30"/>
    </row>
    <row r="939" spans="4:9">
      <c r="D939" s="47"/>
      <c r="E939" s="143"/>
      <c r="H939" s="2"/>
      <c r="I939" s="30"/>
    </row>
    <row r="940" spans="4:9">
      <c r="D940" s="47"/>
      <c r="E940" s="143"/>
      <c r="H940" s="2"/>
      <c r="I940" s="30"/>
    </row>
    <row r="941" spans="4:9">
      <c r="D941" s="47"/>
      <c r="E941" s="143"/>
      <c r="H941" s="2"/>
      <c r="I941" s="30"/>
    </row>
    <row r="942" spans="4:9">
      <c r="D942" s="47"/>
      <c r="E942" s="143"/>
      <c r="H942" s="2"/>
      <c r="I942" s="30"/>
    </row>
    <row r="943" spans="4:9">
      <c r="D943" s="47"/>
      <c r="E943" s="143"/>
      <c r="H943" s="2"/>
      <c r="I943" s="30"/>
    </row>
    <row r="944" spans="4:9">
      <c r="D944" s="47"/>
      <c r="E944" s="143"/>
      <c r="H944" s="2"/>
      <c r="I944" s="30"/>
    </row>
    <row r="945" spans="4:15">
      <c r="D945" s="47"/>
      <c r="E945" s="143"/>
      <c r="H945" s="2"/>
      <c r="I945" s="30"/>
    </row>
    <row r="946" spans="4:15">
      <c r="D946" s="47"/>
      <c r="E946" s="143"/>
      <c r="H946" s="2"/>
      <c r="I946" s="30"/>
    </row>
    <row r="947" spans="4:15">
      <c r="D947" s="47"/>
      <c r="E947" s="143"/>
      <c r="H947" s="2"/>
      <c r="I947" s="30"/>
    </row>
    <row r="948" spans="4:15">
      <c r="D948" s="47"/>
      <c r="E948" s="143"/>
      <c r="H948" s="2"/>
      <c r="I948" s="30"/>
    </row>
    <row r="949" spans="4:15">
      <c r="D949" s="47"/>
      <c r="E949" s="143"/>
      <c r="H949" s="2"/>
      <c r="I949" s="30"/>
    </row>
    <row r="950" spans="4:15">
      <c r="D950" s="47"/>
      <c r="E950" s="143"/>
      <c r="H950" s="2"/>
      <c r="I950" s="30"/>
    </row>
    <row r="951" spans="4:15">
      <c r="D951" s="47"/>
      <c r="E951" s="143"/>
      <c r="H951" s="2"/>
      <c r="I951" s="30"/>
    </row>
    <row r="952" spans="4:15">
      <c r="D952" s="47"/>
      <c r="E952" s="143"/>
      <c r="H952" s="2"/>
      <c r="I952" s="30"/>
    </row>
    <row r="953" spans="4:15">
      <c r="D953" s="47"/>
      <c r="E953" s="143"/>
      <c r="H953" s="2"/>
      <c r="I953" s="30"/>
    </row>
    <row r="954" spans="4:15">
      <c r="D954" s="47"/>
      <c r="E954" s="143"/>
      <c r="H954" s="2"/>
      <c r="I954" s="30"/>
    </row>
    <row r="955" spans="4:15">
      <c r="K955" s="143"/>
      <c r="N955" s="2"/>
      <c r="O955" s="30"/>
    </row>
    <row r="956" spans="4:15">
      <c r="K956" s="143"/>
      <c r="N956" s="2"/>
      <c r="O956" s="30"/>
    </row>
    <row r="957" spans="4:15">
      <c r="K957" s="143"/>
      <c r="N957" s="2"/>
      <c r="O957" s="30"/>
    </row>
    <row r="958" spans="4:15">
      <c r="K958" s="143"/>
      <c r="N958" s="2"/>
      <c r="O958" s="30"/>
    </row>
    <row r="959" spans="4:15">
      <c r="K959" s="143"/>
      <c r="N959" s="2"/>
      <c r="O959" s="30"/>
    </row>
    <row r="960" spans="4:15">
      <c r="K960" s="143"/>
      <c r="N960" s="2"/>
      <c r="O960" s="30"/>
    </row>
    <row r="961" spans="11:15">
      <c r="K961" s="143"/>
      <c r="N961" s="2"/>
      <c r="O961" s="30"/>
    </row>
    <row r="962" spans="11:15">
      <c r="K962" s="143"/>
      <c r="N962" s="2"/>
      <c r="O962" s="30"/>
    </row>
    <row r="963" spans="11:15">
      <c r="K963" s="143"/>
      <c r="N963" s="2"/>
      <c r="O963" s="30"/>
    </row>
    <row r="964" spans="11:15">
      <c r="K964" s="143"/>
      <c r="N964" s="2"/>
      <c r="O964" s="30"/>
    </row>
    <row r="965" spans="11:15">
      <c r="K965" s="143"/>
      <c r="N965" s="2"/>
      <c r="O965" s="30"/>
    </row>
    <row r="966" spans="11:15">
      <c r="K966" s="143"/>
      <c r="N966" s="2"/>
      <c r="O966" s="30"/>
    </row>
    <row r="967" spans="11:15">
      <c r="K967" s="143"/>
      <c r="N967" s="2"/>
      <c r="O967" s="30"/>
    </row>
    <row r="968" spans="11:15">
      <c r="K968" s="143"/>
      <c r="N968" s="2"/>
      <c r="O968" s="30"/>
    </row>
    <row r="969" spans="11:15">
      <c r="K969" s="143"/>
      <c r="N969" s="2"/>
      <c r="O969" s="30"/>
    </row>
    <row r="970" spans="11:15">
      <c r="K970" s="143"/>
      <c r="N970" s="2"/>
      <c r="O970" s="30"/>
    </row>
    <row r="971" spans="11:15">
      <c r="K971" s="143"/>
      <c r="N971" s="2"/>
      <c r="O971" s="30"/>
    </row>
    <row r="972" spans="11:15">
      <c r="K972" s="143"/>
      <c r="N972" s="2"/>
      <c r="O972" s="30"/>
    </row>
    <row r="973" spans="11:15">
      <c r="K973" s="143"/>
      <c r="N973" s="2"/>
      <c r="O973" s="30"/>
    </row>
    <row r="974" spans="11:15">
      <c r="K974" s="143"/>
      <c r="N974" s="2"/>
      <c r="O974" s="30"/>
    </row>
    <row r="975" spans="11:15">
      <c r="K975" s="143"/>
      <c r="N975" s="2"/>
      <c r="O975" s="30"/>
    </row>
    <row r="976" spans="11:15">
      <c r="K976" s="143"/>
      <c r="N976" s="2"/>
      <c r="O976" s="30"/>
    </row>
  </sheetData>
  <mergeCells count="4">
    <mergeCell ref="F3:F5"/>
    <mergeCell ref="G3:G5"/>
    <mergeCell ref="F6:F7"/>
    <mergeCell ref="G6:G7"/>
  </mergeCells>
  <hyperlinks>
    <hyperlink ref="M8" r:id="rId1" xr:uid="{020B5629-E8CB-4B25-9C40-4CECB8DA5F23}"/>
    <hyperlink ref="M3" r:id="rId2" xr:uid="{8824BADD-E936-462A-A874-4E5C3ED76CFE}"/>
    <hyperlink ref="M6" r:id="rId3" xr:uid="{BD002E66-C7C7-41EA-B035-8490E3598681}"/>
    <hyperlink ref="M7" r:id="rId4" xr:uid="{73C30AB5-18E3-49D3-B164-062D9BAA799C}"/>
    <hyperlink ref="M5" r:id="rId5" xr:uid="{DD996525-67E5-4C96-BA55-09EBD9A16817}"/>
    <hyperlink ref="M4" r:id="rId6" xr:uid="{A0344702-858C-48D8-8660-D1F881EF442B}"/>
    <hyperlink ref="M9" r:id="rId7" xr:uid="{21A084C3-4D22-406B-B269-780F06E22F02}"/>
  </hyperlinks>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28EDF-0B33-4619-9F8F-3132EE509310}">
  <dimension ref="A1:AD978"/>
  <sheetViews>
    <sheetView topLeftCell="B2" workbookViewId="0">
      <selection activeCell="B5" sqref="B5"/>
    </sheetView>
  </sheetViews>
  <sheetFormatPr defaultRowHeight="12.75"/>
  <cols>
    <col min="1" max="1" width="9.140625" style="181"/>
    <col min="2" max="2" width="15.140625" customWidth="1"/>
    <col min="3" max="3" width="23.42578125" style="47" customWidth="1"/>
    <col min="4" max="4" width="12.85546875" customWidth="1"/>
    <col min="5" max="5" width="35.140625" customWidth="1"/>
    <col min="6" max="7" width="9.140625" style="53"/>
    <col min="12" max="12" width="35.85546875" customWidth="1"/>
    <col min="13" max="13" width="19.140625" customWidth="1"/>
    <col min="14" max="14" width="10.7109375" bestFit="1" customWidth="1"/>
    <col min="15" max="15" width="9.42578125" bestFit="1" customWidth="1"/>
    <col min="17" max="17" width="13.28515625" customWidth="1"/>
    <col min="19" max="19" width="9.42578125" bestFit="1" customWidth="1"/>
    <col min="20" max="20" width="14.7109375" customWidth="1"/>
    <col min="21" max="21" width="15.28515625" customWidth="1"/>
    <col min="22" max="22" width="18.5703125" customWidth="1"/>
    <col min="23" max="23" width="24.42578125" style="137" customWidth="1"/>
    <col min="24" max="24" width="48.28515625" customWidth="1"/>
  </cols>
  <sheetData>
    <row r="1" spans="1:30">
      <c r="A1" s="184"/>
      <c r="B1" s="4"/>
      <c r="C1" s="5"/>
      <c r="D1" s="5"/>
      <c r="E1" s="4"/>
      <c r="F1" s="48"/>
      <c r="G1" s="48"/>
      <c r="H1" s="197"/>
      <c r="I1" s="243"/>
      <c r="J1" s="197"/>
      <c r="K1" s="197"/>
      <c r="L1" s="197"/>
      <c r="M1" s="197"/>
      <c r="N1" s="197"/>
      <c r="O1" s="197"/>
      <c r="P1" s="197"/>
      <c r="Q1" s="197"/>
      <c r="R1" s="197"/>
      <c r="S1" s="197"/>
      <c r="T1" s="197"/>
      <c r="U1" s="197"/>
      <c r="V1" s="197"/>
      <c r="W1" s="188"/>
      <c r="X1" s="209"/>
    </row>
    <row r="2" spans="1:30" ht="46.5">
      <c r="A2" s="193" t="s">
        <v>254</v>
      </c>
      <c r="B2" s="59" t="s">
        <v>255</v>
      </c>
      <c r="C2" s="195" t="s">
        <v>256</v>
      </c>
      <c r="D2" s="68" t="s">
        <v>257</v>
      </c>
      <c r="E2" s="70" t="s">
        <v>258</v>
      </c>
      <c r="F2" s="71" t="s">
        <v>260</v>
      </c>
      <c r="G2" s="71" t="s">
        <v>261</v>
      </c>
      <c r="H2" s="199" t="s">
        <v>265</v>
      </c>
      <c r="I2" s="199" t="s">
        <v>266</v>
      </c>
      <c r="J2" s="199" t="s">
        <v>267</v>
      </c>
      <c r="K2" s="199" t="s">
        <v>268</v>
      </c>
      <c r="L2" s="199" t="s">
        <v>269</v>
      </c>
      <c r="M2" s="199" t="s">
        <v>270</v>
      </c>
      <c r="N2" s="199" t="s">
        <v>271</v>
      </c>
      <c r="O2" s="199" t="s">
        <v>272</v>
      </c>
      <c r="P2" s="199" t="s">
        <v>1708</v>
      </c>
      <c r="Q2" s="199" t="s">
        <v>274</v>
      </c>
      <c r="R2" s="199" t="s">
        <v>1709</v>
      </c>
      <c r="S2" s="199" t="s">
        <v>276</v>
      </c>
      <c r="T2" s="199" t="s">
        <v>274</v>
      </c>
      <c r="U2" s="199" t="s">
        <v>278</v>
      </c>
      <c r="V2" s="199" t="s">
        <v>279</v>
      </c>
      <c r="W2" s="189" t="s">
        <v>259</v>
      </c>
      <c r="X2" s="210" t="s">
        <v>280</v>
      </c>
    </row>
    <row r="3" spans="1:30" s="286" customFormat="1" ht="27.75" customHeight="1">
      <c r="A3" s="275">
        <v>1</v>
      </c>
      <c r="B3" s="276" t="s">
        <v>1783</v>
      </c>
      <c r="C3" s="191" t="s">
        <v>1784</v>
      </c>
      <c r="D3" s="278" t="s">
        <v>1785</v>
      </c>
      <c r="E3" s="281" t="s">
        <v>1786</v>
      </c>
      <c r="F3" s="192">
        <v>2</v>
      </c>
      <c r="G3" s="192">
        <v>2</v>
      </c>
      <c r="H3" s="191" t="s">
        <v>1728</v>
      </c>
      <c r="I3" s="191" t="s">
        <v>290</v>
      </c>
      <c r="J3" s="191" t="s">
        <v>1663</v>
      </c>
      <c r="K3" s="191" t="s">
        <v>862</v>
      </c>
      <c r="L3" s="191" t="s">
        <v>1694</v>
      </c>
      <c r="M3" s="46" t="s">
        <v>1728</v>
      </c>
      <c r="N3" s="282" t="s">
        <v>1728</v>
      </c>
      <c r="O3" s="282" t="s">
        <v>1728</v>
      </c>
      <c r="P3" s="282" t="s">
        <v>1728</v>
      </c>
      <c r="Q3" s="282" t="s">
        <v>1728</v>
      </c>
      <c r="R3" s="282" t="s">
        <v>1728</v>
      </c>
      <c r="S3" s="282" t="s">
        <v>1728</v>
      </c>
      <c r="T3" s="282" t="s">
        <v>1728</v>
      </c>
      <c r="U3" s="282" t="s">
        <v>1728</v>
      </c>
      <c r="V3" s="282" t="s">
        <v>1728</v>
      </c>
      <c r="W3" s="275" t="s">
        <v>289</v>
      </c>
      <c r="X3" s="277" t="s">
        <v>1787</v>
      </c>
    </row>
    <row r="4" spans="1:30" s="287" customFormat="1" ht="31.5" customHeight="1">
      <c r="A4" s="275">
        <v>2</v>
      </c>
      <c r="B4" s="276" t="s">
        <v>1783</v>
      </c>
      <c r="C4" s="275" t="s">
        <v>1788</v>
      </c>
      <c r="D4" s="278" t="s">
        <v>1789</v>
      </c>
      <c r="E4" s="281" t="s">
        <v>1790</v>
      </c>
      <c r="F4" s="192">
        <v>3</v>
      </c>
      <c r="G4" s="192">
        <v>3</v>
      </c>
      <c r="H4" s="191" t="s">
        <v>290</v>
      </c>
      <c r="I4" s="191" t="s">
        <v>290</v>
      </c>
      <c r="J4" s="191" t="s">
        <v>1663</v>
      </c>
      <c r="K4" s="191" t="s">
        <v>292</v>
      </c>
      <c r="L4" s="283" t="s">
        <v>1694</v>
      </c>
      <c r="M4" s="279" t="s">
        <v>1791</v>
      </c>
      <c r="N4" s="191" t="s">
        <v>1792</v>
      </c>
      <c r="O4" s="283" t="s">
        <v>1792</v>
      </c>
      <c r="P4" s="191" t="s">
        <v>294</v>
      </c>
      <c r="Q4" s="191" t="s">
        <v>1694</v>
      </c>
      <c r="R4" s="191" t="s">
        <v>295</v>
      </c>
      <c r="S4" s="283" t="s">
        <v>1792</v>
      </c>
      <c r="T4" s="191" t="s">
        <v>1694</v>
      </c>
      <c r="U4" s="191" t="s">
        <v>1694</v>
      </c>
      <c r="V4" s="191" t="s">
        <v>1694</v>
      </c>
      <c r="W4" s="275" t="s">
        <v>289</v>
      </c>
      <c r="X4" s="278"/>
      <c r="Y4" s="288"/>
      <c r="Z4" s="288"/>
      <c r="AA4" s="288"/>
      <c r="AB4" s="288"/>
      <c r="AC4" s="288"/>
      <c r="AD4" s="288"/>
    </row>
    <row r="5" spans="1:30" ht="30.75" customHeight="1">
      <c r="A5" s="62">
        <v>3</v>
      </c>
      <c r="B5" s="276" t="s">
        <v>1783</v>
      </c>
      <c r="C5" s="275" t="s">
        <v>1788</v>
      </c>
      <c r="D5" s="203" t="s">
        <v>1793</v>
      </c>
      <c r="E5" s="280" t="s">
        <v>1794</v>
      </c>
      <c r="F5" s="225">
        <v>2</v>
      </c>
      <c r="G5" s="225">
        <v>2</v>
      </c>
      <c r="H5" s="191" t="s">
        <v>1728</v>
      </c>
      <c r="I5" s="191" t="s">
        <v>290</v>
      </c>
      <c r="J5" s="191" t="s">
        <v>1663</v>
      </c>
      <c r="K5" s="191" t="s">
        <v>862</v>
      </c>
      <c r="L5" s="191" t="s">
        <v>1694</v>
      </c>
      <c r="M5" s="46" t="s">
        <v>1728</v>
      </c>
      <c r="N5" s="46" t="s">
        <v>1728</v>
      </c>
      <c r="O5" s="46" t="s">
        <v>1728</v>
      </c>
      <c r="P5" s="46" t="s">
        <v>1728</v>
      </c>
      <c r="Q5" s="46" t="s">
        <v>1728</v>
      </c>
      <c r="R5" s="46" t="s">
        <v>1728</v>
      </c>
      <c r="S5" s="46" t="s">
        <v>1728</v>
      </c>
      <c r="T5" s="46" t="s">
        <v>1728</v>
      </c>
      <c r="U5" s="46" t="s">
        <v>1728</v>
      </c>
      <c r="V5" s="46" t="s">
        <v>1728</v>
      </c>
      <c r="W5" s="138" t="s">
        <v>289</v>
      </c>
      <c r="X5" s="138" t="s">
        <v>1787</v>
      </c>
    </row>
    <row r="6" spans="1:30" ht="35.25" customHeight="1">
      <c r="A6" s="62">
        <v>4</v>
      </c>
      <c r="B6" s="300" t="s">
        <v>1795</v>
      </c>
      <c r="C6" s="46" t="s">
        <v>292</v>
      </c>
      <c r="D6" s="203" t="s">
        <v>1796</v>
      </c>
      <c r="E6" s="280" t="s">
        <v>1797</v>
      </c>
      <c r="F6" s="225">
        <v>1</v>
      </c>
      <c r="G6" s="225">
        <v>1</v>
      </c>
      <c r="H6" s="87" t="s">
        <v>290</v>
      </c>
      <c r="I6" s="46" t="s">
        <v>290</v>
      </c>
      <c r="J6" s="62" t="s">
        <v>1663</v>
      </c>
      <c r="K6" s="46" t="s">
        <v>862</v>
      </c>
      <c r="L6" s="62" t="s">
        <v>1694</v>
      </c>
      <c r="M6" s="279" t="s">
        <v>1779</v>
      </c>
      <c r="N6" s="284">
        <v>45476</v>
      </c>
      <c r="O6" s="285">
        <v>45476</v>
      </c>
      <c r="P6" s="191" t="s">
        <v>294</v>
      </c>
      <c r="Q6" s="191" t="s">
        <v>1694</v>
      </c>
      <c r="R6" s="191" t="s">
        <v>295</v>
      </c>
      <c r="S6" s="284">
        <v>45476</v>
      </c>
      <c r="T6" s="191" t="s">
        <v>1694</v>
      </c>
      <c r="U6" s="191" t="s">
        <v>1694</v>
      </c>
      <c r="V6" s="191" t="s">
        <v>1694</v>
      </c>
      <c r="W6" s="62" t="s">
        <v>289</v>
      </c>
      <c r="X6" s="58"/>
    </row>
    <row r="7" spans="1:30">
      <c r="B7" s="28"/>
      <c r="C7" s="196"/>
      <c r="D7" s="47"/>
      <c r="E7" s="28"/>
      <c r="F7" s="215"/>
      <c r="G7" s="215"/>
      <c r="H7" s="2"/>
      <c r="I7" s="35"/>
      <c r="K7" s="35"/>
      <c r="M7" s="35"/>
      <c r="N7" s="35"/>
      <c r="O7" s="35"/>
      <c r="P7" s="35"/>
    </row>
    <row r="8" spans="1:30">
      <c r="B8" s="28"/>
      <c r="C8" s="196"/>
      <c r="D8" s="47"/>
      <c r="E8" s="28"/>
      <c r="F8" s="215"/>
      <c r="G8" s="215"/>
      <c r="H8" s="2"/>
      <c r="I8" s="35"/>
      <c r="K8" s="35"/>
      <c r="M8" s="35"/>
      <c r="N8" s="35"/>
      <c r="O8" s="35"/>
      <c r="P8" s="35"/>
    </row>
    <row r="9" spans="1:30">
      <c r="B9" s="28"/>
      <c r="C9" s="196"/>
      <c r="D9" s="47"/>
      <c r="E9" s="28"/>
      <c r="F9" s="215"/>
      <c r="G9" s="215"/>
      <c r="H9" s="2"/>
      <c r="I9" s="35"/>
      <c r="K9" s="35"/>
      <c r="M9" s="35"/>
      <c r="N9" s="35"/>
      <c r="O9" s="35"/>
      <c r="P9" s="35"/>
    </row>
    <row r="10" spans="1:30">
      <c r="B10" s="28"/>
      <c r="C10" s="196"/>
      <c r="D10" s="47"/>
      <c r="E10" s="28"/>
      <c r="F10" s="215"/>
      <c r="G10" s="215"/>
      <c r="H10" s="2"/>
      <c r="I10" s="35"/>
      <c r="K10" s="35"/>
      <c r="M10" s="35"/>
      <c r="N10" s="35"/>
      <c r="O10" s="35"/>
      <c r="P10" s="35"/>
    </row>
    <row r="11" spans="1:30">
      <c r="B11" s="28"/>
      <c r="C11" s="196"/>
      <c r="D11" s="47"/>
      <c r="E11" s="28"/>
      <c r="F11" s="215"/>
      <c r="G11" s="215"/>
      <c r="H11" s="2"/>
      <c r="I11" s="35"/>
      <c r="K11" s="35"/>
      <c r="M11" s="35"/>
      <c r="N11" s="35"/>
      <c r="O11" s="35"/>
      <c r="P11" s="35"/>
    </row>
    <row r="12" spans="1:30">
      <c r="B12" s="28"/>
      <c r="C12" s="196"/>
      <c r="D12" s="47"/>
      <c r="E12" s="28"/>
      <c r="F12" s="215"/>
      <c r="G12" s="215"/>
      <c r="H12" s="2"/>
      <c r="I12" s="35"/>
      <c r="K12" s="35"/>
      <c r="M12" s="35"/>
      <c r="N12" s="35"/>
      <c r="O12" s="35"/>
      <c r="P12" s="35"/>
    </row>
    <row r="13" spans="1:30">
      <c r="B13" s="28"/>
      <c r="C13" s="196"/>
      <c r="D13" s="47"/>
      <c r="E13" s="28"/>
      <c r="F13" s="215"/>
      <c r="G13" s="215"/>
      <c r="H13" s="2"/>
      <c r="I13" s="35"/>
      <c r="K13" s="35"/>
      <c r="M13" s="35"/>
      <c r="N13" s="35"/>
      <c r="O13" s="35"/>
      <c r="P13" s="35"/>
    </row>
    <row r="14" spans="1:30">
      <c r="B14" s="28"/>
      <c r="C14" s="196"/>
      <c r="D14" s="47"/>
      <c r="E14" s="28"/>
      <c r="F14" s="215"/>
      <c r="G14" s="215"/>
      <c r="H14" s="2"/>
      <c r="I14" s="35"/>
      <c r="K14" s="35"/>
      <c r="M14" s="35"/>
      <c r="N14" s="35"/>
      <c r="O14" s="35"/>
      <c r="P14" s="35"/>
    </row>
    <row r="15" spans="1:30">
      <c r="B15" s="28"/>
      <c r="C15" s="196"/>
      <c r="D15" s="47"/>
      <c r="E15" s="28"/>
      <c r="F15" s="215"/>
      <c r="G15" s="215"/>
      <c r="H15" s="2"/>
      <c r="I15" s="35"/>
      <c r="K15" s="35"/>
      <c r="M15" s="35"/>
      <c r="N15" s="35"/>
      <c r="O15" s="35"/>
      <c r="P15" s="35"/>
    </row>
    <row r="16" spans="1:30">
      <c r="B16" s="28"/>
      <c r="C16" s="196"/>
      <c r="D16" s="47"/>
      <c r="E16" s="28"/>
      <c r="F16" s="215"/>
      <c r="G16" s="215"/>
      <c r="H16" s="2"/>
      <c r="I16" s="35"/>
      <c r="K16" s="35"/>
      <c r="M16" s="35"/>
      <c r="N16" s="35"/>
      <c r="O16" s="35"/>
      <c r="P16" s="35"/>
    </row>
    <row r="17" spans="2:16">
      <c r="B17" s="28"/>
      <c r="C17" s="196"/>
      <c r="D17" s="47"/>
      <c r="E17" s="28"/>
      <c r="F17" s="215"/>
      <c r="G17" s="215"/>
      <c r="H17" s="2"/>
      <c r="I17" s="35"/>
      <c r="K17" s="35"/>
      <c r="M17" s="35"/>
      <c r="N17" s="35"/>
      <c r="O17" s="35"/>
      <c r="P17" s="35"/>
    </row>
    <row r="18" spans="2:16">
      <c r="B18" s="28"/>
      <c r="C18" s="196"/>
      <c r="D18" s="47"/>
      <c r="E18" s="28"/>
      <c r="F18" s="215"/>
      <c r="G18" s="215"/>
      <c r="H18" s="2"/>
      <c r="I18" s="35"/>
      <c r="K18" s="35"/>
      <c r="M18" s="35"/>
      <c r="N18" s="35"/>
      <c r="O18" s="35"/>
      <c r="P18" s="35"/>
    </row>
    <row r="19" spans="2:16">
      <c r="B19" s="28"/>
      <c r="C19" s="196"/>
      <c r="D19" s="47"/>
      <c r="E19" s="28"/>
      <c r="F19" s="215"/>
      <c r="G19" s="215"/>
      <c r="H19" s="2"/>
      <c r="I19" s="35"/>
      <c r="K19" s="35"/>
      <c r="M19" s="35"/>
      <c r="N19" s="35"/>
      <c r="O19" s="35"/>
      <c r="P19" s="35"/>
    </row>
    <row r="20" spans="2:16">
      <c r="B20" s="28"/>
      <c r="C20" s="196"/>
      <c r="D20" s="47"/>
      <c r="E20" s="28"/>
      <c r="F20" s="215"/>
      <c r="G20" s="215"/>
      <c r="H20" s="2"/>
      <c r="I20" s="35"/>
      <c r="K20" s="35"/>
      <c r="M20" s="35"/>
      <c r="N20" s="35"/>
      <c r="O20" s="35"/>
      <c r="P20" s="35"/>
    </row>
    <row r="21" spans="2:16">
      <c r="B21" s="28"/>
      <c r="C21" s="196"/>
      <c r="D21" s="47"/>
      <c r="E21" s="28"/>
      <c r="F21" s="215"/>
      <c r="G21" s="215"/>
      <c r="H21" s="2"/>
      <c r="I21" s="35"/>
      <c r="K21" s="35"/>
      <c r="M21" s="35"/>
      <c r="N21" s="35"/>
      <c r="O21" s="35"/>
      <c r="P21" s="35"/>
    </row>
    <row r="22" spans="2:16">
      <c r="B22" s="28"/>
      <c r="C22" s="196"/>
      <c r="D22" s="47"/>
      <c r="E22" s="28"/>
      <c r="F22" s="215"/>
      <c r="G22" s="215"/>
      <c r="H22" s="2"/>
      <c r="I22" s="35"/>
      <c r="K22" s="35"/>
      <c r="M22" s="35"/>
      <c r="N22" s="35"/>
      <c r="O22" s="35"/>
      <c r="P22" s="35"/>
    </row>
    <row r="23" spans="2:16">
      <c r="B23" s="28"/>
      <c r="C23" s="196"/>
      <c r="D23" s="47"/>
      <c r="E23" s="28"/>
      <c r="F23" s="215"/>
      <c r="G23" s="215"/>
      <c r="H23" s="2"/>
      <c r="I23" s="35"/>
      <c r="K23" s="35"/>
      <c r="M23" s="35"/>
      <c r="N23" s="35"/>
      <c r="O23" s="35"/>
      <c r="P23" s="35"/>
    </row>
    <row r="24" spans="2:16">
      <c r="B24" s="28"/>
      <c r="C24" s="196"/>
      <c r="D24" s="47"/>
      <c r="E24" s="28"/>
      <c r="F24" s="215"/>
      <c r="G24" s="215"/>
      <c r="H24" s="2"/>
      <c r="I24" s="35"/>
      <c r="K24" s="35"/>
      <c r="M24" s="35"/>
      <c r="N24" s="35"/>
      <c r="O24" s="35"/>
      <c r="P24" s="35"/>
    </row>
    <row r="25" spans="2:16">
      <c r="B25" s="28"/>
      <c r="C25" s="196"/>
      <c r="D25" s="47"/>
      <c r="E25" s="28"/>
      <c r="F25" s="215"/>
      <c r="G25" s="215"/>
      <c r="H25" s="2"/>
      <c r="I25" s="35"/>
      <c r="K25" s="35"/>
      <c r="M25" s="35"/>
      <c r="N25" s="35"/>
      <c r="O25" s="35"/>
      <c r="P25" s="35"/>
    </row>
    <row r="26" spans="2:16">
      <c r="B26" s="28"/>
      <c r="C26" s="196"/>
      <c r="D26" s="47"/>
      <c r="E26" s="28"/>
      <c r="F26" s="215"/>
      <c r="G26" s="215"/>
      <c r="H26" s="2"/>
      <c r="I26" s="35"/>
      <c r="K26" s="35"/>
      <c r="M26" s="35"/>
      <c r="N26" s="35"/>
      <c r="O26" s="35"/>
      <c r="P26" s="35"/>
    </row>
    <row r="27" spans="2:16">
      <c r="B27" s="28"/>
      <c r="C27" s="196"/>
      <c r="D27" s="47"/>
      <c r="E27" s="28"/>
      <c r="F27" s="215"/>
      <c r="G27" s="215"/>
      <c r="H27" s="2"/>
      <c r="I27" s="35"/>
      <c r="K27" s="35"/>
      <c r="M27" s="35"/>
      <c r="N27" s="35"/>
      <c r="O27" s="35"/>
      <c r="P27" s="35"/>
    </row>
    <row r="28" spans="2:16">
      <c r="B28" s="28"/>
      <c r="C28" s="196"/>
      <c r="D28" s="47"/>
      <c r="E28" s="28"/>
      <c r="F28" s="215"/>
      <c r="G28" s="215"/>
      <c r="H28" s="2"/>
      <c r="I28" s="35"/>
      <c r="K28" s="35"/>
      <c r="M28" s="35"/>
      <c r="N28" s="35"/>
      <c r="O28" s="35"/>
      <c r="P28" s="35"/>
    </row>
    <row r="29" spans="2:16">
      <c r="B29" s="28"/>
      <c r="C29" s="196"/>
      <c r="D29" s="47"/>
      <c r="E29" s="28"/>
      <c r="F29" s="215"/>
      <c r="G29" s="215"/>
      <c r="H29" s="2"/>
      <c r="I29" s="35"/>
      <c r="K29" s="35"/>
      <c r="M29" s="35"/>
      <c r="N29" s="35"/>
      <c r="O29" s="35"/>
      <c r="P29" s="35"/>
    </row>
    <row r="30" spans="2:16">
      <c r="B30" s="28"/>
      <c r="C30" s="196"/>
      <c r="D30" s="47"/>
      <c r="E30" s="28"/>
      <c r="F30" s="215"/>
      <c r="G30" s="215"/>
      <c r="H30" s="2"/>
      <c r="I30" s="35"/>
      <c r="K30" s="35"/>
      <c r="M30" s="35"/>
      <c r="N30" s="35"/>
      <c r="O30" s="35"/>
      <c r="P30" s="35"/>
    </row>
    <row r="31" spans="2:16">
      <c r="B31" s="28"/>
      <c r="C31" s="196"/>
      <c r="D31" s="47"/>
      <c r="E31" s="28"/>
      <c r="F31" s="215"/>
      <c r="G31" s="215"/>
      <c r="H31" s="2"/>
      <c r="I31" s="35"/>
      <c r="K31" s="35"/>
      <c r="M31" s="35"/>
      <c r="N31" s="35"/>
      <c r="O31" s="35"/>
      <c r="P31" s="35"/>
    </row>
    <row r="32" spans="2:16">
      <c r="B32" s="28"/>
      <c r="C32" s="196"/>
      <c r="D32" s="47"/>
      <c r="E32" s="28"/>
      <c r="F32" s="215"/>
      <c r="G32" s="215"/>
      <c r="H32" s="2"/>
      <c r="I32" s="35"/>
      <c r="K32" s="35"/>
      <c r="M32" s="35"/>
      <c r="N32" s="35"/>
      <c r="O32" s="35"/>
      <c r="P32" s="35"/>
    </row>
    <row r="33" spans="2:16">
      <c r="B33" s="28"/>
      <c r="C33" s="196"/>
      <c r="D33" s="47"/>
      <c r="E33" s="28"/>
      <c r="F33" s="215"/>
      <c r="G33" s="215"/>
      <c r="H33" s="2"/>
      <c r="I33" s="35"/>
      <c r="K33" s="35"/>
      <c r="M33" s="35"/>
      <c r="N33" s="35"/>
      <c r="O33" s="35"/>
      <c r="P33" s="35"/>
    </row>
    <row r="34" spans="2:16">
      <c r="B34" s="28"/>
      <c r="C34" s="196"/>
      <c r="D34" s="47"/>
      <c r="E34" s="28"/>
      <c r="F34" s="215"/>
      <c r="G34" s="215"/>
      <c r="H34" s="2"/>
      <c r="I34" s="35"/>
      <c r="K34" s="35"/>
      <c r="M34" s="35"/>
      <c r="N34" s="35"/>
      <c r="O34" s="35"/>
      <c r="P34" s="35"/>
    </row>
    <row r="35" spans="2:16">
      <c r="B35" s="28"/>
      <c r="C35" s="196"/>
      <c r="D35" s="47"/>
      <c r="E35" s="28"/>
      <c r="F35" s="215"/>
      <c r="G35" s="215"/>
      <c r="H35" s="2"/>
      <c r="I35" s="35"/>
      <c r="K35" s="35"/>
      <c r="M35" s="35"/>
      <c r="N35" s="35"/>
      <c r="O35" s="35"/>
      <c r="P35" s="35"/>
    </row>
    <row r="36" spans="2:16">
      <c r="B36" s="28"/>
      <c r="C36" s="196"/>
      <c r="D36" s="47"/>
      <c r="E36" s="28"/>
      <c r="F36" s="215"/>
      <c r="G36" s="215"/>
      <c r="H36" s="2"/>
      <c r="I36" s="35"/>
      <c r="K36" s="35"/>
      <c r="M36" s="35"/>
      <c r="N36" s="35"/>
      <c r="O36" s="35"/>
      <c r="P36" s="35"/>
    </row>
    <row r="37" spans="2:16">
      <c r="B37" s="28"/>
      <c r="C37" s="196"/>
      <c r="D37" s="47"/>
      <c r="E37" s="28"/>
      <c r="F37" s="215"/>
      <c r="G37" s="215"/>
      <c r="H37" s="2"/>
      <c r="I37" s="35"/>
      <c r="K37" s="35"/>
      <c r="M37" s="35"/>
      <c r="N37" s="35"/>
      <c r="O37" s="35"/>
      <c r="P37" s="35"/>
    </row>
    <row r="38" spans="2:16">
      <c r="B38" s="28"/>
      <c r="C38" s="196"/>
      <c r="D38" s="47"/>
      <c r="E38" s="28"/>
      <c r="F38" s="215"/>
      <c r="G38" s="215"/>
      <c r="H38" s="2"/>
      <c r="I38" s="35"/>
      <c r="K38" s="35"/>
      <c r="M38" s="35"/>
      <c r="N38" s="35"/>
      <c r="O38" s="35"/>
      <c r="P38" s="35"/>
    </row>
    <row r="39" spans="2:16">
      <c r="B39" s="28"/>
      <c r="C39" s="196"/>
      <c r="D39" s="47"/>
      <c r="E39" s="28"/>
      <c r="F39" s="215"/>
      <c r="G39" s="215"/>
      <c r="H39" s="2"/>
      <c r="I39" s="35"/>
      <c r="K39" s="35"/>
      <c r="M39" s="35"/>
      <c r="N39" s="35"/>
      <c r="O39" s="35"/>
      <c r="P39" s="35"/>
    </row>
    <row r="40" spans="2:16">
      <c r="B40" s="28"/>
      <c r="C40" s="196"/>
      <c r="D40" s="47"/>
      <c r="E40" s="28"/>
      <c r="F40" s="215"/>
      <c r="G40" s="215"/>
      <c r="H40" s="2"/>
      <c r="I40" s="35"/>
      <c r="K40" s="35"/>
      <c r="M40" s="35"/>
      <c r="N40" s="35"/>
      <c r="O40" s="35"/>
      <c r="P40" s="35"/>
    </row>
    <row r="41" spans="2:16">
      <c r="B41" s="28"/>
      <c r="C41" s="196"/>
      <c r="D41" s="47"/>
      <c r="E41" s="28"/>
      <c r="F41" s="215"/>
      <c r="G41" s="215"/>
      <c r="H41" s="2"/>
      <c r="I41" s="35"/>
      <c r="K41" s="35"/>
      <c r="M41" s="35"/>
      <c r="N41" s="35"/>
      <c r="O41" s="35"/>
      <c r="P41" s="35"/>
    </row>
    <row r="42" spans="2:16">
      <c r="B42" s="28"/>
      <c r="C42" s="196"/>
      <c r="D42" s="47"/>
      <c r="E42" s="28"/>
      <c r="F42" s="215"/>
      <c r="G42" s="215"/>
      <c r="H42" s="2"/>
      <c r="I42" s="35"/>
      <c r="K42" s="35"/>
      <c r="M42" s="35"/>
      <c r="N42" s="35"/>
      <c r="O42" s="35"/>
      <c r="P42" s="35"/>
    </row>
    <row r="43" spans="2:16">
      <c r="B43" s="28"/>
      <c r="C43" s="196"/>
      <c r="D43" s="47"/>
      <c r="E43" s="28"/>
      <c r="F43" s="215"/>
      <c r="G43" s="215"/>
      <c r="H43" s="2"/>
      <c r="I43" s="35"/>
      <c r="K43" s="35"/>
      <c r="M43" s="35"/>
      <c r="N43" s="35"/>
      <c r="O43" s="35"/>
      <c r="P43" s="35"/>
    </row>
    <row r="44" spans="2:16">
      <c r="B44" s="28"/>
      <c r="C44" s="196"/>
      <c r="D44" s="47"/>
      <c r="E44" s="28"/>
      <c r="F44" s="215"/>
      <c r="G44" s="215"/>
      <c r="H44" s="2"/>
      <c r="I44" s="35"/>
      <c r="K44" s="35"/>
      <c r="M44" s="35"/>
      <c r="N44" s="35"/>
      <c r="O44" s="35"/>
      <c r="P44" s="35"/>
    </row>
    <row r="45" spans="2:16">
      <c r="B45" s="28"/>
      <c r="C45" s="196"/>
      <c r="D45" s="47"/>
      <c r="E45" s="28"/>
      <c r="F45" s="215"/>
      <c r="G45" s="215"/>
      <c r="H45" s="2"/>
      <c r="I45" s="35"/>
      <c r="K45" s="35"/>
      <c r="M45" s="35"/>
      <c r="N45" s="35"/>
      <c r="O45" s="35"/>
      <c r="P45" s="35"/>
    </row>
    <row r="46" spans="2:16">
      <c r="B46" s="28"/>
      <c r="C46" s="196"/>
      <c r="D46" s="47"/>
      <c r="E46" s="28"/>
      <c r="F46" s="215"/>
      <c r="G46" s="215"/>
      <c r="H46" s="2"/>
      <c r="I46" s="35"/>
      <c r="K46" s="35"/>
      <c r="M46" s="35"/>
      <c r="N46" s="35"/>
      <c r="O46" s="35"/>
      <c r="P46" s="35"/>
    </row>
    <row r="47" spans="2:16">
      <c r="B47" s="28"/>
      <c r="C47" s="196"/>
      <c r="D47" s="47"/>
      <c r="E47" s="28"/>
      <c r="F47" s="215"/>
      <c r="G47" s="215"/>
      <c r="H47" s="2"/>
      <c r="I47" s="35"/>
      <c r="K47" s="35"/>
      <c r="M47" s="35"/>
      <c r="N47" s="35"/>
      <c r="O47" s="35"/>
      <c r="P47" s="35"/>
    </row>
    <row r="48" spans="2:16">
      <c r="B48" s="28"/>
      <c r="C48" s="196"/>
      <c r="D48" s="47"/>
      <c r="E48" s="28"/>
      <c r="F48" s="215"/>
      <c r="G48" s="215"/>
      <c r="H48" s="2"/>
      <c r="I48" s="35"/>
      <c r="K48" s="35"/>
      <c r="M48" s="35"/>
      <c r="N48" s="35"/>
      <c r="O48" s="35"/>
      <c r="P48" s="35"/>
    </row>
    <row r="49" spans="2:16">
      <c r="B49" s="28"/>
      <c r="C49" s="196"/>
      <c r="D49" s="47"/>
      <c r="E49" s="28"/>
      <c r="F49" s="215"/>
      <c r="G49" s="215"/>
      <c r="H49" s="2"/>
      <c r="I49" s="35"/>
      <c r="K49" s="35"/>
      <c r="M49" s="35"/>
      <c r="N49" s="35"/>
      <c r="O49" s="35"/>
      <c r="P49" s="35"/>
    </row>
    <row r="50" spans="2:16">
      <c r="B50" s="28"/>
      <c r="C50" s="196"/>
      <c r="D50" s="47"/>
      <c r="E50" s="28"/>
      <c r="F50" s="215"/>
      <c r="G50" s="215"/>
      <c r="H50" s="2"/>
      <c r="I50" s="35"/>
      <c r="K50" s="35"/>
      <c r="M50" s="35"/>
      <c r="N50" s="35"/>
      <c r="O50" s="35"/>
      <c r="P50" s="35"/>
    </row>
    <row r="51" spans="2:16">
      <c r="B51" s="28"/>
      <c r="C51" s="196"/>
      <c r="D51" s="47"/>
      <c r="E51" s="28"/>
      <c r="F51" s="215"/>
      <c r="G51" s="215"/>
      <c r="H51" s="2"/>
      <c r="I51" s="35"/>
      <c r="K51" s="35"/>
      <c r="M51" s="35"/>
      <c r="N51" s="35"/>
      <c r="O51" s="35"/>
      <c r="P51" s="35"/>
    </row>
    <row r="52" spans="2:16">
      <c r="B52" s="28"/>
      <c r="C52" s="196"/>
      <c r="D52" s="47"/>
      <c r="E52" s="28"/>
      <c r="F52" s="215"/>
      <c r="G52" s="215"/>
      <c r="H52" s="2"/>
      <c r="I52" s="35"/>
      <c r="K52" s="35"/>
      <c r="M52" s="35"/>
      <c r="N52" s="35"/>
      <c r="O52" s="35"/>
      <c r="P52" s="35"/>
    </row>
    <row r="53" spans="2:16">
      <c r="B53" s="28"/>
      <c r="C53" s="196"/>
      <c r="D53" s="47"/>
      <c r="E53" s="28"/>
      <c r="F53" s="215"/>
      <c r="G53" s="215"/>
      <c r="H53" s="2"/>
      <c r="I53" s="35"/>
      <c r="K53" s="35"/>
      <c r="M53" s="35"/>
      <c r="N53" s="35"/>
      <c r="O53" s="35"/>
      <c r="P53" s="35"/>
    </row>
    <row r="54" spans="2:16">
      <c r="B54" s="28"/>
      <c r="C54" s="196"/>
      <c r="D54" s="47"/>
      <c r="E54" s="28"/>
      <c r="F54" s="215"/>
      <c r="G54" s="215"/>
      <c r="H54" s="2"/>
      <c r="I54" s="35"/>
      <c r="K54" s="35"/>
      <c r="M54" s="35"/>
      <c r="N54" s="35"/>
      <c r="O54" s="35"/>
      <c r="P54" s="35"/>
    </row>
    <row r="55" spans="2:16">
      <c r="B55" s="28"/>
      <c r="C55" s="196"/>
      <c r="D55" s="47"/>
      <c r="E55" s="28"/>
      <c r="F55" s="215"/>
      <c r="G55" s="215"/>
      <c r="H55" s="2"/>
      <c r="I55" s="35"/>
      <c r="K55" s="35"/>
      <c r="M55" s="35"/>
      <c r="N55" s="35"/>
      <c r="O55" s="35"/>
      <c r="P55" s="35"/>
    </row>
    <row r="56" spans="2:16">
      <c r="B56" s="28"/>
      <c r="C56" s="196"/>
      <c r="D56" s="47"/>
      <c r="E56" s="28"/>
      <c r="F56" s="215"/>
      <c r="G56" s="215"/>
      <c r="H56" s="2"/>
      <c r="I56" s="35"/>
      <c r="K56" s="35"/>
      <c r="M56" s="35"/>
      <c r="N56" s="35"/>
      <c r="O56" s="35"/>
      <c r="P56" s="35"/>
    </row>
    <row r="57" spans="2:16">
      <c r="B57" s="28"/>
      <c r="C57" s="196"/>
      <c r="D57" s="47"/>
      <c r="E57" s="28"/>
      <c r="F57" s="215"/>
      <c r="G57" s="215"/>
      <c r="H57" s="2"/>
      <c r="I57" s="35"/>
      <c r="K57" s="35"/>
      <c r="M57" s="35"/>
      <c r="N57" s="35"/>
      <c r="O57" s="35"/>
      <c r="P57" s="35"/>
    </row>
    <row r="58" spans="2:16">
      <c r="B58" s="28"/>
      <c r="C58" s="196"/>
      <c r="D58" s="47"/>
      <c r="E58" s="28"/>
      <c r="F58" s="215"/>
      <c r="G58" s="215"/>
      <c r="H58" s="2"/>
      <c r="I58" s="35"/>
      <c r="K58" s="35"/>
      <c r="M58" s="35"/>
      <c r="N58" s="35"/>
      <c r="O58" s="35"/>
      <c r="P58" s="35"/>
    </row>
    <row r="59" spans="2:16">
      <c r="B59" s="28"/>
      <c r="C59" s="196"/>
      <c r="D59" s="47"/>
      <c r="E59" s="28"/>
      <c r="F59" s="215"/>
      <c r="G59" s="215"/>
      <c r="H59" s="2"/>
      <c r="I59" s="35"/>
      <c r="K59" s="35"/>
      <c r="M59" s="35"/>
      <c r="N59" s="35"/>
      <c r="O59" s="35"/>
      <c r="P59" s="35"/>
    </row>
    <row r="60" spans="2:16">
      <c r="B60" s="28"/>
      <c r="C60" s="196"/>
      <c r="D60" s="47"/>
      <c r="E60" s="28"/>
      <c r="F60" s="215"/>
      <c r="G60" s="215"/>
      <c r="H60" s="2"/>
      <c r="I60" s="35"/>
      <c r="K60" s="35"/>
      <c r="M60" s="35"/>
      <c r="N60" s="35"/>
      <c r="O60" s="35"/>
      <c r="P60" s="35"/>
    </row>
    <row r="61" spans="2:16">
      <c r="B61" s="28"/>
      <c r="C61" s="196"/>
      <c r="D61" s="47"/>
      <c r="E61" s="28"/>
      <c r="F61" s="215"/>
      <c r="G61" s="215"/>
      <c r="H61" s="2"/>
      <c r="I61" s="35"/>
      <c r="K61" s="35"/>
      <c r="M61" s="35"/>
      <c r="N61" s="35"/>
      <c r="O61" s="35"/>
      <c r="P61" s="35"/>
    </row>
    <row r="62" spans="2:16">
      <c r="B62" s="28"/>
      <c r="C62" s="196"/>
      <c r="D62" s="47"/>
      <c r="E62" s="28"/>
      <c r="F62" s="215"/>
      <c r="G62" s="215"/>
      <c r="H62" s="2"/>
      <c r="I62" s="35"/>
      <c r="K62" s="35"/>
      <c r="M62" s="35"/>
      <c r="N62" s="35"/>
      <c r="O62" s="35"/>
      <c r="P62" s="35"/>
    </row>
    <row r="63" spans="2:16">
      <c r="B63" s="28"/>
      <c r="C63" s="196"/>
      <c r="D63" s="47"/>
      <c r="E63" s="28"/>
      <c r="F63" s="215"/>
      <c r="G63" s="215"/>
      <c r="H63" s="2"/>
      <c r="I63" s="35"/>
      <c r="K63" s="35"/>
      <c r="M63" s="35"/>
      <c r="N63" s="35"/>
      <c r="O63" s="35"/>
      <c r="P63" s="35"/>
    </row>
    <row r="64" spans="2:16">
      <c r="B64" s="28"/>
      <c r="C64" s="196"/>
      <c r="D64" s="47"/>
      <c r="E64" s="28"/>
      <c r="F64" s="215"/>
      <c r="G64" s="215"/>
      <c r="H64" s="2"/>
      <c r="I64" s="35"/>
      <c r="K64" s="35"/>
      <c r="M64" s="35"/>
      <c r="N64" s="35"/>
      <c r="O64" s="35"/>
      <c r="P64" s="35"/>
    </row>
    <row r="65" spans="2:16">
      <c r="B65" s="28"/>
      <c r="C65" s="196"/>
      <c r="D65" s="47"/>
      <c r="E65" s="28"/>
      <c r="F65" s="215"/>
      <c r="G65" s="215"/>
      <c r="H65" s="2"/>
      <c r="I65" s="35"/>
      <c r="K65" s="35"/>
      <c r="M65" s="35"/>
      <c r="N65" s="35"/>
      <c r="O65" s="35"/>
      <c r="P65" s="35"/>
    </row>
    <row r="66" spans="2:16">
      <c r="B66" s="28"/>
      <c r="C66" s="196"/>
      <c r="D66" s="47"/>
      <c r="E66" s="28"/>
      <c r="F66" s="215"/>
      <c r="G66" s="215"/>
      <c r="H66" s="2"/>
      <c r="I66" s="35"/>
      <c r="K66" s="35"/>
      <c r="M66" s="35"/>
      <c r="N66" s="35"/>
      <c r="O66" s="35"/>
      <c r="P66" s="35"/>
    </row>
    <row r="67" spans="2:16">
      <c r="B67" s="28"/>
      <c r="C67" s="196"/>
      <c r="D67" s="47"/>
      <c r="E67" s="28"/>
      <c r="F67" s="215"/>
      <c r="G67" s="215"/>
      <c r="H67" s="2"/>
      <c r="I67" s="35"/>
      <c r="K67" s="35"/>
      <c r="M67" s="35"/>
      <c r="N67" s="35"/>
      <c r="O67" s="35"/>
      <c r="P67" s="35"/>
    </row>
    <row r="68" spans="2:16">
      <c r="B68" s="28"/>
      <c r="C68" s="196"/>
      <c r="D68" s="47"/>
      <c r="E68" s="28"/>
      <c r="F68" s="215"/>
      <c r="G68" s="215"/>
      <c r="H68" s="2"/>
      <c r="I68" s="35"/>
      <c r="K68" s="35"/>
      <c r="M68" s="35"/>
      <c r="N68" s="35"/>
      <c r="O68" s="35"/>
      <c r="P68" s="35"/>
    </row>
    <row r="69" spans="2:16">
      <c r="B69" s="28"/>
      <c r="C69" s="196"/>
      <c r="D69" s="47"/>
      <c r="E69" s="28"/>
      <c r="F69" s="215"/>
      <c r="G69" s="215"/>
      <c r="H69" s="2"/>
      <c r="I69" s="35"/>
      <c r="K69" s="35"/>
      <c r="M69" s="35"/>
      <c r="N69" s="35"/>
      <c r="O69" s="35"/>
      <c r="P69" s="35"/>
    </row>
    <row r="70" spans="2:16">
      <c r="B70" s="28"/>
      <c r="C70" s="196"/>
      <c r="D70" s="47"/>
      <c r="E70" s="28"/>
      <c r="F70" s="215"/>
      <c r="G70" s="215"/>
      <c r="H70" s="2"/>
      <c r="I70" s="35"/>
      <c r="K70" s="35"/>
      <c r="M70" s="35"/>
      <c r="N70" s="35"/>
      <c r="O70" s="35"/>
      <c r="P70" s="35"/>
    </row>
    <row r="71" spans="2:16">
      <c r="B71" s="28"/>
      <c r="C71" s="196"/>
      <c r="D71" s="47"/>
      <c r="E71" s="28"/>
      <c r="F71" s="215"/>
      <c r="G71" s="215"/>
      <c r="H71" s="2"/>
      <c r="I71" s="35"/>
      <c r="K71" s="35"/>
      <c r="M71" s="35"/>
      <c r="N71" s="35"/>
      <c r="O71" s="35"/>
      <c r="P71" s="35"/>
    </row>
    <row r="72" spans="2:16">
      <c r="B72" s="28"/>
      <c r="C72" s="196"/>
      <c r="D72" s="47"/>
      <c r="E72" s="28"/>
      <c r="F72" s="215"/>
      <c r="G72" s="215"/>
      <c r="H72" s="2"/>
      <c r="I72" s="35"/>
      <c r="K72" s="35"/>
      <c r="M72" s="35"/>
      <c r="N72" s="35"/>
      <c r="O72" s="35"/>
      <c r="P72" s="35"/>
    </row>
    <row r="73" spans="2:16">
      <c r="B73" s="28"/>
      <c r="C73" s="196"/>
      <c r="D73" s="47"/>
      <c r="E73" s="28"/>
      <c r="F73" s="215"/>
      <c r="G73" s="215"/>
      <c r="H73" s="2"/>
      <c r="I73" s="35"/>
      <c r="K73" s="35"/>
      <c r="M73" s="35"/>
      <c r="N73" s="35"/>
      <c r="O73" s="35"/>
      <c r="P73" s="35"/>
    </row>
    <row r="74" spans="2:16">
      <c r="B74" s="28"/>
      <c r="C74" s="196"/>
      <c r="D74" s="47"/>
      <c r="E74" s="28"/>
      <c r="F74" s="215"/>
      <c r="G74" s="215"/>
      <c r="H74" s="2"/>
      <c r="I74" s="35"/>
      <c r="K74" s="35"/>
      <c r="M74" s="35"/>
      <c r="N74" s="35"/>
      <c r="O74" s="35"/>
      <c r="P74" s="35"/>
    </row>
    <row r="75" spans="2:16">
      <c r="B75" s="28"/>
      <c r="C75" s="196"/>
      <c r="D75" s="47"/>
      <c r="E75" s="28"/>
      <c r="F75" s="215"/>
      <c r="G75" s="215"/>
      <c r="H75" s="2"/>
      <c r="I75" s="35"/>
      <c r="K75" s="35"/>
      <c r="M75" s="35"/>
      <c r="N75" s="35"/>
      <c r="O75" s="35"/>
      <c r="P75" s="35"/>
    </row>
    <row r="76" spans="2:16">
      <c r="B76" s="28"/>
      <c r="C76" s="196"/>
      <c r="D76" s="47"/>
      <c r="E76" s="28"/>
      <c r="F76" s="215"/>
      <c r="G76" s="215"/>
      <c r="H76" s="2"/>
      <c r="I76" s="35"/>
      <c r="K76" s="35"/>
      <c r="M76" s="35"/>
      <c r="N76" s="35"/>
      <c r="O76" s="35"/>
      <c r="P76" s="35"/>
    </row>
    <row r="77" spans="2:16">
      <c r="B77" s="28"/>
      <c r="C77" s="196"/>
      <c r="D77" s="47"/>
      <c r="E77" s="28"/>
      <c r="F77" s="215"/>
      <c r="G77" s="215"/>
      <c r="H77" s="2"/>
      <c r="I77" s="35"/>
      <c r="K77" s="35"/>
      <c r="M77" s="35"/>
      <c r="N77" s="35"/>
      <c r="O77" s="35"/>
      <c r="P77" s="35"/>
    </row>
    <row r="78" spans="2:16">
      <c r="B78" s="28"/>
      <c r="C78" s="196"/>
      <c r="D78" s="47"/>
      <c r="E78" s="28"/>
      <c r="F78" s="215"/>
      <c r="G78" s="215"/>
      <c r="H78" s="2"/>
      <c r="I78" s="35"/>
      <c r="K78" s="35"/>
      <c r="M78" s="35"/>
      <c r="N78" s="35"/>
      <c r="O78" s="35"/>
      <c r="P78" s="35"/>
    </row>
    <row r="79" spans="2:16">
      <c r="B79" s="28"/>
      <c r="C79" s="196"/>
      <c r="D79" s="47"/>
      <c r="E79" s="28"/>
      <c r="F79" s="215"/>
      <c r="G79" s="215"/>
      <c r="H79" s="2"/>
      <c r="I79" s="35"/>
      <c r="K79" s="35"/>
      <c r="M79" s="35"/>
      <c r="N79" s="35"/>
      <c r="O79" s="35"/>
      <c r="P79" s="35"/>
    </row>
    <row r="80" spans="2:16">
      <c r="B80" s="28"/>
      <c r="C80" s="196"/>
      <c r="D80" s="47"/>
      <c r="E80" s="28"/>
      <c r="F80" s="215"/>
      <c r="G80" s="215"/>
      <c r="H80" s="2"/>
      <c r="I80" s="35"/>
      <c r="K80" s="35"/>
      <c r="M80" s="35"/>
      <c r="N80" s="35"/>
      <c r="O80" s="35"/>
      <c r="P80" s="35"/>
    </row>
    <row r="81" spans="2:16">
      <c r="B81" s="28"/>
      <c r="C81" s="196"/>
      <c r="D81" s="47"/>
      <c r="E81" s="28"/>
      <c r="F81" s="215"/>
      <c r="G81" s="215"/>
      <c r="H81" s="2"/>
      <c r="I81" s="35"/>
      <c r="K81" s="35"/>
      <c r="M81" s="35"/>
      <c r="N81" s="35"/>
      <c r="O81" s="35"/>
      <c r="P81" s="35"/>
    </row>
    <row r="82" spans="2:16">
      <c r="B82" s="28"/>
      <c r="C82" s="196"/>
      <c r="D82" s="47"/>
      <c r="E82" s="28"/>
      <c r="F82" s="215"/>
      <c r="G82" s="215"/>
      <c r="H82" s="2"/>
      <c r="I82" s="35"/>
      <c r="K82" s="35"/>
      <c r="M82" s="35"/>
      <c r="N82" s="35"/>
      <c r="O82" s="35"/>
      <c r="P82" s="35"/>
    </row>
    <row r="83" spans="2:16">
      <c r="B83" s="28"/>
      <c r="C83" s="196"/>
      <c r="D83" s="47"/>
      <c r="E83" s="28"/>
      <c r="F83" s="215"/>
      <c r="G83" s="215"/>
      <c r="H83" s="2"/>
      <c r="I83" s="35"/>
      <c r="K83" s="35"/>
      <c r="M83" s="35"/>
      <c r="N83" s="35"/>
      <c r="O83" s="35"/>
      <c r="P83" s="35"/>
    </row>
    <row r="84" spans="2:16">
      <c r="B84" s="28"/>
      <c r="C84" s="196"/>
      <c r="D84" s="47"/>
      <c r="E84" s="28"/>
      <c r="F84" s="215"/>
      <c r="G84" s="215"/>
      <c r="H84" s="2"/>
      <c r="I84" s="35"/>
      <c r="K84" s="35"/>
      <c r="M84" s="35"/>
      <c r="N84" s="35"/>
      <c r="O84" s="35"/>
      <c r="P84" s="35"/>
    </row>
    <row r="85" spans="2:16">
      <c r="B85" s="28"/>
      <c r="C85" s="196"/>
      <c r="D85" s="47"/>
      <c r="E85" s="28"/>
      <c r="F85" s="215"/>
      <c r="G85" s="215"/>
      <c r="H85" s="2"/>
      <c r="I85" s="35"/>
      <c r="K85" s="35"/>
      <c r="M85" s="35"/>
      <c r="N85" s="35"/>
      <c r="O85" s="35"/>
      <c r="P85" s="35"/>
    </row>
    <row r="86" spans="2:16">
      <c r="B86" s="28"/>
      <c r="C86" s="196"/>
      <c r="D86" s="47"/>
      <c r="E86" s="28"/>
      <c r="F86" s="215"/>
      <c r="G86" s="215"/>
      <c r="H86" s="2"/>
      <c r="I86" s="35"/>
      <c r="K86" s="35"/>
      <c r="M86" s="35"/>
      <c r="N86" s="35"/>
      <c r="O86" s="35"/>
      <c r="P86" s="35"/>
    </row>
    <row r="87" spans="2:16">
      <c r="B87" s="28"/>
      <c r="C87" s="196"/>
      <c r="D87" s="47"/>
      <c r="E87" s="28"/>
      <c r="F87" s="215"/>
      <c r="G87" s="215"/>
      <c r="H87" s="2"/>
      <c r="I87" s="107"/>
      <c r="K87" s="35"/>
      <c r="M87" s="35"/>
      <c r="N87" s="35"/>
      <c r="O87" s="35"/>
      <c r="P87" s="35"/>
    </row>
    <row r="88" spans="2:16">
      <c r="B88" s="28"/>
      <c r="C88" s="196"/>
      <c r="D88" s="47"/>
      <c r="E88" s="28"/>
      <c r="F88" s="215"/>
      <c r="G88" s="215"/>
      <c r="H88" s="2"/>
      <c r="I88" s="19"/>
      <c r="K88" s="35"/>
      <c r="M88" s="35"/>
      <c r="N88" s="35"/>
      <c r="O88" s="35"/>
      <c r="P88" s="35"/>
    </row>
    <row r="89" spans="2:16">
      <c r="B89" s="28"/>
      <c r="C89" s="196"/>
      <c r="D89" s="47"/>
      <c r="E89" s="28"/>
      <c r="F89" s="215"/>
      <c r="G89" s="215"/>
      <c r="H89" s="2"/>
      <c r="I89" s="19"/>
      <c r="K89" s="35"/>
      <c r="M89" s="35"/>
      <c r="N89" s="35"/>
      <c r="O89" s="35"/>
      <c r="P89" s="35"/>
    </row>
    <row r="90" spans="2:16">
      <c r="B90" s="28"/>
      <c r="C90" s="196"/>
      <c r="D90" s="47"/>
      <c r="E90" s="28"/>
      <c r="F90" s="215"/>
      <c r="G90" s="215"/>
      <c r="H90" s="2"/>
      <c r="I90" s="19"/>
      <c r="K90" s="35"/>
      <c r="M90" s="35"/>
      <c r="N90" s="35"/>
      <c r="O90" s="35"/>
      <c r="P90" s="35"/>
    </row>
    <row r="91" spans="2:16">
      <c r="B91" s="28"/>
      <c r="C91" s="196"/>
      <c r="D91" s="47"/>
      <c r="E91" s="28"/>
      <c r="F91" s="215"/>
      <c r="G91" s="215"/>
      <c r="H91" s="2"/>
      <c r="I91" s="19"/>
      <c r="K91" s="35"/>
      <c r="M91" s="35"/>
      <c r="N91" s="35"/>
      <c r="O91" s="35"/>
      <c r="P91" s="35"/>
    </row>
    <row r="92" spans="2:16">
      <c r="B92" s="28"/>
      <c r="C92" s="196"/>
      <c r="D92" s="47"/>
      <c r="E92" s="28"/>
      <c r="F92" s="215"/>
      <c r="G92" s="215"/>
      <c r="H92" s="2"/>
      <c r="I92" s="19"/>
      <c r="K92" s="35"/>
      <c r="M92" s="35"/>
      <c r="N92" s="35"/>
      <c r="O92" s="35"/>
      <c r="P92" s="35"/>
    </row>
    <row r="93" spans="2:16">
      <c r="B93" s="28"/>
      <c r="C93" s="196"/>
      <c r="D93" s="47"/>
      <c r="E93" s="28"/>
      <c r="F93" s="215"/>
      <c r="G93" s="215"/>
      <c r="H93" s="2"/>
      <c r="I93" s="19"/>
      <c r="K93" s="35"/>
      <c r="M93" s="35"/>
      <c r="N93" s="35"/>
      <c r="O93" s="35"/>
      <c r="P93" s="35"/>
    </row>
    <row r="94" spans="2:16">
      <c r="B94" s="28"/>
      <c r="C94" s="196"/>
      <c r="D94" s="47"/>
      <c r="E94" s="28"/>
      <c r="F94" s="215"/>
      <c r="G94" s="215"/>
      <c r="H94" s="2"/>
      <c r="I94" s="19"/>
      <c r="K94" s="35"/>
      <c r="M94" s="35"/>
      <c r="N94" s="35"/>
      <c r="O94" s="35"/>
      <c r="P94" s="35"/>
    </row>
    <row r="95" spans="2:16">
      <c r="B95" s="28"/>
      <c r="C95" s="196"/>
      <c r="D95" s="47"/>
      <c r="E95" s="28"/>
      <c r="F95" s="215"/>
      <c r="G95" s="215"/>
      <c r="H95" s="2"/>
      <c r="I95" s="19"/>
      <c r="K95" s="35"/>
      <c r="M95" s="35"/>
      <c r="N95" s="35"/>
      <c r="O95" s="35"/>
      <c r="P95" s="35"/>
    </row>
    <row r="96" spans="2:16">
      <c r="B96" s="28"/>
      <c r="C96" s="196"/>
      <c r="D96" s="47"/>
      <c r="E96" s="28"/>
      <c r="F96" s="215"/>
      <c r="G96" s="215"/>
      <c r="H96" s="2"/>
      <c r="I96" s="19"/>
      <c r="K96" s="35"/>
      <c r="M96" s="35"/>
      <c r="N96" s="35"/>
      <c r="O96" s="35"/>
      <c r="P96" s="35"/>
    </row>
    <row r="97" spans="2:16">
      <c r="B97" s="28"/>
      <c r="C97" s="196"/>
      <c r="D97" s="47"/>
      <c r="E97" s="28"/>
      <c r="F97" s="215"/>
      <c r="G97" s="215"/>
      <c r="H97" s="2"/>
      <c r="I97" s="19"/>
      <c r="K97" s="35"/>
      <c r="M97" s="35"/>
      <c r="N97" s="35"/>
      <c r="O97" s="35"/>
      <c r="P97" s="35"/>
    </row>
    <row r="98" spans="2:16">
      <c r="B98" s="28"/>
      <c r="C98" s="196"/>
      <c r="D98" s="47"/>
      <c r="E98" s="28"/>
      <c r="F98" s="215"/>
      <c r="G98" s="215"/>
      <c r="H98" s="2"/>
      <c r="I98" s="19"/>
      <c r="K98" s="35"/>
      <c r="M98" s="35"/>
      <c r="N98" s="35"/>
      <c r="O98" s="35"/>
      <c r="P98" s="35"/>
    </row>
    <row r="99" spans="2:16">
      <c r="B99" s="28"/>
      <c r="C99" s="196"/>
      <c r="D99" s="47"/>
      <c r="E99" s="28"/>
      <c r="F99" s="215"/>
      <c r="G99" s="215"/>
      <c r="H99" s="2"/>
      <c r="I99" s="19"/>
      <c r="K99" s="35"/>
      <c r="M99" s="35"/>
      <c r="N99" s="35"/>
      <c r="O99" s="35"/>
      <c r="P99" s="35"/>
    </row>
    <row r="100" spans="2:16">
      <c r="B100" s="28"/>
      <c r="C100" s="196"/>
      <c r="D100" s="47"/>
      <c r="E100" s="28"/>
      <c r="F100" s="215"/>
      <c r="G100" s="215"/>
      <c r="H100" s="2"/>
      <c r="I100" s="19"/>
      <c r="K100" s="35"/>
      <c r="M100" s="35"/>
      <c r="N100" s="35"/>
      <c r="O100" s="35"/>
      <c r="P100" s="35"/>
    </row>
    <row r="101" spans="2:16">
      <c r="B101" s="28"/>
      <c r="C101" s="196"/>
      <c r="D101" s="47"/>
      <c r="E101" s="28"/>
      <c r="F101" s="215"/>
      <c r="G101" s="215"/>
      <c r="H101" s="2"/>
      <c r="I101" s="19"/>
      <c r="K101" s="35"/>
      <c r="M101" s="35"/>
      <c r="N101" s="35"/>
      <c r="O101" s="35"/>
      <c r="P101" s="35"/>
    </row>
    <row r="102" spans="2:16">
      <c r="B102" s="28"/>
      <c r="C102" s="196"/>
      <c r="D102" s="47"/>
      <c r="E102" s="28"/>
      <c r="F102" s="215"/>
      <c r="G102" s="215"/>
      <c r="H102" s="2"/>
      <c r="I102" s="19"/>
      <c r="K102" s="35"/>
      <c r="M102" s="35"/>
      <c r="N102" s="35"/>
      <c r="O102" s="35"/>
      <c r="P102" s="35"/>
    </row>
    <row r="103" spans="2:16">
      <c r="B103" s="28"/>
      <c r="C103" s="196"/>
      <c r="D103" s="47"/>
      <c r="E103" s="28"/>
      <c r="F103" s="215"/>
      <c r="G103" s="215"/>
      <c r="H103" s="2"/>
      <c r="I103" s="19"/>
      <c r="K103" s="35"/>
      <c r="M103" s="35"/>
      <c r="N103" s="35"/>
      <c r="O103" s="35"/>
      <c r="P103" s="35"/>
    </row>
    <row r="104" spans="2:16">
      <c r="B104" s="28"/>
      <c r="C104" s="196"/>
      <c r="D104" s="47"/>
      <c r="E104" s="28"/>
      <c r="F104" s="215"/>
      <c r="G104" s="215"/>
      <c r="H104" s="2"/>
      <c r="I104" s="19"/>
      <c r="K104" s="35"/>
      <c r="M104" s="35"/>
      <c r="N104" s="35"/>
      <c r="O104" s="35"/>
      <c r="P104" s="35"/>
    </row>
    <row r="105" spans="2:16">
      <c r="B105" s="28"/>
      <c r="C105" s="196"/>
      <c r="D105" s="47"/>
      <c r="E105" s="28"/>
      <c r="F105" s="215"/>
      <c r="G105" s="215"/>
      <c r="H105" s="2"/>
      <c r="I105" s="19"/>
      <c r="K105" s="35"/>
      <c r="M105" s="35"/>
      <c r="N105" s="35"/>
      <c r="O105" s="35"/>
      <c r="P105" s="35"/>
    </row>
    <row r="106" spans="2:16">
      <c r="B106" s="28"/>
      <c r="C106" s="196"/>
      <c r="D106" s="47"/>
      <c r="E106" s="28"/>
      <c r="F106" s="215"/>
      <c r="G106" s="215"/>
      <c r="H106" s="2"/>
      <c r="I106" s="19"/>
      <c r="K106" s="35"/>
      <c r="M106" s="35"/>
      <c r="N106" s="35"/>
      <c r="O106" s="35"/>
      <c r="P106" s="35"/>
    </row>
    <row r="107" spans="2:16">
      <c r="B107" s="28"/>
      <c r="C107" s="196"/>
      <c r="D107" s="47"/>
      <c r="E107" s="28"/>
      <c r="F107" s="215"/>
      <c r="G107" s="215"/>
      <c r="H107" s="2"/>
      <c r="I107" s="19"/>
      <c r="K107" s="35"/>
      <c r="M107" s="35"/>
      <c r="N107" s="35"/>
      <c r="O107" s="35"/>
      <c r="P107" s="35"/>
    </row>
    <row r="108" spans="2:16">
      <c r="B108" s="28"/>
      <c r="C108" s="196"/>
      <c r="D108" s="47"/>
      <c r="E108" s="28"/>
      <c r="F108" s="215"/>
      <c r="G108" s="215"/>
      <c r="H108" s="2"/>
      <c r="I108" s="19"/>
      <c r="K108" s="35"/>
      <c r="M108" s="35"/>
      <c r="N108" s="35"/>
      <c r="O108" s="35"/>
      <c r="P108" s="35"/>
    </row>
    <row r="109" spans="2:16">
      <c r="B109" s="28"/>
      <c r="C109" s="196"/>
      <c r="D109" s="47"/>
      <c r="E109" s="28"/>
      <c r="F109" s="215"/>
      <c r="G109" s="215"/>
      <c r="H109" s="2"/>
      <c r="I109" s="19"/>
      <c r="K109" s="35"/>
      <c r="M109" s="35"/>
      <c r="N109" s="35"/>
      <c r="O109" s="35"/>
      <c r="P109" s="35"/>
    </row>
    <row r="110" spans="2:16">
      <c r="B110" s="28"/>
      <c r="C110" s="196"/>
      <c r="D110" s="47"/>
      <c r="E110" s="28"/>
      <c r="F110" s="215"/>
      <c r="G110" s="215"/>
      <c r="H110" s="2"/>
      <c r="I110" s="19"/>
      <c r="K110" s="35"/>
      <c r="M110" s="35"/>
      <c r="N110" s="35"/>
      <c r="O110" s="35"/>
      <c r="P110" s="35"/>
    </row>
    <row r="111" spans="2:16">
      <c r="B111" s="28"/>
      <c r="C111" s="196"/>
      <c r="D111" s="47"/>
      <c r="E111" s="28"/>
      <c r="F111" s="215"/>
      <c r="G111" s="215"/>
      <c r="H111" s="2"/>
      <c r="I111" s="19"/>
      <c r="K111" s="35"/>
      <c r="M111" s="35"/>
      <c r="N111" s="35"/>
      <c r="O111" s="35"/>
      <c r="P111" s="35"/>
    </row>
    <row r="112" spans="2:16">
      <c r="B112" s="28"/>
      <c r="C112" s="196"/>
      <c r="D112" s="47"/>
      <c r="E112" s="28"/>
      <c r="F112" s="215"/>
      <c r="G112" s="215"/>
      <c r="H112" s="2"/>
      <c r="I112" s="19"/>
      <c r="K112" s="35"/>
      <c r="M112" s="35"/>
      <c r="N112" s="35"/>
      <c r="O112" s="35"/>
      <c r="P112" s="35"/>
    </row>
    <row r="113" spans="2:16">
      <c r="B113" s="28"/>
      <c r="C113" s="196"/>
      <c r="D113" s="47"/>
      <c r="E113" s="28"/>
      <c r="F113" s="215"/>
      <c r="G113" s="215"/>
      <c r="H113" s="2"/>
      <c r="I113" s="19"/>
      <c r="K113" s="35"/>
      <c r="M113" s="35"/>
      <c r="N113" s="35"/>
      <c r="O113" s="35"/>
      <c r="P113" s="35"/>
    </row>
    <row r="114" spans="2:16">
      <c r="B114" s="28"/>
      <c r="C114" s="196"/>
      <c r="D114" s="47"/>
      <c r="E114" s="28"/>
      <c r="F114" s="215"/>
      <c r="G114" s="215"/>
      <c r="H114" s="2"/>
      <c r="I114" s="19"/>
      <c r="K114" s="35"/>
      <c r="M114" s="35"/>
      <c r="N114" s="35"/>
      <c r="O114" s="35"/>
      <c r="P114" s="35"/>
    </row>
    <row r="115" spans="2:16">
      <c r="B115" s="28"/>
      <c r="C115" s="196"/>
      <c r="D115" s="47"/>
      <c r="E115" s="28"/>
      <c r="F115" s="215"/>
      <c r="G115" s="215"/>
      <c r="H115" s="2"/>
      <c r="I115" s="19"/>
      <c r="K115" s="35"/>
      <c r="M115" s="35"/>
      <c r="N115" s="35"/>
      <c r="O115" s="35"/>
      <c r="P115" s="35"/>
    </row>
    <row r="116" spans="2:16">
      <c r="B116" s="28"/>
      <c r="C116" s="196"/>
      <c r="D116" s="47"/>
      <c r="E116" s="28"/>
      <c r="F116" s="215"/>
      <c r="G116" s="215"/>
      <c r="H116" s="2"/>
      <c r="I116" s="19"/>
      <c r="K116" s="35"/>
      <c r="M116" s="35"/>
      <c r="N116" s="35"/>
      <c r="O116" s="35"/>
      <c r="P116" s="35"/>
    </row>
    <row r="117" spans="2:16">
      <c r="B117" s="28"/>
      <c r="C117" s="196"/>
      <c r="D117" s="47"/>
      <c r="E117" s="28"/>
      <c r="F117" s="215"/>
      <c r="G117" s="215"/>
      <c r="H117" s="2"/>
      <c r="I117" s="19"/>
      <c r="K117" s="35"/>
      <c r="M117" s="35"/>
      <c r="N117" s="35"/>
      <c r="O117" s="35"/>
      <c r="P117" s="35"/>
    </row>
    <row r="118" spans="2:16">
      <c r="B118" s="28"/>
      <c r="C118" s="196"/>
      <c r="D118" s="47"/>
      <c r="E118" s="28"/>
      <c r="F118" s="215"/>
      <c r="G118" s="215"/>
      <c r="H118" s="2"/>
      <c r="I118" s="19"/>
      <c r="K118" s="35"/>
      <c r="M118" s="35"/>
      <c r="N118" s="35"/>
      <c r="O118" s="35"/>
      <c r="P118" s="35"/>
    </row>
    <row r="119" spans="2:16">
      <c r="B119" s="28"/>
      <c r="C119" s="196"/>
      <c r="D119" s="47"/>
      <c r="E119" s="28"/>
      <c r="F119" s="215"/>
      <c r="G119" s="215"/>
      <c r="H119" s="2"/>
      <c r="I119" s="19"/>
      <c r="K119" s="35"/>
      <c r="M119" s="35"/>
      <c r="N119" s="35"/>
      <c r="O119" s="35"/>
      <c r="P119" s="35"/>
    </row>
    <row r="120" spans="2:16">
      <c r="B120" s="28"/>
      <c r="C120" s="196"/>
      <c r="D120" s="47"/>
      <c r="E120" s="28"/>
      <c r="F120" s="215"/>
      <c r="G120" s="215"/>
      <c r="H120" s="2"/>
      <c r="I120" s="19"/>
      <c r="K120" s="35"/>
      <c r="M120" s="35"/>
      <c r="N120" s="35"/>
      <c r="O120" s="35"/>
      <c r="P120" s="35"/>
    </row>
    <row r="121" spans="2:16">
      <c r="B121" s="28"/>
      <c r="C121" s="196"/>
      <c r="D121" s="47"/>
      <c r="E121" s="28"/>
      <c r="F121" s="215"/>
      <c r="G121" s="215"/>
      <c r="H121" s="2"/>
      <c r="I121" s="19"/>
      <c r="K121" s="35"/>
      <c r="M121" s="35"/>
      <c r="N121" s="35"/>
      <c r="O121" s="35"/>
      <c r="P121" s="35"/>
    </row>
    <row r="122" spans="2:16">
      <c r="B122" s="28"/>
      <c r="C122" s="196"/>
      <c r="D122" s="47"/>
      <c r="E122" s="28"/>
      <c r="F122" s="215"/>
      <c r="G122" s="215"/>
      <c r="H122" s="2"/>
      <c r="I122" s="19"/>
      <c r="K122" s="35"/>
      <c r="M122" s="35"/>
      <c r="N122" s="35"/>
      <c r="O122" s="35"/>
      <c r="P122" s="35"/>
    </row>
    <row r="123" spans="2:16">
      <c r="B123" s="28"/>
      <c r="C123" s="196"/>
      <c r="D123" s="47"/>
      <c r="E123" s="28"/>
      <c r="F123" s="215"/>
      <c r="G123" s="215"/>
      <c r="H123" s="2"/>
      <c r="I123" s="19"/>
      <c r="K123" s="35"/>
      <c r="M123" s="35"/>
      <c r="N123" s="35"/>
      <c r="O123" s="35"/>
      <c r="P123" s="35"/>
    </row>
    <row r="124" spans="2:16">
      <c r="B124" s="28"/>
      <c r="C124" s="196"/>
      <c r="D124" s="47"/>
      <c r="E124" s="28"/>
      <c r="F124" s="215"/>
      <c r="G124" s="215"/>
      <c r="H124" s="2"/>
      <c r="I124" s="19"/>
      <c r="K124" s="35"/>
      <c r="M124" s="35"/>
      <c r="N124" s="35"/>
      <c r="O124" s="35"/>
      <c r="P124" s="35"/>
    </row>
    <row r="125" spans="2:16">
      <c r="B125" s="28"/>
      <c r="C125" s="196"/>
      <c r="D125" s="47"/>
      <c r="E125" s="28"/>
      <c r="F125" s="215"/>
      <c r="G125" s="215"/>
      <c r="H125" s="2"/>
      <c r="I125" s="19"/>
      <c r="K125" s="35"/>
      <c r="M125" s="35"/>
      <c r="N125" s="35"/>
      <c r="O125" s="35"/>
      <c r="P125" s="35"/>
    </row>
    <row r="126" spans="2:16">
      <c r="B126" s="28"/>
      <c r="C126" s="196"/>
      <c r="D126" s="47"/>
      <c r="E126" s="28"/>
      <c r="F126" s="215"/>
      <c r="G126" s="215"/>
      <c r="H126" s="2"/>
      <c r="I126" s="19"/>
      <c r="K126" s="35"/>
      <c r="M126" s="35"/>
      <c r="N126" s="35"/>
      <c r="O126" s="35"/>
      <c r="P126" s="35"/>
    </row>
    <row r="127" spans="2:16">
      <c r="B127" s="28"/>
      <c r="C127" s="196"/>
      <c r="D127" s="47"/>
      <c r="E127" s="28"/>
      <c r="F127" s="215"/>
      <c r="G127" s="215"/>
      <c r="H127" s="2"/>
      <c r="I127" s="19"/>
      <c r="K127" s="35"/>
      <c r="M127" s="35"/>
      <c r="N127" s="35"/>
      <c r="O127" s="35"/>
      <c r="P127" s="35"/>
    </row>
    <row r="128" spans="2:16">
      <c r="B128" s="28"/>
      <c r="C128" s="196"/>
      <c r="D128" s="47"/>
      <c r="E128" s="28"/>
      <c r="F128" s="215"/>
      <c r="G128" s="215"/>
      <c r="H128" s="2"/>
      <c r="I128" s="19"/>
      <c r="K128" s="35"/>
      <c r="M128" s="35"/>
      <c r="N128" s="35"/>
      <c r="O128" s="35"/>
      <c r="P128" s="35"/>
    </row>
    <row r="129" spans="2:16">
      <c r="B129" s="28"/>
      <c r="C129" s="196"/>
      <c r="D129" s="47"/>
      <c r="E129" s="28"/>
      <c r="F129" s="215"/>
      <c r="G129" s="215"/>
      <c r="H129" s="2"/>
      <c r="I129" s="19"/>
      <c r="K129" s="35"/>
      <c r="M129" s="35"/>
      <c r="N129" s="35"/>
      <c r="O129" s="35"/>
      <c r="P129" s="35"/>
    </row>
    <row r="130" spans="2:16">
      <c r="B130" s="28"/>
      <c r="C130" s="196"/>
      <c r="D130" s="47"/>
      <c r="E130" s="28"/>
      <c r="F130" s="215"/>
      <c r="G130" s="215"/>
      <c r="H130" s="2"/>
      <c r="I130" s="19"/>
      <c r="K130" s="35"/>
      <c r="M130" s="35"/>
      <c r="N130" s="35"/>
      <c r="O130" s="35"/>
      <c r="P130" s="35"/>
    </row>
    <row r="131" spans="2:16">
      <c r="B131" s="28"/>
      <c r="C131" s="196"/>
      <c r="D131" s="47"/>
      <c r="E131" s="28"/>
      <c r="F131" s="215"/>
      <c r="G131" s="215"/>
      <c r="H131" s="2"/>
      <c r="I131" s="19"/>
      <c r="K131" s="35"/>
      <c r="M131" s="35"/>
      <c r="N131" s="35"/>
      <c r="O131" s="35"/>
      <c r="P131" s="35"/>
    </row>
    <row r="132" spans="2:16">
      <c r="B132" s="28"/>
      <c r="C132" s="196"/>
      <c r="D132" s="47"/>
      <c r="E132" s="28"/>
      <c r="F132" s="215"/>
      <c r="G132" s="215"/>
      <c r="H132" s="2"/>
      <c r="I132" s="19"/>
      <c r="K132" s="35"/>
      <c r="M132" s="35"/>
      <c r="N132" s="35"/>
      <c r="O132" s="35"/>
      <c r="P132" s="35"/>
    </row>
    <row r="133" spans="2:16">
      <c r="B133" s="28"/>
      <c r="C133" s="196"/>
      <c r="D133" s="47"/>
      <c r="E133" s="28"/>
      <c r="F133" s="215"/>
      <c r="G133" s="215"/>
      <c r="H133" s="2"/>
      <c r="I133" s="19"/>
      <c r="K133" s="35"/>
      <c r="M133" s="35"/>
      <c r="N133" s="35"/>
      <c r="O133" s="35"/>
      <c r="P133" s="35"/>
    </row>
    <row r="134" spans="2:16">
      <c r="B134" s="28"/>
      <c r="C134" s="196"/>
      <c r="D134" s="47"/>
      <c r="E134" s="28"/>
      <c r="F134" s="215"/>
      <c r="G134" s="215"/>
      <c r="H134" s="2"/>
      <c r="I134" s="19"/>
      <c r="K134" s="35"/>
      <c r="M134" s="35"/>
      <c r="N134" s="35"/>
      <c r="O134" s="35"/>
      <c r="P134" s="35"/>
    </row>
    <row r="135" spans="2:16">
      <c r="B135" s="28"/>
      <c r="C135" s="196"/>
      <c r="D135" s="47"/>
      <c r="E135" s="28"/>
      <c r="F135" s="215"/>
      <c r="G135" s="215"/>
      <c r="H135" s="2"/>
      <c r="I135" s="19"/>
      <c r="K135" s="35"/>
      <c r="M135" s="35"/>
      <c r="N135" s="35"/>
      <c r="O135" s="35"/>
      <c r="P135" s="35"/>
    </row>
    <row r="136" spans="2:16">
      <c r="B136" s="28"/>
      <c r="C136" s="196"/>
      <c r="D136" s="47"/>
      <c r="E136" s="28"/>
      <c r="F136" s="215"/>
      <c r="G136" s="215"/>
      <c r="H136" s="2"/>
      <c r="I136" s="19"/>
      <c r="K136" s="35"/>
      <c r="M136" s="35"/>
      <c r="N136" s="35"/>
      <c r="O136" s="35"/>
      <c r="P136" s="35"/>
    </row>
    <row r="137" spans="2:16">
      <c r="B137" s="28"/>
      <c r="C137" s="196"/>
      <c r="D137" s="47"/>
      <c r="E137" s="28"/>
      <c r="F137" s="215"/>
      <c r="G137" s="215"/>
      <c r="H137" s="2"/>
      <c r="I137" s="19"/>
      <c r="K137" s="35"/>
      <c r="M137" s="35"/>
      <c r="N137" s="35"/>
      <c r="O137" s="35"/>
      <c r="P137" s="35"/>
    </row>
    <row r="138" spans="2:16">
      <c r="B138" s="28"/>
      <c r="C138" s="196"/>
      <c r="D138" s="47"/>
      <c r="E138" s="28"/>
      <c r="F138" s="215"/>
      <c r="G138" s="215"/>
      <c r="H138" s="2"/>
      <c r="I138" s="19"/>
      <c r="K138" s="35"/>
      <c r="M138" s="35"/>
      <c r="N138" s="35"/>
      <c r="O138" s="35"/>
      <c r="P138" s="35"/>
    </row>
    <row r="139" spans="2:16">
      <c r="B139" s="28"/>
      <c r="C139" s="196"/>
      <c r="D139" s="47"/>
      <c r="E139" s="28"/>
      <c r="F139" s="215"/>
      <c r="G139" s="215"/>
      <c r="H139" s="2"/>
      <c r="I139" s="19"/>
      <c r="K139" s="35"/>
      <c r="M139" s="35"/>
      <c r="N139" s="35"/>
      <c r="O139" s="35"/>
      <c r="P139" s="35"/>
    </row>
    <row r="140" spans="2:16">
      <c r="B140" s="28"/>
      <c r="C140" s="196"/>
      <c r="D140" s="47"/>
      <c r="E140" s="28"/>
      <c r="F140" s="215"/>
      <c r="G140" s="215"/>
      <c r="H140" s="2"/>
      <c r="I140" s="19"/>
      <c r="K140" s="35"/>
      <c r="M140" s="35"/>
      <c r="N140" s="35"/>
      <c r="O140" s="35"/>
      <c r="P140" s="35"/>
    </row>
    <row r="141" spans="2:16">
      <c r="B141" s="28"/>
      <c r="C141" s="196"/>
      <c r="D141" s="47"/>
      <c r="E141" s="28"/>
      <c r="F141" s="215"/>
      <c r="G141" s="215"/>
      <c r="H141" s="2"/>
      <c r="I141" s="19"/>
      <c r="K141" s="35"/>
      <c r="M141" s="35"/>
      <c r="N141" s="35"/>
      <c r="O141" s="35"/>
      <c r="P141" s="35"/>
    </row>
    <row r="142" spans="2:16">
      <c r="B142" s="28"/>
      <c r="C142" s="196"/>
      <c r="D142" s="47"/>
      <c r="E142" s="28"/>
      <c r="F142" s="215"/>
      <c r="G142" s="215"/>
      <c r="H142" s="2"/>
      <c r="I142" s="19"/>
      <c r="K142" s="35"/>
      <c r="M142" s="35"/>
      <c r="N142" s="35"/>
      <c r="O142" s="35"/>
      <c r="P142" s="35"/>
    </row>
    <row r="143" spans="2:16">
      <c r="B143" s="28"/>
      <c r="C143" s="196"/>
      <c r="D143" s="47"/>
      <c r="E143" s="28"/>
      <c r="F143" s="215"/>
      <c r="G143" s="215"/>
      <c r="H143" s="2"/>
      <c r="I143" s="19"/>
      <c r="K143" s="35"/>
      <c r="M143" s="35"/>
      <c r="N143" s="35"/>
      <c r="O143" s="35"/>
      <c r="P143" s="35"/>
    </row>
    <row r="144" spans="2:16">
      <c r="B144" s="28"/>
      <c r="C144" s="196"/>
      <c r="D144" s="47"/>
      <c r="E144" s="28"/>
      <c r="F144" s="215"/>
      <c r="G144" s="215"/>
      <c r="H144" s="2"/>
      <c r="I144" s="19"/>
      <c r="K144" s="35"/>
      <c r="M144" s="35"/>
      <c r="N144" s="35"/>
      <c r="O144" s="35"/>
      <c r="P144" s="35"/>
    </row>
    <row r="145" spans="2:16">
      <c r="B145" s="28"/>
      <c r="C145" s="196"/>
      <c r="D145" s="47"/>
      <c r="E145" s="28"/>
      <c r="F145" s="215"/>
      <c r="G145" s="215"/>
      <c r="H145" s="2"/>
      <c r="I145" s="19"/>
      <c r="K145" s="35"/>
      <c r="M145" s="35"/>
      <c r="N145" s="35"/>
      <c r="O145" s="35"/>
      <c r="P145" s="35"/>
    </row>
    <row r="146" spans="2:16">
      <c r="B146" s="28"/>
      <c r="C146" s="196"/>
      <c r="D146" s="47"/>
      <c r="E146" s="28"/>
      <c r="F146" s="215"/>
      <c r="G146" s="215"/>
      <c r="H146" s="2"/>
      <c r="I146" s="19"/>
      <c r="K146" s="35"/>
      <c r="M146" s="35"/>
      <c r="N146" s="35"/>
      <c r="O146" s="35"/>
      <c r="P146" s="35"/>
    </row>
    <row r="147" spans="2:16">
      <c r="B147" s="28"/>
      <c r="C147" s="196"/>
      <c r="D147" s="47"/>
      <c r="E147" s="28"/>
      <c r="F147" s="215"/>
      <c r="G147" s="215"/>
      <c r="H147" s="2"/>
      <c r="I147" s="19"/>
      <c r="K147" s="35"/>
      <c r="M147" s="35"/>
      <c r="N147" s="35"/>
      <c r="O147" s="35"/>
      <c r="P147" s="35"/>
    </row>
    <row r="148" spans="2:16">
      <c r="B148" s="28"/>
      <c r="C148" s="196"/>
      <c r="D148" s="47"/>
      <c r="E148" s="28"/>
      <c r="F148" s="215"/>
      <c r="G148" s="215"/>
      <c r="H148" s="2"/>
      <c r="I148" s="19"/>
      <c r="K148" s="35"/>
      <c r="M148" s="35"/>
      <c r="N148" s="35"/>
      <c r="O148" s="35"/>
      <c r="P148" s="35"/>
    </row>
    <row r="149" spans="2:16">
      <c r="B149" s="28"/>
      <c r="C149" s="196"/>
      <c r="D149" s="47"/>
      <c r="E149" s="28"/>
      <c r="F149" s="215"/>
      <c r="G149" s="215"/>
      <c r="H149" s="2"/>
      <c r="I149" s="19"/>
      <c r="K149" s="35"/>
      <c r="M149" s="35"/>
      <c r="N149" s="35"/>
      <c r="O149" s="35"/>
      <c r="P149" s="35"/>
    </row>
    <row r="150" spans="2:16">
      <c r="B150" s="28"/>
      <c r="C150" s="196"/>
      <c r="D150" s="47"/>
      <c r="E150" s="28"/>
      <c r="F150" s="215"/>
      <c r="G150" s="215"/>
      <c r="H150" s="2"/>
      <c r="I150" s="19"/>
      <c r="K150" s="35"/>
      <c r="M150" s="35"/>
      <c r="N150" s="35"/>
      <c r="O150" s="35"/>
      <c r="P150" s="35"/>
    </row>
    <row r="151" spans="2:16">
      <c r="B151" s="28"/>
      <c r="C151" s="196"/>
      <c r="D151" s="47"/>
      <c r="E151" s="28"/>
      <c r="F151" s="215"/>
      <c r="G151" s="215"/>
      <c r="H151" s="2"/>
      <c r="I151" s="19"/>
      <c r="K151" s="35"/>
      <c r="M151" s="35"/>
      <c r="N151" s="35"/>
      <c r="O151" s="35"/>
      <c r="P151" s="35"/>
    </row>
    <row r="152" spans="2:16">
      <c r="B152" s="28"/>
      <c r="C152" s="196"/>
      <c r="D152" s="47"/>
      <c r="E152" s="28"/>
      <c r="F152" s="215"/>
      <c r="G152" s="215"/>
      <c r="H152" s="2"/>
      <c r="I152" s="19"/>
      <c r="K152" s="35"/>
      <c r="M152" s="35"/>
      <c r="N152" s="35"/>
      <c r="O152" s="35"/>
      <c r="P152" s="35"/>
    </row>
    <row r="153" spans="2:16">
      <c r="B153" s="28"/>
      <c r="C153" s="196"/>
      <c r="D153" s="47"/>
      <c r="E153" s="28"/>
      <c r="F153" s="215"/>
      <c r="G153" s="215"/>
      <c r="H153" s="2"/>
      <c r="I153" s="19"/>
      <c r="K153" s="35"/>
      <c r="M153" s="35"/>
      <c r="N153" s="35"/>
      <c r="O153" s="35"/>
      <c r="P153" s="35"/>
    </row>
    <row r="154" spans="2:16">
      <c r="B154" s="28"/>
      <c r="C154" s="196"/>
      <c r="D154" s="47"/>
      <c r="E154" s="28"/>
      <c r="F154" s="215"/>
      <c r="G154" s="215"/>
      <c r="H154" s="2"/>
      <c r="I154" s="19"/>
      <c r="K154" s="35"/>
      <c r="M154" s="35"/>
      <c r="N154" s="35"/>
      <c r="O154" s="35"/>
      <c r="P154" s="35"/>
    </row>
    <row r="155" spans="2:16">
      <c r="B155" s="28"/>
      <c r="C155" s="196"/>
      <c r="D155" s="47"/>
      <c r="E155" s="28"/>
      <c r="F155" s="215"/>
      <c r="G155" s="215"/>
      <c r="H155" s="2"/>
      <c r="I155" s="19"/>
      <c r="K155" s="35"/>
      <c r="M155" s="35"/>
      <c r="N155" s="35"/>
      <c r="O155" s="35"/>
      <c r="P155" s="35"/>
    </row>
    <row r="156" spans="2:16">
      <c r="B156" s="28"/>
      <c r="C156" s="196"/>
      <c r="D156" s="47"/>
      <c r="E156" s="28"/>
      <c r="F156" s="215"/>
      <c r="G156" s="215"/>
      <c r="H156" s="2"/>
      <c r="I156" s="19"/>
      <c r="K156" s="35"/>
      <c r="M156" s="35"/>
      <c r="N156" s="35"/>
      <c r="O156" s="35"/>
      <c r="P156" s="35"/>
    </row>
    <row r="157" spans="2:16">
      <c r="B157" s="28"/>
      <c r="C157" s="196"/>
      <c r="D157" s="47"/>
      <c r="E157" s="28"/>
      <c r="F157" s="215"/>
      <c r="G157" s="215"/>
      <c r="H157" s="2"/>
      <c r="I157" s="19"/>
      <c r="K157" s="35"/>
      <c r="M157" s="35"/>
      <c r="N157" s="35"/>
      <c r="O157" s="35"/>
      <c r="P157" s="35"/>
    </row>
    <row r="158" spans="2:16">
      <c r="B158" s="28"/>
      <c r="C158" s="196"/>
      <c r="D158" s="47"/>
      <c r="E158" s="28"/>
      <c r="F158" s="215"/>
      <c r="G158" s="215"/>
      <c r="H158" s="2"/>
      <c r="I158" s="19"/>
      <c r="K158" s="35"/>
      <c r="M158" s="35"/>
      <c r="N158" s="35"/>
      <c r="O158" s="35"/>
      <c r="P158" s="35"/>
    </row>
    <row r="159" spans="2:16">
      <c r="B159" s="28"/>
      <c r="C159" s="196"/>
      <c r="D159" s="47"/>
      <c r="E159" s="28"/>
      <c r="F159" s="215"/>
      <c r="G159" s="215"/>
      <c r="H159" s="2"/>
      <c r="I159" s="19"/>
      <c r="K159" s="35"/>
      <c r="M159" s="35"/>
      <c r="N159" s="35"/>
      <c r="O159" s="35"/>
      <c r="P159" s="35"/>
    </row>
    <row r="160" spans="2:16">
      <c r="B160" s="28"/>
      <c r="C160" s="196"/>
      <c r="D160" s="47"/>
      <c r="E160" s="28"/>
      <c r="F160" s="215"/>
      <c r="G160" s="215"/>
      <c r="H160" s="2"/>
      <c r="I160" s="19"/>
      <c r="K160" s="35"/>
      <c r="M160" s="35"/>
      <c r="N160" s="35"/>
      <c r="O160" s="35"/>
      <c r="P160" s="35"/>
    </row>
    <row r="161" spans="2:16">
      <c r="B161" s="28"/>
      <c r="C161" s="196"/>
      <c r="D161" s="47"/>
      <c r="E161" s="28"/>
      <c r="F161" s="215"/>
      <c r="G161" s="215"/>
      <c r="H161" s="2"/>
      <c r="I161" s="19"/>
      <c r="K161" s="35"/>
      <c r="M161" s="35"/>
      <c r="N161" s="35"/>
      <c r="O161" s="35"/>
      <c r="P161" s="35"/>
    </row>
    <row r="162" spans="2:16">
      <c r="B162" s="28"/>
      <c r="C162" s="196"/>
      <c r="D162" s="47"/>
      <c r="E162" s="28"/>
      <c r="F162" s="215"/>
      <c r="G162" s="215"/>
      <c r="H162" s="2"/>
      <c r="I162" s="19"/>
      <c r="K162" s="35"/>
      <c r="M162" s="35"/>
      <c r="N162" s="35"/>
      <c r="O162" s="35"/>
      <c r="P162" s="35"/>
    </row>
    <row r="163" spans="2:16">
      <c r="B163" s="28"/>
      <c r="C163" s="196"/>
      <c r="D163" s="47"/>
      <c r="E163" s="28"/>
      <c r="F163" s="215"/>
      <c r="G163" s="215"/>
      <c r="H163" s="2"/>
      <c r="I163" s="19"/>
      <c r="K163" s="35"/>
      <c r="M163" s="35"/>
      <c r="N163" s="35"/>
      <c r="O163" s="35"/>
      <c r="P163" s="35"/>
    </row>
    <row r="164" spans="2:16">
      <c r="B164" s="28"/>
      <c r="C164" s="196"/>
      <c r="D164" s="47"/>
      <c r="E164" s="28"/>
      <c r="F164" s="215"/>
      <c r="G164" s="215"/>
      <c r="H164" s="2"/>
      <c r="I164" s="19"/>
      <c r="K164" s="35"/>
      <c r="M164" s="35"/>
      <c r="N164" s="35"/>
      <c r="O164" s="35"/>
      <c r="P164" s="35"/>
    </row>
    <row r="165" spans="2:16">
      <c r="B165" s="28"/>
      <c r="C165" s="196"/>
      <c r="D165" s="47"/>
      <c r="E165" s="28"/>
      <c r="F165" s="215"/>
      <c r="G165" s="215"/>
      <c r="H165" s="2"/>
      <c r="I165" s="19"/>
      <c r="K165" s="35"/>
      <c r="M165" s="35"/>
      <c r="N165" s="35"/>
      <c r="O165" s="35"/>
      <c r="P165" s="35"/>
    </row>
    <row r="166" spans="2:16">
      <c r="B166" s="28"/>
      <c r="C166" s="196"/>
      <c r="D166" s="47"/>
      <c r="E166" s="28"/>
      <c r="F166" s="215"/>
      <c r="G166" s="215"/>
      <c r="H166" s="2"/>
      <c r="I166" s="19"/>
      <c r="K166" s="35"/>
      <c r="M166" s="35"/>
      <c r="N166" s="35"/>
      <c r="O166" s="35"/>
      <c r="P166" s="35"/>
    </row>
    <row r="167" spans="2:16">
      <c r="B167" s="28"/>
      <c r="C167" s="196"/>
      <c r="D167" s="47"/>
      <c r="E167" s="28"/>
      <c r="F167" s="215"/>
      <c r="G167" s="215"/>
      <c r="H167" s="2"/>
      <c r="I167" s="19"/>
      <c r="K167" s="35"/>
      <c r="M167" s="35"/>
      <c r="N167" s="35"/>
      <c r="O167" s="35"/>
      <c r="P167" s="35"/>
    </row>
    <row r="168" spans="2:16">
      <c r="B168" s="28"/>
      <c r="C168" s="196"/>
      <c r="D168" s="47"/>
      <c r="E168" s="28"/>
      <c r="F168" s="215"/>
      <c r="G168" s="215"/>
      <c r="H168" s="2"/>
      <c r="I168" s="19"/>
      <c r="K168" s="35"/>
      <c r="M168" s="35"/>
      <c r="N168" s="35"/>
      <c r="O168" s="35"/>
      <c r="P168" s="35"/>
    </row>
    <row r="169" spans="2:16">
      <c r="B169" s="28"/>
      <c r="C169" s="196"/>
      <c r="D169" s="47"/>
      <c r="E169" s="28"/>
      <c r="F169" s="215"/>
      <c r="G169" s="215"/>
      <c r="H169" s="2"/>
      <c r="I169" s="19"/>
      <c r="K169" s="35"/>
      <c r="M169" s="35"/>
      <c r="N169" s="35"/>
      <c r="O169" s="35"/>
      <c r="P169" s="35"/>
    </row>
    <row r="170" spans="2:16">
      <c r="B170" s="28"/>
      <c r="C170" s="196"/>
      <c r="D170" s="47"/>
      <c r="E170" s="28"/>
      <c r="F170" s="215"/>
      <c r="G170" s="215"/>
      <c r="H170" s="2"/>
      <c r="I170" s="19"/>
      <c r="K170" s="35"/>
      <c r="M170" s="35"/>
      <c r="N170" s="35"/>
      <c r="O170" s="35"/>
      <c r="P170" s="35"/>
    </row>
    <row r="171" spans="2:16">
      <c r="B171" s="28"/>
      <c r="C171" s="196"/>
      <c r="D171" s="47"/>
      <c r="E171" s="28"/>
      <c r="F171" s="215"/>
      <c r="G171" s="215"/>
      <c r="H171" s="2"/>
      <c r="I171" s="19"/>
      <c r="K171" s="35"/>
      <c r="M171" s="35"/>
      <c r="N171" s="35"/>
      <c r="O171" s="35"/>
      <c r="P171" s="35"/>
    </row>
    <row r="172" spans="2:16">
      <c r="B172" s="28"/>
      <c r="C172" s="196"/>
      <c r="D172" s="47"/>
      <c r="E172" s="28"/>
      <c r="F172" s="215"/>
      <c r="G172" s="215"/>
      <c r="H172" s="2"/>
      <c r="I172" s="19"/>
      <c r="K172" s="35"/>
      <c r="M172" s="35"/>
      <c r="N172" s="35"/>
      <c r="O172" s="35"/>
      <c r="P172" s="35"/>
    </row>
    <row r="173" spans="2:16">
      <c r="B173" s="28"/>
      <c r="C173" s="196"/>
      <c r="D173" s="47"/>
      <c r="E173" s="28"/>
      <c r="F173" s="215"/>
      <c r="G173" s="215"/>
      <c r="H173" s="2"/>
      <c r="I173" s="19"/>
      <c r="K173" s="35"/>
      <c r="M173" s="35"/>
      <c r="N173" s="35"/>
      <c r="O173" s="35"/>
      <c r="P173" s="35"/>
    </row>
    <row r="174" spans="2:16">
      <c r="B174" s="28"/>
      <c r="C174" s="196"/>
      <c r="D174" s="47"/>
      <c r="E174" s="28"/>
      <c r="F174" s="215"/>
      <c r="G174" s="215"/>
      <c r="H174" s="2"/>
      <c r="I174" s="19"/>
      <c r="K174" s="35"/>
      <c r="M174" s="35"/>
      <c r="N174" s="35"/>
      <c r="O174" s="35"/>
      <c r="P174" s="35"/>
    </row>
    <row r="175" spans="2:16">
      <c r="B175" s="28"/>
      <c r="C175" s="196"/>
      <c r="D175" s="47"/>
      <c r="E175" s="28"/>
      <c r="F175" s="215"/>
      <c r="G175" s="215"/>
      <c r="H175" s="2"/>
      <c r="I175" s="19"/>
      <c r="K175" s="35"/>
      <c r="M175" s="35"/>
      <c r="N175" s="35"/>
      <c r="O175" s="35"/>
      <c r="P175" s="35"/>
    </row>
    <row r="176" spans="2:16">
      <c r="B176" s="28"/>
      <c r="C176" s="196"/>
      <c r="D176" s="47"/>
      <c r="E176" s="28"/>
      <c r="F176" s="215"/>
      <c r="G176" s="215"/>
      <c r="H176" s="2"/>
      <c r="I176" s="19"/>
      <c r="K176" s="35"/>
      <c r="M176" s="35"/>
      <c r="N176" s="35"/>
      <c r="O176" s="35"/>
      <c r="P176" s="35"/>
    </row>
    <row r="177" spans="4:9">
      <c r="D177" s="47"/>
      <c r="E177" s="143"/>
      <c r="H177" s="2"/>
      <c r="I177" s="30"/>
    </row>
    <row r="178" spans="4:9">
      <c r="D178" s="47"/>
      <c r="E178" s="143"/>
      <c r="H178" s="2"/>
      <c r="I178" s="30"/>
    </row>
    <row r="179" spans="4:9">
      <c r="D179" s="47"/>
      <c r="E179" s="143"/>
      <c r="H179" s="2"/>
      <c r="I179" s="30"/>
    </row>
    <row r="180" spans="4:9">
      <c r="D180" s="47"/>
      <c r="E180" s="143"/>
      <c r="H180" s="2"/>
      <c r="I180" s="30"/>
    </row>
    <row r="181" spans="4:9">
      <c r="D181" s="47"/>
      <c r="E181" s="143"/>
      <c r="H181" s="2"/>
      <c r="I181" s="30"/>
    </row>
    <row r="182" spans="4:9">
      <c r="D182" s="47"/>
      <c r="E182" s="143"/>
      <c r="H182" s="2"/>
      <c r="I182" s="30"/>
    </row>
    <row r="183" spans="4:9">
      <c r="D183" s="47"/>
      <c r="E183" s="143"/>
      <c r="H183" s="2"/>
      <c r="I183" s="30"/>
    </row>
    <row r="184" spans="4:9">
      <c r="D184" s="47"/>
      <c r="E184" s="143"/>
      <c r="H184" s="2"/>
      <c r="I184" s="30"/>
    </row>
    <row r="185" spans="4:9">
      <c r="D185" s="47"/>
      <c r="E185" s="143"/>
      <c r="H185" s="2"/>
      <c r="I185" s="30"/>
    </row>
    <row r="186" spans="4:9">
      <c r="D186" s="47"/>
      <c r="E186" s="143"/>
      <c r="H186" s="2"/>
      <c r="I186" s="30"/>
    </row>
    <row r="187" spans="4:9">
      <c r="D187" s="47"/>
      <c r="E187" s="143"/>
      <c r="H187" s="2"/>
      <c r="I187" s="30"/>
    </row>
    <row r="188" spans="4:9">
      <c r="D188" s="47"/>
      <c r="E188" s="143"/>
      <c r="H188" s="2"/>
      <c r="I188" s="30"/>
    </row>
    <row r="189" spans="4:9">
      <c r="D189" s="47"/>
      <c r="E189" s="143"/>
      <c r="H189" s="2"/>
      <c r="I189" s="30"/>
    </row>
    <row r="190" spans="4:9">
      <c r="D190" s="47"/>
      <c r="E190" s="143"/>
      <c r="H190" s="2"/>
      <c r="I190" s="30"/>
    </row>
    <row r="191" spans="4:9">
      <c r="D191" s="47"/>
      <c r="E191" s="143"/>
      <c r="H191" s="2"/>
      <c r="I191" s="30"/>
    </row>
    <row r="192" spans="4:9">
      <c r="D192" s="47"/>
      <c r="E192" s="143"/>
      <c r="H192" s="2"/>
      <c r="I192" s="30"/>
    </row>
    <row r="193" spans="4:9">
      <c r="D193" s="47"/>
      <c r="E193" s="143"/>
      <c r="H193" s="2"/>
      <c r="I193" s="30"/>
    </row>
    <row r="194" spans="4:9">
      <c r="D194" s="47"/>
      <c r="E194" s="143"/>
      <c r="H194" s="2"/>
      <c r="I194" s="30"/>
    </row>
    <row r="195" spans="4:9">
      <c r="D195" s="47"/>
      <c r="E195" s="143"/>
      <c r="H195" s="2"/>
      <c r="I195" s="30"/>
    </row>
    <row r="196" spans="4:9">
      <c r="D196" s="47"/>
      <c r="E196" s="143"/>
      <c r="H196" s="2"/>
      <c r="I196" s="30"/>
    </row>
    <row r="197" spans="4:9">
      <c r="D197" s="47"/>
      <c r="E197" s="143"/>
      <c r="H197" s="2"/>
      <c r="I197" s="30"/>
    </row>
    <row r="198" spans="4:9">
      <c r="D198" s="47"/>
      <c r="E198" s="143"/>
      <c r="H198" s="2"/>
      <c r="I198" s="30"/>
    </row>
    <row r="199" spans="4:9">
      <c r="D199" s="47"/>
      <c r="E199" s="143"/>
      <c r="H199" s="2"/>
      <c r="I199" s="30"/>
    </row>
    <row r="200" spans="4:9">
      <c r="D200" s="47"/>
      <c r="E200" s="143"/>
      <c r="H200" s="2"/>
      <c r="I200" s="30"/>
    </row>
    <row r="201" spans="4:9">
      <c r="D201" s="47"/>
      <c r="E201" s="143"/>
      <c r="H201" s="2"/>
      <c r="I201" s="30"/>
    </row>
    <row r="202" spans="4:9">
      <c r="D202" s="47"/>
      <c r="E202" s="143"/>
      <c r="H202" s="2"/>
      <c r="I202" s="30"/>
    </row>
    <row r="203" spans="4:9">
      <c r="D203" s="47"/>
      <c r="E203" s="143"/>
      <c r="H203" s="2"/>
      <c r="I203" s="30"/>
    </row>
    <row r="204" spans="4:9">
      <c r="D204" s="47"/>
      <c r="E204" s="143"/>
      <c r="H204" s="2"/>
      <c r="I204" s="30"/>
    </row>
    <row r="205" spans="4:9">
      <c r="D205" s="47"/>
      <c r="E205" s="143"/>
      <c r="H205" s="2"/>
      <c r="I205" s="30"/>
    </row>
    <row r="206" spans="4:9">
      <c r="D206" s="47"/>
      <c r="E206" s="143"/>
      <c r="H206" s="2"/>
      <c r="I206" s="30"/>
    </row>
    <row r="207" spans="4:9">
      <c r="D207" s="47"/>
      <c r="E207" s="143"/>
      <c r="H207" s="2"/>
      <c r="I207" s="30"/>
    </row>
    <row r="208" spans="4:9">
      <c r="D208" s="47"/>
      <c r="E208" s="143"/>
      <c r="H208" s="2"/>
      <c r="I208" s="30"/>
    </row>
    <row r="209" spans="4:9">
      <c r="D209" s="47"/>
      <c r="E209" s="143"/>
      <c r="H209" s="2"/>
      <c r="I209" s="30"/>
    </row>
    <row r="210" spans="4:9">
      <c r="D210" s="47"/>
      <c r="E210" s="143"/>
      <c r="H210" s="2"/>
      <c r="I210" s="30"/>
    </row>
    <row r="211" spans="4:9">
      <c r="D211" s="47"/>
      <c r="E211" s="143"/>
      <c r="H211" s="2"/>
      <c r="I211" s="30"/>
    </row>
    <row r="212" spans="4:9">
      <c r="D212" s="47"/>
      <c r="E212" s="143"/>
      <c r="H212" s="2"/>
      <c r="I212" s="30"/>
    </row>
    <row r="213" spans="4:9">
      <c r="D213" s="47"/>
      <c r="E213" s="143"/>
      <c r="H213" s="2"/>
      <c r="I213" s="30"/>
    </row>
    <row r="214" spans="4:9">
      <c r="D214" s="47"/>
      <c r="E214" s="143"/>
      <c r="H214" s="2"/>
      <c r="I214" s="30"/>
    </row>
    <row r="215" spans="4:9">
      <c r="D215" s="47"/>
      <c r="E215" s="143"/>
      <c r="H215" s="2"/>
      <c r="I215" s="30"/>
    </row>
    <row r="216" spans="4:9">
      <c r="D216" s="47"/>
      <c r="E216" s="143"/>
      <c r="H216" s="2"/>
      <c r="I216" s="30"/>
    </row>
    <row r="217" spans="4:9">
      <c r="D217" s="47"/>
      <c r="E217" s="143"/>
      <c r="H217" s="2"/>
      <c r="I217" s="30"/>
    </row>
    <row r="218" spans="4:9">
      <c r="D218" s="47"/>
      <c r="E218" s="143"/>
      <c r="H218" s="2"/>
      <c r="I218" s="30"/>
    </row>
    <row r="219" spans="4:9">
      <c r="D219" s="47"/>
      <c r="E219" s="143"/>
      <c r="H219" s="2"/>
      <c r="I219" s="30"/>
    </row>
    <row r="220" spans="4:9">
      <c r="D220" s="47"/>
      <c r="E220" s="143"/>
      <c r="H220" s="2"/>
      <c r="I220" s="30"/>
    </row>
    <row r="221" spans="4:9">
      <c r="D221" s="47"/>
      <c r="E221" s="143"/>
      <c r="H221" s="2"/>
      <c r="I221" s="30"/>
    </row>
    <row r="222" spans="4:9">
      <c r="D222" s="47"/>
      <c r="E222" s="143"/>
      <c r="H222" s="2"/>
      <c r="I222" s="30"/>
    </row>
    <row r="223" spans="4:9">
      <c r="D223" s="47"/>
      <c r="E223" s="143"/>
      <c r="H223" s="2"/>
      <c r="I223" s="30"/>
    </row>
    <row r="224" spans="4:9">
      <c r="D224" s="47"/>
      <c r="E224" s="143"/>
      <c r="H224" s="2"/>
      <c r="I224" s="30"/>
    </row>
    <row r="225" spans="4:9">
      <c r="D225" s="47"/>
      <c r="E225" s="143"/>
      <c r="H225" s="2"/>
      <c r="I225" s="30"/>
    </row>
    <row r="226" spans="4:9">
      <c r="D226" s="47"/>
      <c r="E226" s="143"/>
      <c r="H226" s="2"/>
      <c r="I226" s="30"/>
    </row>
    <row r="227" spans="4:9">
      <c r="D227" s="47"/>
      <c r="E227" s="143"/>
      <c r="H227" s="2"/>
      <c r="I227" s="30"/>
    </row>
    <row r="228" spans="4:9">
      <c r="D228" s="47"/>
      <c r="E228" s="143"/>
      <c r="H228" s="2"/>
      <c r="I228" s="30"/>
    </row>
    <row r="229" spans="4:9">
      <c r="D229" s="47"/>
      <c r="E229" s="143"/>
      <c r="H229" s="2"/>
      <c r="I229" s="30"/>
    </row>
    <row r="230" spans="4:9">
      <c r="D230" s="47"/>
      <c r="E230" s="143"/>
      <c r="H230" s="2"/>
      <c r="I230" s="30"/>
    </row>
    <row r="231" spans="4:9">
      <c r="D231" s="47"/>
      <c r="E231" s="143"/>
      <c r="H231" s="2"/>
      <c r="I231" s="30"/>
    </row>
    <row r="232" spans="4:9">
      <c r="D232" s="47"/>
      <c r="E232" s="143"/>
      <c r="H232" s="2"/>
      <c r="I232" s="30"/>
    </row>
    <row r="233" spans="4:9">
      <c r="D233" s="47"/>
      <c r="E233" s="143"/>
      <c r="H233" s="2"/>
      <c r="I233" s="30"/>
    </row>
    <row r="234" spans="4:9">
      <c r="D234" s="47"/>
      <c r="E234" s="143"/>
      <c r="H234" s="2"/>
      <c r="I234" s="30"/>
    </row>
    <row r="235" spans="4:9">
      <c r="D235" s="47"/>
      <c r="E235" s="143"/>
      <c r="H235" s="2"/>
      <c r="I235" s="30"/>
    </row>
    <row r="236" spans="4:9">
      <c r="D236" s="47"/>
      <c r="E236" s="143"/>
      <c r="H236" s="2"/>
      <c r="I236" s="30"/>
    </row>
    <row r="237" spans="4:9">
      <c r="D237" s="47"/>
      <c r="E237" s="143"/>
      <c r="H237" s="2"/>
      <c r="I237" s="30"/>
    </row>
    <row r="238" spans="4:9">
      <c r="D238" s="47"/>
      <c r="E238" s="143"/>
      <c r="H238" s="2"/>
      <c r="I238" s="30"/>
    </row>
    <row r="239" spans="4:9">
      <c r="D239" s="47"/>
      <c r="E239" s="143"/>
      <c r="H239" s="2"/>
      <c r="I239" s="30"/>
    </row>
    <row r="240" spans="4:9">
      <c r="D240" s="47"/>
      <c r="E240" s="143"/>
      <c r="H240" s="2"/>
      <c r="I240" s="30"/>
    </row>
    <row r="241" spans="4:9">
      <c r="D241" s="47"/>
      <c r="E241" s="143"/>
      <c r="H241" s="2"/>
      <c r="I241" s="30"/>
    </row>
    <row r="242" spans="4:9">
      <c r="D242" s="47"/>
      <c r="E242" s="143"/>
      <c r="H242" s="2"/>
      <c r="I242" s="30"/>
    </row>
    <row r="243" spans="4:9">
      <c r="D243" s="47"/>
      <c r="E243" s="143"/>
      <c r="H243" s="2"/>
      <c r="I243" s="30"/>
    </row>
    <row r="244" spans="4:9">
      <c r="D244" s="47"/>
      <c r="E244" s="143"/>
      <c r="H244" s="2"/>
      <c r="I244" s="30"/>
    </row>
    <row r="245" spans="4:9">
      <c r="D245" s="47"/>
      <c r="E245" s="143"/>
      <c r="H245" s="2"/>
      <c r="I245" s="30"/>
    </row>
    <row r="246" spans="4:9">
      <c r="D246" s="47"/>
      <c r="E246" s="143"/>
      <c r="H246" s="2"/>
      <c r="I246" s="30"/>
    </row>
    <row r="247" spans="4:9">
      <c r="D247" s="47"/>
      <c r="E247" s="143"/>
      <c r="H247" s="2"/>
      <c r="I247" s="30"/>
    </row>
    <row r="248" spans="4:9">
      <c r="D248" s="47"/>
      <c r="E248" s="143"/>
      <c r="H248" s="2"/>
      <c r="I248" s="30"/>
    </row>
    <row r="249" spans="4:9">
      <c r="D249" s="47"/>
      <c r="E249" s="143"/>
      <c r="H249" s="2"/>
      <c r="I249" s="30"/>
    </row>
    <row r="250" spans="4:9">
      <c r="D250" s="47"/>
      <c r="E250" s="143"/>
      <c r="H250" s="2"/>
      <c r="I250" s="30"/>
    </row>
    <row r="251" spans="4:9">
      <c r="D251" s="47"/>
      <c r="E251" s="143"/>
      <c r="H251" s="2"/>
      <c r="I251" s="30"/>
    </row>
    <row r="252" spans="4:9">
      <c r="D252" s="47"/>
      <c r="E252" s="143"/>
      <c r="H252" s="2"/>
      <c r="I252" s="30"/>
    </row>
    <row r="253" spans="4:9">
      <c r="D253" s="47"/>
      <c r="E253" s="143"/>
      <c r="H253" s="2"/>
      <c r="I253" s="30"/>
    </row>
    <row r="254" spans="4:9">
      <c r="D254" s="47"/>
      <c r="E254" s="143"/>
      <c r="H254" s="2"/>
      <c r="I254" s="30"/>
    </row>
    <row r="255" spans="4:9">
      <c r="D255" s="47"/>
      <c r="E255" s="143"/>
      <c r="H255" s="2"/>
      <c r="I255" s="30"/>
    </row>
    <row r="256" spans="4:9">
      <c r="D256" s="47"/>
      <c r="E256" s="143"/>
      <c r="H256" s="2"/>
      <c r="I256" s="30"/>
    </row>
    <row r="257" spans="4:9">
      <c r="D257" s="47"/>
      <c r="E257" s="143"/>
      <c r="H257" s="2"/>
      <c r="I257" s="30"/>
    </row>
    <row r="258" spans="4:9">
      <c r="D258" s="47"/>
      <c r="E258" s="143"/>
      <c r="H258" s="2"/>
      <c r="I258" s="30"/>
    </row>
    <row r="259" spans="4:9">
      <c r="D259" s="47"/>
      <c r="E259" s="143"/>
      <c r="H259" s="2"/>
      <c r="I259" s="30"/>
    </row>
    <row r="260" spans="4:9">
      <c r="D260" s="47"/>
      <c r="E260" s="143"/>
      <c r="H260" s="2"/>
      <c r="I260" s="30"/>
    </row>
    <row r="261" spans="4:9">
      <c r="D261" s="47"/>
      <c r="E261" s="143"/>
      <c r="H261" s="2"/>
      <c r="I261" s="30"/>
    </row>
    <row r="262" spans="4:9">
      <c r="D262" s="47"/>
      <c r="E262" s="143"/>
      <c r="H262" s="2"/>
      <c r="I262" s="30"/>
    </row>
    <row r="263" spans="4:9">
      <c r="D263" s="47"/>
      <c r="E263" s="143"/>
      <c r="H263" s="2"/>
      <c r="I263" s="30"/>
    </row>
    <row r="264" spans="4:9">
      <c r="D264" s="47"/>
      <c r="E264" s="143"/>
      <c r="H264" s="2"/>
      <c r="I264" s="30"/>
    </row>
    <row r="265" spans="4:9">
      <c r="D265" s="47"/>
      <c r="E265" s="143"/>
      <c r="H265" s="2"/>
      <c r="I265" s="30"/>
    </row>
    <row r="266" spans="4:9">
      <c r="D266" s="47"/>
      <c r="E266" s="143"/>
      <c r="H266" s="2"/>
      <c r="I266" s="30"/>
    </row>
    <row r="267" spans="4:9">
      <c r="D267" s="47"/>
      <c r="E267" s="143"/>
      <c r="H267" s="2"/>
      <c r="I267" s="30"/>
    </row>
    <row r="268" spans="4:9">
      <c r="D268" s="47"/>
      <c r="E268" s="143"/>
      <c r="H268" s="2"/>
      <c r="I268" s="30"/>
    </row>
    <row r="269" spans="4:9">
      <c r="D269" s="47"/>
      <c r="E269" s="143"/>
      <c r="H269" s="2"/>
      <c r="I269" s="30"/>
    </row>
    <row r="270" spans="4:9">
      <c r="D270" s="47"/>
      <c r="E270" s="143"/>
      <c r="H270" s="2"/>
      <c r="I270" s="30"/>
    </row>
    <row r="271" spans="4:9">
      <c r="D271" s="47"/>
      <c r="E271" s="143"/>
      <c r="H271" s="2"/>
      <c r="I271" s="30"/>
    </row>
    <row r="272" spans="4:9">
      <c r="D272" s="47"/>
      <c r="E272" s="143"/>
      <c r="H272" s="2"/>
      <c r="I272" s="30"/>
    </row>
    <row r="273" spans="4:9">
      <c r="D273" s="47"/>
      <c r="E273" s="143"/>
      <c r="H273" s="2"/>
      <c r="I273" s="30"/>
    </row>
    <row r="274" spans="4:9">
      <c r="D274" s="47"/>
      <c r="E274" s="143"/>
      <c r="H274" s="2"/>
      <c r="I274" s="30"/>
    </row>
    <row r="275" spans="4:9">
      <c r="D275" s="47"/>
      <c r="E275" s="143"/>
      <c r="H275" s="2"/>
      <c r="I275" s="30"/>
    </row>
    <row r="276" spans="4:9">
      <c r="D276" s="47"/>
      <c r="E276" s="143"/>
      <c r="H276" s="2"/>
      <c r="I276" s="30"/>
    </row>
    <row r="277" spans="4:9">
      <c r="D277" s="47"/>
      <c r="E277" s="143"/>
      <c r="H277" s="2"/>
      <c r="I277" s="30"/>
    </row>
    <row r="278" spans="4:9">
      <c r="D278" s="47"/>
      <c r="E278" s="143"/>
      <c r="H278" s="2"/>
      <c r="I278" s="30"/>
    </row>
    <row r="279" spans="4:9">
      <c r="D279" s="47"/>
      <c r="E279" s="143"/>
      <c r="H279" s="2"/>
      <c r="I279" s="30"/>
    </row>
    <row r="280" spans="4:9">
      <c r="D280" s="47"/>
      <c r="E280" s="143"/>
      <c r="H280" s="2"/>
      <c r="I280" s="30"/>
    </row>
    <row r="281" spans="4:9">
      <c r="D281" s="47"/>
      <c r="E281" s="143"/>
      <c r="H281" s="2"/>
      <c r="I281" s="30"/>
    </row>
    <row r="282" spans="4:9">
      <c r="D282" s="47"/>
      <c r="E282" s="143"/>
      <c r="H282" s="2"/>
      <c r="I282" s="30"/>
    </row>
    <row r="283" spans="4:9">
      <c r="D283" s="47"/>
      <c r="E283" s="143"/>
      <c r="H283" s="2"/>
      <c r="I283" s="30"/>
    </row>
    <row r="284" spans="4:9">
      <c r="D284" s="47"/>
      <c r="E284" s="143"/>
      <c r="H284" s="2"/>
      <c r="I284" s="30"/>
    </row>
    <row r="285" spans="4:9">
      <c r="D285" s="47"/>
      <c r="E285" s="143"/>
      <c r="H285" s="2"/>
      <c r="I285" s="30"/>
    </row>
    <row r="286" spans="4:9">
      <c r="D286" s="47"/>
      <c r="E286" s="143"/>
      <c r="H286" s="2"/>
      <c r="I286" s="30"/>
    </row>
    <row r="287" spans="4:9">
      <c r="D287" s="47"/>
      <c r="E287" s="143"/>
      <c r="H287" s="2"/>
      <c r="I287" s="30"/>
    </row>
    <row r="288" spans="4:9">
      <c r="D288" s="47"/>
      <c r="E288" s="143"/>
      <c r="H288" s="2"/>
      <c r="I288" s="30"/>
    </row>
    <row r="289" spans="4:9">
      <c r="D289" s="47"/>
      <c r="E289" s="143"/>
      <c r="H289" s="2"/>
      <c r="I289" s="30"/>
    </row>
    <row r="290" spans="4:9">
      <c r="D290" s="47"/>
      <c r="E290" s="143"/>
      <c r="H290" s="2"/>
      <c r="I290" s="30"/>
    </row>
    <row r="291" spans="4:9">
      <c r="D291" s="47"/>
      <c r="E291" s="143"/>
      <c r="H291" s="2"/>
      <c r="I291" s="30"/>
    </row>
    <row r="292" spans="4:9">
      <c r="D292" s="47"/>
      <c r="E292" s="143"/>
      <c r="H292" s="2"/>
      <c r="I292" s="30"/>
    </row>
    <row r="293" spans="4:9">
      <c r="D293" s="47"/>
      <c r="E293" s="143"/>
      <c r="H293" s="2"/>
      <c r="I293" s="30"/>
    </row>
    <row r="294" spans="4:9">
      <c r="D294" s="47"/>
      <c r="E294" s="143"/>
      <c r="H294" s="2"/>
      <c r="I294" s="30"/>
    </row>
    <row r="295" spans="4:9">
      <c r="D295" s="47"/>
      <c r="E295" s="143"/>
      <c r="H295" s="2"/>
      <c r="I295" s="30"/>
    </row>
    <row r="296" spans="4:9">
      <c r="D296" s="47"/>
      <c r="E296" s="143"/>
      <c r="H296" s="2"/>
      <c r="I296" s="30"/>
    </row>
    <row r="297" spans="4:9">
      <c r="D297" s="47"/>
      <c r="E297" s="143"/>
      <c r="H297" s="2"/>
      <c r="I297" s="30"/>
    </row>
    <row r="298" spans="4:9">
      <c r="D298" s="47"/>
      <c r="E298" s="143"/>
      <c r="H298" s="2"/>
      <c r="I298" s="30"/>
    </row>
    <row r="299" spans="4:9">
      <c r="D299" s="47"/>
      <c r="E299" s="143"/>
      <c r="H299" s="2"/>
      <c r="I299" s="30"/>
    </row>
    <row r="300" spans="4:9">
      <c r="D300" s="47"/>
      <c r="E300" s="143"/>
      <c r="H300" s="2"/>
      <c r="I300" s="30"/>
    </row>
    <row r="301" spans="4:9">
      <c r="D301" s="47"/>
      <c r="E301" s="143"/>
      <c r="H301" s="2"/>
      <c r="I301" s="30"/>
    </row>
    <row r="302" spans="4:9">
      <c r="D302" s="47"/>
      <c r="E302" s="143"/>
      <c r="H302" s="2"/>
      <c r="I302" s="30"/>
    </row>
    <row r="303" spans="4:9">
      <c r="D303" s="47"/>
      <c r="E303" s="143"/>
      <c r="H303" s="2"/>
      <c r="I303" s="30"/>
    </row>
    <row r="304" spans="4:9">
      <c r="D304" s="47"/>
      <c r="E304" s="143"/>
      <c r="H304" s="2"/>
      <c r="I304" s="30"/>
    </row>
    <row r="305" spans="4:9">
      <c r="D305" s="47"/>
      <c r="E305" s="143"/>
      <c r="H305" s="2"/>
      <c r="I305" s="30"/>
    </row>
    <row r="306" spans="4:9">
      <c r="D306" s="47"/>
      <c r="E306" s="143"/>
      <c r="H306" s="2"/>
      <c r="I306" s="30"/>
    </row>
    <row r="307" spans="4:9">
      <c r="D307" s="47"/>
      <c r="E307" s="143"/>
      <c r="H307" s="2"/>
      <c r="I307" s="30"/>
    </row>
    <row r="308" spans="4:9">
      <c r="D308" s="47"/>
      <c r="E308" s="143"/>
      <c r="H308" s="2"/>
      <c r="I308" s="30"/>
    </row>
    <row r="309" spans="4:9">
      <c r="D309" s="47"/>
      <c r="E309" s="143"/>
      <c r="H309" s="2"/>
      <c r="I309" s="30"/>
    </row>
    <row r="310" spans="4:9">
      <c r="D310" s="47"/>
      <c r="E310" s="143"/>
      <c r="H310" s="2"/>
      <c r="I310" s="30"/>
    </row>
    <row r="311" spans="4:9">
      <c r="D311" s="47"/>
      <c r="E311" s="143"/>
      <c r="H311" s="2"/>
      <c r="I311" s="30"/>
    </row>
    <row r="312" spans="4:9">
      <c r="D312" s="47"/>
      <c r="E312" s="143"/>
      <c r="H312" s="2"/>
      <c r="I312" s="30"/>
    </row>
    <row r="313" spans="4:9">
      <c r="D313" s="47"/>
      <c r="E313" s="143"/>
      <c r="H313" s="2"/>
      <c r="I313" s="30"/>
    </row>
    <row r="314" spans="4:9">
      <c r="D314" s="47"/>
      <c r="E314" s="143"/>
      <c r="H314" s="2"/>
      <c r="I314" s="30"/>
    </row>
    <row r="315" spans="4:9">
      <c r="D315" s="47"/>
      <c r="E315" s="143"/>
      <c r="H315" s="2"/>
      <c r="I315" s="30"/>
    </row>
    <row r="316" spans="4:9">
      <c r="D316" s="47"/>
      <c r="E316" s="143"/>
      <c r="H316" s="2"/>
      <c r="I316" s="30"/>
    </row>
    <row r="317" spans="4:9">
      <c r="D317" s="47"/>
      <c r="E317" s="143"/>
      <c r="H317" s="2"/>
      <c r="I317" s="30"/>
    </row>
    <row r="318" spans="4:9">
      <c r="D318" s="47"/>
      <c r="E318" s="143"/>
      <c r="H318" s="2"/>
      <c r="I318" s="30"/>
    </row>
    <row r="319" spans="4:9">
      <c r="D319" s="47"/>
      <c r="E319" s="143"/>
      <c r="H319" s="2"/>
      <c r="I319" s="30"/>
    </row>
    <row r="320" spans="4:9">
      <c r="D320" s="47"/>
      <c r="E320" s="143"/>
      <c r="H320" s="2"/>
      <c r="I320" s="30"/>
    </row>
    <row r="321" spans="4:9">
      <c r="D321" s="47"/>
      <c r="E321" s="143"/>
      <c r="H321" s="2"/>
      <c r="I321" s="30"/>
    </row>
    <row r="322" spans="4:9">
      <c r="D322" s="47"/>
      <c r="E322" s="143"/>
      <c r="H322" s="2"/>
      <c r="I322" s="30"/>
    </row>
    <row r="323" spans="4:9">
      <c r="D323" s="47"/>
      <c r="E323" s="143"/>
      <c r="H323" s="2"/>
      <c r="I323" s="30"/>
    </row>
    <row r="324" spans="4:9">
      <c r="D324" s="47"/>
      <c r="E324" s="143"/>
      <c r="H324" s="2"/>
      <c r="I324" s="30"/>
    </row>
    <row r="325" spans="4:9">
      <c r="D325" s="47"/>
      <c r="E325" s="143"/>
      <c r="H325" s="2"/>
      <c r="I325" s="30"/>
    </row>
    <row r="326" spans="4:9">
      <c r="D326" s="47"/>
      <c r="E326" s="143"/>
      <c r="H326" s="2"/>
      <c r="I326" s="30"/>
    </row>
    <row r="327" spans="4:9">
      <c r="D327" s="47"/>
      <c r="E327" s="143"/>
      <c r="H327" s="2"/>
      <c r="I327" s="30"/>
    </row>
    <row r="328" spans="4:9">
      <c r="D328" s="47"/>
      <c r="E328" s="143"/>
      <c r="H328" s="2"/>
      <c r="I328" s="30"/>
    </row>
    <row r="329" spans="4:9">
      <c r="D329" s="47"/>
      <c r="E329" s="143"/>
      <c r="H329" s="2"/>
      <c r="I329" s="30"/>
    </row>
    <row r="330" spans="4:9">
      <c r="D330" s="47"/>
      <c r="E330" s="143"/>
      <c r="H330" s="2"/>
      <c r="I330" s="30"/>
    </row>
    <row r="331" spans="4:9">
      <c r="D331" s="47"/>
      <c r="E331" s="143"/>
      <c r="H331" s="2"/>
      <c r="I331" s="30"/>
    </row>
    <row r="332" spans="4:9">
      <c r="D332" s="47"/>
      <c r="E332" s="143"/>
      <c r="H332" s="2"/>
      <c r="I332" s="30"/>
    </row>
    <row r="333" spans="4:9">
      <c r="D333" s="47"/>
      <c r="E333" s="143"/>
      <c r="H333" s="2"/>
      <c r="I333" s="30"/>
    </row>
    <row r="334" spans="4:9">
      <c r="D334" s="47"/>
      <c r="E334" s="143"/>
      <c r="H334" s="2"/>
      <c r="I334" s="30"/>
    </row>
    <row r="335" spans="4:9">
      <c r="D335" s="47"/>
      <c r="E335" s="143"/>
      <c r="H335" s="2"/>
      <c r="I335" s="30"/>
    </row>
    <row r="336" spans="4:9">
      <c r="D336" s="47"/>
      <c r="E336" s="143"/>
      <c r="H336" s="2"/>
      <c r="I336" s="30"/>
    </row>
    <row r="337" spans="4:9">
      <c r="D337" s="47"/>
      <c r="E337" s="143"/>
      <c r="H337" s="2"/>
      <c r="I337" s="30"/>
    </row>
    <row r="338" spans="4:9">
      <c r="D338" s="47"/>
      <c r="E338" s="143"/>
      <c r="H338" s="2"/>
      <c r="I338" s="30"/>
    </row>
    <row r="339" spans="4:9">
      <c r="D339" s="47"/>
      <c r="E339" s="143"/>
      <c r="H339" s="2"/>
      <c r="I339" s="30"/>
    </row>
    <row r="340" spans="4:9">
      <c r="D340" s="47"/>
      <c r="E340" s="143"/>
      <c r="H340" s="2"/>
      <c r="I340" s="30"/>
    </row>
    <row r="341" spans="4:9">
      <c r="D341" s="47"/>
      <c r="E341" s="143"/>
      <c r="H341" s="2"/>
      <c r="I341" s="30"/>
    </row>
    <row r="342" spans="4:9">
      <c r="D342" s="47"/>
      <c r="E342" s="143"/>
      <c r="H342" s="2"/>
      <c r="I342" s="30"/>
    </row>
    <row r="343" spans="4:9">
      <c r="D343" s="47"/>
      <c r="E343" s="143"/>
      <c r="H343" s="2"/>
      <c r="I343" s="30"/>
    </row>
    <row r="344" spans="4:9">
      <c r="D344" s="47"/>
      <c r="E344" s="143"/>
      <c r="H344" s="2"/>
      <c r="I344" s="30"/>
    </row>
    <row r="345" spans="4:9">
      <c r="D345" s="47"/>
      <c r="E345" s="143"/>
      <c r="H345" s="2"/>
      <c r="I345" s="30"/>
    </row>
    <row r="346" spans="4:9">
      <c r="D346" s="47"/>
      <c r="E346" s="143"/>
      <c r="H346" s="2"/>
      <c r="I346" s="30"/>
    </row>
    <row r="347" spans="4:9">
      <c r="D347" s="47"/>
      <c r="E347" s="143"/>
      <c r="H347" s="2"/>
      <c r="I347" s="30"/>
    </row>
    <row r="348" spans="4:9">
      <c r="D348" s="47"/>
      <c r="E348" s="143"/>
      <c r="H348" s="2"/>
      <c r="I348" s="30"/>
    </row>
    <row r="349" spans="4:9">
      <c r="D349" s="47"/>
      <c r="E349" s="143"/>
      <c r="H349" s="2"/>
      <c r="I349" s="30"/>
    </row>
    <row r="350" spans="4:9">
      <c r="D350" s="47"/>
      <c r="E350" s="143"/>
      <c r="H350" s="2"/>
      <c r="I350" s="30"/>
    </row>
    <row r="351" spans="4:9">
      <c r="D351" s="47"/>
      <c r="E351" s="143"/>
      <c r="H351" s="2"/>
      <c r="I351" s="30"/>
    </row>
    <row r="352" spans="4:9">
      <c r="D352" s="47"/>
      <c r="E352" s="143"/>
      <c r="H352" s="2"/>
      <c r="I352" s="30"/>
    </row>
    <row r="353" spans="4:9">
      <c r="D353" s="47"/>
      <c r="E353" s="143"/>
      <c r="H353" s="2"/>
      <c r="I353" s="30"/>
    </row>
    <row r="354" spans="4:9">
      <c r="D354" s="47"/>
      <c r="E354" s="143"/>
      <c r="H354" s="2"/>
      <c r="I354" s="30"/>
    </row>
    <row r="355" spans="4:9">
      <c r="D355" s="47"/>
      <c r="E355" s="143"/>
      <c r="H355" s="2"/>
      <c r="I355" s="30"/>
    </row>
    <row r="356" spans="4:9">
      <c r="D356" s="47"/>
      <c r="E356" s="143"/>
      <c r="H356" s="2"/>
      <c r="I356" s="30"/>
    </row>
    <row r="357" spans="4:9">
      <c r="D357" s="47"/>
      <c r="E357" s="143"/>
      <c r="H357" s="2"/>
      <c r="I357" s="30"/>
    </row>
    <row r="358" spans="4:9">
      <c r="D358" s="47"/>
      <c r="E358" s="143"/>
      <c r="H358" s="2"/>
      <c r="I358" s="30"/>
    </row>
    <row r="359" spans="4:9">
      <c r="D359" s="47"/>
      <c r="E359" s="143"/>
      <c r="H359" s="2"/>
      <c r="I359" s="30"/>
    </row>
    <row r="360" spans="4:9">
      <c r="D360" s="47"/>
      <c r="E360" s="143"/>
      <c r="H360" s="2"/>
      <c r="I360" s="30"/>
    </row>
    <row r="361" spans="4:9">
      <c r="D361" s="47"/>
      <c r="E361" s="143"/>
      <c r="H361" s="2"/>
      <c r="I361" s="30"/>
    </row>
    <row r="362" spans="4:9">
      <c r="D362" s="47"/>
      <c r="E362" s="143"/>
      <c r="H362" s="2"/>
      <c r="I362" s="30"/>
    </row>
    <row r="363" spans="4:9">
      <c r="D363" s="47"/>
      <c r="E363" s="143"/>
      <c r="H363" s="2"/>
      <c r="I363" s="30"/>
    </row>
    <row r="364" spans="4:9">
      <c r="D364" s="47"/>
      <c r="E364" s="143"/>
      <c r="H364" s="2"/>
      <c r="I364" s="30"/>
    </row>
    <row r="365" spans="4:9">
      <c r="D365" s="47"/>
      <c r="E365" s="143"/>
      <c r="H365" s="2"/>
      <c r="I365" s="30"/>
    </row>
    <row r="366" spans="4:9">
      <c r="D366" s="47"/>
      <c r="E366" s="143"/>
      <c r="H366" s="2"/>
      <c r="I366" s="30"/>
    </row>
    <row r="367" spans="4:9">
      <c r="D367" s="47"/>
      <c r="E367" s="143"/>
      <c r="H367" s="2"/>
      <c r="I367" s="30"/>
    </row>
    <row r="368" spans="4:9">
      <c r="D368" s="47"/>
      <c r="E368" s="143"/>
      <c r="H368" s="2"/>
      <c r="I368" s="30"/>
    </row>
    <row r="369" spans="4:9">
      <c r="D369" s="47"/>
      <c r="E369" s="143"/>
      <c r="H369" s="2"/>
      <c r="I369" s="30"/>
    </row>
    <row r="370" spans="4:9">
      <c r="D370" s="47"/>
      <c r="E370" s="143"/>
      <c r="H370" s="2"/>
      <c r="I370" s="30"/>
    </row>
    <row r="371" spans="4:9">
      <c r="D371" s="47"/>
      <c r="E371" s="143"/>
      <c r="H371" s="2"/>
      <c r="I371" s="30"/>
    </row>
    <row r="372" spans="4:9">
      <c r="D372" s="47"/>
      <c r="E372" s="143"/>
      <c r="H372" s="2"/>
      <c r="I372" s="30"/>
    </row>
    <row r="373" spans="4:9">
      <c r="D373" s="47"/>
      <c r="E373" s="143"/>
      <c r="H373" s="2"/>
      <c r="I373" s="30"/>
    </row>
    <row r="374" spans="4:9">
      <c r="D374" s="47"/>
      <c r="E374" s="143"/>
      <c r="H374" s="2"/>
      <c r="I374" s="30"/>
    </row>
    <row r="375" spans="4:9">
      <c r="D375" s="47"/>
      <c r="E375" s="143"/>
      <c r="H375" s="2"/>
      <c r="I375" s="30"/>
    </row>
    <row r="376" spans="4:9">
      <c r="D376" s="47"/>
      <c r="E376" s="143"/>
      <c r="H376" s="2"/>
      <c r="I376" s="30"/>
    </row>
    <row r="377" spans="4:9">
      <c r="D377" s="47"/>
      <c r="E377" s="143"/>
      <c r="H377" s="2"/>
      <c r="I377" s="30"/>
    </row>
    <row r="378" spans="4:9">
      <c r="D378" s="47"/>
      <c r="E378" s="143"/>
      <c r="H378" s="2"/>
      <c r="I378" s="30"/>
    </row>
    <row r="379" spans="4:9">
      <c r="D379" s="47"/>
      <c r="E379" s="143"/>
      <c r="H379" s="2"/>
      <c r="I379" s="30"/>
    </row>
    <row r="380" spans="4:9">
      <c r="D380" s="47"/>
      <c r="E380" s="143"/>
      <c r="H380" s="2"/>
      <c r="I380" s="30"/>
    </row>
    <row r="381" spans="4:9">
      <c r="D381" s="47"/>
      <c r="E381" s="143"/>
      <c r="H381" s="2"/>
      <c r="I381" s="30"/>
    </row>
    <row r="382" spans="4:9">
      <c r="D382" s="47"/>
      <c r="E382" s="143"/>
      <c r="H382" s="2"/>
      <c r="I382" s="30"/>
    </row>
    <row r="383" spans="4:9">
      <c r="D383" s="47"/>
      <c r="E383" s="143"/>
      <c r="H383" s="2"/>
      <c r="I383" s="30"/>
    </row>
    <row r="384" spans="4:9">
      <c r="D384" s="47"/>
      <c r="E384" s="143"/>
      <c r="H384" s="2"/>
      <c r="I384" s="30"/>
    </row>
    <row r="385" spans="4:9">
      <c r="D385" s="47"/>
      <c r="E385" s="143"/>
      <c r="H385" s="2"/>
      <c r="I385" s="30"/>
    </row>
    <row r="386" spans="4:9">
      <c r="D386" s="47"/>
      <c r="E386" s="143"/>
      <c r="H386" s="2"/>
      <c r="I386" s="30"/>
    </row>
    <row r="387" spans="4:9">
      <c r="D387" s="47"/>
      <c r="E387" s="143"/>
      <c r="H387" s="2"/>
      <c r="I387" s="30"/>
    </row>
    <row r="388" spans="4:9">
      <c r="D388" s="47"/>
      <c r="E388" s="143"/>
      <c r="H388" s="2"/>
      <c r="I388" s="30"/>
    </row>
    <row r="389" spans="4:9">
      <c r="D389" s="47"/>
      <c r="E389" s="143"/>
      <c r="H389" s="2"/>
      <c r="I389" s="30"/>
    </row>
    <row r="390" spans="4:9">
      <c r="D390" s="47"/>
      <c r="E390" s="143"/>
      <c r="H390" s="2"/>
      <c r="I390" s="30"/>
    </row>
    <row r="391" spans="4:9">
      <c r="D391" s="47"/>
      <c r="E391" s="143"/>
      <c r="H391" s="2"/>
      <c r="I391" s="30"/>
    </row>
    <row r="392" spans="4:9">
      <c r="D392" s="47"/>
      <c r="E392" s="143"/>
      <c r="H392" s="2"/>
      <c r="I392" s="30"/>
    </row>
    <row r="393" spans="4:9">
      <c r="D393" s="47"/>
      <c r="E393" s="143"/>
      <c r="H393" s="2"/>
      <c r="I393" s="30"/>
    </row>
    <row r="394" spans="4:9">
      <c r="D394" s="47"/>
      <c r="E394" s="143"/>
      <c r="H394" s="2"/>
      <c r="I394" s="30"/>
    </row>
    <row r="395" spans="4:9">
      <c r="D395" s="47"/>
      <c r="E395" s="143"/>
      <c r="H395" s="2"/>
      <c r="I395" s="30"/>
    </row>
    <row r="396" spans="4:9">
      <c r="D396" s="47"/>
      <c r="E396" s="143"/>
      <c r="H396" s="2"/>
      <c r="I396" s="30"/>
    </row>
    <row r="397" spans="4:9">
      <c r="D397" s="47"/>
      <c r="E397" s="143"/>
      <c r="H397" s="2"/>
      <c r="I397" s="30"/>
    </row>
    <row r="398" spans="4:9">
      <c r="D398" s="47"/>
      <c r="E398" s="143"/>
      <c r="H398" s="2"/>
      <c r="I398" s="30"/>
    </row>
    <row r="399" spans="4:9">
      <c r="D399" s="47"/>
      <c r="E399" s="143"/>
      <c r="H399" s="2"/>
      <c r="I399" s="30"/>
    </row>
    <row r="400" spans="4:9">
      <c r="D400" s="47"/>
      <c r="E400" s="143"/>
      <c r="H400" s="2"/>
      <c r="I400" s="30"/>
    </row>
    <row r="401" spans="4:9">
      <c r="D401" s="47"/>
      <c r="E401" s="143"/>
      <c r="H401" s="2"/>
      <c r="I401" s="30"/>
    </row>
    <row r="402" spans="4:9">
      <c r="D402" s="47"/>
      <c r="E402" s="143"/>
      <c r="H402" s="2"/>
      <c r="I402" s="30"/>
    </row>
    <row r="403" spans="4:9">
      <c r="D403" s="47"/>
      <c r="E403" s="143"/>
      <c r="H403" s="2"/>
      <c r="I403" s="30"/>
    </row>
    <row r="404" spans="4:9">
      <c r="D404" s="47"/>
      <c r="E404" s="143"/>
      <c r="H404" s="2"/>
      <c r="I404" s="30"/>
    </row>
    <row r="405" spans="4:9">
      <c r="D405" s="47"/>
      <c r="E405" s="143"/>
      <c r="H405" s="2"/>
      <c r="I405" s="30"/>
    </row>
    <row r="406" spans="4:9">
      <c r="D406" s="47"/>
      <c r="E406" s="143"/>
      <c r="H406" s="2"/>
      <c r="I406" s="30"/>
    </row>
    <row r="407" spans="4:9">
      <c r="D407" s="47"/>
      <c r="E407" s="143"/>
      <c r="H407" s="2"/>
      <c r="I407" s="30"/>
    </row>
    <row r="408" spans="4:9">
      <c r="D408" s="47"/>
      <c r="E408" s="143"/>
      <c r="H408" s="2"/>
      <c r="I408" s="30"/>
    </row>
    <row r="409" spans="4:9">
      <c r="D409" s="47"/>
      <c r="E409" s="143"/>
      <c r="H409" s="2"/>
      <c r="I409" s="30"/>
    </row>
    <row r="410" spans="4:9">
      <c r="D410" s="47"/>
      <c r="E410" s="143"/>
      <c r="H410" s="2"/>
      <c r="I410" s="30"/>
    </row>
    <row r="411" spans="4:9">
      <c r="D411" s="47"/>
      <c r="E411" s="143"/>
      <c r="H411" s="2"/>
      <c r="I411" s="30"/>
    </row>
    <row r="412" spans="4:9">
      <c r="D412" s="47"/>
      <c r="E412" s="143"/>
      <c r="H412" s="2"/>
      <c r="I412" s="30"/>
    </row>
    <row r="413" spans="4:9">
      <c r="D413" s="47"/>
      <c r="E413" s="143"/>
      <c r="H413" s="2"/>
      <c r="I413" s="30"/>
    </row>
    <row r="414" spans="4:9">
      <c r="D414" s="47"/>
      <c r="E414" s="143"/>
      <c r="H414" s="2"/>
      <c r="I414" s="30"/>
    </row>
    <row r="415" spans="4:9">
      <c r="D415" s="47"/>
      <c r="E415" s="143"/>
      <c r="H415" s="2"/>
      <c r="I415" s="30"/>
    </row>
    <row r="416" spans="4:9">
      <c r="D416" s="47"/>
      <c r="E416" s="143"/>
      <c r="H416" s="2"/>
      <c r="I416" s="30"/>
    </row>
    <row r="417" spans="4:9">
      <c r="D417" s="47"/>
      <c r="E417" s="143"/>
      <c r="H417" s="2"/>
      <c r="I417" s="30"/>
    </row>
    <row r="418" spans="4:9">
      <c r="D418" s="47"/>
      <c r="E418" s="143"/>
      <c r="H418" s="2"/>
      <c r="I418" s="30"/>
    </row>
    <row r="419" spans="4:9">
      <c r="D419" s="47"/>
      <c r="E419" s="143"/>
      <c r="H419" s="2"/>
      <c r="I419" s="30"/>
    </row>
    <row r="420" spans="4:9">
      <c r="D420" s="47"/>
      <c r="E420" s="143"/>
      <c r="H420" s="2"/>
      <c r="I420" s="30"/>
    </row>
    <row r="421" spans="4:9">
      <c r="D421" s="47"/>
      <c r="E421" s="143"/>
      <c r="H421" s="2"/>
      <c r="I421" s="30"/>
    </row>
    <row r="422" spans="4:9">
      <c r="D422" s="47"/>
      <c r="E422" s="143"/>
      <c r="H422" s="2"/>
      <c r="I422" s="30"/>
    </row>
    <row r="423" spans="4:9">
      <c r="D423" s="47"/>
      <c r="E423" s="143"/>
      <c r="H423" s="2"/>
      <c r="I423" s="30"/>
    </row>
    <row r="424" spans="4:9">
      <c r="D424" s="47"/>
      <c r="E424" s="143"/>
      <c r="H424" s="2"/>
      <c r="I424" s="30"/>
    </row>
    <row r="425" spans="4:9">
      <c r="D425" s="47"/>
      <c r="E425" s="143"/>
      <c r="H425" s="2"/>
      <c r="I425" s="30"/>
    </row>
    <row r="426" spans="4:9">
      <c r="D426" s="47"/>
      <c r="E426" s="143"/>
      <c r="H426" s="2"/>
      <c r="I426" s="30"/>
    </row>
    <row r="427" spans="4:9">
      <c r="D427" s="47"/>
      <c r="E427" s="143"/>
      <c r="H427" s="2"/>
      <c r="I427" s="30"/>
    </row>
    <row r="428" spans="4:9">
      <c r="D428" s="47"/>
      <c r="E428" s="143"/>
      <c r="H428" s="2"/>
      <c r="I428" s="30"/>
    </row>
    <row r="429" spans="4:9">
      <c r="D429" s="47"/>
      <c r="E429" s="143"/>
      <c r="H429" s="2"/>
      <c r="I429" s="30"/>
    </row>
    <row r="430" spans="4:9">
      <c r="D430" s="47"/>
      <c r="E430" s="143"/>
      <c r="H430" s="2"/>
      <c r="I430" s="30"/>
    </row>
    <row r="431" spans="4:9">
      <c r="D431" s="47"/>
      <c r="E431" s="143"/>
      <c r="H431" s="2"/>
      <c r="I431" s="30"/>
    </row>
    <row r="432" spans="4:9">
      <c r="D432" s="47"/>
      <c r="E432" s="143"/>
      <c r="H432" s="2"/>
      <c r="I432" s="30"/>
    </row>
    <row r="433" spans="4:9">
      <c r="D433" s="47"/>
      <c r="E433" s="143"/>
      <c r="H433" s="2"/>
      <c r="I433" s="30"/>
    </row>
    <row r="434" spans="4:9">
      <c r="D434" s="47"/>
      <c r="E434" s="143"/>
      <c r="H434" s="2"/>
      <c r="I434" s="30"/>
    </row>
    <row r="435" spans="4:9">
      <c r="D435" s="47"/>
      <c r="E435" s="143"/>
      <c r="H435" s="2"/>
      <c r="I435" s="30"/>
    </row>
    <row r="436" spans="4:9">
      <c r="D436" s="47"/>
      <c r="E436" s="143"/>
      <c r="H436" s="2"/>
      <c r="I436" s="30"/>
    </row>
    <row r="437" spans="4:9">
      <c r="D437" s="47"/>
      <c r="E437" s="143"/>
      <c r="H437" s="2"/>
      <c r="I437" s="30"/>
    </row>
    <row r="438" spans="4:9">
      <c r="D438" s="47"/>
      <c r="E438" s="143"/>
      <c r="H438" s="2"/>
      <c r="I438" s="30"/>
    </row>
    <row r="439" spans="4:9">
      <c r="D439" s="47"/>
      <c r="E439" s="143"/>
      <c r="H439" s="2"/>
      <c r="I439" s="30"/>
    </row>
    <row r="440" spans="4:9">
      <c r="D440" s="47"/>
      <c r="E440" s="143"/>
      <c r="H440" s="2"/>
      <c r="I440" s="30"/>
    </row>
    <row r="441" spans="4:9">
      <c r="D441" s="47"/>
      <c r="E441" s="143"/>
      <c r="H441" s="2"/>
      <c r="I441" s="30"/>
    </row>
    <row r="442" spans="4:9">
      <c r="D442" s="47"/>
      <c r="E442" s="143"/>
      <c r="H442" s="2"/>
      <c r="I442" s="30"/>
    </row>
    <row r="443" spans="4:9">
      <c r="D443" s="47"/>
      <c r="E443" s="143"/>
      <c r="H443" s="2"/>
      <c r="I443" s="30"/>
    </row>
    <row r="444" spans="4:9">
      <c r="D444" s="47"/>
      <c r="E444" s="143"/>
      <c r="H444" s="2"/>
      <c r="I444" s="30"/>
    </row>
    <row r="445" spans="4:9">
      <c r="D445" s="47"/>
      <c r="E445" s="143"/>
      <c r="H445" s="2"/>
      <c r="I445" s="30"/>
    </row>
    <row r="446" spans="4:9">
      <c r="D446" s="47"/>
      <c r="E446" s="143"/>
      <c r="H446" s="2"/>
      <c r="I446" s="30"/>
    </row>
    <row r="447" spans="4:9">
      <c r="D447" s="47"/>
      <c r="E447" s="143"/>
      <c r="H447" s="2"/>
      <c r="I447" s="30"/>
    </row>
    <row r="448" spans="4:9">
      <c r="D448" s="47"/>
      <c r="E448" s="143"/>
      <c r="H448" s="2"/>
      <c r="I448" s="30"/>
    </row>
    <row r="449" spans="4:9">
      <c r="D449" s="47"/>
      <c r="E449" s="143"/>
      <c r="H449" s="2"/>
      <c r="I449" s="30"/>
    </row>
    <row r="450" spans="4:9">
      <c r="D450" s="47"/>
      <c r="E450" s="143"/>
      <c r="H450" s="2"/>
      <c r="I450" s="30"/>
    </row>
    <row r="451" spans="4:9">
      <c r="D451" s="47"/>
      <c r="E451" s="143"/>
      <c r="H451" s="2"/>
      <c r="I451" s="30"/>
    </row>
    <row r="452" spans="4:9">
      <c r="D452" s="47"/>
      <c r="E452" s="143"/>
      <c r="H452" s="2"/>
      <c r="I452" s="30"/>
    </row>
    <row r="453" spans="4:9">
      <c r="D453" s="47"/>
      <c r="E453" s="143"/>
      <c r="H453" s="2"/>
      <c r="I453" s="30"/>
    </row>
    <row r="454" spans="4:9">
      <c r="D454" s="47"/>
      <c r="E454" s="143"/>
      <c r="H454" s="2"/>
      <c r="I454" s="30"/>
    </row>
    <row r="455" spans="4:9">
      <c r="D455" s="47"/>
      <c r="E455" s="143"/>
      <c r="H455" s="2"/>
      <c r="I455" s="30"/>
    </row>
    <row r="456" spans="4:9">
      <c r="D456" s="47"/>
      <c r="E456" s="143"/>
      <c r="H456" s="2"/>
      <c r="I456" s="30"/>
    </row>
    <row r="457" spans="4:9">
      <c r="D457" s="47"/>
      <c r="E457" s="143"/>
      <c r="H457" s="2"/>
      <c r="I457" s="30"/>
    </row>
    <row r="458" spans="4:9">
      <c r="D458" s="47"/>
      <c r="E458" s="143"/>
      <c r="H458" s="2"/>
      <c r="I458" s="30"/>
    </row>
    <row r="459" spans="4:9">
      <c r="D459" s="47"/>
      <c r="E459" s="143"/>
      <c r="H459" s="2"/>
      <c r="I459" s="30"/>
    </row>
    <row r="460" spans="4:9">
      <c r="D460" s="47"/>
      <c r="E460" s="143"/>
      <c r="H460" s="2"/>
      <c r="I460" s="30"/>
    </row>
    <row r="461" spans="4:9">
      <c r="D461" s="47"/>
      <c r="E461" s="143"/>
      <c r="H461" s="2"/>
      <c r="I461" s="30"/>
    </row>
    <row r="462" spans="4:9">
      <c r="D462" s="47"/>
      <c r="E462" s="143"/>
      <c r="H462" s="2"/>
      <c r="I462" s="30"/>
    </row>
    <row r="463" spans="4:9">
      <c r="D463" s="47"/>
      <c r="E463" s="143"/>
      <c r="H463" s="2"/>
      <c r="I463" s="30"/>
    </row>
    <row r="464" spans="4:9">
      <c r="D464" s="47"/>
      <c r="E464" s="143"/>
      <c r="H464" s="2"/>
      <c r="I464" s="30"/>
    </row>
    <row r="465" spans="4:9">
      <c r="D465" s="47"/>
      <c r="E465" s="143"/>
      <c r="H465" s="2"/>
      <c r="I465" s="30"/>
    </row>
    <row r="466" spans="4:9">
      <c r="D466" s="47"/>
      <c r="E466" s="143"/>
      <c r="H466" s="2"/>
      <c r="I466" s="30"/>
    </row>
    <row r="467" spans="4:9">
      <c r="D467" s="47"/>
      <c r="E467" s="143"/>
      <c r="H467" s="2"/>
      <c r="I467" s="30"/>
    </row>
    <row r="468" spans="4:9">
      <c r="D468" s="47"/>
      <c r="E468" s="143"/>
      <c r="H468" s="2"/>
      <c r="I468" s="30"/>
    </row>
    <row r="469" spans="4:9">
      <c r="D469" s="47"/>
      <c r="E469" s="143"/>
      <c r="H469" s="2"/>
      <c r="I469" s="30"/>
    </row>
    <row r="470" spans="4:9">
      <c r="D470" s="47"/>
      <c r="E470" s="143"/>
      <c r="H470" s="2"/>
      <c r="I470" s="30"/>
    </row>
    <row r="471" spans="4:9">
      <c r="D471" s="47"/>
      <c r="E471" s="143"/>
      <c r="H471" s="2"/>
      <c r="I471" s="30"/>
    </row>
    <row r="472" spans="4:9">
      <c r="D472" s="47"/>
      <c r="E472" s="143"/>
      <c r="H472" s="2"/>
      <c r="I472" s="30"/>
    </row>
    <row r="473" spans="4:9">
      <c r="D473" s="47"/>
      <c r="E473" s="143"/>
      <c r="H473" s="2"/>
      <c r="I473" s="30"/>
    </row>
    <row r="474" spans="4:9">
      <c r="D474" s="47"/>
      <c r="E474" s="143"/>
      <c r="H474" s="2"/>
      <c r="I474" s="30"/>
    </row>
    <row r="475" spans="4:9">
      <c r="D475" s="47"/>
      <c r="E475" s="143"/>
      <c r="H475" s="2"/>
      <c r="I475" s="30"/>
    </row>
    <row r="476" spans="4:9">
      <c r="D476" s="47"/>
      <c r="E476" s="143"/>
      <c r="H476" s="2"/>
      <c r="I476" s="30"/>
    </row>
    <row r="477" spans="4:9">
      <c r="D477" s="47"/>
      <c r="E477" s="143"/>
      <c r="H477" s="2"/>
      <c r="I477" s="30"/>
    </row>
    <row r="478" spans="4:9">
      <c r="D478" s="47"/>
      <c r="E478" s="143"/>
      <c r="H478" s="2"/>
      <c r="I478" s="30"/>
    </row>
    <row r="479" spans="4:9">
      <c r="D479" s="47"/>
      <c r="E479" s="143"/>
      <c r="H479" s="2"/>
      <c r="I479" s="30"/>
    </row>
    <row r="480" spans="4:9">
      <c r="D480" s="47"/>
      <c r="E480" s="143"/>
      <c r="H480" s="2"/>
      <c r="I480" s="30"/>
    </row>
    <row r="481" spans="4:9">
      <c r="D481" s="47"/>
      <c r="E481" s="143"/>
      <c r="H481" s="2"/>
      <c r="I481" s="30"/>
    </row>
    <row r="482" spans="4:9">
      <c r="D482" s="47"/>
      <c r="E482" s="143"/>
      <c r="H482" s="2"/>
      <c r="I482" s="30"/>
    </row>
    <row r="483" spans="4:9">
      <c r="D483" s="47"/>
      <c r="E483" s="143"/>
      <c r="H483" s="2"/>
      <c r="I483" s="30"/>
    </row>
    <row r="484" spans="4:9">
      <c r="D484" s="47"/>
      <c r="E484" s="143"/>
      <c r="H484" s="2"/>
      <c r="I484" s="30"/>
    </row>
    <row r="485" spans="4:9">
      <c r="D485" s="47"/>
      <c r="E485" s="143"/>
      <c r="H485" s="2"/>
      <c r="I485" s="30"/>
    </row>
    <row r="486" spans="4:9">
      <c r="D486" s="47"/>
      <c r="E486" s="143"/>
      <c r="H486" s="2"/>
      <c r="I486" s="30"/>
    </row>
    <row r="487" spans="4:9">
      <c r="D487" s="47"/>
      <c r="E487" s="143"/>
      <c r="H487" s="2"/>
      <c r="I487" s="30"/>
    </row>
    <row r="488" spans="4:9">
      <c r="D488" s="47"/>
      <c r="E488" s="143"/>
      <c r="H488" s="2"/>
      <c r="I488" s="30"/>
    </row>
    <row r="489" spans="4:9">
      <c r="D489" s="47"/>
      <c r="E489" s="143"/>
      <c r="H489" s="2"/>
      <c r="I489" s="30"/>
    </row>
    <row r="490" spans="4:9">
      <c r="D490" s="47"/>
      <c r="E490" s="143"/>
      <c r="H490" s="2"/>
      <c r="I490" s="30"/>
    </row>
    <row r="491" spans="4:9">
      <c r="D491" s="47"/>
      <c r="E491" s="143"/>
      <c r="H491" s="2"/>
      <c r="I491" s="30"/>
    </row>
    <row r="492" spans="4:9">
      <c r="D492" s="47"/>
      <c r="E492" s="143"/>
      <c r="H492" s="2"/>
      <c r="I492" s="30"/>
    </row>
    <row r="493" spans="4:9">
      <c r="D493" s="47"/>
      <c r="E493" s="143"/>
      <c r="H493" s="2"/>
      <c r="I493" s="30"/>
    </row>
    <row r="494" spans="4:9">
      <c r="D494" s="47"/>
      <c r="E494" s="143"/>
      <c r="H494" s="2"/>
      <c r="I494" s="30"/>
    </row>
    <row r="495" spans="4:9">
      <c r="D495" s="47"/>
      <c r="E495" s="143"/>
      <c r="H495" s="2"/>
      <c r="I495" s="30"/>
    </row>
    <row r="496" spans="4:9">
      <c r="D496" s="47"/>
      <c r="E496" s="143"/>
      <c r="H496" s="2"/>
      <c r="I496" s="30"/>
    </row>
    <row r="497" spans="4:9">
      <c r="D497" s="47"/>
      <c r="E497" s="143"/>
      <c r="H497" s="2"/>
      <c r="I497" s="30"/>
    </row>
    <row r="498" spans="4:9">
      <c r="D498" s="47"/>
      <c r="E498" s="143"/>
      <c r="H498" s="2"/>
      <c r="I498" s="30"/>
    </row>
    <row r="499" spans="4:9">
      <c r="D499" s="47"/>
      <c r="E499" s="143"/>
      <c r="H499" s="2"/>
      <c r="I499" s="30"/>
    </row>
    <row r="500" spans="4:9">
      <c r="D500" s="47"/>
      <c r="E500" s="143"/>
      <c r="H500" s="2"/>
      <c r="I500" s="30"/>
    </row>
    <row r="501" spans="4:9">
      <c r="D501" s="47"/>
      <c r="E501" s="143"/>
      <c r="H501" s="2"/>
      <c r="I501" s="30"/>
    </row>
    <row r="502" spans="4:9">
      <c r="D502" s="47"/>
      <c r="E502" s="143"/>
      <c r="H502" s="2"/>
      <c r="I502" s="30"/>
    </row>
    <row r="503" spans="4:9">
      <c r="D503" s="47"/>
      <c r="E503" s="143"/>
      <c r="H503" s="2"/>
      <c r="I503" s="30"/>
    </row>
    <row r="504" spans="4:9">
      <c r="D504" s="47"/>
      <c r="E504" s="143"/>
      <c r="H504" s="2"/>
      <c r="I504" s="30"/>
    </row>
    <row r="505" spans="4:9">
      <c r="D505" s="47"/>
      <c r="E505" s="143"/>
      <c r="H505" s="2"/>
      <c r="I505" s="30"/>
    </row>
    <row r="506" spans="4:9">
      <c r="D506" s="47"/>
      <c r="E506" s="143"/>
      <c r="H506" s="2"/>
      <c r="I506" s="30"/>
    </row>
    <row r="507" spans="4:9">
      <c r="D507" s="47"/>
      <c r="E507" s="143"/>
      <c r="H507" s="2"/>
      <c r="I507" s="30"/>
    </row>
    <row r="508" spans="4:9">
      <c r="D508" s="47"/>
      <c r="E508" s="143"/>
      <c r="H508" s="2"/>
      <c r="I508" s="30"/>
    </row>
    <row r="509" spans="4:9">
      <c r="D509" s="47"/>
      <c r="E509" s="143"/>
      <c r="H509" s="2"/>
      <c r="I509" s="30"/>
    </row>
    <row r="510" spans="4:9">
      <c r="D510" s="47"/>
      <c r="E510" s="143"/>
      <c r="H510" s="2"/>
      <c r="I510" s="30"/>
    </row>
    <row r="511" spans="4:9">
      <c r="D511" s="47"/>
      <c r="E511" s="143"/>
      <c r="H511" s="2"/>
      <c r="I511" s="30"/>
    </row>
    <row r="512" spans="4:9">
      <c r="D512" s="47"/>
      <c r="E512" s="143"/>
      <c r="H512" s="2"/>
      <c r="I512" s="30"/>
    </row>
    <row r="513" spans="4:9">
      <c r="D513" s="47"/>
      <c r="E513" s="143"/>
      <c r="H513" s="2"/>
      <c r="I513" s="30"/>
    </row>
    <row r="514" spans="4:9">
      <c r="D514" s="47"/>
      <c r="E514" s="143"/>
      <c r="H514" s="2"/>
      <c r="I514" s="30"/>
    </row>
    <row r="515" spans="4:9">
      <c r="D515" s="47"/>
      <c r="E515" s="143"/>
      <c r="H515" s="2"/>
      <c r="I515" s="30"/>
    </row>
    <row r="516" spans="4:9">
      <c r="D516" s="47"/>
      <c r="E516" s="143"/>
      <c r="H516" s="2"/>
      <c r="I516" s="30"/>
    </row>
    <row r="517" spans="4:9">
      <c r="D517" s="47"/>
      <c r="E517" s="143"/>
      <c r="H517" s="2"/>
      <c r="I517" s="30"/>
    </row>
    <row r="518" spans="4:9">
      <c r="D518" s="47"/>
      <c r="E518" s="143"/>
      <c r="H518" s="2"/>
      <c r="I518" s="30"/>
    </row>
    <row r="519" spans="4:9">
      <c r="D519" s="47"/>
      <c r="E519" s="143"/>
      <c r="H519" s="2"/>
      <c r="I519" s="30"/>
    </row>
    <row r="520" spans="4:9">
      <c r="D520" s="47"/>
      <c r="E520" s="143"/>
      <c r="H520" s="2"/>
      <c r="I520" s="30"/>
    </row>
    <row r="521" spans="4:9">
      <c r="D521" s="47"/>
      <c r="E521" s="143"/>
      <c r="H521" s="2"/>
      <c r="I521" s="30"/>
    </row>
    <row r="522" spans="4:9">
      <c r="D522" s="47"/>
      <c r="E522" s="143"/>
      <c r="H522" s="2"/>
      <c r="I522" s="30"/>
    </row>
    <row r="523" spans="4:9">
      <c r="D523" s="47"/>
      <c r="E523" s="143"/>
      <c r="H523" s="2"/>
      <c r="I523" s="30"/>
    </row>
    <row r="524" spans="4:9">
      <c r="D524" s="47"/>
      <c r="E524" s="143"/>
      <c r="H524" s="2"/>
      <c r="I524" s="30"/>
    </row>
    <row r="525" spans="4:9">
      <c r="D525" s="47"/>
      <c r="E525" s="143"/>
      <c r="H525" s="2"/>
      <c r="I525" s="30"/>
    </row>
    <row r="526" spans="4:9">
      <c r="D526" s="47"/>
      <c r="E526" s="143"/>
      <c r="H526" s="2"/>
      <c r="I526" s="30"/>
    </row>
    <row r="527" spans="4:9">
      <c r="D527" s="47"/>
      <c r="E527" s="143"/>
      <c r="H527" s="2"/>
      <c r="I527" s="30"/>
    </row>
    <row r="528" spans="4:9">
      <c r="D528" s="47"/>
      <c r="E528" s="143"/>
      <c r="H528" s="2"/>
      <c r="I528" s="30"/>
    </row>
    <row r="529" spans="4:9">
      <c r="D529" s="47"/>
      <c r="E529" s="143"/>
      <c r="H529" s="2"/>
      <c r="I529" s="30"/>
    </row>
    <row r="530" spans="4:9">
      <c r="D530" s="47"/>
      <c r="E530" s="143"/>
      <c r="H530" s="2"/>
      <c r="I530" s="30"/>
    </row>
    <row r="531" spans="4:9">
      <c r="D531" s="47"/>
      <c r="E531" s="143"/>
      <c r="H531" s="2"/>
      <c r="I531" s="30"/>
    </row>
    <row r="532" spans="4:9">
      <c r="D532" s="47"/>
      <c r="E532" s="143"/>
      <c r="H532" s="2"/>
      <c r="I532" s="30"/>
    </row>
    <row r="533" spans="4:9">
      <c r="D533" s="47"/>
      <c r="E533" s="143"/>
      <c r="H533" s="2"/>
      <c r="I533" s="30"/>
    </row>
    <row r="534" spans="4:9">
      <c r="D534" s="47"/>
      <c r="E534" s="143"/>
      <c r="H534" s="2"/>
      <c r="I534" s="30"/>
    </row>
    <row r="535" spans="4:9">
      <c r="D535" s="47"/>
      <c r="E535" s="143"/>
      <c r="H535" s="2"/>
      <c r="I535" s="30"/>
    </row>
    <row r="536" spans="4:9">
      <c r="D536" s="47"/>
      <c r="E536" s="143"/>
      <c r="H536" s="2"/>
      <c r="I536" s="30"/>
    </row>
    <row r="537" spans="4:9">
      <c r="D537" s="47"/>
      <c r="E537" s="143"/>
      <c r="H537" s="2"/>
      <c r="I537" s="30"/>
    </row>
    <row r="538" spans="4:9">
      <c r="D538" s="47"/>
      <c r="E538" s="143"/>
      <c r="H538" s="2"/>
      <c r="I538" s="30"/>
    </row>
    <row r="539" spans="4:9">
      <c r="D539" s="47"/>
      <c r="E539" s="143"/>
      <c r="H539" s="2"/>
      <c r="I539" s="30"/>
    </row>
    <row r="540" spans="4:9">
      <c r="D540" s="47"/>
      <c r="E540" s="143"/>
      <c r="H540" s="2"/>
      <c r="I540" s="30"/>
    </row>
    <row r="541" spans="4:9">
      <c r="D541" s="47"/>
      <c r="E541" s="143"/>
      <c r="H541" s="2"/>
      <c r="I541" s="30"/>
    </row>
    <row r="542" spans="4:9">
      <c r="D542" s="47"/>
      <c r="E542" s="143"/>
      <c r="H542" s="2"/>
      <c r="I542" s="30"/>
    </row>
    <row r="543" spans="4:9">
      <c r="D543" s="47"/>
      <c r="E543" s="143"/>
      <c r="H543" s="2"/>
      <c r="I543" s="30"/>
    </row>
    <row r="544" spans="4:9">
      <c r="D544" s="47"/>
      <c r="E544" s="143"/>
      <c r="H544" s="2"/>
      <c r="I544" s="30"/>
    </row>
    <row r="545" spans="4:9">
      <c r="D545" s="47"/>
      <c r="E545" s="143"/>
      <c r="H545" s="2"/>
      <c r="I545" s="30"/>
    </row>
    <row r="546" spans="4:9">
      <c r="D546" s="47"/>
      <c r="E546" s="143"/>
      <c r="H546" s="2"/>
      <c r="I546" s="30"/>
    </row>
    <row r="547" spans="4:9">
      <c r="D547" s="47"/>
      <c r="E547" s="143"/>
      <c r="H547" s="2"/>
      <c r="I547" s="30"/>
    </row>
    <row r="548" spans="4:9">
      <c r="D548" s="47"/>
      <c r="E548" s="143"/>
      <c r="H548" s="2"/>
      <c r="I548" s="30"/>
    </row>
    <row r="549" spans="4:9">
      <c r="D549" s="47"/>
      <c r="E549" s="143"/>
      <c r="H549" s="2"/>
      <c r="I549" s="30"/>
    </row>
    <row r="550" spans="4:9">
      <c r="D550" s="47"/>
      <c r="E550" s="143"/>
      <c r="H550" s="2"/>
      <c r="I550" s="30"/>
    </row>
    <row r="551" spans="4:9">
      <c r="D551" s="47"/>
      <c r="E551" s="143"/>
      <c r="H551" s="2"/>
      <c r="I551" s="30"/>
    </row>
    <row r="552" spans="4:9">
      <c r="D552" s="47"/>
      <c r="E552" s="143"/>
      <c r="H552" s="2"/>
      <c r="I552" s="30"/>
    </row>
    <row r="553" spans="4:9">
      <c r="D553" s="47"/>
      <c r="E553" s="143"/>
      <c r="H553" s="2"/>
      <c r="I553" s="30"/>
    </row>
    <row r="554" spans="4:9">
      <c r="D554" s="47"/>
      <c r="E554" s="143"/>
      <c r="H554" s="2"/>
      <c r="I554" s="30"/>
    </row>
    <row r="555" spans="4:9">
      <c r="D555" s="47"/>
      <c r="E555" s="143"/>
      <c r="H555" s="2"/>
      <c r="I555" s="30"/>
    </row>
    <row r="556" spans="4:9">
      <c r="D556" s="47"/>
      <c r="E556" s="143"/>
      <c r="H556" s="2"/>
      <c r="I556" s="30"/>
    </row>
    <row r="557" spans="4:9">
      <c r="D557" s="47"/>
      <c r="E557" s="143"/>
      <c r="H557" s="2"/>
      <c r="I557" s="30"/>
    </row>
    <row r="558" spans="4:9">
      <c r="D558" s="47"/>
      <c r="E558" s="143"/>
      <c r="H558" s="2"/>
      <c r="I558" s="30"/>
    </row>
    <row r="559" spans="4:9">
      <c r="D559" s="47"/>
      <c r="E559" s="143"/>
      <c r="H559" s="2"/>
      <c r="I559" s="30"/>
    </row>
    <row r="560" spans="4:9">
      <c r="D560" s="47"/>
      <c r="E560" s="143"/>
      <c r="H560" s="2"/>
      <c r="I560" s="30"/>
    </row>
    <row r="561" spans="4:9">
      <c r="D561" s="47"/>
      <c r="E561" s="143"/>
      <c r="H561" s="2"/>
      <c r="I561" s="30"/>
    </row>
    <row r="562" spans="4:9">
      <c r="D562" s="47"/>
      <c r="E562" s="143"/>
      <c r="H562" s="2"/>
      <c r="I562" s="30"/>
    </row>
    <row r="563" spans="4:9">
      <c r="D563" s="47"/>
      <c r="E563" s="143"/>
      <c r="H563" s="2"/>
      <c r="I563" s="30"/>
    </row>
    <row r="564" spans="4:9">
      <c r="D564" s="47"/>
      <c r="E564" s="143"/>
      <c r="H564" s="2"/>
      <c r="I564" s="30"/>
    </row>
    <row r="565" spans="4:9">
      <c r="D565" s="47"/>
      <c r="E565" s="143"/>
      <c r="H565" s="2"/>
      <c r="I565" s="30"/>
    </row>
    <row r="566" spans="4:9">
      <c r="D566" s="47"/>
      <c r="E566" s="143"/>
      <c r="H566" s="2"/>
      <c r="I566" s="30"/>
    </row>
    <row r="567" spans="4:9">
      <c r="D567" s="47"/>
      <c r="E567" s="143"/>
      <c r="H567" s="2"/>
      <c r="I567" s="30"/>
    </row>
    <row r="568" spans="4:9">
      <c r="D568" s="47"/>
      <c r="E568" s="143"/>
      <c r="H568" s="2"/>
      <c r="I568" s="30"/>
    </row>
    <row r="569" spans="4:9">
      <c r="D569" s="47"/>
      <c r="E569" s="143"/>
      <c r="H569" s="2"/>
      <c r="I569" s="30"/>
    </row>
    <row r="570" spans="4:9">
      <c r="D570" s="47"/>
      <c r="E570" s="143"/>
      <c r="H570" s="2"/>
      <c r="I570" s="30"/>
    </row>
    <row r="571" spans="4:9">
      <c r="D571" s="47"/>
      <c r="E571" s="143"/>
      <c r="H571" s="2"/>
      <c r="I571" s="30"/>
    </row>
    <row r="572" spans="4:9">
      <c r="D572" s="47"/>
      <c r="E572" s="143"/>
      <c r="H572" s="2"/>
      <c r="I572" s="30"/>
    </row>
    <row r="573" spans="4:9">
      <c r="D573" s="47"/>
      <c r="E573" s="143"/>
      <c r="H573" s="2"/>
      <c r="I573" s="30"/>
    </row>
    <row r="574" spans="4:9">
      <c r="D574" s="47"/>
      <c r="E574" s="143"/>
      <c r="H574" s="2"/>
      <c r="I574" s="30"/>
    </row>
    <row r="575" spans="4:9">
      <c r="D575" s="47"/>
      <c r="E575" s="143"/>
      <c r="H575" s="2"/>
      <c r="I575" s="30"/>
    </row>
    <row r="576" spans="4:9">
      <c r="D576" s="47"/>
      <c r="E576" s="143"/>
      <c r="H576" s="2"/>
      <c r="I576" s="30"/>
    </row>
    <row r="577" spans="4:9">
      <c r="D577" s="47"/>
      <c r="E577" s="143"/>
      <c r="H577" s="2"/>
      <c r="I577" s="30"/>
    </row>
    <row r="578" spans="4:9">
      <c r="D578" s="47"/>
      <c r="E578" s="143"/>
      <c r="H578" s="2"/>
      <c r="I578" s="30"/>
    </row>
    <row r="579" spans="4:9">
      <c r="D579" s="47"/>
      <c r="E579" s="143"/>
      <c r="H579" s="2"/>
      <c r="I579" s="30"/>
    </row>
    <row r="580" spans="4:9">
      <c r="D580" s="47"/>
      <c r="E580" s="143"/>
      <c r="H580" s="2"/>
      <c r="I580" s="30"/>
    </row>
    <row r="581" spans="4:9">
      <c r="D581" s="47"/>
      <c r="E581" s="143"/>
      <c r="H581" s="2"/>
      <c r="I581" s="30"/>
    </row>
    <row r="582" spans="4:9">
      <c r="D582" s="47"/>
      <c r="E582" s="143"/>
      <c r="H582" s="2"/>
      <c r="I582" s="30"/>
    </row>
    <row r="583" spans="4:9">
      <c r="D583" s="47"/>
      <c r="E583" s="143"/>
      <c r="H583" s="2"/>
      <c r="I583" s="30"/>
    </row>
    <row r="584" spans="4:9">
      <c r="D584" s="47"/>
      <c r="E584" s="143"/>
      <c r="H584" s="2"/>
      <c r="I584" s="30"/>
    </row>
    <row r="585" spans="4:9">
      <c r="D585" s="47"/>
      <c r="E585" s="143"/>
      <c r="H585" s="2"/>
      <c r="I585" s="30"/>
    </row>
    <row r="586" spans="4:9">
      <c r="D586" s="47"/>
      <c r="E586" s="143"/>
      <c r="H586" s="2"/>
      <c r="I586" s="30"/>
    </row>
    <row r="587" spans="4:9">
      <c r="D587" s="47"/>
      <c r="E587" s="143"/>
      <c r="H587" s="2"/>
      <c r="I587" s="30"/>
    </row>
    <row r="588" spans="4:9">
      <c r="D588" s="47"/>
      <c r="E588" s="143"/>
      <c r="H588" s="2"/>
      <c r="I588" s="30"/>
    </row>
    <row r="589" spans="4:9">
      <c r="D589" s="47"/>
      <c r="E589" s="143"/>
      <c r="H589" s="2"/>
      <c r="I589" s="30"/>
    </row>
    <row r="590" spans="4:9">
      <c r="D590" s="47"/>
      <c r="E590" s="143"/>
      <c r="H590" s="2"/>
      <c r="I590" s="30"/>
    </row>
    <row r="591" spans="4:9">
      <c r="D591" s="47"/>
      <c r="E591" s="143"/>
      <c r="H591" s="2"/>
      <c r="I591" s="30"/>
    </row>
    <row r="592" spans="4:9">
      <c r="D592" s="47"/>
      <c r="E592" s="143"/>
      <c r="H592" s="2"/>
      <c r="I592" s="30"/>
    </row>
    <row r="593" spans="4:9">
      <c r="D593" s="47"/>
      <c r="E593" s="143"/>
      <c r="H593" s="2"/>
      <c r="I593" s="30"/>
    </row>
    <row r="594" spans="4:9">
      <c r="D594" s="47"/>
      <c r="E594" s="143"/>
      <c r="H594" s="2"/>
      <c r="I594" s="30"/>
    </row>
    <row r="595" spans="4:9">
      <c r="D595" s="47"/>
      <c r="E595" s="143"/>
      <c r="H595" s="2"/>
      <c r="I595" s="30"/>
    </row>
    <row r="596" spans="4:9">
      <c r="D596" s="47"/>
      <c r="E596" s="143"/>
      <c r="H596" s="2"/>
      <c r="I596" s="30"/>
    </row>
    <row r="597" spans="4:9">
      <c r="D597" s="47"/>
      <c r="E597" s="143"/>
      <c r="H597" s="2"/>
      <c r="I597" s="30"/>
    </row>
    <row r="598" spans="4:9">
      <c r="D598" s="47"/>
      <c r="E598" s="143"/>
      <c r="H598" s="2"/>
      <c r="I598" s="30"/>
    </row>
    <row r="599" spans="4:9">
      <c r="D599" s="47"/>
      <c r="E599" s="143"/>
      <c r="H599" s="2"/>
      <c r="I599" s="30"/>
    </row>
    <row r="600" spans="4:9">
      <c r="D600" s="47"/>
      <c r="E600" s="143"/>
      <c r="H600" s="2"/>
      <c r="I600" s="30"/>
    </row>
    <row r="601" spans="4:9">
      <c r="D601" s="47"/>
      <c r="E601" s="143"/>
      <c r="H601" s="2"/>
      <c r="I601" s="30"/>
    </row>
    <row r="602" spans="4:9">
      <c r="D602" s="47"/>
      <c r="E602" s="143"/>
      <c r="H602" s="2"/>
      <c r="I602" s="30"/>
    </row>
    <row r="603" spans="4:9">
      <c r="D603" s="47"/>
      <c r="E603" s="143"/>
      <c r="H603" s="2"/>
      <c r="I603" s="30"/>
    </row>
    <row r="604" spans="4:9">
      <c r="D604" s="47"/>
      <c r="E604" s="143"/>
      <c r="H604" s="2"/>
      <c r="I604" s="30"/>
    </row>
    <row r="605" spans="4:9">
      <c r="D605" s="47"/>
      <c r="E605" s="143"/>
      <c r="H605" s="2"/>
      <c r="I605" s="30"/>
    </row>
    <row r="606" spans="4:9">
      <c r="D606" s="47"/>
      <c r="E606" s="143"/>
      <c r="H606" s="2"/>
      <c r="I606" s="30"/>
    </row>
    <row r="607" spans="4:9">
      <c r="D607" s="47"/>
      <c r="E607" s="143"/>
      <c r="H607" s="2"/>
      <c r="I607" s="30"/>
    </row>
    <row r="608" spans="4:9">
      <c r="D608" s="47"/>
      <c r="E608" s="143"/>
      <c r="H608" s="2"/>
      <c r="I608" s="30"/>
    </row>
    <row r="609" spans="4:9">
      <c r="D609" s="47"/>
      <c r="E609" s="143"/>
      <c r="H609" s="2"/>
      <c r="I609" s="30"/>
    </row>
    <row r="610" spans="4:9">
      <c r="D610" s="47"/>
      <c r="E610" s="143"/>
      <c r="H610" s="2"/>
      <c r="I610" s="30"/>
    </row>
    <row r="611" spans="4:9">
      <c r="D611" s="47"/>
      <c r="E611" s="143"/>
      <c r="H611" s="2"/>
      <c r="I611" s="30"/>
    </row>
    <row r="612" spans="4:9">
      <c r="D612" s="47"/>
      <c r="E612" s="143"/>
      <c r="H612" s="2"/>
      <c r="I612" s="30"/>
    </row>
    <row r="613" spans="4:9">
      <c r="D613" s="47"/>
      <c r="E613" s="143"/>
      <c r="H613" s="2"/>
      <c r="I613" s="30"/>
    </row>
    <row r="614" spans="4:9">
      <c r="D614" s="47"/>
      <c r="E614" s="143"/>
      <c r="H614" s="2"/>
      <c r="I614" s="30"/>
    </row>
    <row r="615" spans="4:9">
      <c r="D615" s="47"/>
      <c r="E615" s="143"/>
      <c r="H615" s="2"/>
      <c r="I615" s="30"/>
    </row>
    <row r="616" spans="4:9">
      <c r="D616" s="47"/>
      <c r="E616" s="143"/>
      <c r="H616" s="2"/>
      <c r="I616" s="30"/>
    </row>
    <row r="617" spans="4:9">
      <c r="D617" s="47"/>
      <c r="E617" s="143"/>
      <c r="H617" s="2"/>
      <c r="I617" s="30"/>
    </row>
    <row r="618" spans="4:9">
      <c r="D618" s="47"/>
      <c r="E618" s="143"/>
      <c r="H618" s="2"/>
      <c r="I618" s="30"/>
    </row>
    <row r="619" spans="4:9">
      <c r="D619" s="47"/>
      <c r="E619" s="143"/>
      <c r="H619" s="2"/>
      <c r="I619" s="30"/>
    </row>
    <row r="620" spans="4:9">
      <c r="D620" s="47"/>
      <c r="E620" s="143"/>
      <c r="H620" s="2"/>
      <c r="I620" s="30"/>
    </row>
    <row r="621" spans="4:9">
      <c r="D621" s="47"/>
      <c r="E621" s="143"/>
      <c r="H621" s="2"/>
      <c r="I621" s="30"/>
    </row>
    <row r="622" spans="4:9">
      <c r="D622" s="47"/>
      <c r="E622" s="143"/>
      <c r="H622" s="2"/>
      <c r="I622" s="30"/>
    </row>
    <row r="623" spans="4:9">
      <c r="D623" s="47"/>
      <c r="E623" s="143"/>
      <c r="H623" s="2"/>
      <c r="I623" s="30"/>
    </row>
    <row r="624" spans="4:9">
      <c r="D624" s="47"/>
      <c r="E624" s="143"/>
      <c r="H624" s="2"/>
      <c r="I624" s="30"/>
    </row>
    <row r="625" spans="4:9">
      <c r="D625" s="47"/>
      <c r="E625" s="143"/>
      <c r="H625" s="2"/>
      <c r="I625" s="30"/>
    </row>
    <row r="626" spans="4:9">
      <c r="D626" s="47"/>
      <c r="E626" s="143"/>
      <c r="H626" s="2"/>
      <c r="I626" s="30"/>
    </row>
    <row r="627" spans="4:9">
      <c r="D627" s="47"/>
      <c r="E627" s="143"/>
      <c r="H627" s="2"/>
      <c r="I627" s="30"/>
    </row>
    <row r="628" spans="4:9">
      <c r="D628" s="47"/>
      <c r="E628" s="143"/>
      <c r="H628" s="2"/>
      <c r="I628" s="30"/>
    </row>
    <row r="629" spans="4:9">
      <c r="D629" s="47"/>
      <c r="E629" s="143"/>
      <c r="H629" s="2"/>
      <c r="I629" s="30"/>
    </row>
    <row r="630" spans="4:9">
      <c r="D630" s="47"/>
      <c r="E630" s="143"/>
      <c r="H630" s="2"/>
      <c r="I630" s="30"/>
    </row>
    <row r="631" spans="4:9">
      <c r="D631" s="47"/>
      <c r="E631" s="143"/>
      <c r="H631" s="2"/>
      <c r="I631" s="30"/>
    </row>
    <row r="632" spans="4:9">
      <c r="D632" s="47"/>
      <c r="E632" s="143"/>
      <c r="H632" s="2"/>
      <c r="I632" s="30"/>
    </row>
    <row r="633" spans="4:9">
      <c r="D633" s="47"/>
      <c r="E633" s="143"/>
      <c r="H633" s="2"/>
      <c r="I633" s="30"/>
    </row>
    <row r="634" spans="4:9">
      <c r="D634" s="47"/>
      <c r="E634" s="143"/>
      <c r="H634" s="2"/>
      <c r="I634" s="30"/>
    </row>
    <row r="635" spans="4:9">
      <c r="D635" s="47"/>
      <c r="E635" s="143"/>
      <c r="H635" s="2"/>
      <c r="I635" s="30"/>
    </row>
    <row r="636" spans="4:9">
      <c r="D636" s="47"/>
      <c r="E636" s="143"/>
      <c r="H636" s="2"/>
      <c r="I636" s="30"/>
    </row>
    <row r="637" spans="4:9">
      <c r="D637" s="47"/>
      <c r="E637" s="143"/>
      <c r="H637" s="2"/>
      <c r="I637" s="30"/>
    </row>
    <row r="638" spans="4:9">
      <c r="D638" s="47"/>
      <c r="E638" s="143"/>
      <c r="H638" s="2"/>
      <c r="I638" s="30"/>
    </row>
    <row r="639" spans="4:9">
      <c r="D639" s="47"/>
      <c r="E639" s="143"/>
      <c r="H639" s="2"/>
      <c r="I639" s="30"/>
    </row>
    <row r="640" spans="4:9">
      <c r="D640" s="47"/>
      <c r="E640" s="143"/>
      <c r="H640" s="2"/>
      <c r="I640" s="30"/>
    </row>
    <row r="641" spans="4:9">
      <c r="D641" s="47"/>
      <c r="E641" s="143"/>
      <c r="H641" s="2"/>
      <c r="I641" s="30"/>
    </row>
    <row r="642" spans="4:9">
      <c r="D642" s="47"/>
      <c r="E642" s="143"/>
      <c r="H642" s="2"/>
      <c r="I642" s="30"/>
    </row>
    <row r="643" spans="4:9">
      <c r="D643" s="47"/>
      <c r="E643" s="143"/>
      <c r="H643" s="2"/>
      <c r="I643" s="30"/>
    </row>
    <row r="644" spans="4:9">
      <c r="D644" s="47"/>
      <c r="E644" s="143"/>
      <c r="H644" s="2"/>
      <c r="I644" s="30"/>
    </row>
    <row r="645" spans="4:9">
      <c r="D645" s="47"/>
      <c r="E645" s="143"/>
      <c r="H645" s="2"/>
      <c r="I645" s="30"/>
    </row>
    <row r="646" spans="4:9">
      <c r="D646" s="47"/>
      <c r="E646" s="143"/>
      <c r="H646" s="2"/>
      <c r="I646" s="30"/>
    </row>
    <row r="647" spans="4:9">
      <c r="D647" s="47"/>
      <c r="E647" s="143"/>
      <c r="H647" s="2"/>
      <c r="I647" s="30"/>
    </row>
    <row r="648" spans="4:9">
      <c r="D648" s="47"/>
      <c r="E648" s="143"/>
      <c r="H648" s="2"/>
      <c r="I648" s="30"/>
    </row>
    <row r="649" spans="4:9">
      <c r="D649" s="47"/>
      <c r="E649" s="143"/>
      <c r="H649" s="2"/>
      <c r="I649" s="30"/>
    </row>
    <row r="650" spans="4:9">
      <c r="D650" s="47"/>
      <c r="E650" s="143"/>
      <c r="H650" s="2"/>
      <c r="I650" s="30"/>
    </row>
    <row r="651" spans="4:9">
      <c r="D651" s="47"/>
      <c r="E651" s="143"/>
      <c r="H651" s="2"/>
      <c r="I651" s="30"/>
    </row>
    <row r="652" spans="4:9">
      <c r="D652" s="47"/>
      <c r="E652" s="143"/>
      <c r="H652" s="2"/>
      <c r="I652" s="30"/>
    </row>
    <row r="653" spans="4:9">
      <c r="D653" s="47"/>
      <c r="E653" s="143"/>
      <c r="H653" s="2"/>
      <c r="I653" s="30"/>
    </row>
    <row r="654" spans="4:9">
      <c r="D654" s="47"/>
      <c r="E654" s="143"/>
      <c r="H654" s="2"/>
      <c r="I654" s="30"/>
    </row>
    <row r="655" spans="4:9">
      <c r="D655" s="47"/>
      <c r="E655" s="143"/>
      <c r="H655" s="2"/>
      <c r="I655" s="30"/>
    </row>
    <row r="656" spans="4:9">
      <c r="D656" s="47"/>
      <c r="E656" s="143"/>
      <c r="H656" s="2"/>
      <c r="I656" s="30"/>
    </row>
    <row r="657" spans="4:9">
      <c r="D657" s="47"/>
      <c r="E657" s="143"/>
      <c r="H657" s="2"/>
      <c r="I657" s="30"/>
    </row>
    <row r="658" spans="4:9">
      <c r="D658" s="47"/>
      <c r="E658" s="143"/>
      <c r="H658" s="2"/>
      <c r="I658" s="30"/>
    </row>
    <row r="659" spans="4:9">
      <c r="D659" s="47"/>
      <c r="E659" s="143"/>
      <c r="H659" s="2"/>
      <c r="I659" s="30"/>
    </row>
    <row r="660" spans="4:9">
      <c r="D660" s="47"/>
      <c r="E660" s="143"/>
      <c r="H660" s="2"/>
      <c r="I660" s="30"/>
    </row>
    <row r="661" spans="4:9">
      <c r="D661" s="47"/>
      <c r="E661" s="143"/>
      <c r="H661" s="2"/>
      <c r="I661" s="30"/>
    </row>
    <row r="662" spans="4:9">
      <c r="D662" s="47"/>
      <c r="E662" s="143"/>
      <c r="H662" s="2"/>
      <c r="I662" s="30"/>
    </row>
    <row r="663" spans="4:9">
      <c r="D663" s="47"/>
      <c r="E663" s="143"/>
      <c r="H663" s="2"/>
      <c r="I663" s="30"/>
    </row>
    <row r="664" spans="4:9">
      <c r="D664" s="47"/>
      <c r="E664" s="143"/>
      <c r="H664" s="2"/>
      <c r="I664" s="30"/>
    </row>
    <row r="665" spans="4:9">
      <c r="D665" s="47"/>
      <c r="E665" s="143"/>
      <c r="H665" s="2"/>
      <c r="I665" s="30"/>
    </row>
    <row r="666" spans="4:9">
      <c r="D666" s="47"/>
      <c r="E666" s="143"/>
      <c r="H666" s="2"/>
      <c r="I666" s="30"/>
    </row>
    <row r="667" spans="4:9">
      <c r="D667" s="47"/>
      <c r="E667" s="143"/>
      <c r="H667" s="2"/>
      <c r="I667" s="30"/>
    </row>
    <row r="668" spans="4:9">
      <c r="D668" s="47"/>
      <c r="E668" s="143"/>
      <c r="H668" s="2"/>
      <c r="I668" s="30"/>
    </row>
    <row r="669" spans="4:9">
      <c r="D669" s="47"/>
      <c r="E669" s="143"/>
      <c r="H669" s="2"/>
      <c r="I669" s="30"/>
    </row>
    <row r="670" spans="4:9">
      <c r="D670" s="47"/>
      <c r="E670" s="143"/>
      <c r="H670" s="2"/>
      <c r="I670" s="30"/>
    </row>
    <row r="671" spans="4:9">
      <c r="D671" s="47"/>
      <c r="E671" s="143"/>
      <c r="H671" s="2"/>
      <c r="I671" s="30"/>
    </row>
    <row r="672" spans="4:9">
      <c r="D672" s="47"/>
      <c r="E672" s="143"/>
      <c r="H672" s="2"/>
      <c r="I672" s="30"/>
    </row>
    <row r="673" spans="4:9">
      <c r="D673" s="47"/>
      <c r="E673" s="143"/>
      <c r="H673" s="2"/>
      <c r="I673" s="30"/>
    </row>
    <row r="674" spans="4:9">
      <c r="D674" s="47"/>
      <c r="E674" s="143"/>
      <c r="H674" s="2"/>
      <c r="I674" s="30"/>
    </row>
    <row r="675" spans="4:9">
      <c r="D675" s="47"/>
      <c r="E675" s="143"/>
      <c r="H675" s="2"/>
      <c r="I675" s="30"/>
    </row>
    <row r="676" spans="4:9">
      <c r="D676" s="47"/>
      <c r="E676" s="143"/>
      <c r="H676" s="2"/>
      <c r="I676" s="30"/>
    </row>
    <row r="677" spans="4:9">
      <c r="D677" s="47"/>
      <c r="E677" s="143"/>
      <c r="H677" s="2"/>
      <c r="I677" s="30"/>
    </row>
    <row r="678" spans="4:9">
      <c r="D678" s="47"/>
      <c r="E678" s="143"/>
      <c r="H678" s="2"/>
      <c r="I678" s="30"/>
    </row>
    <row r="679" spans="4:9">
      <c r="D679" s="47"/>
      <c r="E679" s="143"/>
      <c r="H679" s="2"/>
      <c r="I679" s="30"/>
    </row>
    <row r="680" spans="4:9">
      <c r="D680" s="47"/>
      <c r="E680" s="143"/>
      <c r="H680" s="2"/>
      <c r="I680" s="30"/>
    </row>
    <row r="681" spans="4:9">
      <c r="D681" s="47"/>
      <c r="E681" s="143"/>
      <c r="H681" s="2"/>
      <c r="I681" s="30"/>
    </row>
    <row r="682" spans="4:9">
      <c r="D682" s="47"/>
      <c r="E682" s="143"/>
      <c r="H682" s="2"/>
      <c r="I682" s="30"/>
    </row>
    <row r="683" spans="4:9">
      <c r="D683" s="47"/>
      <c r="E683" s="143"/>
      <c r="H683" s="2"/>
      <c r="I683" s="30"/>
    </row>
    <row r="684" spans="4:9">
      <c r="D684" s="47"/>
      <c r="E684" s="143"/>
      <c r="H684" s="2"/>
      <c r="I684" s="30"/>
    </row>
    <row r="685" spans="4:9">
      <c r="D685" s="47"/>
      <c r="E685" s="143"/>
      <c r="H685" s="2"/>
      <c r="I685" s="30"/>
    </row>
    <row r="686" spans="4:9">
      <c r="D686" s="47"/>
      <c r="E686" s="143"/>
      <c r="H686" s="2"/>
      <c r="I686" s="30"/>
    </row>
    <row r="687" spans="4:9">
      <c r="D687" s="47"/>
      <c r="E687" s="143"/>
      <c r="H687" s="2"/>
      <c r="I687" s="30"/>
    </row>
    <row r="688" spans="4:9">
      <c r="D688" s="47"/>
      <c r="E688" s="143"/>
      <c r="H688" s="2"/>
      <c r="I688" s="30"/>
    </row>
    <row r="689" spans="4:9">
      <c r="D689" s="47"/>
      <c r="E689" s="143"/>
      <c r="H689" s="2"/>
      <c r="I689" s="30"/>
    </row>
    <row r="690" spans="4:9">
      <c r="D690" s="47"/>
      <c r="E690" s="143"/>
      <c r="H690" s="2"/>
      <c r="I690" s="30"/>
    </row>
    <row r="691" spans="4:9">
      <c r="D691" s="47"/>
      <c r="E691" s="143"/>
      <c r="H691" s="2"/>
      <c r="I691" s="30"/>
    </row>
    <row r="692" spans="4:9">
      <c r="D692" s="47"/>
      <c r="E692" s="143"/>
      <c r="H692" s="2"/>
      <c r="I692" s="30"/>
    </row>
    <row r="693" spans="4:9">
      <c r="D693" s="47"/>
      <c r="E693" s="143"/>
      <c r="H693" s="2"/>
      <c r="I693" s="30"/>
    </row>
    <row r="694" spans="4:9">
      <c r="D694" s="47"/>
      <c r="E694" s="143"/>
      <c r="H694" s="2"/>
      <c r="I694" s="30"/>
    </row>
    <row r="695" spans="4:9">
      <c r="D695" s="47"/>
      <c r="E695" s="143"/>
      <c r="H695" s="2"/>
      <c r="I695" s="30"/>
    </row>
    <row r="696" spans="4:9">
      <c r="D696" s="47"/>
      <c r="E696" s="143"/>
      <c r="H696" s="2"/>
      <c r="I696" s="30"/>
    </row>
    <row r="697" spans="4:9">
      <c r="D697" s="47"/>
      <c r="E697" s="143"/>
      <c r="H697" s="2"/>
      <c r="I697" s="30"/>
    </row>
    <row r="698" spans="4:9">
      <c r="D698" s="47"/>
      <c r="E698" s="143"/>
      <c r="H698" s="2"/>
      <c r="I698" s="30"/>
    </row>
    <row r="699" spans="4:9">
      <c r="D699" s="47"/>
      <c r="E699" s="143"/>
      <c r="H699" s="2"/>
      <c r="I699" s="30"/>
    </row>
    <row r="700" spans="4:9">
      <c r="D700" s="47"/>
      <c r="E700" s="143"/>
      <c r="H700" s="2"/>
      <c r="I700" s="30"/>
    </row>
    <row r="701" spans="4:9">
      <c r="D701" s="47"/>
      <c r="E701" s="143"/>
      <c r="H701" s="2"/>
      <c r="I701" s="30"/>
    </row>
    <row r="702" spans="4:9">
      <c r="D702" s="47"/>
      <c r="E702" s="143"/>
      <c r="H702" s="2"/>
      <c r="I702" s="30"/>
    </row>
    <row r="703" spans="4:9">
      <c r="D703" s="47"/>
      <c r="E703" s="143"/>
      <c r="H703" s="2"/>
      <c r="I703" s="30"/>
    </row>
    <row r="704" spans="4:9">
      <c r="D704" s="47"/>
      <c r="E704" s="143"/>
      <c r="H704" s="2"/>
      <c r="I704" s="30"/>
    </row>
    <row r="705" spans="4:9">
      <c r="D705" s="47"/>
      <c r="E705" s="143"/>
      <c r="H705" s="2"/>
      <c r="I705" s="30"/>
    </row>
    <row r="706" spans="4:9">
      <c r="D706" s="47"/>
      <c r="E706" s="143"/>
      <c r="H706" s="2"/>
      <c r="I706" s="30"/>
    </row>
    <row r="707" spans="4:9">
      <c r="D707" s="47"/>
      <c r="E707" s="143"/>
      <c r="H707" s="2"/>
      <c r="I707" s="30"/>
    </row>
    <row r="708" spans="4:9">
      <c r="D708" s="47"/>
      <c r="E708" s="143"/>
      <c r="H708" s="2"/>
      <c r="I708" s="30"/>
    </row>
    <row r="709" spans="4:9">
      <c r="D709" s="47"/>
      <c r="E709" s="143"/>
      <c r="H709" s="2"/>
      <c r="I709" s="30"/>
    </row>
    <row r="710" spans="4:9">
      <c r="D710" s="47"/>
      <c r="E710" s="143"/>
      <c r="H710" s="2"/>
      <c r="I710" s="30"/>
    </row>
    <row r="711" spans="4:9">
      <c r="D711" s="47"/>
      <c r="E711" s="143"/>
      <c r="H711" s="2"/>
      <c r="I711" s="30"/>
    </row>
    <row r="712" spans="4:9">
      <c r="D712" s="47"/>
      <c r="E712" s="143"/>
      <c r="H712" s="2"/>
      <c r="I712" s="30"/>
    </row>
    <row r="713" spans="4:9">
      <c r="D713" s="47"/>
      <c r="E713" s="143"/>
      <c r="H713" s="2"/>
      <c r="I713" s="30"/>
    </row>
    <row r="714" spans="4:9">
      <c r="D714" s="47"/>
      <c r="E714" s="143"/>
      <c r="H714" s="2"/>
      <c r="I714" s="30"/>
    </row>
    <row r="715" spans="4:9">
      <c r="D715" s="47"/>
      <c r="E715" s="143"/>
      <c r="H715" s="2"/>
      <c r="I715" s="30"/>
    </row>
    <row r="716" spans="4:9">
      <c r="D716" s="47"/>
      <c r="E716" s="143"/>
      <c r="H716" s="2"/>
      <c r="I716" s="30"/>
    </row>
    <row r="717" spans="4:9">
      <c r="D717" s="47"/>
      <c r="E717" s="143"/>
      <c r="H717" s="2"/>
      <c r="I717" s="30"/>
    </row>
    <row r="718" spans="4:9">
      <c r="D718" s="47"/>
      <c r="E718" s="143"/>
      <c r="H718" s="2"/>
      <c r="I718" s="30"/>
    </row>
    <row r="719" spans="4:9">
      <c r="D719" s="47"/>
      <c r="E719" s="143"/>
      <c r="H719" s="2"/>
      <c r="I719" s="30"/>
    </row>
    <row r="720" spans="4:9">
      <c r="D720" s="47"/>
      <c r="E720" s="143"/>
      <c r="H720" s="2"/>
      <c r="I720" s="30"/>
    </row>
    <row r="721" spans="4:9">
      <c r="D721" s="47"/>
      <c r="E721" s="143"/>
      <c r="H721" s="2"/>
      <c r="I721" s="30"/>
    </row>
    <row r="722" spans="4:9">
      <c r="D722" s="47"/>
      <c r="E722" s="143"/>
      <c r="H722" s="2"/>
      <c r="I722" s="30"/>
    </row>
    <row r="723" spans="4:9">
      <c r="D723" s="47"/>
      <c r="E723" s="143"/>
      <c r="H723" s="2"/>
      <c r="I723" s="30"/>
    </row>
    <row r="724" spans="4:9">
      <c r="D724" s="47"/>
      <c r="E724" s="143"/>
      <c r="H724" s="2"/>
      <c r="I724" s="30"/>
    </row>
    <row r="725" spans="4:9">
      <c r="D725" s="47"/>
      <c r="E725" s="143"/>
      <c r="H725" s="2"/>
      <c r="I725" s="30"/>
    </row>
    <row r="726" spans="4:9">
      <c r="D726" s="47"/>
      <c r="E726" s="143"/>
      <c r="H726" s="2"/>
      <c r="I726" s="30"/>
    </row>
    <row r="727" spans="4:9">
      <c r="D727" s="47"/>
      <c r="E727" s="143"/>
      <c r="H727" s="2"/>
      <c r="I727" s="30"/>
    </row>
    <row r="728" spans="4:9">
      <c r="D728" s="47"/>
      <c r="E728" s="143"/>
      <c r="H728" s="2"/>
      <c r="I728" s="30"/>
    </row>
    <row r="729" spans="4:9">
      <c r="D729" s="47"/>
      <c r="E729" s="143"/>
      <c r="H729" s="2"/>
      <c r="I729" s="30"/>
    </row>
    <row r="730" spans="4:9">
      <c r="D730" s="47"/>
      <c r="E730" s="143"/>
      <c r="H730" s="2"/>
      <c r="I730" s="30"/>
    </row>
    <row r="731" spans="4:9">
      <c r="D731" s="47"/>
      <c r="E731" s="143"/>
      <c r="H731" s="2"/>
      <c r="I731" s="30"/>
    </row>
    <row r="732" spans="4:9">
      <c r="D732" s="47"/>
      <c r="E732" s="143"/>
      <c r="H732" s="2"/>
      <c r="I732" s="30"/>
    </row>
    <row r="733" spans="4:9">
      <c r="D733" s="47"/>
      <c r="E733" s="143"/>
      <c r="H733" s="2"/>
      <c r="I733" s="30"/>
    </row>
    <row r="734" spans="4:9">
      <c r="D734" s="47"/>
      <c r="E734" s="143"/>
      <c r="H734" s="2"/>
      <c r="I734" s="30"/>
    </row>
    <row r="735" spans="4:9">
      <c r="D735" s="47"/>
      <c r="E735" s="143"/>
      <c r="H735" s="2"/>
      <c r="I735" s="30"/>
    </row>
    <row r="736" spans="4:9">
      <c r="D736" s="47"/>
      <c r="E736" s="143"/>
      <c r="H736" s="2"/>
      <c r="I736" s="30"/>
    </row>
    <row r="737" spans="4:9">
      <c r="D737" s="47"/>
      <c r="E737" s="143"/>
      <c r="H737" s="2"/>
      <c r="I737" s="30"/>
    </row>
    <row r="738" spans="4:9">
      <c r="D738" s="47"/>
      <c r="E738" s="143"/>
      <c r="H738" s="2"/>
      <c r="I738" s="30"/>
    </row>
    <row r="739" spans="4:9">
      <c r="D739" s="47"/>
      <c r="E739" s="143"/>
      <c r="H739" s="2"/>
      <c r="I739" s="30"/>
    </row>
    <row r="740" spans="4:9">
      <c r="D740" s="47"/>
      <c r="E740" s="143"/>
      <c r="H740" s="2"/>
      <c r="I740" s="30"/>
    </row>
    <row r="741" spans="4:9">
      <c r="D741" s="47"/>
      <c r="E741" s="143"/>
      <c r="H741" s="2"/>
      <c r="I741" s="30"/>
    </row>
    <row r="742" spans="4:9">
      <c r="D742" s="47"/>
      <c r="E742" s="143"/>
      <c r="H742" s="2"/>
      <c r="I742" s="30"/>
    </row>
    <row r="743" spans="4:9">
      <c r="D743" s="47"/>
      <c r="E743" s="143"/>
      <c r="H743" s="2"/>
      <c r="I743" s="30"/>
    </row>
    <row r="744" spans="4:9">
      <c r="D744" s="47"/>
      <c r="E744" s="143"/>
      <c r="H744" s="2"/>
      <c r="I744" s="30"/>
    </row>
    <row r="745" spans="4:9">
      <c r="D745" s="47"/>
      <c r="E745" s="143"/>
      <c r="H745" s="2"/>
      <c r="I745" s="30"/>
    </row>
    <row r="746" spans="4:9">
      <c r="D746" s="47"/>
      <c r="E746" s="143"/>
      <c r="H746" s="2"/>
      <c r="I746" s="30"/>
    </row>
    <row r="747" spans="4:9">
      <c r="D747" s="47"/>
      <c r="E747" s="143"/>
      <c r="H747" s="2"/>
      <c r="I747" s="30"/>
    </row>
    <row r="748" spans="4:9">
      <c r="D748" s="47"/>
      <c r="E748" s="143"/>
      <c r="H748" s="2"/>
      <c r="I748" s="30"/>
    </row>
    <row r="749" spans="4:9">
      <c r="D749" s="47"/>
      <c r="E749" s="143"/>
      <c r="H749" s="2"/>
      <c r="I749" s="30"/>
    </row>
    <row r="750" spans="4:9">
      <c r="D750" s="47"/>
      <c r="E750" s="143"/>
      <c r="H750" s="2"/>
      <c r="I750" s="30"/>
    </row>
    <row r="751" spans="4:9">
      <c r="D751" s="47"/>
      <c r="E751" s="143"/>
      <c r="H751" s="2"/>
      <c r="I751" s="30"/>
    </row>
    <row r="752" spans="4:9">
      <c r="D752" s="47"/>
      <c r="E752" s="143"/>
      <c r="H752" s="2"/>
      <c r="I752" s="30"/>
    </row>
    <row r="753" spans="4:9">
      <c r="D753" s="47"/>
      <c r="E753" s="143"/>
      <c r="H753" s="2"/>
      <c r="I753" s="30"/>
    </row>
    <row r="754" spans="4:9">
      <c r="D754" s="47"/>
      <c r="E754" s="143"/>
      <c r="H754" s="2"/>
      <c r="I754" s="30"/>
    </row>
    <row r="755" spans="4:9">
      <c r="D755" s="47"/>
      <c r="E755" s="143"/>
      <c r="H755" s="2"/>
      <c r="I755" s="30"/>
    </row>
    <row r="756" spans="4:9">
      <c r="D756" s="47"/>
      <c r="E756" s="143"/>
      <c r="H756" s="2"/>
      <c r="I756" s="30"/>
    </row>
    <row r="757" spans="4:9">
      <c r="D757" s="47"/>
      <c r="E757" s="143"/>
      <c r="H757" s="2"/>
      <c r="I757" s="30"/>
    </row>
    <row r="758" spans="4:9">
      <c r="D758" s="47"/>
      <c r="E758" s="143"/>
      <c r="H758" s="2"/>
      <c r="I758" s="30"/>
    </row>
    <row r="759" spans="4:9">
      <c r="D759" s="47"/>
      <c r="E759" s="143"/>
      <c r="H759" s="2"/>
      <c r="I759" s="30"/>
    </row>
    <row r="760" spans="4:9">
      <c r="D760" s="47"/>
      <c r="E760" s="143"/>
      <c r="H760" s="2"/>
      <c r="I760" s="30"/>
    </row>
    <row r="761" spans="4:9">
      <c r="D761" s="47"/>
      <c r="E761" s="143"/>
      <c r="H761" s="2"/>
      <c r="I761" s="30"/>
    </row>
    <row r="762" spans="4:9">
      <c r="D762" s="47"/>
      <c r="E762" s="143"/>
      <c r="H762" s="2"/>
      <c r="I762" s="30"/>
    </row>
    <row r="763" spans="4:9">
      <c r="D763" s="47"/>
      <c r="E763" s="143"/>
      <c r="H763" s="2"/>
      <c r="I763" s="30"/>
    </row>
    <row r="764" spans="4:9">
      <c r="D764" s="47"/>
      <c r="E764" s="143"/>
      <c r="H764" s="2"/>
      <c r="I764" s="30"/>
    </row>
    <row r="765" spans="4:9">
      <c r="D765" s="47"/>
      <c r="E765" s="143"/>
      <c r="H765" s="2"/>
      <c r="I765" s="30"/>
    </row>
    <row r="766" spans="4:9">
      <c r="D766" s="47"/>
      <c r="E766" s="143"/>
      <c r="H766" s="2"/>
      <c r="I766" s="30"/>
    </row>
    <row r="767" spans="4:9">
      <c r="D767" s="47"/>
      <c r="E767" s="143"/>
      <c r="H767" s="2"/>
      <c r="I767" s="30"/>
    </row>
    <row r="768" spans="4:9">
      <c r="D768" s="47"/>
      <c r="E768" s="143"/>
      <c r="H768" s="2"/>
      <c r="I768" s="30"/>
    </row>
    <row r="769" spans="4:9">
      <c r="D769" s="47"/>
      <c r="E769" s="143"/>
      <c r="H769" s="2"/>
      <c r="I769" s="30"/>
    </row>
    <row r="770" spans="4:9">
      <c r="D770" s="47"/>
      <c r="E770" s="143"/>
      <c r="H770" s="2"/>
      <c r="I770" s="30"/>
    </row>
    <row r="771" spans="4:9">
      <c r="D771" s="47"/>
      <c r="E771" s="143"/>
      <c r="H771" s="2"/>
      <c r="I771" s="30"/>
    </row>
    <row r="772" spans="4:9">
      <c r="D772" s="47"/>
      <c r="E772" s="143"/>
      <c r="H772" s="2"/>
      <c r="I772" s="30"/>
    </row>
    <row r="773" spans="4:9">
      <c r="D773" s="47"/>
      <c r="E773" s="143"/>
      <c r="H773" s="2"/>
      <c r="I773" s="30"/>
    </row>
    <row r="774" spans="4:9">
      <c r="D774" s="47"/>
      <c r="E774" s="143"/>
      <c r="H774" s="2"/>
      <c r="I774" s="30"/>
    </row>
    <row r="775" spans="4:9">
      <c r="D775" s="47"/>
      <c r="E775" s="143"/>
      <c r="H775" s="2"/>
      <c r="I775" s="30"/>
    </row>
    <row r="776" spans="4:9">
      <c r="D776" s="47"/>
      <c r="E776" s="143"/>
      <c r="H776" s="2"/>
      <c r="I776" s="30"/>
    </row>
    <row r="777" spans="4:9">
      <c r="D777" s="47"/>
      <c r="E777" s="143"/>
      <c r="H777" s="2"/>
      <c r="I777" s="30"/>
    </row>
    <row r="778" spans="4:9">
      <c r="D778" s="47"/>
      <c r="E778" s="143"/>
      <c r="H778" s="2"/>
      <c r="I778" s="30"/>
    </row>
    <row r="779" spans="4:9">
      <c r="D779" s="47"/>
      <c r="E779" s="143"/>
      <c r="H779" s="2"/>
      <c r="I779" s="30"/>
    </row>
    <row r="780" spans="4:9">
      <c r="D780" s="47"/>
      <c r="E780" s="143"/>
      <c r="H780" s="2"/>
      <c r="I780" s="30"/>
    </row>
    <row r="781" spans="4:9">
      <c r="D781" s="47"/>
      <c r="E781" s="143"/>
      <c r="H781" s="2"/>
      <c r="I781" s="30"/>
    </row>
    <row r="782" spans="4:9">
      <c r="D782" s="47"/>
      <c r="E782" s="143"/>
      <c r="H782" s="2"/>
      <c r="I782" s="30"/>
    </row>
    <row r="783" spans="4:9">
      <c r="D783" s="47"/>
      <c r="E783" s="143"/>
      <c r="H783" s="2"/>
      <c r="I783" s="30"/>
    </row>
    <row r="784" spans="4:9">
      <c r="D784" s="47"/>
      <c r="E784" s="143"/>
      <c r="H784" s="2"/>
      <c r="I784" s="30"/>
    </row>
    <row r="785" spans="4:9">
      <c r="D785" s="47"/>
      <c r="E785" s="143"/>
      <c r="H785" s="2"/>
      <c r="I785" s="30"/>
    </row>
    <row r="786" spans="4:9">
      <c r="D786" s="47"/>
      <c r="E786" s="143"/>
      <c r="H786" s="2"/>
      <c r="I786" s="30"/>
    </row>
    <row r="787" spans="4:9">
      <c r="D787" s="47"/>
      <c r="E787" s="143"/>
      <c r="H787" s="2"/>
      <c r="I787" s="30"/>
    </row>
    <row r="788" spans="4:9">
      <c r="D788" s="47"/>
      <c r="E788" s="143"/>
      <c r="H788" s="2"/>
      <c r="I788" s="30"/>
    </row>
    <row r="789" spans="4:9">
      <c r="D789" s="47"/>
      <c r="E789" s="143"/>
      <c r="H789" s="2"/>
      <c r="I789" s="30"/>
    </row>
    <row r="790" spans="4:9">
      <c r="D790" s="47"/>
      <c r="E790" s="143"/>
      <c r="H790" s="2"/>
      <c r="I790" s="30"/>
    </row>
    <row r="791" spans="4:9">
      <c r="D791" s="47"/>
      <c r="E791" s="143"/>
      <c r="H791" s="2"/>
      <c r="I791" s="30"/>
    </row>
    <row r="792" spans="4:9">
      <c r="D792" s="47"/>
      <c r="E792" s="143"/>
      <c r="H792" s="2"/>
      <c r="I792" s="30"/>
    </row>
    <row r="793" spans="4:9">
      <c r="D793" s="47"/>
      <c r="E793" s="143"/>
      <c r="H793" s="2"/>
      <c r="I793" s="30"/>
    </row>
    <row r="794" spans="4:9">
      <c r="D794" s="47"/>
      <c r="E794" s="143"/>
      <c r="H794" s="2"/>
      <c r="I794" s="30"/>
    </row>
    <row r="795" spans="4:9">
      <c r="D795" s="47"/>
      <c r="E795" s="143"/>
      <c r="H795" s="2"/>
      <c r="I795" s="30"/>
    </row>
    <row r="796" spans="4:9">
      <c r="D796" s="47"/>
      <c r="E796" s="143"/>
      <c r="H796" s="2"/>
      <c r="I796" s="30"/>
    </row>
    <row r="797" spans="4:9">
      <c r="D797" s="47"/>
      <c r="E797" s="143"/>
      <c r="H797" s="2"/>
      <c r="I797" s="30"/>
    </row>
    <row r="798" spans="4:9">
      <c r="D798" s="47"/>
      <c r="E798" s="143"/>
      <c r="H798" s="2"/>
      <c r="I798" s="30"/>
    </row>
    <row r="799" spans="4:9">
      <c r="D799" s="47"/>
      <c r="E799" s="143"/>
      <c r="H799" s="2"/>
      <c r="I799" s="30"/>
    </row>
    <row r="800" spans="4:9">
      <c r="D800" s="47"/>
      <c r="E800" s="143"/>
      <c r="H800" s="2"/>
      <c r="I800" s="30"/>
    </row>
    <row r="801" spans="4:9">
      <c r="D801" s="47"/>
      <c r="E801" s="143"/>
      <c r="H801" s="2"/>
      <c r="I801" s="30"/>
    </row>
    <row r="802" spans="4:9">
      <c r="D802" s="47"/>
      <c r="E802" s="143"/>
      <c r="H802" s="2"/>
      <c r="I802" s="30"/>
    </row>
    <row r="803" spans="4:9">
      <c r="D803" s="47"/>
      <c r="E803" s="143"/>
      <c r="H803" s="2"/>
      <c r="I803" s="30"/>
    </row>
    <row r="804" spans="4:9">
      <c r="D804" s="47"/>
      <c r="E804" s="143"/>
      <c r="H804" s="2"/>
      <c r="I804" s="30"/>
    </row>
    <row r="805" spans="4:9">
      <c r="D805" s="47"/>
      <c r="E805" s="143"/>
      <c r="H805" s="2"/>
      <c r="I805" s="30"/>
    </row>
    <row r="806" spans="4:9">
      <c r="D806" s="47"/>
      <c r="E806" s="143"/>
      <c r="H806" s="2"/>
      <c r="I806" s="30"/>
    </row>
    <row r="807" spans="4:9">
      <c r="D807" s="47"/>
      <c r="E807" s="143"/>
      <c r="H807" s="2"/>
      <c r="I807" s="30"/>
    </row>
    <row r="808" spans="4:9">
      <c r="D808" s="47"/>
      <c r="E808" s="143"/>
      <c r="H808" s="2"/>
      <c r="I808" s="30"/>
    </row>
    <row r="809" spans="4:9">
      <c r="D809" s="47"/>
      <c r="E809" s="143"/>
      <c r="H809" s="2"/>
      <c r="I809" s="30"/>
    </row>
    <row r="810" spans="4:9">
      <c r="D810" s="47"/>
      <c r="E810" s="143"/>
      <c r="H810" s="2"/>
      <c r="I810" s="30"/>
    </row>
    <row r="811" spans="4:9">
      <c r="D811" s="47"/>
      <c r="E811" s="143"/>
      <c r="H811" s="2"/>
      <c r="I811" s="30"/>
    </row>
    <row r="812" spans="4:9">
      <c r="D812" s="47"/>
      <c r="E812" s="143"/>
      <c r="H812" s="2"/>
      <c r="I812" s="30"/>
    </row>
    <row r="813" spans="4:9">
      <c r="D813" s="47"/>
      <c r="E813" s="143"/>
      <c r="H813" s="2"/>
      <c r="I813" s="30"/>
    </row>
    <row r="814" spans="4:9">
      <c r="D814" s="47"/>
      <c r="E814" s="143"/>
      <c r="H814" s="2"/>
      <c r="I814" s="30"/>
    </row>
    <row r="815" spans="4:9">
      <c r="D815" s="47"/>
      <c r="E815" s="143"/>
      <c r="H815" s="2"/>
      <c r="I815" s="30"/>
    </row>
    <row r="816" spans="4:9">
      <c r="D816" s="47"/>
      <c r="E816" s="143"/>
      <c r="H816" s="2"/>
      <c r="I816" s="30"/>
    </row>
    <row r="817" spans="4:9">
      <c r="D817" s="47"/>
      <c r="E817" s="143"/>
      <c r="H817" s="2"/>
      <c r="I817" s="30"/>
    </row>
    <row r="818" spans="4:9">
      <c r="D818" s="47"/>
      <c r="E818" s="143"/>
      <c r="H818" s="2"/>
      <c r="I818" s="30"/>
    </row>
    <row r="819" spans="4:9">
      <c r="D819" s="47"/>
      <c r="E819" s="143"/>
      <c r="H819" s="2"/>
      <c r="I819" s="30"/>
    </row>
    <row r="820" spans="4:9">
      <c r="D820" s="47"/>
      <c r="E820" s="143"/>
      <c r="H820" s="2"/>
      <c r="I820" s="30"/>
    </row>
    <row r="821" spans="4:9">
      <c r="D821" s="47"/>
      <c r="E821" s="143"/>
      <c r="H821" s="2"/>
      <c r="I821" s="30"/>
    </row>
    <row r="822" spans="4:9">
      <c r="D822" s="47"/>
      <c r="E822" s="143"/>
      <c r="H822" s="2"/>
      <c r="I822" s="30"/>
    </row>
    <row r="823" spans="4:9">
      <c r="D823" s="47"/>
      <c r="E823" s="143"/>
      <c r="H823" s="2"/>
      <c r="I823" s="30"/>
    </row>
    <row r="824" spans="4:9">
      <c r="D824" s="47"/>
      <c r="E824" s="143"/>
      <c r="H824" s="2"/>
      <c r="I824" s="30"/>
    </row>
    <row r="825" spans="4:9">
      <c r="D825" s="47"/>
      <c r="E825" s="143"/>
      <c r="H825" s="2"/>
      <c r="I825" s="30"/>
    </row>
    <row r="826" spans="4:9">
      <c r="D826" s="47"/>
      <c r="E826" s="143"/>
      <c r="H826" s="2"/>
      <c r="I826" s="30"/>
    </row>
    <row r="827" spans="4:9">
      <c r="D827" s="47"/>
      <c r="E827" s="143"/>
      <c r="H827" s="2"/>
      <c r="I827" s="30"/>
    </row>
    <row r="828" spans="4:9">
      <c r="D828" s="47"/>
      <c r="E828" s="143"/>
      <c r="H828" s="2"/>
      <c r="I828" s="30"/>
    </row>
    <row r="829" spans="4:9">
      <c r="D829" s="47"/>
      <c r="E829" s="143"/>
      <c r="H829" s="2"/>
      <c r="I829" s="30"/>
    </row>
    <row r="830" spans="4:9">
      <c r="D830" s="47"/>
      <c r="E830" s="143"/>
      <c r="H830" s="2"/>
      <c r="I830" s="30"/>
    </row>
    <row r="831" spans="4:9">
      <c r="D831" s="47"/>
      <c r="E831" s="143"/>
      <c r="H831" s="2"/>
      <c r="I831" s="30"/>
    </row>
    <row r="832" spans="4:9">
      <c r="D832" s="47"/>
      <c r="E832" s="143"/>
      <c r="H832" s="2"/>
      <c r="I832" s="30"/>
    </row>
    <row r="833" spans="4:9">
      <c r="D833" s="47"/>
      <c r="E833" s="143"/>
      <c r="H833" s="2"/>
      <c r="I833" s="30"/>
    </row>
    <row r="834" spans="4:9">
      <c r="D834" s="47"/>
      <c r="E834" s="143"/>
      <c r="H834" s="2"/>
      <c r="I834" s="30"/>
    </row>
    <row r="835" spans="4:9">
      <c r="D835" s="47"/>
      <c r="E835" s="143"/>
      <c r="H835" s="2"/>
      <c r="I835" s="30"/>
    </row>
    <row r="836" spans="4:9">
      <c r="D836" s="47"/>
      <c r="E836" s="143"/>
      <c r="H836" s="2"/>
      <c r="I836" s="30"/>
    </row>
    <row r="837" spans="4:9">
      <c r="D837" s="47"/>
      <c r="E837" s="143"/>
      <c r="H837" s="2"/>
      <c r="I837" s="30"/>
    </row>
    <row r="838" spans="4:9">
      <c r="D838" s="47"/>
      <c r="E838" s="143"/>
      <c r="H838" s="2"/>
      <c r="I838" s="30"/>
    </row>
    <row r="839" spans="4:9">
      <c r="D839" s="47"/>
      <c r="E839" s="143"/>
      <c r="H839" s="2"/>
      <c r="I839" s="30"/>
    </row>
    <row r="840" spans="4:9">
      <c r="D840" s="47"/>
      <c r="E840" s="143"/>
      <c r="H840" s="2"/>
      <c r="I840" s="30"/>
    </row>
    <row r="841" spans="4:9">
      <c r="D841" s="47"/>
      <c r="E841" s="143"/>
      <c r="H841" s="2"/>
      <c r="I841" s="30"/>
    </row>
    <row r="842" spans="4:9">
      <c r="D842" s="47"/>
      <c r="E842" s="143"/>
      <c r="H842" s="2"/>
      <c r="I842" s="30"/>
    </row>
    <row r="843" spans="4:9">
      <c r="D843" s="47"/>
      <c r="E843" s="143"/>
      <c r="H843" s="2"/>
      <c r="I843" s="30"/>
    </row>
    <row r="844" spans="4:9">
      <c r="D844" s="47"/>
      <c r="E844" s="143"/>
      <c r="H844" s="2"/>
      <c r="I844" s="30"/>
    </row>
    <row r="845" spans="4:9">
      <c r="D845" s="47"/>
      <c r="E845" s="143"/>
      <c r="H845" s="2"/>
      <c r="I845" s="30"/>
    </row>
    <row r="846" spans="4:9">
      <c r="D846" s="47"/>
      <c r="E846" s="143"/>
      <c r="H846" s="2"/>
      <c r="I846" s="30"/>
    </row>
    <row r="847" spans="4:9">
      <c r="D847" s="47"/>
      <c r="E847" s="143"/>
      <c r="H847" s="2"/>
      <c r="I847" s="30"/>
    </row>
    <row r="848" spans="4:9">
      <c r="D848" s="47"/>
      <c r="E848" s="143"/>
      <c r="H848" s="2"/>
      <c r="I848" s="30"/>
    </row>
    <row r="849" spans="4:9">
      <c r="D849" s="47"/>
      <c r="E849" s="143"/>
      <c r="H849" s="2"/>
      <c r="I849" s="30"/>
    </row>
    <row r="850" spans="4:9">
      <c r="D850" s="47"/>
      <c r="E850" s="143"/>
      <c r="H850" s="2"/>
      <c r="I850" s="30"/>
    </row>
    <row r="851" spans="4:9">
      <c r="D851" s="47"/>
      <c r="E851" s="143"/>
      <c r="H851" s="2"/>
      <c r="I851" s="30"/>
    </row>
    <row r="852" spans="4:9">
      <c r="D852" s="47"/>
      <c r="E852" s="143"/>
      <c r="H852" s="2"/>
      <c r="I852" s="30"/>
    </row>
    <row r="853" spans="4:9">
      <c r="D853" s="47"/>
      <c r="E853" s="143"/>
      <c r="H853" s="2"/>
      <c r="I853" s="30"/>
    </row>
    <row r="854" spans="4:9">
      <c r="D854" s="47"/>
      <c r="E854" s="143"/>
      <c r="H854" s="2"/>
      <c r="I854" s="30"/>
    </row>
    <row r="855" spans="4:9">
      <c r="D855" s="47"/>
      <c r="E855" s="143"/>
      <c r="H855" s="2"/>
      <c r="I855" s="30"/>
    </row>
    <row r="856" spans="4:9">
      <c r="D856" s="47"/>
      <c r="E856" s="143"/>
      <c r="H856" s="2"/>
      <c r="I856" s="30"/>
    </row>
    <row r="857" spans="4:9">
      <c r="D857" s="47"/>
      <c r="E857" s="143"/>
      <c r="H857" s="2"/>
      <c r="I857" s="30"/>
    </row>
    <row r="858" spans="4:9">
      <c r="D858" s="47"/>
      <c r="E858" s="143"/>
      <c r="H858" s="2"/>
      <c r="I858" s="30"/>
    </row>
    <row r="859" spans="4:9">
      <c r="D859" s="47"/>
      <c r="E859" s="143"/>
      <c r="H859" s="2"/>
      <c r="I859" s="30"/>
    </row>
    <row r="860" spans="4:9">
      <c r="D860" s="47"/>
      <c r="E860" s="143"/>
      <c r="H860" s="2"/>
      <c r="I860" s="30"/>
    </row>
    <row r="861" spans="4:9">
      <c r="D861" s="47"/>
      <c r="E861" s="143"/>
      <c r="H861" s="2"/>
      <c r="I861" s="30"/>
    </row>
    <row r="862" spans="4:9">
      <c r="D862" s="47"/>
      <c r="E862" s="143"/>
      <c r="H862" s="2"/>
      <c r="I862" s="30"/>
    </row>
    <row r="863" spans="4:9">
      <c r="D863" s="47"/>
      <c r="E863" s="143"/>
      <c r="H863" s="2"/>
      <c r="I863" s="30"/>
    </row>
    <row r="864" spans="4:9">
      <c r="D864" s="47"/>
      <c r="E864" s="143"/>
      <c r="H864" s="2"/>
      <c r="I864" s="30"/>
    </row>
    <row r="865" spans="4:9">
      <c r="D865" s="47"/>
      <c r="E865" s="143"/>
      <c r="H865" s="2"/>
      <c r="I865" s="30"/>
    </row>
    <row r="866" spans="4:9">
      <c r="D866" s="47"/>
      <c r="E866" s="143"/>
      <c r="H866" s="2"/>
      <c r="I866" s="30"/>
    </row>
    <row r="867" spans="4:9">
      <c r="D867" s="47"/>
      <c r="E867" s="143"/>
      <c r="H867" s="2"/>
      <c r="I867" s="30"/>
    </row>
    <row r="868" spans="4:9">
      <c r="D868" s="47"/>
      <c r="E868" s="143"/>
      <c r="H868" s="2"/>
      <c r="I868" s="30"/>
    </row>
    <row r="869" spans="4:9">
      <c r="D869" s="47"/>
      <c r="E869" s="143"/>
      <c r="H869" s="2"/>
      <c r="I869" s="30"/>
    </row>
    <row r="870" spans="4:9">
      <c r="D870" s="47"/>
      <c r="E870" s="143"/>
      <c r="H870" s="2"/>
      <c r="I870" s="30"/>
    </row>
    <row r="871" spans="4:9">
      <c r="D871" s="47"/>
      <c r="E871" s="143"/>
      <c r="H871" s="2"/>
      <c r="I871" s="30"/>
    </row>
    <row r="872" spans="4:9">
      <c r="D872" s="47"/>
      <c r="E872" s="143"/>
      <c r="H872" s="2"/>
      <c r="I872" s="30"/>
    </row>
    <row r="873" spans="4:9">
      <c r="D873" s="47"/>
      <c r="E873" s="143"/>
      <c r="H873" s="2"/>
      <c r="I873" s="30"/>
    </row>
    <row r="874" spans="4:9">
      <c r="D874" s="47"/>
      <c r="E874" s="143"/>
      <c r="H874" s="2"/>
      <c r="I874" s="30"/>
    </row>
    <row r="875" spans="4:9">
      <c r="D875" s="47"/>
      <c r="E875" s="143"/>
      <c r="H875" s="2"/>
      <c r="I875" s="30"/>
    </row>
    <row r="876" spans="4:9">
      <c r="D876" s="47"/>
      <c r="E876" s="143"/>
      <c r="H876" s="2"/>
      <c r="I876" s="30"/>
    </row>
    <row r="877" spans="4:9">
      <c r="D877" s="47"/>
      <c r="E877" s="143"/>
      <c r="H877" s="2"/>
      <c r="I877" s="30"/>
    </row>
    <row r="878" spans="4:9">
      <c r="D878" s="47"/>
      <c r="E878" s="143"/>
      <c r="H878" s="2"/>
      <c r="I878" s="30"/>
    </row>
    <row r="879" spans="4:9">
      <c r="D879" s="47"/>
      <c r="E879" s="143"/>
      <c r="H879" s="2"/>
      <c r="I879" s="30"/>
    </row>
    <row r="880" spans="4:9">
      <c r="D880" s="47"/>
      <c r="E880" s="143"/>
      <c r="H880" s="2"/>
      <c r="I880" s="30"/>
    </row>
    <row r="881" spans="4:9">
      <c r="D881" s="47"/>
      <c r="E881" s="143"/>
      <c r="H881" s="2"/>
      <c r="I881" s="30"/>
    </row>
    <row r="882" spans="4:9">
      <c r="D882" s="47"/>
      <c r="E882" s="143"/>
      <c r="H882" s="2"/>
      <c r="I882" s="30"/>
    </row>
    <row r="883" spans="4:9">
      <c r="D883" s="47"/>
      <c r="E883" s="143"/>
      <c r="H883" s="2"/>
      <c r="I883" s="30"/>
    </row>
    <row r="884" spans="4:9">
      <c r="D884" s="47"/>
      <c r="E884" s="143"/>
      <c r="H884" s="2"/>
      <c r="I884" s="30"/>
    </row>
    <row r="885" spans="4:9">
      <c r="D885" s="47"/>
      <c r="E885" s="143"/>
      <c r="H885" s="2"/>
      <c r="I885" s="30"/>
    </row>
    <row r="886" spans="4:9">
      <c r="D886" s="47"/>
      <c r="E886" s="143"/>
      <c r="H886" s="2"/>
      <c r="I886" s="30"/>
    </row>
    <row r="887" spans="4:9">
      <c r="D887" s="47"/>
      <c r="E887" s="143"/>
      <c r="H887" s="2"/>
      <c r="I887" s="30"/>
    </row>
    <row r="888" spans="4:9">
      <c r="D888" s="47"/>
      <c r="E888" s="143"/>
      <c r="H888" s="2"/>
      <c r="I888" s="30"/>
    </row>
    <row r="889" spans="4:9">
      <c r="D889" s="47"/>
      <c r="E889" s="143"/>
      <c r="H889" s="2"/>
      <c r="I889" s="30"/>
    </row>
    <row r="890" spans="4:9">
      <c r="D890" s="47"/>
      <c r="E890" s="143"/>
      <c r="H890" s="2"/>
      <c r="I890" s="30"/>
    </row>
    <row r="891" spans="4:9">
      <c r="D891" s="47"/>
      <c r="E891" s="143"/>
      <c r="H891" s="2"/>
      <c r="I891" s="30"/>
    </row>
    <row r="892" spans="4:9">
      <c r="D892" s="47"/>
      <c r="E892" s="143"/>
      <c r="H892" s="2"/>
      <c r="I892" s="30"/>
    </row>
    <row r="893" spans="4:9">
      <c r="D893" s="47"/>
      <c r="E893" s="143"/>
      <c r="H893" s="2"/>
      <c r="I893" s="30"/>
    </row>
    <row r="894" spans="4:9">
      <c r="D894" s="47"/>
      <c r="E894" s="143"/>
      <c r="H894" s="2"/>
      <c r="I894" s="30"/>
    </row>
    <row r="895" spans="4:9">
      <c r="D895" s="47"/>
      <c r="E895" s="143"/>
      <c r="H895" s="2"/>
      <c r="I895" s="30"/>
    </row>
    <row r="896" spans="4:9">
      <c r="D896" s="47"/>
      <c r="E896" s="143"/>
      <c r="H896" s="2"/>
      <c r="I896" s="30"/>
    </row>
    <row r="897" spans="4:9">
      <c r="D897" s="47"/>
      <c r="E897" s="143"/>
      <c r="H897" s="2"/>
      <c r="I897" s="30"/>
    </row>
    <row r="898" spans="4:9">
      <c r="D898" s="47"/>
      <c r="E898" s="143"/>
      <c r="H898" s="2"/>
      <c r="I898" s="30"/>
    </row>
    <row r="899" spans="4:9">
      <c r="D899" s="47"/>
      <c r="E899" s="143"/>
      <c r="H899" s="2"/>
      <c r="I899" s="30"/>
    </row>
    <row r="900" spans="4:9">
      <c r="D900" s="47"/>
      <c r="E900" s="143"/>
      <c r="H900" s="2"/>
      <c r="I900" s="30"/>
    </row>
    <row r="901" spans="4:9">
      <c r="D901" s="47"/>
      <c r="E901" s="143"/>
      <c r="H901" s="2"/>
      <c r="I901" s="30"/>
    </row>
    <row r="902" spans="4:9">
      <c r="D902" s="47"/>
      <c r="E902" s="143"/>
      <c r="H902" s="2"/>
      <c r="I902" s="30"/>
    </row>
    <row r="903" spans="4:9">
      <c r="D903" s="47"/>
      <c r="E903" s="143"/>
      <c r="H903" s="2"/>
      <c r="I903" s="30"/>
    </row>
    <row r="904" spans="4:9">
      <c r="D904" s="47"/>
      <c r="E904" s="143"/>
      <c r="H904" s="2"/>
      <c r="I904" s="30"/>
    </row>
    <row r="905" spans="4:9">
      <c r="D905" s="47"/>
      <c r="E905" s="143"/>
      <c r="H905" s="2"/>
      <c r="I905" s="30"/>
    </row>
    <row r="906" spans="4:9">
      <c r="D906" s="47"/>
      <c r="E906" s="143"/>
      <c r="H906" s="2"/>
      <c r="I906" s="30"/>
    </row>
    <row r="907" spans="4:9">
      <c r="D907" s="47"/>
      <c r="E907" s="143"/>
      <c r="H907" s="2"/>
      <c r="I907" s="30"/>
    </row>
    <row r="908" spans="4:9">
      <c r="D908" s="47"/>
      <c r="E908" s="143"/>
      <c r="H908" s="2"/>
      <c r="I908" s="30"/>
    </row>
    <row r="909" spans="4:9">
      <c r="D909" s="47"/>
      <c r="E909" s="143"/>
      <c r="H909" s="2"/>
      <c r="I909" s="30"/>
    </row>
    <row r="910" spans="4:9">
      <c r="D910" s="47"/>
      <c r="E910" s="143"/>
      <c r="H910" s="2"/>
      <c r="I910" s="30"/>
    </row>
    <row r="911" spans="4:9">
      <c r="D911" s="47"/>
      <c r="E911" s="143"/>
      <c r="H911" s="2"/>
      <c r="I911" s="30"/>
    </row>
    <row r="912" spans="4:9">
      <c r="D912" s="47"/>
      <c r="E912" s="143"/>
      <c r="H912" s="2"/>
      <c r="I912" s="30"/>
    </row>
    <row r="913" spans="4:9">
      <c r="D913" s="47"/>
      <c r="E913" s="143"/>
      <c r="H913" s="2"/>
      <c r="I913" s="30"/>
    </row>
    <row r="914" spans="4:9">
      <c r="D914" s="47"/>
      <c r="E914" s="143"/>
      <c r="H914" s="2"/>
      <c r="I914" s="30"/>
    </row>
    <row r="915" spans="4:9">
      <c r="D915" s="47"/>
      <c r="E915" s="143"/>
      <c r="H915" s="2"/>
      <c r="I915" s="30"/>
    </row>
    <row r="916" spans="4:9">
      <c r="D916" s="47"/>
      <c r="E916" s="143"/>
      <c r="H916" s="2"/>
      <c r="I916" s="30"/>
    </row>
    <row r="917" spans="4:9">
      <c r="D917" s="47"/>
      <c r="E917" s="143"/>
      <c r="H917" s="2"/>
      <c r="I917" s="30"/>
    </row>
    <row r="918" spans="4:9">
      <c r="D918" s="47"/>
      <c r="E918" s="143"/>
      <c r="H918" s="2"/>
      <c r="I918" s="30"/>
    </row>
    <row r="919" spans="4:9">
      <c r="D919" s="47"/>
      <c r="E919" s="143"/>
      <c r="H919" s="2"/>
      <c r="I919" s="30"/>
    </row>
    <row r="920" spans="4:9">
      <c r="D920" s="47"/>
      <c r="E920" s="143"/>
      <c r="H920" s="2"/>
      <c r="I920" s="30"/>
    </row>
    <row r="921" spans="4:9">
      <c r="D921" s="47"/>
      <c r="E921" s="143"/>
      <c r="H921" s="2"/>
      <c r="I921" s="30"/>
    </row>
    <row r="922" spans="4:9">
      <c r="D922" s="47"/>
      <c r="E922" s="143"/>
      <c r="H922" s="2"/>
      <c r="I922" s="30"/>
    </row>
    <row r="923" spans="4:9">
      <c r="D923" s="47"/>
      <c r="E923" s="143"/>
      <c r="H923" s="2"/>
      <c r="I923" s="30"/>
    </row>
    <row r="924" spans="4:9">
      <c r="D924" s="47"/>
      <c r="E924" s="143"/>
      <c r="H924" s="2"/>
      <c r="I924" s="30"/>
    </row>
    <row r="925" spans="4:9">
      <c r="D925" s="47"/>
      <c r="E925" s="143"/>
      <c r="H925" s="2"/>
      <c r="I925" s="30"/>
    </row>
    <row r="926" spans="4:9">
      <c r="D926" s="47"/>
      <c r="E926" s="143"/>
      <c r="H926" s="2"/>
      <c r="I926" s="30"/>
    </row>
    <row r="927" spans="4:9">
      <c r="D927" s="47"/>
      <c r="E927" s="143"/>
      <c r="H927" s="2"/>
      <c r="I927" s="30"/>
    </row>
    <row r="928" spans="4:9">
      <c r="D928" s="47"/>
      <c r="E928" s="143"/>
      <c r="H928" s="2"/>
      <c r="I928" s="30"/>
    </row>
    <row r="929" spans="4:9">
      <c r="D929" s="47"/>
      <c r="E929" s="143"/>
      <c r="H929" s="2"/>
      <c r="I929" s="30"/>
    </row>
    <row r="930" spans="4:9">
      <c r="D930" s="47"/>
      <c r="E930" s="143"/>
      <c r="H930" s="2"/>
      <c r="I930" s="30"/>
    </row>
    <row r="931" spans="4:9">
      <c r="D931" s="47"/>
      <c r="E931" s="143"/>
      <c r="H931" s="2"/>
      <c r="I931" s="30"/>
    </row>
    <row r="932" spans="4:9">
      <c r="D932" s="47"/>
      <c r="E932" s="143"/>
      <c r="H932" s="2"/>
      <c r="I932" s="30"/>
    </row>
    <row r="933" spans="4:9">
      <c r="D933" s="47"/>
      <c r="E933" s="143"/>
      <c r="H933" s="2"/>
      <c r="I933" s="30"/>
    </row>
    <row r="934" spans="4:9">
      <c r="D934" s="47"/>
      <c r="E934" s="143"/>
      <c r="H934" s="2"/>
      <c r="I934" s="30"/>
    </row>
    <row r="935" spans="4:9">
      <c r="D935" s="47"/>
      <c r="E935" s="143"/>
      <c r="H935" s="2"/>
      <c r="I935" s="30"/>
    </row>
    <row r="936" spans="4:9">
      <c r="D936" s="47"/>
      <c r="E936" s="143"/>
      <c r="H936" s="2"/>
      <c r="I936" s="30"/>
    </row>
    <row r="937" spans="4:9">
      <c r="D937" s="47"/>
      <c r="E937" s="143"/>
      <c r="H937" s="2"/>
      <c r="I937" s="30"/>
    </row>
    <row r="938" spans="4:9">
      <c r="D938" s="47"/>
      <c r="E938" s="143"/>
      <c r="H938" s="2"/>
      <c r="I938" s="30"/>
    </row>
    <row r="939" spans="4:9">
      <c r="D939" s="47"/>
      <c r="E939" s="143"/>
      <c r="H939" s="2"/>
      <c r="I939" s="30"/>
    </row>
    <row r="940" spans="4:9">
      <c r="D940" s="47"/>
      <c r="E940" s="143"/>
      <c r="H940" s="2"/>
      <c r="I940" s="30"/>
    </row>
    <row r="941" spans="4:9">
      <c r="D941" s="47"/>
      <c r="E941" s="143"/>
      <c r="H941" s="2"/>
      <c r="I941" s="30"/>
    </row>
    <row r="942" spans="4:9">
      <c r="D942" s="47"/>
      <c r="E942" s="143"/>
      <c r="H942" s="2"/>
      <c r="I942" s="30"/>
    </row>
    <row r="943" spans="4:9">
      <c r="D943" s="47"/>
      <c r="E943" s="143"/>
      <c r="H943" s="2"/>
      <c r="I943" s="30"/>
    </row>
    <row r="944" spans="4:9">
      <c r="D944" s="47"/>
      <c r="E944" s="143"/>
      <c r="H944" s="2"/>
      <c r="I944" s="30"/>
    </row>
    <row r="945" spans="4:15">
      <c r="D945" s="47"/>
      <c r="E945" s="143"/>
      <c r="H945" s="2"/>
      <c r="I945" s="30"/>
    </row>
    <row r="946" spans="4:15">
      <c r="D946" s="47"/>
      <c r="E946" s="143"/>
      <c r="H946" s="2"/>
      <c r="I946" s="30"/>
    </row>
    <row r="947" spans="4:15">
      <c r="D947" s="47"/>
      <c r="E947" s="143"/>
      <c r="H947" s="2"/>
      <c r="I947" s="30"/>
    </row>
    <row r="948" spans="4:15">
      <c r="D948" s="47"/>
      <c r="E948" s="143"/>
      <c r="H948" s="2"/>
      <c r="I948" s="30"/>
    </row>
    <row r="949" spans="4:15">
      <c r="D949" s="47"/>
      <c r="E949" s="143"/>
      <c r="H949" s="2"/>
      <c r="I949" s="30"/>
    </row>
    <row r="950" spans="4:15">
      <c r="D950" s="47"/>
      <c r="E950" s="143"/>
      <c r="H950" s="2"/>
      <c r="I950" s="30"/>
    </row>
    <row r="951" spans="4:15">
      <c r="D951" s="47"/>
      <c r="E951" s="143"/>
      <c r="H951" s="2"/>
      <c r="I951" s="30"/>
    </row>
    <row r="952" spans="4:15">
      <c r="D952" s="47"/>
      <c r="E952" s="143"/>
      <c r="H952" s="2"/>
      <c r="I952" s="30"/>
    </row>
    <row r="953" spans="4:15">
      <c r="D953" s="47"/>
      <c r="E953" s="143"/>
      <c r="H953" s="2"/>
      <c r="I953" s="30"/>
    </row>
    <row r="954" spans="4:15">
      <c r="D954" s="47"/>
      <c r="E954" s="143"/>
      <c r="H954" s="2"/>
      <c r="I954" s="30"/>
    </row>
    <row r="955" spans="4:15">
      <c r="D955" s="47"/>
      <c r="E955" s="143"/>
      <c r="H955" s="2"/>
      <c r="I955" s="30"/>
    </row>
    <row r="956" spans="4:15">
      <c r="D956" s="47"/>
      <c r="E956" s="143"/>
      <c r="H956" s="2"/>
      <c r="I956" s="30"/>
    </row>
    <row r="957" spans="4:15">
      <c r="K957" s="143"/>
      <c r="N957" s="2"/>
      <c r="O957" s="30"/>
    </row>
    <row r="958" spans="4:15">
      <c r="K958" s="143"/>
      <c r="N958" s="2"/>
      <c r="O958" s="30"/>
    </row>
    <row r="959" spans="4:15">
      <c r="K959" s="143"/>
      <c r="N959" s="2"/>
      <c r="O959" s="30"/>
    </row>
    <row r="960" spans="4:15">
      <c r="K960" s="143"/>
      <c r="N960" s="2"/>
      <c r="O960" s="30"/>
    </row>
    <row r="961" spans="11:15">
      <c r="K961" s="143"/>
      <c r="N961" s="2"/>
      <c r="O961" s="30"/>
    </row>
    <row r="962" spans="11:15">
      <c r="K962" s="143"/>
      <c r="N962" s="2"/>
      <c r="O962" s="30"/>
    </row>
    <row r="963" spans="11:15">
      <c r="K963" s="143"/>
      <c r="N963" s="2"/>
      <c r="O963" s="30"/>
    </row>
    <row r="964" spans="11:15">
      <c r="K964" s="143"/>
      <c r="N964" s="2"/>
      <c r="O964" s="30"/>
    </row>
    <row r="965" spans="11:15">
      <c r="K965" s="143"/>
      <c r="N965" s="2"/>
      <c r="O965" s="30"/>
    </row>
    <row r="966" spans="11:15">
      <c r="K966" s="143"/>
      <c r="N966" s="2"/>
      <c r="O966" s="30"/>
    </row>
    <row r="967" spans="11:15">
      <c r="K967" s="143"/>
      <c r="N967" s="2"/>
      <c r="O967" s="30"/>
    </row>
    <row r="968" spans="11:15">
      <c r="K968" s="143"/>
      <c r="N968" s="2"/>
      <c r="O968" s="30"/>
    </row>
    <row r="969" spans="11:15">
      <c r="K969" s="143"/>
      <c r="N969" s="2"/>
      <c r="O969" s="30"/>
    </row>
    <row r="970" spans="11:15">
      <c r="K970" s="143"/>
      <c r="N970" s="2"/>
      <c r="O970" s="30"/>
    </row>
    <row r="971" spans="11:15">
      <c r="K971" s="143"/>
      <c r="N971" s="2"/>
      <c r="O971" s="30"/>
    </row>
    <row r="972" spans="11:15">
      <c r="K972" s="143"/>
      <c r="N972" s="2"/>
      <c r="O972" s="30"/>
    </row>
    <row r="973" spans="11:15">
      <c r="K973" s="143"/>
      <c r="N973" s="2"/>
      <c r="O973" s="30"/>
    </row>
    <row r="974" spans="11:15">
      <c r="K974" s="143"/>
      <c r="N974" s="2"/>
      <c r="O974" s="30"/>
    </row>
    <row r="975" spans="11:15">
      <c r="K975" s="143"/>
      <c r="N975" s="2"/>
      <c r="O975" s="30"/>
    </row>
    <row r="976" spans="11:15">
      <c r="K976" s="143"/>
      <c r="N976" s="2"/>
      <c r="O976" s="30"/>
    </row>
    <row r="977" spans="11:15">
      <c r="K977" s="143"/>
      <c r="N977" s="2"/>
      <c r="O977" s="30"/>
    </row>
    <row r="978" spans="11:15">
      <c r="K978" s="143"/>
      <c r="N978" s="2"/>
      <c r="O978" s="30"/>
    </row>
  </sheetData>
  <hyperlinks>
    <hyperlink ref="M4" r:id="rId1" xr:uid="{7EF92EB7-A61D-4CD6-A899-2DCEA4E73E89}"/>
    <hyperlink ref="M6" r:id="rId2" xr:uid="{A2B4A727-2897-4CED-84E0-C66AF215D553}"/>
  </hyperlinks>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9523E-B84D-4C1E-B469-3864C471D3D2}">
  <dimension ref="A1:Q5"/>
  <sheetViews>
    <sheetView topLeftCell="G1" workbookViewId="0">
      <selection activeCell="H3" sqref="H3"/>
    </sheetView>
  </sheetViews>
  <sheetFormatPr defaultRowHeight="12.75"/>
  <cols>
    <col min="1" max="1" width="9.28515625" customWidth="1"/>
    <col min="2" max="2" width="14.85546875" customWidth="1"/>
    <col min="3" max="3" width="13.140625" customWidth="1"/>
    <col min="4" max="4" width="16.140625" customWidth="1"/>
    <col min="5" max="5" width="14.7109375" customWidth="1"/>
    <col min="6" max="6" width="53.85546875" customWidth="1"/>
    <col min="7" max="7" width="14.140625" customWidth="1"/>
    <col min="8" max="8" width="16.5703125" customWidth="1"/>
    <col min="9" max="9" width="19" customWidth="1"/>
    <col min="10" max="10" width="18.140625" customWidth="1"/>
    <col min="11" max="11" width="15.28515625" customWidth="1"/>
  </cols>
  <sheetData>
    <row r="1" spans="1:17" ht="40.5">
      <c r="A1" s="59" t="s">
        <v>254</v>
      </c>
      <c r="B1" s="154" t="s">
        <v>11</v>
      </c>
      <c r="C1" s="155" t="s">
        <v>322</v>
      </c>
      <c r="D1" s="154" t="s">
        <v>256</v>
      </c>
      <c r="E1" s="155" t="s">
        <v>324</v>
      </c>
      <c r="F1" s="155" t="s">
        <v>325</v>
      </c>
      <c r="G1" s="154" t="s">
        <v>326</v>
      </c>
      <c r="H1" s="154" t="s">
        <v>328</v>
      </c>
      <c r="I1" s="154" t="s">
        <v>259</v>
      </c>
      <c r="J1" s="156" t="s">
        <v>329</v>
      </c>
      <c r="K1" s="157" t="s">
        <v>280</v>
      </c>
      <c r="L1" s="35"/>
      <c r="M1" s="35"/>
      <c r="N1" s="35"/>
      <c r="O1" s="35"/>
      <c r="P1" s="35"/>
      <c r="Q1" s="35"/>
    </row>
    <row r="2" spans="1:17" ht="24">
      <c r="A2" s="58">
        <v>1</v>
      </c>
      <c r="B2" s="58" t="s">
        <v>1798</v>
      </c>
      <c r="C2" s="58" t="s">
        <v>1799</v>
      </c>
      <c r="D2" s="58"/>
      <c r="E2" s="58" t="s">
        <v>380</v>
      </c>
      <c r="F2" s="216" t="s">
        <v>1800</v>
      </c>
      <c r="G2" s="58" t="s">
        <v>381</v>
      </c>
      <c r="H2" s="58" t="s">
        <v>383</v>
      </c>
      <c r="I2" s="58" t="s">
        <v>768</v>
      </c>
      <c r="J2" s="58" t="s">
        <v>540</v>
      </c>
      <c r="K2" s="58"/>
    </row>
    <row r="3" spans="1:17" ht="24">
      <c r="A3" s="58">
        <v>2</v>
      </c>
      <c r="B3" s="58" t="s">
        <v>1798</v>
      </c>
      <c r="C3" s="58" t="s">
        <v>1801</v>
      </c>
      <c r="D3" s="58"/>
      <c r="E3" s="58" t="s">
        <v>380</v>
      </c>
      <c r="F3" s="216" t="s">
        <v>1802</v>
      </c>
      <c r="G3" s="58" t="s">
        <v>381</v>
      </c>
      <c r="H3" s="58" t="s">
        <v>383</v>
      </c>
      <c r="I3" s="58" t="s">
        <v>768</v>
      </c>
      <c r="J3" s="58" t="s">
        <v>1803</v>
      </c>
      <c r="K3" s="58"/>
    </row>
    <row r="5" spans="1:17">
      <c r="D5" t="s">
        <v>1804</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9CD2C-D38C-4932-8E0D-3DCD7233E2E3}">
  <dimension ref="A1:Z4"/>
  <sheetViews>
    <sheetView topLeftCell="C1" workbookViewId="0">
      <selection activeCell="G2" sqref="G2:K3"/>
    </sheetView>
  </sheetViews>
  <sheetFormatPr defaultRowHeight="12.75"/>
  <cols>
    <col min="1" max="1" width="9.28515625" customWidth="1"/>
    <col min="2" max="2" width="20" customWidth="1"/>
    <col min="3" max="3" width="17.7109375" customWidth="1"/>
    <col min="4" max="4" width="16.140625" customWidth="1"/>
    <col min="5" max="5" width="14.7109375" customWidth="1"/>
    <col min="6" max="6" width="53.85546875" customWidth="1"/>
    <col min="7" max="7" width="14.140625" customWidth="1"/>
    <col min="8" max="8" width="16.5703125" customWidth="1"/>
    <col min="9" max="9" width="19" customWidth="1"/>
    <col min="10" max="10" width="18.140625" customWidth="1"/>
    <col min="11" max="11" width="15.28515625" customWidth="1"/>
  </cols>
  <sheetData>
    <row r="1" spans="1:26" ht="13.5">
      <c r="A1" s="59" t="s">
        <v>254</v>
      </c>
      <c r="B1" s="154" t="s">
        <v>11</v>
      </c>
      <c r="C1" s="155" t="s">
        <v>322</v>
      </c>
      <c r="D1" s="154" t="s">
        <v>256</v>
      </c>
      <c r="E1" s="155" t="s">
        <v>324</v>
      </c>
      <c r="F1" s="155" t="s">
        <v>325</v>
      </c>
      <c r="G1" s="154" t="s">
        <v>326</v>
      </c>
      <c r="H1" s="154" t="s">
        <v>328</v>
      </c>
      <c r="I1" s="154" t="s">
        <v>259</v>
      </c>
      <c r="J1" s="156" t="s">
        <v>329</v>
      </c>
      <c r="K1" s="157" t="s">
        <v>280</v>
      </c>
      <c r="L1" s="35"/>
      <c r="M1" s="35"/>
      <c r="N1" s="35"/>
      <c r="O1" s="35"/>
      <c r="P1" s="35"/>
      <c r="Q1" s="35"/>
      <c r="R1" s="35"/>
      <c r="S1" s="35"/>
      <c r="T1" s="35"/>
      <c r="U1" s="35"/>
      <c r="V1" s="35"/>
      <c r="W1" s="35"/>
      <c r="X1" s="35"/>
      <c r="Y1" s="35"/>
      <c r="Z1" s="35"/>
    </row>
    <row r="2" spans="1:26">
      <c r="A2" s="12">
        <v>1</v>
      </c>
      <c r="B2" s="14" t="s">
        <v>1759</v>
      </c>
      <c r="C2" s="18" t="s">
        <v>1773</v>
      </c>
      <c r="D2" s="19" t="s">
        <v>1805</v>
      </c>
      <c r="E2" s="19" t="s">
        <v>380</v>
      </c>
      <c r="F2" s="18" t="s">
        <v>1774</v>
      </c>
      <c r="G2" s="19" t="s">
        <v>381</v>
      </c>
      <c r="H2" s="19" t="s">
        <v>383</v>
      </c>
      <c r="I2" s="19" t="s">
        <v>384</v>
      </c>
      <c r="J2" s="19" t="s">
        <v>385</v>
      </c>
      <c r="K2" s="19" t="s">
        <v>1757</v>
      </c>
      <c r="L2" s="35"/>
      <c r="M2" s="35"/>
      <c r="N2" s="35"/>
      <c r="O2" s="35"/>
      <c r="P2" s="35"/>
      <c r="Q2" s="35"/>
      <c r="R2" s="35"/>
      <c r="S2" s="35"/>
      <c r="T2" s="35"/>
      <c r="U2" s="35"/>
      <c r="V2" s="35"/>
    </row>
    <row r="3" spans="1:26">
      <c r="A3" s="61">
        <v>2</v>
      </c>
      <c r="B3" s="14" t="s">
        <v>1759</v>
      </c>
      <c r="C3" s="58" t="s">
        <v>1763</v>
      </c>
      <c r="D3" s="19" t="s">
        <v>292</v>
      </c>
      <c r="E3" s="19" t="s">
        <v>380</v>
      </c>
      <c r="F3" s="58" t="s">
        <v>1764</v>
      </c>
      <c r="G3" s="19" t="s">
        <v>381</v>
      </c>
      <c r="H3" s="19" t="s">
        <v>383</v>
      </c>
      <c r="I3" s="19" t="s">
        <v>384</v>
      </c>
      <c r="J3" s="19" t="s">
        <v>385</v>
      </c>
      <c r="K3" s="19" t="s">
        <v>1757</v>
      </c>
    </row>
    <row r="4" spans="1:26" ht="24">
      <c r="A4" s="61">
        <v>3</v>
      </c>
      <c r="B4" s="14" t="s">
        <v>1759</v>
      </c>
      <c r="C4" s="58" t="s">
        <v>1767</v>
      </c>
      <c r="D4" s="19" t="s">
        <v>292</v>
      </c>
      <c r="E4" s="19" t="s">
        <v>380</v>
      </c>
      <c r="F4" s="216" t="s">
        <v>1806</v>
      </c>
      <c r="G4" s="19" t="s">
        <v>381</v>
      </c>
      <c r="H4" s="19" t="s">
        <v>383</v>
      </c>
      <c r="I4" s="19" t="s">
        <v>384</v>
      </c>
      <c r="J4" s="19" t="s">
        <v>385</v>
      </c>
      <c r="K4" s="19" t="s">
        <v>1757</v>
      </c>
    </row>
  </sheetData>
  <dataValidations count="4">
    <dataValidation type="list" allowBlank="1" showErrorMessage="1" sqref="H2:H4" xr:uid="{D653432B-BC19-451D-94DF-E3BC568213C5}">
      <formula1>"Internal,External"</formula1>
    </dataValidation>
    <dataValidation type="list" allowBlank="1" showErrorMessage="1" sqref="E2:E4" xr:uid="{DB9B0397-945C-4972-AFA4-15C99BD6A7D3}">
      <formula1>"Bounceback,Defect,None"</formula1>
    </dataValidation>
    <dataValidation type="list" allowBlank="1" showErrorMessage="1" sqref="I2:I4" xr:uid="{23C46791-C4D4-466C-BFFE-EF9BC84C7C2A}">
      <formula1>"Open,Inprogress,Closed"</formula1>
    </dataValidation>
    <dataValidation type="list" allowBlank="1" showErrorMessage="1" sqref="G2:G4" xr:uid="{BC156FCB-DD9A-4C60-A658-5EA75147E5F4}">
      <formula1>"Minor,Significant,Major"</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960B4138-F0CF-46E5-ACF6-50192F4326B7}">
          <x14:formula1>
            <xm:f>Details!$A$2:$A$10</xm:f>
          </x14:formula1>
          <xm:sqref>J2:J4</xm:sqref>
        </x14:dataValidation>
      </x14:dataValidations>
    </ext>
  </extLst>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B0A56-2862-4692-B272-52A3A0C6CA53}">
  <dimension ref="A1:ZK982"/>
  <sheetViews>
    <sheetView topLeftCell="D1" workbookViewId="0">
      <selection activeCell="X8" sqref="X8"/>
    </sheetView>
  </sheetViews>
  <sheetFormatPr defaultRowHeight="12.75"/>
  <cols>
    <col min="1" max="1" width="9.140625" style="181"/>
    <col min="2" max="2" width="15.140625" customWidth="1"/>
    <col min="3" max="3" width="23.42578125" style="47" customWidth="1"/>
    <col min="4" max="4" width="12.85546875" customWidth="1"/>
    <col min="5" max="5" width="35.140625" customWidth="1"/>
    <col min="6" max="7" width="9.140625" style="53"/>
    <col min="12" max="12" width="35.85546875" customWidth="1"/>
    <col min="13" max="13" width="19.140625" customWidth="1"/>
    <col min="14" max="14" width="10.7109375" bestFit="1" customWidth="1"/>
    <col min="15" max="15" width="9.42578125" bestFit="1" customWidth="1"/>
    <col min="17" max="17" width="13.28515625" customWidth="1"/>
    <col min="19" max="19" width="9.42578125" bestFit="1" customWidth="1"/>
    <col min="20" max="20" width="14.7109375" customWidth="1"/>
    <col min="21" max="21" width="15.28515625" customWidth="1"/>
    <col min="22" max="22" width="18.5703125" customWidth="1"/>
    <col min="23" max="23" width="15.28515625" style="137" customWidth="1"/>
    <col min="24" max="24" width="48.28515625" customWidth="1"/>
  </cols>
  <sheetData>
    <row r="1" spans="1:687">
      <c r="A1" s="184"/>
      <c r="B1" s="4"/>
      <c r="C1" s="5"/>
      <c r="D1" s="5"/>
      <c r="E1" s="4"/>
      <c r="F1" s="48"/>
      <c r="G1" s="48"/>
      <c r="H1" s="197"/>
      <c r="I1" s="243"/>
      <c r="J1" s="197"/>
      <c r="K1" s="197"/>
      <c r="L1" s="197"/>
      <c r="M1" s="197"/>
      <c r="N1" s="197"/>
      <c r="O1" s="197"/>
      <c r="P1" s="197"/>
      <c r="Q1" s="197"/>
      <c r="R1" s="197"/>
      <c r="S1" s="197"/>
      <c r="T1" s="197"/>
      <c r="U1" s="197"/>
      <c r="V1" s="197"/>
      <c r="W1" s="188"/>
      <c r="X1" s="209"/>
    </row>
    <row r="2" spans="1:687" ht="46.5">
      <c r="A2" s="193" t="s">
        <v>254</v>
      </c>
      <c r="B2" s="59" t="s">
        <v>255</v>
      </c>
      <c r="C2" s="195" t="s">
        <v>256</v>
      </c>
      <c r="D2" s="68" t="s">
        <v>257</v>
      </c>
      <c r="E2" s="70" t="s">
        <v>258</v>
      </c>
      <c r="F2" s="71" t="s">
        <v>260</v>
      </c>
      <c r="G2" s="71" t="s">
        <v>261</v>
      </c>
      <c r="H2" s="199" t="s">
        <v>265</v>
      </c>
      <c r="I2" s="199" t="s">
        <v>266</v>
      </c>
      <c r="J2" s="199" t="s">
        <v>267</v>
      </c>
      <c r="K2" s="199" t="s">
        <v>268</v>
      </c>
      <c r="L2" s="199" t="s">
        <v>269</v>
      </c>
      <c r="M2" s="199" t="s">
        <v>270</v>
      </c>
      <c r="N2" s="199" t="s">
        <v>271</v>
      </c>
      <c r="O2" s="199" t="s">
        <v>272</v>
      </c>
      <c r="P2" s="199" t="s">
        <v>1708</v>
      </c>
      <c r="Q2" s="199" t="s">
        <v>274</v>
      </c>
      <c r="R2" s="199" t="s">
        <v>1709</v>
      </c>
      <c r="S2" s="199" t="s">
        <v>276</v>
      </c>
      <c r="T2" s="199" t="s">
        <v>274</v>
      </c>
      <c r="U2" s="199" t="s">
        <v>278</v>
      </c>
      <c r="V2" s="199" t="s">
        <v>279</v>
      </c>
      <c r="W2" s="189" t="s">
        <v>259</v>
      </c>
      <c r="X2" s="210" t="s">
        <v>280</v>
      </c>
    </row>
    <row r="3" spans="1:687" s="218" customFormat="1" ht="27.75" customHeight="1">
      <c r="A3" s="62">
        <v>1</v>
      </c>
      <c r="B3" s="190" t="s">
        <v>1807</v>
      </c>
      <c r="C3" s="46" t="s">
        <v>1776</v>
      </c>
      <c r="D3" s="62" t="s">
        <v>1808</v>
      </c>
      <c r="E3" s="225" t="s">
        <v>1809</v>
      </c>
      <c r="F3" s="225">
        <v>2</v>
      </c>
      <c r="G3" s="225">
        <v>2</v>
      </c>
      <c r="H3" s="87" t="s">
        <v>290</v>
      </c>
      <c r="I3" s="46" t="s">
        <v>862</v>
      </c>
      <c r="J3" s="46" t="s">
        <v>1728</v>
      </c>
      <c r="K3" s="46" t="s">
        <v>862</v>
      </c>
      <c r="L3" s="46" t="s">
        <v>1728</v>
      </c>
      <c r="M3" s="231" t="s">
        <v>1810</v>
      </c>
      <c r="N3" s="254">
        <v>45457</v>
      </c>
      <c r="O3" s="254">
        <v>45457</v>
      </c>
      <c r="P3" s="19" t="s">
        <v>295</v>
      </c>
      <c r="Q3" s="19" t="s">
        <v>1728</v>
      </c>
      <c r="R3" s="19" t="s">
        <v>294</v>
      </c>
      <c r="S3" s="254">
        <v>45457</v>
      </c>
      <c r="T3" s="19" t="s">
        <v>1728</v>
      </c>
      <c r="U3" s="19" t="s">
        <v>1728</v>
      </c>
      <c r="V3" s="19" t="s">
        <v>1728</v>
      </c>
      <c r="W3" s="203" t="s">
        <v>289</v>
      </c>
      <c r="X3" s="19"/>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s="242"/>
      <c r="OW3" s="249"/>
      <c r="OX3"/>
      <c r="OY3"/>
      <c r="OZ3"/>
      <c r="PA3"/>
      <c r="PB3"/>
      <c r="PC3"/>
      <c r="PD3"/>
      <c r="PE3"/>
      <c r="PF3"/>
      <c r="PG3"/>
      <c r="PH3"/>
      <c r="PI3"/>
      <c r="PJ3"/>
      <c r="PK3"/>
      <c r="PL3"/>
      <c r="PM3"/>
      <c r="PN3"/>
      <c r="PO3"/>
      <c r="PP3"/>
      <c r="PQ3"/>
      <c r="PR3"/>
      <c r="PS3"/>
      <c r="PT3"/>
      <c r="PU3"/>
      <c r="PV3"/>
      <c r="PW3"/>
      <c r="PX3"/>
      <c r="PY3"/>
      <c r="PZ3"/>
      <c r="QA3"/>
      <c r="QB3"/>
      <c r="QC3"/>
      <c r="QD3"/>
      <c r="QE3"/>
      <c r="QF3"/>
      <c r="QG3"/>
      <c r="QH3"/>
      <c r="QI3"/>
      <c r="QJ3"/>
      <c r="QK3"/>
      <c r="QL3"/>
      <c r="QM3"/>
      <c r="QN3"/>
      <c r="QO3"/>
      <c r="QP3"/>
      <c r="QQ3"/>
      <c r="QR3"/>
      <c r="QS3"/>
      <c r="QT3"/>
      <c r="QU3"/>
      <c r="QV3"/>
      <c r="QW3"/>
      <c r="QX3"/>
      <c r="QY3"/>
      <c r="QZ3"/>
      <c r="RA3"/>
      <c r="RB3"/>
      <c r="RC3"/>
      <c r="RD3"/>
      <c r="RE3"/>
      <c r="RF3"/>
      <c r="RG3"/>
      <c r="RH3"/>
      <c r="RI3"/>
      <c r="RJ3"/>
      <c r="RK3"/>
      <c r="RL3"/>
      <c r="RM3"/>
      <c r="RN3"/>
      <c r="RO3"/>
      <c r="RP3"/>
      <c r="RQ3"/>
      <c r="RR3"/>
      <c r="RS3"/>
      <c r="RT3"/>
      <c r="RU3"/>
      <c r="RV3"/>
      <c r="RW3"/>
      <c r="RX3"/>
      <c r="RY3"/>
      <c r="RZ3"/>
      <c r="SA3"/>
      <c r="SB3"/>
      <c r="SC3"/>
      <c r="SD3"/>
      <c r="SE3"/>
      <c r="SF3"/>
      <c r="SG3"/>
      <c r="SH3"/>
      <c r="SI3"/>
      <c r="SJ3"/>
      <c r="SK3"/>
      <c r="SL3"/>
      <c r="SM3"/>
      <c r="SN3"/>
      <c r="SO3"/>
      <c r="SP3"/>
      <c r="SQ3"/>
      <c r="SR3"/>
      <c r="SS3"/>
      <c r="ST3"/>
      <c r="SU3"/>
      <c r="SV3"/>
      <c r="SW3"/>
      <c r="SX3"/>
      <c r="SY3"/>
      <c r="SZ3"/>
      <c r="TA3"/>
      <c r="TB3"/>
      <c r="TC3"/>
      <c r="TD3"/>
      <c r="TE3"/>
      <c r="TF3"/>
      <c r="TG3"/>
      <c r="TH3"/>
      <c r="TI3"/>
      <c r="TJ3"/>
      <c r="TK3"/>
      <c r="TL3"/>
      <c r="TM3"/>
      <c r="TN3"/>
      <c r="TO3"/>
      <c r="TP3"/>
      <c r="TQ3"/>
      <c r="TR3"/>
      <c r="TS3"/>
      <c r="TT3"/>
      <c r="TU3"/>
      <c r="TV3"/>
      <c r="TW3"/>
      <c r="TX3"/>
      <c r="TY3"/>
      <c r="TZ3"/>
      <c r="UA3"/>
      <c r="UB3"/>
      <c r="UC3"/>
      <c r="UD3"/>
      <c r="UE3"/>
      <c r="UF3"/>
      <c r="UG3"/>
      <c r="UH3"/>
      <c r="UI3"/>
      <c r="UJ3"/>
      <c r="UK3"/>
      <c r="UL3"/>
      <c r="UM3"/>
      <c r="UN3"/>
      <c r="UO3"/>
      <c r="UP3"/>
      <c r="UQ3"/>
      <c r="UR3"/>
      <c r="US3"/>
      <c r="UT3"/>
      <c r="UU3"/>
      <c r="UV3"/>
      <c r="UW3"/>
      <c r="UX3"/>
      <c r="UY3"/>
      <c r="UZ3"/>
      <c r="VA3"/>
      <c r="VB3"/>
      <c r="VC3"/>
      <c r="VD3"/>
      <c r="VE3"/>
      <c r="VF3"/>
      <c r="VG3"/>
      <c r="VH3"/>
      <c r="VI3"/>
      <c r="VJ3"/>
      <c r="VK3"/>
      <c r="VL3"/>
      <c r="VM3"/>
      <c r="VN3"/>
      <c r="VO3"/>
      <c r="VP3"/>
      <c r="VQ3"/>
      <c r="VR3"/>
      <c r="VS3"/>
      <c r="VT3"/>
      <c r="VU3"/>
      <c r="VV3"/>
      <c r="VW3"/>
      <c r="VX3"/>
      <c r="VY3"/>
      <c r="VZ3"/>
      <c r="WA3"/>
      <c r="WB3"/>
      <c r="WC3"/>
      <c r="WD3"/>
      <c r="WE3"/>
      <c r="WF3"/>
      <c r="WG3"/>
      <c r="WH3"/>
      <c r="WI3"/>
      <c r="WJ3"/>
      <c r="WK3"/>
      <c r="WL3"/>
      <c r="WM3"/>
      <c r="WN3"/>
      <c r="WO3"/>
      <c r="WP3"/>
      <c r="WQ3"/>
      <c r="WR3"/>
      <c r="WS3"/>
      <c r="WT3"/>
      <c r="WU3"/>
      <c r="WV3"/>
      <c r="WW3"/>
      <c r="WX3"/>
      <c r="WY3"/>
      <c r="WZ3"/>
      <c r="XA3"/>
      <c r="XB3"/>
      <c r="XC3"/>
      <c r="XD3"/>
      <c r="XE3"/>
      <c r="XF3"/>
      <c r="XG3"/>
      <c r="XH3"/>
      <c r="XI3"/>
      <c r="XJ3"/>
      <c r="XK3"/>
      <c r="XL3"/>
      <c r="XM3"/>
      <c r="XN3"/>
      <c r="XO3"/>
      <c r="XP3"/>
      <c r="XQ3"/>
      <c r="XR3"/>
      <c r="XS3"/>
      <c r="XT3"/>
      <c r="XU3"/>
      <c r="XV3"/>
      <c r="XW3"/>
      <c r="XX3"/>
      <c r="XY3"/>
      <c r="XZ3"/>
      <c r="YA3"/>
      <c r="YB3"/>
      <c r="YC3"/>
      <c r="YD3"/>
      <c r="YE3"/>
      <c r="YF3"/>
      <c r="YG3"/>
      <c r="YH3"/>
      <c r="YI3"/>
      <c r="YJ3"/>
      <c r="YK3"/>
      <c r="YL3"/>
      <c r="YM3"/>
      <c r="YN3"/>
      <c r="YO3"/>
      <c r="YP3"/>
      <c r="YQ3"/>
      <c r="YR3"/>
      <c r="YS3"/>
      <c r="YT3"/>
      <c r="YU3"/>
      <c r="YV3"/>
      <c r="YW3"/>
      <c r="YX3"/>
      <c r="YY3"/>
      <c r="YZ3"/>
      <c r="ZA3"/>
      <c r="ZB3"/>
      <c r="ZC3"/>
      <c r="ZD3"/>
      <c r="ZE3"/>
      <c r="ZF3"/>
      <c r="ZG3"/>
      <c r="ZH3"/>
      <c r="ZI3"/>
      <c r="ZJ3"/>
      <c r="ZK3" s="242"/>
    </row>
    <row r="4" spans="1:687" s="229" customFormat="1" ht="31.5" customHeight="1">
      <c r="A4" s="257">
        <v>2</v>
      </c>
      <c r="B4" s="159" t="s">
        <v>1807</v>
      </c>
      <c r="C4" s="258" t="s">
        <v>1811</v>
      </c>
      <c r="D4" s="258" t="s">
        <v>1812</v>
      </c>
      <c r="E4" s="259" t="s">
        <v>1813</v>
      </c>
      <c r="F4" s="259">
        <v>3</v>
      </c>
      <c r="G4" s="259">
        <v>3</v>
      </c>
      <c r="H4" s="170" t="s">
        <v>290</v>
      </c>
      <c r="I4" s="170" t="s">
        <v>1728</v>
      </c>
      <c r="J4" s="170" t="s">
        <v>1728</v>
      </c>
      <c r="K4" s="170" t="s">
        <v>1728</v>
      </c>
      <c r="L4" s="170" t="s">
        <v>1728</v>
      </c>
      <c r="M4" s="170" t="s">
        <v>1728</v>
      </c>
      <c r="N4" s="170" t="s">
        <v>1728</v>
      </c>
      <c r="O4" s="170" t="s">
        <v>1728</v>
      </c>
      <c r="P4" s="170" t="s">
        <v>1728</v>
      </c>
      <c r="Q4" s="170" t="s">
        <v>1728</v>
      </c>
      <c r="R4" s="170" t="s">
        <v>1728</v>
      </c>
      <c r="S4" s="170" t="s">
        <v>1728</v>
      </c>
      <c r="T4" s="170" t="s">
        <v>1728</v>
      </c>
      <c r="U4" s="170" t="s">
        <v>1728</v>
      </c>
      <c r="V4" s="170" t="s">
        <v>1728</v>
      </c>
      <c r="W4" s="229" t="s">
        <v>289</v>
      </c>
      <c r="X4" s="229" t="s">
        <v>1814</v>
      </c>
      <c r="Y4" s="244"/>
      <c r="Z4" s="244"/>
      <c r="AA4" s="244"/>
      <c r="AB4" s="244"/>
      <c r="AC4" s="244"/>
      <c r="AD4" s="244"/>
      <c r="AE4" s="137"/>
      <c r="AF4" s="137"/>
      <c r="AG4" s="137"/>
      <c r="AH4" s="137"/>
      <c r="AI4" s="137"/>
      <c r="AJ4" s="137"/>
      <c r="AK4" s="137"/>
      <c r="AL4" s="137"/>
      <c r="AM4" s="137"/>
      <c r="AN4" s="137"/>
      <c r="AO4" s="137"/>
      <c r="AP4" s="137"/>
      <c r="AQ4" s="137"/>
      <c r="AR4" s="137"/>
      <c r="AS4" s="137"/>
      <c r="AT4" s="137"/>
      <c r="AU4" s="137"/>
      <c r="AV4" s="137"/>
      <c r="AW4" s="137"/>
      <c r="AX4" s="137"/>
      <c r="AY4" s="137"/>
      <c r="AZ4" s="137"/>
      <c r="BA4" s="137"/>
      <c r="BB4" s="137"/>
      <c r="BC4" s="137"/>
      <c r="BD4" s="137"/>
      <c r="BE4" s="137"/>
      <c r="BF4" s="137"/>
      <c r="BG4" s="137"/>
      <c r="BH4" s="137"/>
      <c r="BI4" s="137"/>
      <c r="BJ4" s="137"/>
      <c r="BK4" s="137"/>
      <c r="BL4" s="137"/>
      <c r="BM4" s="137"/>
      <c r="BN4" s="137"/>
      <c r="BO4" s="137"/>
      <c r="BP4" s="137"/>
      <c r="BQ4" s="137"/>
      <c r="BR4" s="137"/>
      <c r="BS4" s="137"/>
      <c r="BT4" s="137"/>
      <c r="BU4" s="137"/>
      <c r="BV4" s="137"/>
      <c r="BW4" s="137"/>
      <c r="BX4" s="137"/>
      <c r="BY4" s="137"/>
      <c r="BZ4" s="137"/>
      <c r="CA4" s="137"/>
      <c r="CB4" s="137"/>
      <c r="CC4" s="137"/>
      <c r="CD4" s="137"/>
      <c r="CE4" s="137"/>
      <c r="CF4" s="137"/>
      <c r="CG4" s="137"/>
      <c r="CH4" s="137"/>
      <c r="CI4" s="137"/>
      <c r="CJ4" s="137"/>
      <c r="CK4" s="137"/>
      <c r="CL4" s="137"/>
      <c r="CM4" s="137"/>
      <c r="CN4" s="137"/>
      <c r="CO4" s="137"/>
      <c r="CP4" s="137"/>
      <c r="CQ4" s="137"/>
      <c r="CR4" s="137"/>
      <c r="CS4" s="137"/>
      <c r="CT4" s="137"/>
      <c r="CU4" s="137"/>
      <c r="CV4" s="137"/>
      <c r="CW4" s="137"/>
      <c r="CX4" s="137"/>
      <c r="CY4" s="137"/>
      <c r="CZ4" s="137"/>
      <c r="DA4" s="137"/>
      <c r="DB4" s="137"/>
      <c r="DC4" s="137"/>
      <c r="DD4" s="137"/>
      <c r="DE4" s="137"/>
      <c r="DF4" s="137"/>
      <c r="DG4" s="137"/>
      <c r="DH4" s="137"/>
      <c r="DI4" s="137"/>
      <c r="DJ4" s="137"/>
      <c r="DK4" s="137"/>
      <c r="DL4" s="137"/>
      <c r="DM4" s="137"/>
      <c r="DN4" s="137"/>
      <c r="DO4" s="137"/>
      <c r="DP4" s="137"/>
      <c r="DQ4" s="137"/>
      <c r="DR4" s="137"/>
      <c r="DS4" s="137"/>
      <c r="DT4" s="137"/>
      <c r="DU4" s="137"/>
      <c r="DV4" s="137"/>
      <c r="DW4" s="137"/>
      <c r="DX4" s="137"/>
      <c r="DY4" s="137"/>
      <c r="DZ4" s="137"/>
      <c r="EA4" s="137"/>
      <c r="EB4" s="137"/>
      <c r="EC4" s="137"/>
      <c r="ED4" s="137"/>
      <c r="EE4" s="137"/>
      <c r="EF4" s="137"/>
      <c r="EG4" s="137"/>
      <c r="EH4" s="137"/>
      <c r="EI4" s="137"/>
      <c r="EJ4" s="137"/>
      <c r="EK4" s="137"/>
      <c r="EL4" s="137"/>
      <c r="EM4" s="137"/>
      <c r="EN4" s="137"/>
      <c r="EO4" s="137"/>
      <c r="EP4" s="137"/>
      <c r="EQ4" s="137"/>
      <c r="ER4" s="137"/>
      <c r="ES4" s="137"/>
      <c r="ET4" s="137"/>
      <c r="EU4" s="137"/>
      <c r="EV4" s="137"/>
      <c r="EW4" s="137"/>
      <c r="EX4" s="137"/>
      <c r="EY4" s="137"/>
      <c r="EZ4" s="137"/>
      <c r="FA4" s="137"/>
      <c r="FB4" s="137"/>
      <c r="FC4" s="137"/>
      <c r="FD4" s="137"/>
      <c r="FE4" s="137"/>
      <c r="FF4" s="137"/>
      <c r="FG4" s="137"/>
      <c r="FH4" s="137"/>
      <c r="FI4" s="137"/>
      <c r="FJ4" s="137"/>
      <c r="FK4" s="137"/>
      <c r="FL4" s="137"/>
      <c r="FM4" s="137"/>
      <c r="FN4" s="137"/>
      <c r="FO4" s="137"/>
      <c r="FP4" s="137"/>
      <c r="FQ4" s="137"/>
      <c r="FR4" s="137"/>
      <c r="FS4" s="137"/>
      <c r="FT4" s="137"/>
      <c r="FU4" s="137"/>
      <c r="FV4" s="137"/>
      <c r="FW4" s="137"/>
      <c r="FX4" s="137"/>
      <c r="FY4" s="137"/>
      <c r="FZ4" s="137"/>
      <c r="GA4" s="137"/>
      <c r="GB4" s="137"/>
      <c r="GC4" s="137"/>
      <c r="GD4" s="137"/>
      <c r="GE4" s="137"/>
      <c r="GF4" s="137"/>
      <c r="GG4" s="137"/>
      <c r="GH4" s="137"/>
      <c r="GI4" s="137"/>
      <c r="GJ4" s="137"/>
      <c r="GK4" s="137"/>
      <c r="GL4" s="137"/>
      <c r="GM4" s="137"/>
      <c r="GN4" s="137"/>
      <c r="GO4" s="137"/>
      <c r="GP4" s="137"/>
      <c r="GQ4" s="137"/>
      <c r="GR4" s="137"/>
      <c r="GS4" s="137"/>
      <c r="GT4" s="137"/>
      <c r="GU4" s="137"/>
      <c r="GV4" s="137"/>
      <c r="GW4" s="137"/>
      <c r="GX4" s="137"/>
      <c r="GY4" s="137"/>
      <c r="GZ4" s="137"/>
      <c r="HA4" s="137"/>
      <c r="HB4" s="137"/>
      <c r="HC4" s="137"/>
      <c r="HD4" s="137"/>
      <c r="HE4" s="137"/>
      <c r="HF4" s="137"/>
      <c r="HG4" s="137"/>
      <c r="HH4" s="137"/>
      <c r="HI4" s="137"/>
      <c r="HJ4" s="137"/>
      <c r="HK4" s="137"/>
      <c r="HL4" s="137"/>
      <c r="HM4" s="137"/>
      <c r="HN4" s="137"/>
      <c r="HO4" s="137"/>
      <c r="HP4" s="137"/>
      <c r="HQ4" s="137"/>
      <c r="HR4" s="137"/>
      <c r="HS4" s="137"/>
      <c r="HT4" s="137"/>
      <c r="HU4" s="137"/>
      <c r="HV4" s="137"/>
      <c r="HW4" s="137"/>
      <c r="HX4" s="137"/>
      <c r="HY4" s="137"/>
      <c r="HZ4" s="137"/>
      <c r="IA4" s="137"/>
      <c r="IB4" s="137"/>
      <c r="IC4" s="137"/>
      <c r="ID4" s="137"/>
      <c r="IE4" s="137"/>
      <c r="IF4" s="137"/>
      <c r="IG4" s="137"/>
      <c r="IH4" s="137"/>
      <c r="II4" s="137"/>
      <c r="IJ4" s="137"/>
      <c r="IK4" s="137"/>
      <c r="IL4" s="137"/>
      <c r="IM4" s="137"/>
      <c r="IN4" s="137"/>
      <c r="IO4" s="137"/>
      <c r="IP4" s="247"/>
      <c r="OW4" s="250"/>
      <c r="OX4" s="137"/>
      <c r="OY4" s="137"/>
      <c r="OZ4" s="137"/>
      <c r="PA4" s="137"/>
      <c r="PB4" s="137"/>
      <c r="PC4" s="137"/>
      <c r="PD4" s="137"/>
      <c r="PE4" s="137"/>
      <c r="PF4" s="137"/>
      <c r="PG4" s="137"/>
      <c r="PH4" s="137"/>
      <c r="PI4" s="137"/>
      <c r="PJ4" s="137"/>
      <c r="PK4" s="137"/>
      <c r="PL4" s="137"/>
      <c r="PM4" s="137"/>
      <c r="PN4" s="137"/>
      <c r="PO4" s="137"/>
      <c r="PP4" s="137"/>
      <c r="PQ4" s="137"/>
      <c r="PR4" s="137"/>
      <c r="PS4" s="137"/>
      <c r="PT4" s="137"/>
      <c r="PU4" s="137"/>
      <c r="PV4" s="137"/>
      <c r="PW4" s="137"/>
      <c r="PX4" s="137"/>
      <c r="PY4" s="137"/>
      <c r="PZ4" s="137"/>
      <c r="QA4" s="137"/>
      <c r="QB4" s="137"/>
      <c r="QC4" s="137"/>
      <c r="QD4" s="137"/>
      <c r="QE4" s="137"/>
      <c r="QF4" s="137"/>
      <c r="QG4" s="137"/>
      <c r="QH4" s="137"/>
      <c r="QI4" s="137"/>
      <c r="QJ4" s="137"/>
      <c r="QK4" s="137"/>
      <c r="QL4" s="137"/>
      <c r="QM4" s="137"/>
      <c r="QN4" s="137"/>
      <c r="QO4" s="137"/>
      <c r="QP4" s="137"/>
      <c r="QQ4" s="137"/>
      <c r="QR4" s="137"/>
      <c r="QS4" s="137"/>
      <c r="QT4" s="137"/>
      <c r="QU4" s="137"/>
      <c r="QV4" s="137"/>
      <c r="QW4" s="137"/>
      <c r="QX4" s="137"/>
      <c r="QY4" s="137"/>
      <c r="QZ4" s="137"/>
      <c r="RA4" s="137"/>
      <c r="RB4" s="137"/>
      <c r="RC4" s="137"/>
      <c r="RD4" s="137"/>
      <c r="RE4" s="137"/>
      <c r="RF4" s="137"/>
      <c r="RG4" s="137"/>
      <c r="RH4" s="137"/>
      <c r="RI4" s="137"/>
      <c r="RJ4" s="137"/>
      <c r="RK4" s="137"/>
      <c r="RL4" s="137"/>
      <c r="RM4" s="137"/>
      <c r="RN4" s="137"/>
      <c r="RO4" s="137"/>
      <c r="RP4" s="137"/>
      <c r="RQ4" s="137"/>
      <c r="RR4" s="137"/>
      <c r="RS4" s="137"/>
      <c r="RT4" s="137"/>
      <c r="RU4" s="137"/>
      <c r="RV4" s="137"/>
      <c r="RW4" s="137"/>
      <c r="RX4" s="137"/>
      <c r="RY4" s="137"/>
      <c r="RZ4" s="137"/>
      <c r="SA4" s="137"/>
      <c r="SB4" s="137"/>
      <c r="SC4" s="137"/>
      <c r="SD4" s="137"/>
      <c r="SE4" s="137"/>
      <c r="SF4" s="137"/>
      <c r="SG4" s="137"/>
      <c r="SH4" s="137"/>
      <c r="SI4" s="137"/>
      <c r="SJ4" s="137"/>
      <c r="SK4" s="137"/>
      <c r="SL4" s="137"/>
      <c r="SM4" s="137"/>
      <c r="SN4" s="137"/>
      <c r="SO4" s="137"/>
      <c r="SP4" s="137"/>
      <c r="SQ4" s="137"/>
      <c r="SR4" s="137"/>
      <c r="SS4" s="137"/>
      <c r="ST4" s="137"/>
      <c r="SU4" s="137"/>
      <c r="SV4" s="137"/>
      <c r="SW4" s="137"/>
      <c r="SX4" s="137"/>
      <c r="SY4" s="137"/>
      <c r="SZ4" s="137"/>
      <c r="TA4" s="137"/>
      <c r="TB4" s="137"/>
      <c r="TC4" s="137"/>
      <c r="TD4" s="137"/>
      <c r="TE4" s="137"/>
      <c r="TF4" s="137"/>
      <c r="TG4" s="137"/>
      <c r="TH4" s="137"/>
      <c r="TI4" s="137"/>
      <c r="TJ4" s="137"/>
      <c r="TK4" s="137"/>
      <c r="TL4" s="137"/>
      <c r="TM4" s="137"/>
      <c r="TN4" s="137"/>
      <c r="TO4" s="137"/>
      <c r="TP4" s="137"/>
      <c r="TQ4" s="137"/>
      <c r="TR4" s="137"/>
      <c r="TS4" s="137"/>
      <c r="TT4" s="137"/>
      <c r="TU4" s="137"/>
      <c r="TV4" s="137"/>
      <c r="TW4" s="137"/>
      <c r="TX4" s="137"/>
      <c r="TY4" s="137"/>
      <c r="TZ4" s="137"/>
      <c r="UA4" s="137"/>
      <c r="UB4" s="137"/>
      <c r="UC4" s="137"/>
      <c r="UD4" s="137"/>
      <c r="UE4" s="137"/>
      <c r="UF4" s="137"/>
      <c r="UG4" s="137"/>
      <c r="UH4" s="137"/>
      <c r="UI4" s="137"/>
      <c r="UJ4" s="137"/>
      <c r="UK4" s="137"/>
      <c r="UL4" s="137"/>
      <c r="UM4" s="137"/>
      <c r="UN4" s="137"/>
      <c r="UO4" s="137"/>
      <c r="UP4" s="137"/>
      <c r="UQ4" s="137"/>
      <c r="UR4" s="137"/>
      <c r="US4" s="137"/>
      <c r="UT4" s="137"/>
      <c r="UU4" s="137"/>
      <c r="UV4" s="137"/>
      <c r="UW4" s="137"/>
      <c r="UX4" s="137"/>
      <c r="UY4" s="137"/>
      <c r="UZ4" s="137"/>
      <c r="VA4" s="137"/>
      <c r="VB4" s="137"/>
      <c r="VC4" s="137"/>
      <c r="VD4" s="137"/>
      <c r="VE4" s="137"/>
      <c r="VF4" s="137"/>
      <c r="VG4" s="137"/>
      <c r="VH4" s="137"/>
      <c r="VI4" s="137"/>
      <c r="VJ4" s="137"/>
      <c r="VK4" s="137"/>
      <c r="VL4" s="137"/>
      <c r="VM4" s="137"/>
      <c r="VN4" s="137"/>
      <c r="VO4" s="137"/>
      <c r="VP4" s="137"/>
      <c r="VQ4" s="137"/>
      <c r="VR4" s="137"/>
      <c r="VS4" s="137"/>
      <c r="VT4" s="137"/>
      <c r="VU4" s="137"/>
      <c r="VV4" s="137"/>
      <c r="VW4" s="137"/>
      <c r="VX4" s="137"/>
      <c r="VY4" s="137"/>
      <c r="VZ4" s="137"/>
      <c r="WA4" s="137"/>
      <c r="WB4" s="137"/>
      <c r="WC4" s="137"/>
      <c r="WD4" s="137"/>
      <c r="WE4" s="137"/>
      <c r="WF4" s="137"/>
      <c r="WG4" s="137"/>
      <c r="WH4" s="137"/>
      <c r="WI4" s="137"/>
      <c r="WJ4" s="137"/>
      <c r="WK4" s="137"/>
      <c r="WL4" s="137"/>
      <c r="WM4" s="137"/>
      <c r="WN4" s="137"/>
      <c r="WO4" s="137"/>
      <c r="WP4" s="137"/>
      <c r="WQ4" s="137"/>
      <c r="WR4" s="137"/>
      <c r="WS4" s="137"/>
      <c r="WT4" s="137"/>
      <c r="WU4" s="137"/>
      <c r="WV4" s="137"/>
      <c r="WW4" s="137"/>
      <c r="WX4" s="137"/>
      <c r="WY4" s="137"/>
      <c r="WZ4" s="137"/>
      <c r="XA4" s="137"/>
      <c r="XB4" s="137"/>
      <c r="XC4" s="137"/>
      <c r="XD4" s="137"/>
      <c r="XE4" s="137"/>
      <c r="XF4" s="137"/>
      <c r="XG4" s="137"/>
      <c r="XH4" s="137"/>
      <c r="XI4" s="137"/>
      <c r="XJ4" s="137"/>
      <c r="XK4" s="137"/>
      <c r="XL4" s="137"/>
      <c r="XM4" s="137"/>
      <c r="XN4" s="137"/>
      <c r="XO4" s="137"/>
      <c r="XP4" s="137"/>
      <c r="XQ4" s="137"/>
      <c r="XR4" s="137"/>
      <c r="XS4" s="137"/>
      <c r="XT4" s="137"/>
      <c r="XU4" s="137"/>
      <c r="XV4" s="137"/>
      <c r="XW4" s="137"/>
      <c r="XX4" s="137"/>
      <c r="XY4" s="137"/>
      <c r="XZ4" s="137"/>
      <c r="YA4" s="137"/>
      <c r="YB4" s="137"/>
      <c r="YC4" s="137"/>
      <c r="YD4" s="137"/>
      <c r="YE4" s="137"/>
      <c r="YF4" s="137"/>
      <c r="YG4" s="137"/>
      <c r="YH4" s="137"/>
      <c r="YI4" s="137"/>
      <c r="YJ4" s="137"/>
      <c r="YK4" s="137"/>
      <c r="YL4" s="137"/>
      <c r="YM4" s="137"/>
      <c r="YN4" s="137"/>
      <c r="YO4" s="137"/>
      <c r="YP4" s="137"/>
      <c r="YQ4" s="137"/>
      <c r="YR4" s="137"/>
      <c r="YS4" s="137"/>
      <c r="YT4" s="137"/>
      <c r="YU4" s="137"/>
      <c r="YV4" s="137"/>
      <c r="YW4" s="137"/>
      <c r="YX4" s="137"/>
      <c r="YY4" s="137"/>
      <c r="YZ4" s="137"/>
      <c r="ZA4" s="137"/>
      <c r="ZB4" s="137"/>
      <c r="ZC4" s="137"/>
      <c r="ZD4" s="137"/>
      <c r="ZE4" s="137"/>
      <c r="ZF4" s="137"/>
      <c r="ZG4" s="137"/>
      <c r="ZH4" s="137"/>
      <c r="ZI4" s="137"/>
      <c r="ZJ4" s="137"/>
      <c r="ZK4" s="247"/>
    </row>
    <row r="5" spans="1:687" s="137" customFormat="1" ht="35.25" customHeight="1">
      <c r="A5" s="256">
        <v>3</v>
      </c>
      <c r="B5" s="190" t="s">
        <v>1807</v>
      </c>
      <c r="C5" s="46" t="s">
        <v>292</v>
      </c>
      <c r="D5" s="62" t="s">
        <v>1815</v>
      </c>
      <c r="E5" s="225" t="s">
        <v>1816</v>
      </c>
      <c r="F5" s="225">
        <v>2</v>
      </c>
      <c r="G5" s="225">
        <v>2</v>
      </c>
      <c r="H5" s="87" t="s">
        <v>290</v>
      </c>
      <c r="I5" s="46" t="s">
        <v>1714</v>
      </c>
      <c r="J5" s="62" t="s">
        <v>1728</v>
      </c>
      <c r="K5" s="46" t="s">
        <v>862</v>
      </c>
      <c r="L5" s="62" t="s">
        <v>1728</v>
      </c>
      <c r="M5" s="231" t="s">
        <v>1817</v>
      </c>
      <c r="N5" s="269">
        <v>45455</v>
      </c>
      <c r="O5" s="232">
        <v>45455</v>
      </c>
      <c r="P5" s="41" t="s">
        <v>295</v>
      </c>
      <c r="Q5" s="203" t="s">
        <v>1728</v>
      </c>
      <c r="R5" s="203" t="s">
        <v>294</v>
      </c>
      <c r="S5" s="206">
        <v>45455</v>
      </c>
      <c r="T5" s="203" t="s">
        <v>1728</v>
      </c>
      <c r="U5" s="203" t="s">
        <v>1728</v>
      </c>
      <c r="V5" s="203" t="s">
        <v>1728</v>
      </c>
      <c r="W5" s="203" t="s">
        <v>289</v>
      </c>
      <c r="X5" s="203"/>
      <c r="Y5" s="244"/>
      <c r="Z5" s="244"/>
      <c r="AA5" s="244"/>
      <c r="AB5" s="244"/>
      <c r="AC5" s="244"/>
      <c r="AD5" s="244"/>
    </row>
    <row r="6" spans="1:687" ht="24.75" customHeight="1">
      <c r="A6" s="260">
        <v>4</v>
      </c>
      <c r="B6" s="261" t="s">
        <v>1807</v>
      </c>
      <c r="C6" s="262" t="s">
        <v>1776</v>
      </c>
      <c r="D6" s="260" t="s">
        <v>1818</v>
      </c>
      <c r="E6" s="263" t="s">
        <v>1819</v>
      </c>
      <c r="F6" s="264">
        <v>2</v>
      </c>
      <c r="G6" s="264">
        <v>2</v>
      </c>
      <c r="H6" s="265" t="s">
        <v>290</v>
      </c>
      <c r="I6" s="262" t="s">
        <v>292</v>
      </c>
      <c r="J6" s="260" t="s">
        <v>1728</v>
      </c>
      <c r="K6" s="262" t="s">
        <v>862</v>
      </c>
      <c r="L6" s="260" t="s">
        <v>1728</v>
      </c>
      <c r="M6" s="255" t="s">
        <v>1820</v>
      </c>
      <c r="N6" s="266">
        <v>45457</v>
      </c>
      <c r="O6" s="266">
        <v>45458</v>
      </c>
      <c r="P6" s="107" t="s">
        <v>295</v>
      </c>
      <c r="Q6" s="226" t="s">
        <v>1728</v>
      </c>
      <c r="R6" s="226" t="s">
        <v>294</v>
      </c>
      <c r="S6" s="267">
        <v>45458</v>
      </c>
      <c r="T6" s="226" t="s">
        <v>1728</v>
      </c>
      <c r="U6" s="226" t="s">
        <v>1728</v>
      </c>
      <c r="V6" s="226" t="s">
        <v>1728</v>
      </c>
      <c r="W6" s="268" t="s">
        <v>289</v>
      </c>
      <c r="X6" s="273"/>
      <c r="Y6" s="35"/>
      <c r="Z6" s="35"/>
      <c r="AA6" s="35"/>
      <c r="AB6" s="35"/>
      <c r="AC6" s="35"/>
      <c r="AD6" s="35"/>
    </row>
    <row r="7" spans="1:687" ht="24">
      <c r="A7" s="257">
        <v>5</v>
      </c>
      <c r="B7" s="159" t="s">
        <v>1807</v>
      </c>
      <c r="C7" s="270" t="s">
        <v>1821</v>
      </c>
      <c r="D7" s="257" t="s">
        <v>1789</v>
      </c>
      <c r="E7" s="259" t="s">
        <v>1822</v>
      </c>
      <c r="F7" s="259">
        <v>3</v>
      </c>
      <c r="G7" s="259">
        <v>2</v>
      </c>
      <c r="H7" s="170"/>
      <c r="I7" s="270"/>
      <c r="J7" s="257"/>
      <c r="K7" s="270"/>
      <c r="L7" s="257"/>
      <c r="M7" s="271"/>
      <c r="N7" s="219"/>
      <c r="O7" s="219"/>
      <c r="P7" s="219"/>
      <c r="Q7" s="218"/>
      <c r="R7" s="218"/>
      <c r="S7" s="218"/>
      <c r="T7" s="218"/>
      <c r="U7" s="218"/>
      <c r="V7" s="218"/>
      <c r="W7" s="250" t="s">
        <v>500</v>
      </c>
      <c r="X7" s="274"/>
      <c r="Y7" s="35"/>
      <c r="Z7" s="35"/>
      <c r="AA7" s="35"/>
      <c r="AB7" s="35"/>
      <c r="AC7" s="35"/>
      <c r="AD7" s="35"/>
    </row>
    <row r="8" spans="1:687" s="58" customFormat="1" ht="15">
      <c r="A8" s="228">
        <v>6</v>
      </c>
      <c r="B8" s="190" t="s">
        <v>1807</v>
      </c>
      <c r="C8" s="12" t="s">
        <v>1811</v>
      </c>
      <c r="D8" s="64" t="s">
        <v>1823</v>
      </c>
      <c r="E8" s="64" t="s">
        <v>1824</v>
      </c>
      <c r="F8" s="225">
        <v>5</v>
      </c>
      <c r="G8" s="45">
        <v>5</v>
      </c>
      <c r="H8" s="30" t="s">
        <v>290</v>
      </c>
      <c r="I8" s="19"/>
      <c r="K8" s="19"/>
      <c r="M8" s="19"/>
      <c r="N8" s="19"/>
      <c r="O8" s="19"/>
      <c r="P8" s="19"/>
      <c r="W8" s="272" t="s">
        <v>289</v>
      </c>
      <c r="X8" s="274" t="s">
        <v>1825</v>
      </c>
      <c r="Y8" s="227"/>
    </row>
    <row r="9" spans="1:687">
      <c r="B9" s="28"/>
      <c r="C9" s="196"/>
      <c r="D9" s="47"/>
      <c r="E9" s="28"/>
      <c r="F9" s="215"/>
      <c r="G9" s="215"/>
      <c r="H9" s="2"/>
      <c r="I9" s="35"/>
      <c r="K9" s="35"/>
      <c r="M9" s="35"/>
      <c r="N9" s="35"/>
      <c r="O9" s="35"/>
      <c r="P9" s="35"/>
    </row>
    <row r="10" spans="1:687">
      <c r="B10" s="28"/>
      <c r="C10" s="196"/>
      <c r="D10" s="47"/>
      <c r="E10" s="28"/>
      <c r="F10" s="215"/>
      <c r="G10" s="215"/>
      <c r="H10" s="2"/>
      <c r="I10" s="35"/>
      <c r="K10" s="35"/>
      <c r="M10" s="35"/>
      <c r="N10" s="35"/>
      <c r="O10" s="35"/>
      <c r="P10" s="35"/>
    </row>
    <row r="11" spans="1:687">
      <c r="B11" s="28"/>
      <c r="C11" s="196"/>
      <c r="D11" s="47"/>
      <c r="E11" s="28"/>
      <c r="F11" s="215"/>
      <c r="G11" s="215"/>
      <c r="H11" s="2"/>
      <c r="I11" s="35"/>
      <c r="K11" s="35"/>
      <c r="M11" s="35"/>
      <c r="N11" s="35"/>
      <c r="O11" s="35"/>
      <c r="P11" s="35"/>
    </row>
    <row r="12" spans="1:687">
      <c r="B12" s="28"/>
      <c r="C12" s="196"/>
      <c r="D12" s="47"/>
      <c r="E12" s="28"/>
      <c r="F12" s="215"/>
      <c r="G12" s="215"/>
      <c r="H12" s="2"/>
      <c r="I12" s="35"/>
      <c r="K12" s="35"/>
      <c r="M12" s="35"/>
      <c r="N12" s="35"/>
      <c r="O12" s="35"/>
      <c r="P12" s="35"/>
    </row>
    <row r="13" spans="1:687">
      <c r="B13" s="28"/>
      <c r="C13" s="196"/>
      <c r="D13" s="47"/>
      <c r="E13" s="28"/>
      <c r="F13" s="215"/>
      <c r="G13" s="215"/>
      <c r="H13" s="2"/>
      <c r="I13" s="35"/>
      <c r="K13" s="35"/>
      <c r="M13" s="35"/>
      <c r="N13" s="35"/>
      <c r="O13" s="35"/>
      <c r="P13" s="35"/>
    </row>
    <row r="14" spans="1:687">
      <c r="B14" s="28"/>
      <c r="C14" s="196"/>
      <c r="D14" s="47"/>
      <c r="E14" s="28"/>
      <c r="F14" s="215"/>
      <c r="G14" s="215"/>
      <c r="H14" s="2"/>
      <c r="I14" s="35"/>
      <c r="K14" s="35"/>
      <c r="M14" s="35"/>
      <c r="N14" s="35"/>
      <c r="O14" s="35"/>
      <c r="P14" s="35"/>
    </row>
    <row r="15" spans="1:687">
      <c r="B15" s="28"/>
      <c r="C15" s="196"/>
      <c r="D15" s="47"/>
      <c r="E15" s="28"/>
      <c r="F15" s="215"/>
      <c r="G15" s="215"/>
      <c r="H15" s="2"/>
      <c r="I15" s="35"/>
      <c r="K15" s="35"/>
      <c r="M15" s="35"/>
      <c r="N15" s="35"/>
      <c r="O15" s="35"/>
      <c r="P15" s="35"/>
    </row>
    <row r="16" spans="1:687">
      <c r="B16" s="28"/>
      <c r="C16" s="196"/>
      <c r="D16" s="47"/>
      <c r="E16" s="28"/>
      <c r="F16" s="215"/>
      <c r="G16" s="215"/>
      <c r="H16" s="2"/>
      <c r="I16" s="35"/>
      <c r="K16" s="35"/>
      <c r="M16" s="35"/>
      <c r="N16" s="35"/>
      <c r="O16" s="35"/>
      <c r="P16" s="35"/>
    </row>
    <row r="17" spans="2:16">
      <c r="B17" s="28"/>
      <c r="C17" s="196"/>
      <c r="D17" s="47"/>
      <c r="E17" s="28"/>
      <c r="F17" s="215"/>
      <c r="G17" s="215"/>
      <c r="H17" s="2"/>
      <c r="I17" s="35"/>
      <c r="K17" s="35"/>
      <c r="M17" s="35"/>
      <c r="N17" s="35"/>
      <c r="O17" s="35"/>
      <c r="P17" s="35"/>
    </row>
    <row r="18" spans="2:16">
      <c r="B18" s="28"/>
      <c r="C18" s="196"/>
      <c r="D18" s="47"/>
      <c r="E18" s="28"/>
      <c r="F18" s="215"/>
      <c r="G18" s="215"/>
      <c r="H18" s="2"/>
      <c r="I18" s="35"/>
      <c r="K18" s="35"/>
      <c r="M18" s="35"/>
      <c r="N18" s="35"/>
      <c r="O18" s="35"/>
      <c r="P18" s="35"/>
    </row>
    <row r="19" spans="2:16">
      <c r="B19" s="28"/>
      <c r="C19" s="196"/>
      <c r="D19" s="47"/>
      <c r="E19" s="28"/>
      <c r="F19" s="215"/>
      <c r="G19" s="215"/>
      <c r="H19" s="2"/>
      <c r="I19" s="35"/>
      <c r="K19" s="35"/>
      <c r="M19" s="35"/>
      <c r="N19" s="35"/>
      <c r="O19" s="35"/>
      <c r="P19" s="35"/>
    </row>
    <row r="20" spans="2:16">
      <c r="B20" s="28"/>
      <c r="C20" s="196"/>
      <c r="D20" s="47"/>
      <c r="E20" s="28"/>
      <c r="F20" s="215"/>
      <c r="G20" s="215"/>
      <c r="H20" s="2"/>
      <c r="I20" s="35"/>
      <c r="K20" s="35"/>
      <c r="M20" s="35"/>
      <c r="N20" s="35"/>
      <c r="O20" s="35"/>
      <c r="P20" s="35"/>
    </row>
    <row r="21" spans="2:16">
      <c r="B21" s="28"/>
      <c r="C21" s="196"/>
      <c r="D21" s="47"/>
      <c r="E21" s="28"/>
      <c r="F21" s="215"/>
      <c r="G21" s="215"/>
      <c r="H21" s="2"/>
      <c r="I21" s="35"/>
      <c r="K21" s="35"/>
      <c r="M21" s="35"/>
      <c r="N21" s="35"/>
      <c r="O21" s="35"/>
      <c r="P21" s="35"/>
    </row>
    <row r="22" spans="2:16">
      <c r="B22" s="28"/>
      <c r="C22" s="196"/>
      <c r="D22" s="47"/>
      <c r="E22" s="28"/>
      <c r="F22" s="215"/>
      <c r="G22" s="215"/>
      <c r="H22" s="2"/>
      <c r="I22" s="35"/>
      <c r="K22" s="35"/>
      <c r="M22" s="35"/>
      <c r="N22" s="35"/>
      <c r="O22" s="35"/>
      <c r="P22" s="35"/>
    </row>
    <row r="23" spans="2:16">
      <c r="B23" s="28"/>
      <c r="C23" s="196"/>
      <c r="D23" s="47"/>
      <c r="E23" s="28"/>
      <c r="F23" s="215"/>
      <c r="G23" s="215"/>
      <c r="H23" s="2"/>
      <c r="I23" s="35"/>
      <c r="K23" s="35"/>
      <c r="M23" s="35"/>
      <c r="N23" s="35"/>
      <c r="O23" s="35"/>
      <c r="P23" s="35"/>
    </row>
    <row r="24" spans="2:16">
      <c r="B24" s="28"/>
      <c r="C24" s="196"/>
      <c r="D24" s="47"/>
      <c r="E24" s="28"/>
      <c r="F24" s="215"/>
      <c r="G24" s="215"/>
      <c r="H24" s="2"/>
      <c r="I24" s="35"/>
      <c r="K24" s="35"/>
      <c r="M24" s="35"/>
      <c r="N24" s="35"/>
      <c r="O24" s="35"/>
      <c r="P24" s="35"/>
    </row>
    <row r="25" spans="2:16">
      <c r="B25" s="28"/>
      <c r="C25" s="196"/>
      <c r="D25" s="47"/>
      <c r="E25" s="28"/>
      <c r="F25" s="215"/>
      <c r="G25" s="215"/>
      <c r="H25" s="2"/>
      <c r="I25" s="35"/>
      <c r="K25" s="35"/>
      <c r="M25" s="35"/>
      <c r="N25" s="35"/>
      <c r="O25" s="35"/>
      <c r="P25" s="35"/>
    </row>
    <row r="26" spans="2:16">
      <c r="B26" s="28"/>
      <c r="C26" s="196"/>
      <c r="D26" s="47"/>
      <c r="E26" s="28"/>
      <c r="F26" s="215"/>
      <c r="G26" s="215"/>
      <c r="H26" s="2"/>
      <c r="I26" s="35"/>
      <c r="K26" s="35"/>
      <c r="M26" s="35"/>
      <c r="N26" s="35"/>
      <c r="O26" s="35"/>
      <c r="P26" s="35"/>
    </row>
    <row r="27" spans="2:16">
      <c r="B27" s="28"/>
      <c r="C27" s="196"/>
      <c r="D27" s="47"/>
      <c r="E27" s="28"/>
      <c r="F27" s="215"/>
      <c r="G27" s="215"/>
      <c r="H27" s="2"/>
      <c r="I27" s="35"/>
      <c r="K27" s="35"/>
      <c r="M27" s="35"/>
      <c r="N27" s="35"/>
      <c r="O27" s="35"/>
      <c r="P27" s="35"/>
    </row>
    <row r="28" spans="2:16">
      <c r="B28" s="28"/>
      <c r="C28" s="196"/>
      <c r="D28" s="47"/>
      <c r="E28" s="28"/>
      <c r="F28" s="215"/>
      <c r="G28" s="215"/>
      <c r="H28" s="2"/>
      <c r="I28" s="35"/>
      <c r="K28" s="35"/>
      <c r="M28" s="35"/>
      <c r="N28" s="35"/>
      <c r="O28" s="35"/>
      <c r="P28" s="35"/>
    </row>
    <row r="29" spans="2:16">
      <c r="B29" s="28"/>
      <c r="C29" s="196"/>
      <c r="D29" s="47"/>
      <c r="E29" s="28"/>
      <c r="F29" s="215"/>
      <c r="G29" s="215"/>
      <c r="H29" s="2"/>
      <c r="I29" s="35"/>
      <c r="K29" s="35"/>
      <c r="M29" s="35"/>
      <c r="N29" s="35"/>
      <c r="O29" s="35"/>
      <c r="P29" s="35"/>
    </row>
    <row r="30" spans="2:16">
      <c r="B30" s="28"/>
      <c r="C30" s="196"/>
      <c r="D30" s="47"/>
      <c r="E30" s="28"/>
      <c r="F30" s="215"/>
      <c r="G30" s="215"/>
      <c r="H30" s="2"/>
      <c r="I30" s="35"/>
      <c r="K30" s="35"/>
      <c r="M30" s="35"/>
      <c r="N30" s="35"/>
      <c r="O30" s="35"/>
      <c r="P30" s="35"/>
    </row>
    <row r="31" spans="2:16">
      <c r="B31" s="28"/>
      <c r="C31" s="196"/>
      <c r="D31" s="47"/>
      <c r="E31" s="28"/>
      <c r="F31" s="215"/>
      <c r="G31" s="215"/>
      <c r="H31" s="2"/>
      <c r="I31" s="35"/>
      <c r="K31" s="35"/>
      <c r="M31" s="35"/>
      <c r="N31" s="35"/>
      <c r="O31" s="35"/>
      <c r="P31" s="35"/>
    </row>
    <row r="32" spans="2:16">
      <c r="B32" s="28"/>
      <c r="C32" s="196"/>
      <c r="D32" s="47"/>
      <c r="E32" s="28"/>
      <c r="F32" s="215"/>
      <c r="G32" s="215"/>
      <c r="H32" s="2"/>
      <c r="I32" s="35"/>
      <c r="K32" s="35"/>
      <c r="M32" s="35"/>
      <c r="N32" s="35"/>
      <c r="O32" s="35"/>
      <c r="P32" s="35"/>
    </row>
    <row r="33" spans="2:16">
      <c r="B33" s="28"/>
      <c r="C33" s="196"/>
      <c r="D33" s="47"/>
      <c r="E33" s="28"/>
      <c r="F33" s="215"/>
      <c r="G33" s="215"/>
      <c r="H33" s="2"/>
      <c r="I33" s="35"/>
      <c r="K33" s="35"/>
      <c r="M33" s="35"/>
      <c r="N33" s="35"/>
      <c r="O33" s="35"/>
      <c r="P33" s="35"/>
    </row>
    <row r="34" spans="2:16">
      <c r="B34" s="28"/>
      <c r="C34" s="196"/>
      <c r="D34" s="47"/>
      <c r="E34" s="28"/>
      <c r="F34" s="215"/>
      <c r="G34" s="215"/>
      <c r="H34" s="2"/>
      <c r="I34" s="35"/>
      <c r="K34" s="35"/>
      <c r="M34" s="35"/>
      <c r="N34" s="35"/>
      <c r="O34" s="35"/>
      <c r="P34" s="35"/>
    </row>
    <row r="35" spans="2:16">
      <c r="B35" s="28"/>
      <c r="C35" s="196"/>
      <c r="D35" s="47"/>
      <c r="E35" s="28"/>
      <c r="F35" s="215"/>
      <c r="G35" s="215"/>
      <c r="H35" s="2"/>
      <c r="I35" s="35"/>
      <c r="K35" s="35"/>
      <c r="M35" s="35"/>
      <c r="N35" s="35"/>
      <c r="O35" s="35"/>
      <c r="P35" s="35"/>
    </row>
    <row r="36" spans="2:16">
      <c r="B36" s="28"/>
      <c r="C36" s="196"/>
      <c r="D36" s="47"/>
      <c r="E36" s="28"/>
      <c r="F36" s="215"/>
      <c r="G36" s="215"/>
      <c r="H36" s="2"/>
      <c r="I36" s="35"/>
      <c r="K36" s="35"/>
      <c r="M36" s="35"/>
      <c r="N36" s="35"/>
      <c r="O36" s="35"/>
      <c r="P36" s="35"/>
    </row>
    <row r="37" spans="2:16">
      <c r="B37" s="28"/>
      <c r="C37" s="196"/>
      <c r="D37" s="47"/>
      <c r="E37" s="28"/>
      <c r="F37" s="215"/>
      <c r="G37" s="215"/>
      <c r="H37" s="2"/>
      <c r="I37" s="35"/>
      <c r="K37" s="35"/>
      <c r="M37" s="35"/>
      <c r="N37" s="35"/>
      <c r="O37" s="35"/>
      <c r="P37" s="35"/>
    </row>
    <row r="38" spans="2:16">
      <c r="B38" s="28"/>
      <c r="C38" s="196"/>
      <c r="D38" s="47"/>
      <c r="E38" s="28"/>
      <c r="F38" s="215"/>
      <c r="G38" s="215"/>
      <c r="H38" s="2"/>
      <c r="I38" s="35"/>
      <c r="K38" s="35"/>
      <c r="M38" s="35"/>
      <c r="N38" s="35"/>
      <c r="O38" s="35"/>
      <c r="P38" s="35"/>
    </row>
    <row r="39" spans="2:16">
      <c r="B39" s="28"/>
      <c r="C39" s="196"/>
      <c r="D39" s="47"/>
      <c r="E39" s="28"/>
      <c r="F39" s="215"/>
      <c r="G39" s="215"/>
      <c r="H39" s="2"/>
      <c r="I39" s="35"/>
      <c r="K39" s="35"/>
      <c r="M39" s="35"/>
      <c r="N39" s="35"/>
      <c r="O39" s="35"/>
      <c r="P39" s="35"/>
    </row>
    <row r="40" spans="2:16">
      <c r="B40" s="28"/>
      <c r="C40" s="196"/>
      <c r="D40" s="47"/>
      <c r="E40" s="28"/>
      <c r="F40" s="215"/>
      <c r="G40" s="215"/>
      <c r="H40" s="2"/>
      <c r="I40" s="35"/>
      <c r="K40" s="35"/>
      <c r="M40" s="35"/>
      <c r="N40" s="35"/>
      <c r="O40" s="35"/>
      <c r="P40" s="35"/>
    </row>
    <row r="41" spans="2:16">
      <c r="B41" s="28"/>
      <c r="C41" s="196"/>
      <c r="D41" s="47"/>
      <c r="E41" s="28"/>
      <c r="F41" s="215"/>
      <c r="G41" s="215"/>
      <c r="H41" s="2"/>
      <c r="I41" s="35"/>
      <c r="K41" s="35"/>
      <c r="M41" s="35"/>
      <c r="N41" s="35"/>
      <c r="O41" s="35"/>
      <c r="P41" s="35"/>
    </row>
    <row r="42" spans="2:16">
      <c r="B42" s="28"/>
      <c r="C42" s="196"/>
      <c r="D42" s="47"/>
      <c r="E42" s="28"/>
      <c r="F42" s="215"/>
      <c r="G42" s="215"/>
      <c r="H42" s="2"/>
      <c r="I42" s="35"/>
      <c r="K42" s="35"/>
      <c r="M42" s="35"/>
      <c r="N42" s="35"/>
      <c r="O42" s="35"/>
      <c r="P42" s="35"/>
    </row>
    <row r="43" spans="2:16">
      <c r="B43" s="28"/>
      <c r="C43" s="196"/>
      <c r="D43" s="47"/>
      <c r="E43" s="28"/>
      <c r="F43" s="215"/>
      <c r="G43" s="215"/>
      <c r="H43" s="2"/>
      <c r="I43" s="35"/>
      <c r="K43" s="35"/>
      <c r="M43" s="35"/>
      <c r="N43" s="35"/>
      <c r="O43" s="35"/>
      <c r="P43" s="35"/>
    </row>
    <row r="44" spans="2:16">
      <c r="B44" s="28"/>
      <c r="C44" s="196"/>
      <c r="D44" s="47"/>
      <c r="E44" s="28"/>
      <c r="F44" s="215"/>
      <c r="G44" s="215"/>
      <c r="H44" s="2"/>
      <c r="I44" s="35"/>
      <c r="K44" s="35"/>
      <c r="M44" s="35"/>
      <c r="N44" s="35"/>
      <c r="O44" s="35"/>
      <c r="P44" s="35"/>
    </row>
    <row r="45" spans="2:16">
      <c r="B45" s="28"/>
      <c r="C45" s="196"/>
      <c r="D45" s="47"/>
      <c r="E45" s="28"/>
      <c r="F45" s="215"/>
      <c r="G45" s="215"/>
      <c r="H45" s="2"/>
      <c r="I45" s="35"/>
      <c r="K45" s="35"/>
      <c r="M45" s="35"/>
      <c r="N45" s="35"/>
      <c r="O45" s="35"/>
      <c r="P45" s="35"/>
    </row>
    <row r="46" spans="2:16">
      <c r="B46" s="28"/>
      <c r="C46" s="196"/>
      <c r="D46" s="47"/>
      <c r="E46" s="28"/>
      <c r="F46" s="215"/>
      <c r="G46" s="215"/>
      <c r="H46" s="2"/>
      <c r="I46" s="35"/>
      <c r="K46" s="35"/>
      <c r="M46" s="35"/>
      <c r="N46" s="35"/>
      <c r="O46" s="35"/>
      <c r="P46" s="35"/>
    </row>
    <row r="47" spans="2:16">
      <c r="B47" s="28"/>
      <c r="C47" s="196"/>
      <c r="D47" s="47"/>
      <c r="E47" s="28"/>
      <c r="F47" s="215"/>
      <c r="G47" s="215"/>
      <c r="H47" s="2"/>
      <c r="I47" s="35"/>
      <c r="K47" s="35"/>
      <c r="M47" s="35"/>
      <c r="N47" s="35"/>
      <c r="O47" s="35"/>
      <c r="P47" s="35"/>
    </row>
    <row r="48" spans="2:16">
      <c r="B48" s="28"/>
      <c r="C48" s="196"/>
      <c r="D48" s="47"/>
      <c r="E48" s="28"/>
      <c r="F48" s="215"/>
      <c r="G48" s="215"/>
      <c r="H48" s="2"/>
      <c r="I48" s="35"/>
      <c r="K48" s="35"/>
      <c r="M48" s="35"/>
      <c r="N48" s="35"/>
      <c r="O48" s="35"/>
      <c r="P48" s="35"/>
    </row>
    <row r="49" spans="2:16">
      <c r="B49" s="28"/>
      <c r="C49" s="196"/>
      <c r="D49" s="47"/>
      <c r="E49" s="28"/>
      <c r="F49" s="215"/>
      <c r="G49" s="215"/>
      <c r="H49" s="2"/>
      <c r="I49" s="35"/>
      <c r="K49" s="35"/>
      <c r="M49" s="35"/>
      <c r="N49" s="35"/>
      <c r="O49" s="35"/>
      <c r="P49" s="35"/>
    </row>
    <row r="50" spans="2:16">
      <c r="B50" s="28"/>
      <c r="C50" s="196"/>
      <c r="D50" s="47"/>
      <c r="E50" s="28"/>
      <c r="F50" s="215"/>
      <c r="G50" s="215"/>
      <c r="H50" s="2"/>
      <c r="I50" s="35"/>
      <c r="K50" s="35"/>
      <c r="M50" s="35"/>
      <c r="N50" s="35"/>
      <c r="O50" s="35"/>
      <c r="P50" s="35"/>
    </row>
    <row r="51" spans="2:16">
      <c r="B51" s="28"/>
      <c r="C51" s="196"/>
      <c r="D51" s="47"/>
      <c r="E51" s="28"/>
      <c r="F51" s="215"/>
      <c r="G51" s="215"/>
      <c r="H51" s="2"/>
      <c r="I51" s="35"/>
      <c r="K51" s="35"/>
      <c r="M51" s="35"/>
      <c r="N51" s="35"/>
      <c r="O51" s="35"/>
      <c r="P51" s="35"/>
    </row>
    <row r="52" spans="2:16">
      <c r="B52" s="28"/>
      <c r="C52" s="196"/>
      <c r="D52" s="47"/>
      <c r="E52" s="28"/>
      <c r="F52" s="215"/>
      <c r="G52" s="215"/>
      <c r="H52" s="2"/>
      <c r="I52" s="35"/>
      <c r="K52" s="35"/>
      <c r="M52" s="35"/>
      <c r="N52" s="35"/>
      <c r="O52" s="35"/>
      <c r="P52" s="35"/>
    </row>
    <row r="53" spans="2:16">
      <c r="B53" s="28"/>
      <c r="C53" s="196"/>
      <c r="D53" s="47"/>
      <c r="E53" s="28"/>
      <c r="F53" s="215"/>
      <c r="G53" s="215"/>
      <c r="H53" s="2"/>
      <c r="I53" s="35"/>
      <c r="K53" s="35"/>
      <c r="M53" s="35"/>
      <c r="N53" s="35"/>
      <c r="O53" s="35"/>
      <c r="P53" s="35"/>
    </row>
    <row r="54" spans="2:16">
      <c r="B54" s="28"/>
      <c r="C54" s="196"/>
      <c r="D54" s="47"/>
      <c r="E54" s="28"/>
      <c r="F54" s="215"/>
      <c r="G54" s="215"/>
      <c r="H54" s="2"/>
      <c r="I54" s="35"/>
      <c r="K54" s="35"/>
      <c r="M54" s="35"/>
      <c r="N54" s="35"/>
      <c r="O54" s="35"/>
      <c r="P54" s="35"/>
    </row>
    <row r="55" spans="2:16">
      <c r="B55" s="28"/>
      <c r="C55" s="196"/>
      <c r="D55" s="47"/>
      <c r="E55" s="28"/>
      <c r="F55" s="215"/>
      <c r="G55" s="215"/>
      <c r="H55" s="2"/>
      <c r="I55" s="35"/>
      <c r="K55" s="35"/>
      <c r="M55" s="35"/>
      <c r="N55" s="35"/>
      <c r="O55" s="35"/>
      <c r="P55" s="35"/>
    </row>
    <row r="56" spans="2:16">
      <c r="B56" s="28"/>
      <c r="C56" s="196"/>
      <c r="D56" s="47"/>
      <c r="E56" s="28"/>
      <c r="F56" s="215"/>
      <c r="G56" s="215"/>
      <c r="H56" s="2"/>
      <c r="I56" s="35"/>
      <c r="K56" s="35"/>
      <c r="M56" s="35"/>
      <c r="N56" s="35"/>
      <c r="O56" s="35"/>
      <c r="P56" s="35"/>
    </row>
    <row r="57" spans="2:16">
      <c r="B57" s="28"/>
      <c r="C57" s="196"/>
      <c r="D57" s="47"/>
      <c r="E57" s="28"/>
      <c r="F57" s="215"/>
      <c r="G57" s="215"/>
      <c r="H57" s="2"/>
      <c r="I57" s="35"/>
      <c r="K57" s="35"/>
      <c r="M57" s="35"/>
      <c r="N57" s="35"/>
      <c r="O57" s="35"/>
      <c r="P57" s="35"/>
    </row>
    <row r="58" spans="2:16">
      <c r="B58" s="28"/>
      <c r="C58" s="196"/>
      <c r="D58" s="47"/>
      <c r="E58" s="28"/>
      <c r="F58" s="215"/>
      <c r="G58" s="215"/>
      <c r="H58" s="2"/>
      <c r="I58" s="35"/>
      <c r="K58" s="35"/>
      <c r="M58" s="35"/>
      <c r="N58" s="35"/>
      <c r="O58" s="35"/>
      <c r="P58" s="35"/>
    </row>
    <row r="59" spans="2:16">
      <c r="B59" s="28"/>
      <c r="C59" s="196"/>
      <c r="D59" s="47"/>
      <c r="E59" s="28"/>
      <c r="F59" s="215"/>
      <c r="G59" s="215"/>
      <c r="H59" s="2"/>
      <c r="I59" s="35"/>
      <c r="K59" s="35"/>
      <c r="M59" s="35"/>
      <c r="N59" s="35"/>
      <c r="O59" s="35"/>
      <c r="P59" s="35"/>
    </row>
    <row r="60" spans="2:16">
      <c r="B60" s="28"/>
      <c r="C60" s="196"/>
      <c r="D60" s="47"/>
      <c r="E60" s="28"/>
      <c r="F60" s="215"/>
      <c r="G60" s="215"/>
      <c r="H60" s="2"/>
      <c r="I60" s="35"/>
      <c r="K60" s="35"/>
      <c r="M60" s="35"/>
      <c r="N60" s="35"/>
      <c r="O60" s="35"/>
      <c r="P60" s="35"/>
    </row>
    <row r="61" spans="2:16">
      <c r="B61" s="28"/>
      <c r="C61" s="196"/>
      <c r="D61" s="47"/>
      <c r="E61" s="28"/>
      <c r="F61" s="215"/>
      <c r="G61" s="215"/>
      <c r="H61" s="2"/>
      <c r="I61" s="35"/>
      <c r="K61" s="35"/>
      <c r="M61" s="35"/>
      <c r="N61" s="35"/>
      <c r="O61" s="35"/>
      <c r="P61" s="35"/>
    </row>
    <row r="62" spans="2:16">
      <c r="B62" s="28"/>
      <c r="C62" s="196"/>
      <c r="D62" s="47"/>
      <c r="E62" s="28"/>
      <c r="F62" s="215"/>
      <c r="G62" s="215"/>
      <c r="H62" s="2"/>
      <c r="I62" s="35"/>
      <c r="K62" s="35"/>
      <c r="M62" s="35"/>
      <c r="N62" s="35"/>
      <c r="O62" s="35"/>
      <c r="P62" s="35"/>
    </row>
    <row r="63" spans="2:16">
      <c r="B63" s="28"/>
      <c r="C63" s="196"/>
      <c r="D63" s="47"/>
      <c r="E63" s="28"/>
      <c r="F63" s="215"/>
      <c r="G63" s="215"/>
      <c r="H63" s="2"/>
      <c r="I63" s="35"/>
      <c r="K63" s="35"/>
      <c r="M63" s="35"/>
      <c r="N63" s="35"/>
      <c r="O63" s="35"/>
      <c r="P63" s="35"/>
    </row>
    <row r="64" spans="2:16">
      <c r="B64" s="28"/>
      <c r="C64" s="196"/>
      <c r="D64" s="47"/>
      <c r="E64" s="28"/>
      <c r="F64" s="215"/>
      <c r="G64" s="215"/>
      <c r="H64" s="2"/>
      <c r="I64" s="35"/>
      <c r="K64" s="35"/>
      <c r="M64" s="35"/>
      <c r="N64" s="35"/>
      <c r="O64" s="35"/>
      <c r="P64" s="35"/>
    </row>
    <row r="65" spans="2:16">
      <c r="B65" s="28"/>
      <c r="C65" s="196"/>
      <c r="D65" s="47"/>
      <c r="E65" s="28"/>
      <c r="F65" s="215"/>
      <c r="G65" s="215"/>
      <c r="H65" s="2"/>
      <c r="I65" s="35"/>
      <c r="K65" s="35"/>
      <c r="M65" s="35"/>
      <c r="N65" s="35"/>
      <c r="O65" s="35"/>
      <c r="P65" s="35"/>
    </row>
    <row r="66" spans="2:16">
      <c r="B66" s="28"/>
      <c r="C66" s="196"/>
      <c r="D66" s="47"/>
      <c r="E66" s="28"/>
      <c r="F66" s="215"/>
      <c r="G66" s="215"/>
      <c r="H66" s="2"/>
      <c r="I66" s="35"/>
      <c r="K66" s="35"/>
      <c r="M66" s="35"/>
      <c r="N66" s="35"/>
      <c r="O66" s="35"/>
      <c r="P66" s="35"/>
    </row>
    <row r="67" spans="2:16">
      <c r="B67" s="28"/>
      <c r="C67" s="196"/>
      <c r="D67" s="47"/>
      <c r="E67" s="28"/>
      <c r="F67" s="215"/>
      <c r="G67" s="215"/>
      <c r="H67" s="2"/>
      <c r="I67" s="35"/>
      <c r="K67" s="35"/>
      <c r="M67" s="35"/>
      <c r="N67" s="35"/>
      <c r="O67" s="35"/>
      <c r="P67" s="35"/>
    </row>
    <row r="68" spans="2:16">
      <c r="B68" s="28"/>
      <c r="C68" s="196"/>
      <c r="D68" s="47"/>
      <c r="E68" s="28"/>
      <c r="F68" s="215"/>
      <c r="G68" s="215"/>
      <c r="H68" s="2"/>
      <c r="I68" s="35"/>
      <c r="K68" s="35"/>
      <c r="M68" s="35"/>
      <c r="N68" s="35"/>
      <c r="O68" s="35"/>
      <c r="P68" s="35"/>
    </row>
    <row r="69" spans="2:16">
      <c r="B69" s="28"/>
      <c r="C69" s="196"/>
      <c r="D69" s="47"/>
      <c r="E69" s="28"/>
      <c r="F69" s="215"/>
      <c r="G69" s="215"/>
      <c r="H69" s="2"/>
      <c r="I69" s="35"/>
      <c r="K69" s="35"/>
      <c r="M69" s="35"/>
      <c r="N69" s="35"/>
      <c r="O69" s="35"/>
      <c r="P69" s="35"/>
    </row>
    <row r="70" spans="2:16">
      <c r="B70" s="28"/>
      <c r="C70" s="196"/>
      <c r="D70" s="47"/>
      <c r="E70" s="28"/>
      <c r="F70" s="215"/>
      <c r="G70" s="215"/>
      <c r="H70" s="2"/>
      <c r="I70" s="35"/>
      <c r="K70" s="35"/>
      <c r="M70" s="35"/>
      <c r="N70" s="35"/>
      <c r="O70" s="35"/>
      <c r="P70" s="35"/>
    </row>
    <row r="71" spans="2:16">
      <c r="B71" s="28"/>
      <c r="C71" s="196"/>
      <c r="D71" s="47"/>
      <c r="E71" s="28"/>
      <c r="F71" s="215"/>
      <c r="G71" s="215"/>
      <c r="H71" s="2"/>
      <c r="I71" s="35"/>
      <c r="K71" s="35"/>
      <c r="M71" s="35"/>
      <c r="N71" s="35"/>
      <c r="O71" s="35"/>
      <c r="P71" s="35"/>
    </row>
    <row r="72" spans="2:16">
      <c r="B72" s="28"/>
      <c r="C72" s="196"/>
      <c r="D72" s="47"/>
      <c r="E72" s="28"/>
      <c r="F72" s="215"/>
      <c r="G72" s="215"/>
      <c r="H72" s="2"/>
      <c r="I72" s="35"/>
      <c r="K72" s="35"/>
      <c r="M72" s="35"/>
      <c r="N72" s="35"/>
      <c r="O72" s="35"/>
      <c r="P72" s="35"/>
    </row>
    <row r="73" spans="2:16">
      <c r="B73" s="28"/>
      <c r="C73" s="196"/>
      <c r="D73" s="47"/>
      <c r="E73" s="28"/>
      <c r="F73" s="215"/>
      <c r="G73" s="215"/>
      <c r="H73" s="2"/>
      <c r="I73" s="35"/>
      <c r="K73" s="35"/>
      <c r="M73" s="35"/>
      <c r="N73" s="35"/>
      <c r="O73" s="35"/>
      <c r="P73" s="35"/>
    </row>
    <row r="74" spans="2:16">
      <c r="B74" s="28"/>
      <c r="C74" s="196"/>
      <c r="D74" s="47"/>
      <c r="E74" s="28"/>
      <c r="F74" s="215"/>
      <c r="G74" s="215"/>
      <c r="H74" s="2"/>
      <c r="I74" s="35"/>
      <c r="K74" s="35"/>
      <c r="M74" s="35"/>
      <c r="N74" s="35"/>
      <c r="O74" s="35"/>
      <c r="P74" s="35"/>
    </row>
    <row r="75" spans="2:16">
      <c r="B75" s="28"/>
      <c r="C75" s="196"/>
      <c r="D75" s="47"/>
      <c r="E75" s="28"/>
      <c r="F75" s="215"/>
      <c r="G75" s="215"/>
      <c r="H75" s="2"/>
      <c r="I75" s="35"/>
      <c r="K75" s="35"/>
      <c r="M75" s="35"/>
      <c r="N75" s="35"/>
      <c r="O75" s="35"/>
      <c r="P75" s="35"/>
    </row>
    <row r="76" spans="2:16">
      <c r="B76" s="28"/>
      <c r="C76" s="196"/>
      <c r="D76" s="47"/>
      <c r="E76" s="28"/>
      <c r="F76" s="215"/>
      <c r="G76" s="215"/>
      <c r="H76" s="2"/>
      <c r="I76" s="35"/>
      <c r="K76" s="35"/>
      <c r="M76" s="35"/>
      <c r="N76" s="35"/>
      <c r="O76" s="35"/>
      <c r="P76" s="35"/>
    </row>
    <row r="77" spans="2:16">
      <c r="B77" s="28"/>
      <c r="C77" s="196"/>
      <c r="D77" s="47"/>
      <c r="E77" s="28"/>
      <c r="F77" s="215"/>
      <c r="G77" s="215"/>
      <c r="H77" s="2"/>
      <c r="I77" s="35"/>
      <c r="K77" s="35"/>
      <c r="M77" s="35"/>
      <c r="N77" s="35"/>
      <c r="O77" s="35"/>
      <c r="P77" s="35"/>
    </row>
    <row r="78" spans="2:16">
      <c r="B78" s="28"/>
      <c r="C78" s="196"/>
      <c r="D78" s="47"/>
      <c r="E78" s="28"/>
      <c r="F78" s="215"/>
      <c r="G78" s="215"/>
      <c r="H78" s="2"/>
      <c r="I78" s="35"/>
      <c r="K78" s="35"/>
      <c r="M78" s="35"/>
      <c r="N78" s="35"/>
      <c r="O78" s="35"/>
      <c r="P78" s="35"/>
    </row>
    <row r="79" spans="2:16">
      <c r="B79" s="28"/>
      <c r="C79" s="196"/>
      <c r="D79" s="47"/>
      <c r="E79" s="28"/>
      <c r="F79" s="215"/>
      <c r="G79" s="215"/>
      <c r="H79" s="2"/>
      <c r="I79" s="35"/>
      <c r="K79" s="35"/>
      <c r="M79" s="35"/>
      <c r="N79" s="35"/>
      <c r="O79" s="35"/>
      <c r="P79" s="35"/>
    </row>
    <row r="80" spans="2:16">
      <c r="B80" s="28"/>
      <c r="C80" s="196"/>
      <c r="D80" s="47"/>
      <c r="E80" s="28"/>
      <c r="F80" s="215"/>
      <c r="G80" s="215"/>
      <c r="H80" s="2"/>
      <c r="I80" s="35"/>
      <c r="K80" s="35"/>
      <c r="M80" s="35"/>
      <c r="N80" s="35"/>
      <c r="O80" s="35"/>
      <c r="P80" s="35"/>
    </row>
    <row r="81" spans="2:16">
      <c r="B81" s="28"/>
      <c r="C81" s="196"/>
      <c r="D81" s="47"/>
      <c r="E81" s="28"/>
      <c r="F81" s="215"/>
      <c r="G81" s="215"/>
      <c r="H81" s="2"/>
      <c r="I81" s="35"/>
      <c r="K81" s="35"/>
      <c r="M81" s="35"/>
      <c r="N81" s="35"/>
      <c r="O81" s="35"/>
      <c r="P81" s="35"/>
    </row>
    <row r="82" spans="2:16">
      <c r="B82" s="28"/>
      <c r="C82" s="196"/>
      <c r="D82" s="47"/>
      <c r="E82" s="28"/>
      <c r="F82" s="215"/>
      <c r="G82" s="215"/>
      <c r="H82" s="2"/>
      <c r="I82" s="35"/>
      <c r="K82" s="35"/>
      <c r="M82" s="35"/>
      <c r="N82" s="35"/>
      <c r="O82" s="35"/>
      <c r="P82" s="35"/>
    </row>
    <row r="83" spans="2:16">
      <c r="B83" s="28"/>
      <c r="C83" s="196"/>
      <c r="D83" s="47"/>
      <c r="E83" s="28"/>
      <c r="F83" s="215"/>
      <c r="G83" s="215"/>
      <c r="H83" s="2"/>
      <c r="I83" s="35"/>
      <c r="K83" s="35"/>
      <c r="M83" s="35"/>
      <c r="N83" s="35"/>
      <c r="O83" s="35"/>
      <c r="P83" s="35"/>
    </row>
    <row r="84" spans="2:16">
      <c r="B84" s="28"/>
      <c r="C84" s="196"/>
      <c r="D84" s="47"/>
      <c r="E84" s="28"/>
      <c r="F84" s="215"/>
      <c r="G84" s="215"/>
      <c r="H84" s="2"/>
      <c r="I84" s="35"/>
      <c r="K84" s="35"/>
      <c r="M84" s="35"/>
      <c r="N84" s="35"/>
      <c r="O84" s="35"/>
      <c r="P84" s="35"/>
    </row>
    <row r="85" spans="2:16">
      <c r="B85" s="28"/>
      <c r="C85" s="196"/>
      <c r="D85" s="47"/>
      <c r="E85" s="28"/>
      <c r="F85" s="215"/>
      <c r="G85" s="215"/>
      <c r="H85" s="2"/>
      <c r="I85" s="35"/>
      <c r="K85" s="35"/>
      <c r="M85" s="35"/>
      <c r="N85" s="35"/>
      <c r="O85" s="35"/>
      <c r="P85" s="35"/>
    </row>
    <row r="86" spans="2:16">
      <c r="B86" s="28"/>
      <c r="C86" s="196"/>
      <c r="D86" s="47"/>
      <c r="E86" s="28"/>
      <c r="F86" s="215"/>
      <c r="G86" s="215"/>
      <c r="H86" s="2"/>
      <c r="I86" s="35"/>
      <c r="K86" s="35"/>
      <c r="M86" s="35"/>
      <c r="N86" s="35"/>
      <c r="O86" s="35"/>
      <c r="P86" s="35"/>
    </row>
    <row r="87" spans="2:16">
      <c r="B87" s="28"/>
      <c r="C87" s="196"/>
      <c r="D87" s="47"/>
      <c r="E87" s="28"/>
      <c r="F87" s="215"/>
      <c r="G87" s="215"/>
      <c r="H87" s="2"/>
      <c r="I87" s="35"/>
      <c r="K87" s="35"/>
      <c r="M87" s="35"/>
      <c r="N87" s="35"/>
      <c r="O87" s="35"/>
      <c r="P87" s="35"/>
    </row>
    <row r="88" spans="2:16">
      <c r="B88" s="28"/>
      <c r="C88" s="196"/>
      <c r="D88" s="47"/>
      <c r="E88" s="28"/>
      <c r="F88" s="215"/>
      <c r="G88" s="215"/>
      <c r="H88" s="2"/>
      <c r="I88" s="35"/>
      <c r="K88" s="35"/>
      <c r="M88" s="35"/>
      <c r="N88" s="35"/>
      <c r="O88" s="35"/>
      <c r="P88" s="35"/>
    </row>
    <row r="89" spans="2:16">
      <c r="B89" s="28"/>
      <c r="C89" s="196"/>
      <c r="D89" s="47"/>
      <c r="E89" s="28"/>
      <c r="F89" s="215"/>
      <c r="G89" s="215"/>
      <c r="H89" s="2"/>
      <c r="I89" s="35"/>
      <c r="K89" s="35"/>
      <c r="M89" s="35"/>
      <c r="N89" s="35"/>
      <c r="O89" s="35"/>
      <c r="P89" s="35"/>
    </row>
    <row r="90" spans="2:16">
      <c r="B90" s="28"/>
      <c r="C90" s="196"/>
      <c r="D90" s="47"/>
      <c r="E90" s="28"/>
      <c r="F90" s="215"/>
      <c r="G90" s="215"/>
      <c r="H90" s="2"/>
      <c r="I90" s="35"/>
      <c r="K90" s="35"/>
      <c r="M90" s="35"/>
      <c r="N90" s="35"/>
      <c r="O90" s="35"/>
      <c r="P90" s="35"/>
    </row>
    <row r="91" spans="2:16">
      <c r="B91" s="28"/>
      <c r="C91" s="196"/>
      <c r="D91" s="47"/>
      <c r="E91" s="28"/>
      <c r="F91" s="215"/>
      <c r="G91" s="215"/>
      <c r="H91" s="2"/>
      <c r="I91" s="107"/>
      <c r="K91" s="35"/>
      <c r="M91" s="35"/>
      <c r="N91" s="35"/>
      <c r="O91" s="35"/>
      <c r="P91" s="35"/>
    </row>
    <row r="92" spans="2:16">
      <c r="B92" s="28"/>
      <c r="C92" s="196"/>
      <c r="D92" s="47"/>
      <c r="E92" s="28"/>
      <c r="F92" s="215"/>
      <c r="G92" s="215"/>
      <c r="H92" s="2"/>
      <c r="I92" s="19"/>
      <c r="K92" s="35"/>
      <c r="M92" s="35"/>
      <c r="N92" s="35"/>
      <c r="O92" s="35"/>
      <c r="P92" s="35"/>
    </row>
    <row r="93" spans="2:16">
      <c r="B93" s="28"/>
      <c r="C93" s="196"/>
      <c r="D93" s="47"/>
      <c r="E93" s="28"/>
      <c r="F93" s="215"/>
      <c r="G93" s="215"/>
      <c r="H93" s="2"/>
      <c r="I93" s="19"/>
      <c r="K93" s="35"/>
      <c r="M93" s="35"/>
      <c r="N93" s="35"/>
      <c r="O93" s="35"/>
      <c r="P93" s="35"/>
    </row>
    <row r="94" spans="2:16">
      <c r="B94" s="28"/>
      <c r="C94" s="196"/>
      <c r="D94" s="47"/>
      <c r="E94" s="28"/>
      <c r="F94" s="215"/>
      <c r="G94" s="215"/>
      <c r="H94" s="2"/>
      <c r="I94" s="19"/>
      <c r="K94" s="35"/>
      <c r="M94" s="35"/>
      <c r="N94" s="35"/>
      <c r="O94" s="35"/>
      <c r="P94" s="35"/>
    </row>
    <row r="95" spans="2:16">
      <c r="B95" s="28"/>
      <c r="C95" s="196"/>
      <c r="D95" s="47"/>
      <c r="E95" s="28"/>
      <c r="F95" s="215"/>
      <c r="G95" s="215"/>
      <c r="H95" s="2"/>
      <c r="I95" s="19"/>
      <c r="K95" s="35"/>
      <c r="M95" s="35"/>
      <c r="N95" s="35"/>
      <c r="O95" s="35"/>
      <c r="P95" s="35"/>
    </row>
    <row r="96" spans="2:16">
      <c r="B96" s="28"/>
      <c r="C96" s="196"/>
      <c r="D96" s="47"/>
      <c r="E96" s="28"/>
      <c r="F96" s="215"/>
      <c r="G96" s="215"/>
      <c r="H96" s="2"/>
      <c r="I96" s="19"/>
      <c r="K96" s="35"/>
      <c r="M96" s="35"/>
      <c r="N96" s="35"/>
      <c r="O96" s="35"/>
      <c r="P96" s="35"/>
    </row>
    <row r="97" spans="2:16">
      <c r="B97" s="28"/>
      <c r="C97" s="196"/>
      <c r="D97" s="47"/>
      <c r="E97" s="28"/>
      <c r="F97" s="215"/>
      <c r="G97" s="215"/>
      <c r="H97" s="2"/>
      <c r="I97" s="19"/>
      <c r="K97" s="35"/>
      <c r="M97" s="35"/>
      <c r="N97" s="35"/>
      <c r="O97" s="35"/>
      <c r="P97" s="35"/>
    </row>
    <row r="98" spans="2:16">
      <c r="B98" s="28"/>
      <c r="C98" s="196"/>
      <c r="D98" s="47"/>
      <c r="E98" s="28"/>
      <c r="F98" s="215"/>
      <c r="G98" s="215"/>
      <c r="H98" s="2"/>
      <c r="I98" s="19"/>
      <c r="K98" s="35"/>
      <c r="M98" s="35"/>
      <c r="N98" s="35"/>
      <c r="O98" s="35"/>
      <c r="P98" s="35"/>
    </row>
    <row r="99" spans="2:16">
      <c r="B99" s="28"/>
      <c r="C99" s="196"/>
      <c r="D99" s="47"/>
      <c r="E99" s="28"/>
      <c r="F99" s="215"/>
      <c r="G99" s="215"/>
      <c r="H99" s="2"/>
      <c r="I99" s="19"/>
      <c r="K99" s="35"/>
      <c r="M99" s="35"/>
      <c r="N99" s="35"/>
      <c r="O99" s="35"/>
      <c r="P99" s="35"/>
    </row>
    <row r="100" spans="2:16">
      <c r="B100" s="28"/>
      <c r="C100" s="196"/>
      <c r="D100" s="47"/>
      <c r="E100" s="28"/>
      <c r="F100" s="215"/>
      <c r="G100" s="215"/>
      <c r="H100" s="2"/>
      <c r="I100" s="19"/>
      <c r="K100" s="35"/>
      <c r="M100" s="35"/>
      <c r="N100" s="35"/>
      <c r="O100" s="35"/>
      <c r="P100" s="35"/>
    </row>
    <row r="101" spans="2:16">
      <c r="B101" s="28"/>
      <c r="C101" s="196"/>
      <c r="D101" s="47"/>
      <c r="E101" s="28"/>
      <c r="F101" s="215"/>
      <c r="G101" s="215"/>
      <c r="H101" s="2"/>
      <c r="I101" s="19"/>
      <c r="K101" s="35"/>
      <c r="M101" s="35"/>
      <c r="N101" s="35"/>
      <c r="O101" s="35"/>
      <c r="P101" s="35"/>
    </row>
    <row r="102" spans="2:16">
      <c r="B102" s="28"/>
      <c r="C102" s="196"/>
      <c r="D102" s="47"/>
      <c r="E102" s="28"/>
      <c r="F102" s="215"/>
      <c r="G102" s="215"/>
      <c r="H102" s="2"/>
      <c r="I102" s="19"/>
      <c r="K102" s="35"/>
      <c r="M102" s="35"/>
      <c r="N102" s="35"/>
      <c r="O102" s="35"/>
      <c r="P102" s="35"/>
    </row>
    <row r="103" spans="2:16">
      <c r="B103" s="28"/>
      <c r="C103" s="196"/>
      <c r="D103" s="47"/>
      <c r="E103" s="28"/>
      <c r="F103" s="215"/>
      <c r="G103" s="215"/>
      <c r="H103" s="2"/>
      <c r="I103" s="19"/>
      <c r="K103" s="35"/>
      <c r="M103" s="35"/>
      <c r="N103" s="35"/>
      <c r="O103" s="35"/>
      <c r="P103" s="35"/>
    </row>
    <row r="104" spans="2:16">
      <c r="B104" s="28"/>
      <c r="C104" s="196"/>
      <c r="D104" s="47"/>
      <c r="E104" s="28"/>
      <c r="F104" s="215"/>
      <c r="G104" s="215"/>
      <c r="H104" s="2"/>
      <c r="I104" s="19"/>
      <c r="K104" s="35"/>
      <c r="M104" s="35"/>
      <c r="N104" s="35"/>
      <c r="O104" s="35"/>
      <c r="P104" s="35"/>
    </row>
    <row r="105" spans="2:16">
      <c r="B105" s="28"/>
      <c r="C105" s="196"/>
      <c r="D105" s="47"/>
      <c r="E105" s="28"/>
      <c r="F105" s="215"/>
      <c r="G105" s="215"/>
      <c r="H105" s="2"/>
      <c r="I105" s="19"/>
      <c r="K105" s="35"/>
      <c r="M105" s="35"/>
      <c r="N105" s="35"/>
      <c r="O105" s="35"/>
      <c r="P105" s="35"/>
    </row>
    <row r="106" spans="2:16">
      <c r="B106" s="28"/>
      <c r="C106" s="196"/>
      <c r="D106" s="47"/>
      <c r="E106" s="28"/>
      <c r="F106" s="215"/>
      <c r="G106" s="215"/>
      <c r="H106" s="2"/>
      <c r="I106" s="19"/>
      <c r="K106" s="35"/>
      <c r="M106" s="35"/>
      <c r="N106" s="35"/>
      <c r="O106" s="35"/>
      <c r="P106" s="35"/>
    </row>
    <row r="107" spans="2:16">
      <c r="B107" s="28"/>
      <c r="C107" s="196"/>
      <c r="D107" s="47"/>
      <c r="E107" s="28"/>
      <c r="F107" s="215"/>
      <c r="G107" s="215"/>
      <c r="H107" s="2"/>
      <c r="I107" s="19"/>
      <c r="K107" s="35"/>
      <c r="M107" s="35"/>
      <c r="N107" s="35"/>
      <c r="O107" s="35"/>
      <c r="P107" s="35"/>
    </row>
    <row r="108" spans="2:16">
      <c r="B108" s="28"/>
      <c r="C108" s="196"/>
      <c r="D108" s="47"/>
      <c r="E108" s="28"/>
      <c r="F108" s="215"/>
      <c r="G108" s="215"/>
      <c r="H108" s="2"/>
      <c r="I108" s="19"/>
      <c r="K108" s="35"/>
      <c r="M108" s="35"/>
      <c r="N108" s="35"/>
      <c r="O108" s="35"/>
      <c r="P108" s="35"/>
    </row>
    <row r="109" spans="2:16">
      <c r="B109" s="28"/>
      <c r="C109" s="196"/>
      <c r="D109" s="47"/>
      <c r="E109" s="28"/>
      <c r="F109" s="215"/>
      <c r="G109" s="215"/>
      <c r="H109" s="2"/>
      <c r="I109" s="19"/>
      <c r="K109" s="35"/>
      <c r="M109" s="35"/>
      <c r="N109" s="35"/>
      <c r="O109" s="35"/>
      <c r="P109" s="35"/>
    </row>
    <row r="110" spans="2:16">
      <c r="B110" s="28"/>
      <c r="C110" s="196"/>
      <c r="D110" s="47"/>
      <c r="E110" s="28"/>
      <c r="F110" s="215"/>
      <c r="G110" s="215"/>
      <c r="H110" s="2"/>
      <c r="I110" s="19"/>
      <c r="K110" s="35"/>
      <c r="M110" s="35"/>
      <c r="N110" s="35"/>
      <c r="O110" s="35"/>
      <c r="P110" s="35"/>
    </row>
    <row r="111" spans="2:16">
      <c r="B111" s="28"/>
      <c r="C111" s="196"/>
      <c r="D111" s="47"/>
      <c r="E111" s="28"/>
      <c r="F111" s="215"/>
      <c r="G111" s="215"/>
      <c r="H111" s="2"/>
      <c r="I111" s="19"/>
      <c r="K111" s="35"/>
      <c r="M111" s="35"/>
      <c r="N111" s="35"/>
      <c r="O111" s="35"/>
      <c r="P111" s="35"/>
    </row>
    <row r="112" spans="2:16">
      <c r="B112" s="28"/>
      <c r="C112" s="196"/>
      <c r="D112" s="47"/>
      <c r="E112" s="28"/>
      <c r="F112" s="215"/>
      <c r="G112" s="215"/>
      <c r="H112" s="2"/>
      <c r="I112" s="19"/>
      <c r="K112" s="35"/>
      <c r="M112" s="35"/>
      <c r="N112" s="35"/>
      <c r="O112" s="35"/>
      <c r="P112" s="35"/>
    </row>
    <row r="113" spans="2:16">
      <c r="B113" s="28"/>
      <c r="C113" s="196"/>
      <c r="D113" s="47"/>
      <c r="E113" s="28"/>
      <c r="F113" s="215"/>
      <c r="G113" s="215"/>
      <c r="H113" s="2"/>
      <c r="I113" s="19"/>
      <c r="K113" s="35"/>
      <c r="M113" s="35"/>
      <c r="N113" s="35"/>
      <c r="O113" s="35"/>
      <c r="P113" s="35"/>
    </row>
    <row r="114" spans="2:16">
      <c r="B114" s="28"/>
      <c r="C114" s="196"/>
      <c r="D114" s="47"/>
      <c r="E114" s="28"/>
      <c r="F114" s="215"/>
      <c r="G114" s="215"/>
      <c r="H114" s="2"/>
      <c r="I114" s="19"/>
      <c r="K114" s="35"/>
      <c r="M114" s="35"/>
      <c r="N114" s="35"/>
      <c r="O114" s="35"/>
      <c r="P114" s="35"/>
    </row>
    <row r="115" spans="2:16">
      <c r="B115" s="28"/>
      <c r="C115" s="196"/>
      <c r="D115" s="47"/>
      <c r="E115" s="28"/>
      <c r="F115" s="215"/>
      <c r="G115" s="215"/>
      <c r="H115" s="2"/>
      <c r="I115" s="19"/>
      <c r="K115" s="35"/>
      <c r="M115" s="35"/>
      <c r="N115" s="35"/>
      <c r="O115" s="35"/>
      <c r="P115" s="35"/>
    </row>
    <row r="116" spans="2:16">
      <c r="B116" s="28"/>
      <c r="C116" s="196"/>
      <c r="D116" s="47"/>
      <c r="E116" s="28"/>
      <c r="F116" s="215"/>
      <c r="G116" s="215"/>
      <c r="H116" s="2"/>
      <c r="I116" s="19"/>
      <c r="K116" s="35"/>
      <c r="M116" s="35"/>
      <c r="N116" s="35"/>
      <c r="O116" s="35"/>
      <c r="P116" s="35"/>
    </row>
    <row r="117" spans="2:16">
      <c r="B117" s="28"/>
      <c r="C117" s="196"/>
      <c r="D117" s="47"/>
      <c r="E117" s="28"/>
      <c r="F117" s="215"/>
      <c r="G117" s="215"/>
      <c r="H117" s="2"/>
      <c r="I117" s="19"/>
      <c r="K117" s="35"/>
      <c r="M117" s="35"/>
      <c r="N117" s="35"/>
      <c r="O117" s="35"/>
      <c r="P117" s="35"/>
    </row>
    <row r="118" spans="2:16">
      <c r="B118" s="28"/>
      <c r="C118" s="196"/>
      <c r="D118" s="47"/>
      <c r="E118" s="28"/>
      <c r="F118" s="215"/>
      <c r="G118" s="215"/>
      <c r="H118" s="2"/>
      <c r="I118" s="19"/>
      <c r="K118" s="35"/>
      <c r="M118" s="35"/>
      <c r="N118" s="35"/>
      <c r="O118" s="35"/>
      <c r="P118" s="35"/>
    </row>
    <row r="119" spans="2:16">
      <c r="B119" s="28"/>
      <c r="C119" s="196"/>
      <c r="D119" s="47"/>
      <c r="E119" s="28"/>
      <c r="F119" s="215"/>
      <c r="G119" s="215"/>
      <c r="H119" s="2"/>
      <c r="I119" s="19"/>
      <c r="K119" s="35"/>
      <c r="M119" s="35"/>
      <c r="N119" s="35"/>
      <c r="O119" s="35"/>
      <c r="P119" s="35"/>
    </row>
    <row r="120" spans="2:16">
      <c r="B120" s="28"/>
      <c r="C120" s="196"/>
      <c r="D120" s="47"/>
      <c r="E120" s="28"/>
      <c r="F120" s="215"/>
      <c r="G120" s="215"/>
      <c r="H120" s="2"/>
      <c r="I120" s="19"/>
      <c r="K120" s="35"/>
      <c r="M120" s="35"/>
      <c r="N120" s="35"/>
      <c r="O120" s="35"/>
      <c r="P120" s="35"/>
    </row>
    <row r="121" spans="2:16">
      <c r="B121" s="28"/>
      <c r="C121" s="196"/>
      <c r="D121" s="47"/>
      <c r="E121" s="28"/>
      <c r="F121" s="215"/>
      <c r="G121" s="215"/>
      <c r="H121" s="2"/>
      <c r="I121" s="19"/>
      <c r="K121" s="35"/>
      <c r="M121" s="35"/>
      <c r="N121" s="35"/>
      <c r="O121" s="35"/>
      <c r="P121" s="35"/>
    </row>
    <row r="122" spans="2:16">
      <c r="B122" s="28"/>
      <c r="C122" s="196"/>
      <c r="D122" s="47"/>
      <c r="E122" s="28"/>
      <c r="F122" s="215"/>
      <c r="G122" s="215"/>
      <c r="H122" s="2"/>
      <c r="I122" s="19"/>
      <c r="K122" s="35"/>
      <c r="M122" s="35"/>
      <c r="N122" s="35"/>
      <c r="O122" s="35"/>
      <c r="P122" s="35"/>
    </row>
    <row r="123" spans="2:16">
      <c r="B123" s="28"/>
      <c r="C123" s="196"/>
      <c r="D123" s="47"/>
      <c r="E123" s="28"/>
      <c r="F123" s="215"/>
      <c r="G123" s="215"/>
      <c r="H123" s="2"/>
      <c r="I123" s="19"/>
      <c r="K123" s="35"/>
      <c r="M123" s="35"/>
      <c r="N123" s="35"/>
      <c r="O123" s="35"/>
      <c r="P123" s="35"/>
    </row>
    <row r="124" spans="2:16">
      <c r="B124" s="28"/>
      <c r="C124" s="196"/>
      <c r="D124" s="47"/>
      <c r="E124" s="28"/>
      <c r="F124" s="215"/>
      <c r="G124" s="215"/>
      <c r="H124" s="2"/>
      <c r="I124" s="19"/>
      <c r="K124" s="35"/>
      <c r="M124" s="35"/>
      <c r="N124" s="35"/>
      <c r="O124" s="35"/>
      <c r="P124" s="35"/>
    </row>
    <row r="125" spans="2:16">
      <c r="B125" s="28"/>
      <c r="C125" s="196"/>
      <c r="D125" s="47"/>
      <c r="E125" s="28"/>
      <c r="F125" s="215"/>
      <c r="G125" s="215"/>
      <c r="H125" s="2"/>
      <c r="I125" s="19"/>
      <c r="K125" s="35"/>
      <c r="M125" s="35"/>
      <c r="N125" s="35"/>
      <c r="O125" s="35"/>
      <c r="P125" s="35"/>
    </row>
    <row r="126" spans="2:16">
      <c r="B126" s="28"/>
      <c r="C126" s="196"/>
      <c r="D126" s="47"/>
      <c r="E126" s="28"/>
      <c r="F126" s="215"/>
      <c r="G126" s="215"/>
      <c r="H126" s="2"/>
      <c r="I126" s="19"/>
      <c r="K126" s="35"/>
      <c r="M126" s="35"/>
      <c r="N126" s="35"/>
      <c r="O126" s="35"/>
      <c r="P126" s="35"/>
    </row>
    <row r="127" spans="2:16">
      <c r="B127" s="28"/>
      <c r="C127" s="196"/>
      <c r="D127" s="47"/>
      <c r="E127" s="28"/>
      <c r="F127" s="215"/>
      <c r="G127" s="215"/>
      <c r="H127" s="2"/>
      <c r="I127" s="19"/>
      <c r="K127" s="35"/>
      <c r="M127" s="35"/>
      <c r="N127" s="35"/>
      <c r="O127" s="35"/>
      <c r="P127" s="35"/>
    </row>
    <row r="128" spans="2:16">
      <c r="B128" s="28"/>
      <c r="C128" s="196"/>
      <c r="D128" s="47"/>
      <c r="E128" s="28"/>
      <c r="F128" s="215"/>
      <c r="G128" s="215"/>
      <c r="H128" s="2"/>
      <c r="I128" s="19"/>
      <c r="K128" s="35"/>
      <c r="M128" s="35"/>
      <c r="N128" s="35"/>
      <c r="O128" s="35"/>
      <c r="P128" s="35"/>
    </row>
    <row r="129" spans="2:16">
      <c r="B129" s="28"/>
      <c r="C129" s="196"/>
      <c r="D129" s="47"/>
      <c r="E129" s="28"/>
      <c r="F129" s="215"/>
      <c r="G129" s="215"/>
      <c r="H129" s="2"/>
      <c r="I129" s="19"/>
      <c r="K129" s="35"/>
      <c r="M129" s="35"/>
      <c r="N129" s="35"/>
      <c r="O129" s="35"/>
      <c r="P129" s="35"/>
    </row>
    <row r="130" spans="2:16">
      <c r="B130" s="28"/>
      <c r="C130" s="196"/>
      <c r="D130" s="47"/>
      <c r="E130" s="28"/>
      <c r="F130" s="215"/>
      <c r="G130" s="215"/>
      <c r="H130" s="2"/>
      <c r="I130" s="19"/>
      <c r="K130" s="35"/>
      <c r="M130" s="35"/>
      <c r="N130" s="35"/>
      <c r="O130" s="35"/>
      <c r="P130" s="35"/>
    </row>
    <row r="131" spans="2:16">
      <c r="B131" s="28"/>
      <c r="C131" s="196"/>
      <c r="D131" s="47"/>
      <c r="E131" s="28"/>
      <c r="F131" s="215"/>
      <c r="G131" s="215"/>
      <c r="H131" s="2"/>
      <c r="I131" s="19"/>
      <c r="K131" s="35"/>
      <c r="M131" s="35"/>
      <c r="N131" s="35"/>
      <c r="O131" s="35"/>
      <c r="P131" s="35"/>
    </row>
    <row r="132" spans="2:16">
      <c r="B132" s="28"/>
      <c r="C132" s="196"/>
      <c r="D132" s="47"/>
      <c r="E132" s="28"/>
      <c r="F132" s="215"/>
      <c r="G132" s="215"/>
      <c r="H132" s="2"/>
      <c r="I132" s="19"/>
      <c r="K132" s="35"/>
      <c r="M132" s="35"/>
      <c r="N132" s="35"/>
      <c r="O132" s="35"/>
      <c r="P132" s="35"/>
    </row>
    <row r="133" spans="2:16">
      <c r="B133" s="28"/>
      <c r="C133" s="196"/>
      <c r="D133" s="47"/>
      <c r="E133" s="28"/>
      <c r="F133" s="215"/>
      <c r="G133" s="215"/>
      <c r="H133" s="2"/>
      <c r="I133" s="19"/>
      <c r="K133" s="35"/>
      <c r="M133" s="35"/>
      <c r="N133" s="35"/>
      <c r="O133" s="35"/>
      <c r="P133" s="35"/>
    </row>
    <row r="134" spans="2:16">
      <c r="B134" s="28"/>
      <c r="C134" s="196"/>
      <c r="D134" s="47"/>
      <c r="E134" s="28"/>
      <c r="F134" s="215"/>
      <c r="G134" s="215"/>
      <c r="H134" s="2"/>
      <c r="I134" s="19"/>
      <c r="K134" s="35"/>
      <c r="M134" s="35"/>
      <c r="N134" s="35"/>
      <c r="O134" s="35"/>
      <c r="P134" s="35"/>
    </row>
    <row r="135" spans="2:16">
      <c r="B135" s="28"/>
      <c r="C135" s="196"/>
      <c r="D135" s="47"/>
      <c r="E135" s="28"/>
      <c r="F135" s="215"/>
      <c r="G135" s="215"/>
      <c r="H135" s="2"/>
      <c r="I135" s="19"/>
      <c r="K135" s="35"/>
      <c r="M135" s="35"/>
      <c r="N135" s="35"/>
      <c r="O135" s="35"/>
      <c r="P135" s="35"/>
    </row>
    <row r="136" spans="2:16">
      <c r="B136" s="28"/>
      <c r="C136" s="196"/>
      <c r="D136" s="47"/>
      <c r="E136" s="28"/>
      <c r="F136" s="215"/>
      <c r="G136" s="215"/>
      <c r="H136" s="2"/>
      <c r="I136" s="19"/>
      <c r="K136" s="35"/>
      <c r="M136" s="35"/>
      <c r="N136" s="35"/>
      <c r="O136" s="35"/>
      <c r="P136" s="35"/>
    </row>
    <row r="137" spans="2:16">
      <c r="B137" s="28"/>
      <c r="C137" s="196"/>
      <c r="D137" s="47"/>
      <c r="E137" s="28"/>
      <c r="F137" s="215"/>
      <c r="G137" s="215"/>
      <c r="H137" s="2"/>
      <c r="I137" s="19"/>
      <c r="K137" s="35"/>
      <c r="M137" s="35"/>
      <c r="N137" s="35"/>
      <c r="O137" s="35"/>
      <c r="P137" s="35"/>
    </row>
    <row r="138" spans="2:16">
      <c r="B138" s="28"/>
      <c r="C138" s="196"/>
      <c r="D138" s="47"/>
      <c r="E138" s="28"/>
      <c r="F138" s="215"/>
      <c r="G138" s="215"/>
      <c r="H138" s="2"/>
      <c r="I138" s="19"/>
      <c r="K138" s="35"/>
      <c r="M138" s="35"/>
      <c r="N138" s="35"/>
      <c r="O138" s="35"/>
      <c r="P138" s="35"/>
    </row>
    <row r="139" spans="2:16">
      <c r="B139" s="28"/>
      <c r="C139" s="196"/>
      <c r="D139" s="47"/>
      <c r="E139" s="28"/>
      <c r="F139" s="215"/>
      <c r="G139" s="215"/>
      <c r="H139" s="2"/>
      <c r="I139" s="19"/>
      <c r="K139" s="35"/>
      <c r="M139" s="35"/>
      <c r="N139" s="35"/>
      <c r="O139" s="35"/>
      <c r="P139" s="35"/>
    </row>
    <row r="140" spans="2:16">
      <c r="B140" s="28"/>
      <c r="C140" s="196"/>
      <c r="D140" s="47"/>
      <c r="E140" s="28"/>
      <c r="F140" s="215"/>
      <c r="G140" s="215"/>
      <c r="H140" s="2"/>
      <c r="I140" s="19"/>
      <c r="K140" s="35"/>
      <c r="M140" s="35"/>
      <c r="N140" s="35"/>
      <c r="O140" s="35"/>
      <c r="P140" s="35"/>
    </row>
    <row r="141" spans="2:16">
      <c r="B141" s="28"/>
      <c r="C141" s="196"/>
      <c r="D141" s="47"/>
      <c r="E141" s="28"/>
      <c r="F141" s="215"/>
      <c r="G141" s="215"/>
      <c r="H141" s="2"/>
      <c r="I141" s="19"/>
      <c r="K141" s="35"/>
      <c r="M141" s="35"/>
      <c r="N141" s="35"/>
      <c r="O141" s="35"/>
      <c r="P141" s="35"/>
    </row>
    <row r="142" spans="2:16">
      <c r="B142" s="28"/>
      <c r="C142" s="196"/>
      <c r="D142" s="47"/>
      <c r="E142" s="28"/>
      <c r="F142" s="215"/>
      <c r="G142" s="215"/>
      <c r="H142" s="2"/>
      <c r="I142" s="19"/>
      <c r="K142" s="35"/>
      <c r="M142" s="35"/>
      <c r="N142" s="35"/>
      <c r="O142" s="35"/>
      <c r="P142" s="35"/>
    </row>
    <row r="143" spans="2:16">
      <c r="B143" s="28"/>
      <c r="C143" s="196"/>
      <c r="D143" s="47"/>
      <c r="E143" s="28"/>
      <c r="F143" s="215"/>
      <c r="G143" s="215"/>
      <c r="H143" s="2"/>
      <c r="I143" s="19"/>
      <c r="K143" s="35"/>
      <c r="M143" s="35"/>
      <c r="N143" s="35"/>
      <c r="O143" s="35"/>
      <c r="P143" s="35"/>
    </row>
    <row r="144" spans="2:16">
      <c r="B144" s="28"/>
      <c r="C144" s="196"/>
      <c r="D144" s="47"/>
      <c r="E144" s="28"/>
      <c r="F144" s="215"/>
      <c r="G144" s="215"/>
      <c r="H144" s="2"/>
      <c r="I144" s="19"/>
      <c r="K144" s="35"/>
      <c r="M144" s="35"/>
      <c r="N144" s="35"/>
      <c r="O144" s="35"/>
      <c r="P144" s="35"/>
    </row>
    <row r="145" spans="2:16">
      <c r="B145" s="28"/>
      <c r="C145" s="196"/>
      <c r="D145" s="47"/>
      <c r="E145" s="28"/>
      <c r="F145" s="215"/>
      <c r="G145" s="215"/>
      <c r="H145" s="2"/>
      <c r="I145" s="19"/>
      <c r="K145" s="35"/>
      <c r="M145" s="35"/>
      <c r="N145" s="35"/>
      <c r="O145" s="35"/>
      <c r="P145" s="35"/>
    </row>
    <row r="146" spans="2:16">
      <c r="B146" s="28"/>
      <c r="C146" s="196"/>
      <c r="D146" s="47"/>
      <c r="E146" s="28"/>
      <c r="F146" s="215"/>
      <c r="G146" s="215"/>
      <c r="H146" s="2"/>
      <c r="I146" s="19"/>
      <c r="K146" s="35"/>
      <c r="M146" s="35"/>
      <c r="N146" s="35"/>
      <c r="O146" s="35"/>
      <c r="P146" s="35"/>
    </row>
    <row r="147" spans="2:16">
      <c r="B147" s="28"/>
      <c r="C147" s="196"/>
      <c r="D147" s="47"/>
      <c r="E147" s="28"/>
      <c r="F147" s="215"/>
      <c r="G147" s="215"/>
      <c r="H147" s="2"/>
      <c r="I147" s="19"/>
      <c r="K147" s="35"/>
      <c r="M147" s="35"/>
      <c r="N147" s="35"/>
      <c r="O147" s="35"/>
      <c r="P147" s="35"/>
    </row>
    <row r="148" spans="2:16">
      <c r="B148" s="28"/>
      <c r="C148" s="196"/>
      <c r="D148" s="47"/>
      <c r="E148" s="28"/>
      <c r="F148" s="215"/>
      <c r="G148" s="215"/>
      <c r="H148" s="2"/>
      <c r="I148" s="19"/>
      <c r="K148" s="35"/>
      <c r="M148" s="35"/>
      <c r="N148" s="35"/>
      <c r="O148" s="35"/>
      <c r="P148" s="35"/>
    </row>
    <row r="149" spans="2:16">
      <c r="B149" s="28"/>
      <c r="C149" s="196"/>
      <c r="D149" s="47"/>
      <c r="E149" s="28"/>
      <c r="F149" s="215"/>
      <c r="G149" s="215"/>
      <c r="H149" s="2"/>
      <c r="I149" s="19"/>
      <c r="K149" s="35"/>
      <c r="M149" s="35"/>
      <c r="N149" s="35"/>
      <c r="O149" s="35"/>
      <c r="P149" s="35"/>
    </row>
    <row r="150" spans="2:16">
      <c r="B150" s="28"/>
      <c r="C150" s="196"/>
      <c r="D150" s="47"/>
      <c r="E150" s="28"/>
      <c r="F150" s="215"/>
      <c r="G150" s="215"/>
      <c r="H150" s="2"/>
      <c r="I150" s="19"/>
      <c r="K150" s="35"/>
      <c r="M150" s="35"/>
      <c r="N150" s="35"/>
      <c r="O150" s="35"/>
      <c r="P150" s="35"/>
    </row>
    <row r="151" spans="2:16">
      <c r="B151" s="28"/>
      <c r="C151" s="196"/>
      <c r="D151" s="47"/>
      <c r="E151" s="28"/>
      <c r="F151" s="215"/>
      <c r="G151" s="215"/>
      <c r="H151" s="2"/>
      <c r="I151" s="19"/>
      <c r="K151" s="35"/>
      <c r="M151" s="35"/>
      <c r="N151" s="35"/>
      <c r="O151" s="35"/>
      <c r="P151" s="35"/>
    </row>
    <row r="152" spans="2:16">
      <c r="B152" s="28"/>
      <c r="C152" s="196"/>
      <c r="D152" s="47"/>
      <c r="E152" s="28"/>
      <c r="F152" s="215"/>
      <c r="G152" s="215"/>
      <c r="H152" s="2"/>
      <c r="I152" s="19"/>
      <c r="K152" s="35"/>
      <c r="M152" s="35"/>
      <c r="N152" s="35"/>
      <c r="O152" s="35"/>
      <c r="P152" s="35"/>
    </row>
    <row r="153" spans="2:16">
      <c r="B153" s="28"/>
      <c r="C153" s="196"/>
      <c r="D153" s="47"/>
      <c r="E153" s="28"/>
      <c r="F153" s="215"/>
      <c r="G153" s="215"/>
      <c r="H153" s="2"/>
      <c r="I153" s="19"/>
      <c r="K153" s="35"/>
      <c r="M153" s="35"/>
      <c r="N153" s="35"/>
      <c r="O153" s="35"/>
      <c r="P153" s="35"/>
    </row>
    <row r="154" spans="2:16">
      <c r="B154" s="28"/>
      <c r="C154" s="196"/>
      <c r="D154" s="47"/>
      <c r="E154" s="28"/>
      <c r="F154" s="215"/>
      <c r="G154" s="215"/>
      <c r="H154" s="2"/>
      <c r="I154" s="19"/>
      <c r="K154" s="35"/>
      <c r="M154" s="35"/>
      <c r="N154" s="35"/>
      <c r="O154" s="35"/>
      <c r="P154" s="35"/>
    </row>
    <row r="155" spans="2:16">
      <c r="B155" s="28"/>
      <c r="C155" s="196"/>
      <c r="D155" s="47"/>
      <c r="E155" s="28"/>
      <c r="F155" s="215"/>
      <c r="G155" s="215"/>
      <c r="H155" s="2"/>
      <c r="I155" s="19"/>
      <c r="K155" s="35"/>
      <c r="M155" s="35"/>
      <c r="N155" s="35"/>
      <c r="O155" s="35"/>
      <c r="P155" s="35"/>
    </row>
    <row r="156" spans="2:16">
      <c r="B156" s="28"/>
      <c r="C156" s="196"/>
      <c r="D156" s="47"/>
      <c r="E156" s="28"/>
      <c r="F156" s="215"/>
      <c r="G156" s="215"/>
      <c r="H156" s="2"/>
      <c r="I156" s="19"/>
      <c r="K156" s="35"/>
      <c r="M156" s="35"/>
      <c r="N156" s="35"/>
      <c r="O156" s="35"/>
      <c r="P156" s="35"/>
    </row>
    <row r="157" spans="2:16">
      <c r="B157" s="28"/>
      <c r="C157" s="196"/>
      <c r="D157" s="47"/>
      <c r="E157" s="28"/>
      <c r="F157" s="215"/>
      <c r="G157" s="215"/>
      <c r="H157" s="2"/>
      <c r="I157" s="19"/>
      <c r="K157" s="35"/>
      <c r="M157" s="35"/>
      <c r="N157" s="35"/>
      <c r="O157" s="35"/>
      <c r="P157" s="35"/>
    </row>
    <row r="158" spans="2:16">
      <c r="B158" s="28"/>
      <c r="C158" s="196"/>
      <c r="D158" s="47"/>
      <c r="E158" s="28"/>
      <c r="F158" s="215"/>
      <c r="G158" s="215"/>
      <c r="H158" s="2"/>
      <c r="I158" s="19"/>
      <c r="K158" s="35"/>
      <c r="M158" s="35"/>
      <c r="N158" s="35"/>
      <c r="O158" s="35"/>
      <c r="P158" s="35"/>
    </row>
    <row r="159" spans="2:16">
      <c r="B159" s="28"/>
      <c r="C159" s="196"/>
      <c r="D159" s="47"/>
      <c r="E159" s="28"/>
      <c r="F159" s="215"/>
      <c r="G159" s="215"/>
      <c r="H159" s="2"/>
      <c r="I159" s="19"/>
      <c r="K159" s="35"/>
      <c r="M159" s="35"/>
      <c r="N159" s="35"/>
      <c r="O159" s="35"/>
      <c r="P159" s="35"/>
    </row>
    <row r="160" spans="2:16">
      <c r="B160" s="28"/>
      <c r="C160" s="196"/>
      <c r="D160" s="47"/>
      <c r="E160" s="28"/>
      <c r="F160" s="215"/>
      <c r="G160" s="215"/>
      <c r="H160" s="2"/>
      <c r="I160" s="19"/>
      <c r="K160" s="35"/>
      <c r="M160" s="35"/>
      <c r="N160" s="35"/>
      <c r="O160" s="35"/>
      <c r="P160" s="35"/>
    </row>
    <row r="161" spans="2:16">
      <c r="B161" s="28"/>
      <c r="C161" s="196"/>
      <c r="D161" s="47"/>
      <c r="E161" s="28"/>
      <c r="F161" s="215"/>
      <c r="G161" s="215"/>
      <c r="H161" s="2"/>
      <c r="I161" s="19"/>
      <c r="K161" s="35"/>
      <c r="M161" s="35"/>
      <c r="N161" s="35"/>
      <c r="O161" s="35"/>
      <c r="P161" s="35"/>
    </row>
    <row r="162" spans="2:16">
      <c r="B162" s="28"/>
      <c r="C162" s="196"/>
      <c r="D162" s="47"/>
      <c r="E162" s="28"/>
      <c r="F162" s="215"/>
      <c r="G162" s="215"/>
      <c r="H162" s="2"/>
      <c r="I162" s="19"/>
      <c r="K162" s="35"/>
      <c r="M162" s="35"/>
      <c r="N162" s="35"/>
      <c r="O162" s="35"/>
      <c r="P162" s="35"/>
    </row>
    <row r="163" spans="2:16">
      <c r="B163" s="28"/>
      <c r="C163" s="196"/>
      <c r="D163" s="47"/>
      <c r="E163" s="28"/>
      <c r="F163" s="215"/>
      <c r="G163" s="215"/>
      <c r="H163" s="2"/>
      <c r="I163" s="19"/>
      <c r="K163" s="35"/>
      <c r="M163" s="35"/>
      <c r="N163" s="35"/>
      <c r="O163" s="35"/>
      <c r="P163" s="35"/>
    </row>
    <row r="164" spans="2:16">
      <c r="B164" s="28"/>
      <c r="C164" s="196"/>
      <c r="D164" s="47"/>
      <c r="E164" s="28"/>
      <c r="F164" s="215"/>
      <c r="G164" s="215"/>
      <c r="H164" s="2"/>
      <c r="I164" s="19"/>
      <c r="K164" s="35"/>
      <c r="M164" s="35"/>
      <c r="N164" s="35"/>
      <c r="O164" s="35"/>
      <c r="P164" s="35"/>
    </row>
    <row r="165" spans="2:16">
      <c r="B165" s="28"/>
      <c r="C165" s="196"/>
      <c r="D165" s="47"/>
      <c r="E165" s="28"/>
      <c r="F165" s="215"/>
      <c r="G165" s="215"/>
      <c r="H165" s="2"/>
      <c r="I165" s="19"/>
      <c r="K165" s="35"/>
      <c r="M165" s="35"/>
      <c r="N165" s="35"/>
      <c r="O165" s="35"/>
      <c r="P165" s="35"/>
    </row>
    <row r="166" spans="2:16">
      <c r="B166" s="28"/>
      <c r="C166" s="196"/>
      <c r="D166" s="47"/>
      <c r="E166" s="28"/>
      <c r="F166" s="215"/>
      <c r="G166" s="215"/>
      <c r="H166" s="2"/>
      <c r="I166" s="19"/>
      <c r="K166" s="35"/>
      <c r="M166" s="35"/>
      <c r="N166" s="35"/>
      <c r="O166" s="35"/>
      <c r="P166" s="35"/>
    </row>
    <row r="167" spans="2:16">
      <c r="B167" s="28"/>
      <c r="C167" s="196"/>
      <c r="D167" s="47"/>
      <c r="E167" s="28"/>
      <c r="F167" s="215"/>
      <c r="G167" s="215"/>
      <c r="H167" s="2"/>
      <c r="I167" s="19"/>
      <c r="K167" s="35"/>
      <c r="M167" s="35"/>
      <c r="N167" s="35"/>
      <c r="O167" s="35"/>
      <c r="P167" s="35"/>
    </row>
    <row r="168" spans="2:16">
      <c r="B168" s="28"/>
      <c r="C168" s="196"/>
      <c r="D168" s="47"/>
      <c r="E168" s="28"/>
      <c r="F168" s="215"/>
      <c r="G168" s="215"/>
      <c r="H168" s="2"/>
      <c r="I168" s="19"/>
      <c r="K168" s="35"/>
      <c r="M168" s="35"/>
      <c r="N168" s="35"/>
      <c r="O168" s="35"/>
      <c r="P168" s="35"/>
    </row>
    <row r="169" spans="2:16">
      <c r="B169" s="28"/>
      <c r="C169" s="196"/>
      <c r="D169" s="47"/>
      <c r="E169" s="28"/>
      <c r="F169" s="215"/>
      <c r="G169" s="215"/>
      <c r="H169" s="2"/>
      <c r="I169" s="19"/>
      <c r="K169" s="35"/>
      <c r="M169" s="35"/>
      <c r="N169" s="35"/>
      <c r="O169" s="35"/>
      <c r="P169" s="35"/>
    </row>
    <row r="170" spans="2:16">
      <c r="B170" s="28"/>
      <c r="C170" s="196"/>
      <c r="D170" s="47"/>
      <c r="E170" s="28"/>
      <c r="F170" s="215"/>
      <c r="G170" s="215"/>
      <c r="H170" s="2"/>
      <c r="I170" s="19"/>
      <c r="K170" s="35"/>
      <c r="M170" s="35"/>
      <c r="N170" s="35"/>
      <c r="O170" s="35"/>
      <c r="P170" s="35"/>
    </row>
    <row r="171" spans="2:16">
      <c r="B171" s="28"/>
      <c r="C171" s="196"/>
      <c r="D171" s="47"/>
      <c r="E171" s="28"/>
      <c r="F171" s="215"/>
      <c r="G171" s="215"/>
      <c r="H171" s="2"/>
      <c r="I171" s="19"/>
      <c r="K171" s="35"/>
      <c r="M171" s="35"/>
      <c r="N171" s="35"/>
      <c r="O171" s="35"/>
      <c r="P171" s="35"/>
    </row>
    <row r="172" spans="2:16">
      <c r="B172" s="28"/>
      <c r="C172" s="196"/>
      <c r="D172" s="47"/>
      <c r="E172" s="28"/>
      <c r="F172" s="215"/>
      <c r="G172" s="215"/>
      <c r="H172" s="2"/>
      <c r="I172" s="19"/>
      <c r="K172" s="35"/>
      <c r="M172" s="35"/>
      <c r="N172" s="35"/>
      <c r="O172" s="35"/>
      <c r="P172" s="35"/>
    </row>
    <row r="173" spans="2:16">
      <c r="B173" s="28"/>
      <c r="C173" s="196"/>
      <c r="D173" s="47"/>
      <c r="E173" s="28"/>
      <c r="F173" s="215"/>
      <c r="G173" s="215"/>
      <c r="H173" s="2"/>
      <c r="I173" s="19"/>
      <c r="K173" s="35"/>
      <c r="M173" s="35"/>
      <c r="N173" s="35"/>
      <c r="O173" s="35"/>
      <c r="P173" s="35"/>
    </row>
    <row r="174" spans="2:16">
      <c r="B174" s="28"/>
      <c r="C174" s="196"/>
      <c r="D174" s="47"/>
      <c r="E174" s="28"/>
      <c r="F174" s="215"/>
      <c r="G174" s="215"/>
      <c r="H174" s="2"/>
      <c r="I174" s="19"/>
      <c r="K174" s="35"/>
      <c r="M174" s="35"/>
      <c r="N174" s="35"/>
      <c r="O174" s="35"/>
      <c r="P174" s="35"/>
    </row>
    <row r="175" spans="2:16">
      <c r="B175" s="28"/>
      <c r="C175" s="196"/>
      <c r="D175" s="47"/>
      <c r="E175" s="28"/>
      <c r="F175" s="215"/>
      <c r="G175" s="215"/>
      <c r="H175" s="2"/>
      <c r="I175" s="19"/>
      <c r="K175" s="35"/>
      <c r="M175" s="35"/>
      <c r="N175" s="35"/>
      <c r="O175" s="35"/>
      <c r="P175" s="35"/>
    </row>
    <row r="176" spans="2:16">
      <c r="B176" s="28"/>
      <c r="C176" s="196"/>
      <c r="D176" s="47"/>
      <c r="E176" s="28"/>
      <c r="F176" s="215"/>
      <c r="G176" s="215"/>
      <c r="H176" s="2"/>
      <c r="I176" s="19"/>
      <c r="K176" s="35"/>
      <c r="M176" s="35"/>
      <c r="N176" s="35"/>
      <c r="O176" s="35"/>
      <c r="P176" s="35"/>
    </row>
    <row r="177" spans="2:16">
      <c r="B177" s="28"/>
      <c r="C177" s="196"/>
      <c r="D177" s="47"/>
      <c r="E177" s="28"/>
      <c r="F177" s="215"/>
      <c r="G177" s="215"/>
      <c r="H177" s="2"/>
      <c r="I177" s="19"/>
      <c r="K177" s="35"/>
      <c r="M177" s="35"/>
      <c r="N177" s="35"/>
      <c r="O177" s="35"/>
      <c r="P177" s="35"/>
    </row>
    <row r="178" spans="2:16">
      <c r="B178" s="28"/>
      <c r="C178" s="196"/>
      <c r="D178" s="47"/>
      <c r="E178" s="28"/>
      <c r="F178" s="215"/>
      <c r="G178" s="215"/>
      <c r="H178" s="2"/>
      <c r="I178" s="19"/>
      <c r="K178" s="35"/>
      <c r="M178" s="35"/>
      <c r="N178" s="35"/>
      <c r="O178" s="35"/>
      <c r="P178" s="35"/>
    </row>
    <row r="179" spans="2:16">
      <c r="B179" s="28"/>
      <c r="C179" s="196"/>
      <c r="D179" s="47"/>
      <c r="E179" s="28"/>
      <c r="F179" s="215"/>
      <c r="G179" s="215"/>
      <c r="H179" s="2"/>
      <c r="I179" s="19"/>
      <c r="K179" s="35"/>
      <c r="M179" s="35"/>
      <c r="N179" s="35"/>
      <c r="O179" s="35"/>
      <c r="P179" s="35"/>
    </row>
    <row r="180" spans="2:16">
      <c r="B180" s="28"/>
      <c r="C180" s="196"/>
      <c r="D180" s="47"/>
      <c r="E180" s="28"/>
      <c r="F180" s="215"/>
      <c r="G180" s="215"/>
      <c r="H180" s="2"/>
      <c r="I180" s="19"/>
      <c r="K180" s="35"/>
      <c r="M180" s="35"/>
      <c r="N180" s="35"/>
      <c r="O180" s="35"/>
      <c r="P180" s="35"/>
    </row>
    <row r="181" spans="2:16">
      <c r="D181" s="47"/>
      <c r="E181" s="143"/>
      <c r="H181" s="2"/>
      <c r="I181" s="30"/>
    </row>
    <row r="182" spans="2:16">
      <c r="D182" s="47"/>
      <c r="E182" s="143"/>
      <c r="H182" s="2"/>
      <c r="I182" s="30"/>
    </row>
    <row r="183" spans="2:16">
      <c r="D183" s="47"/>
      <c r="E183" s="143"/>
      <c r="H183" s="2"/>
      <c r="I183" s="30"/>
    </row>
    <row r="184" spans="2:16">
      <c r="D184" s="47"/>
      <c r="E184" s="143"/>
      <c r="H184" s="2"/>
      <c r="I184" s="30"/>
    </row>
    <row r="185" spans="2:16">
      <c r="D185" s="47"/>
      <c r="E185" s="143"/>
      <c r="H185" s="2"/>
      <c r="I185" s="30"/>
    </row>
    <row r="186" spans="2:16">
      <c r="D186" s="47"/>
      <c r="E186" s="143"/>
      <c r="H186" s="2"/>
      <c r="I186" s="30"/>
    </row>
    <row r="187" spans="2:16">
      <c r="D187" s="47"/>
      <c r="E187" s="143"/>
      <c r="H187" s="2"/>
      <c r="I187" s="30"/>
    </row>
    <row r="188" spans="2:16">
      <c r="D188" s="47"/>
      <c r="E188" s="143"/>
      <c r="H188" s="2"/>
      <c r="I188" s="30"/>
    </row>
    <row r="189" spans="2:16">
      <c r="D189" s="47"/>
      <c r="E189" s="143"/>
      <c r="H189" s="2"/>
      <c r="I189" s="30"/>
    </row>
    <row r="190" spans="2:16">
      <c r="D190" s="47"/>
      <c r="E190" s="143"/>
      <c r="H190" s="2"/>
      <c r="I190" s="30"/>
    </row>
    <row r="191" spans="2:16">
      <c r="D191" s="47"/>
      <c r="E191" s="143"/>
      <c r="H191" s="2"/>
      <c r="I191" s="30"/>
    </row>
    <row r="192" spans="2:16">
      <c r="D192" s="47"/>
      <c r="E192" s="143"/>
      <c r="H192" s="2"/>
      <c r="I192" s="30"/>
    </row>
    <row r="193" spans="4:9">
      <c r="D193" s="47"/>
      <c r="E193" s="143"/>
      <c r="H193" s="2"/>
      <c r="I193" s="30"/>
    </row>
    <row r="194" spans="4:9">
      <c r="D194" s="47"/>
      <c r="E194" s="143"/>
      <c r="H194" s="2"/>
      <c r="I194" s="30"/>
    </row>
    <row r="195" spans="4:9">
      <c r="D195" s="47"/>
      <c r="E195" s="143"/>
      <c r="H195" s="2"/>
      <c r="I195" s="30"/>
    </row>
    <row r="196" spans="4:9">
      <c r="D196" s="47"/>
      <c r="E196" s="143"/>
      <c r="H196" s="2"/>
      <c r="I196" s="30"/>
    </row>
    <row r="197" spans="4:9">
      <c r="D197" s="47"/>
      <c r="E197" s="143"/>
      <c r="H197" s="2"/>
      <c r="I197" s="30"/>
    </row>
    <row r="198" spans="4:9">
      <c r="D198" s="47"/>
      <c r="E198" s="143"/>
      <c r="H198" s="2"/>
      <c r="I198" s="30"/>
    </row>
    <row r="199" spans="4:9">
      <c r="D199" s="47"/>
      <c r="E199" s="143"/>
      <c r="H199" s="2"/>
      <c r="I199" s="30"/>
    </row>
    <row r="200" spans="4:9">
      <c r="D200" s="47"/>
      <c r="E200" s="143"/>
      <c r="H200" s="2"/>
      <c r="I200" s="30"/>
    </row>
    <row r="201" spans="4:9">
      <c r="D201" s="47"/>
      <c r="E201" s="143"/>
      <c r="H201" s="2"/>
      <c r="I201" s="30"/>
    </row>
    <row r="202" spans="4:9">
      <c r="D202" s="47"/>
      <c r="E202" s="143"/>
      <c r="H202" s="2"/>
      <c r="I202" s="30"/>
    </row>
    <row r="203" spans="4:9">
      <c r="D203" s="47"/>
      <c r="E203" s="143"/>
      <c r="H203" s="2"/>
      <c r="I203" s="30"/>
    </row>
    <row r="204" spans="4:9">
      <c r="D204" s="47"/>
      <c r="E204" s="143"/>
      <c r="H204" s="2"/>
      <c r="I204" s="30"/>
    </row>
    <row r="205" spans="4:9">
      <c r="D205" s="47"/>
      <c r="E205" s="143"/>
      <c r="H205" s="2"/>
      <c r="I205" s="30"/>
    </row>
    <row r="206" spans="4:9">
      <c r="D206" s="47"/>
      <c r="E206" s="143"/>
      <c r="H206" s="2"/>
      <c r="I206" s="30"/>
    </row>
    <row r="207" spans="4:9">
      <c r="D207" s="47"/>
      <c r="E207" s="143"/>
      <c r="H207" s="2"/>
      <c r="I207" s="30"/>
    </row>
    <row r="208" spans="4:9">
      <c r="D208" s="47"/>
      <c r="E208" s="143"/>
      <c r="H208" s="2"/>
      <c r="I208" s="30"/>
    </row>
    <row r="209" spans="4:9">
      <c r="D209" s="47"/>
      <c r="E209" s="143"/>
      <c r="H209" s="2"/>
      <c r="I209" s="30"/>
    </row>
    <row r="210" spans="4:9">
      <c r="D210" s="47"/>
      <c r="E210" s="143"/>
      <c r="H210" s="2"/>
      <c r="I210" s="30"/>
    </row>
    <row r="211" spans="4:9">
      <c r="D211" s="47"/>
      <c r="E211" s="143"/>
      <c r="H211" s="2"/>
      <c r="I211" s="30"/>
    </row>
    <row r="212" spans="4:9">
      <c r="D212" s="47"/>
      <c r="E212" s="143"/>
      <c r="H212" s="2"/>
      <c r="I212" s="30"/>
    </row>
    <row r="213" spans="4:9">
      <c r="D213" s="47"/>
      <c r="E213" s="143"/>
      <c r="H213" s="2"/>
      <c r="I213" s="30"/>
    </row>
    <row r="214" spans="4:9">
      <c r="D214" s="47"/>
      <c r="E214" s="143"/>
      <c r="H214" s="2"/>
      <c r="I214" s="30"/>
    </row>
    <row r="215" spans="4:9">
      <c r="D215" s="47"/>
      <c r="E215" s="143"/>
      <c r="H215" s="2"/>
      <c r="I215" s="30"/>
    </row>
    <row r="216" spans="4:9">
      <c r="D216" s="47"/>
      <c r="E216" s="143"/>
      <c r="H216" s="2"/>
      <c r="I216" s="30"/>
    </row>
    <row r="217" spans="4:9">
      <c r="D217" s="47"/>
      <c r="E217" s="143"/>
      <c r="H217" s="2"/>
      <c r="I217" s="30"/>
    </row>
    <row r="218" spans="4:9">
      <c r="D218" s="47"/>
      <c r="E218" s="143"/>
      <c r="H218" s="2"/>
      <c r="I218" s="30"/>
    </row>
    <row r="219" spans="4:9">
      <c r="D219" s="47"/>
      <c r="E219" s="143"/>
      <c r="H219" s="2"/>
      <c r="I219" s="30"/>
    </row>
    <row r="220" spans="4:9">
      <c r="D220" s="47"/>
      <c r="E220" s="143"/>
      <c r="H220" s="2"/>
      <c r="I220" s="30"/>
    </row>
    <row r="221" spans="4:9">
      <c r="D221" s="47"/>
      <c r="E221" s="143"/>
      <c r="H221" s="2"/>
      <c r="I221" s="30"/>
    </row>
    <row r="222" spans="4:9">
      <c r="D222" s="47"/>
      <c r="E222" s="143"/>
      <c r="H222" s="2"/>
      <c r="I222" s="30"/>
    </row>
    <row r="223" spans="4:9">
      <c r="D223" s="47"/>
      <c r="E223" s="143"/>
      <c r="H223" s="2"/>
      <c r="I223" s="30"/>
    </row>
    <row r="224" spans="4:9">
      <c r="D224" s="47"/>
      <c r="E224" s="143"/>
      <c r="H224" s="2"/>
      <c r="I224" s="30"/>
    </row>
    <row r="225" spans="4:9">
      <c r="D225" s="47"/>
      <c r="E225" s="143"/>
      <c r="H225" s="2"/>
      <c r="I225" s="30"/>
    </row>
    <row r="226" spans="4:9">
      <c r="D226" s="47"/>
      <c r="E226" s="143"/>
      <c r="H226" s="2"/>
      <c r="I226" s="30"/>
    </row>
    <row r="227" spans="4:9">
      <c r="D227" s="47"/>
      <c r="E227" s="143"/>
      <c r="H227" s="2"/>
      <c r="I227" s="30"/>
    </row>
    <row r="228" spans="4:9">
      <c r="D228" s="47"/>
      <c r="E228" s="143"/>
      <c r="H228" s="2"/>
      <c r="I228" s="30"/>
    </row>
    <row r="229" spans="4:9">
      <c r="D229" s="47"/>
      <c r="E229" s="143"/>
      <c r="H229" s="2"/>
      <c r="I229" s="30"/>
    </row>
    <row r="230" spans="4:9">
      <c r="D230" s="47"/>
      <c r="E230" s="143"/>
      <c r="H230" s="2"/>
      <c r="I230" s="30"/>
    </row>
    <row r="231" spans="4:9">
      <c r="D231" s="47"/>
      <c r="E231" s="143"/>
      <c r="H231" s="2"/>
      <c r="I231" s="30"/>
    </row>
    <row r="232" spans="4:9">
      <c r="D232" s="47"/>
      <c r="E232" s="143"/>
      <c r="H232" s="2"/>
      <c r="I232" s="30"/>
    </row>
    <row r="233" spans="4:9">
      <c r="D233" s="47"/>
      <c r="E233" s="143"/>
      <c r="H233" s="2"/>
      <c r="I233" s="30"/>
    </row>
    <row r="234" spans="4:9">
      <c r="D234" s="47"/>
      <c r="E234" s="143"/>
      <c r="H234" s="2"/>
      <c r="I234" s="30"/>
    </row>
    <row r="235" spans="4:9">
      <c r="D235" s="47"/>
      <c r="E235" s="143"/>
      <c r="H235" s="2"/>
      <c r="I235" s="30"/>
    </row>
    <row r="236" spans="4:9">
      <c r="D236" s="47"/>
      <c r="E236" s="143"/>
      <c r="H236" s="2"/>
      <c r="I236" s="30"/>
    </row>
    <row r="237" spans="4:9">
      <c r="D237" s="47"/>
      <c r="E237" s="143"/>
      <c r="H237" s="2"/>
      <c r="I237" s="30"/>
    </row>
    <row r="238" spans="4:9">
      <c r="D238" s="47"/>
      <c r="E238" s="143"/>
      <c r="H238" s="2"/>
      <c r="I238" s="30"/>
    </row>
    <row r="239" spans="4:9">
      <c r="D239" s="47"/>
      <c r="E239" s="143"/>
      <c r="H239" s="2"/>
      <c r="I239" s="30"/>
    </row>
    <row r="240" spans="4:9">
      <c r="D240" s="47"/>
      <c r="E240" s="143"/>
      <c r="H240" s="2"/>
      <c r="I240" s="30"/>
    </row>
    <row r="241" spans="4:9">
      <c r="D241" s="47"/>
      <c r="E241" s="143"/>
      <c r="H241" s="2"/>
      <c r="I241" s="30"/>
    </row>
    <row r="242" spans="4:9">
      <c r="D242" s="47"/>
      <c r="E242" s="143"/>
      <c r="H242" s="2"/>
      <c r="I242" s="30"/>
    </row>
    <row r="243" spans="4:9">
      <c r="D243" s="47"/>
      <c r="E243" s="143"/>
      <c r="H243" s="2"/>
      <c r="I243" s="30"/>
    </row>
    <row r="244" spans="4:9">
      <c r="D244" s="47"/>
      <c r="E244" s="143"/>
      <c r="H244" s="2"/>
      <c r="I244" s="30"/>
    </row>
    <row r="245" spans="4:9">
      <c r="D245" s="47"/>
      <c r="E245" s="143"/>
      <c r="H245" s="2"/>
      <c r="I245" s="30"/>
    </row>
    <row r="246" spans="4:9">
      <c r="D246" s="47"/>
      <c r="E246" s="143"/>
      <c r="H246" s="2"/>
      <c r="I246" s="30"/>
    </row>
    <row r="247" spans="4:9">
      <c r="D247" s="47"/>
      <c r="E247" s="143"/>
      <c r="H247" s="2"/>
      <c r="I247" s="30"/>
    </row>
    <row r="248" spans="4:9">
      <c r="D248" s="47"/>
      <c r="E248" s="143"/>
      <c r="H248" s="2"/>
      <c r="I248" s="30"/>
    </row>
    <row r="249" spans="4:9">
      <c r="D249" s="47"/>
      <c r="E249" s="143"/>
      <c r="H249" s="2"/>
      <c r="I249" s="30"/>
    </row>
    <row r="250" spans="4:9">
      <c r="D250" s="47"/>
      <c r="E250" s="143"/>
      <c r="H250" s="2"/>
      <c r="I250" s="30"/>
    </row>
    <row r="251" spans="4:9">
      <c r="D251" s="47"/>
      <c r="E251" s="143"/>
      <c r="H251" s="2"/>
      <c r="I251" s="30"/>
    </row>
    <row r="252" spans="4:9">
      <c r="D252" s="47"/>
      <c r="E252" s="143"/>
      <c r="H252" s="2"/>
      <c r="I252" s="30"/>
    </row>
    <row r="253" spans="4:9">
      <c r="D253" s="47"/>
      <c r="E253" s="143"/>
      <c r="H253" s="2"/>
      <c r="I253" s="30"/>
    </row>
    <row r="254" spans="4:9">
      <c r="D254" s="47"/>
      <c r="E254" s="143"/>
      <c r="H254" s="2"/>
      <c r="I254" s="30"/>
    </row>
    <row r="255" spans="4:9">
      <c r="D255" s="47"/>
      <c r="E255" s="143"/>
      <c r="H255" s="2"/>
      <c r="I255" s="30"/>
    </row>
    <row r="256" spans="4:9">
      <c r="D256" s="47"/>
      <c r="E256" s="143"/>
      <c r="H256" s="2"/>
      <c r="I256" s="30"/>
    </row>
    <row r="257" spans="4:9">
      <c r="D257" s="47"/>
      <c r="E257" s="143"/>
      <c r="H257" s="2"/>
      <c r="I257" s="30"/>
    </row>
    <row r="258" spans="4:9">
      <c r="D258" s="47"/>
      <c r="E258" s="143"/>
      <c r="H258" s="2"/>
      <c r="I258" s="30"/>
    </row>
    <row r="259" spans="4:9">
      <c r="D259" s="47"/>
      <c r="E259" s="143"/>
      <c r="H259" s="2"/>
      <c r="I259" s="30"/>
    </row>
    <row r="260" spans="4:9">
      <c r="D260" s="47"/>
      <c r="E260" s="143"/>
      <c r="H260" s="2"/>
      <c r="I260" s="30"/>
    </row>
    <row r="261" spans="4:9">
      <c r="D261" s="47"/>
      <c r="E261" s="143"/>
      <c r="H261" s="2"/>
      <c r="I261" s="30"/>
    </row>
    <row r="262" spans="4:9">
      <c r="D262" s="47"/>
      <c r="E262" s="143"/>
      <c r="H262" s="2"/>
      <c r="I262" s="30"/>
    </row>
    <row r="263" spans="4:9">
      <c r="D263" s="47"/>
      <c r="E263" s="143"/>
      <c r="H263" s="2"/>
      <c r="I263" s="30"/>
    </row>
    <row r="264" spans="4:9">
      <c r="D264" s="47"/>
      <c r="E264" s="143"/>
      <c r="H264" s="2"/>
      <c r="I264" s="30"/>
    </row>
    <row r="265" spans="4:9">
      <c r="D265" s="47"/>
      <c r="E265" s="143"/>
      <c r="H265" s="2"/>
      <c r="I265" s="30"/>
    </row>
    <row r="266" spans="4:9">
      <c r="D266" s="47"/>
      <c r="E266" s="143"/>
      <c r="H266" s="2"/>
      <c r="I266" s="30"/>
    </row>
    <row r="267" spans="4:9">
      <c r="D267" s="47"/>
      <c r="E267" s="143"/>
      <c r="H267" s="2"/>
      <c r="I267" s="30"/>
    </row>
    <row r="268" spans="4:9">
      <c r="D268" s="47"/>
      <c r="E268" s="143"/>
      <c r="H268" s="2"/>
      <c r="I268" s="30"/>
    </row>
    <row r="269" spans="4:9">
      <c r="D269" s="47"/>
      <c r="E269" s="143"/>
      <c r="H269" s="2"/>
      <c r="I269" s="30"/>
    </row>
    <row r="270" spans="4:9">
      <c r="D270" s="47"/>
      <c r="E270" s="143"/>
      <c r="H270" s="2"/>
      <c r="I270" s="30"/>
    </row>
    <row r="271" spans="4:9">
      <c r="D271" s="47"/>
      <c r="E271" s="143"/>
      <c r="H271" s="2"/>
      <c r="I271" s="30"/>
    </row>
    <row r="272" spans="4:9">
      <c r="D272" s="47"/>
      <c r="E272" s="143"/>
      <c r="H272" s="2"/>
      <c r="I272" s="30"/>
    </row>
    <row r="273" spans="4:9">
      <c r="D273" s="47"/>
      <c r="E273" s="143"/>
      <c r="H273" s="2"/>
      <c r="I273" s="30"/>
    </row>
    <row r="274" spans="4:9">
      <c r="D274" s="47"/>
      <c r="E274" s="143"/>
      <c r="H274" s="2"/>
      <c r="I274" s="30"/>
    </row>
    <row r="275" spans="4:9">
      <c r="D275" s="47"/>
      <c r="E275" s="143"/>
      <c r="H275" s="2"/>
      <c r="I275" s="30"/>
    </row>
    <row r="276" spans="4:9">
      <c r="D276" s="47"/>
      <c r="E276" s="143"/>
      <c r="H276" s="2"/>
      <c r="I276" s="30"/>
    </row>
    <row r="277" spans="4:9">
      <c r="D277" s="47"/>
      <c r="E277" s="143"/>
      <c r="H277" s="2"/>
      <c r="I277" s="30"/>
    </row>
    <row r="278" spans="4:9">
      <c r="D278" s="47"/>
      <c r="E278" s="143"/>
      <c r="H278" s="2"/>
      <c r="I278" s="30"/>
    </row>
    <row r="279" spans="4:9">
      <c r="D279" s="47"/>
      <c r="E279" s="143"/>
      <c r="H279" s="2"/>
      <c r="I279" s="30"/>
    </row>
    <row r="280" spans="4:9">
      <c r="D280" s="47"/>
      <c r="E280" s="143"/>
      <c r="H280" s="2"/>
      <c r="I280" s="30"/>
    </row>
    <row r="281" spans="4:9">
      <c r="D281" s="47"/>
      <c r="E281" s="143"/>
      <c r="H281" s="2"/>
      <c r="I281" s="30"/>
    </row>
    <row r="282" spans="4:9">
      <c r="D282" s="47"/>
      <c r="E282" s="143"/>
      <c r="H282" s="2"/>
      <c r="I282" s="30"/>
    </row>
    <row r="283" spans="4:9">
      <c r="D283" s="47"/>
      <c r="E283" s="143"/>
      <c r="H283" s="2"/>
      <c r="I283" s="30"/>
    </row>
    <row r="284" spans="4:9">
      <c r="D284" s="47"/>
      <c r="E284" s="143"/>
      <c r="H284" s="2"/>
      <c r="I284" s="30"/>
    </row>
    <row r="285" spans="4:9">
      <c r="D285" s="47"/>
      <c r="E285" s="143"/>
      <c r="H285" s="2"/>
      <c r="I285" s="30"/>
    </row>
    <row r="286" spans="4:9">
      <c r="D286" s="47"/>
      <c r="E286" s="143"/>
      <c r="H286" s="2"/>
      <c r="I286" s="30"/>
    </row>
    <row r="287" spans="4:9">
      <c r="D287" s="47"/>
      <c r="E287" s="143"/>
      <c r="H287" s="2"/>
      <c r="I287" s="30"/>
    </row>
    <row r="288" spans="4:9">
      <c r="D288" s="47"/>
      <c r="E288" s="143"/>
      <c r="H288" s="2"/>
      <c r="I288" s="30"/>
    </row>
    <row r="289" spans="4:9">
      <c r="D289" s="47"/>
      <c r="E289" s="143"/>
      <c r="H289" s="2"/>
      <c r="I289" s="30"/>
    </row>
    <row r="290" spans="4:9">
      <c r="D290" s="47"/>
      <c r="E290" s="143"/>
      <c r="H290" s="2"/>
      <c r="I290" s="30"/>
    </row>
    <row r="291" spans="4:9">
      <c r="D291" s="47"/>
      <c r="E291" s="143"/>
      <c r="H291" s="2"/>
      <c r="I291" s="30"/>
    </row>
    <row r="292" spans="4:9">
      <c r="D292" s="47"/>
      <c r="E292" s="143"/>
      <c r="H292" s="2"/>
      <c r="I292" s="30"/>
    </row>
    <row r="293" spans="4:9">
      <c r="D293" s="47"/>
      <c r="E293" s="143"/>
      <c r="H293" s="2"/>
      <c r="I293" s="30"/>
    </row>
    <row r="294" spans="4:9">
      <c r="D294" s="47"/>
      <c r="E294" s="143"/>
      <c r="H294" s="2"/>
      <c r="I294" s="30"/>
    </row>
    <row r="295" spans="4:9">
      <c r="D295" s="47"/>
      <c r="E295" s="143"/>
      <c r="H295" s="2"/>
      <c r="I295" s="30"/>
    </row>
    <row r="296" spans="4:9">
      <c r="D296" s="47"/>
      <c r="E296" s="143"/>
      <c r="H296" s="2"/>
      <c r="I296" s="30"/>
    </row>
    <row r="297" spans="4:9">
      <c r="D297" s="47"/>
      <c r="E297" s="143"/>
      <c r="H297" s="2"/>
      <c r="I297" s="30"/>
    </row>
    <row r="298" spans="4:9">
      <c r="D298" s="47"/>
      <c r="E298" s="143"/>
      <c r="H298" s="2"/>
      <c r="I298" s="30"/>
    </row>
    <row r="299" spans="4:9">
      <c r="D299" s="47"/>
      <c r="E299" s="143"/>
      <c r="H299" s="2"/>
      <c r="I299" s="30"/>
    </row>
    <row r="300" spans="4:9">
      <c r="D300" s="47"/>
      <c r="E300" s="143"/>
      <c r="H300" s="2"/>
      <c r="I300" s="30"/>
    </row>
    <row r="301" spans="4:9">
      <c r="D301" s="47"/>
      <c r="E301" s="143"/>
      <c r="H301" s="2"/>
      <c r="I301" s="30"/>
    </row>
    <row r="302" spans="4:9">
      <c r="D302" s="47"/>
      <c r="E302" s="143"/>
      <c r="H302" s="2"/>
      <c r="I302" s="30"/>
    </row>
    <row r="303" spans="4:9">
      <c r="D303" s="47"/>
      <c r="E303" s="143"/>
      <c r="H303" s="2"/>
      <c r="I303" s="30"/>
    </row>
    <row r="304" spans="4:9">
      <c r="D304" s="47"/>
      <c r="E304" s="143"/>
      <c r="H304" s="2"/>
      <c r="I304" s="30"/>
    </row>
    <row r="305" spans="4:9">
      <c r="D305" s="47"/>
      <c r="E305" s="143"/>
      <c r="H305" s="2"/>
      <c r="I305" s="30"/>
    </row>
    <row r="306" spans="4:9">
      <c r="D306" s="47"/>
      <c r="E306" s="143"/>
      <c r="H306" s="2"/>
      <c r="I306" s="30"/>
    </row>
    <row r="307" spans="4:9">
      <c r="D307" s="47"/>
      <c r="E307" s="143"/>
      <c r="H307" s="2"/>
      <c r="I307" s="30"/>
    </row>
    <row r="308" spans="4:9">
      <c r="D308" s="47"/>
      <c r="E308" s="143"/>
      <c r="H308" s="2"/>
      <c r="I308" s="30"/>
    </row>
    <row r="309" spans="4:9">
      <c r="D309" s="47"/>
      <c r="E309" s="143"/>
      <c r="H309" s="2"/>
      <c r="I309" s="30"/>
    </row>
    <row r="310" spans="4:9">
      <c r="D310" s="47"/>
      <c r="E310" s="143"/>
      <c r="H310" s="2"/>
      <c r="I310" s="30"/>
    </row>
    <row r="311" spans="4:9">
      <c r="D311" s="47"/>
      <c r="E311" s="143"/>
      <c r="H311" s="2"/>
      <c r="I311" s="30"/>
    </row>
    <row r="312" spans="4:9">
      <c r="D312" s="47"/>
      <c r="E312" s="143"/>
      <c r="H312" s="2"/>
      <c r="I312" s="30"/>
    </row>
    <row r="313" spans="4:9">
      <c r="D313" s="47"/>
      <c r="E313" s="143"/>
      <c r="H313" s="2"/>
      <c r="I313" s="30"/>
    </row>
    <row r="314" spans="4:9">
      <c r="D314" s="47"/>
      <c r="E314" s="143"/>
      <c r="H314" s="2"/>
      <c r="I314" s="30"/>
    </row>
    <row r="315" spans="4:9">
      <c r="D315" s="47"/>
      <c r="E315" s="143"/>
      <c r="H315" s="2"/>
      <c r="I315" s="30"/>
    </row>
    <row r="316" spans="4:9">
      <c r="D316" s="47"/>
      <c r="E316" s="143"/>
      <c r="H316" s="2"/>
      <c r="I316" s="30"/>
    </row>
    <row r="317" spans="4:9">
      <c r="D317" s="47"/>
      <c r="E317" s="143"/>
      <c r="H317" s="2"/>
      <c r="I317" s="30"/>
    </row>
    <row r="318" spans="4:9">
      <c r="D318" s="47"/>
      <c r="E318" s="143"/>
      <c r="H318" s="2"/>
      <c r="I318" s="30"/>
    </row>
    <row r="319" spans="4:9">
      <c r="D319" s="47"/>
      <c r="E319" s="143"/>
      <c r="H319" s="2"/>
      <c r="I319" s="30"/>
    </row>
    <row r="320" spans="4:9">
      <c r="D320" s="47"/>
      <c r="E320" s="143"/>
      <c r="H320" s="2"/>
      <c r="I320" s="30"/>
    </row>
    <row r="321" spans="4:9">
      <c r="D321" s="47"/>
      <c r="E321" s="143"/>
      <c r="H321" s="2"/>
      <c r="I321" s="30"/>
    </row>
    <row r="322" spans="4:9">
      <c r="D322" s="47"/>
      <c r="E322" s="143"/>
      <c r="H322" s="2"/>
      <c r="I322" s="30"/>
    </row>
    <row r="323" spans="4:9">
      <c r="D323" s="47"/>
      <c r="E323" s="143"/>
      <c r="H323" s="2"/>
      <c r="I323" s="30"/>
    </row>
    <row r="324" spans="4:9">
      <c r="D324" s="47"/>
      <c r="E324" s="143"/>
      <c r="H324" s="2"/>
      <c r="I324" s="30"/>
    </row>
    <row r="325" spans="4:9">
      <c r="D325" s="47"/>
      <c r="E325" s="143"/>
      <c r="H325" s="2"/>
      <c r="I325" s="30"/>
    </row>
    <row r="326" spans="4:9">
      <c r="D326" s="47"/>
      <c r="E326" s="143"/>
      <c r="H326" s="2"/>
      <c r="I326" s="30"/>
    </row>
    <row r="327" spans="4:9">
      <c r="D327" s="47"/>
      <c r="E327" s="143"/>
      <c r="H327" s="2"/>
      <c r="I327" s="30"/>
    </row>
    <row r="328" spans="4:9">
      <c r="D328" s="47"/>
      <c r="E328" s="143"/>
      <c r="H328" s="2"/>
      <c r="I328" s="30"/>
    </row>
    <row r="329" spans="4:9">
      <c r="D329" s="47"/>
      <c r="E329" s="143"/>
      <c r="H329" s="2"/>
      <c r="I329" s="30"/>
    </row>
    <row r="330" spans="4:9">
      <c r="D330" s="47"/>
      <c r="E330" s="143"/>
      <c r="H330" s="2"/>
      <c r="I330" s="30"/>
    </row>
    <row r="331" spans="4:9">
      <c r="D331" s="47"/>
      <c r="E331" s="143"/>
      <c r="H331" s="2"/>
      <c r="I331" s="30"/>
    </row>
    <row r="332" spans="4:9">
      <c r="D332" s="47"/>
      <c r="E332" s="143"/>
      <c r="H332" s="2"/>
      <c r="I332" s="30"/>
    </row>
    <row r="333" spans="4:9">
      <c r="D333" s="47"/>
      <c r="E333" s="143"/>
      <c r="H333" s="2"/>
      <c r="I333" s="30"/>
    </row>
    <row r="334" spans="4:9">
      <c r="D334" s="47"/>
      <c r="E334" s="143"/>
      <c r="H334" s="2"/>
      <c r="I334" s="30"/>
    </row>
    <row r="335" spans="4:9">
      <c r="D335" s="47"/>
      <c r="E335" s="143"/>
      <c r="H335" s="2"/>
      <c r="I335" s="30"/>
    </row>
    <row r="336" spans="4:9">
      <c r="D336" s="47"/>
      <c r="E336" s="143"/>
      <c r="H336" s="2"/>
      <c r="I336" s="30"/>
    </row>
    <row r="337" spans="4:9">
      <c r="D337" s="47"/>
      <c r="E337" s="143"/>
      <c r="H337" s="2"/>
      <c r="I337" s="30"/>
    </row>
    <row r="338" spans="4:9">
      <c r="D338" s="47"/>
      <c r="E338" s="143"/>
      <c r="H338" s="2"/>
      <c r="I338" s="30"/>
    </row>
    <row r="339" spans="4:9">
      <c r="D339" s="47"/>
      <c r="E339" s="143"/>
      <c r="H339" s="2"/>
      <c r="I339" s="30"/>
    </row>
    <row r="340" spans="4:9">
      <c r="D340" s="47"/>
      <c r="E340" s="143"/>
      <c r="H340" s="2"/>
      <c r="I340" s="30"/>
    </row>
    <row r="341" spans="4:9">
      <c r="D341" s="47"/>
      <c r="E341" s="143"/>
      <c r="H341" s="2"/>
      <c r="I341" s="30"/>
    </row>
    <row r="342" spans="4:9">
      <c r="D342" s="47"/>
      <c r="E342" s="143"/>
      <c r="H342" s="2"/>
      <c r="I342" s="30"/>
    </row>
    <row r="343" spans="4:9">
      <c r="D343" s="47"/>
      <c r="E343" s="143"/>
      <c r="H343" s="2"/>
      <c r="I343" s="30"/>
    </row>
    <row r="344" spans="4:9">
      <c r="D344" s="47"/>
      <c r="E344" s="143"/>
      <c r="H344" s="2"/>
      <c r="I344" s="30"/>
    </row>
    <row r="345" spans="4:9">
      <c r="D345" s="47"/>
      <c r="E345" s="143"/>
      <c r="H345" s="2"/>
      <c r="I345" s="30"/>
    </row>
    <row r="346" spans="4:9">
      <c r="D346" s="47"/>
      <c r="E346" s="143"/>
      <c r="H346" s="2"/>
      <c r="I346" s="30"/>
    </row>
    <row r="347" spans="4:9">
      <c r="D347" s="47"/>
      <c r="E347" s="143"/>
      <c r="H347" s="2"/>
      <c r="I347" s="30"/>
    </row>
    <row r="348" spans="4:9">
      <c r="D348" s="47"/>
      <c r="E348" s="143"/>
      <c r="H348" s="2"/>
      <c r="I348" s="30"/>
    </row>
    <row r="349" spans="4:9">
      <c r="D349" s="47"/>
      <c r="E349" s="143"/>
      <c r="H349" s="2"/>
      <c r="I349" s="30"/>
    </row>
    <row r="350" spans="4:9">
      <c r="D350" s="47"/>
      <c r="E350" s="143"/>
      <c r="H350" s="2"/>
      <c r="I350" s="30"/>
    </row>
    <row r="351" spans="4:9">
      <c r="D351" s="47"/>
      <c r="E351" s="143"/>
      <c r="H351" s="2"/>
      <c r="I351" s="30"/>
    </row>
    <row r="352" spans="4:9">
      <c r="D352" s="47"/>
      <c r="E352" s="143"/>
      <c r="H352" s="2"/>
      <c r="I352" s="30"/>
    </row>
    <row r="353" spans="4:9">
      <c r="D353" s="47"/>
      <c r="E353" s="143"/>
      <c r="H353" s="2"/>
      <c r="I353" s="30"/>
    </row>
    <row r="354" spans="4:9">
      <c r="D354" s="47"/>
      <c r="E354" s="143"/>
      <c r="H354" s="2"/>
      <c r="I354" s="30"/>
    </row>
    <row r="355" spans="4:9">
      <c r="D355" s="47"/>
      <c r="E355" s="143"/>
      <c r="H355" s="2"/>
      <c r="I355" s="30"/>
    </row>
    <row r="356" spans="4:9">
      <c r="D356" s="47"/>
      <c r="E356" s="143"/>
      <c r="H356" s="2"/>
      <c r="I356" s="30"/>
    </row>
    <row r="357" spans="4:9">
      <c r="D357" s="47"/>
      <c r="E357" s="143"/>
      <c r="H357" s="2"/>
      <c r="I357" s="30"/>
    </row>
    <row r="358" spans="4:9">
      <c r="D358" s="47"/>
      <c r="E358" s="143"/>
      <c r="H358" s="2"/>
      <c r="I358" s="30"/>
    </row>
    <row r="359" spans="4:9">
      <c r="D359" s="47"/>
      <c r="E359" s="143"/>
      <c r="H359" s="2"/>
      <c r="I359" s="30"/>
    </row>
    <row r="360" spans="4:9">
      <c r="D360" s="47"/>
      <c r="E360" s="143"/>
      <c r="H360" s="2"/>
      <c r="I360" s="30"/>
    </row>
    <row r="361" spans="4:9">
      <c r="D361" s="47"/>
      <c r="E361" s="143"/>
      <c r="H361" s="2"/>
      <c r="I361" s="30"/>
    </row>
    <row r="362" spans="4:9">
      <c r="D362" s="47"/>
      <c r="E362" s="143"/>
      <c r="H362" s="2"/>
      <c r="I362" s="30"/>
    </row>
    <row r="363" spans="4:9">
      <c r="D363" s="47"/>
      <c r="E363" s="143"/>
      <c r="H363" s="2"/>
      <c r="I363" s="30"/>
    </row>
    <row r="364" spans="4:9">
      <c r="D364" s="47"/>
      <c r="E364" s="143"/>
      <c r="H364" s="2"/>
      <c r="I364" s="30"/>
    </row>
    <row r="365" spans="4:9">
      <c r="D365" s="47"/>
      <c r="E365" s="143"/>
      <c r="H365" s="2"/>
      <c r="I365" s="30"/>
    </row>
    <row r="366" spans="4:9">
      <c r="D366" s="47"/>
      <c r="E366" s="143"/>
      <c r="H366" s="2"/>
      <c r="I366" s="30"/>
    </row>
    <row r="367" spans="4:9">
      <c r="D367" s="47"/>
      <c r="E367" s="143"/>
      <c r="H367" s="2"/>
      <c r="I367" s="30"/>
    </row>
    <row r="368" spans="4:9">
      <c r="D368" s="47"/>
      <c r="E368" s="143"/>
      <c r="H368" s="2"/>
      <c r="I368" s="30"/>
    </row>
    <row r="369" spans="4:9">
      <c r="D369" s="47"/>
      <c r="E369" s="143"/>
      <c r="H369" s="2"/>
      <c r="I369" s="30"/>
    </row>
    <row r="370" spans="4:9">
      <c r="D370" s="47"/>
      <c r="E370" s="143"/>
      <c r="H370" s="2"/>
      <c r="I370" s="30"/>
    </row>
    <row r="371" spans="4:9">
      <c r="D371" s="47"/>
      <c r="E371" s="143"/>
      <c r="H371" s="2"/>
      <c r="I371" s="30"/>
    </row>
    <row r="372" spans="4:9">
      <c r="D372" s="47"/>
      <c r="E372" s="143"/>
      <c r="H372" s="2"/>
      <c r="I372" s="30"/>
    </row>
    <row r="373" spans="4:9">
      <c r="D373" s="47"/>
      <c r="E373" s="143"/>
      <c r="H373" s="2"/>
      <c r="I373" s="30"/>
    </row>
    <row r="374" spans="4:9">
      <c r="D374" s="47"/>
      <c r="E374" s="143"/>
      <c r="H374" s="2"/>
      <c r="I374" s="30"/>
    </row>
    <row r="375" spans="4:9">
      <c r="D375" s="47"/>
      <c r="E375" s="143"/>
      <c r="H375" s="2"/>
      <c r="I375" s="30"/>
    </row>
    <row r="376" spans="4:9">
      <c r="D376" s="47"/>
      <c r="E376" s="143"/>
      <c r="H376" s="2"/>
      <c r="I376" s="30"/>
    </row>
    <row r="377" spans="4:9">
      <c r="D377" s="47"/>
      <c r="E377" s="143"/>
      <c r="H377" s="2"/>
      <c r="I377" s="30"/>
    </row>
    <row r="378" spans="4:9">
      <c r="D378" s="47"/>
      <c r="E378" s="143"/>
      <c r="H378" s="2"/>
      <c r="I378" s="30"/>
    </row>
    <row r="379" spans="4:9">
      <c r="D379" s="47"/>
      <c r="E379" s="143"/>
      <c r="H379" s="2"/>
      <c r="I379" s="30"/>
    </row>
    <row r="380" spans="4:9">
      <c r="D380" s="47"/>
      <c r="E380" s="143"/>
      <c r="H380" s="2"/>
      <c r="I380" s="30"/>
    </row>
    <row r="381" spans="4:9">
      <c r="D381" s="47"/>
      <c r="E381" s="143"/>
      <c r="H381" s="2"/>
      <c r="I381" s="30"/>
    </row>
    <row r="382" spans="4:9">
      <c r="D382" s="47"/>
      <c r="E382" s="143"/>
      <c r="H382" s="2"/>
      <c r="I382" s="30"/>
    </row>
    <row r="383" spans="4:9">
      <c r="D383" s="47"/>
      <c r="E383" s="143"/>
      <c r="H383" s="2"/>
      <c r="I383" s="30"/>
    </row>
    <row r="384" spans="4:9">
      <c r="D384" s="47"/>
      <c r="E384" s="143"/>
      <c r="H384" s="2"/>
      <c r="I384" s="30"/>
    </row>
    <row r="385" spans="4:9">
      <c r="D385" s="47"/>
      <c r="E385" s="143"/>
      <c r="H385" s="2"/>
      <c r="I385" s="30"/>
    </row>
    <row r="386" spans="4:9">
      <c r="D386" s="47"/>
      <c r="E386" s="143"/>
      <c r="H386" s="2"/>
      <c r="I386" s="30"/>
    </row>
    <row r="387" spans="4:9">
      <c r="D387" s="47"/>
      <c r="E387" s="143"/>
      <c r="H387" s="2"/>
      <c r="I387" s="30"/>
    </row>
    <row r="388" spans="4:9">
      <c r="D388" s="47"/>
      <c r="E388" s="143"/>
      <c r="H388" s="2"/>
      <c r="I388" s="30"/>
    </row>
    <row r="389" spans="4:9">
      <c r="D389" s="47"/>
      <c r="E389" s="143"/>
      <c r="H389" s="2"/>
      <c r="I389" s="30"/>
    </row>
    <row r="390" spans="4:9">
      <c r="D390" s="47"/>
      <c r="E390" s="143"/>
      <c r="H390" s="2"/>
      <c r="I390" s="30"/>
    </row>
    <row r="391" spans="4:9">
      <c r="D391" s="47"/>
      <c r="E391" s="143"/>
      <c r="H391" s="2"/>
      <c r="I391" s="30"/>
    </row>
    <row r="392" spans="4:9">
      <c r="D392" s="47"/>
      <c r="E392" s="143"/>
      <c r="H392" s="2"/>
      <c r="I392" s="30"/>
    </row>
    <row r="393" spans="4:9">
      <c r="D393" s="47"/>
      <c r="E393" s="143"/>
      <c r="H393" s="2"/>
      <c r="I393" s="30"/>
    </row>
    <row r="394" spans="4:9">
      <c r="D394" s="47"/>
      <c r="E394" s="143"/>
      <c r="H394" s="2"/>
      <c r="I394" s="30"/>
    </row>
    <row r="395" spans="4:9">
      <c r="D395" s="47"/>
      <c r="E395" s="143"/>
      <c r="H395" s="2"/>
      <c r="I395" s="30"/>
    </row>
    <row r="396" spans="4:9">
      <c r="D396" s="47"/>
      <c r="E396" s="143"/>
      <c r="H396" s="2"/>
      <c r="I396" s="30"/>
    </row>
    <row r="397" spans="4:9">
      <c r="D397" s="47"/>
      <c r="E397" s="143"/>
      <c r="H397" s="2"/>
      <c r="I397" s="30"/>
    </row>
    <row r="398" spans="4:9">
      <c r="D398" s="47"/>
      <c r="E398" s="143"/>
      <c r="H398" s="2"/>
      <c r="I398" s="30"/>
    </row>
    <row r="399" spans="4:9">
      <c r="D399" s="47"/>
      <c r="E399" s="143"/>
      <c r="H399" s="2"/>
      <c r="I399" s="30"/>
    </row>
    <row r="400" spans="4:9">
      <c r="D400" s="47"/>
      <c r="E400" s="143"/>
      <c r="H400" s="2"/>
      <c r="I400" s="30"/>
    </row>
    <row r="401" spans="4:9">
      <c r="D401" s="47"/>
      <c r="E401" s="143"/>
      <c r="H401" s="2"/>
      <c r="I401" s="30"/>
    </row>
    <row r="402" spans="4:9">
      <c r="D402" s="47"/>
      <c r="E402" s="143"/>
      <c r="H402" s="2"/>
      <c r="I402" s="30"/>
    </row>
    <row r="403" spans="4:9">
      <c r="D403" s="47"/>
      <c r="E403" s="143"/>
      <c r="H403" s="2"/>
      <c r="I403" s="30"/>
    </row>
    <row r="404" spans="4:9">
      <c r="D404" s="47"/>
      <c r="E404" s="143"/>
      <c r="H404" s="2"/>
      <c r="I404" s="30"/>
    </row>
    <row r="405" spans="4:9">
      <c r="D405" s="47"/>
      <c r="E405" s="143"/>
      <c r="H405" s="2"/>
      <c r="I405" s="30"/>
    </row>
    <row r="406" spans="4:9">
      <c r="D406" s="47"/>
      <c r="E406" s="143"/>
      <c r="H406" s="2"/>
      <c r="I406" s="30"/>
    </row>
    <row r="407" spans="4:9">
      <c r="D407" s="47"/>
      <c r="E407" s="143"/>
      <c r="H407" s="2"/>
      <c r="I407" s="30"/>
    </row>
    <row r="408" spans="4:9">
      <c r="D408" s="47"/>
      <c r="E408" s="143"/>
      <c r="H408" s="2"/>
      <c r="I408" s="30"/>
    </row>
    <row r="409" spans="4:9">
      <c r="D409" s="47"/>
      <c r="E409" s="143"/>
      <c r="H409" s="2"/>
      <c r="I409" s="30"/>
    </row>
    <row r="410" spans="4:9">
      <c r="D410" s="47"/>
      <c r="E410" s="143"/>
      <c r="H410" s="2"/>
      <c r="I410" s="30"/>
    </row>
    <row r="411" spans="4:9">
      <c r="D411" s="47"/>
      <c r="E411" s="143"/>
      <c r="H411" s="2"/>
      <c r="I411" s="30"/>
    </row>
    <row r="412" spans="4:9">
      <c r="D412" s="47"/>
      <c r="E412" s="143"/>
      <c r="H412" s="2"/>
      <c r="I412" s="30"/>
    </row>
    <row r="413" spans="4:9">
      <c r="D413" s="47"/>
      <c r="E413" s="143"/>
      <c r="H413" s="2"/>
      <c r="I413" s="30"/>
    </row>
    <row r="414" spans="4:9">
      <c r="D414" s="47"/>
      <c r="E414" s="143"/>
      <c r="H414" s="2"/>
      <c r="I414" s="30"/>
    </row>
    <row r="415" spans="4:9">
      <c r="D415" s="47"/>
      <c r="E415" s="143"/>
      <c r="H415" s="2"/>
      <c r="I415" s="30"/>
    </row>
    <row r="416" spans="4:9">
      <c r="D416" s="47"/>
      <c r="E416" s="143"/>
      <c r="H416" s="2"/>
      <c r="I416" s="30"/>
    </row>
    <row r="417" spans="4:9">
      <c r="D417" s="47"/>
      <c r="E417" s="143"/>
      <c r="H417" s="2"/>
      <c r="I417" s="30"/>
    </row>
    <row r="418" spans="4:9">
      <c r="D418" s="47"/>
      <c r="E418" s="143"/>
      <c r="H418" s="2"/>
      <c r="I418" s="30"/>
    </row>
    <row r="419" spans="4:9">
      <c r="D419" s="47"/>
      <c r="E419" s="143"/>
      <c r="H419" s="2"/>
      <c r="I419" s="30"/>
    </row>
    <row r="420" spans="4:9">
      <c r="D420" s="47"/>
      <c r="E420" s="143"/>
      <c r="H420" s="2"/>
      <c r="I420" s="30"/>
    </row>
    <row r="421" spans="4:9">
      <c r="D421" s="47"/>
      <c r="E421" s="143"/>
      <c r="H421" s="2"/>
      <c r="I421" s="30"/>
    </row>
    <row r="422" spans="4:9">
      <c r="D422" s="47"/>
      <c r="E422" s="143"/>
      <c r="H422" s="2"/>
      <c r="I422" s="30"/>
    </row>
    <row r="423" spans="4:9">
      <c r="D423" s="47"/>
      <c r="E423" s="143"/>
      <c r="H423" s="2"/>
      <c r="I423" s="30"/>
    </row>
    <row r="424" spans="4:9">
      <c r="D424" s="47"/>
      <c r="E424" s="143"/>
      <c r="H424" s="2"/>
      <c r="I424" s="30"/>
    </row>
    <row r="425" spans="4:9">
      <c r="D425" s="47"/>
      <c r="E425" s="143"/>
      <c r="H425" s="2"/>
      <c r="I425" s="30"/>
    </row>
    <row r="426" spans="4:9">
      <c r="D426" s="47"/>
      <c r="E426" s="143"/>
      <c r="H426" s="2"/>
      <c r="I426" s="30"/>
    </row>
    <row r="427" spans="4:9">
      <c r="D427" s="47"/>
      <c r="E427" s="143"/>
      <c r="H427" s="2"/>
      <c r="I427" s="30"/>
    </row>
    <row r="428" spans="4:9">
      <c r="D428" s="47"/>
      <c r="E428" s="143"/>
      <c r="H428" s="2"/>
      <c r="I428" s="30"/>
    </row>
    <row r="429" spans="4:9">
      <c r="D429" s="47"/>
      <c r="E429" s="143"/>
      <c r="H429" s="2"/>
      <c r="I429" s="30"/>
    </row>
    <row r="430" spans="4:9">
      <c r="D430" s="47"/>
      <c r="E430" s="143"/>
      <c r="H430" s="2"/>
      <c r="I430" s="30"/>
    </row>
    <row r="431" spans="4:9">
      <c r="D431" s="47"/>
      <c r="E431" s="143"/>
      <c r="H431" s="2"/>
      <c r="I431" s="30"/>
    </row>
    <row r="432" spans="4:9">
      <c r="D432" s="47"/>
      <c r="E432" s="143"/>
      <c r="H432" s="2"/>
      <c r="I432" s="30"/>
    </row>
    <row r="433" spans="4:9">
      <c r="D433" s="47"/>
      <c r="E433" s="143"/>
      <c r="H433" s="2"/>
      <c r="I433" s="30"/>
    </row>
    <row r="434" spans="4:9">
      <c r="D434" s="47"/>
      <c r="E434" s="143"/>
      <c r="H434" s="2"/>
      <c r="I434" s="30"/>
    </row>
    <row r="435" spans="4:9">
      <c r="D435" s="47"/>
      <c r="E435" s="143"/>
      <c r="H435" s="2"/>
      <c r="I435" s="30"/>
    </row>
    <row r="436" spans="4:9">
      <c r="D436" s="47"/>
      <c r="E436" s="143"/>
      <c r="H436" s="2"/>
      <c r="I436" s="30"/>
    </row>
    <row r="437" spans="4:9">
      <c r="D437" s="47"/>
      <c r="E437" s="143"/>
      <c r="H437" s="2"/>
      <c r="I437" s="30"/>
    </row>
    <row r="438" spans="4:9">
      <c r="D438" s="47"/>
      <c r="E438" s="143"/>
      <c r="H438" s="2"/>
      <c r="I438" s="30"/>
    </row>
    <row r="439" spans="4:9">
      <c r="D439" s="47"/>
      <c r="E439" s="143"/>
      <c r="H439" s="2"/>
      <c r="I439" s="30"/>
    </row>
    <row r="440" spans="4:9">
      <c r="D440" s="47"/>
      <c r="E440" s="143"/>
      <c r="H440" s="2"/>
      <c r="I440" s="30"/>
    </row>
    <row r="441" spans="4:9">
      <c r="D441" s="47"/>
      <c r="E441" s="143"/>
      <c r="H441" s="2"/>
      <c r="I441" s="30"/>
    </row>
    <row r="442" spans="4:9">
      <c r="D442" s="47"/>
      <c r="E442" s="143"/>
      <c r="H442" s="2"/>
      <c r="I442" s="30"/>
    </row>
    <row r="443" spans="4:9">
      <c r="D443" s="47"/>
      <c r="E443" s="143"/>
      <c r="H443" s="2"/>
      <c r="I443" s="30"/>
    </row>
    <row r="444" spans="4:9">
      <c r="D444" s="47"/>
      <c r="E444" s="143"/>
      <c r="H444" s="2"/>
      <c r="I444" s="30"/>
    </row>
    <row r="445" spans="4:9">
      <c r="D445" s="47"/>
      <c r="E445" s="143"/>
      <c r="H445" s="2"/>
      <c r="I445" s="30"/>
    </row>
    <row r="446" spans="4:9">
      <c r="D446" s="47"/>
      <c r="E446" s="143"/>
      <c r="H446" s="2"/>
      <c r="I446" s="30"/>
    </row>
    <row r="447" spans="4:9">
      <c r="D447" s="47"/>
      <c r="E447" s="143"/>
      <c r="H447" s="2"/>
      <c r="I447" s="30"/>
    </row>
    <row r="448" spans="4:9">
      <c r="D448" s="47"/>
      <c r="E448" s="143"/>
      <c r="H448" s="2"/>
      <c r="I448" s="30"/>
    </row>
    <row r="449" spans="4:9">
      <c r="D449" s="47"/>
      <c r="E449" s="143"/>
      <c r="H449" s="2"/>
      <c r="I449" s="30"/>
    </row>
    <row r="450" spans="4:9">
      <c r="D450" s="47"/>
      <c r="E450" s="143"/>
      <c r="H450" s="2"/>
      <c r="I450" s="30"/>
    </row>
    <row r="451" spans="4:9">
      <c r="D451" s="47"/>
      <c r="E451" s="143"/>
      <c r="H451" s="2"/>
      <c r="I451" s="30"/>
    </row>
    <row r="452" spans="4:9">
      <c r="D452" s="47"/>
      <c r="E452" s="143"/>
      <c r="H452" s="2"/>
      <c r="I452" s="30"/>
    </row>
    <row r="453" spans="4:9">
      <c r="D453" s="47"/>
      <c r="E453" s="143"/>
      <c r="H453" s="2"/>
      <c r="I453" s="30"/>
    </row>
    <row r="454" spans="4:9">
      <c r="D454" s="47"/>
      <c r="E454" s="143"/>
      <c r="H454" s="2"/>
      <c r="I454" s="30"/>
    </row>
    <row r="455" spans="4:9">
      <c r="D455" s="47"/>
      <c r="E455" s="143"/>
      <c r="H455" s="2"/>
      <c r="I455" s="30"/>
    </row>
    <row r="456" spans="4:9">
      <c r="D456" s="47"/>
      <c r="E456" s="143"/>
      <c r="H456" s="2"/>
      <c r="I456" s="30"/>
    </row>
    <row r="457" spans="4:9">
      <c r="D457" s="47"/>
      <c r="E457" s="143"/>
      <c r="H457" s="2"/>
      <c r="I457" s="30"/>
    </row>
    <row r="458" spans="4:9">
      <c r="D458" s="47"/>
      <c r="E458" s="143"/>
      <c r="H458" s="2"/>
      <c r="I458" s="30"/>
    </row>
    <row r="459" spans="4:9">
      <c r="D459" s="47"/>
      <c r="E459" s="143"/>
      <c r="H459" s="2"/>
      <c r="I459" s="30"/>
    </row>
    <row r="460" spans="4:9">
      <c r="D460" s="47"/>
      <c r="E460" s="143"/>
      <c r="H460" s="2"/>
      <c r="I460" s="30"/>
    </row>
    <row r="461" spans="4:9">
      <c r="D461" s="47"/>
      <c r="E461" s="143"/>
      <c r="H461" s="2"/>
      <c r="I461" s="30"/>
    </row>
    <row r="462" spans="4:9">
      <c r="D462" s="47"/>
      <c r="E462" s="143"/>
      <c r="H462" s="2"/>
      <c r="I462" s="30"/>
    </row>
    <row r="463" spans="4:9">
      <c r="D463" s="47"/>
      <c r="E463" s="143"/>
      <c r="H463" s="2"/>
      <c r="I463" s="30"/>
    </row>
    <row r="464" spans="4:9">
      <c r="D464" s="47"/>
      <c r="E464" s="143"/>
      <c r="H464" s="2"/>
      <c r="I464" s="30"/>
    </row>
    <row r="465" spans="4:9">
      <c r="D465" s="47"/>
      <c r="E465" s="143"/>
      <c r="H465" s="2"/>
      <c r="I465" s="30"/>
    </row>
    <row r="466" spans="4:9">
      <c r="D466" s="47"/>
      <c r="E466" s="143"/>
      <c r="H466" s="2"/>
      <c r="I466" s="30"/>
    </row>
    <row r="467" spans="4:9">
      <c r="D467" s="47"/>
      <c r="E467" s="143"/>
      <c r="H467" s="2"/>
      <c r="I467" s="30"/>
    </row>
    <row r="468" spans="4:9">
      <c r="D468" s="47"/>
      <c r="E468" s="143"/>
      <c r="H468" s="2"/>
      <c r="I468" s="30"/>
    </row>
    <row r="469" spans="4:9">
      <c r="D469" s="47"/>
      <c r="E469" s="143"/>
      <c r="H469" s="2"/>
      <c r="I469" s="30"/>
    </row>
    <row r="470" spans="4:9">
      <c r="D470" s="47"/>
      <c r="E470" s="143"/>
      <c r="H470" s="2"/>
      <c r="I470" s="30"/>
    </row>
    <row r="471" spans="4:9">
      <c r="D471" s="47"/>
      <c r="E471" s="143"/>
      <c r="H471" s="2"/>
      <c r="I471" s="30"/>
    </row>
    <row r="472" spans="4:9">
      <c r="D472" s="47"/>
      <c r="E472" s="143"/>
      <c r="H472" s="2"/>
      <c r="I472" s="30"/>
    </row>
    <row r="473" spans="4:9">
      <c r="D473" s="47"/>
      <c r="E473" s="143"/>
      <c r="H473" s="2"/>
      <c r="I473" s="30"/>
    </row>
    <row r="474" spans="4:9">
      <c r="D474" s="47"/>
      <c r="E474" s="143"/>
      <c r="H474" s="2"/>
      <c r="I474" s="30"/>
    </row>
    <row r="475" spans="4:9">
      <c r="D475" s="47"/>
      <c r="E475" s="143"/>
      <c r="H475" s="2"/>
      <c r="I475" s="30"/>
    </row>
    <row r="476" spans="4:9">
      <c r="D476" s="47"/>
      <c r="E476" s="143"/>
      <c r="H476" s="2"/>
      <c r="I476" s="30"/>
    </row>
    <row r="477" spans="4:9">
      <c r="D477" s="47"/>
      <c r="E477" s="143"/>
      <c r="H477" s="2"/>
      <c r="I477" s="30"/>
    </row>
    <row r="478" spans="4:9">
      <c r="D478" s="47"/>
      <c r="E478" s="143"/>
      <c r="H478" s="2"/>
      <c r="I478" s="30"/>
    </row>
    <row r="479" spans="4:9">
      <c r="D479" s="47"/>
      <c r="E479" s="143"/>
      <c r="H479" s="2"/>
      <c r="I479" s="30"/>
    </row>
    <row r="480" spans="4:9">
      <c r="D480" s="47"/>
      <c r="E480" s="143"/>
      <c r="H480" s="2"/>
      <c r="I480" s="30"/>
    </row>
    <row r="481" spans="4:9">
      <c r="D481" s="47"/>
      <c r="E481" s="143"/>
      <c r="H481" s="2"/>
      <c r="I481" s="30"/>
    </row>
    <row r="482" spans="4:9">
      <c r="D482" s="47"/>
      <c r="E482" s="143"/>
      <c r="H482" s="2"/>
      <c r="I482" s="30"/>
    </row>
    <row r="483" spans="4:9">
      <c r="D483" s="47"/>
      <c r="E483" s="143"/>
      <c r="H483" s="2"/>
      <c r="I483" s="30"/>
    </row>
    <row r="484" spans="4:9">
      <c r="D484" s="47"/>
      <c r="E484" s="143"/>
      <c r="H484" s="2"/>
      <c r="I484" s="30"/>
    </row>
    <row r="485" spans="4:9">
      <c r="D485" s="47"/>
      <c r="E485" s="143"/>
      <c r="H485" s="2"/>
      <c r="I485" s="30"/>
    </row>
    <row r="486" spans="4:9">
      <c r="D486" s="47"/>
      <c r="E486" s="143"/>
      <c r="H486" s="2"/>
      <c r="I486" s="30"/>
    </row>
    <row r="487" spans="4:9">
      <c r="D487" s="47"/>
      <c r="E487" s="143"/>
      <c r="H487" s="2"/>
      <c r="I487" s="30"/>
    </row>
    <row r="488" spans="4:9">
      <c r="D488" s="47"/>
      <c r="E488" s="143"/>
      <c r="H488" s="2"/>
      <c r="I488" s="30"/>
    </row>
    <row r="489" spans="4:9">
      <c r="D489" s="47"/>
      <c r="E489" s="143"/>
      <c r="H489" s="2"/>
      <c r="I489" s="30"/>
    </row>
    <row r="490" spans="4:9">
      <c r="D490" s="47"/>
      <c r="E490" s="143"/>
      <c r="H490" s="2"/>
      <c r="I490" s="30"/>
    </row>
    <row r="491" spans="4:9">
      <c r="D491" s="47"/>
      <c r="E491" s="143"/>
      <c r="H491" s="2"/>
      <c r="I491" s="30"/>
    </row>
    <row r="492" spans="4:9">
      <c r="D492" s="47"/>
      <c r="E492" s="143"/>
      <c r="H492" s="2"/>
      <c r="I492" s="30"/>
    </row>
    <row r="493" spans="4:9">
      <c r="D493" s="47"/>
      <c r="E493" s="143"/>
      <c r="H493" s="2"/>
      <c r="I493" s="30"/>
    </row>
    <row r="494" spans="4:9">
      <c r="D494" s="47"/>
      <c r="E494" s="143"/>
      <c r="H494" s="2"/>
      <c r="I494" s="30"/>
    </row>
    <row r="495" spans="4:9">
      <c r="D495" s="47"/>
      <c r="E495" s="143"/>
      <c r="H495" s="2"/>
      <c r="I495" s="30"/>
    </row>
    <row r="496" spans="4:9">
      <c r="D496" s="47"/>
      <c r="E496" s="143"/>
      <c r="H496" s="2"/>
      <c r="I496" s="30"/>
    </row>
    <row r="497" spans="4:9">
      <c r="D497" s="47"/>
      <c r="E497" s="143"/>
      <c r="H497" s="2"/>
      <c r="I497" s="30"/>
    </row>
    <row r="498" spans="4:9">
      <c r="D498" s="47"/>
      <c r="E498" s="143"/>
      <c r="H498" s="2"/>
      <c r="I498" s="30"/>
    </row>
    <row r="499" spans="4:9">
      <c r="D499" s="47"/>
      <c r="E499" s="143"/>
      <c r="H499" s="2"/>
      <c r="I499" s="30"/>
    </row>
    <row r="500" spans="4:9">
      <c r="D500" s="47"/>
      <c r="E500" s="143"/>
      <c r="H500" s="2"/>
      <c r="I500" s="30"/>
    </row>
    <row r="501" spans="4:9">
      <c r="D501" s="47"/>
      <c r="E501" s="143"/>
      <c r="H501" s="2"/>
      <c r="I501" s="30"/>
    </row>
    <row r="502" spans="4:9">
      <c r="D502" s="47"/>
      <c r="E502" s="143"/>
      <c r="H502" s="2"/>
      <c r="I502" s="30"/>
    </row>
    <row r="503" spans="4:9">
      <c r="D503" s="47"/>
      <c r="E503" s="143"/>
      <c r="H503" s="2"/>
      <c r="I503" s="30"/>
    </row>
    <row r="504" spans="4:9">
      <c r="D504" s="47"/>
      <c r="E504" s="143"/>
      <c r="H504" s="2"/>
      <c r="I504" s="30"/>
    </row>
    <row r="505" spans="4:9">
      <c r="D505" s="47"/>
      <c r="E505" s="143"/>
      <c r="H505" s="2"/>
      <c r="I505" s="30"/>
    </row>
    <row r="506" spans="4:9">
      <c r="D506" s="47"/>
      <c r="E506" s="143"/>
      <c r="H506" s="2"/>
      <c r="I506" s="30"/>
    </row>
    <row r="507" spans="4:9">
      <c r="D507" s="47"/>
      <c r="E507" s="143"/>
      <c r="H507" s="2"/>
      <c r="I507" s="30"/>
    </row>
    <row r="508" spans="4:9">
      <c r="D508" s="47"/>
      <c r="E508" s="143"/>
      <c r="H508" s="2"/>
      <c r="I508" s="30"/>
    </row>
    <row r="509" spans="4:9">
      <c r="D509" s="47"/>
      <c r="E509" s="143"/>
      <c r="H509" s="2"/>
      <c r="I509" s="30"/>
    </row>
    <row r="510" spans="4:9">
      <c r="D510" s="47"/>
      <c r="E510" s="143"/>
      <c r="H510" s="2"/>
      <c r="I510" s="30"/>
    </row>
    <row r="511" spans="4:9">
      <c r="D511" s="47"/>
      <c r="E511" s="143"/>
      <c r="H511" s="2"/>
      <c r="I511" s="30"/>
    </row>
    <row r="512" spans="4:9">
      <c r="D512" s="47"/>
      <c r="E512" s="143"/>
      <c r="H512" s="2"/>
      <c r="I512" s="30"/>
    </row>
    <row r="513" spans="4:9">
      <c r="D513" s="47"/>
      <c r="E513" s="143"/>
      <c r="H513" s="2"/>
      <c r="I513" s="30"/>
    </row>
    <row r="514" spans="4:9">
      <c r="D514" s="47"/>
      <c r="E514" s="143"/>
      <c r="H514" s="2"/>
      <c r="I514" s="30"/>
    </row>
    <row r="515" spans="4:9">
      <c r="D515" s="47"/>
      <c r="E515" s="143"/>
      <c r="H515" s="2"/>
      <c r="I515" s="30"/>
    </row>
    <row r="516" spans="4:9">
      <c r="D516" s="47"/>
      <c r="E516" s="143"/>
      <c r="H516" s="2"/>
      <c r="I516" s="30"/>
    </row>
    <row r="517" spans="4:9">
      <c r="D517" s="47"/>
      <c r="E517" s="143"/>
      <c r="H517" s="2"/>
      <c r="I517" s="30"/>
    </row>
    <row r="518" spans="4:9">
      <c r="D518" s="47"/>
      <c r="E518" s="143"/>
      <c r="H518" s="2"/>
      <c r="I518" s="30"/>
    </row>
    <row r="519" spans="4:9">
      <c r="D519" s="47"/>
      <c r="E519" s="143"/>
      <c r="H519" s="2"/>
      <c r="I519" s="30"/>
    </row>
    <row r="520" spans="4:9">
      <c r="D520" s="47"/>
      <c r="E520" s="143"/>
      <c r="H520" s="2"/>
      <c r="I520" s="30"/>
    </row>
    <row r="521" spans="4:9">
      <c r="D521" s="47"/>
      <c r="E521" s="143"/>
      <c r="H521" s="2"/>
      <c r="I521" s="30"/>
    </row>
    <row r="522" spans="4:9">
      <c r="D522" s="47"/>
      <c r="E522" s="143"/>
      <c r="H522" s="2"/>
      <c r="I522" s="30"/>
    </row>
    <row r="523" spans="4:9">
      <c r="D523" s="47"/>
      <c r="E523" s="143"/>
      <c r="H523" s="2"/>
      <c r="I523" s="30"/>
    </row>
    <row r="524" spans="4:9">
      <c r="D524" s="47"/>
      <c r="E524" s="143"/>
      <c r="H524" s="2"/>
      <c r="I524" s="30"/>
    </row>
    <row r="525" spans="4:9">
      <c r="D525" s="47"/>
      <c r="E525" s="143"/>
      <c r="H525" s="2"/>
      <c r="I525" s="30"/>
    </row>
    <row r="526" spans="4:9">
      <c r="D526" s="47"/>
      <c r="E526" s="143"/>
      <c r="H526" s="2"/>
      <c r="I526" s="30"/>
    </row>
    <row r="527" spans="4:9">
      <c r="D527" s="47"/>
      <c r="E527" s="143"/>
      <c r="H527" s="2"/>
      <c r="I527" s="30"/>
    </row>
    <row r="528" spans="4:9">
      <c r="D528" s="47"/>
      <c r="E528" s="143"/>
      <c r="H528" s="2"/>
      <c r="I528" s="30"/>
    </row>
    <row r="529" spans="4:9">
      <c r="D529" s="47"/>
      <c r="E529" s="143"/>
      <c r="H529" s="2"/>
      <c r="I529" s="30"/>
    </row>
    <row r="530" spans="4:9">
      <c r="D530" s="47"/>
      <c r="E530" s="143"/>
      <c r="H530" s="2"/>
      <c r="I530" s="30"/>
    </row>
    <row r="531" spans="4:9">
      <c r="D531" s="47"/>
      <c r="E531" s="143"/>
      <c r="H531" s="2"/>
      <c r="I531" s="30"/>
    </row>
    <row r="532" spans="4:9">
      <c r="D532" s="47"/>
      <c r="E532" s="143"/>
      <c r="H532" s="2"/>
      <c r="I532" s="30"/>
    </row>
    <row r="533" spans="4:9">
      <c r="D533" s="47"/>
      <c r="E533" s="143"/>
      <c r="H533" s="2"/>
      <c r="I533" s="30"/>
    </row>
    <row r="534" spans="4:9">
      <c r="D534" s="47"/>
      <c r="E534" s="143"/>
      <c r="H534" s="2"/>
      <c r="I534" s="30"/>
    </row>
    <row r="535" spans="4:9">
      <c r="D535" s="47"/>
      <c r="E535" s="143"/>
      <c r="H535" s="2"/>
      <c r="I535" s="30"/>
    </row>
    <row r="536" spans="4:9">
      <c r="D536" s="47"/>
      <c r="E536" s="143"/>
      <c r="H536" s="2"/>
      <c r="I536" s="30"/>
    </row>
    <row r="537" spans="4:9">
      <c r="D537" s="47"/>
      <c r="E537" s="143"/>
      <c r="H537" s="2"/>
      <c r="I537" s="30"/>
    </row>
    <row r="538" spans="4:9">
      <c r="D538" s="47"/>
      <c r="E538" s="143"/>
      <c r="H538" s="2"/>
      <c r="I538" s="30"/>
    </row>
    <row r="539" spans="4:9">
      <c r="D539" s="47"/>
      <c r="E539" s="143"/>
      <c r="H539" s="2"/>
      <c r="I539" s="30"/>
    </row>
    <row r="540" spans="4:9">
      <c r="D540" s="47"/>
      <c r="E540" s="143"/>
      <c r="H540" s="2"/>
      <c r="I540" s="30"/>
    </row>
    <row r="541" spans="4:9">
      <c r="D541" s="47"/>
      <c r="E541" s="143"/>
      <c r="H541" s="2"/>
      <c r="I541" s="30"/>
    </row>
    <row r="542" spans="4:9">
      <c r="D542" s="47"/>
      <c r="E542" s="143"/>
      <c r="H542" s="2"/>
      <c r="I542" s="30"/>
    </row>
    <row r="543" spans="4:9">
      <c r="D543" s="47"/>
      <c r="E543" s="143"/>
      <c r="H543" s="2"/>
      <c r="I543" s="30"/>
    </row>
    <row r="544" spans="4:9">
      <c r="D544" s="47"/>
      <c r="E544" s="143"/>
      <c r="H544" s="2"/>
      <c r="I544" s="30"/>
    </row>
    <row r="545" spans="4:9">
      <c r="D545" s="47"/>
      <c r="E545" s="143"/>
      <c r="H545" s="2"/>
      <c r="I545" s="30"/>
    </row>
    <row r="546" spans="4:9">
      <c r="D546" s="47"/>
      <c r="E546" s="143"/>
      <c r="H546" s="2"/>
      <c r="I546" s="30"/>
    </row>
    <row r="547" spans="4:9">
      <c r="D547" s="47"/>
      <c r="E547" s="143"/>
      <c r="H547" s="2"/>
      <c r="I547" s="30"/>
    </row>
    <row r="548" spans="4:9">
      <c r="D548" s="47"/>
      <c r="E548" s="143"/>
      <c r="H548" s="2"/>
      <c r="I548" s="30"/>
    </row>
    <row r="549" spans="4:9">
      <c r="D549" s="47"/>
      <c r="E549" s="143"/>
      <c r="H549" s="2"/>
      <c r="I549" s="30"/>
    </row>
    <row r="550" spans="4:9">
      <c r="D550" s="47"/>
      <c r="E550" s="143"/>
      <c r="H550" s="2"/>
      <c r="I550" s="30"/>
    </row>
    <row r="551" spans="4:9">
      <c r="D551" s="47"/>
      <c r="E551" s="143"/>
      <c r="H551" s="2"/>
      <c r="I551" s="30"/>
    </row>
    <row r="552" spans="4:9">
      <c r="D552" s="47"/>
      <c r="E552" s="143"/>
      <c r="H552" s="2"/>
      <c r="I552" s="30"/>
    </row>
    <row r="553" spans="4:9">
      <c r="D553" s="47"/>
      <c r="E553" s="143"/>
      <c r="H553" s="2"/>
      <c r="I553" s="30"/>
    </row>
    <row r="554" spans="4:9">
      <c r="D554" s="47"/>
      <c r="E554" s="143"/>
      <c r="H554" s="2"/>
      <c r="I554" s="30"/>
    </row>
    <row r="555" spans="4:9">
      <c r="D555" s="47"/>
      <c r="E555" s="143"/>
      <c r="H555" s="2"/>
      <c r="I555" s="30"/>
    </row>
    <row r="556" spans="4:9">
      <c r="D556" s="47"/>
      <c r="E556" s="143"/>
      <c r="H556" s="2"/>
      <c r="I556" s="30"/>
    </row>
    <row r="557" spans="4:9">
      <c r="D557" s="47"/>
      <c r="E557" s="143"/>
      <c r="H557" s="2"/>
      <c r="I557" s="30"/>
    </row>
    <row r="558" spans="4:9">
      <c r="D558" s="47"/>
      <c r="E558" s="143"/>
      <c r="H558" s="2"/>
      <c r="I558" s="30"/>
    </row>
    <row r="559" spans="4:9">
      <c r="D559" s="47"/>
      <c r="E559" s="143"/>
      <c r="H559" s="2"/>
      <c r="I559" s="30"/>
    </row>
    <row r="560" spans="4:9">
      <c r="D560" s="47"/>
      <c r="E560" s="143"/>
      <c r="H560" s="2"/>
      <c r="I560" s="30"/>
    </row>
    <row r="561" spans="4:9">
      <c r="D561" s="47"/>
      <c r="E561" s="143"/>
      <c r="H561" s="2"/>
      <c r="I561" s="30"/>
    </row>
    <row r="562" spans="4:9">
      <c r="D562" s="47"/>
      <c r="E562" s="143"/>
      <c r="H562" s="2"/>
      <c r="I562" s="30"/>
    </row>
    <row r="563" spans="4:9">
      <c r="D563" s="47"/>
      <c r="E563" s="143"/>
      <c r="H563" s="2"/>
      <c r="I563" s="30"/>
    </row>
    <row r="564" spans="4:9">
      <c r="D564" s="47"/>
      <c r="E564" s="143"/>
      <c r="H564" s="2"/>
      <c r="I564" s="30"/>
    </row>
    <row r="565" spans="4:9">
      <c r="D565" s="47"/>
      <c r="E565" s="143"/>
      <c r="H565" s="2"/>
      <c r="I565" s="30"/>
    </row>
    <row r="566" spans="4:9">
      <c r="D566" s="47"/>
      <c r="E566" s="143"/>
      <c r="H566" s="2"/>
      <c r="I566" s="30"/>
    </row>
    <row r="567" spans="4:9">
      <c r="D567" s="47"/>
      <c r="E567" s="143"/>
      <c r="H567" s="2"/>
      <c r="I567" s="30"/>
    </row>
    <row r="568" spans="4:9">
      <c r="D568" s="47"/>
      <c r="E568" s="143"/>
      <c r="H568" s="2"/>
      <c r="I568" s="30"/>
    </row>
    <row r="569" spans="4:9">
      <c r="D569" s="47"/>
      <c r="E569" s="143"/>
      <c r="H569" s="2"/>
      <c r="I569" s="30"/>
    </row>
    <row r="570" spans="4:9">
      <c r="D570" s="47"/>
      <c r="E570" s="143"/>
      <c r="H570" s="2"/>
      <c r="I570" s="30"/>
    </row>
    <row r="571" spans="4:9">
      <c r="D571" s="47"/>
      <c r="E571" s="143"/>
      <c r="H571" s="2"/>
      <c r="I571" s="30"/>
    </row>
    <row r="572" spans="4:9">
      <c r="D572" s="47"/>
      <c r="E572" s="143"/>
      <c r="H572" s="2"/>
      <c r="I572" s="30"/>
    </row>
    <row r="573" spans="4:9">
      <c r="D573" s="47"/>
      <c r="E573" s="143"/>
      <c r="H573" s="2"/>
      <c r="I573" s="30"/>
    </row>
    <row r="574" spans="4:9">
      <c r="D574" s="47"/>
      <c r="E574" s="143"/>
      <c r="H574" s="2"/>
      <c r="I574" s="30"/>
    </row>
    <row r="575" spans="4:9">
      <c r="D575" s="47"/>
      <c r="E575" s="143"/>
      <c r="H575" s="2"/>
      <c r="I575" s="30"/>
    </row>
    <row r="576" spans="4:9">
      <c r="D576" s="47"/>
      <c r="E576" s="143"/>
      <c r="H576" s="2"/>
      <c r="I576" s="30"/>
    </row>
    <row r="577" spans="4:9">
      <c r="D577" s="47"/>
      <c r="E577" s="143"/>
      <c r="H577" s="2"/>
      <c r="I577" s="30"/>
    </row>
    <row r="578" spans="4:9">
      <c r="D578" s="47"/>
      <c r="E578" s="143"/>
      <c r="H578" s="2"/>
      <c r="I578" s="30"/>
    </row>
    <row r="579" spans="4:9">
      <c r="D579" s="47"/>
      <c r="E579" s="143"/>
      <c r="H579" s="2"/>
      <c r="I579" s="30"/>
    </row>
    <row r="580" spans="4:9">
      <c r="D580" s="47"/>
      <c r="E580" s="143"/>
      <c r="H580" s="2"/>
      <c r="I580" s="30"/>
    </row>
    <row r="581" spans="4:9">
      <c r="D581" s="47"/>
      <c r="E581" s="143"/>
      <c r="H581" s="2"/>
      <c r="I581" s="30"/>
    </row>
    <row r="582" spans="4:9">
      <c r="D582" s="47"/>
      <c r="E582" s="143"/>
      <c r="H582" s="2"/>
      <c r="I582" s="30"/>
    </row>
    <row r="583" spans="4:9">
      <c r="D583" s="47"/>
      <c r="E583" s="143"/>
      <c r="H583" s="2"/>
      <c r="I583" s="30"/>
    </row>
    <row r="584" spans="4:9">
      <c r="D584" s="47"/>
      <c r="E584" s="143"/>
      <c r="H584" s="2"/>
      <c r="I584" s="30"/>
    </row>
    <row r="585" spans="4:9">
      <c r="D585" s="47"/>
      <c r="E585" s="143"/>
      <c r="H585" s="2"/>
      <c r="I585" s="30"/>
    </row>
    <row r="586" spans="4:9">
      <c r="D586" s="47"/>
      <c r="E586" s="143"/>
      <c r="H586" s="2"/>
      <c r="I586" s="30"/>
    </row>
    <row r="587" spans="4:9">
      <c r="D587" s="47"/>
      <c r="E587" s="143"/>
      <c r="H587" s="2"/>
      <c r="I587" s="30"/>
    </row>
    <row r="588" spans="4:9">
      <c r="D588" s="47"/>
      <c r="E588" s="143"/>
      <c r="H588" s="2"/>
      <c r="I588" s="30"/>
    </row>
    <row r="589" spans="4:9">
      <c r="D589" s="47"/>
      <c r="E589" s="143"/>
      <c r="H589" s="2"/>
      <c r="I589" s="30"/>
    </row>
    <row r="590" spans="4:9">
      <c r="D590" s="47"/>
      <c r="E590" s="143"/>
      <c r="H590" s="2"/>
      <c r="I590" s="30"/>
    </row>
    <row r="591" spans="4:9">
      <c r="D591" s="47"/>
      <c r="E591" s="143"/>
      <c r="H591" s="2"/>
      <c r="I591" s="30"/>
    </row>
    <row r="592" spans="4:9">
      <c r="D592" s="47"/>
      <c r="E592" s="143"/>
      <c r="H592" s="2"/>
      <c r="I592" s="30"/>
    </row>
    <row r="593" spans="4:9">
      <c r="D593" s="47"/>
      <c r="E593" s="143"/>
      <c r="H593" s="2"/>
      <c r="I593" s="30"/>
    </row>
    <row r="594" spans="4:9">
      <c r="D594" s="47"/>
      <c r="E594" s="143"/>
      <c r="H594" s="2"/>
      <c r="I594" s="30"/>
    </row>
    <row r="595" spans="4:9">
      <c r="D595" s="47"/>
      <c r="E595" s="143"/>
      <c r="H595" s="2"/>
      <c r="I595" s="30"/>
    </row>
    <row r="596" spans="4:9">
      <c r="D596" s="47"/>
      <c r="E596" s="143"/>
      <c r="H596" s="2"/>
      <c r="I596" s="30"/>
    </row>
    <row r="597" spans="4:9">
      <c r="D597" s="47"/>
      <c r="E597" s="143"/>
      <c r="H597" s="2"/>
      <c r="I597" s="30"/>
    </row>
    <row r="598" spans="4:9">
      <c r="D598" s="47"/>
      <c r="E598" s="143"/>
      <c r="H598" s="2"/>
      <c r="I598" s="30"/>
    </row>
    <row r="599" spans="4:9">
      <c r="D599" s="47"/>
      <c r="E599" s="143"/>
      <c r="H599" s="2"/>
      <c r="I599" s="30"/>
    </row>
    <row r="600" spans="4:9">
      <c r="D600" s="47"/>
      <c r="E600" s="143"/>
      <c r="H600" s="2"/>
      <c r="I600" s="30"/>
    </row>
    <row r="601" spans="4:9">
      <c r="D601" s="47"/>
      <c r="E601" s="143"/>
      <c r="H601" s="2"/>
      <c r="I601" s="30"/>
    </row>
    <row r="602" spans="4:9">
      <c r="D602" s="47"/>
      <c r="E602" s="143"/>
      <c r="H602" s="2"/>
      <c r="I602" s="30"/>
    </row>
    <row r="603" spans="4:9">
      <c r="D603" s="47"/>
      <c r="E603" s="143"/>
      <c r="H603" s="2"/>
      <c r="I603" s="30"/>
    </row>
    <row r="604" spans="4:9">
      <c r="D604" s="47"/>
      <c r="E604" s="143"/>
      <c r="H604" s="2"/>
      <c r="I604" s="30"/>
    </row>
    <row r="605" spans="4:9">
      <c r="D605" s="47"/>
      <c r="E605" s="143"/>
      <c r="H605" s="2"/>
      <c r="I605" s="30"/>
    </row>
    <row r="606" spans="4:9">
      <c r="D606" s="47"/>
      <c r="E606" s="143"/>
      <c r="H606" s="2"/>
      <c r="I606" s="30"/>
    </row>
    <row r="607" spans="4:9">
      <c r="D607" s="47"/>
      <c r="E607" s="143"/>
      <c r="H607" s="2"/>
      <c r="I607" s="30"/>
    </row>
    <row r="608" spans="4:9">
      <c r="D608" s="47"/>
      <c r="E608" s="143"/>
      <c r="H608" s="2"/>
      <c r="I608" s="30"/>
    </row>
    <row r="609" spans="4:9">
      <c r="D609" s="47"/>
      <c r="E609" s="143"/>
      <c r="H609" s="2"/>
      <c r="I609" s="30"/>
    </row>
    <row r="610" spans="4:9">
      <c r="D610" s="47"/>
      <c r="E610" s="143"/>
      <c r="H610" s="2"/>
      <c r="I610" s="30"/>
    </row>
    <row r="611" spans="4:9">
      <c r="D611" s="47"/>
      <c r="E611" s="143"/>
      <c r="H611" s="2"/>
      <c r="I611" s="30"/>
    </row>
    <row r="612" spans="4:9">
      <c r="D612" s="47"/>
      <c r="E612" s="143"/>
      <c r="H612" s="2"/>
      <c r="I612" s="30"/>
    </row>
    <row r="613" spans="4:9">
      <c r="D613" s="47"/>
      <c r="E613" s="143"/>
      <c r="H613" s="2"/>
      <c r="I613" s="30"/>
    </row>
    <row r="614" spans="4:9">
      <c r="D614" s="47"/>
      <c r="E614" s="143"/>
      <c r="H614" s="2"/>
      <c r="I614" s="30"/>
    </row>
    <row r="615" spans="4:9">
      <c r="D615" s="47"/>
      <c r="E615" s="143"/>
      <c r="H615" s="2"/>
      <c r="I615" s="30"/>
    </row>
    <row r="616" spans="4:9">
      <c r="D616" s="47"/>
      <c r="E616" s="143"/>
      <c r="H616" s="2"/>
      <c r="I616" s="30"/>
    </row>
    <row r="617" spans="4:9">
      <c r="D617" s="47"/>
      <c r="E617" s="143"/>
      <c r="H617" s="2"/>
      <c r="I617" s="30"/>
    </row>
    <row r="618" spans="4:9">
      <c r="D618" s="47"/>
      <c r="E618" s="143"/>
      <c r="H618" s="2"/>
      <c r="I618" s="30"/>
    </row>
    <row r="619" spans="4:9">
      <c r="D619" s="47"/>
      <c r="E619" s="143"/>
      <c r="H619" s="2"/>
      <c r="I619" s="30"/>
    </row>
    <row r="620" spans="4:9">
      <c r="D620" s="47"/>
      <c r="E620" s="143"/>
      <c r="H620" s="2"/>
      <c r="I620" s="30"/>
    </row>
    <row r="621" spans="4:9">
      <c r="D621" s="47"/>
      <c r="E621" s="143"/>
      <c r="H621" s="2"/>
      <c r="I621" s="30"/>
    </row>
    <row r="622" spans="4:9">
      <c r="D622" s="47"/>
      <c r="E622" s="143"/>
      <c r="H622" s="2"/>
      <c r="I622" s="30"/>
    </row>
    <row r="623" spans="4:9">
      <c r="D623" s="47"/>
      <c r="E623" s="143"/>
      <c r="H623" s="2"/>
      <c r="I623" s="30"/>
    </row>
    <row r="624" spans="4:9">
      <c r="D624" s="47"/>
      <c r="E624" s="143"/>
      <c r="H624" s="2"/>
      <c r="I624" s="30"/>
    </row>
    <row r="625" spans="4:9">
      <c r="D625" s="47"/>
      <c r="E625" s="143"/>
      <c r="H625" s="2"/>
      <c r="I625" s="30"/>
    </row>
    <row r="626" spans="4:9">
      <c r="D626" s="47"/>
      <c r="E626" s="143"/>
      <c r="H626" s="2"/>
      <c r="I626" s="30"/>
    </row>
    <row r="627" spans="4:9">
      <c r="D627" s="47"/>
      <c r="E627" s="143"/>
      <c r="H627" s="2"/>
      <c r="I627" s="30"/>
    </row>
    <row r="628" spans="4:9">
      <c r="D628" s="47"/>
      <c r="E628" s="143"/>
      <c r="H628" s="2"/>
      <c r="I628" s="30"/>
    </row>
    <row r="629" spans="4:9">
      <c r="D629" s="47"/>
      <c r="E629" s="143"/>
      <c r="H629" s="2"/>
      <c r="I629" s="30"/>
    </row>
    <row r="630" spans="4:9">
      <c r="D630" s="47"/>
      <c r="E630" s="143"/>
      <c r="H630" s="2"/>
      <c r="I630" s="30"/>
    </row>
    <row r="631" spans="4:9">
      <c r="D631" s="47"/>
      <c r="E631" s="143"/>
      <c r="H631" s="2"/>
      <c r="I631" s="30"/>
    </row>
    <row r="632" spans="4:9">
      <c r="D632" s="47"/>
      <c r="E632" s="143"/>
      <c r="H632" s="2"/>
      <c r="I632" s="30"/>
    </row>
    <row r="633" spans="4:9">
      <c r="D633" s="47"/>
      <c r="E633" s="143"/>
      <c r="H633" s="2"/>
      <c r="I633" s="30"/>
    </row>
    <row r="634" spans="4:9">
      <c r="D634" s="47"/>
      <c r="E634" s="143"/>
      <c r="H634" s="2"/>
      <c r="I634" s="30"/>
    </row>
    <row r="635" spans="4:9">
      <c r="D635" s="47"/>
      <c r="E635" s="143"/>
      <c r="H635" s="2"/>
      <c r="I635" s="30"/>
    </row>
    <row r="636" spans="4:9">
      <c r="D636" s="47"/>
      <c r="E636" s="143"/>
      <c r="H636" s="2"/>
      <c r="I636" s="30"/>
    </row>
    <row r="637" spans="4:9">
      <c r="D637" s="47"/>
      <c r="E637" s="143"/>
      <c r="H637" s="2"/>
      <c r="I637" s="30"/>
    </row>
    <row r="638" spans="4:9">
      <c r="D638" s="47"/>
      <c r="E638" s="143"/>
      <c r="H638" s="2"/>
      <c r="I638" s="30"/>
    </row>
    <row r="639" spans="4:9">
      <c r="D639" s="47"/>
      <c r="E639" s="143"/>
      <c r="H639" s="2"/>
      <c r="I639" s="30"/>
    </row>
    <row r="640" spans="4:9">
      <c r="D640" s="47"/>
      <c r="E640" s="143"/>
      <c r="H640" s="2"/>
      <c r="I640" s="30"/>
    </row>
    <row r="641" spans="4:9">
      <c r="D641" s="47"/>
      <c r="E641" s="143"/>
      <c r="H641" s="2"/>
      <c r="I641" s="30"/>
    </row>
    <row r="642" spans="4:9">
      <c r="D642" s="47"/>
      <c r="E642" s="143"/>
      <c r="H642" s="2"/>
      <c r="I642" s="30"/>
    </row>
    <row r="643" spans="4:9">
      <c r="D643" s="47"/>
      <c r="E643" s="143"/>
      <c r="H643" s="2"/>
      <c r="I643" s="30"/>
    </row>
    <row r="644" spans="4:9">
      <c r="D644" s="47"/>
      <c r="E644" s="143"/>
      <c r="H644" s="2"/>
      <c r="I644" s="30"/>
    </row>
    <row r="645" spans="4:9">
      <c r="D645" s="47"/>
      <c r="E645" s="143"/>
      <c r="H645" s="2"/>
      <c r="I645" s="30"/>
    </row>
    <row r="646" spans="4:9">
      <c r="D646" s="47"/>
      <c r="E646" s="143"/>
      <c r="H646" s="2"/>
      <c r="I646" s="30"/>
    </row>
    <row r="647" spans="4:9">
      <c r="D647" s="47"/>
      <c r="E647" s="143"/>
      <c r="H647" s="2"/>
      <c r="I647" s="30"/>
    </row>
    <row r="648" spans="4:9">
      <c r="D648" s="47"/>
      <c r="E648" s="143"/>
      <c r="H648" s="2"/>
      <c r="I648" s="30"/>
    </row>
    <row r="649" spans="4:9">
      <c r="D649" s="47"/>
      <c r="E649" s="143"/>
      <c r="H649" s="2"/>
      <c r="I649" s="30"/>
    </row>
    <row r="650" spans="4:9">
      <c r="D650" s="47"/>
      <c r="E650" s="143"/>
      <c r="H650" s="2"/>
      <c r="I650" s="30"/>
    </row>
    <row r="651" spans="4:9">
      <c r="D651" s="47"/>
      <c r="E651" s="143"/>
      <c r="H651" s="2"/>
      <c r="I651" s="30"/>
    </row>
    <row r="652" spans="4:9">
      <c r="D652" s="47"/>
      <c r="E652" s="143"/>
      <c r="H652" s="2"/>
      <c r="I652" s="30"/>
    </row>
    <row r="653" spans="4:9">
      <c r="D653" s="47"/>
      <c r="E653" s="143"/>
      <c r="H653" s="2"/>
      <c r="I653" s="30"/>
    </row>
    <row r="654" spans="4:9">
      <c r="D654" s="47"/>
      <c r="E654" s="143"/>
      <c r="H654" s="2"/>
      <c r="I654" s="30"/>
    </row>
    <row r="655" spans="4:9">
      <c r="D655" s="47"/>
      <c r="E655" s="143"/>
      <c r="H655" s="2"/>
      <c r="I655" s="30"/>
    </row>
    <row r="656" spans="4:9">
      <c r="D656" s="47"/>
      <c r="E656" s="143"/>
      <c r="H656" s="2"/>
      <c r="I656" s="30"/>
    </row>
    <row r="657" spans="4:9">
      <c r="D657" s="47"/>
      <c r="E657" s="143"/>
      <c r="H657" s="2"/>
      <c r="I657" s="30"/>
    </row>
    <row r="658" spans="4:9">
      <c r="D658" s="47"/>
      <c r="E658" s="143"/>
      <c r="H658" s="2"/>
      <c r="I658" s="30"/>
    </row>
    <row r="659" spans="4:9">
      <c r="D659" s="47"/>
      <c r="E659" s="143"/>
      <c r="H659" s="2"/>
      <c r="I659" s="30"/>
    </row>
    <row r="660" spans="4:9">
      <c r="D660" s="47"/>
      <c r="E660" s="143"/>
      <c r="H660" s="2"/>
      <c r="I660" s="30"/>
    </row>
    <row r="661" spans="4:9">
      <c r="D661" s="47"/>
      <c r="E661" s="143"/>
      <c r="H661" s="2"/>
      <c r="I661" s="30"/>
    </row>
    <row r="662" spans="4:9">
      <c r="D662" s="47"/>
      <c r="E662" s="143"/>
      <c r="H662" s="2"/>
      <c r="I662" s="30"/>
    </row>
    <row r="663" spans="4:9">
      <c r="D663" s="47"/>
      <c r="E663" s="143"/>
      <c r="H663" s="2"/>
      <c r="I663" s="30"/>
    </row>
    <row r="664" spans="4:9">
      <c r="D664" s="47"/>
      <c r="E664" s="143"/>
      <c r="H664" s="2"/>
      <c r="I664" s="30"/>
    </row>
    <row r="665" spans="4:9">
      <c r="D665" s="47"/>
      <c r="E665" s="143"/>
      <c r="H665" s="2"/>
      <c r="I665" s="30"/>
    </row>
    <row r="666" spans="4:9">
      <c r="D666" s="47"/>
      <c r="E666" s="143"/>
      <c r="H666" s="2"/>
      <c r="I666" s="30"/>
    </row>
    <row r="667" spans="4:9">
      <c r="D667" s="47"/>
      <c r="E667" s="143"/>
      <c r="H667" s="2"/>
      <c r="I667" s="30"/>
    </row>
    <row r="668" spans="4:9">
      <c r="D668" s="47"/>
      <c r="E668" s="143"/>
      <c r="H668" s="2"/>
      <c r="I668" s="30"/>
    </row>
    <row r="669" spans="4:9">
      <c r="D669" s="47"/>
      <c r="E669" s="143"/>
      <c r="H669" s="2"/>
      <c r="I669" s="30"/>
    </row>
    <row r="670" spans="4:9">
      <c r="D670" s="47"/>
      <c r="E670" s="143"/>
      <c r="H670" s="2"/>
      <c r="I670" s="30"/>
    </row>
    <row r="671" spans="4:9">
      <c r="D671" s="47"/>
      <c r="E671" s="143"/>
      <c r="H671" s="2"/>
      <c r="I671" s="30"/>
    </row>
    <row r="672" spans="4:9">
      <c r="D672" s="47"/>
      <c r="E672" s="143"/>
      <c r="H672" s="2"/>
      <c r="I672" s="30"/>
    </row>
    <row r="673" spans="4:9">
      <c r="D673" s="47"/>
      <c r="E673" s="143"/>
      <c r="H673" s="2"/>
      <c r="I673" s="30"/>
    </row>
    <row r="674" spans="4:9">
      <c r="D674" s="47"/>
      <c r="E674" s="143"/>
      <c r="H674" s="2"/>
      <c r="I674" s="30"/>
    </row>
    <row r="675" spans="4:9">
      <c r="D675" s="47"/>
      <c r="E675" s="143"/>
      <c r="H675" s="2"/>
      <c r="I675" s="30"/>
    </row>
    <row r="676" spans="4:9">
      <c r="D676" s="47"/>
      <c r="E676" s="143"/>
      <c r="H676" s="2"/>
      <c r="I676" s="30"/>
    </row>
    <row r="677" spans="4:9">
      <c r="D677" s="47"/>
      <c r="E677" s="143"/>
      <c r="H677" s="2"/>
      <c r="I677" s="30"/>
    </row>
    <row r="678" spans="4:9">
      <c r="D678" s="47"/>
      <c r="E678" s="143"/>
      <c r="H678" s="2"/>
      <c r="I678" s="30"/>
    </row>
    <row r="679" spans="4:9">
      <c r="D679" s="47"/>
      <c r="E679" s="143"/>
      <c r="H679" s="2"/>
      <c r="I679" s="30"/>
    </row>
    <row r="680" spans="4:9">
      <c r="D680" s="47"/>
      <c r="E680" s="143"/>
      <c r="H680" s="2"/>
      <c r="I680" s="30"/>
    </row>
    <row r="681" spans="4:9">
      <c r="D681" s="47"/>
      <c r="E681" s="143"/>
      <c r="H681" s="2"/>
      <c r="I681" s="30"/>
    </row>
    <row r="682" spans="4:9">
      <c r="D682" s="47"/>
      <c r="E682" s="143"/>
      <c r="H682" s="2"/>
      <c r="I682" s="30"/>
    </row>
    <row r="683" spans="4:9">
      <c r="D683" s="47"/>
      <c r="E683" s="143"/>
      <c r="H683" s="2"/>
      <c r="I683" s="30"/>
    </row>
    <row r="684" spans="4:9">
      <c r="D684" s="47"/>
      <c r="E684" s="143"/>
      <c r="H684" s="2"/>
      <c r="I684" s="30"/>
    </row>
    <row r="685" spans="4:9">
      <c r="D685" s="47"/>
      <c r="E685" s="143"/>
      <c r="H685" s="2"/>
      <c r="I685" s="30"/>
    </row>
    <row r="686" spans="4:9">
      <c r="D686" s="47"/>
      <c r="E686" s="143"/>
      <c r="H686" s="2"/>
      <c r="I686" s="30"/>
    </row>
    <row r="687" spans="4:9">
      <c r="D687" s="47"/>
      <c r="E687" s="143"/>
      <c r="H687" s="2"/>
      <c r="I687" s="30"/>
    </row>
    <row r="688" spans="4:9">
      <c r="D688" s="47"/>
      <c r="E688" s="143"/>
      <c r="H688" s="2"/>
      <c r="I688" s="30"/>
    </row>
    <row r="689" spans="4:9">
      <c r="D689" s="47"/>
      <c r="E689" s="143"/>
      <c r="H689" s="2"/>
      <c r="I689" s="30"/>
    </row>
    <row r="690" spans="4:9">
      <c r="D690" s="47"/>
      <c r="E690" s="143"/>
      <c r="H690" s="2"/>
      <c r="I690" s="30"/>
    </row>
    <row r="691" spans="4:9">
      <c r="D691" s="47"/>
      <c r="E691" s="143"/>
      <c r="H691" s="2"/>
      <c r="I691" s="30"/>
    </row>
    <row r="692" spans="4:9">
      <c r="D692" s="47"/>
      <c r="E692" s="143"/>
      <c r="H692" s="2"/>
      <c r="I692" s="30"/>
    </row>
    <row r="693" spans="4:9">
      <c r="D693" s="47"/>
      <c r="E693" s="143"/>
      <c r="H693" s="2"/>
      <c r="I693" s="30"/>
    </row>
    <row r="694" spans="4:9">
      <c r="D694" s="47"/>
      <c r="E694" s="143"/>
      <c r="H694" s="2"/>
      <c r="I694" s="30"/>
    </row>
    <row r="695" spans="4:9">
      <c r="D695" s="47"/>
      <c r="E695" s="143"/>
      <c r="H695" s="2"/>
      <c r="I695" s="30"/>
    </row>
    <row r="696" spans="4:9">
      <c r="D696" s="47"/>
      <c r="E696" s="143"/>
      <c r="H696" s="2"/>
      <c r="I696" s="30"/>
    </row>
    <row r="697" spans="4:9">
      <c r="D697" s="47"/>
      <c r="E697" s="143"/>
      <c r="H697" s="2"/>
      <c r="I697" s="30"/>
    </row>
    <row r="698" spans="4:9">
      <c r="D698" s="47"/>
      <c r="E698" s="143"/>
      <c r="H698" s="2"/>
      <c r="I698" s="30"/>
    </row>
    <row r="699" spans="4:9">
      <c r="D699" s="47"/>
      <c r="E699" s="143"/>
      <c r="H699" s="2"/>
      <c r="I699" s="30"/>
    </row>
    <row r="700" spans="4:9">
      <c r="D700" s="47"/>
      <c r="E700" s="143"/>
      <c r="H700" s="2"/>
      <c r="I700" s="30"/>
    </row>
    <row r="701" spans="4:9">
      <c r="D701" s="47"/>
      <c r="E701" s="143"/>
      <c r="H701" s="2"/>
      <c r="I701" s="30"/>
    </row>
    <row r="702" spans="4:9">
      <c r="D702" s="47"/>
      <c r="E702" s="143"/>
      <c r="H702" s="2"/>
      <c r="I702" s="30"/>
    </row>
    <row r="703" spans="4:9">
      <c r="D703" s="47"/>
      <c r="E703" s="143"/>
      <c r="H703" s="2"/>
      <c r="I703" s="30"/>
    </row>
    <row r="704" spans="4:9">
      <c r="D704" s="47"/>
      <c r="E704" s="143"/>
      <c r="H704" s="2"/>
      <c r="I704" s="30"/>
    </row>
    <row r="705" spans="4:9">
      <c r="D705" s="47"/>
      <c r="E705" s="143"/>
      <c r="H705" s="2"/>
      <c r="I705" s="30"/>
    </row>
    <row r="706" spans="4:9">
      <c r="D706" s="47"/>
      <c r="E706" s="143"/>
      <c r="H706" s="2"/>
      <c r="I706" s="30"/>
    </row>
    <row r="707" spans="4:9">
      <c r="D707" s="47"/>
      <c r="E707" s="143"/>
      <c r="H707" s="2"/>
      <c r="I707" s="30"/>
    </row>
    <row r="708" spans="4:9">
      <c r="D708" s="47"/>
      <c r="E708" s="143"/>
      <c r="H708" s="2"/>
      <c r="I708" s="30"/>
    </row>
    <row r="709" spans="4:9">
      <c r="D709" s="47"/>
      <c r="E709" s="143"/>
      <c r="H709" s="2"/>
      <c r="I709" s="30"/>
    </row>
    <row r="710" spans="4:9">
      <c r="D710" s="47"/>
      <c r="E710" s="143"/>
      <c r="H710" s="2"/>
      <c r="I710" s="30"/>
    </row>
    <row r="711" spans="4:9">
      <c r="D711" s="47"/>
      <c r="E711" s="143"/>
      <c r="H711" s="2"/>
      <c r="I711" s="30"/>
    </row>
    <row r="712" spans="4:9">
      <c r="D712" s="47"/>
      <c r="E712" s="143"/>
      <c r="H712" s="2"/>
      <c r="I712" s="30"/>
    </row>
    <row r="713" spans="4:9">
      <c r="D713" s="47"/>
      <c r="E713" s="143"/>
      <c r="H713" s="2"/>
      <c r="I713" s="30"/>
    </row>
    <row r="714" spans="4:9">
      <c r="D714" s="47"/>
      <c r="E714" s="143"/>
      <c r="H714" s="2"/>
      <c r="I714" s="30"/>
    </row>
    <row r="715" spans="4:9">
      <c r="D715" s="47"/>
      <c r="E715" s="143"/>
      <c r="H715" s="2"/>
      <c r="I715" s="30"/>
    </row>
    <row r="716" spans="4:9">
      <c r="D716" s="47"/>
      <c r="E716" s="143"/>
      <c r="H716" s="2"/>
      <c r="I716" s="30"/>
    </row>
    <row r="717" spans="4:9">
      <c r="D717" s="47"/>
      <c r="E717" s="143"/>
      <c r="H717" s="2"/>
      <c r="I717" s="30"/>
    </row>
    <row r="718" spans="4:9">
      <c r="D718" s="47"/>
      <c r="E718" s="143"/>
      <c r="H718" s="2"/>
      <c r="I718" s="30"/>
    </row>
    <row r="719" spans="4:9">
      <c r="D719" s="47"/>
      <c r="E719" s="143"/>
      <c r="H719" s="2"/>
      <c r="I719" s="30"/>
    </row>
    <row r="720" spans="4:9">
      <c r="D720" s="47"/>
      <c r="E720" s="143"/>
      <c r="H720" s="2"/>
      <c r="I720" s="30"/>
    </row>
    <row r="721" spans="4:9">
      <c r="D721" s="47"/>
      <c r="E721" s="143"/>
      <c r="H721" s="2"/>
      <c r="I721" s="30"/>
    </row>
    <row r="722" spans="4:9">
      <c r="D722" s="47"/>
      <c r="E722" s="143"/>
      <c r="H722" s="2"/>
      <c r="I722" s="30"/>
    </row>
    <row r="723" spans="4:9">
      <c r="D723" s="47"/>
      <c r="E723" s="143"/>
      <c r="H723" s="2"/>
      <c r="I723" s="30"/>
    </row>
    <row r="724" spans="4:9">
      <c r="D724" s="47"/>
      <c r="E724" s="143"/>
      <c r="H724" s="2"/>
      <c r="I724" s="30"/>
    </row>
    <row r="725" spans="4:9">
      <c r="D725" s="47"/>
      <c r="E725" s="143"/>
      <c r="H725" s="2"/>
      <c r="I725" s="30"/>
    </row>
    <row r="726" spans="4:9">
      <c r="D726" s="47"/>
      <c r="E726" s="143"/>
      <c r="H726" s="2"/>
      <c r="I726" s="30"/>
    </row>
    <row r="727" spans="4:9">
      <c r="D727" s="47"/>
      <c r="E727" s="143"/>
      <c r="H727" s="2"/>
      <c r="I727" s="30"/>
    </row>
    <row r="728" spans="4:9">
      <c r="D728" s="47"/>
      <c r="E728" s="143"/>
      <c r="H728" s="2"/>
      <c r="I728" s="30"/>
    </row>
    <row r="729" spans="4:9">
      <c r="D729" s="47"/>
      <c r="E729" s="143"/>
      <c r="H729" s="2"/>
      <c r="I729" s="30"/>
    </row>
    <row r="730" spans="4:9">
      <c r="D730" s="47"/>
      <c r="E730" s="143"/>
      <c r="H730" s="2"/>
      <c r="I730" s="30"/>
    </row>
    <row r="731" spans="4:9">
      <c r="D731" s="47"/>
      <c r="E731" s="143"/>
      <c r="H731" s="2"/>
      <c r="I731" s="30"/>
    </row>
    <row r="732" spans="4:9">
      <c r="D732" s="47"/>
      <c r="E732" s="143"/>
      <c r="H732" s="2"/>
      <c r="I732" s="30"/>
    </row>
    <row r="733" spans="4:9">
      <c r="D733" s="47"/>
      <c r="E733" s="143"/>
      <c r="H733" s="2"/>
      <c r="I733" s="30"/>
    </row>
    <row r="734" spans="4:9">
      <c r="D734" s="47"/>
      <c r="E734" s="143"/>
      <c r="H734" s="2"/>
      <c r="I734" s="30"/>
    </row>
    <row r="735" spans="4:9">
      <c r="D735" s="47"/>
      <c r="E735" s="143"/>
      <c r="H735" s="2"/>
      <c r="I735" s="30"/>
    </row>
    <row r="736" spans="4:9">
      <c r="D736" s="47"/>
      <c r="E736" s="143"/>
      <c r="H736" s="2"/>
      <c r="I736" s="30"/>
    </row>
    <row r="737" spans="4:9">
      <c r="D737" s="47"/>
      <c r="E737" s="143"/>
      <c r="H737" s="2"/>
      <c r="I737" s="30"/>
    </row>
    <row r="738" spans="4:9">
      <c r="D738" s="47"/>
      <c r="E738" s="143"/>
      <c r="H738" s="2"/>
      <c r="I738" s="30"/>
    </row>
    <row r="739" spans="4:9">
      <c r="D739" s="47"/>
      <c r="E739" s="143"/>
      <c r="H739" s="2"/>
      <c r="I739" s="30"/>
    </row>
    <row r="740" spans="4:9">
      <c r="D740" s="47"/>
      <c r="E740" s="143"/>
      <c r="H740" s="2"/>
      <c r="I740" s="30"/>
    </row>
    <row r="741" spans="4:9">
      <c r="D741" s="47"/>
      <c r="E741" s="143"/>
      <c r="H741" s="2"/>
      <c r="I741" s="30"/>
    </row>
    <row r="742" spans="4:9">
      <c r="D742" s="47"/>
      <c r="E742" s="143"/>
      <c r="H742" s="2"/>
      <c r="I742" s="30"/>
    </row>
    <row r="743" spans="4:9">
      <c r="D743" s="47"/>
      <c r="E743" s="143"/>
      <c r="H743" s="2"/>
      <c r="I743" s="30"/>
    </row>
    <row r="744" spans="4:9">
      <c r="D744" s="47"/>
      <c r="E744" s="143"/>
      <c r="H744" s="2"/>
      <c r="I744" s="30"/>
    </row>
    <row r="745" spans="4:9">
      <c r="D745" s="47"/>
      <c r="E745" s="143"/>
      <c r="H745" s="2"/>
      <c r="I745" s="30"/>
    </row>
    <row r="746" spans="4:9">
      <c r="D746" s="47"/>
      <c r="E746" s="143"/>
      <c r="H746" s="2"/>
      <c r="I746" s="30"/>
    </row>
    <row r="747" spans="4:9">
      <c r="D747" s="47"/>
      <c r="E747" s="143"/>
      <c r="H747" s="2"/>
      <c r="I747" s="30"/>
    </row>
    <row r="748" spans="4:9">
      <c r="D748" s="47"/>
      <c r="E748" s="143"/>
      <c r="H748" s="2"/>
      <c r="I748" s="30"/>
    </row>
    <row r="749" spans="4:9">
      <c r="D749" s="47"/>
      <c r="E749" s="143"/>
      <c r="H749" s="2"/>
      <c r="I749" s="30"/>
    </row>
    <row r="750" spans="4:9">
      <c r="D750" s="47"/>
      <c r="E750" s="143"/>
      <c r="H750" s="2"/>
      <c r="I750" s="30"/>
    </row>
    <row r="751" spans="4:9">
      <c r="D751" s="47"/>
      <c r="E751" s="143"/>
      <c r="H751" s="2"/>
      <c r="I751" s="30"/>
    </row>
    <row r="752" spans="4:9">
      <c r="D752" s="47"/>
      <c r="E752" s="143"/>
      <c r="H752" s="2"/>
      <c r="I752" s="30"/>
    </row>
    <row r="753" spans="4:9">
      <c r="D753" s="47"/>
      <c r="E753" s="143"/>
      <c r="H753" s="2"/>
      <c r="I753" s="30"/>
    </row>
    <row r="754" spans="4:9">
      <c r="D754" s="47"/>
      <c r="E754" s="143"/>
      <c r="H754" s="2"/>
      <c r="I754" s="30"/>
    </row>
    <row r="755" spans="4:9">
      <c r="D755" s="47"/>
      <c r="E755" s="143"/>
      <c r="H755" s="2"/>
      <c r="I755" s="30"/>
    </row>
    <row r="756" spans="4:9">
      <c r="D756" s="47"/>
      <c r="E756" s="143"/>
      <c r="H756" s="2"/>
      <c r="I756" s="30"/>
    </row>
    <row r="757" spans="4:9">
      <c r="D757" s="47"/>
      <c r="E757" s="143"/>
      <c r="H757" s="2"/>
      <c r="I757" s="30"/>
    </row>
    <row r="758" spans="4:9">
      <c r="D758" s="47"/>
      <c r="E758" s="143"/>
      <c r="H758" s="2"/>
      <c r="I758" s="30"/>
    </row>
    <row r="759" spans="4:9">
      <c r="D759" s="47"/>
      <c r="E759" s="143"/>
      <c r="H759" s="2"/>
      <c r="I759" s="30"/>
    </row>
    <row r="760" spans="4:9">
      <c r="D760" s="47"/>
      <c r="E760" s="143"/>
      <c r="H760" s="2"/>
      <c r="I760" s="30"/>
    </row>
    <row r="761" spans="4:9">
      <c r="D761" s="47"/>
      <c r="E761" s="143"/>
      <c r="H761" s="2"/>
      <c r="I761" s="30"/>
    </row>
    <row r="762" spans="4:9">
      <c r="D762" s="47"/>
      <c r="E762" s="143"/>
      <c r="H762" s="2"/>
      <c r="I762" s="30"/>
    </row>
    <row r="763" spans="4:9">
      <c r="D763" s="47"/>
      <c r="E763" s="143"/>
      <c r="H763" s="2"/>
      <c r="I763" s="30"/>
    </row>
    <row r="764" spans="4:9">
      <c r="D764" s="47"/>
      <c r="E764" s="143"/>
      <c r="H764" s="2"/>
      <c r="I764" s="30"/>
    </row>
    <row r="765" spans="4:9">
      <c r="D765" s="47"/>
      <c r="E765" s="143"/>
      <c r="H765" s="2"/>
      <c r="I765" s="30"/>
    </row>
    <row r="766" spans="4:9">
      <c r="D766" s="47"/>
      <c r="E766" s="143"/>
      <c r="H766" s="2"/>
      <c r="I766" s="30"/>
    </row>
    <row r="767" spans="4:9">
      <c r="D767" s="47"/>
      <c r="E767" s="143"/>
      <c r="H767" s="2"/>
      <c r="I767" s="30"/>
    </row>
    <row r="768" spans="4:9">
      <c r="D768" s="47"/>
      <c r="E768" s="143"/>
      <c r="H768" s="2"/>
      <c r="I768" s="30"/>
    </row>
    <row r="769" spans="4:9">
      <c r="D769" s="47"/>
      <c r="E769" s="143"/>
      <c r="H769" s="2"/>
      <c r="I769" s="30"/>
    </row>
    <row r="770" spans="4:9">
      <c r="D770" s="47"/>
      <c r="E770" s="143"/>
      <c r="H770" s="2"/>
      <c r="I770" s="30"/>
    </row>
    <row r="771" spans="4:9">
      <c r="D771" s="47"/>
      <c r="E771" s="143"/>
      <c r="H771" s="2"/>
      <c r="I771" s="30"/>
    </row>
    <row r="772" spans="4:9">
      <c r="D772" s="47"/>
      <c r="E772" s="143"/>
      <c r="H772" s="2"/>
      <c r="I772" s="30"/>
    </row>
    <row r="773" spans="4:9">
      <c r="D773" s="47"/>
      <c r="E773" s="143"/>
      <c r="H773" s="2"/>
      <c r="I773" s="30"/>
    </row>
    <row r="774" spans="4:9">
      <c r="D774" s="47"/>
      <c r="E774" s="143"/>
      <c r="H774" s="2"/>
      <c r="I774" s="30"/>
    </row>
    <row r="775" spans="4:9">
      <c r="D775" s="47"/>
      <c r="E775" s="143"/>
      <c r="H775" s="2"/>
      <c r="I775" s="30"/>
    </row>
    <row r="776" spans="4:9">
      <c r="D776" s="47"/>
      <c r="E776" s="143"/>
      <c r="H776" s="2"/>
      <c r="I776" s="30"/>
    </row>
    <row r="777" spans="4:9">
      <c r="D777" s="47"/>
      <c r="E777" s="143"/>
      <c r="H777" s="2"/>
      <c r="I777" s="30"/>
    </row>
    <row r="778" spans="4:9">
      <c r="D778" s="47"/>
      <c r="E778" s="143"/>
      <c r="H778" s="2"/>
      <c r="I778" s="30"/>
    </row>
    <row r="779" spans="4:9">
      <c r="D779" s="47"/>
      <c r="E779" s="143"/>
      <c r="H779" s="2"/>
      <c r="I779" s="30"/>
    </row>
    <row r="780" spans="4:9">
      <c r="D780" s="47"/>
      <c r="E780" s="143"/>
      <c r="H780" s="2"/>
      <c r="I780" s="30"/>
    </row>
    <row r="781" spans="4:9">
      <c r="D781" s="47"/>
      <c r="E781" s="143"/>
      <c r="H781" s="2"/>
      <c r="I781" s="30"/>
    </row>
    <row r="782" spans="4:9">
      <c r="D782" s="47"/>
      <c r="E782" s="143"/>
      <c r="H782" s="2"/>
      <c r="I782" s="30"/>
    </row>
    <row r="783" spans="4:9">
      <c r="D783" s="47"/>
      <c r="E783" s="143"/>
      <c r="H783" s="2"/>
      <c r="I783" s="30"/>
    </row>
    <row r="784" spans="4:9">
      <c r="D784" s="47"/>
      <c r="E784" s="143"/>
      <c r="H784" s="2"/>
      <c r="I784" s="30"/>
    </row>
    <row r="785" spans="4:9">
      <c r="D785" s="47"/>
      <c r="E785" s="143"/>
      <c r="H785" s="2"/>
      <c r="I785" s="30"/>
    </row>
    <row r="786" spans="4:9">
      <c r="D786" s="47"/>
      <c r="E786" s="143"/>
      <c r="H786" s="2"/>
      <c r="I786" s="30"/>
    </row>
    <row r="787" spans="4:9">
      <c r="D787" s="47"/>
      <c r="E787" s="143"/>
      <c r="H787" s="2"/>
      <c r="I787" s="30"/>
    </row>
    <row r="788" spans="4:9">
      <c r="D788" s="47"/>
      <c r="E788" s="143"/>
      <c r="H788" s="2"/>
      <c r="I788" s="30"/>
    </row>
    <row r="789" spans="4:9">
      <c r="D789" s="47"/>
      <c r="E789" s="143"/>
      <c r="H789" s="2"/>
      <c r="I789" s="30"/>
    </row>
    <row r="790" spans="4:9">
      <c r="D790" s="47"/>
      <c r="E790" s="143"/>
      <c r="H790" s="2"/>
      <c r="I790" s="30"/>
    </row>
    <row r="791" spans="4:9">
      <c r="D791" s="47"/>
      <c r="E791" s="143"/>
      <c r="H791" s="2"/>
      <c r="I791" s="30"/>
    </row>
    <row r="792" spans="4:9">
      <c r="D792" s="47"/>
      <c r="E792" s="143"/>
      <c r="H792" s="2"/>
      <c r="I792" s="30"/>
    </row>
    <row r="793" spans="4:9">
      <c r="D793" s="47"/>
      <c r="E793" s="143"/>
      <c r="H793" s="2"/>
      <c r="I793" s="30"/>
    </row>
    <row r="794" spans="4:9">
      <c r="D794" s="47"/>
      <c r="E794" s="143"/>
      <c r="H794" s="2"/>
      <c r="I794" s="30"/>
    </row>
    <row r="795" spans="4:9">
      <c r="D795" s="47"/>
      <c r="E795" s="143"/>
      <c r="H795" s="2"/>
      <c r="I795" s="30"/>
    </row>
    <row r="796" spans="4:9">
      <c r="D796" s="47"/>
      <c r="E796" s="143"/>
      <c r="H796" s="2"/>
      <c r="I796" s="30"/>
    </row>
    <row r="797" spans="4:9">
      <c r="D797" s="47"/>
      <c r="E797" s="143"/>
      <c r="H797" s="2"/>
      <c r="I797" s="30"/>
    </row>
    <row r="798" spans="4:9">
      <c r="D798" s="47"/>
      <c r="E798" s="143"/>
      <c r="H798" s="2"/>
      <c r="I798" s="30"/>
    </row>
    <row r="799" spans="4:9">
      <c r="D799" s="47"/>
      <c r="E799" s="143"/>
      <c r="H799" s="2"/>
      <c r="I799" s="30"/>
    </row>
    <row r="800" spans="4:9">
      <c r="D800" s="47"/>
      <c r="E800" s="143"/>
      <c r="H800" s="2"/>
      <c r="I800" s="30"/>
    </row>
    <row r="801" spans="4:9">
      <c r="D801" s="47"/>
      <c r="E801" s="143"/>
      <c r="H801" s="2"/>
      <c r="I801" s="30"/>
    </row>
    <row r="802" spans="4:9">
      <c r="D802" s="47"/>
      <c r="E802" s="143"/>
      <c r="H802" s="2"/>
      <c r="I802" s="30"/>
    </row>
    <row r="803" spans="4:9">
      <c r="D803" s="47"/>
      <c r="E803" s="143"/>
      <c r="H803" s="2"/>
      <c r="I803" s="30"/>
    </row>
    <row r="804" spans="4:9">
      <c r="D804" s="47"/>
      <c r="E804" s="143"/>
      <c r="H804" s="2"/>
      <c r="I804" s="30"/>
    </row>
    <row r="805" spans="4:9">
      <c r="D805" s="47"/>
      <c r="E805" s="143"/>
      <c r="H805" s="2"/>
      <c r="I805" s="30"/>
    </row>
    <row r="806" spans="4:9">
      <c r="D806" s="47"/>
      <c r="E806" s="143"/>
      <c r="H806" s="2"/>
      <c r="I806" s="30"/>
    </row>
    <row r="807" spans="4:9">
      <c r="D807" s="47"/>
      <c r="E807" s="143"/>
      <c r="H807" s="2"/>
      <c r="I807" s="30"/>
    </row>
    <row r="808" spans="4:9">
      <c r="D808" s="47"/>
      <c r="E808" s="143"/>
      <c r="H808" s="2"/>
      <c r="I808" s="30"/>
    </row>
    <row r="809" spans="4:9">
      <c r="D809" s="47"/>
      <c r="E809" s="143"/>
      <c r="H809" s="2"/>
      <c r="I809" s="30"/>
    </row>
    <row r="810" spans="4:9">
      <c r="D810" s="47"/>
      <c r="E810" s="143"/>
      <c r="H810" s="2"/>
      <c r="I810" s="30"/>
    </row>
    <row r="811" spans="4:9">
      <c r="D811" s="47"/>
      <c r="E811" s="143"/>
      <c r="H811" s="2"/>
      <c r="I811" s="30"/>
    </row>
    <row r="812" spans="4:9">
      <c r="D812" s="47"/>
      <c r="E812" s="143"/>
      <c r="H812" s="2"/>
      <c r="I812" s="30"/>
    </row>
    <row r="813" spans="4:9">
      <c r="D813" s="47"/>
      <c r="E813" s="143"/>
      <c r="H813" s="2"/>
      <c r="I813" s="30"/>
    </row>
    <row r="814" spans="4:9">
      <c r="D814" s="47"/>
      <c r="E814" s="143"/>
      <c r="H814" s="2"/>
      <c r="I814" s="30"/>
    </row>
    <row r="815" spans="4:9">
      <c r="D815" s="47"/>
      <c r="E815" s="143"/>
      <c r="H815" s="2"/>
      <c r="I815" s="30"/>
    </row>
    <row r="816" spans="4:9">
      <c r="D816" s="47"/>
      <c r="E816" s="143"/>
      <c r="H816" s="2"/>
      <c r="I816" s="30"/>
    </row>
    <row r="817" spans="4:9">
      <c r="D817" s="47"/>
      <c r="E817" s="143"/>
      <c r="H817" s="2"/>
      <c r="I817" s="30"/>
    </row>
    <row r="818" spans="4:9">
      <c r="D818" s="47"/>
      <c r="E818" s="143"/>
      <c r="H818" s="2"/>
      <c r="I818" s="30"/>
    </row>
    <row r="819" spans="4:9">
      <c r="D819" s="47"/>
      <c r="E819" s="143"/>
      <c r="H819" s="2"/>
      <c r="I819" s="30"/>
    </row>
    <row r="820" spans="4:9">
      <c r="D820" s="47"/>
      <c r="E820" s="143"/>
      <c r="H820" s="2"/>
      <c r="I820" s="30"/>
    </row>
    <row r="821" spans="4:9">
      <c r="D821" s="47"/>
      <c r="E821" s="143"/>
      <c r="H821" s="2"/>
      <c r="I821" s="30"/>
    </row>
    <row r="822" spans="4:9">
      <c r="D822" s="47"/>
      <c r="E822" s="143"/>
      <c r="H822" s="2"/>
      <c r="I822" s="30"/>
    </row>
    <row r="823" spans="4:9">
      <c r="D823" s="47"/>
      <c r="E823" s="143"/>
      <c r="H823" s="2"/>
      <c r="I823" s="30"/>
    </row>
    <row r="824" spans="4:9">
      <c r="D824" s="47"/>
      <c r="E824" s="143"/>
      <c r="H824" s="2"/>
      <c r="I824" s="30"/>
    </row>
    <row r="825" spans="4:9">
      <c r="D825" s="47"/>
      <c r="E825" s="143"/>
      <c r="H825" s="2"/>
      <c r="I825" s="30"/>
    </row>
    <row r="826" spans="4:9">
      <c r="D826" s="47"/>
      <c r="E826" s="143"/>
      <c r="H826" s="2"/>
      <c r="I826" s="30"/>
    </row>
    <row r="827" spans="4:9">
      <c r="D827" s="47"/>
      <c r="E827" s="143"/>
      <c r="H827" s="2"/>
      <c r="I827" s="30"/>
    </row>
    <row r="828" spans="4:9">
      <c r="D828" s="47"/>
      <c r="E828" s="143"/>
      <c r="H828" s="2"/>
      <c r="I828" s="30"/>
    </row>
    <row r="829" spans="4:9">
      <c r="D829" s="47"/>
      <c r="E829" s="143"/>
      <c r="H829" s="2"/>
      <c r="I829" s="30"/>
    </row>
    <row r="830" spans="4:9">
      <c r="D830" s="47"/>
      <c r="E830" s="143"/>
      <c r="H830" s="2"/>
      <c r="I830" s="30"/>
    </row>
    <row r="831" spans="4:9">
      <c r="D831" s="47"/>
      <c r="E831" s="143"/>
      <c r="H831" s="2"/>
      <c r="I831" s="30"/>
    </row>
    <row r="832" spans="4:9">
      <c r="D832" s="47"/>
      <c r="E832" s="143"/>
      <c r="H832" s="2"/>
      <c r="I832" s="30"/>
    </row>
    <row r="833" spans="4:9">
      <c r="D833" s="47"/>
      <c r="E833" s="143"/>
      <c r="H833" s="2"/>
      <c r="I833" s="30"/>
    </row>
    <row r="834" spans="4:9">
      <c r="D834" s="47"/>
      <c r="E834" s="143"/>
      <c r="H834" s="2"/>
      <c r="I834" s="30"/>
    </row>
    <row r="835" spans="4:9">
      <c r="D835" s="47"/>
      <c r="E835" s="143"/>
      <c r="H835" s="2"/>
      <c r="I835" s="30"/>
    </row>
    <row r="836" spans="4:9">
      <c r="D836" s="47"/>
      <c r="E836" s="143"/>
      <c r="H836" s="2"/>
      <c r="I836" s="30"/>
    </row>
    <row r="837" spans="4:9">
      <c r="D837" s="47"/>
      <c r="E837" s="143"/>
      <c r="H837" s="2"/>
      <c r="I837" s="30"/>
    </row>
    <row r="838" spans="4:9">
      <c r="D838" s="47"/>
      <c r="E838" s="143"/>
      <c r="H838" s="2"/>
      <c r="I838" s="30"/>
    </row>
    <row r="839" spans="4:9">
      <c r="D839" s="47"/>
      <c r="E839" s="143"/>
      <c r="H839" s="2"/>
      <c r="I839" s="30"/>
    </row>
    <row r="840" spans="4:9">
      <c r="D840" s="47"/>
      <c r="E840" s="143"/>
      <c r="H840" s="2"/>
      <c r="I840" s="30"/>
    </row>
    <row r="841" spans="4:9">
      <c r="D841" s="47"/>
      <c r="E841" s="143"/>
      <c r="H841" s="2"/>
      <c r="I841" s="30"/>
    </row>
    <row r="842" spans="4:9">
      <c r="D842" s="47"/>
      <c r="E842" s="143"/>
      <c r="H842" s="2"/>
      <c r="I842" s="30"/>
    </row>
    <row r="843" spans="4:9">
      <c r="D843" s="47"/>
      <c r="E843" s="143"/>
      <c r="H843" s="2"/>
      <c r="I843" s="30"/>
    </row>
    <row r="844" spans="4:9">
      <c r="D844" s="47"/>
      <c r="E844" s="143"/>
      <c r="H844" s="2"/>
      <c r="I844" s="30"/>
    </row>
    <row r="845" spans="4:9">
      <c r="D845" s="47"/>
      <c r="E845" s="143"/>
      <c r="H845" s="2"/>
      <c r="I845" s="30"/>
    </row>
    <row r="846" spans="4:9">
      <c r="D846" s="47"/>
      <c r="E846" s="143"/>
      <c r="H846" s="2"/>
      <c r="I846" s="30"/>
    </row>
    <row r="847" spans="4:9">
      <c r="D847" s="47"/>
      <c r="E847" s="143"/>
      <c r="H847" s="2"/>
      <c r="I847" s="30"/>
    </row>
    <row r="848" spans="4:9">
      <c r="D848" s="47"/>
      <c r="E848" s="143"/>
      <c r="H848" s="2"/>
      <c r="I848" s="30"/>
    </row>
    <row r="849" spans="4:9">
      <c r="D849" s="47"/>
      <c r="E849" s="143"/>
      <c r="H849" s="2"/>
      <c r="I849" s="30"/>
    </row>
    <row r="850" spans="4:9">
      <c r="D850" s="47"/>
      <c r="E850" s="143"/>
      <c r="H850" s="2"/>
      <c r="I850" s="30"/>
    </row>
    <row r="851" spans="4:9">
      <c r="D851" s="47"/>
      <c r="E851" s="143"/>
      <c r="H851" s="2"/>
      <c r="I851" s="30"/>
    </row>
    <row r="852" spans="4:9">
      <c r="D852" s="47"/>
      <c r="E852" s="143"/>
      <c r="H852" s="2"/>
      <c r="I852" s="30"/>
    </row>
    <row r="853" spans="4:9">
      <c r="D853" s="47"/>
      <c r="E853" s="143"/>
      <c r="H853" s="2"/>
      <c r="I853" s="30"/>
    </row>
    <row r="854" spans="4:9">
      <c r="D854" s="47"/>
      <c r="E854" s="143"/>
      <c r="H854" s="2"/>
      <c r="I854" s="30"/>
    </row>
    <row r="855" spans="4:9">
      <c r="D855" s="47"/>
      <c r="E855" s="143"/>
      <c r="H855" s="2"/>
      <c r="I855" s="30"/>
    </row>
    <row r="856" spans="4:9">
      <c r="D856" s="47"/>
      <c r="E856" s="143"/>
      <c r="H856" s="2"/>
      <c r="I856" s="30"/>
    </row>
    <row r="857" spans="4:9">
      <c r="D857" s="47"/>
      <c r="E857" s="143"/>
      <c r="H857" s="2"/>
      <c r="I857" s="30"/>
    </row>
    <row r="858" spans="4:9">
      <c r="D858" s="47"/>
      <c r="E858" s="143"/>
      <c r="H858" s="2"/>
      <c r="I858" s="30"/>
    </row>
    <row r="859" spans="4:9">
      <c r="D859" s="47"/>
      <c r="E859" s="143"/>
      <c r="H859" s="2"/>
      <c r="I859" s="30"/>
    </row>
    <row r="860" spans="4:9">
      <c r="D860" s="47"/>
      <c r="E860" s="143"/>
      <c r="H860" s="2"/>
      <c r="I860" s="30"/>
    </row>
    <row r="861" spans="4:9">
      <c r="D861" s="47"/>
      <c r="E861" s="143"/>
      <c r="H861" s="2"/>
      <c r="I861" s="30"/>
    </row>
    <row r="862" spans="4:9">
      <c r="D862" s="47"/>
      <c r="E862" s="143"/>
      <c r="H862" s="2"/>
      <c r="I862" s="30"/>
    </row>
    <row r="863" spans="4:9">
      <c r="D863" s="47"/>
      <c r="E863" s="143"/>
      <c r="H863" s="2"/>
      <c r="I863" s="30"/>
    </row>
    <row r="864" spans="4:9">
      <c r="D864" s="47"/>
      <c r="E864" s="143"/>
      <c r="H864" s="2"/>
      <c r="I864" s="30"/>
    </row>
    <row r="865" spans="4:9">
      <c r="D865" s="47"/>
      <c r="E865" s="143"/>
      <c r="H865" s="2"/>
      <c r="I865" s="30"/>
    </row>
    <row r="866" spans="4:9">
      <c r="D866" s="47"/>
      <c r="E866" s="143"/>
      <c r="H866" s="2"/>
      <c r="I866" s="30"/>
    </row>
    <row r="867" spans="4:9">
      <c r="D867" s="47"/>
      <c r="E867" s="143"/>
      <c r="H867" s="2"/>
      <c r="I867" s="30"/>
    </row>
    <row r="868" spans="4:9">
      <c r="D868" s="47"/>
      <c r="E868" s="143"/>
      <c r="H868" s="2"/>
      <c r="I868" s="30"/>
    </row>
    <row r="869" spans="4:9">
      <c r="D869" s="47"/>
      <c r="E869" s="143"/>
      <c r="H869" s="2"/>
      <c r="I869" s="30"/>
    </row>
    <row r="870" spans="4:9">
      <c r="D870" s="47"/>
      <c r="E870" s="143"/>
      <c r="H870" s="2"/>
      <c r="I870" s="30"/>
    </row>
    <row r="871" spans="4:9">
      <c r="D871" s="47"/>
      <c r="E871" s="143"/>
      <c r="H871" s="2"/>
      <c r="I871" s="30"/>
    </row>
    <row r="872" spans="4:9">
      <c r="D872" s="47"/>
      <c r="E872" s="143"/>
      <c r="H872" s="2"/>
      <c r="I872" s="30"/>
    </row>
    <row r="873" spans="4:9">
      <c r="D873" s="47"/>
      <c r="E873" s="143"/>
      <c r="H873" s="2"/>
      <c r="I873" s="30"/>
    </row>
    <row r="874" spans="4:9">
      <c r="D874" s="47"/>
      <c r="E874" s="143"/>
      <c r="H874" s="2"/>
      <c r="I874" s="30"/>
    </row>
    <row r="875" spans="4:9">
      <c r="D875" s="47"/>
      <c r="E875" s="143"/>
      <c r="H875" s="2"/>
      <c r="I875" s="30"/>
    </row>
    <row r="876" spans="4:9">
      <c r="D876" s="47"/>
      <c r="E876" s="143"/>
      <c r="H876" s="2"/>
      <c r="I876" s="30"/>
    </row>
    <row r="877" spans="4:9">
      <c r="D877" s="47"/>
      <c r="E877" s="143"/>
      <c r="H877" s="2"/>
      <c r="I877" s="30"/>
    </row>
    <row r="878" spans="4:9">
      <c r="D878" s="47"/>
      <c r="E878" s="143"/>
      <c r="H878" s="2"/>
      <c r="I878" s="30"/>
    </row>
    <row r="879" spans="4:9">
      <c r="D879" s="47"/>
      <c r="E879" s="143"/>
      <c r="H879" s="2"/>
      <c r="I879" s="30"/>
    </row>
    <row r="880" spans="4:9">
      <c r="D880" s="47"/>
      <c r="E880" s="143"/>
      <c r="H880" s="2"/>
      <c r="I880" s="30"/>
    </row>
    <row r="881" spans="4:9">
      <c r="D881" s="47"/>
      <c r="E881" s="143"/>
      <c r="H881" s="2"/>
      <c r="I881" s="30"/>
    </row>
    <row r="882" spans="4:9">
      <c r="D882" s="47"/>
      <c r="E882" s="143"/>
      <c r="H882" s="2"/>
      <c r="I882" s="30"/>
    </row>
    <row r="883" spans="4:9">
      <c r="D883" s="47"/>
      <c r="E883" s="143"/>
      <c r="H883" s="2"/>
      <c r="I883" s="30"/>
    </row>
    <row r="884" spans="4:9">
      <c r="D884" s="47"/>
      <c r="E884" s="143"/>
      <c r="H884" s="2"/>
      <c r="I884" s="30"/>
    </row>
    <row r="885" spans="4:9">
      <c r="D885" s="47"/>
      <c r="E885" s="143"/>
      <c r="H885" s="2"/>
      <c r="I885" s="30"/>
    </row>
    <row r="886" spans="4:9">
      <c r="D886" s="47"/>
      <c r="E886" s="143"/>
      <c r="H886" s="2"/>
      <c r="I886" s="30"/>
    </row>
    <row r="887" spans="4:9">
      <c r="D887" s="47"/>
      <c r="E887" s="143"/>
      <c r="H887" s="2"/>
      <c r="I887" s="30"/>
    </row>
    <row r="888" spans="4:9">
      <c r="D888" s="47"/>
      <c r="E888" s="143"/>
      <c r="H888" s="2"/>
      <c r="I888" s="30"/>
    </row>
    <row r="889" spans="4:9">
      <c r="D889" s="47"/>
      <c r="E889" s="143"/>
      <c r="H889" s="2"/>
      <c r="I889" s="30"/>
    </row>
    <row r="890" spans="4:9">
      <c r="D890" s="47"/>
      <c r="E890" s="143"/>
      <c r="H890" s="2"/>
      <c r="I890" s="30"/>
    </row>
    <row r="891" spans="4:9">
      <c r="D891" s="47"/>
      <c r="E891" s="143"/>
      <c r="H891" s="2"/>
      <c r="I891" s="30"/>
    </row>
    <row r="892" spans="4:9">
      <c r="D892" s="47"/>
      <c r="E892" s="143"/>
      <c r="H892" s="2"/>
      <c r="I892" s="30"/>
    </row>
    <row r="893" spans="4:9">
      <c r="D893" s="47"/>
      <c r="E893" s="143"/>
      <c r="H893" s="2"/>
      <c r="I893" s="30"/>
    </row>
    <row r="894" spans="4:9">
      <c r="D894" s="47"/>
      <c r="E894" s="143"/>
      <c r="H894" s="2"/>
      <c r="I894" s="30"/>
    </row>
    <row r="895" spans="4:9">
      <c r="D895" s="47"/>
      <c r="E895" s="143"/>
      <c r="H895" s="2"/>
      <c r="I895" s="30"/>
    </row>
    <row r="896" spans="4:9">
      <c r="D896" s="47"/>
      <c r="E896" s="143"/>
      <c r="H896" s="2"/>
      <c r="I896" s="30"/>
    </row>
    <row r="897" spans="4:9">
      <c r="D897" s="47"/>
      <c r="E897" s="143"/>
      <c r="H897" s="2"/>
      <c r="I897" s="30"/>
    </row>
    <row r="898" spans="4:9">
      <c r="D898" s="47"/>
      <c r="E898" s="143"/>
      <c r="H898" s="2"/>
      <c r="I898" s="30"/>
    </row>
    <row r="899" spans="4:9">
      <c r="D899" s="47"/>
      <c r="E899" s="143"/>
      <c r="H899" s="2"/>
      <c r="I899" s="30"/>
    </row>
    <row r="900" spans="4:9">
      <c r="D900" s="47"/>
      <c r="E900" s="143"/>
      <c r="H900" s="2"/>
      <c r="I900" s="30"/>
    </row>
    <row r="901" spans="4:9">
      <c r="D901" s="47"/>
      <c r="E901" s="143"/>
      <c r="H901" s="2"/>
      <c r="I901" s="30"/>
    </row>
    <row r="902" spans="4:9">
      <c r="D902" s="47"/>
      <c r="E902" s="143"/>
      <c r="H902" s="2"/>
      <c r="I902" s="30"/>
    </row>
    <row r="903" spans="4:9">
      <c r="D903" s="47"/>
      <c r="E903" s="143"/>
      <c r="H903" s="2"/>
      <c r="I903" s="30"/>
    </row>
    <row r="904" spans="4:9">
      <c r="D904" s="47"/>
      <c r="E904" s="143"/>
      <c r="H904" s="2"/>
      <c r="I904" s="30"/>
    </row>
    <row r="905" spans="4:9">
      <c r="D905" s="47"/>
      <c r="E905" s="143"/>
      <c r="H905" s="2"/>
      <c r="I905" s="30"/>
    </row>
    <row r="906" spans="4:9">
      <c r="D906" s="47"/>
      <c r="E906" s="143"/>
      <c r="H906" s="2"/>
      <c r="I906" s="30"/>
    </row>
    <row r="907" spans="4:9">
      <c r="D907" s="47"/>
      <c r="E907" s="143"/>
      <c r="H907" s="2"/>
      <c r="I907" s="30"/>
    </row>
    <row r="908" spans="4:9">
      <c r="D908" s="47"/>
      <c r="E908" s="143"/>
      <c r="H908" s="2"/>
      <c r="I908" s="30"/>
    </row>
    <row r="909" spans="4:9">
      <c r="D909" s="47"/>
      <c r="E909" s="143"/>
      <c r="H909" s="2"/>
      <c r="I909" s="30"/>
    </row>
    <row r="910" spans="4:9">
      <c r="D910" s="47"/>
      <c r="E910" s="143"/>
      <c r="H910" s="2"/>
      <c r="I910" s="30"/>
    </row>
    <row r="911" spans="4:9">
      <c r="D911" s="47"/>
      <c r="E911" s="143"/>
      <c r="H911" s="2"/>
      <c r="I911" s="30"/>
    </row>
    <row r="912" spans="4:9">
      <c r="D912" s="47"/>
      <c r="E912" s="143"/>
      <c r="H912" s="2"/>
      <c r="I912" s="30"/>
    </row>
    <row r="913" spans="4:9">
      <c r="D913" s="47"/>
      <c r="E913" s="143"/>
      <c r="H913" s="2"/>
      <c r="I913" s="30"/>
    </row>
    <row r="914" spans="4:9">
      <c r="D914" s="47"/>
      <c r="E914" s="143"/>
      <c r="H914" s="2"/>
      <c r="I914" s="30"/>
    </row>
    <row r="915" spans="4:9">
      <c r="D915" s="47"/>
      <c r="E915" s="143"/>
      <c r="H915" s="2"/>
      <c r="I915" s="30"/>
    </row>
    <row r="916" spans="4:9">
      <c r="D916" s="47"/>
      <c r="E916" s="143"/>
      <c r="H916" s="2"/>
      <c r="I916" s="30"/>
    </row>
    <row r="917" spans="4:9">
      <c r="D917" s="47"/>
      <c r="E917" s="143"/>
      <c r="H917" s="2"/>
      <c r="I917" s="30"/>
    </row>
    <row r="918" spans="4:9">
      <c r="D918" s="47"/>
      <c r="E918" s="143"/>
      <c r="H918" s="2"/>
      <c r="I918" s="30"/>
    </row>
    <row r="919" spans="4:9">
      <c r="D919" s="47"/>
      <c r="E919" s="143"/>
      <c r="H919" s="2"/>
      <c r="I919" s="30"/>
    </row>
    <row r="920" spans="4:9">
      <c r="D920" s="47"/>
      <c r="E920" s="143"/>
      <c r="H920" s="2"/>
      <c r="I920" s="30"/>
    </row>
    <row r="921" spans="4:9">
      <c r="D921" s="47"/>
      <c r="E921" s="143"/>
      <c r="H921" s="2"/>
      <c r="I921" s="30"/>
    </row>
    <row r="922" spans="4:9">
      <c r="D922" s="47"/>
      <c r="E922" s="143"/>
      <c r="H922" s="2"/>
      <c r="I922" s="30"/>
    </row>
    <row r="923" spans="4:9">
      <c r="D923" s="47"/>
      <c r="E923" s="143"/>
      <c r="H923" s="2"/>
      <c r="I923" s="30"/>
    </row>
    <row r="924" spans="4:9">
      <c r="D924" s="47"/>
      <c r="E924" s="143"/>
      <c r="H924" s="2"/>
      <c r="I924" s="30"/>
    </row>
    <row r="925" spans="4:9">
      <c r="D925" s="47"/>
      <c r="E925" s="143"/>
      <c r="H925" s="2"/>
      <c r="I925" s="30"/>
    </row>
    <row r="926" spans="4:9">
      <c r="D926" s="47"/>
      <c r="E926" s="143"/>
      <c r="H926" s="2"/>
      <c r="I926" s="30"/>
    </row>
    <row r="927" spans="4:9">
      <c r="D927" s="47"/>
      <c r="E927" s="143"/>
      <c r="H927" s="2"/>
      <c r="I927" s="30"/>
    </row>
    <row r="928" spans="4:9">
      <c r="D928" s="47"/>
      <c r="E928" s="143"/>
      <c r="H928" s="2"/>
      <c r="I928" s="30"/>
    </row>
    <row r="929" spans="4:9">
      <c r="D929" s="47"/>
      <c r="E929" s="143"/>
      <c r="H929" s="2"/>
      <c r="I929" s="30"/>
    </row>
    <row r="930" spans="4:9">
      <c r="D930" s="47"/>
      <c r="E930" s="143"/>
      <c r="H930" s="2"/>
      <c r="I930" s="30"/>
    </row>
    <row r="931" spans="4:9">
      <c r="D931" s="47"/>
      <c r="E931" s="143"/>
      <c r="H931" s="2"/>
      <c r="I931" s="30"/>
    </row>
    <row r="932" spans="4:9">
      <c r="D932" s="47"/>
      <c r="E932" s="143"/>
      <c r="H932" s="2"/>
      <c r="I932" s="30"/>
    </row>
    <row r="933" spans="4:9">
      <c r="D933" s="47"/>
      <c r="E933" s="143"/>
      <c r="H933" s="2"/>
      <c r="I933" s="30"/>
    </row>
    <row r="934" spans="4:9">
      <c r="D934" s="47"/>
      <c r="E934" s="143"/>
      <c r="H934" s="2"/>
      <c r="I934" s="30"/>
    </row>
    <row r="935" spans="4:9">
      <c r="D935" s="47"/>
      <c r="E935" s="143"/>
      <c r="H935" s="2"/>
      <c r="I935" s="30"/>
    </row>
    <row r="936" spans="4:9">
      <c r="D936" s="47"/>
      <c r="E936" s="143"/>
      <c r="H936" s="2"/>
      <c r="I936" s="30"/>
    </row>
    <row r="937" spans="4:9">
      <c r="D937" s="47"/>
      <c r="E937" s="143"/>
      <c r="H937" s="2"/>
      <c r="I937" s="30"/>
    </row>
    <row r="938" spans="4:9">
      <c r="D938" s="47"/>
      <c r="E938" s="143"/>
      <c r="H938" s="2"/>
      <c r="I938" s="30"/>
    </row>
    <row r="939" spans="4:9">
      <c r="D939" s="47"/>
      <c r="E939" s="143"/>
      <c r="H939" s="2"/>
      <c r="I939" s="30"/>
    </row>
    <row r="940" spans="4:9">
      <c r="D940" s="47"/>
      <c r="E940" s="143"/>
      <c r="H940" s="2"/>
      <c r="I940" s="30"/>
    </row>
    <row r="941" spans="4:9">
      <c r="D941" s="47"/>
      <c r="E941" s="143"/>
      <c r="H941" s="2"/>
      <c r="I941" s="30"/>
    </row>
    <row r="942" spans="4:9">
      <c r="D942" s="47"/>
      <c r="E942" s="143"/>
      <c r="H942" s="2"/>
      <c r="I942" s="30"/>
    </row>
    <row r="943" spans="4:9">
      <c r="D943" s="47"/>
      <c r="E943" s="143"/>
      <c r="H943" s="2"/>
      <c r="I943" s="30"/>
    </row>
    <row r="944" spans="4:9">
      <c r="D944" s="47"/>
      <c r="E944" s="143"/>
      <c r="H944" s="2"/>
      <c r="I944" s="30"/>
    </row>
    <row r="945" spans="4:9">
      <c r="D945" s="47"/>
      <c r="E945" s="143"/>
      <c r="H945" s="2"/>
      <c r="I945" s="30"/>
    </row>
    <row r="946" spans="4:9">
      <c r="D946" s="47"/>
      <c r="E946" s="143"/>
      <c r="H946" s="2"/>
      <c r="I946" s="30"/>
    </row>
    <row r="947" spans="4:9">
      <c r="D947" s="47"/>
      <c r="E947" s="143"/>
      <c r="H947" s="2"/>
      <c r="I947" s="30"/>
    </row>
    <row r="948" spans="4:9">
      <c r="D948" s="47"/>
      <c r="E948" s="143"/>
      <c r="H948" s="2"/>
      <c r="I948" s="30"/>
    </row>
    <row r="949" spans="4:9">
      <c r="D949" s="47"/>
      <c r="E949" s="143"/>
      <c r="H949" s="2"/>
      <c r="I949" s="30"/>
    </row>
    <row r="950" spans="4:9">
      <c r="D950" s="47"/>
      <c r="E950" s="143"/>
      <c r="H950" s="2"/>
      <c r="I950" s="30"/>
    </row>
    <row r="951" spans="4:9">
      <c r="D951" s="47"/>
      <c r="E951" s="143"/>
      <c r="H951" s="2"/>
      <c r="I951" s="30"/>
    </row>
    <row r="952" spans="4:9">
      <c r="D952" s="47"/>
      <c r="E952" s="143"/>
      <c r="H952" s="2"/>
      <c r="I952" s="30"/>
    </row>
    <row r="953" spans="4:9">
      <c r="D953" s="47"/>
      <c r="E953" s="143"/>
      <c r="H953" s="2"/>
      <c r="I953" s="30"/>
    </row>
    <row r="954" spans="4:9">
      <c r="D954" s="47"/>
      <c r="E954" s="143"/>
      <c r="H954" s="2"/>
      <c r="I954" s="30"/>
    </row>
    <row r="955" spans="4:9">
      <c r="D955" s="47"/>
      <c r="E955" s="143"/>
      <c r="H955" s="2"/>
      <c r="I955" s="30"/>
    </row>
    <row r="956" spans="4:9">
      <c r="D956" s="47"/>
      <c r="E956" s="143"/>
      <c r="H956" s="2"/>
      <c r="I956" s="30"/>
    </row>
    <row r="957" spans="4:9">
      <c r="D957" s="47"/>
      <c r="E957" s="143"/>
      <c r="H957" s="2"/>
      <c r="I957" s="30"/>
    </row>
    <row r="958" spans="4:9">
      <c r="D958" s="47"/>
      <c r="E958" s="143"/>
      <c r="H958" s="2"/>
      <c r="I958" s="30"/>
    </row>
    <row r="959" spans="4:9">
      <c r="D959" s="47"/>
      <c r="E959" s="143"/>
      <c r="H959" s="2"/>
      <c r="I959" s="30"/>
    </row>
    <row r="960" spans="4:9">
      <c r="D960" s="47"/>
      <c r="E960" s="143"/>
      <c r="H960" s="2"/>
      <c r="I960" s="30"/>
    </row>
    <row r="961" spans="11:15">
      <c r="K961" s="143"/>
      <c r="N961" s="2"/>
      <c r="O961" s="30"/>
    </row>
    <row r="962" spans="11:15">
      <c r="K962" s="143"/>
      <c r="N962" s="2"/>
      <c r="O962" s="30"/>
    </row>
    <row r="963" spans="11:15">
      <c r="K963" s="143"/>
      <c r="N963" s="2"/>
      <c r="O963" s="30"/>
    </row>
    <row r="964" spans="11:15">
      <c r="K964" s="143"/>
      <c r="N964" s="2"/>
      <c r="O964" s="30"/>
    </row>
    <row r="965" spans="11:15">
      <c r="K965" s="143"/>
      <c r="N965" s="2"/>
      <c r="O965" s="30"/>
    </row>
    <row r="966" spans="11:15">
      <c r="K966" s="143"/>
      <c r="N966" s="2"/>
      <c r="O966" s="30"/>
    </row>
    <row r="967" spans="11:15">
      <c r="K967" s="143"/>
      <c r="N967" s="2"/>
      <c r="O967" s="30"/>
    </row>
    <row r="968" spans="11:15">
      <c r="K968" s="143"/>
      <c r="N968" s="2"/>
      <c r="O968" s="30"/>
    </row>
    <row r="969" spans="11:15">
      <c r="K969" s="143"/>
      <c r="N969" s="2"/>
      <c r="O969" s="30"/>
    </row>
    <row r="970" spans="11:15">
      <c r="K970" s="143"/>
      <c r="N970" s="2"/>
      <c r="O970" s="30"/>
    </row>
    <row r="971" spans="11:15">
      <c r="K971" s="143"/>
      <c r="N971" s="2"/>
      <c r="O971" s="30"/>
    </row>
    <row r="972" spans="11:15">
      <c r="K972" s="143"/>
      <c r="N972" s="2"/>
      <c r="O972" s="30"/>
    </row>
    <row r="973" spans="11:15">
      <c r="K973" s="143"/>
      <c r="N973" s="2"/>
      <c r="O973" s="30"/>
    </row>
    <row r="974" spans="11:15">
      <c r="K974" s="143"/>
      <c r="N974" s="2"/>
      <c r="O974" s="30"/>
    </row>
    <row r="975" spans="11:15">
      <c r="K975" s="143"/>
      <c r="N975" s="2"/>
      <c r="O975" s="30"/>
    </row>
    <row r="976" spans="11:15">
      <c r="K976" s="143"/>
      <c r="N976" s="2"/>
      <c r="O976" s="30"/>
    </row>
    <row r="977" spans="11:15">
      <c r="K977" s="143"/>
      <c r="N977" s="2"/>
      <c r="O977" s="30"/>
    </row>
    <row r="978" spans="11:15">
      <c r="K978" s="143"/>
      <c r="N978" s="2"/>
      <c r="O978" s="30"/>
    </row>
    <row r="979" spans="11:15">
      <c r="K979" s="143"/>
      <c r="N979" s="2"/>
      <c r="O979" s="30"/>
    </row>
    <row r="980" spans="11:15">
      <c r="K980" s="143"/>
      <c r="N980" s="2"/>
      <c r="O980" s="30"/>
    </row>
    <row r="981" spans="11:15">
      <c r="K981" s="143"/>
      <c r="N981" s="2"/>
      <c r="O981" s="30"/>
    </row>
    <row r="982" spans="11:15">
      <c r="K982" s="143"/>
      <c r="N982" s="2"/>
      <c r="O982" s="30"/>
    </row>
  </sheetData>
  <hyperlinks>
    <hyperlink ref="M5" r:id="rId1" xr:uid="{D18E98AE-FC96-45E8-B045-D736C8E9DB4E}"/>
    <hyperlink ref="M3" r:id="rId2" xr:uid="{C5FDEBFA-4681-43F0-8B83-588F12429689}"/>
  </hyperlinks>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9FADA-5DA9-438C-A12C-A237044BD513}">
  <dimension ref="A1:Q5"/>
  <sheetViews>
    <sheetView workbookViewId="0"/>
  </sheetViews>
  <sheetFormatPr defaultRowHeight="12.75"/>
  <cols>
    <col min="2" max="2" width="16.7109375" customWidth="1"/>
    <col min="3" max="3" width="14" customWidth="1"/>
    <col min="4" max="4" width="15.140625" customWidth="1"/>
    <col min="5" max="5" width="16.85546875" customWidth="1"/>
    <col min="6" max="6" width="48.7109375" customWidth="1"/>
    <col min="7" max="7" width="20.85546875" customWidth="1"/>
    <col min="8" max="8" width="13.28515625" customWidth="1"/>
    <col min="9" max="9" width="18.140625" customWidth="1"/>
    <col min="10" max="10" width="20.28515625" customWidth="1"/>
    <col min="11" max="11" width="13.28515625" customWidth="1"/>
  </cols>
  <sheetData>
    <row r="1" spans="1:17" ht="13.5">
      <c r="A1" s="59" t="s">
        <v>254</v>
      </c>
      <c r="B1" s="154" t="s">
        <v>11</v>
      </c>
      <c r="C1" s="155" t="s">
        <v>322</v>
      </c>
      <c r="D1" s="154" t="s">
        <v>256</v>
      </c>
      <c r="E1" s="155" t="s">
        <v>324</v>
      </c>
      <c r="F1" s="155" t="s">
        <v>325</v>
      </c>
      <c r="G1" s="154" t="s">
        <v>326</v>
      </c>
      <c r="H1" s="154" t="s">
        <v>328</v>
      </c>
      <c r="I1" s="154" t="s">
        <v>259</v>
      </c>
      <c r="J1" s="156" t="s">
        <v>329</v>
      </c>
      <c r="K1" s="157" t="s">
        <v>280</v>
      </c>
      <c r="L1" s="35"/>
      <c r="M1" s="35"/>
      <c r="N1" s="35"/>
      <c r="O1" s="35"/>
      <c r="P1" s="35"/>
      <c r="Q1" s="35"/>
    </row>
    <row r="2" spans="1:17">
      <c r="A2" t="s">
        <v>1826</v>
      </c>
    </row>
    <row r="5" spans="1:17">
      <c r="D5" t="s">
        <v>1804</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DFC3E-3F58-4383-AFF4-18AE8290494C}">
  <dimension ref="A1:ZK992"/>
  <sheetViews>
    <sheetView topLeftCell="T4" workbookViewId="0">
      <selection activeCell="T5" sqref="T5"/>
    </sheetView>
  </sheetViews>
  <sheetFormatPr defaultRowHeight="12.75"/>
  <cols>
    <col min="1" max="1" width="9.140625" style="181"/>
    <col min="2" max="2" width="15.140625" customWidth="1"/>
    <col min="3" max="3" width="23.42578125" style="47" customWidth="1"/>
    <col min="4" max="4" width="12.85546875" customWidth="1"/>
    <col min="5" max="5" width="35.140625" customWidth="1"/>
    <col min="6" max="7" width="9.140625" style="53"/>
    <col min="12" max="12" width="35.85546875" customWidth="1"/>
    <col min="13" max="13" width="19.140625" customWidth="1"/>
    <col min="14" max="15" width="9.42578125" bestFit="1" customWidth="1"/>
    <col min="17" max="17" width="13.28515625" customWidth="1"/>
    <col min="19" max="19" width="9.42578125" bestFit="1" customWidth="1"/>
    <col min="20" max="20" width="14.7109375" customWidth="1"/>
    <col min="21" max="21" width="15.28515625" customWidth="1"/>
    <col min="22" max="22" width="18.5703125" customWidth="1"/>
    <col min="23" max="23" width="15.28515625" style="137" customWidth="1"/>
    <col min="24" max="24" width="38.7109375" customWidth="1"/>
  </cols>
  <sheetData>
    <row r="1" spans="1:687">
      <c r="A1" s="184"/>
      <c r="B1" s="4"/>
      <c r="C1" s="5"/>
      <c r="D1" s="5"/>
      <c r="E1" s="4"/>
      <c r="F1" s="48"/>
      <c r="G1" s="48"/>
      <c r="H1" s="197"/>
      <c r="I1" s="243"/>
      <c r="J1" s="197"/>
      <c r="K1" s="197"/>
      <c r="L1" s="197"/>
      <c r="M1" s="197"/>
      <c r="N1" s="197"/>
      <c r="O1" s="197"/>
      <c r="P1" s="197"/>
      <c r="Q1" s="197"/>
      <c r="R1" s="197"/>
      <c r="S1" s="197"/>
      <c r="T1" s="197"/>
      <c r="U1" s="197"/>
      <c r="V1" s="197"/>
      <c r="W1" s="188"/>
      <c r="X1" s="209"/>
    </row>
    <row r="2" spans="1:687" ht="46.5">
      <c r="A2" s="234" t="s">
        <v>254</v>
      </c>
      <c r="B2" s="1" t="s">
        <v>255</v>
      </c>
      <c r="C2" s="7" t="s">
        <v>256</v>
      </c>
      <c r="D2" s="235" t="s">
        <v>257</v>
      </c>
      <c r="E2" s="236" t="s">
        <v>258</v>
      </c>
      <c r="F2" s="237" t="s">
        <v>260</v>
      </c>
      <c r="G2" s="237" t="s">
        <v>261</v>
      </c>
      <c r="H2" s="238" t="s">
        <v>265</v>
      </c>
      <c r="I2" s="238" t="s">
        <v>266</v>
      </c>
      <c r="J2" s="238" t="s">
        <v>267</v>
      </c>
      <c r="K2" s="238" t="s">
        <v>268</v>
      </c>
      <c r="L2" s="238" t="s">
        <v>269</v>
      </c>
      <c r="M2" s="238" t="s">
        <v>270</v>
      </c>
      <c r="N2" s="238" t="s">
        <v>271</v>
      </c>
      <c r="O2" s="238" t="s">
        <v>272</v>
      </c>
      <c r="P2" s="238" t="s">
        <v>1708</v>
      </c>
      <c r="Q2" s="238" t="s">
        <v>274</v>
      </c>
      <c r="R2" s="238" t="s">
        <v>1709</v>
      </c>
      <c r="S2" s="238" t="s">
        <v>276</v>
      </c>
      <c r="T2" s="238" t="s">
        <v>274</v>
      </c>
      <c r="U2" s="238" t="s">
        <v>278</v>
      </c>
      <c r="V2" s="238" t="s">
        <v>279</v>
      </c>
      <c r="W2" s="239" t="s">
        <v>259</v>
      </c>
      <c r="X2" s="240" t="s">
        <v>280</v>
      </c>
    </row>
    <row r="3" spans="1:687" ht="23.25">
      <c r="A3" s="185">
        <v>1</v>
      </c>
      <c r="B3" s="97" t="s">
        <v>1827</v>
      </c>
      <c r="C3" s="64" t="s">
        <v>1828</v>
      </c>
      <c r="D3" s="62" t="s">
        <v>1829</v>
      </c>
      <c r="E3" s="241" t="s">
        <v>1830</v>
      </c>
      <c r="F3" s="251">
        <v>3</v>
      </c>
      <c r="G3" s="125">
        <v>3</v>
      </c>
      <c r="H3" s="19" t="s">
        <v>500</v>
      </c>
      <c r="I3" s="19" t="s">
        <v>1728</v>
      </c>
      <c r="J3" s="19" t="s">
        <v>1728</v>
      </c>
      <c r="K3" s="19" t="s">
        <v>1728</v>
      </c>
      <c r="L3" s="19" t="s">
        <v>1728</v>
      </c>
      <c r="M3" s="19" t="s">
        <v>1728</v>
      </c>
      <c r="N3" s="19" t="s">
        <v>1728</v>
      </c>
      <c r="O3" s="19" t="s">
        <v>1728</v>
      </c>
      <c r="P3" s="19" t="s">
        <v>1728</v>
      </c>
      <c r="Q3" s="19" t="s">
        <v>1728</v>
      </c>
      <c r="R3" s="19" t="s">
        <v>1728</v>
      </c>
      <c r="S3" s="19" t="s">
        <v>1728</v>
      </c>
      <c r="T3" s="19" t="s">
        <v>1728</v>
      </c>
      <c r="U3" s="19" t="s">
        <v>1728</v>
      </c>
      <c r="V3" s="19" t="s">
        <v>1728</v>
      </c>
      <c r="W3" s="41" t="s">
        <v>384</v>
      </c>
      <c r="X3" s="99" t="s">
        <v>1831</v>
      </c>
    </row>
    <row r="4" spans="1:687" ht="24">
      <c r="A4" s="185">
        <v>2</v>
      </c>
      <c r="B4" s="97" t="s">
        <v>1827</v>
      </c>
      <c r="C4" s="12" t="s">
        <v>1832</v>
      </c>
      <c r="D4" s="12" t="s">
        <v>1833</v>
      </c>
      <c r="E4" s="182" t="s">
        <v>1834</v>
      </c>
      <c r="F4" s="251">
        <v>2</v>
      </c>
      <c r="G4" s="125">
        <v>2</v>
      </c>
      <c r="H4" s="19" t="s">
        <v>500</v>
      </c>
      <c r="I4" s="19" t="s">
        <v>1728</v>
      </c>
      <c r="J4" s="19" t="s">
        <v>1728</v>
      </c>
      <c r="K4" s="19" t="s">
        <v>1728</v>
      </c>
      <c r="L4" s="19" t="s">
        <v>1728</v>
      </c>
      <c r="M4" s="19" t="s">
        <v>1728</v>
      </c>
      <c r="N4" s="19" t="s">
        <v>1728</v>
      </c>
      <c r="O4" s="19" t="s">
        <v>1728</v>
      </c>
      <c r="P4" s="19" t="s">
        <v>1728</v>
      </c>
      <c r="Q4" s="19" t="s">
        <v>1728</v>
      </c>
      <c r="R4" s="19" t="s">
        <v>1728</v>
      </c>
      <c r="S4" s="19" t="s">
        <v>1728</v>
      </c>
      <c r="T4" s="19" t="s">
        <v>1728</v>
      </c>
      <c r="U4" s="19" t="s">
        <v>1728</v>
      </c>
      <c r="V4" s="19" t="s">
        <v>1728</v>
      </c>
      <c r="W4" s="41" t="s">
        <v>384</v>
      </c>
      <c r="X4" s="99" t="s">
        <v>1831</v>
      </c>
    </row>
    <row r="5" spans="1:687" ht="60">
      <c r="A5" s="185">
        <v>3</v>
      </c>
      <c r="B5" s="97" t="s">
        <v>1827</v>
      </c>
      <c r="C5" s="12" t="s">
        <v>1835</v>
      </c>
      <c r="D5" s="12" t="s">
        <v>1836</v>
      </c>
      <c r="E5" s="182" t="s">
        <v>1837</v>
      </c>
      <c r="F5" s="251">
        <v>3</v>
      </c>
      <c r="G5" s="125">
        <v>3</v>
      </c>
      <c r="H5" s="83" t="s">
        <v>290</v>
      </c>
      <c r="I5" s="19" t="s">
        <v>862</v>
      </c>
      <c r="J5" s="19" t="s">
        <v>1728</v>
      </c>
      <c r="K5" s="19"/>
      <c r="L5" s="19"/>
      <c r="M5" s="200" t="s">
        <v>1838</v>
      </c>
      <c r="N5" s="233">
        <v>45443</v>
      </c>
      <c r="O5" s="233">
        <v>45443</v>
      </c>
      <c r="P5" s="187" t="s">
        <v>862</v>
      </c>
      <c r="Q5" s="203" t="s">
        <v>1694</v>
      </c>
      <c r="R5" s="46" t="s">
        <v>295</v>
      </c>
      <c r="S5" s="233">
        <v>45443</v>
      </c>
      <c r="T5" s="187" t="s">
        <v>1694</v>
      </c>
      <c r="U5" s="187" t="s">
        <v>1728</v>
      </c>
      <c r="V5" s="187" t="s">
        <v>1728</v>
      </c>
      <c r="W5" s="41" t="s">
        <v>384</v>
      </c>
      <c r="X5" s="19"/>
    </row>
    <row r="6" spans="1:687" ht="24">
      <c r="A6" s="185">
        <v>4</v>
      </c>
      <c r="B6" s="97" t="s">
        <v>1827</v>
      </c>
      <c r="C6" s="12" t="s">
        <v>1839</v>
      </c>
      <c r="D6" s="12" t="s">
        <v>1840</v>
      </c>
      <c r="E6" s="182" t="s">
        <v>1841</v>
      </c>
      <c r="F6" s="251">
        <v>3</v>
      </c>
      <c r="G6" s="125">
        <v>3</v>
      </c>
      <c r="H6" s="83" t="s">
        <v>290</v>
      </c>
      <c r="I6" s="19" t="s">
        <v>1728</v>
      </c>
      <c r="J6" s="19" t="s">
        <v>1728</v>
      </c>
      <c r="K6" s="19" t="s">
        <v>1728</v>
      </c>
      <c r="L6" s="19" t="s">
        <v>1728</v>
      </c>
      <c r="M6" s="19" t="s">
        <v>1728</v>
      </c>
      <c r="N6" s="19" t="s">
        <v>1728</v>
      </c>
      <c r="O6" s="19" t="s">
        <v>1728</v>
      </c>
      <c r="P6" s="19" t="s">
        <v>1728</v>
      </c>
      <c r="Q6" s="19" t="s">
        <v>1728</v>
      </c>
      <c r="R6" s="19" t="s">
        <v>1728</v>
      </c>
      <c r="S6" s="19" t="s">
        <v>1728</v>
      </c>
      <c r="T6" s="19" t="s">
        <v>1728</v>
      </c>
      <c r="U6" s="19" t="s">
        <v>1728</v>
      </c>
      <c r="V6" s="19" t="s">
        <v>1728</v>
      </c>
      <c r="W6" s="41" t="s">
        <v>384</v>
      </c>
      <c r="X6" s="19"/>
    </row>
    <row r="7" spans="1:687" ht="24">
      <c r="A7" s="185">
        <v>5</v>
      </c>
      <c r="B7" s="97" t="s">
        <v>1842</v>
      </c>
      <c r="C7" s="12" t="s">
        <v>1839</v>
      </c>
      <c r="D7" s="12" t="s">
        <v>1843</v>
      </c>
      <c r="E7" s="18" t="s">
        <v>1844</v>
      </c>
      <c r="F7" s="251">
        <v>1</v>
      </c>
      <c r="G7" s="125">
        <v>1</v>
      </c>
      <c r="H7" s="83" t="s">
        <v>290</v>
      </c>
      <c r="I7" s="19" t="s">
        <v>1728</v>
      </c>
      <c r="J7" s="19" t="s">
        <v>1728</v>
      </c>
      <c r="K7" s="19" t="s">
        <v>1728</v>
      </c>
      <c r="L7" s="19" t="s">
        <v>1728</v>
      </c>
      <c r="M7" s="19" t="s">
        <v>1728</v>
      </c>
      <c r="N7" s="19" t="s">
        <v>1728</v>
      </c>
      <c r="O7" s="19" t="s">
        <v>1728</v>
      </c>
      <c r="P7" s="19" t="s">
        <v>1728</v>
      </c>
      <c r="Q7" s="19" t="s">
        <v>1728</v>
      </c>
      <c r="R7" s="19" t="s">
        <v>1728</v>
      </c>
      <c r="S7" s="19" t="s">
        <v>1728</v>
      </c>
      <c r="T7" s="19" t="s">
        <v>1728</v>
      </c>
      <c r="U7" s="19" t="s">
        <v>1728</v>
      </c>
      <c r="V7" s="19" t="s">
        <v>1728</v>
      </c>
      <c r="W7" s="41" t="s">
        <v>384</v>
      </c>
      <c r="X7" s="19"/>
    </row>
    <row r="8" spans="1:687" s="58" customFormat="1" ht="14.25" customHeight="1">
      <c r="A8" s="228">
        <v>6</v>
      </c>
      <c r="B8" s="97" t="s">
        <v>1842</v>
      </c>
      <c r="C8" s="12" t="s">
        <v>1724</v>
      </c>
      <c r="D8" s="61" t="s">
        <v>1823</v>
      </c>
      <c r="E8" s="18" t="s">
        <v>1824</v>
      </c>
      <c r="F8" s="253">
        <v>5</v>
      </c>
      <c r="G8" s="125">
        <v>5</v>
      </c>
      <c r="H8" s="19" t="s">
        <v>500</v>
      </c>
      <c r="I8" s="19"/>
      <c r="J8" s="19"/>
      <c r="K8" s="19"/>
      <c r="L8" s="19"/>
      <c r="M8" s="19"/>
      <c r="N8" s="19"/>
      <c r="O8" s="19"/>
      <c r="P8" s="19"/>
      <c r="Q8" s="19"/>
      <c r="R8" s="19"/>
      <c r="S8" s="19"/>
      <c r="T8" s="19"/>
      <c r="U8" s="19"/>
      <c r="V8" s="19"/>
      <c r="W8" s="203" t="s">
        <v>500</v>
      </c>
      <c r="X8" s="245"/>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s="227"/>
      <c r="OW8" s="245"/>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s="227"/>
    </row>
    <row r="9" spans="1:687" s="58" customFormat="1">
      <c r="A9" s="228">
        <v>7</v>
      </c>
      <c r="B9" s="97" t="s">
        <v>1842</v>
      </c>
      <c r="C9" s="12" t="s">
        <v>1839</v>
      </c>
      <c r="D9" s="61" t="s">
        <v>1845</v>
      </c>
      <c r="E9" s="18" t="s">
        <v>1846</v>
      </c>
      <c r="F9" s="251">
        <v>2</v>
      </c>
      <c r="G9" s="125">
        <v>2</v>
      </c>
      <c r="H9" s="30" t="s">
        <v>290</v>
      </c>
      <c r="I9" s="19" t="s">
        <v>1728</v>
      </c>
      <c r="J9" s="19" t="s">
        <v>1728</v>
      </c>
      <c r="K9" s="19" t="s">
        <v>1728</v>
      </c>
      <c r="L9" s="19" t="s">
        <v>1728</v>
      </c>
      <c r="M9" s="19" t="s">
        <v>1728</v>
      </c>
      <c r="N9" s="19" t="s">
        <v>1728</v>
      </c>
      <c r="O9" s="19" t="s">
        <v>1728</v>
      </c>
      <c r="P9" s="19" t="s">
        <v>1728</v>
      </c>
      <c r="Q9" s="19" t="s">
        <v>1728</v>
      </c>
      <c r="R9" s="19" t="s">
        <v>1728</v>
      </c>
      <c r="S9" s="19" t="s">
        <v>1728</v>
      </c>
      <c r="T9" s="19" t="s">
        <v>1728</v>
      </c>
      <c r="U9" s="19" t="s">
        <v>1728</v>
      </c>
      <c r="V9" s="19" t="s">
        <v>1728</v>
      </c>
      <c r="W9" s="203" t="s">
        <v>384</v>
      </c>
      <c r="X9" s="245"/>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s="227"/>
      <c r="OW9" s="245"/>
      <c r="OX9"/>
      <c r="OY9"/>
      <c r="OZ9"/>
      <c r="PA9"/>
      <c r="PB9"/>
      <c r="PC9"/>
      <c r="PD9"/>
      <c r="PE9"/>
      <c r="PF9"/>
      <c r="PG9"/>
      <c r="PH9"/>
      <c r="PI9"/>
      <c r="PJ9"/>
      <c r="PK9"/>
      <c r="PL9"/>
      <c r="PM9"/>
      <c r="PN9"/>
      <c r="PO9"/>
      <c r="PP9"/>
      <c r="PQ9"/>
      <c r="PR9"/>
      <c r="PS9"/>
      <c r="PT9"/>
      <c r="PU9"/>
      <c r="PV9"/>
      <c r="PW9"/>
      <c r="PX9"/>
      <c r="PY9"/>
      <c r="PZ9"/>
      <c r="QA9"/>
      <c r="QB9"/>
      <c r="QC9"/>
      <c r="QD9"/>
      <c r="QE9"/>
      <c r="QF9"/>
      <c r="QG9"/>
      <c r="QH9"/>
      <c r="QI9"/>
      <c r="QJ9"/>
      <c r="QK9"/>
      <c r="QL9"/>
      <c r="QM9"/>
      <c r="QN9"/>
      <c r="QO9"/>
      <c r="QP9"/>
      <c r="QQ9"/>
      <c r="QR9"/>
      <c r="QS9"/>
      <c r="QT9"/>
      <c r="QU9"/>
      <c r="QV9"/>
      <c r="QW9"/>
      <c r="QX9"/>
      <c r="QY9"/>
      <c r="QZ9"/>
      <c r="RA9"/>
      <c r="RB9"/>
      <c r="RC9"/>
      <c r="RD9"/>
      <c r="RE9"/>
      <c r="RF9"/>
      <c r="RG9"/>
      <c r="RH9"/>
      <c r="RI9"/>
      <c r="RJ9"/>
      <c r="RK9"/>
      <c r="RL9"/>
      <c r="RM9"/>
      <c r="RN9"/>
      <c r="RO9"/>
      <c r="RP9"/>
      <c r="RQ9"/>
      <c r="RR9"/>
      <c r="RS9"/>
      <c r="RT9"/>
      <c r="RU9"/>
      <c r="RV9"/>
      <c r="RW9"/>
      <c r="RX9"/>
      <c r="RY9"/>
      <c r="RZ9"/>
      <c r="SA9"/>
      <c r="SB9"/>
      <c r="SC9"/>
      <c r="SD9"/>
      <c r="SE9"/>
      <c r="SF9"/>
      <c r="SG9"/>
      <c r="SH9"/>
      <c r="SI9"/>
      <c r="SJ9"/>
      <c r="SK9"/>
      <c r="SL9"/>
      <c r="SM9"/>
      <c r="SN9"/>
      <c r="SO9"/>
      <c r="SP9"/>
      <c r="SQ9"/>
      <c r="SR9"/>
      <c r="SS9"/>
      <c r="ST9"/>
      <c r="SU9"/>
      <c r="SV9"/>
      <c r="SW9"/>
      <c r="SX9"/>
      <c r="SY9"/>
      <c r="SZ9"/>
      <c r="TA9"/>
      <c r="TB9"/>
      <c r="TC9"/>
      <c r="TD9"/>
      <c r="TE9"/>
      <c r="TF9"/>
      <c r="TG9"/>
      <c r="TH9"/>
      <c r="TI9"/>
      <c r="TJ9"/>
      <c r="TK9"/>
      <c r="TL9"/>
      <c r="TM9"/>
      <c r="TN9"/>
      <c r="TO9"/>
      <c r="TP9"/>
      <c r="TQ9"/>
      <c r="TR9"/>
      <c r="TS9"/>
      <c r="TT9"/>
      <c r="TU9"/>
      <c r="TV9"/>
      <c r="TW9"/>
      <c r="TX9"/>
      <c r="TY9"/>
      <c r="TZ9"/>
      <c r="UA9"/>
      <c r="UB9"/>
      <c r="UC9"/>
      <c r="UD9"/>
      <c r="UE9"/>
      <c r="UF9"/>
      <c r="UG9"/>
      <c r="UH9"/>
      <c r="UI9"/>
      <c r="UJ9"/>
      <c r="UK9"/>
      <c r="UL9"/>
      <c r="UM9"/>
      <c r="UN9"/>
      <c r="UO9"/>
      <c r="UP9"/>
      <c r="UQ9"/>
      <c r="UR9"/>
      <c r="US9"/>
      <c r="UT9"/>
      <c r="UU9"/>
      <c r="UV9"/>
      <c r="UW9"/>
      <c r="UX9"/>
      <c r="UY9"/>
      <c r="UZ9"/>
      <c r="VA9"/>
      <c r="VB9"/>
      <c r="VC9"/>
      <c r="VD9"/>
      <c r="VE9"/>
      <c r="VF9"/>
      <c r="VG9"/>
      <c r="VH9"/>
      <c r="VI9"/>
      <c r="VJ9"/>
      <c r="VK9"/>
      <c r="VL9"/>
      <c r="VM9"/>
      <c r="VN9"/>
      <c r="VO9"/>
      <c r="VP9"/>
      <c r="VQ9"/>
      <c r="VR9"/>
      <c r="VS9"/>
      <c r="VT9"/>
      <c r="VU9"/>
      <c r="VV9"/>
      <c r="VW9"/>
      <c r="VX9"/>
      <c r="VY9"/>
      <c r="VZ9"/>
      <c r="WA9"/>
      <c r="WB9"/>
      <c r="WC9"/>
      <c r="WD9"/>
      <c r="WE9"/>
      <c r="WF9"/>
      <c r="WG9"/>
      <c r="WH9"/>
      <c r="WI9"/>
      <c r="WJ9"/>
      <c r="WK9"/>
      <c r="WL9"/>
      <c r="WM9"/>
      <c r="WN9"/>
      <c r="WO9"/>
      <c r="WP9"/>
      <c r="WQ9"/>
      <c r="WR9"/>
      <c r="WS9"/>
      <c r="WT9"/>
      <c r="WU9"/>
      <c r="WV9"/>
      <c r="WW9"/>
      <c r="WX9"/>
      <c r="WY9"/>
      <c r="WZ9"/>
      <c r="XA9"/>
      <c r="XB9"/>
      <c r="XC9"/>
      <c r="XD9"/>
      <c r="XE9"/>
      <c r="XF9"/>
      <c r="XG9"/>
      <c r="XH9"/>
      <c r="XI9"/>
      <c r="XJ9"/>
      <c r="XK9"/>
      <c r="XL9"/>
      <c r="XM9"/>
      <c r="XN9"/>
      <c r="XO9"/>
      <c r="XP9"/>
      <c r="XQ9"/>
      <c r="XR9"/>
      <c r="XS9"/>
      <c r="XT9"/>
      <c r="XU9"/>
      <c r="XV9"/>
      <c r="XW9"/>
      <c r="XX9"/>
      <c r="XY9"/>
      <c r="XZ9"/>
      <c r="YA9"/>
      <c r="YB9"/>
      <c r="YC9"/>
      <c r="YD9"/>
      <c r="YE9"/>
      <c r="YF9"/>
      <c r="YG9"/>
      <c r="YH9"/>
      <c r="YI9"/>
      <c r="YJ9"/>
      <c r="YK9"/>
      <c r="YL9"/>
      <c r="YM9"/>
      <c r="YN9"/>
      <c r="YO9"/>
      <c r="YP9"/>
      <c r="YQ9"/>
      <c r="YR9"/>
      <c r="YS9"/>
      <c r="YT9"/>
      <c r="YU9"/>
      <c r="YV9"/>
      <c r="YW9"/>
      <c r="YX9"/>
      <c r="YY9"/>
      <c r="YZ9"/>
      <c r="ZA9"/>
      <c r="ZB9"/>
      <c r="ZC9"/>
      <c r="ZD9"/>
      <c r="ZE9"/>
      <c r="ZF9"/>
      <c r="ZG9"/>
      <c r="ZH9"/>
      <c r="ZI9"/>
      <c r="ZJ9"/>
      <c r="ZK9" s="227"/>
    </row>
    <row r="10" spans="1:687" s="218" customFormat="1">
      <c r="A10" s="228">
        <v>8</v>
      </c>
      <c r="B10" s="97" t="s">
        <v>1842</v>
      </c>
      <c r="C10" s="12" t="s">
        <v>1847</v>
      </c>
      <c r="D10" s="61" t="s">
        <v>1848</v>
      </c>
      <c r="E10" s="18" t="s">
        <v>1849</v>
      </c>
      <c r="F10" s="251">
        <v>3</v>
      </c>
      <c r="G10" s="125">
        <v>3</v>
      </c>
      <c r="H10" s="83" t="s">
        <v>290</v>
      </c>
      <c r="I10" s="19" t="s">
        <v>1728</v>
      </c>
      <c r="J10" s="19" t="s">
        <v>1728</v>
      </c>
      <c r="K10" s="19" t="s">
        <v>1728</v>
      </c>
      <c r="L10" s="19" t="s">
        <v>1728</v>
      </c>
      <c r="M10" s="19" t="s">
        <v>1728</v>
      </c>
      <c r="N10" s="19" t="s">
        <v>1728</v>
      </c>
      <c r="O10" s="19" t="s">
        <v>1728</v>
      </c>
      <c r="P10" s="19" t="s">
        <v>1728</v>
      </c>
      <c r="Q10" s="19" t="s">
        <v>1728</v>
      </c>
      <c r="R10" s="19" t="s">
        <v>1728</v>
      </c>
      <c r="S10" s="19" t="s">
        <v>1728</v>
      </c>
      <c r="T10" s="19" t="s">
        <v>1728</v>
      </c>
      <c r="U10" s="19" t="s">
        <v>1728</v>
      </c>
      <c r="V10" s="19" t="s">
        <v>1728</v>
      </c>
      <c r="W10" s="64" t="s">
        <v>384</v>
      </c>
      <c r="X10" s="245"/>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s="242"/>
      <c r="OW10" s="249"/>
      <c r="OX10"/>
      <c r="OY10"/>
      <c r="OZ10"/>
      <c r="PA10"/>
      <c r="PB10"/>
      <c r="PC10"/>
      <c r="PD10"/>
      <c r="PE10"/>
      <c r="PF10"/>
      <c r="PG10"/>
      <c r="PH10"/>
      <c r="PI10"/>
      <c r="PJ10"/>
      <c r="PK10"/>
      <c r="PL10"/>
      <c r="PM10"/>
      <c r="PN10"/>
      <c r="PO10"/>
      <c r="PP10"/>
      <c r="PQ10"/>
      <c r="PR10"/>
      <c r="PS10"/>
      <c r="PT10"/>
      <c r="PU10"/>
      <c r="PV10"/>
      <c r="PW10"/>
      <c r="PX10"/>
      <c r="PY10"/>
      <c r="PZ10"/>
      <c r="QA10"/>
      <c r="QB10"/>
      <c r="QC10"/>
      <c r="QD10"/>
      <c r="QE10"/>
      <c r="QF10"/>
      <c r="QG10"/>
      <c r="QH10"/>
      <c r="QI10"/>
      <c r="QJ10"/>
      <c r="QK10"/>
      <c r="QL10"/>
      <c r="QM10"/>
      <c r="QN10"/>
      <c r="QO10"/>
      <c r="QP10"/>
      <c r="QQ10"/>
      <c r="QR10"/>
      <c r="QS10"/>
      <c r="QT10"/>
      <c r="QU10"/>
      <c r="QV10"/>
      <c r="QW10"/>
      <c r="QX10"/>
      <c r="QY10"/>
      <c r="QZ10"/>
      <c r="RA10"/>
      <c r="RB10"/>
      <c r="RC10"/>
      <c r="RD10"/>
      <c r="RE10"/>
      <c r="RF10"/>
      <c r="RG10"/>
      <c r="RH10"/>
      <c r="RI10"/>
      <c r="RJ10"/>
      <c r="RK10"/>
      <c r="RL10"/>
      <c r="RM10"/>
      <c r="RN10"/>
      <c r="RO10"/>
      <c r="RP10"/>
      <c r="RQ10"/>
      <c r="RR10"/>
      <c r="RS10"/>
      <c r="RT10"/>
      <c r="RU10"/>
      <c r="RV10"/>
      <c r="RW10"/>
      <c r="RX10"/>
      <c r="RY10"/>
      <c r="RZ10"/>
      <c r="SA10"/>
      <c r="SB10"/>
      <c r="SC10"/>
      <c r="SD10"/>
      <c r="SE10"/>
      <c r="SF10"/>
      <c r="SG10"/>
      <c r="SH10"/>
      <c r="SI10"/>
      <c r="SJ10"/>
      <c r="SK10"/>
      <c r="SL10"/>
      <c r="SM10"/>
      <c r="SN10"/>
      <c r="SO10"/>
      <c r="SP10"/>
      <c r="SQ10"/>
      <c r="SR10"/>
      <c r="SS10"/>
      <c r="ST10"/>
      <c r="SU10"/>
      <c r="SV10"/>
      <c r="SW10"/>
      <c r="SX10"/>
      <c r="SY10"/>
      <c r="SZ10"/>
      <c r="TA10"/>
      <c r="TB10"/>
      <c r="TC10"/>
      <c r="TD10"/>
      <c r="TE10"/>
      <c r="TF10"/>
      <c r="TG10"/>
      <c r="TH10"/>
      <c r="TI10"/>
      <c r="TJ10"/>
      <c r="TK10"/>
      <c r="TL10"/>
      <c r="TM10"/>
      <c r="TN10"/>
      <c r="TO10"/>
      <c r="TP10"/>
      <c r="TQ10"/>
      <c r="TR10"/>
      <c r="TS10"/>
      <c r="TT10"/>
      <c r="TU10"/>
      <c r="TV10"/>
      <c r="TW10"/>
      <c r="TX10"/>
      <c r="TY10"/>
      <c r="TZ10"/>
      <c r="UA10"/>
      <c r="UB10"/>
      <c r="UC10"/>
      <c r="UD10"/>
      <c r="UE10"/>
      <c r="UF10"/>
      <c r="UG10"/>
      <c r="UH10"/>
      <c r="UI10"/>
      <c r="UJ10"/>
      <c r="UK10"/>
      <c r="UL10"/>
      <c r="UM10"/>
      <c r="UN10"/>
      <c r="UO10"/>
      <c r="UP10"/>
      <c r="UQ10"/>
      <c r="UR10"/>
      <c r="US10"/>
      <c r="UT10"/>
      <c r="UU10"/>
      <c r="UV10"/>
      <c r="UW10"/>
      <c r="UX10"/>
      <c r="UY10"/>
      <c r="UZ10"/>
      <c r="VA10"/>
      <c r="VB10"/>
      <c r="VC10"/>
      <c r="VD10"/>
      <c r="VE10"/>
      <c r="VF10"/>
      <c r="VG10"/>
      <c r="VH10"/>
      <c r="VI10"/>
      <c r="VJ10"/>
      <c r="VK10"/>
      <c r="VL10"/>
      <c r="VM10"/>
      <c r="VN10"/>
      <c r="VO10"/>
      <c r="VP10"/>
      <c r="VQ10"/>
      <c r="VR10"/>
      <c r="VS10"/>
      <c r="VT10"/>
      <c r="VU10"/>
      <c r="VV10"/>
      <c r="VW10"/>
      <c r="VX10"/>
      <c r="VY10"/>
      <c r="VZ10"/>
      <c r="WA10"/>
      <c r="WB10"/>
      <c r="WC10"/>
      <c r="WD10"/>
      <c r="WE10"/>
      <c r="WF10"/>
      <c r="WG10"/>
      <c r="WH10"/>
      <c r="WI10"/>
      <c r="WJ10"/>
      <c r="WK10"/>
      <c r="WL10"/>
      <c r="WM10"/>
      <c r="WN10"/>
      <c r="WO10"/>
      <c r="WP10"/>
      <c r="WQ10"/>
      <c r="WR10"/>
      <c r="WS10"/>
      <c r="WT10"/>
      <c r="WU10"/>
      <c r="WV10"/>
      <c r="WW10"/>
      <c r="WX10"/>
      <c r="WY10"/>
      <c r="WZ10"/>
      <c r="XA10"/>
      <c r="XB10"/>
      <c r="XC10"/>
      <c r="XD10"/>
      <c r="XE10"/>
      <c r="XF10"/>
      <c r="XG10"/>
      <c r="XH10"/>
      <c r="XI10"/>
      <c r="XJ10"/>
      <c r="XK10"/>
      <c r="XL10"/>
      <c r="XM10"/>
      <c r="XN10"/>
      <c r="XO10"/>
      <c r="XP10"/>
      <c r="XQ10"/>
      <c r="XR10"/>
      <c r="XS10"/>
      <c r="XT10"/>
      <c r="XU10"/>
      <c r="XV10"/>
      <c r="XW10"/>
      <c r="XX10"/>
      <c r="XY10"/>
      <c r="XZ10"/>
      <c r="YA10"/>
      <c r="YB10"/>
      <c r="YC10"/>
      <c r="YD10"/>
      <c r="YE10"/>
      <c r="YF10"/>
      <c r="YG10"/>
      <c r="YH10"/>
      <c r="YI10"/>
      <c r="YJ10"/>
      <c r="YK10"/>
      <c r="YL10"/>
      <c r="YM10"/>
      <c r="YN10"/>
      <c r="YO10"/>
      <c r="YP10"/>
      <c r="YQ10"/>
      <c r="YR10"/>
      <c r="YS10"/>
      <c r="YT10"/>
      <c r="YU10"/>
      <c r="YV10"/>
      <c r="YW10"/>
      <c r="YX10"/>
      <c r="YY10"/>
      <c r="YZ10"/>
      <c r="ZA10"/>
      <c r="ZB10"/>
      <c r="ZC10"/>
      <c r="ZD10"/>
      <c r="ZE10"/>
      <c r="ZF10"/>
      <c r="ZG10"/>
      <c r="ZH10"/>
      <c r="ZI10"/>
      <c r="ZJ10"/>
      <c r="ZK10" s="242"/>
    </row>
    <row r="11" spans="1:687" s="229" customFormat="1" ht="31.5" customHeight="1">
      <c r="A11" s="228">
        <v>9</v>
      </c>
      <c r="B11" s="97" t="s">
        <v>1842</v>
      </c>
      <c r="C11" s="46" t="s">
        <v>1583</v>
      </c>
      <c r="D11" s="187" t="s">
        <v>1850</v>
      </c>
      <c r="E11" s="11" t="s">
        <v>1851</v>
      </c>
      <c r="F11" s="252">
        <v>2</v>
      </c>
      <c r="G11" s="230">
        <v>2</v>
      </c>
      <c r="H11" s="83" t="s">
        <v>290</v>
      </c>
      <c r="I11" s="41" t="s">
        <v>862</v>
      </c>
      <c r="J11" s="203" t="s">
        <v>1728</v>
      </c>
      <c r="K11" s="41" t="s">
        <v>862</v>
      </c>
      <c r="L11" s="203" t="s">
        <v>1728</v>
      </c>
      <c r="M11" s="231" t="s">
        <v>1852</v>
      </c>
      <c r="N11" s="232">
        <v>45447</v>
      </c>
      <c r="O11" s="232">
        <v>45447</v>
      </c>
      <c r="P11" s="41" t="s">
        <v>295</v>
      </c>
      <c r="Q11" s="203" t="s">
        <v>1694</v>
      </c>
      <c r="R11" s="203" t="s">
        <v>294</v>
      </c>
      <c r="S11" s="206">
        <v>45447</v>
      </c>
      <c r="T11" s="203" t="s">
        <v>1694</v>
      </c>
      <c r="U11" s="203" t="s">
        <v>1728</v>
      </c>
      <c r="V11" s="203" t="s">
        <v>1728</v>
      </c>
      <c r="W11" s="203" t="s">
        <v>384</v>
      </c>
      <c r="X11" s="246"/>
      <c r="Y11" s="244"/>
      <c r="Z11" s="244"/>
      <c r="AA11" s="244"/>
      <c r="AB11" s="244"/>
      <c r="AC11" s="244"/>
      <c r="AD11" s="244"/>
      <c r="AE11" s="137"/>
      <c r="AF11" s="137"/>
      <c r="AG11" s="137"/>
      <c r="AH11" s="137"/>
      <c r="AI11" s="137"/>
      <c r="AJ11" s="137"/>
      <c r="AK11" s="137"/>
      <c r="AL11" s="137"/>
      <c r="AM11" s="137"/>
      <c r="AN11" s="137"/>
      <c r="AO11" s="137"/>
      <c r="AP11" s="137"/>
      <c r="AQ11" s="137"/>
      <c r="AR11" s="137"/>
      <c r="AS11" s="137"/>
      <c r="AT11" s="137"/>
      <c r="AU11" s="137"/>
      <c r="AV11" s="137"/>
      <c r="AW11" s="137"/>
      <c r="AX11" s="137"/>
      <c r="AY11" s="137"/>
      <c r="AZ11" s="137"/>
      <c r="BA11" s="137"/>
      <c r="BB11" s="137"/>
      <c r="BC11" s="137"/>
      <c r="BD11" s="137"/>
      <c r="BE11" s="137"/>
      <c r="BF11" s="137"/>
      <c r="BG11" s="137"/>
      <c r="BH11" s="137"/>
      <c r="BI11" s="137"/>
      <c r="BJ11" s="137"/>
      <c r="BK11" s="137"/>
      <c r="BL11" s="137"/>
      <c r="BM11" s="137"/>
      <c r="BN11" s="137"/>
      <c r="BO11" s="137"/>
      <c r="BP11" s="137"/>
      <c r="BQ11" s="137"/>
      <c r="BR11" s="137"/>
      <c r="BS11" s="137"/>
      <c r="BT11" s="137"/>
      <c r="BU11" s="137"/>
      <c r="BV11" s="137"/>
      <c r="BW11" s="137"/>
      <c r="BX11" s="137"/>
      <c r="BY11" s="137"/>
      <c r="BZ11" s="137"/>
      <c r="CA11" s="137"/>
      <c r="CB11" s="137"/>
      <c r="CC11" s="137"/>
      <c r="CD11" s="137"/>
      <c r="CE11" s="137"/>
      <c r="CF11" s="137"/>
      <c r="CG11" s="137"/>
      <c r="CH11" s="137"/>
      <c r="CI11" s="137"/>
      <c r="CJ11" s="137"/>
      <c r="CK11" s="137"/>
      <c r="CL11" s="137"/>
      <c r="CM11" s="137"/>
      <c r="CN11" s="137"/>
      <c r="CO11" s="137"/>
      <c r="CP11" s="137"/>
      <c r="CQ11" s="137"/>
      <c r="CR11" s="137"/>
      <c r="CS11" s="137"/>
      <c r="CT11" s="137"/>
      <c r="CU11" s="137"/>
      <c r="CV11" s="137"/>
      <c r="CW11" s="137"/>
      <c r="CX11" s="137"/>
      <c r="CY11" s="137"/>
      <c r="CZ11" s="137"/>
      <c r="DA11" s="137"/>
      <c r="DB11" s="137"/>
      <c r="DC11" s="137"/>
      <c r="DD11" s="137"/>
      <c r="DE11" s="137"/>
      <c r="DF11" s="137"/>
      <c r="DG11" s="137"/>
      <c r="DH11" s="137"/>
      <c r="DI11" s="137"/>
      <c r="DJ11" s="137"/>
      <c r="DK11" s="137"/>
      <c r="DL11" s="137"/>
      <c r="DM11" s="137"/>
      <c r="DN11" s="137"/>
      <c r="DO11" s="137"/>
      <c r="DP11" s="137"/>
      <c r="DQ11" s="137"/>
      <c r="DR11" s="137"/>
      <c r="DS11" s="137"/>
      <c r="DT11" s="137"/>
      <c r="DU11" s="137"/>
      <c r="DV11" s="137"/>
      <c r="DW11" s="137"/>
      <c r="DX11" s="137"/>
      <c r="DY11" s="137"/>
      <c r="DZ11" s="137"/>
      <c r="EA11" s="137"/>
      <c r="EB11" s="137"/>
      <c r="EC11" s="137"/>
      <c r="ED11" s="137"/>
      <c r="EE11" s="137"/>
      <c r="EF11" s="137"/>
      <c r="EG11" s="137"/>
      <c r="EH11" s="137"/>
      <c r="EI11" s="137"/>
      <c r="EJ11" s="137"/>
      <c r="EK11" s="137"/>
      <c r="EL11" s="137"/>
      <c r="EM11" s="137"/>
      <c r="EN11" s="137"/>
      <c r="EO11" s="137"/>
      <c r="EP11" s="137"/>
      <c r="EQ11" s="137"/>
      <c r="ER11" s="137"/>
      <c r="ES11" s="137"/>
      <c r="ET11" s="137"/>
      <c r="EU11" s="137"/>
      <c r="EV11" s="137"/>
      <c r="EW11" s="137"/>
      <c r="EX11" s="137"/>
      <c r="EY11" s="137"/>
      <c r="EZ11" s="137"/>
      <c r="FA11" s="137"/>
      <c r="FB11" s="137"/>
      <c r="FC11" s="137"/>
      <c r="FD11" s="137"/>
      <c r="FE11" s="137"/>
      <c r="FF11" s="137"/>
      <c r="FG11" s="137"/>
      <c r="FH11" s="137"/>
      <c r="FI11" s="137"/>
      <c r="FJ11" s="137"/>
      <c r="FK11" s="137"/>
      <c r="FL11" s="137"/>
      <c r="FM11" s="137"/>
      <c r="FN11" s="137"/>
      <c r="FO11" s="137"/>
      <c r="FP11" s="137"/>
      <c r="FQ11" s="137"/>
      <c r="FR11" s="137"/>
      <c r="FS11" s="137"/>
      <c r="FT11" s="137"/>
      <c r="FU11" s="137"/>
      <c r="FV11" s="137"/>
      <c r="FW11" s="137"/>
      <c r="FX11" s="137"/>
      <c r="FY11" s="137"/>
      <c r="FZ11" s="137"/>
      <c r="GA11" s="137"/>
      <c r="GB11" s="137"/>
      <c r="GC11" s="137"/>
      <c r="GD11" s="137"/>
      <c r="GE11" s="137"/>
      <c r="GF11" s="137"/>
      <c r="GG11" s="137"/>
      <c r="GH11" s="137"/>
      <c r="GI11" s="137"/>
      <c r="GJ11" s="137"/>
      <c r="GK11" s="137"/>
      <c r="GL11" s="137"/>
      <c r="GM11" s="137"/>
      <c r="GN11" s="137"/>
      <c r="GO11" s="137"/>
      <c r="GP11" s="137"/>
      <c r="GQ11" s="137"/>
      <c r="GR11" s="137"/>
      <c r="GS11" s="137"/>
      <c r="GT11" s="137"/>
      <c r="GU11" s="137"/>
      <c r="GV11" s="137"/>
      <c r="GW11" s="137"/>
      <c r="GX11" s="137"/>
      <c r="GY11" s="137"/>
      <c r="GZ11" s="137"/>
      <c r="HA11" s="137"/>
      <c r="HB11" s="137"/>
      <c r="HC11" s="137"/>
      <c r="HD11" s="137"/>
      <c r="HE11" s="137"/>
      <c r="HF11" s="137"/>
      <c r="HG11" s="137"/>
      <c r="HH11" s="137"/>
      <c r="HI11" s="137"/>
      <c r="HJ11" s="137"/>
      <c r="HK11" s="137"/>
      <c r="HL11" s="137"/>
      <c r="HM11" s="137"/>
      <c r="HN11" s="137"/>
      <c r="HO11" s="137"/>
      <c r="HP11" s="137"/>
      <c r="HQ11" s="137"/>
      <c r="HR11" s="137"/>
      <c r="HS11" s="137"/>
      <c r="HT11" s="137"/>
      <c r="HU11" s="137"/>
      <c r="HV11" s="137"/>
      <c r="HW11" s="137"/>
      <c r="HX11" s="137"/>
      <c r="HY11" s="137"/>
      <c r="HZ11" s="137"/>
      <c r="IA11" s="137"/>
      <c r="IB11" s="137"/>
      <c r="IC11" s="137"/>
      <c r="ID11" s="137"/>
      <c r="IE11" s="137"/>
      <c r="IF11" s="137"/>
      <c r="IG11" s="137"/>
      <c r="IH11" s="137"/>
      <c r="II11" s="137"/>
      <c r="IJ11" s="137"/>
      <c r="IK11" s="137"/>
      <c r="IL11" s="137"/>
      <c r="IM11" s="137"/>
      <c r="IN11" s="137"/>
      <c r="IO11" s="137"/>
      <c r="IP11" s="247"/>
      <c r="OW11" s="250"/>
      <c r="OX11" s="137"/>
      <c r="OY11" s="137"/>
      <c r="OZ11" s="137"/>
      <c r="PA11" s="137"/>
      <c r="PB11" s="137"/>
      <c r="PC11" s="137"/>
      <c r="PD11" s="137"/>
      <c r="PE11" s="137"/>
      <c r="PF11" s="137"/>
      <c r="PG11" s="137"/>
      <c r="PH11" s="137"/>
      <c r="PI11" s="137"/>
      <c r="PJ11" s="137"/>
      <c r="PK11" s="137"/>
      <c r="PL11" s="137"/>
      <c r="PM11" s="137"/>
      <c r="PN11" s="137"/>
      <c r="PO11" s="137"/>
      <c r="PP11" s="137"/>
      <c r="PQ11" s="137"/>
      <c r="PR11" s="137"/>
      <c r="PS11" s="137"/>
      <c r="PT11" s="137"/>
      <c r="PU11" s="137"/>
      <c r="PV11" s="137"/>
      <c r="PW11" s="137"/>
      <c r="PX11" s="137"/>
      <c r="PY11" s="137"/>
      <c r="PZ11" s="137"/>
      <c r="QA11" s="137"/>
      <c r="QB11" s="137"/>
      <c r="QC11" s="137"/>
      <c r="QD11" s="137"/>
      <c r="QE11" s="137"/>
      <c r="QF11" s="137"/>
      <c r="QG11" s="137"/>
      <c r="QH11" s="137"/>
      <c r="QI11" s="137"/>
      <c r="QJ11" s="137"/>
      <c r="QK11" s="137"/>
      <c r="QL11" s="137"/>
      <c r="QM11" s="137"/>
      <c r="QN11" s="137"/>
      <c r="QO11" s="137"/>
      <c r="QP11" s="137"/>
      <c r="QQ11" s="137"/>
      <c r="QR11" s="137"/>
      <c r="QS11" s="137"/>
      <c r="QT11" s="137"/>
      <c r="QU11" s="137"/>
      <c r="QV11" s="137"/>
      <c r="QW11" s="137"/>
      <c r="QX11" s="137"/>
      <c r="QY11" s="137"/>
      <c r="QZ11" s="137"/>
      <c r="RA11" s="137"/>
      <c r="RB11" s="137"/>
      <c r="RC11" s="137"/>
      <c r="RD11" s="137"/>
      <c r="RE11" s="137"/>
      <c r="RF11" s="137"/>
      <c r="RG11" s="137"/>
      <c r="RH11" s="137"/>
      <c r="RI11" s="137"/>
      <c r="RJ11" s="137"/>
      <c r="RK11" s="137"/>
      <c r="RL11" s="137"/>
      <c r="RM11" s="137"/>
      <c r="RN11" s="137"/>
      <c r="RO11" s="137"/>
      <c r="RP11" s="137"/>
      <c r="RQ11" s="137"/>
      <c r="RR11" s="137"/>
      <c r="RS11" s="137"/>
      <c r="RT11" s="137"/>
      <c r="RU11" s="137"/>
      <c r="RV11" s="137"/>
      <c r="RW11" s="137"/>
      <c r="RX11" s="137"/>
      <c r="RY11" s="137"/>
      <c r="RZ11" s="137"/>
      <c r="SA11" s="137"/>
      <c r="SB11" s="137"/>
      <c r="SC11" s="137"/>
      <c r="SD11" s="137"/>
      <c r="SE11" s="137"/>
      <c r="SF11" s="137"/>
      <c r="SG11" s="137"/>
      <c r="SH11" s="137"/>
      <c r="SI11" s="137"/>
      <c r="SJ11" s="137"/>
      <c r="SK11" s="137"/>
      <c r="SL11" s="137"/>
      <c r="SM11" s="137"/>
      <c r="SN11" s="137"/>
      <c r="SO11" s="137"/>
      <c r="SP11" s="137"/>
      <c r="SQ11" s="137"/>
      <c r="SR11" s="137"/>
      <c r="SS11" s="137"/>
      <c r="ST11" s="137"/>
      <c r="SU11" s="137"/>
      <c r="SV11" s="137"/>
      <c r="SW11" s="137"/>
      <c r="SX11" s="137"/>
      <c r="SY11" s="137"/>
      <c r="SZ11" s="137"/>
      <c r="TA11" s="137"/>
      <c r="TB11" s="137"/>
      <c r="TC11" s="137"/>
      <c r="TD11" s="137"/>
      <c r="TE11" s="137"/>
      <c r="TF11" s="137"/>
      <c r="TG11" s="137"/>
      <c r="TH11" s="137"/>
      <c r="TI11" s="137"/>
      <c r="TJ11" s="137"/>
      <c r="TK11" s="137"/>
      <c r="TL11" s="137"/>
      <c r="TM11" s="137"/>
      <c r="TN11" s="137"/>
      <c r="TO11" s="137"/>
      <c r="TP11" s="137"/>
      <c r="TQ11" s="137"/>
      <c r="TR11" s="137"/>
      <c r="TS11" s="137"/>
      <c r="TT11" s="137"/>
      <c r="TU11" s="137"/>
      <c r="TV11" s="137"/>
      <c r="TW11" s="137"/>
      <c r="TX11" s="137"/>
      <c r="TY11" s="137"/>
      <c r="TZ11" s="137"/>
      <c r="UA11" s="137"/>
      <c r="UB11" s="137"/>
      <c r="UC11" s="137"/>
      <c r="UD11" s="137"/>
      <c r="UE11" s="137"/>
      <c r="UF11" s="137"/>
      <c r="UG11" s="137"/>
      <c r="UH11" s="137"/>
      <c r="UI11" s="137"/>
      <c r="UJ11" s="137"/>
      <c r="UK11" s="137"/>
      <c r="UL11" s="137"/>
      <c r="UM11" s="137"/>
      <c r="UN11" s="137"/>
      <c r="UO11" s="137"/>
      <c r="UP11" s="137"/>
      <c r="UQ11" s="137"/>
      <c r="UR11" s="137"/>
      <c r="US11" s="137"/>
      <c r="UT11" s="137"/>
      <c r="UU11" s="137"/>
      <c r="UV11" s="137"/>
      <c r="UW11" s="137"/>
      <c r="UX11" s="137"/>
      <c r="UY11" s="137"/>
      <c r="UZ11" s="137"/>
      <c r="VA11" s="137"/>
      <c r="VB11" s="137"/>
      <c r="VC11" s="137"/>
      <c r="VD11" s="137"/>
      <c r="VE11" s="137"/>
      <c r="VF11" s="137"/>
      <c r="VG11" s="137"/>
      <c r="VH11" s="137"/>
      <c r="VI11" s="137"/>
      <c r="VJ11" s="137"/>
      <c r="VK11" s="137"/>
      <c r="VL11" s="137"/>
      <c r="VM11" s="137"/>
      <c r="VN11" s="137"/>
      <c r="VO11" s="137"/>
      <c r="VP11" s="137"/>
      <c r="VQ11" s="137"/>
      <c r="VR11" s="137"/>
      <c r="VS11" s="137"/>
      <c r="VT11" s="137"/>
      <c r="VU11" s="137"/>
      <c r="VV11" s="137"/>
      <c r="VW11" s="137"/>
      <c r="VX11" s="137"/>
      <c r="VY11" s="137"/>
      <c r="VZ11" s="137"/>
      <c r="WA11" s="137"/>
      <c r="WB11" s="137"/>
      <c r="WC11" s="137"/>
      <c r="WD11" s="137"/>
      <c r="WE11" s="137"/>
      <c r="WF11" s="137"/>
      <c r="WG11" s="137"/>
      <c r="WH11" s="137"/>
      <c r="WI11" s="137"/>
      <c r="WJ11" s="137"/>
      <c r="WK11" s="137"/>
      <c r="WL11" s="137"/>
      <c r="WM11" s="137"/>
      <c r="WN11" s="137"/>
      <c r="WO11" s="137"/>
      <c r="WP11" s="137"/>
      <c r="WQ11" s="137"/>
      <c r="WR11" s="137"/>
      <c r="WS11" s="137"/>
      <c r="WT11" s="137"/>
      <c r="WU11" s="137"/>
      <c r="WV11" s="137"/>
      <c r="WW11" s="137"/>
      <c r="WX11" s="137"/>
      <c r="WY11" s="137"/>
      <c r="WZ11" s="137"/>
      <c r="XA11" s="137"/>
      <c r="XB11" s="137"/>
      <c r="XC11" s="137"/>
      <c r="XD11" s="137"/>
      <c r="XE11" s="137"/>
      <c r="XF11" s="137"/>
      <c r="XG11" s="137"/>
      <c r="XH11" s="137"/>
      <c r="XI11" s="137"/>
      <c r="XJ11" s="137"/>
      <c r="XK11" s="137"/>
      <c r="XL11" s="137"/>
      <c r="XM11" s="137"/>
      <c r="XN11" s="137"/>
      <c r="XO11" s="137"/>
      <c r="XP11" s="137"/>
      <c r="XQ11" s="137"/>
      <c r="XR11" s="137"/>
      <c r="XS11" s="137"/>
      <c r="XT11" s="137"/>
      <c r="XU11" s="137"/>
      <c r="XV11" s="137"/>
      <c r="XW11" s="137"/>
      <c r="XX11" s="137"/>
      <c r="XY11" s="137"/>
      <c r="XZ11" s="137"/>
      <c r="YA11" s="137"/>
      <c r="YB11" s="137"/>
      <c r="YC11" s="137"/>
      <c r="YD11" s="137"/>
      <c r="YE11" s="137"/>
      <c r="YF11" s="137"/>
      <c r="YG11" s="137"/>
      <c r="YH11" s="137"/>
      <c r="YI11" s="137"/>
      <c r="YJ11" s="137"/>
      <c r="YK11" s="137"/>
      <c r="YL11" s="137"/>
      <c r="YM11" s="137"/>
      <c r="YN11" s="137"/>
      <c r="YO11" s="137"/>
      <c r="YP11" s="137"/>
      <c r="YQ11" s="137"/>
      <c r="YR11" s="137"/>
      <c r="YS11" s="137"/>
      <c r="YT11" s="137"/>
      <c r="YU11" s="137"/>
      <c r="YV11" s="137"/>
      <c r="YW11" s="137"/>
      <c r="YX11" s="137"/>
      <c r="YY11" s="137"/>
      <c r="YZ11" s="137"/>
      <c r="ZA11" s="137"/>
      <c r="ZB11" s="137"/>
      <c r="ZC11" s="137"/>
      <c r="ZD11" s="137"/>
      <c r="ZE11" s="137"/>
      <c r="ZF11" s="137"/>
      <c r="ZG11" s="137"/>
      <c r="ZH11" s="137"/>
      <c r="ZI11" s="137"/>
      <c r="ZJ11" s="137"/>
      <c r="ZK11" s="247"/>
    </row>
    <row r="12" spans="1:687" s="218" customFormat="1" ht="23.25">
      <c r="A12" s="228">
        <v>10</v>
      </c>
      <c r="B12" s="97" t="s">
        <v>1842</v>
      </c>
      <c r="C12" s="12" t="s">
        <v>1583</v>
      </c>
      <c r="D12" s="61" t="s">
        <v>1808</v>
      </c>
      <c r="E12" s="18" t="s">
        <v>1853</v>
      </c>
      <c r="F12" s="251">
        <v>2</v>
      </c>
      <c r="G12" s="125">
        <v>1</v>
      </c>
      <c r="H12" s="83" t="s">
        <v>290</v>
      </c>
      <c r="I12" s="19" t="s">
        <v>1728</v>
      </c>
      <c r="J12" s="19" t="s">
        <v>1728</v>
      </c>
      <c r="K12" s="19" t="s">
        <v>1728</v>
      </c>
      <c r="L12" s="19" t="s">
        <v>1728</v>
      </c>
      <c r="M12" s="19" t="s">
        <v>1728</v>
      </c>
      <c r="N12" s="19" t="s">
        <v>1728</v>
      </c>
      <c r="O12" s="19" t="s">
        <v>1728</v>
      </c>
      <c r="P12" s="19" t="s">
        <v>1728</v>
      </c>
      <c r="Q12" s="19" t="s">
        <v>1728</v>
      </c>
      <c r="R12" s="19" t="s">
        <v>1728</v>
      </c>
      <c r="S12" s="19" t="s">
        <v>1728</v>
      </c>
      <c r="T12" s="19" t="s">
        <v>1728</v>
      </c>
      <c r="U12" s="19" t="s">
        <v>1728</v>
      </c>
      <c r="V12" s="19" t="s">
        <v>1728</v>
      </c>
      <c r="W12" s="41" t="s">
        <v>384</v>
      </c>
      <c r="X12" s="99" t="s">
        <v>1831</v>
      </c>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s="242"/>
      <c r="OW12" s="249"/>
      <c r="OX12"/>
      <c r="OY12"/>
      <c r="OZ12"/>
      <c r="PA12"/>
      <c r="PB12"/>
      <c r="PC12"/>
      <c r="PD12"/>
      <c r="PE12"/>
      <c r="PF12"/>
      <c r="PG12"/>
      <c r="PH12"/>
      <c r="PI12"/>
      <c r="PJ12"/>
      <c r="PK12"/>
      <c r="PL12"/>
      <c r="PM12"/>
      <c r="PN12"/>
      <c r="PO12"/>
      <c r="PP12"/>
      <c r="PQ12"/>
      <c r="PR12"/>
      <c r="PS12"/>
      <c r="PT12"/>
      <c r="PU12"/>
      <c r="PV12"/>
      <c r="PW12"/>
      <c r="PX12"/>
      <c r="PY12"/>
      <c r="PZ12"/>
      <c r="QA12"/>
      <c r="QB12"/>
      <c r="QC12"/>
      <c r="QD12"/>
      <c r="QE12"/>
      <c r="QF12"/>
      <c r="QG12"/>
      <c r="QH12"/>
      <c r="QI12"/>
      <c r="QJ12"/>
      <c r="QK12"/>
      <c r="QL12"/>
      <c r="QM12"/>
      <c r="QN12"/>
      <c r="QO12"/>
      <c r="QP12"/>
      <c r="QQ12"/>
      <c r="QR12"/>
      <c r="QS12"/>
      <c r="QT12"/>
      <c r="QU12"/>
      <c r="QV12"/>
      <c r="QW12"/>
      <c r="QX12"/>
      <c r="QY12"/>
      <c r="QZ12"/>
      <c r="RA12"/>
      <c r="RB12"/>
      <c r="RC12"/>
      <c r="RD12"/>
      <c r="RE12"/>
      <c r="RF12"/>
      <c r="RG12"/>
      <c r="RH12"/>
      <c r="RI12"/>
      <c r="RJ12"/>
      <c r="RK12"/>
      <c r="RL12"/>
      <c r="RM12"/>
      <c r="RN12"/>
      <c r="RO12"/>
      <c r="RP12"/>
      <c r="RQ12"/>
      <c r="RR12"/>
      <c r="RS12"/>
      <c r="RT12"/>
      <c r="RU12"/>
      <c r="RV12"/>
      <c r="RW12"/>
      <c r="RX12"/>
      <c r="RY12"/>
      <c r="RZ12"/>
      <c r="SA12"/>
      <c r="SB12"/>
      <c r="SC12"/>
      <c r="SD12"/>
      <c r="SE12"/>
      <c r="SF12"/>
      <c r="SG12"/>
      <c r="SH12"/>
      <c r="SI12"/>
      <c r="SJ12"/>
      <c r="SK12"/>
      <c r="SL12"/>
      <c r="SM12"/>
      <c r="SN12"/>
      <c r="SO12"/>
      <c r="SP12"/>
      <c r="SQ12"/>
      <c r="SR12"/>
      <c r="SS12"/>
      <c r="ST12"/>
      <c r="SU12"/>
      <c r="SV12"/>
      <c r="SW12"/>
      <c r="SX12"/>
      <c r="SY12"/>
      <c r="SZ12"/>
      <c r="TA12"/>
      <c r="TB12"/>
      <c r="TC12"/>
      <c r="TD12"/>
      <c r="TE12"/>
      <c r="TF12"/>
      <c r="TG12"/>
      <c r="TH12"/>
      <c r="TI12"/>
      <c r="TJ12"/>
      <c r="TK12"/>
      <c r="TL12"/>
      <c r="TM12"/>
      <c r="TN12"/>
      <c r="TO12"/>
      <c r="TP12"/>
      <c r="TQ12"/>
      <c r="TR12"/>
      <c r="TS12"/>
      <c r="TT12"/>
      <c r="TU12"/>
      <c r="TV12"/>
      <c r="TW12"/>
      <c r="TX12"/>
      <c r="TY12"/>
      <c r="TZ12"/>
      <c r="UA12"/>
      <c r="UB12"/>
      <c r="UC12"/>
      <c r="UD12"/>
      <c r="UE12"/>
      <c r="UF12"/>
      <c r="UG12"/>
      <c r="UH12"/>
      <c r="UI12"/>
      <c r="UJ12"/>
      <c r="UK12"/>
      <c r="UL12"/>
      <c r="UM12"/>
      <c r="UN12"/>
      <c r="UO12"/>
      <c r="UP12"/>
      <c r="UQ12"/>
      <c r="UR12"/>
      <c r="US12"/>
      <c r="UT12"/>
      <c r="UU12"/>
      <c r="UV12"/>
      <c r="UW12"/>
      <c r="UX12"/>
      <c r="UY12"/>
      <c r="UZ12"/>
      <c r="VA12"/>
      <c r="VB12"/>
      <c r="VC12"/>
      <c r="VD12"/>
      <c r="VE12"/>
      <c r="VF12"/>
      <c r="VG12"/>
      <c r="VH12"/>
      <c r="VI12"/>
      <c r="VJ12"/>
      <c r="VK12"/>
      <c r="VL12"/>
      <c r="VM12"/>
      <c r="VN12"/>
      <c r="VO12"/>
      <c r="VP12"/>
      <c r="VQ12"/>
      <c r="VR12"/>
      <c r="VS12"/>
      <c r="VT12"/>
      <c r="VU12"/>
      <c r="VV12"/>
      <c r="VW12"/>
      <c r="VX12"/>
      <c r="VY12"/>
      <c r="VZ12"/>
      <c r="WA12"/>
      <c r="WB12"/>
      <c r="WC12"/>
      <c r="WD12"/>
      <c r="WE12"/>
      <c r="WF12"/>
      <c r="WG12"/>
      <c r="WH12"/>
      <c r="WI12"/>
      <c r="WJ12"/>
      <c r="WK12"/>
      <c r="WL12"/>
      <c r="WM12"/>
      <c r="WN12"/>
      <c r="WO12"/>
      <c r="WP12"/>
      <c r="WQ12"/>
      <c r="WR12"/>
      <c r="WS12"/>
      <c r="WT12"/>
      <c r="WU12"/>
      <c r="WV12"/>
      <c r="WW12"/>
      <c r="WX12"/>
      <c r="WY12"/>
      <c r="WZ12"/>
      <c r="XA12"/>
      <c r="XB12"/>
      <c r="XC12"/>
      <c r="XD12"/>
      <c r="XE12"/>
      <c r="XF12"/>
      <c r="XG12"/>
      <c r="XH12"/>
      <c r="XI12"/>
      <c r="XJ12"/>
      <c r="XK12"/>
      <c r="XL12"/>
      <c r="XM12"/>
      <c r="XN12"/>
      <c r="XO12"/>
      <c r="XP12"/>
      <c r="XQ12"/>
      <c r="XR12"/>
      <c r="XS12"/>
      <c r="XT12"/>
      <c r="XU12"/>
      <c r="XV12"/>
      <c r="XW12"/>
      <c r="XX12"/>
      <c r="XY12"/>
      <c r="XZ12"/>
      <c r="YA12"/>
      <c r="YB12"/>
      <c r="YC12"/>
      <c r="YD12"/>
      <c r="YE12"/>
      <c r="YF12"/>
      <c r="YG12"/>
      <c r="YH12"/>
      <c r="YI12"/>
      <c r="YJ12"/>
      <c r="YK12"/>
      <c r="YL12"/>
      <c r="YM12"/>
      <c r="YN12"/>
      <c r="YO12"/>
      <c r="YP12"/>
      <c r="YQ12"/>
      <c r="YR12"/>
      <c r="YS12"/>
      <c r="YT12"/>
      <c r="YU12"/>
      <c r="YV12"/>
      <c r="YW12"/>
      <c r="YX12"/>
      <c r="YY12"/>
      <c r="YZ12"/>
      <c r="ZA12"/>
      <c r="ZB12"/>
      <c r="ZC12"/>
      <c r="ZD12"/>
      <c r="ZE12"/>
      <c r="ZF12"/>
      <c r="ZG12"/>
      <c r="ZH12"/>
      <c r="ZI12"/>
      <c r="ZJ12"/>
      <c r="ZK12" s="242"/>
    </row>
    <row r="13" spans="1:687" s="203" customFormat="1" ht="31.5" customHeight="1">
      <c r="A13" s="228">
        <v>11</v>
      </c>
      <c r="B13" s="97" t="s">
        <v>1842</v>
      </c>
      <c r="C13" s="64" t="s">
        <v>1847</v>
      </c>
      <c r="D13" s="187" t="s">
        <v>1854</v>
      </c>
      <c r="E13" s="11" t="s">
        <v>1855</v>
      </c>
      <c r="F13" s="252">
        <v>2</v>
      </c>
      <c r="G13" s="230">
        <v>2</v>
      </c>
      <c r="H13" s="83" t="s">
        <v>290</v>
      </c>
      <c r="I13" s="41" t="s">
        <v>862</v>
      </c>
      <c r="J13" s="203" t="s">
        <v>1728</v>
      </c>
      <c r="K13" s="41" t="s">
        <v>862</v>
      </c>
      <c r="L13" s="203" t="s">
        <v>1728</v>
      </c>
      <c r="M13" s="231" t="s">
        <v>1838</v>
      </c>
      <c r="N13" s="233">
        <v>45443</v>
      </c>
      <c r="O13" s="233">
        <v>45443</v>
      </c>
      <c r="P13" s="187" t="s">
        <v>862</v>
      </c>
      <c r="Q13" s="187" t="s">
        <v>1694</v>
      </c>
      <c r="R13" s="46" t="s">
        <v>295</v>
      </c>
      <c r="S13" s="233">
        <v>45443</v>
      </c>
      <c r="T13" s="187" t="s">
        <v>1694</v>
      </c>
      <c r="U13" s="203" t="s">
        <v>1728</v>
      </c>
      <c r="V13" s="203" t="s">
        <v>1728</v>
      </c>
      <c r="W13" s="203" t="s">
        <v>384</v>
      </c>
      <c r="X13" s="246"/>
      <c r="Y13" s="244"/>
      <c r="Z13" s="244"/>
      <c r="AA13" s="244"/>
      <c r="AB13" s="244"/>
      <c r="AC13" s="244"/>
      <c r="AD13" s="244"/>
      <c r="AE13" s="137"/>
      <c r="AF13" s="137"/>
      <c r="AG13" s="137"/>
      <c r="AH13" s="137"/>
      <c r="AI13" s="137"/>
      <c r="AJ13" s="137"/>
      <c r="AK13" s="137"/>
      <c r="AL13" s="137"/>
      <c r="AM13" s="137"/>
      <c r="AN13" s="137"/>
      <c r="AO13" s="137"/>
      <c r="AP13" s="137"/>
      <c r="AQ13" s="137"/>
      <c r="AR13" s="137"/>
      <c r="AS13" s="137"/>
      <c r="AT13" s="137"/>
      <c r="AU13" s="137"/>
      <c r="AV13" s="137"/>
      <c r="AW13" s="137"/>
      <c r="AX13" s="137"/>
      <c r="AY13" s="137"/>
      <c r="AZ13" s="137"/>
      <c r="BA13" s="137"/>
      <c r="BB13" s="137"/>
      <c r="BC13" s="137"/>
      <c r="BD13" s="137"/>
      <c r="BE13" s="137"/>
      <c r="BF13" s="137"/>
      <c r="BG13" s="137"/>
      <c r="BH13" s="137"/>
      <c r="BI13" s="137"/>
      <c r="BJ13" s="137"/>
      <c r="BK13" s="137"/>
      <c r="BL13" s="137"/>
      <c r="BM13" s="137"/>
      <c r="BN13" s="137"/>
      <c r="BO13" s="137"/>
      <c r="BP13" s="137"/>
      <c r="BQ13" s="137"/>
      <c r="BR13" s="137"/>
      <c r="BS13" s="137"/>
      <c r="BT13" s="137"/>
      <c r="BU13" s="137"/>
      <c r="BV13" s="137"/>
      <c r="BW13" s="137"/>
      <c r="BX13" s="137"/>
      <c r="BY13" s="137"/>
      <c r="BZ13" s="137"/>
      <c r="CA13" s="137"/>
      <c r="CB13" s="137"/>
      <c r="CC13" s="137"/>
      <c r="CD13" s="137"/>
      <c r="CE13" s="137"/>
      <c r="CF13" s="137"/>
      <c r="CG13" s="137"/>
      <c r="CH13" s="137"/>
      <c r="CI13" s="137"/>
      <c r="CJ13" s="137"/>
      <c r="CK13" s="137"/>
      <c r="CL13" s="137"/>
      <c r="CM13" s="137"/>
      <c r="CN13" s="137"/>
      <c r="CO13" s="137"/>
      <c r="CP13" s="137"/>
      <c r="CQ13" s="137"/>
      <c r="CR13" s="137"/>
      <c r="CS13" s="137"/>
      <c r="CT13" s="137"/>
      <c r="CU13" s="137"/>
      <c r="CV13" s="137"/>
      <c r="CW13" s="137"/>
      <c r="CX13" s="137"/>
      <c r="CY13" s="137"/>
      <c r="CZ13" s="137"/>
      <c r="DA13" s="137"/>
      <c r="DB13" s="137"/>
      <c r="DC13" s="137"/>
      <c r="DD13" s="137"/>
      <c r="DE13" s="137"/>
      <c r="DF13" s="137"/>
      <c r="DG13" s="137"/>
      <c r="DH13" s="137"/>
      <c r="DI13" s="137"/>
      <c r="DJ13" s="137"/>
      <c r="DK13" s="137"/>
      <c r="DL13" s="137"/>
      <c r="DM13" s="137"/>
      <c r="DN13" s="137"/>
      <c r="DO13" s="137"/>
      <c r="DP13" s="137"/>
      <c r="DQ13" s="137"/>
      <c r="DR13" s="137"/>
      <c r="DS13" s="137"/>
      <c r="DT13" s="137"/>
      <c r="DU13" s="137"/>
      <c r="DV13" s="137"/>
      <c r="DW13" s="137"/>
      <c r="DX13" s="137"/>
      <c r="DY13" s="137"/>
      <c r="DZ13" s="137"/>
      <c r="EA13" s="137"/>
      <c r="EB13" s="137"/>
      <c r="EC13" s="137"/>
      <c r="ED13" s="137"/>
      <c r="EE13" s="137"/>
      <c r="EF13" s="137"/>
      <c r="EG13" s="137"/>
      <c r="EH13" s="137"/>
      <c r="EI13" s="137"/>
      <c r="EJ13" s="137"/>
      <c r="EK13" s="137"/>
      <c r="EL13" s="137"/>
      <c r="EM13" s="137"/>
      <c r="EN13" s="137"/>
      <c r="EO13" s="137"/>
      <c r="EP13" s="137"/>
      <c r="EQ13" s="137"/>
      <c r="ER13" s="137"/>
      <c r="ES13" s="137"/>
      <c r="ET13" s="137"/>
      <c r="EU13" s="137"/>
      <c r="EV13" s="137"/>
      <c r="EW13" s="137"/>
      <c r="EX13" s="137"/>
      <c r="EY13" s="137"/>
      <c r="EZ13" s="137"/>
      <c r="FA13" s="137"/>
      <c r="FB13" s="137"/>
      <c r="FC13" s="137"/>
      <c r="FD13" s="137"/>
      <c r="FE13" s="137"/>
      <c r="FF13" s="137"/>
      <c r="FG13" s="137"/>
      <c r="FH13" s="137"/>
      <c r="FI13" s="137"/>
      <c r="FJ13" s="137"/>
      <c r="FK13" s="137"/>
      <c r="FL13" s="137"/>
      <c r="FM13" s="137"/>
      <c r="FN13" s="137"/>
      <c r="FO13" s="137"/>
      <c r="FP13" s="137"/>
      <c r="FQ13" s="137"/>
      <c r="FR13" s="137"/>
      <c r="FS13" s="137"/>
      <c r="FT13" s="137"/>
      <c r="FU13" s="137"/>
      <c r="FV13" s="137"/>
      <c r="FW13" s="137"/>
      <c r="FX13" s="137"/>
      <c r="FY13" s="137"/>
      <c r="FZ13" s="137"/>
      <c r="GA13" s="137"/>
      <c r="GB13" s="137"/>
      <c r="GC13" s="137"/>
      <c r="GD13" s="137"/>
      <c r="GE13" s="137"/>
      <c r="GF13" s="137"/>
      <c r="GG13" s="137"/>
      <c r="GH13" s="137"/>
      <c r="GI13" s="137"/>
      <c r="GJ13" s="137"/>
      <c r="GK13" s="137"/>
      <c r="GL13" s="137"/>
      <c r="GM13" s="137"/>
      <c r="GN13" s="137"/>
      <c r="GO13" s="137"/>
      <c r="GP13" s="137"/>
      <c r="GQ13" s="137"/>
      <c r="GR13" s="137"/>
      <c r="GS13" s="137"/>
      <c r="GT13" s="137"/>
      <c r="GU13" s="137"/>
      <c r="GV13" s="137"/>
      <c r="GW13" s="137"/>
      <c r="GX13" s="137"/>
      <c r="GY13" s="137"/>
      <c r="GZ13" s="137"/>
      <c r="HA13" s="137"/>
      <c r="HB13" s="137"/>
      <c r="HC13" s="137"/>
      <c r="HD13" s="137"/>
      <c r="HE13" s="137"/>
      <c r="HF13" s="137"/>
      <c r="HG13" s="137"/>
      <c r="HH13" s="137"/>
      <c r="HI13" s="137"/>
      <c r="HJ13" s="137"/>
      <c r="HK13" s="137"/>
      <c r="HL13" s="137"/>
      <c r="HM13" s="137"/>
      <c r="HN13" s="137"/>
      <c r="HO13" s="137"/>
      <c r="HP13" s="137"/>
      <c r="HQ13" s="137"/>
      <c r="HR13" s="137"/>
      <c r="HS13" s="137"/>
      <c r="HT13" s="137"/>
      <c r="HU13" s="137"/>
      <c r="HV13" s="137"/>
      <c r="HW13" s="137"/>
      <c r="HX13" s="137"/>
      <c r="HY13" s="137"/>
      <c r="HZ13" s="137"/>
      <c r="IA13" s="137"/>
      <c r="IB13" s="137"/>
      <c r="IC13" s="137"/>
      <c r="ID13" s="137"/>
      <c r="IE13" s="137"/>
      <c r="IF13" s="137"/>
      <c r="IG13" s="137"/>
      <c r="IH13" s="137"/>
      <c r="II13" s="137"/>
      <c r="IJ13" s="137"/>
      <c r="IK13" s="137"/>
      <c r="IL13" s="137"/>
      <c r="IM13" s="137"/>
      <c r="IN13" s="137"/>
      <c r="IO13" s="137"/>
      <c r="IP13" s="248"/>
      <c r="OW13" s="246"/>
      <c r="OX13" s="137"/>
      <c r="OY13" s="137"/>
      <c r="OZ13" s="137"/>
      <c r="PA13" s="137"/>
      <c r="PB13" s="137"/>
      <c r="PC13" s="137"/>
      <c r="PD13" s="137"/>
      <c r="PE13" s="137"/>
      <c r="PF13" s="137"/>
      <c r="PG13" s="137"/>
      <c r="PH13" s="137"/>
      <c r="PI13" s="137"/>
      <c r="PJ13" s="137"/>
      <c r="PK13" s="137"/>
      <c r="PL13" s="137"/>
      <c r="PM13" s="137"/>
      <c r="PN13" s="137"/>
      <c r="PO13" s="137"/>
      <c r="PP13" s="137"/>
      <c r="PQ13" s="137"/>
      <c r="PR13" s="137"/>
      <c r="PS13" s="137"/>
      <c r="PT13" s="137"/>
      <c r="PU13" s="137"/>
      <c r="PV13" s="137"/>
      <c r="PW13" s="137"/>
      <c r="PX13" s="137"/>
      <c r="PY13" s="137"/>
      <c r="PZ13" s="137"/>
      <c r="QA13" s="137"/>
      <c r="QB13" s="137"/>
      <c r="QC13" s="137"/>
      <c r="QD13" s="137"/>
      <c r="QE13" s="137"/>
      <c r="QF13" s="137"/>
      <c r="QG13" s="137"/>
      <c r="QH13" s="137"/>
      <c r="QI13" s="137"/>
      <c r="QJ13" s="137"/>
      <c r="QK13" s="137"/>
      <c r="QL13" s="137"/>
      <c r="QM13" s="137"/>
      <c r="QN13" s="137"/>
      <c r="QO13" s="137"/>
      <c r="QP13" s="137"/>
      <c r="QQ13" s="137"/>
      <c r="QR13" s="137"/>
      <c r="QS13" s="137"/>
      <c r="QT13" s="137"/>
      <c r="QU13" s="137"/>
      <c r="QV13" s="137"/>
      <c r="QW13" s="137"/>
      <c r="QX13" s="137"/>
      <c r="QY13" s="137"/>
      <c r="QZ13" s="137"/>
      <c r="RA13" s="137"/>
      <c r="RB13" s="137"/>
      <c r="RC13" s="137"/>
      <c r="RD13" s="137"/>
      <c r="RE13" s="137"/>
      <c r="RF13" s="137"/>
      <c r="RG13" s="137"/>
      <c r="RH13" s="137"/>
      <c r="RI13" s="137"/>
      <c r="RJ13" s="137"/>
      <c r="RK13" s="137"/>
      <c r="RL13" s="137"/>
      <c r="RM13" s="137"/>
      <c r="RN13" s="137"/>
      <c r="RO13" s="137"/>
      <c r="RP13" s="137"/>
      <c r="RQ13" s="137"/>
      <c r="RR13" s="137"/>
      <c r="RS13" s="137"/>
      <c r="RT13" s="137"/>
      <c r="RU13" s="137"/>
      <c r="RV13" s="137"/>
      <c r="RW13" s="137"/>
      <c r="RX13" s="137"/>
      <c r="RY13" s="137"/>
      <c r="RZ13" s="137"/>
      <c r="SA13" s="137"/>
      <c r="SB13" s="137"/>
      <c r="SC13" s="137"/>
      <c r="SD13" s="137"/>
      <c r="SE13" s="137"/>
      <c r="SF13" s="137"/>
      <c r="SG13" s="137"/>
      <c r="SH13" s="137"/>
      <c r="SI13" s="137"/>
      <c r="SJ13" s="137"/>
      <c r="SK13" s="137"/>
      <c r="SL13" s="137"/>
      <c r="SM13" s="137"/>
      <c r="SN13" s="137"/>
      <c r="SO13" s="137"/>
      <c r="SP13" s="137"/>
      <c r="SQ13" s="137"/>
      <c r="SR13" s="137"/>
      <c r="SS13" s="137"/>
      <c r="ST13" s="137"/>
      <c r="SU13" s="137"/>
      <c r="SV13" s="137"/>
      <c r="SW13" s="137"/>
      <c r="SX13" s="137"/>
      <c r="SY13" s="137"/>
      <c r="SZ13" s="137"/>
      <c r="TA13" s="137"/>
      <c r="TB13" s="137"/>
      <c r="TC13" s="137"/>
      <c r="TD13" s="137"/>
      <c r="TE13" s="137"/>
      <c r="TF13" s="137"/>
      <c r="TG13" s="137"/>
      <c r="TH13" s="137"/>
      <c r="TI13" s="137"/>
      <c r="TJ13" s="137"/>
      <c r="TK13" s="137"/>
      <c r="TL13" s="137"/>
      <c r="TM13" s="137"/>
      <c r="TN13" s="137"/>
      <c r="TO13" s="137"/>
      <c r="TP13" s="137"/>
      <c r="TQ13" s="137"/>
      <c r="TR13" s="137"/>
      <c r="TS13" s="137"/>
      <c r="TT13" s="137"/>
      <c r="TU13" s="137"/>
      <c r="TV13" s="137"/>
      <c r="TW13" s="137"/>
      <c r="TX13" s="137"/>
      <c r="TY13" s="137"/>
      <c r="TZ13" s="137"/>
      <c r="UA13" s="137"/>
      <c r="UB13" s="137"/>
      <c r="UC13" s="137"/>
      <c r="UD13" s="137"/>
      <c r="UE13" s="137"/>
      <c r="UF13" s="137"/>
      <c r="UG13" s="137"/>
      <c r="UH13" s="137"/>
      <c r="UI13" s="137"/>
      <c r="UJ13" s="137"/>
      <c r="UK13" s="137"/>
      <c r="UL13" s="137"/>
      <c r="UM13" s="137"/>
      <c r="UN13" s="137"/>
      <c r="UO13" s="137"/>
      <c r="UP13" s="137"/>
      <c r="UQ13" s="137"/>
      <c r="UR13" s="137"/>
      <c r="US13" s="137"/>
      <c r="UT13" s="137"/>
      <c r="UU13" s="137"/>
      <c r="UV13" s="137"/>
      <c r="UW13" s="137"/>
      <c r="UX13" s="137"/>
      <c r="UY13" s="137"/>
      <c r="UZ13" s="137"/>
      <c r="VA13" s="137"/>
      <c r="VB13" s="137"/>
      <c r="VC13" s="137"/>
      <c r="VD13" s="137"/>
      <c r="VE13" s="137"/>
      <c r="VF13" s="137"/>
      <c r="VG13" s="137"/>
      <c r="VH13" s="137"/>
      <c r="VI13" s="137"/>
      <c r="VJ13" s="137"/>
      <c r="VK13" s="137"/>
      <c r="VL13" s="137"/>
      <c r="VM13" s="137"/>
      <c r="VN13" s="137"/>
      <c r="VO13" s="137"/>
      <c r="VP13" s="137"/>
      <c r="VQ13" s="137"/>
      <c r="VR13" s="137"/>
      <c r="VS13" s="137"/>
      <c r="VT13" s="137"/>
      <c r="VU13" s="137"/>
      <c r="VV13" s="137"/>
      <c r="VW13" s="137"/>
      <c r="VX13" s="137"/>
      <c r="VY13" s="137"/>
      <c r="VZ13" s="137"/>
      <c r="WA13" s="137"/>
      <c r="WB13" s="137"/>
      <c r="WC13" s="137"/>
      <c r="WD13" s="137"/>
      <c r="WE13" s="137"/>
      <c r="WF13" s="137"/>
      <c r="WG13" s="137"/>
      <c r="WH13" s="137"/>
      <c r="WI13" s="137"/>
      <c r="WJ13" s="137"/>
      <c r="WK13" s="137"/>
      <c r="WL13" s="137"/>
      <c r="WM13" s="137"/>
      <c r="WN13" s="137"/>
      <c r="WO13" s="137"/>
      <c r="WP13" s="137"/>
      <c r="WQ13" s="137"/>
      <c r="WR13" s="137"/>
      <c r="WS13" s="137"/>
      <c r="WT13" s="137"/>
      <c r="WU13" s="137"/>
      <c r="WV13" s="137"/>
      <c r="WW13" s="137"/>
      <c r="WX13" s="137"/>
      <c r="WY13" s="137"/>
      <c r="WZ13" s="137"/>
      <c r="XA13" s="137"/>
      <c r="XB13" s="137"/>
      <c r="XC13" s="137"/>
      <c r="XD13" s="137"/>
      <c r="XE13" s="137"/>
      <c r="XF13" s="137"/>
      <c r="XG13" s="137"/>
      <c r="XH13" s="137"/>
      <c r="XI13" s="137"/>
      <c r="XJ13" s="137"/>
      <c r="XK13" s="137"/>
      <c r="XL13" s="137"/>
      <c r="XM13" s="137"/>
      <c r="XN13" s="137"/>
      <c r="XO13" s="137"/>
      <c r="XP13" s="137"/>
      <c r="XQ13" s="137"/>
      <c r="XR13" s="137"/>
      <c r="XS13" s="137"/>
      <c r="XT13" s="137"/>
      <c r="XU13" s="137"/>
      <c r="XV13" s="137"/>
      <c r="XW13" s="137"/>
      <c r="XX13" s="137"/>
      <c r="XY13" s="137"/>
      <c r="XZ13" s="137"/>
      <c r="YA13" s="137"/>
      <c r="YB13" s="137"/>
      <c r="YC13" s="137"/>
      <c r="YD13" s="137"/>
      <c r="YE13" s="137"/>
      <c r="YF13" s="137"/>
      <c r="YG13" s="137"/>
      <c r="YH13" s="137"/>
      <c r="YI13" s="137"/>
      <c r="YJ13" s="137"/>
      <c r="YK13" s="137"/>
      <c r="YL13" s="137"/>
      <c r="YM13" s="137"/>
      <c r="YN13" s="137"/>
      <c r="YO13" s="137"/>
      <c r="YP13" s="137"/>
      <c r="YQ13" s="137"/>
      <c r="YR13" s="137"/>
      <c r="YS13" s="137"/>
      <c r="YT13" s="137"/>
      <c r="YU13" s="137"/>
      <c r="YV13" s="137"/>
      <c r="YW13" s="137"/>
      <c r="YX13" s="137"/>
      <c r="YY13" s="137"/>
      <c r="YZ13" s="137"/>
      <c r="ZA13" s="137"/>
      <c r="ZB13" s="137"/>
      <c r="ZC13" s="137"/>
      <c r="ZD13" s="137"/>
      <c r="ZE13" s="137"/>
      <c r="ZF13" s="137"/>
      <c r="ZG13" s="137"/>
      <c r="ZH13" s="137"/>
      <c r="ZI13" s="137"/>
      <c r="ZJ13" s="137"/>
      <c r="ZK13" s="248"/>
    </row>
    <row r="14" spans="1:687">
      <c r="B14" s="28"/>
      <c r="C14" s="196"/>
      <c r="D14" s="47"/>
      <c r="E14" s="28"/>
      <c r="F14" s="215"/>
      <c r="G14" s="215"/>
      <c r="H14" s="2"/>
      <c r="I14" s="35"/>
      <c r="K14" s="35"/>
      <c r="M14" s="35"/>
      <c r="N14" s="35"/>
      <c r="O14" s="35"/>
      <c r="P14" s="35"/>
      <c r="Y14" s="35"/>
      <c r="Z14" s="35"/>
      <c r="AA14" s="35"/>
      <c r="AB14" s="35"/>
      <c r="AC14" s="35"/>
      <c r="AD14" s="35"/>
    </row>
    <row r="15" spans="1:687">
      <c r="B15" s="28"/>
      <c r="C15" s="196"/>
      <c r="D15" s="47"/>
      <c r="E15" s="28"/>
      <c r="F15" s="215"/>
      <c r="G15" s="215"/>
      <c r="H15" s="2"/>
      <c r="I15" s="35"/>
      <c r="K15" s="35"/>
      <c r="M15" s="35"/>
      <c r="N15" s="35"/>
      <c r="O15" s="35"/>
      <c r="P15" s="35"/>
      <c r="Y15" s="35"/>
      <c r="Z15" s="35"/>
      <c r="AA15" s="35"/>
      <c r="AB15" s="35"/>
      <c r="AC15" s="35"/>
      <c r="AD15" s="35"/>
    </row>
    <row r="16" spans="1:687">
      <c r="B16" s="28"/>
      <c r="C16" s="196"/>
      <c r="D16" s="47"/>
      <c r="E16" s="28"/>
      <c r="F16" s="215"/>
      <c r="G16" s="215"/>
      <c r="H16" s="2"/>
      <c r="I16" s="35"/>
      <c r="K16" s="35"/>
      <c r="M16" s="35"/>
      <c r="N16" s="35"/>
      <c r="O16" s="35"/>
      <c r="P16" s="35"/>
      <c r="Y16" s="35"/>
      <c r="Z16" s="35"/>
      <c r="AA16" s="35"/>
      <c r="AB16" s="35"/>
      <c r="AC16" s="35"/>
      <c r="AD16" s="35"/>
    </row>
    <row r="17" spans="2:16">
      <c r="B17" s="28"/>
      <c r="C17" s="196"/>
      <c r="D17" s="47"/>
      <c r="E17" s="28"/>
      <c r="F17" s="215"/>
      <c r="G17" s="215"/>
      <c r="H17" s="2"/>
      <c r="I17" s="35"/>
      <c r="K17" s="35"/>
      <c r="M17" s="35"/>
      <c r="N17" s="35"/>
      <c r="O17" s="35"/>
      <c r="P17" s="35"/>
    </row>
    <row r="18" spans="2:16">
      <c r="B18" s="28"/>
      <c r="C18" s="196"/>
      <c r="D18" s="47"/>
      <c r="E18" s="28"/>
      <c r="F18" s="215"/>
      <c r="G18" s="215"/>
      <c r="H18" s="2"/>
      <c r="I18" s="35"/>
      <c r="K18" s="35"/>
      <c r="M18" s="35"/>
      <c r="N18" s="35"/>
      <c r="O18" s="35"/>
      <c r="P18" s="35"/>
    </row>
    <row r="19" spans="2:16">
      <c r="B19" s="28"/>
      <c r="C19" s="196"/>
      <c r="D19" s="47"/>
      <c r="E19" s="28"/>
      <c r="F19" s="215"/>
      <c r="G19" s="215"/>
      <c r="H19" s="2"/>
      <c r="I19" s="35"/>
      <c r="K19" s="35"/>
      <c r="M19" s="35"/>
      <c r="N19" s="35"/>
      <c r="O19" s="35"/>
      <c r="P19" s="35"/>
    </row>
    <row r="20" spans="2:16">
      <c r="B20" s="28"/>
      <c r="C20" s="196"/>
      <c r="D20" s="47"/>
      <c r="E20" s="28"/>
      <c r="F20" s="215"/>
      <c r="G20" s="215"/>
      <c r="H20" s="2"/>
      <c r="I20" s="35"/>
      <c r="K20" s="35"/>
      <c r="M20" s="35"/>
      <c r="N20" s="35"/>
      <c r="O20" s="35"/>
      <c r="P20" s="35"/>
    </row>
    <row r="21" spans="2:16">
      <c r="B21" s="28"/>
      <c r="C21" s="196"/>
      <c r="D21" s="47"/>
      <c r="E21" s="28"/>
      <c r="F21" s="215"/>
      <c r="G21" s="215"/>
      <c r="H21" s="2"/>
      <c r="I21" s="35"/>
      <c r="K21" s="35"/>
      <c r="M21" s="35"/>
      <c r="N21" s="35"/>
      <c r="O21" s="35"/>
      <c r="P21" s="35"/>
    </row>
    <row r="22" spans="2:16">
      <c r="B22" s="28"/>
      <c r="C22" s="196"/>
      <c r="D22" s="47"/>
      <c r="E22" s="28"/>
      <c r="F22" s="215"/>
      <c r="G22" s="215"/>
      <c r="H22" s="2"/>
      <c r="I22" s="35"/>
      <c r="K22" s="35"/>
      <c r="M22" s="35"/>
      <c r="N22" s="35"/>
      <c r="O22" s="35"/>
      <c r="P22" s="35"/>
    </row>
    <row r="23" spans="2:16">
      <c r="B23" s="28"/>
      <c r="C23" s="196"/>
      <c r="D23" s="47"/>
      <c r="E23" s="28"/>
      <c r="F23" s="215"/>
      <c r="G23" s="215"/>
      <c r="H23" s="2"/>
      <c r="I23" s="35"/>
      <c r="K23" s="35"/>
      <c r="M23" s="35"/>
      <c r="N23" s="35"/>
      <c r="O23" s="35"/>
      <c r="P23" s="35"/>
    </row>
    <row r="24" spans="2:16">
      <c r="B24" s="28"/>
      <c r="C24" s="196"/>
      <c r="D24" s="47"/>
      <c r="E24" s="28"/>
      <c r="F24" s="215"/>
      <c r="G24" s="215"/>
      <c r="H24" s="2"/>
      <c r="I24" s="35"/>
      <c r="K24" s="35"/>
      <c r="M24" s="35"/>
      <c r="N24" s="35"/>
      <c r="O24" s="35"/>
      <c r="P24" s="35"/>
    </row>
    <row r="25" spans="2:16">
      <c r="B25" s="28"/>
      <c r="C25" s="196"/>
      <c r="D25" s="47"/>
      <c r="E25" s="28"/>
      <c r="F25" s="215"/>
      <c r="G25" s="215"/>
      <c r="H25" s="2"/>
      <c r="I25" s="35"/>
      <c r="K25" s="35"/>
      <c r="M25" s="35"/>
      <c r="N25" s="35"/>
      <c r="O25" s="35"/>
      <c r="P25" s="35"/>
    </row>
    <row r="26" spans="2:16">
      <c r="B26" s="28"/>
      <c r="C26" s="196"/>
      <c r="D26" s="47"/>
      <c r="E26" s="28"/>
      <c r="F26" s="215"/>
      <c r="G26" s="215"/>
      <c r="H26" s="2"/>
      <c r="I26" s="35"/>
      <c r="K26" s="35"/>
      <c r="M26" s="35"/>
      <c r="N26" s="35"/>
      <c r="O26" s="35"/>
      <c r="P26" s="35"/>
    </row>
    <row r="27" spans="2:16">
      <c r="B27" s="28"/>
      <c r="C27" s="196"/>
      <c r="D27" s="47"/>
      <c r="E27" s="28"/>
      <c r="F27" s="215"/>
      <c r="G27" s="215"/>
      <c r="H27" s="2"/>
      <c r="I27" s="35"/>
      <c r="K27" s="35"/>
      <c r="M27" s="35"/>
      <c r="N27" s="35"/>
      <c r="O27" s="35"/>
      <c r="P27" s="35"/>
    </row>
    <row r="28" spans="2:16">
      <c r="B28" s="28"/>
      <c r="C28" s="196"/>
      <c r="D28" s="47"/>
      <c r="E28" s="28"/>
      <c r="F28" s="215"/>
      <c r="G28" s="215"/>
      <c r="H28" s="2"/>
      <c r="I28" s="35"/>
      <c r="K28" s="35"/>
      <c r="M28" s="35"/>
      <c r="N28" s="35"/>
      <c r="O28" s="35"/>
      <c r="P28" s="35"/>
    </row>
    <row r="29" spans="2:16">
      <c r="B29" s="28"/>
      <c r="C29" s="196"/>
      <c r="D29" s="47"/>
      <c r="E29" s="28"/>
      <c r="F29" s="215"/>
      <c r="G29" s="215"/>
      <c r="H29" s="2"/>
      <c r="I29" s="35"/>
      <c r="K29" s="35"/>
      <c r="M29" s="35"/>
      <c r="N29" s="35"/>
      <c r="O29" s="35"/>
      <c r="P29" s="35"/>
    </row>
    <row r="30" spans="2:16">
      <c r="B30" s="28"/>
      <c r="C30" s="196"/>
      <c r="D30" s="47"/>
      <c r="E30" s="28"/>
      <c r="F30" s="215"/>
      <c r="G30" s="215"/>
      <c r="H30" s="2"/>
      <c r="I30" s="35"/>
      <c r="K30" s="35"/>
      <c r="M30" s="35"/>
      <c r="N30" s="35"/>
      <c r="O30" s="35"/>
      <c r="P30" s="35"/>
    </row>
    <row r="31" spans="2:16">
      <c r="B31" s="28"/>
      <c r="C31" s="196"/>
      <c r="D31" s="47"/>
      <c r="E31" s="28"/>
      <c r="F31" s="215"/>
      <c r="G31" s="215"/>
      <c r="H31" s="2"/>
      <c r="I31" s="35"/>
      <c r="K31" s="35"/>
      <c r="M31" s="35"/>
      <c r="N31" s="35"/>
      <c r="O31" s="35"/>
      <c r="P31" s="35"/>
    </row>
    <row r="32" spans="2:16">
      <c r="B32" s="28"/>
      <c r="C32" s="196"/>
      <c r="D32" s="47"/>
      <c r="E32" s="28"/>
      <c r="F32" s="215"/>
      <c r="G32" s="215"/>
      <c r="H32" s="2"/>
      <c r="I32" s="35"/>
      <c r="K32" s="35"/>
      <c r="M32" s="35"/>
      <c r="N32" s="35"/>
      <c r="O32" s="35"/>
      <c r="P32" s="35"/>
    </row>
    <row r="33" spans="2:16">
      <c r="B33" s="28"/>
      <c r="C33" s="196"/>
      <c r="D33" s="47"/>
      <c r="E33" s="28"/>
      <c r="F33" s="215"/>
      <c r="G33" s="215"/>
      <c r="H33" s="2"/>
      <c r="I33" s="35"/>
      <c r="K33" s="35"/>
      <c r="M33" s="35"/>
      <c r="N33" s="35"/>
      <c r="O33" s="35"/>
      <c r="P33" s="35"/>
    </row>
    <row r="34" spans="2:16">
      <c r="B34" s="28"/>
      <c r="C34" s="196"/>
      <c r="D34" s="47"/>
      <c r="E34" s="28"/>
      <c r="F34" s="215"/>
      <c r="G34" s="215"/>
      <c r="H34" s="2"/>
      <c r="I34" s="35"/>
      <c r="K34" s="35"/>
      <c r="M34" s="35"/>
      <c r="N34" s="35"/>
      <c r="O34" s="35"/>
      <c r="P34" s="35"/>
    </row>
    <row r="35" spans="2:16">
      <c r="B35" s="28"/>
      <c r="C35" s="196"/>
      <c r="D35" s="47"/>
      <c r="E35" s="28"/>
      <c r="F35" s="215"/>
      <c r="G35" s="215"/>
      <c r="H35" s="2"/>
      <c r="I35" s="35"/>
      <c r="K35" s="35"/>
      <c r="M35" s="35"/>
      <c r="N35" s="35"/>
      <c r="O35" s="35"/>
      <c r="P35" s="35"/>
    </row>
    <row r="36" spans="2:16">
      <c r="B36" s="28"/>
      <c r="C36" s="196"/>
      <c r="D36" s="47"/>
      <c r="E36" s="28"/>
      <c r="F36" s="215"/>
      <c r="G36" s="215"/>
      <c r="H36" s="2"/>
      <c r="I36" s="35"/>
      <c r="K36" s="35"/>
      <c r="M36" s="35"/>
      <c r="N36" s="35"/>
      <c r="O36" s="35"/>
      <c r="P36" s="35"/>
    </row>
    <row r="37" spans="2:16">
      <c r="B37" s="28"/>
      <c r="C37" s="196"/>
      <c r="D37" s="47"/>
      <c r="E37" s="28"/>
      <c r="F37" s="215"/>
      <c r="G37" s="215"/>
      <c r="H37" s="2"/>
      <c r="I37" s="35"/>
      <c r="K37" s="35"/>
      <c r="M37" s="35"/>
      <c r="N37" s="35"/>
      <c r="O37" s="35"/>
      <c r="P37" s="35"/>
    </row>
    <row r="38" spans="2:16">
      <c r="B38" s="28"/>
      <c r="C38" s="196"/>
      <c r="D38" s="47"/>
      <c r="E38" s="28"/>
      <c r="F38" s="215"/>
      <c r="G38" s="215"/>
      <c r="H38" s="2"/>
      <c r="I38" s="35"/>
      <c r="K38" s="35"/>
      <c r="M38" s="35"/>
      <c r="N38" s="35"/>
      <c r="O38" s="35"/>
      <c r="P38" s="35"/>
    </row>
    <row r="39" spans="2:16">
      <c r="B39" s="28"/>
      <c r="C39" s="196"/>
      <c r="D39" s="47"/>
      <c r="E39" s="28"/>
      <c r="F39" s="215"/>
      <c r="G39" s="215"/>
      <c r="H39" s="2"/>
      <c r="I39" s="35"/>
      <c r="K39" s="35"/>
      <c r="M39" s="35"/>
      <c r="N39" s="35"/>
      <c r="O39" s="35"/>
      <c r="P39" s="35"/>
    </row>
    <row r="40" spans="2:16">
      <c r="B40" s="28"/>
      <c r="C40" s="196"/>
      <c r="D40" s="47"/>
      <c r="E40" s="28"/>
      <c r="F40" s="215"/>
      <c r="G40" s="215"/>
      <c r="H40" s="2"/>
      <c r="I40" s="35"/>
      <c r="K40" s="35"/>
      <c r="M40" s="35"/>
      <c r="N40" s="35"/>
      <c r="O40" s="35"/>
      <c r="P40" s="35"/>
    </row>
    <row r="41" spans="2:16">
      <c r="B41" s="28"/>
      <c r="C41" s="196"/>
      <c r="D41" s="47"/>
      <c r="E41" s="28"/>
      <c r="F41" s="215"/>
      <c r="G41" s="215"/>
      <c r="H41" s="2"/>
      <c r="I41" s="35"/>
      <c r="K41" s="35"/>
      <c r="M41" s="35"/>
      <c r="N41" s="35"/>
      <c r="O41" s="35"/>
      <c r="P41" s="35"/>
    </row>
    <row r="42" spans="2:16">
      <c r="B42" s="28"/>
      <c r="C42" s="196"/>
      <c r="D42" s="47"/>
      <c r="E42" s="28"/>
      <c r="F42" s="215"/>
      <c r="G42" s="215"/>
      <c r="H42" s="2"/>
      <c r="I42" s="35"/>
      <c r="K42" s="35"/>
      <c r="M42" s="35"/>
      <c r="N42" s="35"/>
      <c r="O42" s="35"/>
      <c r="P42" s="35"/>
    </row>
    <row r="43" spans="2:16">
      <c r="B43" s="28"/>
      <c r="C43" s="196"/>
      <c r="D43" s="47"/>
      <c r="E43" s="28"/>
      <c r="F43" s="215"/>
      <c r="G43" s="215"/>
      <c r="H43" s="2"/>
      <c r="I43" s="35"/>
      <c r="K43" s="35"/>
      <c r="M43" s="35"/>
      <c r="N43" s="35"/>
      <c r="O43" s="35"/>
      <c r="P43" s="35"/>
    </row>
    <row r="44" spans="2:16">
      <c r="B44" s="28"/>
      <c r="C44" s="196"/>
      <c r="D44" s="47"/>
      <c r="E44" s="28"/>
      <c r="F44" s="215"/>
      <c r="G44" s="215"/>
      <c r="H44" s="2"/>
      <c r="I44" s="35"/>
      <c r="K44" s="35"/>
      <c r="M44" s="35"/>
      <c r="N44" s="35"/>
      <c r="O44" s="35"/>
      <c r="P44" s="35"/>
    </row>
    <row r="45" spans="2:16">
      <c r="B45" s="28"/>
      <c r="C45" s="196"/>
      <c r="D45" s="47"/>
      <c r="E45" s="28"/>
      <c r="F45" s="215"/>
      <c r="G45" s="215"/>
      <c r="H45" s="2"/>
      <c r="I45" s="35"/>
      <c r="K45" s="35"/>
      <c r="M45" s="35"/>
      <c r="N45" s="35"/>
      <c r="O45" s="35"/>
      <c r="P45" s="35"/>
    </row>
    <row r="46" spans="2:16">
      <c r="B46" s="28"/>
      <c r="C46" s="196"/>
      <c r="D46" s="47"/>
      <c r="E46" s="28"/>
      <c r="F46" s="215"/>
      <c r="G46" s="215"/>
      <c r="H46" s="2"/>
      <c r="I46" s="35"/>
      <c r="K46" s="35"/>
      <c r="M46" s="35"/>
      <c r="N46" s="35"/>
      <c r="O46" s="35"/>
      <c r="P46" s="35"/>
    </row>
    <row r="47" spans="2:16">
      <c r="B47" s="28"/>
      <c r="C47" s="196"/>
      <c r="D47" s="47"/>
      <c r="E47" s="28"/>
      <c r="F47" s="215"/>
      <c r="G47" s="215"/>
      <c r="H47" s="2"/>
      <c r="I47" s="35"/>
      <c r="K47" s="35"/>
      <c r="M47" s="35"/>
      <c r="N47" s="35"/>
      <c r="O47" s="35"/>
      <c r="P47" s="35"/>
    </row>
    <row r="48" spans="2:16">
      <c r="B48" s="28"/>
      <c r="C48" s="196"/>
      <c r="D48" s="47"/>
      <c r="E48" s="28"/>
      <c r="F48" s="215"/>
      <c r="G48" s="215"/>
      <c r="H48" s="2"/>
      <c r="I48" s="35"/>
      <c r="K48" s="35"/>
      <c r="M48" s="35"/>
      <c r="N48" s="35"/>
      <c r="O48" s="35"/>
      <c r="P48" s="35"/>
    </row>
    <row r="49" spans="2:16">
      <c r="B49" s="28"/>
      <c r="C49" s="196"/>
      <c r="D49" s="47"/>
      <c r="E49" s="28"/>
      <c r="F49" s="215"/>
      <c r="G49" s="215"/>
      <c r="H49" s="2"/>
      <c r="I49" s="35"/>
      <c r="K49" s="35"/>
      <c r="M49" s="35"/>
      <c r="N49" s="35"/>
      <c r="O49" s="35"/>
      <c r="P49" s="35"/>
    </row>
    <row r="50" spans="2:16">
      <c r="B50" s="28"/>
      <c r="C50" s="196"/>
      <c r="D50" s="47"/>
      <c r="E50" s="28"/>
      <c r="F50" s="215"/>
      <c r="G50" s="215"/>
      <c r="H50" s="2"/>
      <c r="I50" s="35"/>
      <c r="K50" s="35"/>
      <c r="M50" s="35"/>
      <c r="N50" s="35"/>
      <c r="O50" s="35"/>
      <c r="P50" s="35"/>
    </row>
    <row r="51" spans="2:16">
      <c r="B51" s="28"/>
      <c r="C51" s="196"/>
      <c r="D51" s="47"/>
      <c r="E51" s="28"/>
      <c r="F51" s="215"/>
      <c r="G51" s="215"/>
      <c r="H51" s="2"/>
      <c r="I51" s="35"/>
      <c r="K51" s="35"/>
      <c r="M51" s="35"/>
      <c r="N51" s="35"/>
      <c r="O51" s="35"/>
      <c r="P51" s="35"/>
    </row>
    <row r="52" spans="2:16">
      <c r="B52" s="28"/>
      <c r="C52" s="196"/>
      <c r="D52" s="47"/>
      <c r="E52" s="28"/>
      <c r="F52" s="215"/>
      <c r="G52" s="215"/>
      <c r="H52" s="2"/>
      <c r="I52" s="35"/>
      <c r="K52" s="35"/>
      <c r="M52" s="35"/>
      <c r="N52" s="35"/>
      <c r="O52" s="35"/>
      <c r="P52" s="35"/>
    </row>
    <row r="53" spans="2:16">
      <c r="B53" s="28"/>
      <c r="C53" s="196"/>
      <c r="D53" s="47"/>
      <c r="E53" s="28"/>
      <c r="F53" s="215"/>
      <c r="G53" s="215"/>
      <c r="H53" s="2"/>
      <c r="I53" s="35"/>
      <c r="K53" s="35"/>
      <c r="M53" s="35"/>
      <c r="N53" s="35"/>
      <c r="O53" s="35"/>
      <c r="P53" s="35"/>
    </row>
    <row r="54" spans="2:16">
      <c r="B54" s="28"/>
      <c r="C54" s="196"/>
      <c r="D54" s="47"/>
      <c r="E54" s="28"/>
      <c r="F54" s="215"/>
      <c r="G54" s="215"/>
      <c r="H54" s="2"/>
      <c r="I54" s="35"/>
      <c r="K54" s="35"/>
      <c r="M54" s="35"/>
      <c r="N54" s="35"/>
      <c r="O54" s="35"/>
      <c r="P54" s="35"/>
    </row>
    <row r="55" spans="2:16">
      <c r="B55" s="28"/>
      <c r="C55" s="196"/>
      <c r="D55" s="47"/>
      <c r="E55" s="28"/>
      <c r="F55" s="215"/>
      <c r="G55" s="215"/>
      <c r="H55" s="2"/>
      <c r="I55" s="35"/>
      <c r="K55" s="35"/>
      <c r="M55" s="35"/>
      <c r="N55" s="35"/>
      <c r="O55" s="35"/>
      <c r="P55" s="35"/>
    </row>
    <row r="56" spans="2:16">
      <c r="B56" s="28"/>
      <c r="C56" s="196"/>
      <c r="D56" s="47"/>
      <c r="E56" s="28"/>
      <c r="F56" s="215"/>
      <c r="G56" s="215"/>
      <c r="H56" s="2"/>
      <c r="I56" s="35"/>
      <c r="K56" s="35"/>
      <c r="M56" s="35"/>
      <c r="N56" s="35"/>
      <c r="O56" s="35"/>
      <c r="P56" s="35"/>
    </row>
    <row r="57" spans="2:16">
      <c r="B57" s="28"/>
      <c r="C57" s="196"/>
      <c r="D57" s="47"/>
      <c r="E57" s="28"/>
      <c r="F57" s="215"/>
      <c r="G57" s="215"/>
      <c r="H57" s="2"/>
      <c r="I57" s="35"/>
      <c r="K57" s="35"/>
      <c r="M57" s="35"/>
      <c r="N57" s="35"/>
      <c r="O57" s="35"/>
      <c r="P57" s="35"/>
    </row>
    <row r="58" spans="2:16">
      <c r="B58" s="28"/>
      <c r="C58" s="196"/>
      <c r="D58" s="47"/>
      <c r="E58" s="28"/>
      <c r="F58" s="215"/>
      <c r="G58" s="215"/>
      <c r="H58" s="2"/>
      <c r="I58" s="35"/>
      <c r="K58" s="35"/>
      <c r="M58" s="35"/>
      <c r="N58" s="35"/>
      <c r="O58" s="35"/>
      <c r="P58" s="35"/>
    </row>
    <row r="59" spans="2:16">
      <c r="B59" s="28"/>
      <c r="C59" s="196"/>
      <c r="D59" s="47"/>
      <c r="E59" s="28"/>
      <c r="F59" s="215"/>
      <c r="G59" s="215"/>
      <c r="H59" s="2"/>
      <c r="I59" s="35"/>
      <c r="K59" s="35"/>
      <c r="M59" s="35"/>
      <c r="N59" s="35"/>
      <c r="O59" s="35"/>
      <c r="P59" s="35"/>
    </row>
    <row r="60" spans="2:16">
      <c r="B60" s="28"/>
      <c r="C60" s="196"/>
      <c r="D60" s="47"/>
      <c r="E60" s="28"/>
      <c r="F60" s="215"/>
      <c r="G60" s="215"/>
      <c r="H60" s="2"/>
      <c r="I60" s="35"/>
      <c r="K60" s="35"/>
      <c r="M60" s="35"/>
      <c r="N60" s="35"/>
      <c r="O60" s="35"/>
      <c r="P60" s="35"/>
    </row>
    <row r="61" spans="2:16">
      <c r="B61" s="28"/>
      <c r="C61" s="196"/>
      <c r="D61" s="47"/>
      <c r="E61" s="28"/>
      <c r="F61" s="215"/>
      <c r="G61" s="215"/>
      <c r="H61" s="2"/>
      <c r="I61" s="35"/>
      <c r="K61" s="35"/>
      <c r="M61" s="35"/>
      <c r="N61" s="35"/>
      <c r="O61" s="35"/>
      <c r="P61" s="35"/>
    </row>
    <row r="62" spans="2:16">
      <c r="B62" s="28"/>
      <c r="C62" s="196"/>
      <c r="D62" s="47"/>
      <c r="E62" s="28"/>
      <c r="F62" s="215"/>
      <c r="G62" s="215"/>
      <c r="H62" s="2"/>
      <c r="I62" s="35"/>
      <c r="K62" s="35"/>
      <c r="M62" s="35"/>
      <c r="N62" s="35"/>
      <c r="O62" s="35"/>
      <c r="P62" s="35"/>
    </row>
    <row r="63" spans="2:16">
      <c r="B63" s="28"/>
      <c r="C63" s="196"/>
      <c r="D63" s="47"/>
      <c r="E63" s="28"/>
      <c r="F63" s="215"/>
      <c r="G63" s="215"/>
      <c r="H63" s="2"/>
      <c r="I63" s="35"/>
      <c r="K63" s="35"/>
      <c r="M63" s="35"/>
      <c r="N63" s="35"/>
      <c r="O63" s="35"/>
      <c r="P63" s="35"/>
    </row>
    <row r="64" spans="2:16">
      <c r="B64" s="28"/>
      <c r="C64" s="196"/>
      <c r="D64" s="47"/>
      <c r="E64" s="28"/>
      <c r="F64" s="215"/>
      <c r="G64" s="215"/>
      <c r="H64" s="2"/>
      <c r="I64" s="35"/>
      <c r="K64" s="35"/>
      <c r="M64" s="35"/>
      <c r="N64" s="35"/>
      <c r="O64" s="35"/>
      <c r="P64" s="35"/>
    </row>
    <row r="65" spans="2:16">
      <c r="B65" s="28"/>
      <c r="C65" s="196"/>
      <c r="D65" s="47"/>
      <c r="E65" s="28"/>
      <c r="F65" s="215"/>
      <c r="G65" s="215"/>
      <c r="H65" s="2"/>
      <c r="I65" s="35"/>
      <c r="K65" s="35"/>
      <c r="M65" s="35"/>
      <c r="N65" s="35"/>
      <c r="O65" s="35"/>
      <c r="P65" s="35"/>
    </row>
    <row r="66" spans="2:16">
      <c r="B66" s="28"/>
      <c r="C66" s="196"/>
      <c r="D66" s="47"/>
      <c r="E66" s="28"/>
      <c r="F66" s="215"/>
      <c r="G66" s="215"/>
      <c r="H66" s="2"/>
      <c r="I66" s="35"/>
      <c r="K66" s="35"/>
      <c r="M66" s="35"/>
      <c r="N66" s="35"/>
      <c r="O66" s="35"/>
      <c r="P66" s="35"/>
    </row>
    <row r="67" spans="2:16">
      <c r="B67" s="28"/>
      <c r="C67" s="196"/>
      <c r="D67" s="47"/>
      <c r="E67" s="28"/>
      <c r="F67" s="215"/>
      <c r="G67" s="215"/>
      <c r="H67" s="2"/>
      <c r="I67" s="35"/>
      <c r="K67" s="35"/>
      <c r="M67" s="35"/>
      <c r="N67" s="35"/>
      <c r="O67" s="35"/>
      <c r="P67" s="35"/>
    </row>
    <row r="68" spans="2:16">
      <c r="B68" s="28"/>
      <c r="C68" s="196"/>
      <c r="D68" s="47"/>
      <c r="E68" s="28"/>
      <c r="F68" s="215"/>
      <c r="G68" s="215"/>
      <c r="H68" s="2"/>
      <c r="I68" s="35"/>
      <c r="K68" s="35"/>
      <c r="M68" s="35"/>
      <c r="N68" s="35"/>
      <c r="O68" s="35"/>
      <c r="P68" s="35"/>
    </row>
    <row r="69" spans="2:16">
      <c r="B69" s="28"/>
      <c r="C69" s="196"/>
      <c r="D69" s="47"/>
      <c r="E69" s="28"/>
      <c r="F69" s="215"/>
      <c r="G69" s="215"/>
      <c r="H69" s="2"/>
      <c r="I69" s="35"/>
      <c r="K69" s="35"/>
      <c r="M69" s="35"/>
      <c r="N69" s="35"/>
      <c r="O69" s="35"/>
      <c r="P69" s="35"/>
    </row>
    <row r="70" spans="2:16">
      <c r="B70" s="28"/>
      <c r="C70" s="196"/>
      <c r="D70" s="47"/>
      <c r="E70" s="28"/>
      <c r="F70" s="215"/>
      <c r="G70" s="215"/>
      <c r="H70" s="2"/>
      <c r="I70" s="35"/>
      <c r="K70" s="35"/>
      <c r="M70" s="35"/>
      <c r="N70" s="35"/>
      <c r="O70" s="35"/>
      <c r="P70" s="35"/>
    </row>
    <row r="71" spans="2:16">
      <c r="B71" s="28"/>
      <c r="C71" s="196"/>
      <c r="D71" s="47"/>
      <c r="E71" s="28"/>
      <c r="F71" s="215"/>
      <c r="G71" s="215"/>
      <c r="H71" s="2"/>
      <c r="I71" s="35"/>
      <c r="K71" s="35"/>
      <c r="M71" s="35"/>
      <c r="N71" s="35"/>
      <c r="O71" s="35"/>
      <c r="P71" s="35"/>
    </row>
    <row r="72" spans="2:16">
      <c r="B72" s="28"/>
      <c r="C72" s="196"/>
      <c r="D72" s="47"/>
      <c r="E72" s="28"/>
      <c r="F72" s="215"/>
      <c r="G72" s="215"/>
      <c r="H72" s="2"/>
      <c r="I72" s="35"/>
      <c r="K72" s="35"/>
      <c r="M72" s="35"/>
      <c r="N72" s="35"/>
      <c r="O72" s="35"/>
      <c r="P72" s="35"/>
    </row>
    <row r="73" spans="2:16">
      <c r="B73" s="28"/>
      <c r="C73" s="196"/>
      <c r="D73" s="47"/>
      <c r="E73" s="28"/>
      <c r="F73" s="215"/>
      <c r="G73" s="215"/>
      <c r="H73" s="2"/>
      <c r="I73" s="35"/>
      <c r="K73" s="35"/>
      <c r="M73" s="35"/>
      <c r="N73" s="35"/>
      <c r="O73" s="35"/>
      <c r="P73" s="35"/>
    </row>
    <row r="74" spans="2:16">
      <c r="B74" s="28"/>
      <c r="C74" s="196"/>
      <c r="D74" s="47"/>
      <c r="E74" s="28"/>
      <c r="F74" s="215"/>
      <c r="G74" s="215"/>
      <c r="H74" s="2"/>
      <c r="I74" s="35"/>
      <c r="K74" s="35"/>
      <c r="M74" s="35"/>
      <c r="N74" s="35"/>
      <c r="O74" s="35"/>
      <c r="P74" s="35"/>
    </row>
    <row r="75" spans="2:16">
      <c r="B75" s="28"/>
      <c r="C75" s="196"/>
      <c r="D75" s="47"/>
      <c r="E75" s="28"/>
      <c r="F75" s="215"/>
      <c r="G75" s="215"/>
      <c r="H75" s="2"/>
      <c r="I75" s="35"/>
      <c r="K75" s="35"/>
      <c r="M75" s="35"/>
      <c r="N75" s="35"/>
      <c r="O75" s="35"/>
      <c r="P75" s="35"/>
    </row>
    <row r="76" spans="2:16">
      <c r="B76" s="28"/>
      <c r="C76" s="196"/>
      <c r="D76" s="47"/>
      <c r="E76" s="28"/>
      <c r="F76" s="215"/>
      <c r="G76" s="215"/>
      <c r="H76" s="2"/>
      <c r="I76" s="35"/>
      <c r="K76" s="35"/>
      <c r="M76" s="35"/>
      <c r="N76" s="35"/>
      <c r="O76" s="35"/>
      <c r="P76" s="35"/>
    </row>
    <row r="77" spans="2:16">
      <c r="B77" s="28"/>
      <c r="C77" s="196"/>
      <c r="D77" s="47"/>
      <c r="E77" s="28"/>
      <c r="F77" s="215"/>
      <c r="G77" s="215"/>
      <c r="H77" s="2"/>
      <c r="I77" s="35"/>
      <c r="K77" s="35"/>
      <c r="M77" s="35"/>
      <c r="N77" s="35"/>
      <c r="O77" s="35"/>
      <c r="P77" s="35"/>
    </row>
    <row r="78" spans="2:16">
      <c r="B78" s="28"/>
      <c r="C78" s="196"/>
      <c r="D78" s="47"/>
      <c r="E78" s="28"/>
      <c r="F78" s="215"/>
      <c r="G78" s="215"/>
      <c r="H78" s="2"/>
      <c r="I78" s="35"/>
      <c r="K78" s="35"/>
      <c r="M78" s="35"/>
      <c r="N78" s="35"/>
      <c r="O78" s="35"/>
      <c r="P78" s="35"/>
    </row>
    <row r="79" spans="2:16">
      <c r="B79" s="28"/>
      <c r="C79" s="196"/>
      <c r="D79" s="47"/>
      <c r="E79" s="28"/>
      <c r="F79" s="215"/>
      <c r="G79" s="215"/>
      <c r="H79" s="2"/>
      <c r="I79" s="35"/>
      <c r="K79" s="35"/>
      <c r="M79" s="35"/>
      <c r="N79" s="35"/>
      <c r="O79" s="35"/>
      <c r="P79" s="35"/>
    </row>
    <row r="80" spans="2:16">
      <c r="B80" s="28"/>
      <c r="C80" s="196"/>
      <c r="D80" s="47"/>
      <c r="E80" s="28"/>
      <c r="F80" s="215"/>
      <c r="G80" s="215"/>
      <c r="H80" s="2"/>
      <c r="I80" s="35"/>
      <c r="K80" s="35"/>
      <c r="M80" s="35"/>
      <c r="N80" s="35"/>
      <c r="O80" s="35"/>
      <c r="P80" s="35"/>
    </row>
    <row r="81" spans="2:16">
      <c r="B81" s="28"/>
      <c r="C81" s="196"/>
      <c r="D81" s="47"/>
      <c r="E81" s="28"/>
      <c r="F81" s="215"/>
      <c r="G81" s="215"/>
      <c r="H81" s="2"/>
      <c r="I81" s="35"/>
      <c r="K81" s="35"/>
      <c r="M81" s="35"/>
      <c r="N81" s="35"/>
      <c r="O81" s="35"/>
      <c r="P81" s="35"/>
    </row>
    <row r="82" spans="2:16">
      <c r="B82" s="28"/>
      <c r="C82" s="196"/>
      <c r="D82" s="47"/>
      <c r="E82" s="28"/>
      <c r="F82" s="215"/>
      <c r="G82" s="215"/>
      <c r="H82" s="2"/>
      <c r="I82" s="35"/>
      <c r="K82" s="35"/>
      <c r="M82" s="35"/>
      <c r="N82" s="35"/>
      <c r="O82" s="35"/>
      <c r="P82" s="35"/>
    </row>
    <row r="83" spans="2:16">
      <c r="B83" s="28"/>
      <c r="C83" s="196"/>
      <c r="D83" s="47"/>
      <c r="E83" s="28"/>
      <c r="F83" s="215"/>
      <c r="G83" s="215"/>
      <c r="H83" s="2"/>
      <c r="I83" s="35"/>
      <c r="K83" s="35"/>
      <c r="M83" s="35"/>
      <c r="N83" s="35"/>
      <c r="O83" s="35"/>
      <c r="P83" s="35"/>
    </row>
    <row r="84" spans="2:16">
      <c r="B84" s="28"/>
      <c r="C84" s="196"/>
      <c r="D84" s="47"/>
      <c r="E84" s="28"/>
      <c r="F84" s="215"/>
      <c r="G84" s="215"/>
      <c r="H84" s="2"/>
      <c r="I84" s="35"/>
      <c r="K84" s="35"/>
      <c r="M84" s="35"/>
      <c r="N84" s="35"/>
      <c r="O84" s="35"/>
      <c r="P84" s="35"/>
    </row>
    <row r="85" spans="2:16">
      <c r="B85" s="28"/>
      <c r="C85" s="196"/>
      <c r="D85" s="47"/>
      <c r="E85" s="28"/>
      <c r="F85" s="215"/>
      <c r="G85" s="215"/>
      <c r="H85" s="2"/>
      <c r="I85" s="35"/>
      <c r="K85" s="35"/>
      <c r="M85" s="35"/>
      <c r="N85" s="35"/>
      <c r="O85" s="35"/>
      <c r="P85" s="35"/>
    </row>
    <row r="86" spans="2:16">
      <c r="B86" s="28"/>
      <c r="C86" s="196"/>
      <c r="D86" s="47"/>
      <c r="E86" s="28"/>
      <c r="F86" s="215"/>
      <c r="G86" s="215"/>
      <c r="H86" s="2"/>
      <c r="I86" s="35"/>
      <c r="K86" s="35"/>
      <c r="M86" s="35"/>
      <c r="N86" s="35"/>
      <c r="O86" s="35"/>
      <c r="P86" s="35"/>
    </row>
    <row r="87" spans="2:16">
      <c r="B87" s="28"/>
      <c r="C87" s="196"/>
      <c r="D87" s="47"/>
      <c r="E87" s="28"/>
      <c r="F87" s="215"/>
      <c r="G87" s="215"/>
      <c r="H87" s="2"/>
      <c r="I87" s="35"/>
      <c r="K87" s="35"/>
      <c r="M87" s="35"/>
      <c r="N87" s="35"/>
      <c r="O87" s="35"/>
      <c r="P87" s="35"/>
    </row>
    <row r="88" spans="2:16">
      <c r="B88" s="28"/>
      <c r="C88" s="196"/>
      <c r="D88" s="47"/>
      <c r="E88" s="28"/>
      <c r="F88" s="215"/>
      <c r="G88" s="215"/>
      <c r="H88" s="2"/>
      <c r="I88" s="35"/>
      <c r="K88" s="35"/>
      <c r="M88" s="35"/>
      <c r="N88" s="35"/>
      <c r="O88" s="35"/>
      <c r="P88" s="35"/>
    </row>
    <row r="89" spans="2:16">
      <c r="B89" s="28"/>
      <c r="C89" s="196"/>
      <c r="D89" s="47"/>
      <c r="E89" s="28"/>
      <c r="F89" s="215"/>
      <c r="G89" s="215"/>
      <c r="H89" s="2"/>
      <c r="I89" s="35"/>
      <c r="K89" s="35"/>
      <c r="M89" s="35"/>
      <c r="N89" s="35"/>
      <c r="O89" s="35"/>
      <c r="P89" s="35"/>
    </row>
    <row r="90" spans="2:16">
      <c r="B90" s="28"/>
      <c r="C90" s="196"/>
      <c r="D90" s="47"/>
      <c r="E90" s="28"/>
      <c r="F90" s="215"/>
      <c r="G90" s="215"/>
      <c r="H90" s="2"/>
      <c r="I90" s="35"/>
      <c r="K90" s="35"/>
      <c r="M90" s="35"/>
      <c r="N90" s="35"/>
      <c r="O90" s="35"/>
      <c r="P90" s="35"/>
    </row>
    <row r="91" spans="2:16">
      <c r="B91" s="28"/>
      <c r="C91" s="196"/>
      <c r="D91" s="47"/>
      <c r="E91" s="28"/>
      <c r="F91" s="215"/>
      <c r="G91" s="215"/>
      <c r="H91" s="2"/>
      <c r="I91" s="35"/>
      <c r="K91" s="35"/>
      <c r="M91" s="35"/>
      <c r="N91" s="35"/>
      <c r="O91" s="35"/>
      <c r="P91" s="35"/>
    </row>
    <row r="92" spans="2:16">
      <c r="B92" s="28"/>
      <c r="C92" s="196"/>
      <c r="D92" s="47"/>
      <c r="E92" s="28"/>
      <c r="F92" s="215"/>
      <c r="G92" s="215"/>
      <c r="H92" s="2"/>
      <c r="I92" s="35"/>
      <c r="K92" s="35"/>
      <c r="M92" s="35"/>
      <c r="N92" s="35"/>
      <c r="O92" s="35"/>
      <c r="P92" s="35"/>
    </row>
    <row r="93" spans="2:16">
      <c r="B93" s="28"/>
      <c r="C93" s="196"/>
      <c r="D93" s="47"/>
      <c r="E93" s="28"/>
      <c r="F93" s="215"/>
      <c r="G93" s="215"/>
      <c r="H93" s="2"/>
      <c r="I93" s="35"/>
      <c r="K93" s="35"/>
      <c r="M93" s="35"/>
      <c r="N93" s="35"/>
      <c r="O93" s="35"/>
      <c r="P93" s="35"/>
    </row>
    <row r="94" spans="2:16">
      <c r="B94" s="28"/>
      <c r="C94" s="196"/>
      <c r="D94" s="47"/>
      <c r="E94" s="28"/>
      <c r="F94" s="215"/>
      <c r="G94" s="215"/>
      <c r="H94" s="2"/>
      <c r="I94" s="35"/>
      <c r="K94" s="35"/>
      <c r="M94" s="35"/>
      <c r="N94" s="35"/>
      <c r="O94" s="35"/>
      <c r="P94" s="35"/>
    </row>
    <row r="95" spans="2:16">
      <c r="B95" s="28"/>
      <c r="C95" s="196"/>
      <c r="D95" s="47"/>
      <c r="E95" s="28"/>
      <c r="F95" s="215"/>
      <c r="G95" s="215"/>
      <c r="H95" s="2"/>
      <c r="I95" s="35"/>
      <c r="K95" s="35"/>
      <c r="M95" s="35"/>
      <c r="N95" s="35"/>
      <c r="O95" s="35"/>
      <c r="P95" s="35"/>
    </row>
    <row r="96" spans="2:16">
      <c r="B96" s="28"/>
      <c r="C96" s="196"/>
      <c r="D96" s="47"/>
      <c r="E96" s="28"/>
      <c r="F96" s="215"/>
      <c r="G96" s="215"/>
      <c r="H96" s="2"/>
      <c r="I96" s="35"/>
      <c r="K96" s="35"/>
      <c r="M96" s="35"/>
      <c r="N96" s="35"/>
      <c r="O96" s="35"/>
      <c r="P96" s="35"/>
    </row>
    <row r="97" spans="2:16">
      <c r="B97" s="28"/>
      <c r="C97" s="196"/>
      <c r="D97" s="47"/>
      <c r="E97" s="28"/>
      <c r="F97" s="215"/>
      <c r="G97" s="215"/>
      <c r="H97" s="2"/>
      <c r="I97" s="35"/>
      <c r="K97" s="35"/>
      <c r="M97" s="35"/>
      <c r="N97" s="35"/>
      <c r="O97" s="35"/>
      <c r="P97" s="35"/>
    </row>
    <row r="98" spans="2:16">
      <c r="B98" s="28"/>
      <c r="C98" s="196"/>
      <c r="D98" s="47"/>
      <c r="E98" s="28"/>
      <c r="F98" s="215"/>
      <c r="G98" s="215"/>
      <c r="H98" s="2"/>
      <c r="I98" s="35"/>
      <c r="K98" s="35"/>
      <c r="M98" s="35"/>
      <c r="N98" s="35"/>
      <c r="O98" s="35"/>
      <c r="P98" s="35"/>
    </row>
    <row r="99" spans="2:16">
      <c r="B99" s="28"/>
      <c r="C99" s="196"/>
      <c r="D99" s="47"/>
      <c r="E99" s="28"/>
      <c r="F99" s="215"/>
      <c r="G99" s="215"/>
      <c r="H99" s="2"/>
      <c r="I99" s="35"/>
      <c r="K99" s="35"/>
      <c r="M99" s="35"/>
      <c r="N99" s="35"/>
      <c r="O99" s="35"/>
      <c r="P99" s="35"/>
    </row>
    <row r="100" spans="2:16">
      <c r="B100" s="28"/>
      <c r="C100" s="196"/>
      <c r="D100" s="47"/>
      <c r="E100" s="28"/>
      <c r="F100" s="215"/>
      <c r="G100" s="215"/>
      <c r="H100" s="2"/>
      <c r="I100" s="35"/>
      <c r="K100" s="35"/>
      <c r="M100" s="35"/>
      <c r="N100" s="35"/>
      <c r="O100" s="35"/>
      <c r="P100" s="35"/>
    </row>
    <row r="101" spans="2:16">
      <c r="B101" s="28"/>
      <c r="C101" s="196"/>
      <c r="D101" s="47"/>
      <c r="E101" s="28"/>
      <c r="F101" s="215"/>
      <c r="G101" s="215"/>
      <c r="H101" s="2"/>
      <c r="I101" s="107"/>
      <c r="K101" s="35"/>
      <c r="M101" s="35"/>
      <c r="N101" s="35"/>
      <c r="O101" s="35"/>
      <c r="P101" s="35"/>
    </row>
    <row r="102" spans="2:16">
      <c r="B102" s="28"/>
      <c r="C102" s="196"/>
      <c r="D102" s="47"/>
      <c r="E102" s="28"/>
      <c r="F102" s="215"/>
      <c r="G102" s="215"/>
      <c r="H102" s="2"/>
      <c r="I102" s="19"/>
      <c r="K102" s="35"/>
      <c r="M102" s="35"/>
      <c r="N102" s="35"/>
      <c r="O102" s="35"/>
      <c r="P102" s="35"/>
    </row>
    <row r="103" spans="2:16">
      <c r="B103" s="28"/>
      <c r="C103" s="196"/>
      <c r="D103" s="47"/>
      <c r="E103" s="28"/>
      <c r="F103" s="215"/>
      <c r="G103" s="215"/>
      <c r="H103" s="2"/>
      <c r="I103" s="19"/>
      <c r="K103" s="35"/>
      <c r="M103" s="35"/>
      <c r="N103" s="35"/>
      <c r="O103" s="35"/>
      <c r="P103" s="35"/>
    </row>
    <row r="104" spans="2:16">
      <c r="B104" s="28"/>
      <c r="C104" s="196"/>
      <c r="D104" s="47"/>
      <c r="E104" s="28"/>
      <c r="F104" s="215"/>
      <c r="G104" s="215"/>
      <c r="H104" s="2"/>
      <c r="I104" s="19"/>
      <c r="K104" s="35"/>
      <c r="M104" s="35"/>
      <c r="N104" s="35"/>
      <c r="O104" s="35"/>
      <c r="P104" s="35"/>
    </row>
    <row r="105" spans="2:16">
      <c r="B105" s="28"/>
      <c r="C105" s="196"/>
      <c r="D105" s="47"/>
      <c r="E105" s="28"/>
      <c r="F105" s="215"/>
      <c r="G105" s="215"/>
      <c r="H105" s="2"/>
      <c r="I105" s="19"/>
      <c r="K105" s="35"/>
      <c r="M105" s="35"/>
      <c r="N105" s="35"/>
      <c r="O105" s="35"/>
      <c r="P105" s="35"/>
    </row>
    <row r="106" spans="2:16">
      <c r="B106" s="28"/>
      <c r="C106" s="196"/>
      <c r="D106" s="47"/>
      <c r="E106" s="28"/>
      <c r="F106" s="215"/>
      <c r="G106" s="215"/>
      <c r="H106" s="2"/>
      <c r="I106" s="19"/>
      <c r="K106" s="35"/>
      <c r="M106" s="35"/>
      <c r="N106" s="35"/>
      <c r="O106" s="35"/>
      <c r="P106" s="35"/>
    </row>
    <row r="107" spans="2:16">
      <c r="B107" s="28"/>
      <c r="C107" s="196"/>
      <c r="D107" s="47"/>
      <c r="E107" s="28"/>
      <c r="F107" s="215"/>
      <c r="G107" s="215"/>
      <c r="H107" s="2"/>
      <c r="I107" s="19"/>
      <c r="K107" s="35"/>
      <c r="M107" s="35"/>
      <c r="N107" s="35"/>
      <c r="O107" s="35"/>
      <c r="P107" s="35"/>
    </row>
    <row r="108" spans="2:16">
      <c r="B108" s="28"/>
      <c r="C108" s="196"/>
      <c r="D108" s="47"/>
      <c r="E108" s="28"/>
      <c r="F108" s="215"/>
      <c r="G108" s="215"/>
      <c r="H108" s="2"/>
      <c r="I108" s="19"/>
      <c r="K108" s="35"/>
      <c r="M108" s="35"/>
      <c r="N108" s="35"/>
      <c r="O108" s="35"/>
      <c r="P108" s="35"/>
    </row>
    <row r="109" spans="2:16">
      <c r="B109" s="28"/>
      <c r="C109" s="196"/>
      <c r="D109" s="47"/>
      <c r="E109" s="28"/>
      <c r="F109" s="215"/>
      <c r="G109" s="215"/>
      <c r="H109" s="2"/>
      <c r="I109" s="19"/>
      <c r="K109" s="35"/>
      <c r="M109" s="35"/>
      <c r="N109" s="35"/>
      <c r="O109" s="35"/>
      <c r="P109" s="35"/>
    </row>
    <row r="110" spans="2:16">
      <c r="B110" s="28"/>
      <c r="C110" s="196"/>
      <c r="D110" s="47"/>
      <c r="E110" s="28"/>
      <c r="F110" s="215"/>
      <c r="G110" s="215"/>
      <c r="H110" s="2"/>
      <c r="I110" s="19"/>
      <c r="K110" s="35"/>
      <c r="M110" s="35"/>
      <c r="N110" s="35"/>
      <c r="O110" s="35"/>
      <c r="P110" s="35"/>
    </row>
    <row r="111" spans="2:16">
      <c r="B111" s="28"/>
      <c r="C111" s="196"/>
      <c r="D111" s="47"/>
      <c r="E111" s="28"/>
      <c r="F111" s="215"/>
      <c r="G111" s="215"/>
      <c r="H111" s="2"/>
      <c r="I111" s="19"/>
      <c r="K111" s="35"/>
      <c r="M111" s="35"/>
      <c r="N111" s="35"/>
      <c r="O111" s="35"/>
      <c r="P111" s="35"/>
    </row>
    <row r="112" spans="2:16">
      <c r="B112" s="28"/>
      <c r="C112" s="196"/>
      <c r="D112" s="47"/>
      <c r="E112" s="28"/>
      <c r="F112" s="215"/>
      <c r="G112" s="215"/>
      <c r="H112" s="2"/>
      <c r="I112" s="19"/>
      <c r="K112" s="35"/>
      <c r="M112" s="35"/>
      <c r="N112" s="35"/>
      <c r="O112" s="35"/>
      <c r="P112" s="35"/>
    </row>
    <row r="113" spans="2:16">
      <c r="B113" s="28"/>
      <c r="C113" s="196"/>
      <c r="D113" s="47"/>
      <c r="E113" s="28"/>
      <c r="F113" s="215"/>
      <c r="G113" s="215"/>
      <c r="H113" s="2"/>
      <c r="I113" s="19"/>
      <c r="K113" s="35"/>
      <c r="M113" s="35"/>
      <c r="N113" s="35"/>
      <c r="O113" s="35"/>
      <c r="P113" s="35"/>
    </row>
    <row r="114" spans="2:16">
      <c r="B114" s="28"/>
      <c r="C114" s="196"/>
      <c r="D114" s="47"/>
      <c r="E114" s="28"/>
      <c r="F114" s="215"/>
      <c r="G114" s="215"/>
      <c r="H114" s="2"/>
      <c r="I114" s="19"/>
      <c r="K114" s="35"/>
      <c r="M114" s="35"/>
      <c r="N114" s="35"/>
      <c r="O114" s="35"/>
      <c r="P114" s="35"/>
    </row>
    <row r="115" spans="2:16">
      <c r="B115" s="28"/>
      <c r="C115" s="196"/>
      <c r="D115" s="47"/>
      <c r="E115" s="28"/>
      <c r="F115" s="215"/>
      <c r="G115" s="215"/>
      <c r="H115" s="2"/>
      <c r="I115" s="19"/>
      <c r="K115" s="35"/>
      <c r="M115" s="35"/>
      <c r="N115" s="35"/>
      <c r="O115" s="35"/>
      <c r="P115" s="35"/>
    </row>
    <row r="116" spans="2:16">
      <c r="B116" s="28"/>
      <c r="C116" s="196"/>
      <c r="D116" s="47"/>
      <c r="E116" s="28"/>
      <c r="F116" s="215"/>
      <c r="G116" s="215"/>
      <c r="H116" s="2"/>
      <c r="I116" s="19"/>
      <c r="K116" s="35"/>
      <c r="M116" s="35"/>
      <c r="N116" s="35"/>
      <c r="O116" s="35"/>
      <c r="P116" s="35"/>
    </row>
    <row r="117" spans="2:16">
      <c r="B117" s="28"/>
      <c r="C117" s="196"/>
      <c r="D117" s="47"/>
      <c r="E117" s="28"/>
      <c r="F117" s="215"/>
      <c r="G117" s="215"/>
      <c r="H117" s="2"/>
      <c r="I117" s="19"/>
      <c r="K117" s="35"/>
      <c r="M117" s="35"/>
      <c r="N117" s="35"/>
      <c r="O117" s="35"/>
      <c r="P117" s="35"/>
    </row>
    <row r="118" spans="2:16">
      <c r="B118" s="28"/>
      <c r="C118" s="196"/>
      <c r="D118" s="47"/>
      <c r="E118" s="28"/>
      <c r="F118" s="215"/>
      <c r="G118" s="215"/>
      <c r="H118" s="2"/>
      <c r="I118" s="19"/>
      <c r="K118" s="35"/>
      <c r="M118" s="35"/>
      <c r="N118" s="35"/>
      <c r="O118" s="35"/>
      <c r="P118" s="35"/>
    </row>
    <row r="119" spans="2:16">
      <c r="B119" s="28"/>
      <c r="C119" s="196"/>
      <c r="D119" s="47"/>
      <c r="E119" s="28"/>
      <c r="F119" s="215"/>
      <c r="G119" s="215"/>
      <c r="H119" s="2"/>
      <c r="I119" s="19"/>
      <c r="K119" s="35"/>
      <c r="M119" s="35"/>
      <c r="N119" s="35"/>
      <c r="O119" s="35"/>
      <c r="P119" s="35"/>
    </row>
    <row r="120" spans="2:16">
      <c r="B120" s="28"/>
      <c r="C120" s="196"/>
      <c r="D120" s="47"/>
      <c r="E120" s="28"/>
      <c r="F120" s="215"/>
      <c r="G120" s="215"/>
      <c r="H120" s="2"/>
      <c r="I120" s="19"/>
      <c r="K120" s="35"/>
      <c r="M120" s="35"/>
      <c r="N120" s="35"/>
      <c r="O120" s="35"/>
      <c r="P120" s="35"/>
    </row>
    <row r="121" spans="2:16">
      <c r="B121" s="28"/>
      <c r="C121" s="196"/>
      <c r="D121" s="47"/>
      <c r="E121" s="28"/>
      <c r="F121" s="215"/>
      <c r="G121" s="215"/>
      <c r="H121" s="2"/>
      <c r="I121" s="19"/>
      <c r="K121" s="35"/>
      <c r="M121" s="35"/>
      <c r="N121" s="35"/>
      <c r="O121" s="35"/>
      <c r="P121" s="35"/>
    </row>
    <row r="122" spans="2:16">
      <c r="B122" s="28"/>
      <c r="C122" s="196"/>
      <c r="D122" s="47"/>
      <c r="E122" s="28"/>
      <c r="F122" s="215"/>
      <c r="G122" s="215"/>
      <c r="H122" s="2"/>
      <c r="I122" s="19"/>
      <c r="K122" s="35"/>
      <c r="M122" s="35"/>
      <c r="N122" s="35"/>
      <c r="O122" s="35"/>
      <c r="P122" s="35"/>
    </row>
    <row r="123" spans="2:16">
      <c r="B123" s="28"/>
      <c r="C123" s="196"/>
      <c r="D123" s="47"/>
      <c r="E123" s="28"/>
      <c r="F123" s="215"/>
      <c r="G123" s="215"/>
      <c r="H123" s="2"/>
      <c r="I123" s="19"/>
      <c r="K123" s="35"/>
      <c r="M123" s="35"/>
      <c r="N123" s="35"/>
      <c r="O123" s="35"/>
      <c r="P123" s="35"/>
    </row>
    <row r="124" spans="2:16">
      <c r="B124" s="28"/>
      <c r="C124" s="196"/>
      <c r="D124" s="47"/>
      <c r="E124" s="28"/>
      <c r="F124" s="215"/>
      <c r="G124" s="215"/>
      <c r="H124" s="2"/>
      <c r="I124" s="19"/>
      <c r="K124" s="35"/>
      <c r="M124" s="35"/>
      <c r="N124" s="35"/>
      <c r="O124" s="35"/>
      <c r="P124" s="35"/>
    </row>
    <row r="125" spans="2:16">
      <c r="B125" s="28"/>
      <c r="C125" s="196"/>
      <c r="D125" s="47"/>
      <c r="E125" s="28"/>
      <c r="F125" s="215"/>
      <c r="G125" s="215"/>
      <c r="H125" s="2"/>
      <c r="I125" s="19"/>
      <c r="K125" s="35"/>
      <c r="M125" s="35"/>
      <c r="N125" s="35"/>
      <c r="O125" s="35"/>
      <c r="P125" s="35"/>
    </row>
    <row r="126" spans="2:16">
      <c r="B126" s="28"/>
      <c r="C126" s="196"/>
      <c r="D126" s="47"/>
      <c r="E126" s="28"/>
      <c r="F126" s="215"/>
      <c r="G126" s="215"/>
      <c r="H126" s="2"/>
      <c r="I126" s="19"/>
      <c r="K126" s="35"/>
      <c r="M126" s="35"/>
      <c r="N126" s="35"/>
      <c r="O126" s="35"/>
      <c r="P126" s="35"/>
    </row>
    <row r="127" spans="2:16">
      <c r="B127" s="28"/>
      <c r="C127" s="196"/>
      <c r="D127" s="47"/>
      <c r="E127" s="28"/>
      <c r="F127" s="215"/>
      <c r="G127" s="215"/>
      <c r="H127" s="2"/>
      <c r="I127" s="19"/>
      <c r="K127" s="35"/>
      <c r="M127" s="35"/>
      <c r="N127" s="35"/>
      <c r="O127" s="35"/>
      <c r="P127" s="35"/>
    </row>
    <row r="128" spans="2:16">
      <c r="B128" s="28"/>
      <c r="C128" s="196"/>
      <c r="D128" s="47"/>
      <c r="E128" s="28"/>
      <c r="F128" s="215"/>
      <c r="G128" s="215"/>
      <c r="H128" s="2"/>
      <c r="I128" s="19"/>
      <c r="K128" s="35"/>
      <c r="M128" s="35"/>
      <c r="N128" s="35"/>
      <c r="O128" s="35"/>
      <c r="P128" s="35"/>
    </row>
    <row r="129" spans="2:16">
      <c r="B129" s="28"/>
      <c r="C129" s="196"/>
      <c r="D129" s="47"/>
      <c r="E129" s="28"/>
      <c r="F129" s="215"/>
      <c r="G129" s="215"/>
      <c r="H129" s="2"/>
      <c r="I129" s="19"/>
      <c r="K129" s="35"/>
      <c r="M129" s="35"/>
      <c r="N129" s="35"/>
      <c r="O129" s="35"/>
      <c r="P129" s="35"/>
    </row>
    <row r="130" spans="2:16">
      <c r="B130" s="28"/>
      <c r="C130" s="196"/>
      <c r="D130" s="47"/>
      <c r="E130" s="28"/>
      <c r="F130" s="215"/>
      <c r="G130" s="215"/>
      <c r="H130" s="2"/>
      <c r="I130" s="19"/>
      <c r="K130" s="35"/>
      <c r="M130" s="35"/>
      <c r="N130" s="35"/>
      <c r="O130" s="35"/>
      <c r="P130" s="35"/>
    </row>
    <row r="131" spans="2:16">
      <c r="B131" s="28"/>
      <c r="C131" s="196"/>
      <c r="D131" s="47"/>
      <c r="E131" s="28"/>
      <c r="F131" s="215"/>
      <c r="G131" s="215"/>
      <c r="H131" s="2"/>
      <c r="I131" s="19"/>
      <c r="K131" s="35"/>
      <c r="M131" s="35"/>
      <c r="N131" s="35"/>
      <c r="O131" s="35"/>
      <c r="P131" s="35"/>
    </row>
    <row r="132" spans="2:16">
      <c r="B132" s="28"/>
      <c r="C132" s="196"/>
      <c r="D132" s="47"/>
      <c r="E132" s="28"/>
      <c r="F132" s="215"/>
      <c r="G132" s="215"/>
      <c r="H132" s="2"/>
      <c r="I132" s="19"/>
      <c r="K132" s="35"/>
      <c r="M132" s="35"/>
      <c r="N132" s="35"/>
      <c r="O132" s="35"/>
      <c r="P132" s="35"/>
    </row>
    <row r="133" spans="2:16">
      <c r="B133" s="28"/>
      <c r="C133" s="196"/>
      <c r="D133" s="47"/>
      <c r="E133" s="28"/>
      <c r="F133" s="215"/>
      <c r="G133" s="215"/>
      <c r="H133" s="2"/>
      <c r="I133" s="19"/>
      <c r="K133" s="35"/>
      <c r="M133" s="35"/>
      <c r="N133" s="35"/>
      <c r="O133" s="35"/>
      <c r="P133" s="35"/>
    </row>
    <row r="134" spans="2:16">
      <c r="B134" s="28"/>
      <c r="C134" s="196"/>
      <c r="D134" s="47"/>
      <c r="E134" s="28"/>
      <c r="F134" s="215"/>
      <c r="G134" s="215"/>
      <c r="H134" s="2"/>
      <c r="I134" s="19"/>
      <c r="K134" s="35"/>
      <c r="M134" s="35"/>
      <c r="N134" s="35"/>
      <c r="O134" s="35"/>
      <c r="P134" s="35"/>
    </row>
    <row r="135" spans="2:16">
      <c r="B135" s="28"/>
      <c r="C135" s="196"/>
      <c r="D135" s="47"/>
      <c r="E135" s="28"/>
      <c r="F135" s="215"/>
      <c r="G135" s="215"/>
      <c r="H135" s="2"/>
      <c r="I135" s="19"/>
      <c r="K135" s="35"/>
      <c r="M135" s="35"/>
      <c r="N135" s="35"/>
      <c r="O135" s="35"/>
      <c r="P135" s="35"/>
    </row>
    <row r="136" spans="2:16">
      <c r="B136" s="28"/>
      <c r="C136" s="196"/>
      <c r="D136" s="47"/>
      <c r="E136" s="28"/>
      <c r="F136" s="215"/>
      <c r="G136" s="215"/>
      <c r="H136" s="2"/>
      <c r="I136" s="19"/>
      <c r="K136" s="35"/>
      <c r="M136" s="35"/>
      <c r="N136" s="35"/>
      <c r="O136" s="35"/>
      <c r="P136" s="35"/>
    </row>
    <row r="137" spans="2:16">
      <c r="B137" s="28"/>
      <c r="C137" s="196"/>
      <c r="D137" s="47"/>
      <c r="E137" s="28"/>
      <c r="F137" s="215"/>
      <c r="G137" s="215"/>
      <c r="H137" s="2"/>
      <c r="I137" s="19"/>
      <c r="K137" s="35"/>
      <c r="M137" s="35"/>
      <c r="N137" s="35"/>
      <c r="O137" s="35"/>
      <c r="P137" s="35"/>
    </row>
    <row r="138" spans="2:16">
      <c r="B138" s="28"/>
      <c r="C138" s="196"/>
      <c r="D138" s="47"/>
      <c r="E138" s="28"/>
      <c r="F138" s="215"/>
      <c r="G138" s="215"/>
      <c r="H138" s="2"/>
      <c r="I138" s="19"/>
      <c r="K138" s="35"/>
      <c r="M138" s="35"/>
      <c r="N138" s="35"/>
      <c r="O138" s="35"/>
      <c r="P138" s="35"/>
    </row>
    <row r="139" spans="2:16">
      <c r="B139" s="28"/>
      <c r="C139" s="196"/>
      <c r="D139" s="47"/>
      <c r="E139" s="28"/>
      <c r="F139" s="215"/>
      <c r="G139" s="215"/>
      <c r="H139" s="2"/>
      <c r="I139" s="19"/>
      <c r="K139" s="35"/>
      <c r="M139" s="35"/>
      <c r="N139" s="35"/>
      <c r="O139" s="35"/>
      <c r="P139" s="35"/>
    </row>
    <row r="140" spans="2:16">
      <c r="B140" s="28"/>
      <c r="C140" s="196"/>
      <c r="D140" s="47"/>
      <c r="E140" s="28"/>
      <c r="F140" s="215"/>
      <c r="G140" s="215"/>
      <c r="H140" s="2"/>
      <c r="I140" s="19"/>
      <c r="K140" s="35"/>
      <c r="M140" s="35"/>
      <c r="N140" s="35"/>
      <c r="O140" s="35"/>
      <c r="P140" s="35"/>
    </row>
    <row r="141" spans="2:16">
      <c r="B141" s="28"/>
      <c r="C141" s="196"/>
      <c r="D141" s="47"/>
      <c r="E141" s="28"/>
      <c r="F141" s="215"/>
      <c r="G141" s="215"/>
      <c r="H141" s="2"/>
      <c r="I141" s="19"/>
      <c r="K141" s="35"/>
      <c r="M141" s="35"/>
      <c r="N141" s="35"/>
      <c r="O141" s="35"/>
      <c r="P141" s="35"/>
    </row>
    <row r="142" spans="2:16">
      <c r="B142" s="28"/>
      <c r="C142" s="196"/>
      <c r="D142" s="47"/>
      <c r="E142" s="28"/>
      <c r="F142" s="215"/>
      <c r="G142" s="215"/>
      <c r="H142" s="2"/>
      <c r="I142" s="19"/>
      <c r="K142" s="35"/>
      <c r="M142" s="35"/>
      <c r="N142" s="35"/>
      <c r="O142" s="35"/>
      <c r="P142" s="35"/>
    </row>
    <row r="143" spans="2:16">
      <c r="B143" s="28"/>
      <c r="C143" s="196"/>
      <c r="D143" s="47"/>
      <c r="E143" s="28"/>
      <c r="F143" s="215"/>
      <c r="G143" s="215"/>
      <c r="H143" s="2"/>
      <c r="I143" s="19"/>
      <c r="K143" s="35"/>
      <c r="M143" s="35"/>
      <c r="N143" s="35"/>
      <c r="O143" s="35"/>
      <c r="P143" s="35"/>
    </row>
    <row r="144" spans="2:16">
      <c r="B144" s="28"/>
      <c r="C144" s="196"/>
      <c r="D144" s="47"/>
      <c r="E144" s="28"/>
      <c r="F144" s="215"/>
      <c r="G144" s="215"/>
      <c r="H144" s="2"/>
      <c r="I144" s="19"/>
      <c r="K144" s="35"/>
      <c r="M144" s="35"/>
      <c r="N144" s="35"/>
      <c r="O144" s="35"/>
      <c r="P144" s="35"/>
    </row>
    <row r="145" spans="2:16">
      <c r="B145" s="28"/>
      <c r="C145" s="196"/>
      <c r="D145" s="47"/>
      <c r="E145" s="28"/>
      <c r="F145" s="215"/>
      <c r="G145" s="215"/>
      <c r="H145" s="2"/>
      <c r="I145" s="19"/>
      <c r="K145" s="35"/>
      <c r="M145" s="35"/>
      <c r="N145" s="35"/>
      <c r="O145" s="35"/>
      <c r="P145" s="35"/>
    </row>
    <row r="146" spans="2:16">
      <c r="B146" s="28"/>
      <c r="C146" s="196"/>
      <c r="D146" s="47"/>
      <c r="E146" s="28"/>
      <c r="F146" s="215"/>
      <c r="G146" s="215"/>
      <c r="H146" s="2"/>
      <c r="I146" s="19"/>
      <c r="K146" s="35"/>
      <c r="M146" s="35"/>
      <c r="N146" s="35"/>
      <c r="O146" s="35"/>
      <c r="P146" s="35"/>
    </row>
    <row r="147" spans="2:16">
      <c r="B147" s="28"/>
      <c r="C147" s="196"/>
      <c r="D147" s="47"/>
      <c r="E147" s="28"/>
      <c r="F147" s="215"/>
      <c r="G147" s="215"/>
      <c r="H147" s="2"/>
      <c r="I147" s="19"/>
      <c r="K147" s="35"/>
      <c r="M147" s="35"/>
      <c r="N147" s="35"/>
      <c r="O147" s="35"/>
      <c r="P147" s="35"/>
    </row>
    <row r="148" spans="2:16">
      <c r="B148" s="28"/>
      <c r="C148" s="196"/>
      <c r="D148" s="47"/>
      <c r="E148" s="28"/>
      <c r="F148" s="215"/>
      <c r="G148" s="215"/>
      <c r="H148" s="2"/>
      <c r="I148" s="19"/>
      <c r="K148" s="35"/>
      <c r="M148" s="35"/>
      <c r="N148" s="35"/>
      <c r="O148" s="35"/>
      <c r="P148" s="35"/>
    </row>
    <row r="149" spans="2:16">
      <c r="B149" s="28"/>
      <c r="C149" s="196"/>
      <c r="D149" s="47"/>
      <c r="E149" s="28"/>
      <c r="F149" s="215"/>
      <c r="G149" s="215"/>
      <c r="H149" s="2"/>
      <c r="I149" s="19"/>
      <c r="K149" s="35"/>
      <c r="M149" s="35"/>
      <c r="N149" s="35"/>
      <c r="O149" s="35"/>
      <c r="P149" s="35"/>
    </row>
    <row r="150" spans="2:16">
      <c r="B150" s="28"/>
      <c r="C150" s="196"/>
      <c r="D150" s="47"/>
      <c r="E150" s="28"/>
      <c r="F150" s="215"/>
      <c r="G150" s="215"/>
      <c r="H150" s="2"/>
      <c r="I150" s="19"/>
      <c r="K150" s="35"/>
      <c r="M150" s="35"/>
      <c r="N150" s="35"/>
      <c r="O150" s="35"/>
      <c r="P150" s="35"/>
    </row>
    <row r="151" spans="2:16">
      <c r="B151" s="28"/>
      <c r="C151" s="196"/>
      <c r="D151" s="47"/>
      <c r="E151" s="28"/>
      <c r="F151" s="215"/>
      <c r="G151" s="215"/>
      <c r="H151" s="2"/>
      <c r="I151" s="19"/>
      <c r="K151" s="35"/>
      <c r="M151" s="35"/>
      <c r="N151" s="35"/>
      <c r="O151" s="35"/>
      <c r="P151" s="35"/>
    </row>
    <row r="152" spans="2:16">
      <c r="B152" s="28"/>
      <c r="C152" s="196"/>
      <c r="D152" s="47"/>
      <c r="E152" s="28"/>
      <c r="F152" s="215"/>
      <c r="G152" s="215"/>
      <c r="H152" s="2"/>
      <c r="I152" s="19"/>
      <c r="K152" s="35"/>
      <c r="M152" s="35"/>
      <c r="N152" s="35"/>
      <c r="O152" s="35"/>
      <c r="P152" s="35"/>
    </row>
    <row r="153" spans="2:16">
      <c r="B153" s="28"/>
      <c r="C153" s="196"/>
      <c r="D153" s="47"/>
      <c r="E153" s="28"/>
      <c r="F153" s="215"/>
      <c r="G153" s="215"/>
      <c r="H153" s="2"/>
      <c r="I153" s="19"/>
      <c r="K153" s="35"/>
      <c r="M153" s="35"/>
      <c r="N153" s="35"/>
      <c r="O153" s="35"/>
      <c r="P153" s="35"/>
    </row>
    <row r="154" spans="2:16">
      <c r="B154" s="28"/>
      <c r="C154" s="196"/>
      <c r="D154" s="47"/>
      <c r="E154" s="28"/>
      <c r="F154" s="215"/>
      <c r="G154" s="215"/>
      <c r="H154" s="2"/>
      <c r="I154" s="19"/>
      <c r="K154" s="35"/>
      <c r="M154" s="35"/>
      <c r="N154" s="35"/>
      <c r="O154" s="35"/>
      <c r="P154" s="35"/>
    </row>
    <row r="155" spans="2:16">
      <c r="B155" s="28"/>
      <c r="C155" s="196"/>
      <c r="D155" s="47"/>
      <c r="E155" s="28"/>
      <c r="F155" s="215"/>
      <c r="G155" s="215"/>
      <c r="H155" s="2"/>
      <c r="I155" s="19"/>
      <c r="K155" s="35"/>
      <c r="M155" s="35"/>
      <c r="N155" s="35"/>
      <c r="O155" s="35"/>
      <c r="P155" s="35"/>
    </row>
    <row r="156" spans="2:16">
      <c r="B156" s="28"/>
      <c r="C156" s="196"/>
      <c r="D156" s="47"/>
      <c r="E156" s="28"/>
      <c r="F156" s="215"/>
      <c r="G156" s="215"/>
      <c r="H156" s="2"/>
      <c r="I156" s="19"/>
      <c r="K156" s="35"/>
      <c r="M156" s="35"/>
      <c r="N156" s="35"/>
      <c r="O156" s="35"/>
      <c r="P156" s="35"/>
    </row>
    <row r="157" spans="2:16">
      <c r="B157" s="28"/>
      <c r="C157" s="196"/>
      <c r="D157" s="47"/>
      <c r="E157" s="28"/>
      <c r="F157" s="215"/>
      <c r="G157" s="215"/>
      <c r="H157" s="2"/>
      <c r="I157" s="19"/>
      <c r="K157" s="35"/>
      <c r="M157" s="35"/>
      <c r="N157" s="35"/>
      <c r="O157" s="35"/>
      <c r="P157" s="35"/>
    </row>
    <row r="158" spans="2:16">
      <c r="B158" s="28"/>
      <c r="C158" s="196"/>
      <c r="D158" s="47"/>
      <c r="E158" s="28"/>
      <c r="F158" s="215"/>
      <c r="G158" s="215"/>
      <c r="H158" s="2"/>
      <c r="I158" s="19"/>
      <c r="K158" s="35"/>
      <c r="M158" s="35"/>
      <c r="N158" s="35"/>
      <c r="O158" s="35"/>
      <c r="P158" s="35"/>
    </row>
    <row r="159" spans="2:16">
      <c r="B159" s="28"/>
      <c r="C159" s="196"/>
      <c r="D159" s="47"/>
      <c r="E159" s="28"/>
      <c r="F159" s="215"/>
      <c r="G159" s="215"/>
      <c r="H159" s="2"/>
      <c r="I159" s="19"/>
      <c r="K159" s="35"/>
      <c r="M159" s="35"/>
      <c r="N159" s="35"/>
      <c r="O159" s="35"/>
      <c r="P159" s="35"/>
    </row>
    <row r="160" spans="2:16">
      <c r="B160" s="28"/>
      <c r="C160" s="196"/>
      <c r="D160" s="47"/>
      <c r="E160" s="28"/>
      <c r="F160" s="215"/>
      <c r="G160" s="215"/>
      <c r="H160" s="2"/>
      <c r="I160" s="19"/>
      <c r="K160" s="35"/>
      <c r="M160" s="35"/>
      <c r="N160" s="35"/>
      <c r="O160" s="35"/>
      <c r="P160" s="35"/>
    </row>
    <row r="161" spans="2:16">
      <c r="B161" s="28"/>
      <c r="C161" s="196"/>
      <c r="D161" s="47"/>
      <c r="E161" s="28"/>
      <c r="F161" s="215"/>
      <c r="G161" s="215"/>
      <c r="H161" s="2"/>
      <c r="I161" s="19"/>
      <c r="K161" s="35"/>
      <c r="M161" s="35"/>
      <c r="N161" s="35"/>
      <c r="O161" s="35"/>
      <c r="P161" s="35"/>
    </row>
    <row r="162" spans="2:16">
      <c r="B162" s="28"/>
      <c r="C162" s="196"/>
      <c r="D162" s="47"/>
      <c r="E162" s="28"/>
      <c r="F162" s="215"/>
      <c r="G162" s="215"/>
      <c r="H162" s="2"/>
      <c r="I162" s="19"/>
      <c r="K162" s="35"/>
      <c r="M162" s="35"/>
      <c r="N162" s="35"/>
      <c r="O162" s="35"/>
      <c r="P162" s="35"/>
    </row>
    <row r="163" spans="2:16">
      <c r="B163" s="28"/>
      <c r="C163" s="196"/>
      <c r="D163" s="47"/>
      <c r="E163" s="28"/>
      <c r="F163" s="215"/>
      <c r="G163" s="215"/>
      <c r="H163" s="2"/>
      <c r="I163" s="19"/>
      <c r="K163" s="35"/>
      <c r="M163" s="35"/>
      <c r="N163" s="35"/>
      <c r="O163" s="35"/>
      <c r="P163" s="35"/>
    </row>
    <row r="164" spans="2:16">
      <c r="B164" s="28"/>
      <c r="C164" s="196"/>
      <c r="D164" s="47"/>
      <c r="E164" s="28"/>
      <c r="F164" s="215"/>
      <c r="G164" s="215"/>
      <c r="H164" s="2"/>
      <c r="I164" s="19"/>
      <c r="K164" s="35"/>
      <c r="M164" s="35"/>
      <c r="N164" s="35"/>
      <c r="O164" s="35"/>
      <c r="P164" s="35"/>
    </row>
    <row r="165" spans="2:16">
      <c r="B165" s="28"/>
      <c r="C165" s="196"/>
      <c r="D165" s="47"/>
      <c r="E165" s="28"/>
      <c r="F165" s="215"/>
      <c r="G165" s="215"/>
      <c r="H165" s="2"/>
      <c r="I165" s="19"/>
      <c r="K165" s="35"/>
      <c r="M165" s="35"/>
      <c r="N165" s="35"/>
      <c r="O165" s="35"/>
      <c r="P165" s="35"/>
    </row>
    <row r="166" spans="2:16">
      <c r="B166" s="28"/>
      <c r="C166" s="196"/>
      <c r="D166" s="47"/>
      <c r="E166" s="28"/>
      <c r="F166" s="215"/>
      <c r="G166" s="215"/>
      <c r="H166" s="2"/>
      <c r="I166" s="19"/>
      <c r="K166" s="35"/>
      <c r="M166" s="35"/>
      <c r="N166" s="35"/>
      <c r="O166" s="35"/>
      <c r="P166" s="35"/>
    </row>
    <row r="167" spans="2:16">
      <c r="B167" s="28"/>
      <c r="C167" s="196"/>
      <c r="D167" s="47"/>
      <c r="E167" s="28"/>
      <c r="F167" s="215"/>
      <c r="G167" s="215"/>
      <c r="H167" s="2"/>
      <c r="I167" s="19"/>
      <c r="K167" s="35"/>
      <c r="M167" s="35"/>
      <c r="N167" s="35"/>
      <c r="O167" s="35"/>
      <c r="P167" s="35"/>
    </row>
    <row r="168" spans="2:16">
      <c r="B168" s="28"/>
      <c r="C168" s="196"/>
      <c r="D168" s="47"/>
      <c r="E168" s="28"/>
      <c r="F168" s="215"/>
      <c r="G168" s="215"/>
      <c r="H168" s="2"/>
      <c r="I168" s="19"/>
      <c r="K168" s="35"/>
      <c r="M168" s="35"/>
      <c r="N168" s="35"/>
      <c r="O168" s="35"/>
      <c r="P168" s="35"/>
    </row>
    <row r="169" spans="2:16">
      <c r="B169" s="28"/>
      <c r="C169" s="196"/>
      <c r="D169" s="47"/>
      <c r="E169" s="28"/>
      <c r="F169" s="215"/>
      <c r="G169" s="215"/>
      <c r="H169" s="2"/>
      <c r="I169" s="19"/>
      <c r="K169" s="35"/>
      <c r="M169" s="35"/>
      <c r="N169" s="35"/>
      <c r="O169" s="35"/>
      <c r="P169" s="35"/>
    </row>
    <row r="170" spans="2:16">
      <c r="B170" s="28"/>
      <c r="C170" s="196"/>
      <c r="D170" s="47"/>
      <c r="E170" s="28"/>
      <c r="F170" s="215"/>
      <c r="G170" s="215"/>
      <c r="H170" s="2"/>
      <c r="I170" s="19"/>
      <c r="K170" s="35"/>
      <c r="M170" s="35"/>
      <c r="N170" s="35"/>
      <c r="O170" s="35"/>
      <c r="P170" s="35"/>
    </row>
    <row r="171" spans="2:16">
      <c r="B171" s="28"/>
      <c r="C171" s="196"/>
      <c r="D171" s="47"/>
      <c r="E171" s="28"/>
      <c r="F171" s="215"/>
      <c r="G171" s="215"/>
      <c r="H171" s="2"/>
      <c r="I171" s="19"/>
      <c r="K171" s="35"/>
      <c r="M171" s="35"/>
      <c r="N171" s="35"/>
      <c r="O171" s="35"/>
      <c r="P171" s="35"/>
    </row>
    <row r="172" spans="2:16">
      <c r="B172" s="28"/>
      <c r="C172" s="196"/>
      <c r="D172" s="47"/>
      <c r="E172" s="28"/>
      <c r="F172" s="215"/>
      <c r="G172" s="215"/>
      <c r="H172" s="2"/>
      <c r="I172" s="19"/>
      <c r="K172" s="35"/>
      <c r="M172" s="35"/>
      <c r="N172" s="35"/>
      <c r="O172" s="35"/>
      <c r="P172" s="35"/>
    </row>
    <row r="173" spans="2:16">
      <c r="B173" s="28"/>
      <c r="C173" s="196"/>
      <c r="D173" s="47"/>
      <c r="E173" s="28"/>
      <c r="F173" s="215"/>
      <c r="G173" s="215"/>
      <c r="H173" s="2"/>
      <c r="I173" s="19"/>
      <c r="K173" s="35"/>
      <c r="M173" s="35"/>
      <c r="N173" s="35"/>
      <c r="O173" s="35"/>
      <c r="P173" s="35"/>
    </row>
    <row r="174" spans="2:16">
      <c r="B174" s="28"/>
      <c r="C174" s="196"/>
      <c r="D174" s="47"/>
      <c r="E174" s="28"/>
      <c r="F174" s="215"/>
      <c r="G174" s="215"/>
      <c r="H174" s="2"/>
      <c r="I174" s="19"/>
      <c r="K174" s="35"/>
      <c r="M174" s="35"/>
      <c r="N174" s="35"/>
      <c r="O174" s="35"/>
      <c r="P174" s="35"/>
    </row>
    <row r="175" spans="2:16">
      <c r="B175" s="28"/>
      <c r="C175" s="196"/>
      <c r="D175" s="47"/>
      <c r="E175" s="28"/>
      <c r="F175" s="215"/>
      <c r="G175" s="215"/>
      <c r="H175" s="2"/>
      <c r="I175" s="19"/>
      <c r="K175" s="35"/>
      <c r="M175" s="35"/>
      <c r="N175" s="35"/>
      <c r="O175" s="35"/>
      <c r="P175" s="35"/>
    </row>
    <row r="176" spans="2:16">
      <c r="B176" s="28"/>
      <c r="C176" s="196"/>
      <c r="D176" s="47"/>
      <c r="E176" s="28"/>
      <c r="F176" s="215"/>
      <c r="G176" s="215"/>
      <c r="H176" s="2"/>
      <c r="I176" s="19"/>
      <c r="K176" s="35"/>
      <c r="M176" s="35"/>
      <c r="N176" s="35"/>
      <c r="O176" s="35"/>
      <c r="P176" s="35"/>
    </row>
    <row r="177" spans="2:16">
      <c r="B177" s="28"/>
      <c r="C177" s="196"/>
      <c r="D177" s="47"/>
      <c r="E177" s="28"/>
      <c r="F177" s="215"/>
      <c r="G177" s="215"/>
      <c r="H177" s="2"/>
      <c r="I177" s="19"/>
      <c r="K177" s="35"/>
      <c r="M177" s="35"/>
      <c r="N177" s="35"/>
      <c r="O177" s="35"/>
      <c r="P177" s="35"/>
    </row>
    <row r="178" spans="2:16">
      <c r="B178" s="28"/>
      <c r="C178" s="196"/>
      <c r="D178" s="47"/>
      <c r="E178" s="28"/>
      <c r="F178" s="215"/>
      <c r="G178" s="215"/>
      <c r="H178" s="2"/>
      <c r="I178" s="19"/>
      <c r="K178" s="35"/>
      <c r="M178" s="35"/>
      <c r="N178" s="35"/>
      <c r="O178" s="35"/>
      <c r="P178" s="35"/>
    </row>
    <row r="179" spans="2:16">
      <c r="B179" s="28"/>
      <c r="C179" s="196"/>
      <c r="D179" s="47"/>
      <c r="E179" s="28"/>
      <c r="F179" s="215"/>
      <c r="G179" s="215"/>
      <c r="H179" s="2"/>
      <c r="I179" s="19"/>
      <c r="K179" s="35"/>
      <c r="M179" s="35"/>
      <c r="N179" s="35"/>
      <c r="O179" s="35"/>
      <c r="P179" s="35"/>
    </row>
    <row r="180" spans="2:16">
      <c r="B180" s="28"/>
      <c r="C180" s="196"/>
      <c r="D180" s="47"/>
      <c r="E180" s="28"/>
      <c r="F180" s="215"/>
      <c r="G180" s="215"/>
      <c r="H180" s="2"/>
      <c r="I180" s="19"/>
      <c r="K180" s="35"/>
      <c r="M180" s="35"/>
      <c r="N180" s="35"/>
      <c r="O180" s="35"/>
      <c r="P180" s="35"/>
    </row>
    <row r="181" spans="2:16">
      <c r="B181" s="28"/>
      <c r="C181" s="196"/>
      <c r="D181" s="47"/>
      <c r="E181" s="28"/>
      <c r="F181" s="215"/>
      <c r="G181" s="215"/>
      <c r="H181" s="2"/>
      <c r="I181" s="19"/>
      <c r="K181" s="35"/>
      <c r="M181" s="35"/>
      <c r="N181" s="35"/>
      <c r="O181" s="35"/>
      <c r="P181" s="35"/>
    </row>
    <row r="182" spans="2:16">
      <c r="B182" s="28"/>
      <c r="C182" s="196"/>
      <c r="D182" s="47"/>
      <c r="E182" s="28"/>
      <c r="F182" s="215"/>
      <c r="G182" s="215"/>
      <c r="H182" s="2"/>
      <c r="I182" s="19"/>
      <c r="K182" s="35"/>
      <c r="M182" s="35"/>
      <c r="N182" s="35"/>
      <c r="O182" s="35"/>
      <c r="P182" s="35"/>
    </row>
    <row r="183" spans="2:16">
      <c r="B183" s="28"/>
      <c r="C183" s="196"/>
      <c r="D183" s="47"/>
      <c r="E183" s="28"/>
      <c r="F183" s="215"/>
      <c r="G183" s="215"/>
      <c r="H183" s="2"/>
      <c r="I183" s="19"/>
      <c r="K183" s="35"/>
      <c r="M183" s="35"/>
      <c r="N183" s="35"/>
      <c r="O183" s="35"/>
      <c r="P183" s="35"/>
    </row>
    <row r="184" spans="2:16">
      <c r="B184" s="28"/>
      <c r="C184" s="196"/>
      <c r="D184" s="47"/>
      <c r="E184" s="28"/>
      <c r="F184" s="215"/>
      <c r="G184" s="215"/>
      <c r="H184" s="2"/>
      <c r="I184" s="19"/>
      <c r="K184" s="35"/>
      <c r="M184" s="35"/>
      <c r="N184" s="35"/>
      <c r="O184" s="35"/>
      <c r="P184" s="35"/>
    </row>
    <row r="185" spans="2:16">
      <c r="B185" s="28"/>
      <c r="C185" s="196"/>
      <c r="D185" s="47"/>
      <c r="E185" s="28"/>
      <c r="F185" s="215"/>
      <c r="G185" s="215"/>
      <c r="H185" s="2"/>
      <c r="I185" s="19"/>
      <c r="K185" s="35"/>
      <c r="M185" s="35"/>
      <c r="N185" s="35"/>
      <c r="O185" s="35"/>
      <c r="P185" s="35"/>
    </row>
    <row r="186" spans="2:16">
      <c r="B186" s="28"/>
      <c r="C186" s="196"/>
      <c r="D186" s="47"/>
      <c r="E186" s="28"/>
      <c r="F186" s="215"/>
      <c r="G186" s="215"/>
      <c r="H186" s="2"/>
      <c r="I186" s="19"/>
      <c r="K186" s="35"/>
      <c r="M186" s="35"/>
      <c r="N186" s="35"/>
      <c r="O186" s="35"/>
      <c r="P186" s="35"/>
    </row>
    <row r="187" spans="2:16">
      <c r="B187" s="28"/>
      <c r="C187" s="196"/>
      <c r="D187" s="47"/>
      <c r="E187" s="28"/>
      <c r="F187" s="215"/>
      <c r="G187" s="215"/>
      <c r="H187" s="2"/>
      <c r="I187" s="19"/>
      <c r="K187" s="35"/>
      <c r="M187" s="35"/>
      <c r="N187" s="35"/>
      <c r="O187" s="35"/>
      <c r="P187" s="35"/>
    </row>
    <row r="188" spans="2:16">
      <c r="B188" s="28"/>
      <c r="C188" s="196"/>
      <c r="D188" s="47"/>
      <c r="E188" s="28"/>
      <c r="F188" s="215"/>
      <c r="G188" s="215"/>
      <c r="H188" s="2"/>
      <c r="I188" s="19"/>
      <c r="K188" s="35"/>
      <c r="M188" s="35"/>
      <c r="N188" s="35"/>
      <c r="O188" s="35"/>
      <c r="P188" s="35"/>
    </row>
    <row r="189" spans="2:16">
      <c r="B189" s="28"/>
      <c r="C189" s="196"/>
      <c r="D189" s="47"/>
      <c r="E189" s="28"/>
      <c r="F189" s="215"/>
      <c r="G189" s="215"/>
      <c r="H189" s="2"/>
      <c r="I189" s="19"/>
      <c r="K189" s="35"/>
      <c r="M189" s="35"/>
      <c r="N189" s="35"/>
      <c r="O189" s="35"/>
      <c r="P189" s="35"/>
    </row>
    <row r="190" spans="2:16">
      <c r="B190" s="28"/>
      <c r="C190" s="196"/>
      <c r="D190" s="47"/>
      <c r="E190" s="28"/>
      <c r="F190" s="215"/>
      <c r="G190" s="215"/>
      <c r="H190" s="2"/>
      <c r="I190" s="19"/>
      <c r="K190" s="35"/>
      <c r="M190" s="35"/>
      <c r="N190" s="35"/>
      <c r="O190" s="35"/>
      <c r="P190" s="35"/>
    </row>
    <row r="191" spans="2:16">
      <c r="D191" s="47"/>
      <c r="E191" s="143"/>
      <c r="H191" s="2"/>
      <c r="I191" s="30"/>
    </row>
    <row r="192" spans="2:16">
      <c r="D192" s="47"/>
      <c r="E192" s="143"/>
      <c r="H192" s="2"/>
      <c r="I192" s="30"/>
    </row>
    <row r="193" spans="4:9">
      <c r="D193" s="47"/>
      <c r="E193" s="143"/>
      <c r="H193" s="2"/>
      <c r="I193" s="30"/>
    </row>
    <row r="194" spans="4:9">
      <c r="D194" s="47"/>
      <c r="E194" s="143"/>
      <c r="H194" s="2"/>
      <c r="I194" s="30"/>
    </row>
    <row r="195" spans="4:9">
      <c r="D195" s="47"/>
      <c r="E195" s="143"/>
      <c r="H195" s="2"/>
      <c r="I195" s="30"/>
    </row>
    <row r="196" spans="4:9">
      <c r="D196" s="47"/>
      <c r="E196" s="143"/>
      <c r="H196" s="2"/>
      <c r="I196" s="30"/>
    </row>
    <row r="197" spans="4:9">
      <c r="D197" s="47"/>
      <c r="E197" s="143"/>
      <c r="H197" s="2"/>
      <c r="I197" s="30"/>
    </row>
    <row r="198" spans="4:9">
      <c r="D198" s="47"/>
      <c r="E198" s="143"/>
      <c r="H198" s="2"/>
      <c r="I198" s="30"/>
    </row>
    <row r="199" spans="4:9">
      <c r="D199" s="47"/>
      <c r="E199" s="143"/>
      <c r="H199" s="2"/>
      <c r="I199" s="30"/>
    </row>
    <row r="200" spans="4:9">
      <c r="D200" s="47"/>
      <c r="E200" s="143"/>
      <c r="H200" s="2"/>
      <c r="I200" s="30"/>
    </row>
    <row r="201" spans="4:9">
      <c r="D201" s="47"/>
      <c r="E201" s="143"/>
      <c r="H201" s="2"/>
      <c r="I201" s="30"/>
    </row>
    <row r="202" spans="4:9">
      <c r="D202" s="47"/>
      <c r="E202" s="143"/>
      <c r="H202" s="2"/>
      <c r="I202" s="30"/>
    </row>
    <row r="203" spans="4:9">
      <c r="D203" s="47"/>
      <c r="E203" s="143"/>
      <c r="H203" s="2"/>
      <c r="I203" s="30"/>
    </row>
    <row r="204" spans="4:9">
      <c r="D204" s="47"/>
      <c r="E204" s="143"/>
      <c r="H204" s="2"/>
      <c r="I204" s="30"/>
    </row>
    <row r="205" spans="4:9">
      <c r="D205" s="47"/>
      <c r="E205" s="143"/>
      <c r="H205" s="2"/>
      <c r="I205" s="30"/>
    </row>
    <row r="206" spans="4:9">
      <c r="D206" s="47"/>
      <c r="E206" s="143"/>
      <c r="H206" s="2"/>
      <c r="I206" s="30"/>
    </row>
    <row r="207" spans="4:9">
      <c r="D207" s="47"/>
      <c r="E207" s="143"/>
      <c r="H207" s="2"/>
      <c r="I207" s="30"/>
    </row>
    <row r="208" spans="4:9">
      <c r="D208" s="47"/>
      <c r="E208" s="143"/>
      <c r="H208" s="2"/>
      <c r="I208" s="30"/>
    </row>
    <row r="209" spans="4:9">
      <c r="D209" s="47"/>
      <c r="E209" s="143"/>
      <c r="H209" s="2"/>
      <c r="I209" s="30"/>
    </row>
    <row r="210" spans="4:9">
      <c r="D210" s="47"/>
      <c r="E210" s="143"/>
      <c r="H210" s="2"/>
      <c r="I210" s="30"/>
    </row>
    <row r="211" spans="4:9">
      <c r="D211" s="47"/>
      <c r="E211" s="143"/>
      <c r="H211" s="2"/>
      <c r="I211" s="30"/>
    </row>
    <row r="212" spans="4:9">
      <c r="D212" s="47"/>
      <c r="E212" s="143"/>
      <c r="H212" s="2"/>
      <c r="I212" s="30"/>
    </row>
    <row r="213" spans="4:9">
      <c r="D213" s="47"/>
      <c r="E213" s="143"/>
      <c r="H213" s="2"/>
      <c r="I213" s="30"/>
    </row>
    <row r="214" spans="4:9">
      <c r="D214" s="47"/>
      <c r="E214" s="143"/>
      <c r="H214" s="2"/>
      <c r="I214" s="30"/>
    </row>
    <row r="215" spans="4:9">
      <c r="D215" s="47"/>
      <c r="E215" s="143"/>
      <c r="H215" s="2"/>
      <c r="I215" s="30"/>
    </row>
    <row r="216" spans="4:9">
      <c r="D216" s="47"/>
      <c r="E216" s="143"/>
      <c r="H216" s="2"/>
      <c r="I216" s="30"/>
    </row>
    <row r="217" spans="4:9">
      <c r="D217" s="47"/>
      <c r="E217" s="143"/>
      <c r="H217" s="2"/>
      <c r="I217" s="30"/>
    </row>
    <row r="218" spans="4:9">
      <c r="D218" s="47"/>
      <c r="E218" s="143"/>
      <c r="H218" s="2"/>
      <c r="I218" s="30"/>
    </row>
    <row r="219" spans="4:9">
      <c r="D219" s="47"/>
      <c r="E219" s="143"/>
      <c r="H219" s="2"/>
      <c r="I219" s="30"/>
    </row>
    <row r="220" spans="4:9">
      <c r="D220" s="47"/>
      <c r="E220" s="143"/>
      <c r="H220" s="2"/>
      <c r="I220" s="30"/>
    </row>
    <row r="221" spans="4:9">
      <c r="D221" s="47"/>
      <c r="E221" s="143"/>
      <c r="H221" s="2"/>
      <c r="I221" s="30"/>
    </row>
    <row r="222" spans="4:9">
      <c r="D222" s="47"/>
      <c r="E222" s="143"/>
      <c r="H222" s="2"/>
      <c r="I222" s="30"/>
    </row>
    <row r="223" spans="4:9">
      <c r="D223" s="47"/>
      <c r="E223" s="143"/>
      <c r="H223" s="2"/>
      <c r="I223" s="30"/>
    </row>
    <row r="224" spans="4:9">
      <c r="D224" s="47"/>
      <c r="E224" s="143"/>
      <c r="H224" s="2"/>
      <c r="I224" s="30"/>
    </row>
    <row r="225" spans="4:9">
      <c r="D225" s="47"/>
      <c r="E225" s="143"/>
      <c r="H225" s="2"/>
      <c r="I225" s="30"/>
    </row>
    <row r="226" spans="4:9">
      <c r="D226" s="47"/>
      <c r="E226" s="143"/>
      <c r="H226" s="2"/>
      <c r="I226" s="30"/>
    </row>
    <row r="227" spans="4:9">
      <c r="D227" s="47"/>
      <c r="E227" s="143"/>
      <c r="H227" s="2"/>
      <c r="I227" s="30"/>
    </row>
    <row r="228" spans="4:9">
      <c r="D228" s="47"/>
      <c r="E228" s="143"/>
      <c r="H228" s="2"/>
      <c r="I228" s="30"/>
    </row>
    <row r="229" spans="4:9">
      <c r="D229" s="47"/>
      <c r="E229" s="143"/>
      <c r="H229" s="2"/>
      <c r="I229" s="30"/>
    </row>
    <row r="230" spans="4:9">
      <c r="D230" s="47"/>
      <c r="E230" s="143"/>
      <c r="H230" s="2"/>
      <c r="I230" s="30"/>
    </row>
    <row r="231" spans="4:9">
      <c r="D231" s="47"/>
      <c r="E231" s="143"/>
      <c r="H231" s="2"/>
      <c r="I231" s="30"/>
    </row>
    <row r="232" spans="4:9">
      <c r="D232" s="47"/>
      <c r="E232" s="143"/>
      <c r="H232" s="2"/>
      <c r="I232" s="30"/>
    </row>
    <row r="233" spans="4:9">
      <c r="D233" s="47"/>
      <c r="E233" s="143"/>
      <c r="H233" s="2"/>
      <c r="I233" s="30"/>
    </row>
    <row r="234" spans="4:9">
      <c r="D234" s="47"/>
      <c r="E234" s="143"/>
      <c r="H234" s="2"/>
      <c r="I234" s="30"/>
    </row>
    <row r="235" spans="4:9">
      <c r="D235" s="47"/>
      <c r="E235" s="143"/>
      <c r="H235" s="2"/>
      <c r="I235" s="30"/>
    </row>
    <row r="236" spans="4:9">
      <c r="D236" s="47"/>
      <c r="E236" s="143"/>
      <c r="H236" s="2"/>
      <c r="I236" s="30"/>
    </row>
    <row r="237" spans="4:9">
      <c r="D237" s="47"/>
      <c r="E237" s="143"/>
      <c r="H237" s="2"/>
      <c r="I237" s="30"/>
    </row>
    <row r="238" spans="4:9">
      <c r="D238" s="47"/>
      <c r="E238" s="143"/>
      <c r="H238" s="2"/>
      <c r="I238" s="30"/>
    </row>
    <row r="239" spans="4:9">
      <c r="D239" s="47"/>
      <c r="E239" s="143"/>
      <c r="H239" s="2"/>
      <c r="I239" s="30"/>
    </row>
    <row r="240" spans="4:9">
      <c r="D240" s="47"/>
      <c r="E240" s="143"/>
      <c r="H240" s="2"/>
      <c r="I240" s="30"/>
    </row>
    <row r="241" spans="4:9">
      <c r="D241" s="47"/>
      <c r="E241" s="143"/>
      <c r="H241" s="2"/>
      <c r="I241" s="30"/>
    </row>
    <row r="242" spans="4:9">
      <c r="D242" s="47"/>
      <c r="E242" s="143"/>
      <c r="H242" s="2"/>
      <c r="I242" s="30"/>
    </row>
    <row r="243" spans="4:9">
      <c r="D243" s="47"/>
      <c r="E243" s="143"/>
      <c r="H243" s="2"/>
      <c r="I243" s="30"/>
    </row>
    <row r="244" spans="4:9">
      <c r="D244" s="47"/>
      <c r="E244" s="143"/>
      <c r="H244" s="2"/>
      <c r="I244" s="30"/>
    </row>
    <row r="245" spans="4:9">
      <c r="D245" s="47"/>
      <c r="E245" s="143"/>
      <c r="H245" s="2"/>
      <c r="I245" s="30"/>
    </row>
    <row r="246" spans="4:9">
      <c r="D246" s="47"/>
      <c r="E246" s="143"/>
      <c r="H246" s="2"/>
      <c r="I246" s="30"/>
    </row>
    <row r="247" spans="4:9">
      <c r="D247" s="47"/>
      <c r="E247" s="143"/>
      <c r="H247" s="2"/>
      <c r="I247" s="30"/>
    </row>
    <row r="248" spans="4:9">
      <c r="D248" s="47"/>
      <c r="E248" s="143"/>
      <c r="H248" s="2"/>
      <c r="I248" s="30"/>
    </row>
    <row r="249" spans="4:9">
      <c r="D249" s="47"/>
      <c r="E249" s="143"/>
      <c r="H249" s="2"/>
      <c r="I249" s="30"/>
    </row>
    <row r="250" spans="4:9">
      <c r="D250" s="47"/>
      <c r="E250" s="143"/>
      <c r="H250" s="2"/>
      <c r="I250" s="30"/>
    </row>
    <row r="251" spans="4:9">
      <c r="D251" s="47"/>
      <c r="E251" s="143"/>
      <c r="H251" s="2"/>
      <c r="I251" s="30"/>
    </row>
    <row r="252" spans="4:9">
      <c r="D252" s="47"/>
      <c r="E252" s="143"/>
      <c r="H252" s="2"/>
      <c r="I252" s="30"/>
    </row>
    <row r="253" spans="4:9">
      <c r="D253" s="47"/>
      <c r="E253" s="143"/>
      <c r="H253" s="2"/>
      <c r="I253" s="30"/>
    </row>
    <row r="254" spans="4:9">
      <c r="D254" s="47"/>
      <c r="E254" s="143"/>
      <c r="H254" s="2"/>
      <c r="I254" s="30"/>
    </row>
    <row r="255" spans="4:9">
      <c r="D255" s="47"/>
      <c r="E255" s="143"/>
      <c r="H255" s="2"/>
      <c r="I255" s="30"/>
    </row>
    <row r="256" spans="4:9">
      <c r="D256" s="47"/>
      <c r="E256" s="143"/>
      <c r="H256" s="2"/>
      <c r="I256" s="30"/>
    </row>
    <row r="257" spans="4:9">
      <c r="D257" s="47"/>
      <c r="E257" s="143"/>
      <c r="H257" s="2"/>
      <c r="I257" s="30"/>
    </row>
    <row r="258" spans="4:9">
      <c r="D258" s="47"/>
      <c r="E258" s="143"/>
      <c r="H258" s="2"/>
      <c r="I258" s="30"/>
    </row>
    <row r="259" spans="4:9">
      <c r="D259" s="47"/>
      <c r="E259" s="143"/>
      <c r="H259" s="2"/>
      <c r="I259" s="30"/>
    </row>
    <row r="260" spans="4:9">
      <c r="D260" s="47"/>
      <c r="E260" s="143"/>
      <c r="H260" s="2"/>
      <c r="I260" s="30"/>
    </row>
    <row r="261" spans="4:9">
      <c r="D261" s="47"/>
      <c r="E261" s="143"/>
      <c r="H261" s="2"/>
      <c r="I261" s="30"/>
    </row>
    <row r="262" spans="4:9">
      <c r="D262" s="47"/>
      <c r="E262" s="143"/>
      <c r="H262" s="2"/>
      <c r="I262" s="30"/>
    </row>
    <row r="263" spans="4:9">
      <c r="D263" s="47"/>
      <c r="E263" s="143"/>
      <c r="H263" s="2"/>
      <c r="I263" s="30"/>
    </row>
    <row r="264" spans="4:9">
      <c r="D264" s="47"/>
      <c r="E264" s="143"/>
      <c r="H264" s="2"/>
      <c r="I264" s="30"/>
    </row>
    <row r="265" spans="4:9">
      <c r="D265" s="47"/>
      <c r="E265" s="143"/>
      <c r="H265" s="2"/>
      <c r="I265" s="30"/>
    </row>
    <row r="266" spans="4:9">
      <c r="D266" s="47"/>
      <c r="E266" s="143"/>
      <c r="H266" s="2"/>
      <c r="I266" s="30"/>
    </row>
    <row r="267" spans="4:9">
      <c r="D267" s="47"/>
      <c r="E267" s="143"/>
      <c r="H267" s="2"/>
      <c r="I267" s="30"/>
    </row>
    <row r="268" spans="4:9">
      <c r="D268" s="47"/>
      <c r="E268" s="143"/>
      <c r="H268" s="2"/>
      <c r="I268" s="30"/>
    </row>
    <row r="269" spans="4:9">
      <c r="D269" s="47"/>
      <c r="E269" s="143"/>
      <c r="H269" s="2"/>
      <c r="I269" s="30"/>
    </row>
    <row r="270" spans="4:9">
      <c r="D270" s="47"/>
      <c r="E270" s="143"/>
      <c r="H270" s="2"/>
      <c r="I270" s="30"/>
    </row>
    <row r="271" spans="4:9">
      <c r="D271" s="47"/>
      <c r="E271" s="143"/>
      <c r="H271" s="2"/>
      <c r="I271" s="30"/>
    </row>
    <row r="272" spans="4:9">
      <c r="D272" s="47"/>
      <c r="E272" s="143"/>
      <c r="H272" s="2"/>
      <c r="I272" s="30"/>
    </row>
    <row r="273" spans="4:9">
      <c r="D273" s="47"/>
      <c r="E273" s="143"/>
      <c r="H273" s="2"/>
      <c r="I273" s="30"/>
    </row>
    <row r="274" spans="4:9">
      <c r="D274" s="47"/>
      <c r="E274" s="143"/>
      <c r="H274" s="2"/>
      <c r="I274" s="30"/>
    </row>
    <row r="275" spans="4:9">
      <c r="D275" s="47"/>
      <c r="E275" s="143"/>
      <c r="H275" s="2"/>
      <c r="I275" s="30"/>
    </row>
    <row r="276" spans="4:9">
      <c r="D276" s="47"/>
      <c r="E276" s="143"/>
      <c r="H276" s="2"/>
      <c r="I276" s="30"/>
    </row>
    <row r="277" spans="4:9">
      <c r="D277" s="47"/>
      <c r="E277" s="143"/>
      <c r="H277" s="2"/>
      <c r="I277" s="30"/>
    </row>
    <row r="278" spans="4:9">
      <c r="D278" s="47"/>
      <c r="E278" s="143"/>
      <c r="H278" s="2"/>
      <c r="I278" s="30"/>
    </row>
    <row r="279" spans="4:9">
      <c r="D279" s="47"/>
      <c r="E279" s="143"/>
      <c r="H279" s="2"/>
      <c r="I279" s="30"/>
    </row>
    <row r="280" spans="4:9">
      <c r="D280" s="47"/>
      <c r="E280" s="143"/>
      <c r="H280" s="2"/>
      <c r="I280" s="30"/>
    </row>
    <row r="281" spans="4:9">
      <c r="D281" s="47"/>
      <c r="E281" s="143"/>
      <c r="H281" s="2"/>
      <c r="I281" s="30"/>
    </row>
    <row r="282" spans="4:9">
      <c r="D282" s="47"/>
      <c r="E282" s="143"/>
      <c r="H282" s="2"/>
      <c r="I282" s="30"/>
    </row>
    <row r="283" spans="4:9">
      <c r="D283" s="47"/>
      <c r="E283" s="143"/>
      <c r="H283" s="2"/>
      <c r="I283" s="30"/>
    </row>
    <row r="284" spans="4:9">
      <c r="D284" s="47"/>
      <c r="E284" s="143"/>
      <c r="H284" s="2"/>
      <c r="I284" s="30"/>
    </row>
    <row r="285" spans="4:9">
      <c r="D285" s="47"/>
      <c r="E285" s="143"/>
      <c r="H285" s="2"/>
      <c r="I285" s="30"/>
    </row>
    <row r="286" spans="4:9">
      <c r="D286" s="47"/>
      <c r="E286" s="143"/>
      <c r="H286" s="2"/>
      <c r="I286" s="30"/>
    </row>
    <row r="287" spans="4:9">
      <c r="D287" s="47"/>
      <c r="E287" s="143"/>
      <c r="H287" s="2"/>
      <c r="I287" s="30"/>
    </row>
    <row r="288" spans="4:9">
      <c r="D288" s="47"/>
      <c r="E288" s="143"/>
      <c r="H288" s="2"/>
      <c r="I288" s="30"/>
    </row>
    <row r="289" spans="4:9">
      <c r="D289" s="47"/>
      <c r="E289" s="143"/>
      <c r="H289" s="2"/>
      <c r="I289" s="30"/>
    </row>
    <row r="290" spans="4:9">
      <c r="D290" s="47"/>
      <c r="E290" s="143"/>
      <c r="H290" s="2"/>
      <c r="I290" s="30"/>
    </row>
    <row r="291" spans="4:9">
      <c r="D291" s="47"/>
      <c r="E291" s="143"/>
      <c r="H291" s="2"/>
      <c r="I291" s="30"/>
    </row>
    <row r="292" spans="4:9">
      <c r="D292" s="47"/>
      <c r="E292" s="143"/>
      <c r="H292" s="2"/>
      <c r="I292" s="30"/>
    </row>
    <row r="293" spans="4:9">
      <c r="D293" s="47"/>
      <c r="E293" s="143"/>
      <c r="H293" s="2"/>
      <c r="I293" s="30"/>
    </row>
    <row r="294" spans="4:9">
      <c r="D294" s="47"/>
      <c r="E294" s="143"/>
      <c r="H294" s="2"/>
      <c r="I294" s="30"/>
    </row>
    <row r="295" spans="4:9">
      <c r="D295" s="47"/>
      <c r="E295" s="143"/>
      <c r="H295" s="2"/>
      <c r="I295" s="30"/>
    </row>
    <row r="296" spans="4:9">
      <c r="D296" s="47"/>
      <c r="E296" s="143"/>
      <c r="H296" s="2"/>
      <c r="I296" s="30"/>
    </row>
    <row r="297" spans="4:9">
      <c r="D297" s="47"/>
      <c r="E297" s="143"/>
      <c r="H297" s="2"/>
      <c r="I297" s="30"/>
    </row>
    <row r="298" spans="4:9">
      <c r="D298" s="47"/>
      <c r="E298" s="143"/>
      <c r="H298" s="2"/>
      <c r="I298" s="30"/>
    </row>
    <row r="299" spans="4:9">
      <c r="D299" s="47"/>
      <c r="E299" s="143"/>
      <c r="H299" s="2"/>
      <c r="I299" s="30"/>
    </row>
    <row r="300" spans="4:9">
      <c r="D300" s="47"/>
      <c r="E300" s="143"/>
      <c r="H300" s="2"/>
      <c r="I300" s="30"/>
    </row>
    <row r="301" spans="4:9">
      <c r="D301" s="47"/>
      <c r="E301" s="143"/>
      <c r="H301" s="2"/>
      <c r="I301" s="30"/>
    </row>
    <row r="302" spans="4:9">
      <c r="D302" s="47"/>
      <c r="E302" s="143"/>
      <c r="H302" s="2"/>
      <c r="I302" s="30"/>
    </row>
    <row r="303" spans="4:9">
      <c r="D303" s="47"/>
      <c r="E303" s="143"/>
      <c r="H303" s="2"/>
      <c r="I303" s="30"/>
    </row>
    <row r="304" spans="4:9">
      <c r="D304" s="47"/>
      <c r="E304" s="143"/>
      <c r="H304" s="2"/>
      <c r="I304" s="30"/>
    </row>
    <row r="305" spans="4:9">
      <c r="D305" s="47"/>
      <c r="E305" s="143"/>
      <c r="H305" s="2"/>
      <c r="I305" s="30"/>
    </row>
    <row r="306" spans="4:9">
      <c r="D306" s="47"/>
      <c r="E306" s="143"/>
      <c r="H306" s="2"/>
      <c r="I306" s="30"/>
    </row>
    <row r="307" spans="4:9">
      <c r="D307" s="47"/>
      <c r="E307" s="143"/>
      <c r="H307" s="2"/>
      <c r="I307" s="30"/>
    </row>
    <row r="308" spans="4:9">
      <c r="D308" s="47"/>
      <c r="E308" s="143"/>
      <c r="H308" s="2"/>
      <c r="I308" s="30"/>
    </row>
    <row r="309" spans="4:9">
      <c r="D309" s="47"/>
      <c r="E309" s="143"/>
      <c r="H309" s="2"/>
      <c r="I309" s="30"/>
    </row>
    <row r="310" spans="4:9">
      <c r="D310" s="47"/>
      <c r="E310" s="143"/>
      <c r="H310" s="2"/>
      <c r="I310" s="30"/>
    </row>
    <row r="311" spans="4:9">
      <c r="D311" s="47"/>
      <c r="E311" s="143"/>
      <c r="H311" s="2"/>
      <c r="I311" s="30"/>
    </row>
    <row r="312" spans="4:9">
      <c r="D312" s="47"/>
      <c r="E312" s="143"/>
      <c r="H312" s="2"/>
      <c r="I312" s="30"/>
    </row>
    <row r="313" spans="4:9">
      <c r="D313" s="47"/>
      <c r="E313" s="143"/>
      <c r="H313" s="2"/>
      <c r="I313" s="30"/>
    </row>
    <row r="314" spans="4:9">
      <c r="D314" s="47"/>
      <c r="E314" s="143"/>
      <c r="H314" s="2"/>
      <c r="I314" s="30"/>
    </row>
    <row r="315" spans="4:9">
      <c r="D315" s="47"/>
      <c r="E315" s="143"/>
      <c r="H315" s="2"/>
      <c r="I315" s="30"/>
    </row>
    <row r="316" spans="4:9">
      <c r="D316" s="47"/>
      <c r="E316" s="143"/>
      <c r="H316" s="2"/>
      <c r="I316" s="30"/>
    </row>
    <row r="317" spans="4:9">
      <c r="D317" s="47"/>
      <c r="E317" s="143"/>
      <c r="H317" s="2"/>
      <c r="I317" s="30"/>
    </row>
    <row r="318" spans="4:9">
      <c r="D318" s="47"/>
      <c r="E318" s="143"/>
      <c r="H318" s="2"/>
      <c r="I318" s="30"/>
    </row>
    <row r="319" spans="4:9">
      <c r="D319" s="47"/>
      <c r="E319" s="143"/>
      <c r="H319" s="2"/>
      <c r="I319" s="30"/>
    </row>
    <row r="320" spans="4:9">
      <c r="D320" s="47"/>
      <c r="E320" s="143"/>
      <c r="H320" s="2"/>
      <c r="I320" s="30"/>
    </row>
    <row r="321" spans="4:9">
      <c r="D321" s="47"/>
      <c r="E321" s="143"/>
      <c r="H321" s="2"/>
      <c r="I321" s="30"/>
    </row>
    <row r="322" spans="4:9">
      <c r="D322" s="47"/>
      <c r="E322" s="143"/>
      <c r="H322" s="2"/>
      <c r="I322" s="30"/>
    </row>
    <row r="323" spans="4:9">
      <c r="D323" s="47"/>
      <c r="E323" s="143"/>
      <c r="H323" s="2"/>
      <c r="I323" s="30"/>
    </row>
    <row r="324" spans="4:9">
      <c r="D324" s="47"/>
      <c r="E324" s="143"/>
      <c r="H324" s="2"/>
      <c r="I324" s="30"/>
    </row>
    <row r="325" spans="4:9">
      <c r="D325" s="47"/>
      <c r="E325" s="143"/>
      <c r="H325" s="2"/>
      <c r="I325" s="30"/>
    </row>
    <row r="326" spans="4:9">
      <c r="D326" s="47"/>
      <c r="E326" s="143"/>
      <c r="H326" s="2"/>
      <c r="I326" s="30"/>
    </row>
    <row r="327" spans="4:9">
      <c r="D327" s="47"/>
      <c r="E327" s="143"/>
      <c r="H327" s="2"/>
      <c r="I327" s="30"/>
    </row>
    <row r="328" spans="4:9">
      <c r="D328" s="47"/>
      <c r="E328" s="143"/>
      <c r="H328" s="2"/>
      <c r="I328" s="30"/>
    </row>
    <row r="329" spans="4:9">
      <c r="D329" s="47"/>
      <c r="E329" s="143"/>
      <c r="H329" s="2"/>
      <c r="I329" s="30"/>
    </row>
    <row r="330" spans="4:9">
      <c r="D330" s="47"/>
      <c r="E330" s="143"/>
      <c r="H330" s="2"/>
      <c r="I330" s="30"/>
    </row>
    <row r="331" spans="4:9">
      <c r="D331" s="47"/>
      <c r="E331" s="143"/>
      <c r="H331" s="2"/>
      <c r="I331" s="30"/>
    </row>
    <row r="332" spans="4:9">
      <c r="D332" s="47"/>
      <c r="E332" s="143"/>
      <c r="H332" s="2"/>
      <c r="I332" s="30"/>
    </row>
    <row r="333" spans="4:9">
      <c r="D333" s="47"/>
      <c r="E333" s="143"/>
      <c r="H333" s="2"/>
      <c r="I333" s="30"/>
    </row>
    <row r="334" spans="4:9">
      <c r="D334" s="47"/>
      <c r="E334" s="143"/>
      <c r="H334" s="2"/>
      <c r="I334" s="30"/>
    </row>
    <row r="335" spans="4:9">
      <c r="D335" s="47"/>
      <c r="E335" s="143"/>
      <c r="H335" s="2"/>
      <c r="I335" s="30"/>
    </row>
    <row r="336" spans="4:9">
      <c r="D336" s="47"/>
      <c r="E336" s="143"/>
      <c r="H336" s="2"/>
      <c r="I336" s="30"/>
    </row>
    <row r="337" spans="4:9">
      <c r="D337" s="47"/>
      <c r="E337" s="143"/>
      <c r="H337" s="2"/>
      <c r="I337" s="30"/>
    </row>
    <row r="338" spans="4:9">
      <c r="D338" s="47"/>
      <c r="E338" s="143"/>
      <c r="H338" s="2"/>
      <c r="I338" s="30"/>
    </row>
    <row r="339" spans="4:9">
      <c r="D339" s="47"/>
      <c r="E339" s="143"/>
      <c r="H339" s="2"/>
      <c r="I339" s="30"/>
    </row>
    <row r="340" spans="4:9">
      <c r="D340" s="47"/>
      <c r="E340" s="143"/>
      <c r="H340" s="2"/>
      <c r="I340" s="30"/>
    </row>
    <row r="341" spans="4:9">
      <c r="D341" s="47"/>
      <c r="E341" s="143"/>
      <c r="H341" s="2"/>
      <c r="I341" s="30"/>
    </row>
    <row r="342" spans="4:9">
      <c r="D342" s="47"/>
      <c r="E342" s="143"/>
      <c r="H342" s="2"/>
      <c r="I342" s="30"/>
    </row>
    <row r="343" spans="4:9">
      <c r="D343" s="47"/>
      <c r="E343" s="143"/>
      <c r="H343" s="2"/>
      <c r="I343" s="30"/>
    </row>
    <row r="344" spans="4:9">
      <c r="D344" s="47"/>
      <c r="E344" s="143"/>
      <c r="H344" s="2"/>
      <c r="I344" s="30"/>
    </row>
    <row r="345" spans="4:9">
      <c r="D345" s="47"/>
      <c r="E345" s="143"/>
      <c r="H345" s="2"/>
      <c r="I345" s="30"/>
    </row>
    <row r="346" spans="4:9">
      <c r="D346" s="47"/>
      <c r="E346" s="143"/>
      <c r="H346" s="2"/>
      <c r="I346" s="30"/>
    </row>
    <row r="347" spans="4:9">
      <c r="D347" s="47"/>
      <c r="E347" s="143"/>
      <c r="H347" s="2"/>
      <c r="I347" s="30"/>
    </row>
    <row r="348" spans="4:9">
      <c r="D348" s="47"/>
      <c r="E348" s="143"/>
      <c r="H348" s="2"/>
      <c r="I348" s="30"/>
    </row>
    <row r="349" spans="4:9">
      <c r="D349" s="47"/>
      <c r="E349" s="143"/>
      <c r="H349" s="2"/>
      <c r="I349" s="30"/>
    </row>
    <row r="350" spans="4:9">
      <c r="D350" s="47"/>
      <c r="E350" s="143"/>
      <c r="H350" s="2"/>
      <c r="I350" s="30"/>
    </row>
    <row r="351" spans="4:9">
      <c r="D351" s="47"/>
      <c r="E351" s="143"/>
      <c r="H351" s="2"/>
      <c r="I351" s="30"/>
    </row>
    <row r="352" spans="4:9">
      <c r="D352" s="47"/>
      <c r="E352" s="143"/>
      <c r="H352" s="2"/>
      <c r="I352" s="30"/>
    </row>
    <row r="353" spans="4:9">
      <c r="D353" s="47"/>
      <c r="E353" s="143"/>
      <c r="H353" s="2"/>
      <c r="I353" s="30"/>
    </row>
    <row r="354" spans="4:9">
      <c r="D354" s="47"/>
      <c r="E354" s="143"/>
      <c r="H354" s="2"/>
      <c r="I354" s="30"/>
    </row>
    <row r="355" spans="4:9">
      <c r="D355" s="47"/>
      <c r="E355" s="143"/>
      <c r="H355" s="2"/>
      <c r="I355" s="30"/>
    </row>
    <row r="356" spans="4:9">
      <c r="D356" s="47"/>
      <c r="E356" s="143"/>
      <c r="H356" s="2"/>
      <c r="I356" s="30"/>
    </row>
    <row r="357" spans="4:9">
      <c r="D357" s="47"/>
      <c r="E357" s="143"/>
      <c r="H357" s="2"/>
      <c r="I357" s="30"/>
    </row>
    <row r="358" spans="4:9">
      <c r="D358" s="47"/>
      <c r="E358" s="143"/>
      <c r="H358" s="2"/>
      <c r="I358" s="30"/>
    </row>
    <row r="359" spans="4:9">
      <c r="D359" s="47"/>
      <c r="E359" s="143"/>
      <c r="H359" s="2"/>
      <c r="I359" s="30"/>
    </row>
    <row r="360" spans="4:9">
      <c r="D360" s="47"/>
      <c r="E360" s="143"/>
      <c r="H360" s="2"/>
      <c r="I360" s="30"/>
    </row>
    <row r="361" spans="4:9">
      <c r="D361" s="47"/>
      <c r="E361" s="143"/>
      <c r="H361" s="2"/>
      <c r="I361" s="30"/>
    </row>
    <row r="362" spans="4:9">
      <c r="D362" s="47"/>
      <c r="E362" s="143"/>
      <c r="H362" s="2"/>
      <c r="I362" s="30"/>
    </row>
    <row r="363" spans="4:9">
      <c r="D363" s="47"/>
      <c r="E363" s="143"/>
      <c r="H363" s="2"/>
      <c r="I363" s="30"/>
    </row>
    <row r="364" spans="4:9">
      <c r="D364" s="47"/>
      <c r="E364" s="143"/>
      <c r="H364" s="2"/>
      <c r="I364" s="30"/>
    </row>
    <row r="365" spans="4:9">
      <c r="D365" s="47"/>
      <c r="E365" s="143"/>
      <c r="H365" s="2"/>
      <c r="I365" s="30"/>
    </row>
    <row r="366" spans="4:9">
      <c r="D366" s="47"/>
      <c r="E366" s="143"/>
      <c r="H366" s="2"/>
      <c r="I366" s="30"/>
    </row>
    <row r="367" spans="4:9">
      <c r="D367" s="47"/>
      <c r="E367" s="143"/>
      <c r="H367" s="2"/>
      <c r="I367" s="30"/>
    </row>
    <row r="368" spans="4:9">
      <c r="D368" s="47"/>
      <c r="E368" s="143"/>
      <c r="H368" s="2"/>
      <c r="I368" s="30"/>
    </row>
    <row r="369" spans="4:9">
      <c r="D369" s="47"/>
      <c r="E369" s="143"/>
      <c r="H369" s="2"/>
      <c r="I369" s="30"/>
    </row>
    <row r="370" spans="4:9">
      <c r="D370" s="47"/>
      <c r="E370" s="143"/>
      <c r="H370" s="2"/>
      <c r="I370" s="30"/>
    </row>
    <row r="371" spans="4:9">
      <c r="D371" s="47"/>
      <c r="E371" s="143"/>
      <c r="H371" s="2"/>
      <c r="I371" s="30"/>
    </row>
    <row r="372" spans="4:9">
      <c r="D372" s="47"/>
      <c r="E372" s="143"/>
      <c r="H372" s="2"/>
      <c r="I372" s="30"/>
    </row>
    <row r="373" spans="4:9">
      <c r="D373" s="47"/>
      <c r="E373" s="143"/>
      <c r="H373" s="2"/>
      <c r="I373" s="30"/>
    </row>
    <row r="374" spans="4:9">
      <c r="D374" s="47"/>
      <c r="E374" s="143"/>
      <c r="H374" s="2"/>
      <c r="I374" s="30"/>
    </row>
    <row r="375" spans="4:9">
      <c r="D375" s="47"/>
      <c r="E375" s="143"/>
      <c r="H375" s="2"/>
      <c r="I375" s="30"/>
    </row>
    <row r="376" spans="4:9">
      <c r="D376" s="47"/>
      <c r="E376" s="143"/>
      <c r="H376" s="2"/>
      <c r="I376" s="30"/>
    </row>
    <row r="377" spans="4:9">
      <c r="D377" s="47"/>
      <c r="E377" s="143"/>
      <c r="H377" s="2"/>
      <c r="I377" s="30"/>
    </row>
    <row r="378" spans="4:9">
      <c r="D378" s="47"/>
      <c r="E378" s="143"/>
      <c r="H378" s="2"/>
      <c r="I378" s="30"/>
    </row>
    <row r="379" spans="4:9">
      <c r="D379" s="47"/>
      <c r="E379" s="143"/>
      <c r="H379" s="2"/>
      <c r="I379" s="30"/>
    </row>
    <row r="380" spans="4:9">
      <c r="D380" s="47"/>
      <c r="E380" s="143"/>
      <c r="H380" s="2"/>
      <c r="I380" s="30"/>
    </row>
    <row r="381" spans="4:9">
      <c r="D381" s="47"/>
      <c r="E381" s="143"/>
      <c r="H381" s="2"/>
      <c r="I381" s="30"/>
    </row>
    <row r="382" spans="4:9">
      <c r="D382" s="47"/>
      <c r="E382" s="143"/>
      <c r="H382" s="2"/>
      <c r="I382" s="30"/>
    </row>
    <row r="383" spans="4:9">
      <c r="D383" s="47"/>
      <c r="E383" s="143"/>
      <c r="H383" s="2"/>
      <c r="I383" s="30"/>
    </row>
    <row r="384" spans="4:9">
      <c r="D384" s="47"/>
      <c r="E384" s="143"/>
      <c r="H384" s="2"/>
      <c r="I384" s="30"/>
    </row>
    <row r="385" spans="4:9">
      <c r="D385" s="47"/>
      <c r="E385" s="143"/>
      <c r="H385" s="2"/>
      <c r="I385" s="30"/>
    </row>
    <row r="386" spans="4:9">
      <c r="D386" s="47"/>
      <c r="E386" s="143"/>
      <c r="H386" s="2"/>
      <c r="I386" s="30"/>
    </row>
    <row r="387" spans="4:9">
      <c r="D387" s="47"/>
      <c r="E387" s="143"/>
      <c r="H387" s="2"/>
      <c r="I387" s="30"/>
    </row>
    <row r="388" spans="4:9">
      <c r="D388" s="47"/>
      <c r="E388" s="143"/>
      <c r="H388" s="2"/>
      <c r="I388" s="30"/>
    </row>
    <row r="389" spans="4:9">
      <c r="D389" s="47"/>
      <c r="E389" s="143"/>
      <c r="H389" s="2"/>
      <c r="I389" s="30"/>
    </row>
    <row r="390" spans="4:9">
      <c r="D390" s="47"/>
      <c r="E390" s="143"/>
      <c r="H390" s="2"/>
      <c r="I390" s="30"/>
    </row>
    <row r="391" spans="4:9">
      <c r="D391" s="47"/>
      <c r="E391" s="143"/>
      <c r="H391" s="2"/>
      <c r="I391" s="30"/>
    </row>
    <row r="392" spans="4:9">
      <c r="D392" s="47"/>
      <c r="E392" s="143"/>
      <c r="H392" s="2"/>
      <c r="I392" s="30"/>
    </row>
    <row r="393" spans="4:9">
      <c r="D393" s="47"/>
      <c r="E393" s="143"/>
      <c r="H393" s="2"/>
      <c r="I393" s="30"/>
    </row>
    <row r="394" spans="4:9">
      <c r="D394" s="47"/>
      <c r="E394" s="143"/>
      <c r="H394" s="2"/>
      <c r="I394" s="30"/>
    </row>
    <row r="395" spans="4:9">
      <c r="D395" s="47"/>
      <c r="E395" s="143"/>
      <c r="H395" s="2"/>
      <c r="I395" s="30"/>
    </row>
    <row r="396" spans="4:9">
      <c r="D396" s="47"/>
      <c r="E396" s="143"/>
      <c r="H396" s="2"/>
      <c r="I396" s="30"/>
    </row>
    <row r="397" spans="4:9">
      <c r="D397" s="47"/>
      <c r="E397" s="143"/>
      <c r="H397" s="2"/>
      <c r="I397" s="30"/>
    </row>
    <row r="398" spans="4:9">
      <c r="D398" s="47"/>
      <c r="E398" s="143"/>
      <c r="H398" s="2"/>
      <c r="I398" s="30"/>
    </row>
    <row r="399" spans="4:9">
      <c r="D399" s="47"/>
      <c r="E399" s="143"/>
      <c r="H399" s="2"/>
      <c r="I399" s="30"/>
    </row>
    <row r="400" spans="4:9">
      <c r="D400" s="47"/>
      <c r="E400" s="143"/>
      <c r="H400" s="2"/>
      <c r="I400" s="30"/>
    </row>
    <row r="401" spans="4:9">
      <c r="D401" s="47"/>
      <c r="E401" s="143"/>
      <c r="H401" s="2"/>
      <c r="I401" s="30"/>
    </row>
    <row r="402" spans="4:9">
      <c r="D402" s="47"/>
      <c r="E402" s="143"/>
      <c r="H402" s="2"/>
      <c r="I402" s="30"/>
    </row>
    <row r="403" spans="4:9">
      <c r="D403" s="47"/>
      <c r="E403" s="143"/>
      <c r="H403" s="2"/>
      <c r="I403" s="30"/>
    </row>
    <row r="404" spans="4:9">
      <c r="D404" s="47"/>
      <c r="E404" s="143"/>
      <c r="H404" s="2"/>
      <c r="I404" s="30"/>
    </row>
    <row r="405" spans="4:9">
      <c r="D405" s="47"/>
      <c r="E405" s="143"/>
      <c r="H405" s="2"/>
      <c r="I405" s="30"/>
    </row>
    <row r="406" spans="4:9">
      <c r="D406" s="47"/>
      <c r="E406" s="143"/>
      <c r="H406" s="2"/>
      <c r="I406" s="30"/>
    </row>
    <row r="407" spans="4:9">
      <c r="D407" s="47"/>
      <c r="E407" s="143"/>
      <c r="H407" s="2"/>
      <c r="I407" s="30"/>
    </row>
    <row r="408" spans="4:9">
      <c r="D408" s="47"/>
      <c r="E408" s="143"/>
      <c r="H408" s="2"/>
      <c r="I408" s="30"/>
    </row>
    <row r="409" spans="4:9">
      <c r="D409" s="47"/>
      <c r="E409" s="143"/>
      <c r="H409" s="2"/>
      <c r="I409" s="30"/>
    </row>
    <row r="410" spans="4:9">
      <c r="D410" s="47"/>
      <c r="E410" s="143"/>
      <c r="H410" s="2"/>
      <c r="I410" s="30"/>
    </row>
    <row r="411" spans="4:9">
      <c r="D411" s="47"/>
      <c r="E411" s="143"/>
      <c r="H411" s="2"/>
      <c r="I411" s="30"/>
    </row>
    <row r="412" spans="4:9">
      <c r="D412" s="47"/>
      <c r="E412" s="143"/>
      <c r="H412" s="2"/>
      <c r="I412" s="30"/>
    </row>
    <row r="413" spans="4:9">
      <c r="D413" s="47"/>
      <c r="E413" s="143"/>
      <c r="H413" s="2"/>
      <c r="I413" s="30"/>
    </row>
    <row r="414" spans="4:9">
      <c r="D414" s="47"/>
      <c r="E414" s="143"/>
      <c r="H414" s="2"/>
      <c r="I414" s="30"/>
    </row>
    <row r="415" spans="4:9">
      <c r="D415" s="47"/>
      <c r="E415" s="143"/>
      <c r="H415" s="2"/>
      <c r="I415" s="30"/>
    </row>
    <row r="416" spans="4:9">
      <c r="D416" s="47"/>
      <c r="E416" s="143"/>
      <c r="H416" s="2"/>
      <c r="I416" s="30"/>
    </row>
    <row r="417" spans="4:9">
      <c r="D417" s="47"/>
      <c r="E417" s="143"/>
      <c r="H417" s="2"/>
      <c r="I417" s="30"/>
    </row>
    <row r="418" spans="4:9">
      <c r="D418" s="47"/>
      <c r="E418" s="143"/>
      <c r="H418" s="2"/>
      <c r="I418" s="30"/>
    </row>
    <row r="419" spans="4:9">
      <c r="D419" s="47"/>
      <c r="E419" s="143"/>
      <c r="H419" s="2"/>
      <c r="I419" s="30"/>
    </row>
    <row r="420" spans="4:9">
      <c r="D420" s="47"/>
      <c r="E420" s="143"/>
      <c r="H420" s="2"/>
      <c r="I420" s="30"/>
    </row>
    <row r="421" spans="4:9">
      <c r="D421" s="47"/>
      <c r="E421" s="143"/>
      <c r="H421" s="2"/>
      <c r="I421" s="30"/>
    </row>
    <row r="422" spans="4:9">
      <c r="D422" s="47"/>
      <c r="E422" s="143"/>
      <c r="H422" s="2"/>
      <c r="I422" s="30"/>
    </row>
    <row r="423" spans="4:9">
      <c r="D423" s="47"/>
      <c r="E423" s="143"/>
      <c r="H423" s="2"/>
      <c r="I423" s="30"/>
    </row>
    <row r="424" spans="4:9">
      <c r="D424" s="47"/>
      <c r="E424" s="143"/>
      <c r="H424" s="2"/>
      <c r="I424" s="30"/>
    </row>
    <row r="425" spans="4:9">
      <c r="D425" s="47"/>
      <c r="E425" s="143"/>
      <c r="H425" s="2"/>
      <c r="I425" s="30"/>
    </row>
    <row r="426" spans="4:9">
      <c r="D426" s="47"/>
      <c r="E426" s="143"/>
      <c r="H426" s="2"/>
      <c r="I426" s="30"/>
    </row>
    <row r="427" spans="4:9">
      <c r="D427" s="47"/>
      <c r="E427" s="143"/>
      <c r="H427" s="2"/>
      <c r="I427" s="30"/>
    </row>
    <row r="428" spans="4:9">
      <c r="D428" s="47"/>
      <c r="E428" s="143"/>
      <c r="H428" s="2"/>
      <c r="I428" s="30"/>
    </row>
    <row r="429" spans="4:9">
      <c r="D429" s="47"/>
      <c r="E429" s="143"/>
      <c r="H429" s="2"/>
      <c r="I429" s="30"/>
    </row>
    <row r="430" spans="4:9">
      <c r="D430" s="47"/>
      <c r="E430" s="143"/>
      <c r="H430" s="2"/>
      <c r="I430" s="30"/>
    </row>
    <row r="431" spans="4:9">
      <c r="D431" s="47"/>
      <c r="E431" s="143"/>
      <c r="H431" s="2"/>
      <c r="I431" s="30"/>
    </row>
    <row r="432" spans="4:9">
      <c r="D432" s="47"/>
      <c r="E432" s="143"/>
      <c r="H432" s="2"/>
      <c r="I432" s="30"/>
    </row>
    <row r="433" spans="4:9">
      <c r="D433" s="47"/>
      <c r="E433" s="143"/>
      <c r="H433" s="2"/>
      <c r="I433" s="30"/>
    </row>
    <row r="434" spans="4:9">
      <c r="D434" s="47"/>
      <c r="E434" s="143"/>
      <c r="H434" s="2"/>
      <c r="I434" s="30"/>
    </row>
    <row r="435" spans="4:9">
      <c r="D435" s="47"/>
      <c r="E435" s="143"/>
      <c r="H435" s="2"/>
      <c r="I435" s="30"/>
    </row>
    <row r="436" spans="4:9">
      <c r="D436" s="47"/>
      <c r="E436" s="143"/>
      <c r="H436" s="2"/>
      <c r="I436" s="30"/>
    </row>
    <row r="437" spans="4:9">
      <c r="D437" s="47"/>
      <c r="E437" s="143"/>
      <c r="H437" s="2"/>
      <c r="I437" s="30"/>
    </row>
    <row r="438" spans="4:9">
      <c r="D438" s="47"/>
      <c r="E438" s="143"/>
      <c r="H438" s="2"/>
      <c r="I438" s="30"/>
    </row>
    <row r="439" spans="4:9">
      <c r="D439" s="47"/>
      <c r="E439" s="143"/>
      <c r="H439" s="2"/>
      <c r="I439" s="30"/>
    </row>
    <row r="440" spans="4:9">
      <c r="D440" s="47"/>
      <c r="E440" s="143"/>
      <c r="H440" s="2"/>
      <c r="I440" s="30"/>
    </row>
    <row r="441" spans="4:9">
      <c r="D441" s="47"/>
      <c r="E441" s="143"/>
      <c r="H441" s="2"/>
      <c r="I441" s="30"/>
    </row>
    <row r="442" spans="4:9">
      <c r="D442" s="47"/>
      <c r="E442" s="143"/>
      <c r="H442" s="2"/>
      <c r="I442" s="30"/>
    </row>
    <row r="443" spans="4:9">
      <c r="D443" s="47"/>
      <c r="E443" s="143"/>
      <c r="H443" s="2"/>
      <c r="I443" s="30"/>
    </row>
    <row r="444" spans="4:9">
      <c r="D444" s="47"/>
      <c r="E444" s="143"/>
      <c r="H444" s="2"/>
      <c r="I444" s="30"/>
    </row>
    <row r="445" spans="4:9">
      <c r="D445" s="47"/>
      <c r="E445" s="143"/>
      <c r="H445" s="2"/>
      <c r="I445" s="30"/>
    </row>
    <row r="446" spans="4:9">
      <c r="D446" s="47"/>
      <c r="E446" s="143"/>
      <c r="H446" s="2"/>
      <c r="I446" s="30"/>
    </row>
    <row r="447" spans="4:9">
      <c r="D447" s="47"/>
      <c r="E447" s="143"/>
      <c r="H447" s="2"/>
      <c r="I447" s="30"/>
    </row>
    <row r="448" spans="4:9">
      <c r="D448" s="47"/>
      <c r="E448" s="143"/>
      <c r="H448" s="2"/>
      <c r="I448" s="30"/>
    </row>
    <row r="449" spans="4:9">
      <c r="D449" s="47"/>
      <c r="E449" s="143"/>
      <c r="H449" s="2"/>
      <c r="I449" s="30"/>
    </row>
    <row r="450" spans="4:9">
      <c r="D450" s="47"/>
      <c r="E450" s="143"/>
      <c r="H450" s="2"/>
      <c r="I450" s="30"/>
    </row>
    <row r="451" spans="4:9">
      <c r="D451" s="47"/>
      <c r="E451" s="143"/>
      <c r="H451" s="2"/>
      <c r="I451" s="30"/>
    </row>
    <row r="452" spans="4:9">
      <c r="D452" s="47"/>
      <c r="E452" s="143"/>
      <c r="H452" s="2"/>
      <c r="I452" s="30"/>
    </row>
    <row r="453" spans="4:9">
      <c r="D453" s="47"/>
      <c r="E453" s="143"/>
      <c r="H453" s="2"/>
      <c r="I453" s="30"/>
    </row>
    <row r="454" spans="4:9">
      <c r="D454" s="47"/>
      <c r="E454" s="143"/>
      <c r="H454" s="2"/>
      <c r="I454" s="30"/>
    </row>
    <row r="455" spans="4:9">
      <c r="D455" s="47"/>
      <c r="E455" s="143"/>
      <c r="H455" s="2"/>
      <c r="I455" s="30"/>
    </row>
    <row r="456" spans="4:9">
      <c r="D456" s="47"/>
      <c r="E456" s="143"/>
      <c r="H456" s="2"/>
      <c r="I456" s="30"/>
    </row>
    <row r="457" spans="4:9">
      <c r="D457" s="47"/>
      <c r="E457" s="143"/>
      <c r="H457" s="2"/>
      <c r="I457" s="30"/>
    </row>
    <row r="458" spans="4:9">
      <c r="D458" s="47"/>
      <c r="E458" s="143"/>
      <c r="H458" s="2"/>
      <c r="I458" s="30"/>
    </row>
    <row r="459" spans="4:9">
      <c r="D459" s="47"/>
      <c r="E459" s="143"/>
      <c r="H459" s="2"/>
      <c r="I459" s="30"/>
    </row>
    <row r="460" spans="4:9">
      <c r="D460" s="47"/>
      <c r="E460" s="143"/>
      <c r="H460" s="2"/>
      <c r="I460" s="30"/>
    </row>
    <row r="461" spans="4:9">
      <c r="D461" s="47"/>
      <c r="E461" s="143"/>
      <c r="H461" s="2"/>
      <c r="I461" s="30"/>
    </row>
    <row r="462" spans="4:9">
      <c r="D462" s="47"/>
      <c r="E462" s="143"/>
      <c r="H462" s="2"/>
      <c r="I462" s="30"/>
    </row>
    <row r="463" spans="4:9">
      <c r="D463" s="47"/>
      <c r="E463" s="143"/>
      <c r="H463" s="2"/>
      <c r="I463" s="30"/>
    </row>
    <row r="464" spans="4:9">
      <c r="D464" s="47"/>
      <c r="E464" s="143"/>
      <c r="H464" s="2"/>
      <c r="I464" s="30"/>
    </row>
    <row r="465" spans="4:9">
      <c r="D465" s="47"/>
      <c r="E465" s="143"/>
      <c r="H465" s="2"/>
      <c r="I465" s="30"/>
    </row>
    <row r="466" spans="4:9">
      <c r="D466" s="47"/>
      <c r="E466" s="143"/>
      <c r="H466" s="2"/>
      <c r="I466" s="30"/>
    </row>
    <row r="467" spans="4:9">
      <c r="D467" s="47"/>
      <c r="E467" s="143"/>
      <c r="H467" s="2"/>
      <c r="I467" s="30"/>
    </row>
    <row r="468" spans="4:9">
      <c r="D468" s="47"/>
      <c r="E468" s="143"/>
      <c r="H468" s="2"/>
      <c r="I468" s="30"/>
    </row>
    <row r="469" spans="4:9">
      <c r="D469" s="47"/>
      <c r="E469" s="143"/>
      <c r="H469" s="2"/>
      <c r="I469" s="30"/>
    </row>
    <row r="470" spans="4:9">
      <c r="D470" s="47"/>
      <c r="E470" s="143"/>
      <c r="H470" s="2"/>
      <c r="I470" s="30"/>
    </row>
    <row r="471" spans="4:9">
      <c r="D471" s="47"/>
      <c r="E471" s="143"/>
      <c r="H471" s="2"/>
      <c r="I471" s="30"/>
    </row>
    <row r="472" spans="4:9">
      <c r="D472" s="47"/>
      <c r="E472" s="143"/>
      <c r="H472" s="2"/>
      <c r="I472" s="30"/>
    </row>
    <row r="473" spans="4:9">
      <c r="D473" s="47"/>
      <c r="E473" s="143"/>
      <c r="H473" s="2"/>
      <c r="I473" s="30"/>
    </row>
    <row r="474" spans="4:9">
      <c r="D474" s="47"/>
      <c r="E474" s="143"/>
      <c r="H474" s="2"/>
      <c r="I474" s="30"/>
    </row>
    <row r="475" spans="4:9">
      <c r="D475" s="47"/>
      <c r="E475" s="143"/>
      <c r="H475" s="2"/>
      <c r="I475" s="30"/>
    </row>
    <row r="476" spans="4:9">
      <c r="D476" s="47"/>
      <c r="E476" s="143"/>
      <c r="H476" s="2"/>
      <c r="I476" s="30"/>
    </row>
    <row r="477" spans="4:9">
      <c r="D477" s="47"/>
      <c r="E477" s="143"/>
      <c r="H477" s="2"/>
      <c r="I477" s="30"/>
    </row>
    <row r="478" spans="4:9">
      <c r="D478" s="47"/>
      <c r="E478" s="143"/>
      <c r="H478" s="2"/>
      <c r="I478" s="30"/>
    </row>
    <row r="479" spans="4:9">
      <c r="D479" s="47"/>
      <c r="E479" s="143"/>
      <c r="H479" s="2"/>
      <c r="I479" s="30"/>
    </row>
    <row r="480" spans="4:9">
      <c r="D480" s="47"/>
      <c r="E480" s="143"/>
      <c r="H480" s="2"/>
      <c r="I480" s="30"/>
    </row>
    <row r="481" spans="4:9">
      <c r="D481" s="47"/>
      <c r="E481" s="143"/>
      <c r="H481" s="2"/>
      <c r="I481" s="30"/>
    </row>
    <row r="482" spans="4:9">
      <c r="D482" s="47"/>
      <c r="E482" s="143"/>
      <c r="H482" s="2"/>
      <c r="I482" s="30"/>
    </row>
    <row r="483" spans="4:9">
      <c r="D483" s="47"/>
      <c r="E483" s="143"/>
      <c r="H483" s="2"/>
      <c r="I483" s="30"/>
    </row>
    <row r="484" spans="4:9">
      <c r="D484" s="47"/>
      <c r="E484" s="143"/>
      <c r="H484" s="2"/>
      <c r="I484" s="30"/>
    </row>
    <row r="485" spans="4:9">
      <c r="D485" s="47"/>
      <c r="E485" s="143"/>
      <c r="H485" s="2"/>
      <c r="I485" s="30"/>
    </row>
    <row r="486" spans="4:9">
      <c r="D486" s="47"/>
      <c r="E486" s="143"/>
      <c r="H486" s="2"/>
      <c r="I486" s="30"/>
    </row>
    <row r="487" spans="4:9">
      <c r="D487" s="47"/>
      <c r="E487" s="143"/>
      <c r="H487" s="2"/>
      <c r="I487" s="30"/>
    </row>
    <row r="488" spans="4:9">
      <c r="D488" s="47"/>
      <c r="E488" s="143"/>
      <c r="H488" s="2"/>
      <c r="I488" s="30"/>
    </row>
    <row r="489" spans="4:9">
      <c r="D489" s="47"/>
      <c r="E489" s="143"/>
      <c r="H489" s="2"/>
      <c r="I489" s="30"/>
    </row>
    <row r="490" spans="4:9">
      <c r="D490" s="47"/>
      <c r="E490" s="143"/>
      <c r="H490" s="2"/>
      <c r="I490" s="30"/>
    </row>
    <row r="491" spans="4:9">
      <c r="D491" s="47"/>
      <c r="E491" s="143"/>
      <c r="H491" s="2"/>
      <c r="I491" s="30"/>
    </row>
    <row r="492" spans="4:9">
      <c r="D492" s="47"/>
      <c r="E492" s="143"/>
      <c r="H492" s="2"/>
      <c r="I492" s="30"/>
    </row>
    <row r="493" spans="4:9">
      <c r="D493" s="47"/>
      <c r="E493" s="143"/>
      <c r="H493" s="2"/>
      <c r="I493" s="30"/>
    </row>
    <row r="494" spans="4:9">
      <c r="D494" s="47"/>
      <c r="E494" s="143"/>
      <c r="H494" s="2"/>
      <c r="I494" s="30"/>
    </row>
    <row r="495" spans="4:9">
      <c r="D495" s="47"/>
      <c r="E495" s="143"/>
      <c r="H495" s="2"/>
      <c r="I495" s="30"/>
    </row>
    <row r="496" spans="4:9">
      <c r="D496" s="47"/>
      <c r="E496" s="143"/>
      <c r="H496" s="2"/>
      <c r="I496" s="30"/>
    </row>
    <row r="497" spans="4:9">
      <c r="D497" s="47"/>
      <c r="E497" s="143"/>
      <c r="H497" s="2"/>
      <c r="I497" s="30"/>
    </row>
    <row r="498" spans="4:9">
      <c r="D498" s="47"/>
      <c r="E498" s="143"/>
      <c r="H498" s="2"/>
      <c r="I498" s="30"/>
    </row>
    <row r="499" spans="4:9">
      <c r="D499" s="47"/>
      <c r="E499" s="143"/>
      <c r="H499" s="2"/>
      <c r="I499" s="30"/>
    </row>
    <row r="500" spans="4:9">
      <c r="D500" s="47"/>
      <c r="E500" s="143"/>
      <c r="H500" s="2"/>
      <c r="I500" s="30"/>
    </row>
    <row r="501" spans="4:9">
      <c r="D501" s="47"/>
      <c r="E501" s="143"/>
      <c r="H501" s="2"/>
      <c r="I501" s="30"/>
    </row>
    <row r="502" spans="4:9">
      <c r="D502" s="47"/>
      <c r="E502" s="143"/>
      <c r="H502" s="2"/>
      <c r="I502" s="30"/>
    </row>
    <row r="503" spans="4:9">
      <c r="D503" s="47"/>
      <c r="E503" s="143"/>
      <c r="H503" s="2"/>
      <c r="I503" s="30"/>
    </row>
    <row r="504" spans="4:9">
      <c r="D504" s="47"/>
      <c r="E504" s="143"/>
      <c r="H504" s="2"/>
      <c r="I504" s="30"/>
    </row>
    <row r="505" spans="4:9">
      <c r="D505" s="47"/>
      <c r="E505" s="143"/>
      <c r="H505" s="2"/>
      <c r="I505" s="30"/>
    </row>
    <row r="506" spans="4:9">
      <c r="D506" s="47"/>
      <c r="E506" s="143"/>
      <c r="H506" s="2"/>
      <c r="I506" s="30"/>
    </row>
    <row r="507" spans="4:9">
      <c r="D507" s="47"/>
      <c r="E507" s="143"/>
      <c r="H507" s="2"/>
      <c r="I507" s="30"/>
    </row>
    <row r="508" spans="4:9">
      <c r="D508" s="47"/>
      <c r="E508" s="143"/>
      <c r="H508" s="2"/>
      <c r="I508" s="30"/>
    </row>
    <row r="509" spans="4:9">
      <c r="D509" s="47"/>
      <c r="E509" s="143"/>
      <c r="H509" s="2"/>
      <c r="I509" s="30"/>
    </row>
    <row r="510" spans="4:9">
      <c r="D510" s="47"/>
      <c r="E510" s="143"/>
      <c r="H510" s="2"/>
      <c r="I510" s="30"/>
    </row>
    <row r="511" spans="4:9">
      <c r="D511" s="47"/>
      <c r="E511" s="143"/>
      <c r="H511" s="2"/>
      <c r="I511" s="30"/>
    </row>
    <row r="512" spans="4:9">
      <c r="D512" s="47"/>
      <c r="E512" s="143"/>
      <c r="H512" s="2"/>
      <c r="I512" s="30"/>
    </row>
    <row r="513" spans="4:9">
      <c r="D513" s="47"/>
      <c r="E513" s="143"/>
      <c r="H513" s="2"/>
      <c r="I513" s="30"/>
    </row>
    <row r="514" spans="4:9">
      <c r="D514" s="47"/>
      <c r="E514" s="143"/>
      <c r="H514" s="2"/>
      <c r="I514" s="30"/>
    </row>
    <row r="515" spans="4:9">
      <c r="D515" s="47"/>
      <c r="E515" s="143"/>
      <c r="H515" s="2"/>
      <c r="I515" s="30"/>
    </row>
    <row r="516" spans="4:9">
      <c r="D516" s="47"/>
      <c r="E516" s="143"/>
      <c r="H516" s="2"/>
      <c r="I516" s="30"/>
    </row>
    <row r="517" spans="4:9">
      <c r="D517" s="47"/>
      <c r="E517" s="143"/>
      <c r="H517" s="2"/>
      <c r="I517" s="30"/>
    </row>
    <row r="518" spans="4:9">
      <c r="D518" s="47"/>
      <c r="E518" s="143"/>
      <c r="H518" s="2"/>
      <c r="I518" s="30"/>
    </row>
    <row r="519" spans="4:9">
      <c r="D519" s="47"/>
      <c r="E519" s="143"/>
      <c r="H519" s="2"/>
      <c r="I519" s="30"/>
    </row>
    <row r="520" spans="4:9">
      <c r="D520" s="47"/>
      <c r="E520" s="143"/>
      <c r="H520" s="2"/>
      <c r="I520" s="30"/>
    </row>
    <row r="521" spans="4:9">
      <c r="D521" s="47"/>
      <c r="E521" s="143"/>
      <c r="H521" s="2"/>
      <c r="I521" s="30"/>
    </row>
    <row r="522" spans="4:9">
      <c r="D522" s="47"/>
      <c r="E522" s="143"/>
      <c r="H522" s="2"/>
      <c r="I522" s="30"/>
    </row>
    <row r="523" spans="4:9">
      <c r="D523" s="47"/>
      <c r="E523" s="143"/>
      <c r="H523" s="2"/>
      <c r="I523" s="30"/>
    </row>
    <row r="524" spans="4:9">
      <c r="D524" s="47"/>
      <c r="E524" s="143"/>
      <c r="H524" s="2"/>
      <c r="I524" s="30"/>
    </row>
    <row r="525" spans="4:9">
      <c r="D525" s="47"/>
      <c r="E525" s="143"/>
      <c r="H525" s="2"/>
      <c r="I525" s="30"/>
    </row>
    <row r="526" spans="4:9">
      <c r="D526" s="47"/>
      <c r="E526" s="143"/>
      <c r="H526" s="2"/>
      <c r="I526" s="30"/>
    </row>
    <row r="527" spans="4:9">
      <c r="D527" s="47"/>
      <c r="E527" s="143"/>
      <c r="H527" s="2"/>
      <c r="I527" s="30"/>
    </row>
    <row r="528" spans="4:9">
      <c r="D528" s="47"/>
      <c r="E528" s="143"/>
      <c r="H528" s="2"/>
      <c r="I528" s="30"/>
    </row>
    <row r="529" spans="4:9">
      <c r="D529" s="47"/>
      <c r="E529" s="143"/>
      <c r="H529" s="2"/>
      <c r="I529" s="30"/>
    </row>
    <row r="530" spans="4:9">
      <c r="D530" s="47"/>
      <c r="E530" s="143"/>
      <c r="H530" s="2"/>
      <c r="I530" s="30"/>
    </row>
    <row r="531" spans="4:9">
      <c r="D531" s="47"/>
      <c r="E531" s="143"/>
      <c r="H531" s="2"/>
      <c r="I531" s="30"/>
    </row>
    <row r="532" spans="4:9">
      <c r="D532" s="47"/>
      <c r="E532" s="143"/>
      <c r="H532" s="2"/>
      <c r="I532" s="30"/>
    </row>
    <row r="533" spans="4:9">
      <c r="D533" s="47"/>
      <c r="E533" s="143"/>
      <c r="H533" s="2"/>
      <c r="I533" s="30"/>
    </row>
    <row r="534" spans="4:9">
      <c r="D534" s="47"/>
      <c r="E534" s="143"/>
      <c r="H534" s="2"/>
      <c r="I534" s="30"/>
    </row>
    <row r="535" spans="4:9">
      <c r="D535" s="47"/>
      <c r="E535" s="143"/>
      <c r="H535" s="2"/>
      <c r="I535" s="30"/>
    </row>
    <row r="536" spans="4:9">
      <c r="D536" s="47"/>
      <c r="E536" s="143"/>
      <c r="H536" s="2"/>
      <c r="I536" s="30"/>
    </row>
    <row r="537" spans="4:9">
      <c r="D537" s="47"/>
      <c r="E537" s="143"/>
      <c r="H537" s="2"/>
      <c r="I537" s="30"/>
    </row>
    <row r="538" spans="4:9">
      <c r="D538" s="47"/>
      <c r="E538" s="143"/>
      <c r="H538" s="2"/>
      <c r="I538" s="30"/>
    </row>
    <row r="539" spans="4:9">
      <c r="D539" s="47"/>
      <c r="E539" s="143"/>
      <c r="H539" s="2"/>
      <c r="I539" s="30"/>
    </row>
    <row r="540" spans="4:9">
      <c r="D540" s="47"/>
      <c r="E540" s="143"/>
      <c r="H540" s="2"/>
      <c r="I540" s="30"/>
    </row>
    <row r="541" spans="4:9">
      <c r="D541" s="47"/>
      <c r="E541" s="143"/>
      <c r="H541" s="2"/>
      <c r="I541" s="30"/>
    </row>
    <row r="542" spans="4:9">
      <c r="D542" s="47"/>
      <c r="E542" s="143"/>
      <c r="H542" s="2"/>
      <c r="I542" s="30"/>
    </row>
    <row r="543" spans="4:9">
      <c r="D543" s="47"/>
      <c r="E543" s="143"/>
      <c r="H543" s="2"/>
      <c r="I543" s="30"/>
    </row>
    <row r="544" spans="4:9">
      <c r="D544" s="47"/>
      <c r="E544" s="143"/>
      <c r="H544" s="2"/>
      <c r="I544" s="30"/>
    </row>
    <row r="545" spans="4:9">
      <c r="D545" s="47"/>
      <c r="E545" s="143"/>
      <c r="H545" s="2"/>
      <c r="I545" s="30"/>
    </row>
    <row r="546" spans="4:9">
      <c r="D546" s="47"/>
      <c r="E546" s="143"/>
      <c r="H546" s="2"/>
      <c r="I546" s="30"/>
    </row>
    <row r="547" spans="4:9">
      <c r="D547" s="47"/>
      <c r="E547" s="143"/>
      <c r="H547" s="2"/>
      <c r="I547" s="30"/>
    </row>
    <row r="548" spans="4:9">
      <c r="D548" s="47"/>
      <c r="E548" s="143"/>
      <c r="H548" s="2"/>
      <c r="I548" s="30"/>
    </row>
    <row r="549" spans="4:9">
      <c r="D549" s="47"/>
      <c r="E549" s="143"/>
      <c r="H549" s="2"/>
      <c r="I549" s="30"/>
    </row>
    <row r="550" spans="4:9">
      <c r="D550" s="47"/>
      <c r="E550" s="143"/>
      <c r="H550" s="2"/>
      <c r="I550" s="30"/>
    </row>
    <row r="551" spans="4:9">
      <c r="D551" s="47"/>
      <c r="E551" s="143"/>
      <c r="H551" s="2"/>
      <c r="I551" s="30"/>
    </row>
    <row r="552" spans="4:9">
      <c r="D552" s="47"/>
      <c r="E552" s="143"/>
      <c r="H552" s="2"/>
      <c r="I552" s="30"/>
    </row>
    <row r="553" spans="4:9">
      <c r="D553" s="47"/>
      <c r="E553" s="143"/>
      <c r="H553" s="2"/>
      <c r="I553" s="30"/>
    </row>
    <row r="554" spans="4:9">
      <c r="D554" s="47"/>
      <c r="E554" s="143"/>
      <c r="H554" s="2"/>
      <c r="I554" s="30"/>
    </row>
    <row r="555" spans="4:9">
      <c r="D555" s="47"/>
      <c r="E555" s="143"/>
      <c r="H555" s="2"/>
      <c r="I555" s="30"/>
    </row>
    <row r="556" spans="4:9">
      <c r="D556" s="47"/>
      <c r="E556" s="143"/>
      <c r="H556" s="2"/>
      <c r="I556" s="30"/>
    </row>
    <row r="557" spans="4:9">
      <c r="D557" s="47"/>
      <c r="E557" s="143"/>
      <c r="H557" s="2"/>
      <c r="I557" s="30"/>
    </row>
    <row r="558" spans="4:9">
      <c r="D558" s="47"/>
      <c r="E558" s="143"/>
      <c r="H558" s="2"/>
      <c r="I558" s="30"/>
    </row>
    <row r="559" spans="4:9">
      <c r="D559" s="47"/>
      <c r="E559" s="143"/>
      <c r="H559" s="2"/>
      <c r="I559" s="30"/>
    </row>
    <row r="560" spans="4:9">
      <c r="D560" s="47"/>
      <c r="E560" s="143"/>
      <c r="H560" s="2"/>
      <c r="I560" s="30"/>
    </row>
    <row r="561" spans="4:9">
      <c r="D561" s="47"/>
      <c r="E561" s="143"/>
      <c r="H561" s="2"/>
      <c r="I561" s="30"/>
    </row>
    <row r="562" spans="4:9">
      <c r="D562" s="47"/>
      <c r="E562" s="143"/>
      <c r="H562" s="2"/>
      <c r="I562" s="30"/>
    </row>
    <row r="563" spans="4:9">
      <c r="D563" s="47"/>
      <c r="E563" s="143"/>
      <c r="H563" s="2"/>
      <c r="I563" s="30"/>
    </row>
    <row r="564" spans="4:9">
      <c r="D564" s="47"/>
      <c r="E564" s="143"/>
      <c r="H564" s="2"/>
      <c r="I564" s="30"/>
    </row>
    <row r="565" spans="4:9">
      <c r="D565" s="47"/>
      <c r="E565" s="143"/>
      <c r="H565" s="2"/>
      <c r="I565" s="30"/>
    </row>
    <row r="566" spans="4:9">
      <c r="D566" s="47"/>
      <c r="E566" s="143"/>
      <c r="H566" s="2"/>
      <c r="I566" s="30"/>
    </row>
    <row r="567" spans="4:9">
      <c r="D567" s="47"/>
      <c r="E567" s="143"/>
      <c r="H567" s="2"/>
      <c r="I567" s="30"/>
    </row>
    <row r="568" spans="4:9">
      <c r="D568" s="47"/>
      <c r="E568" s="143"/>
      <c r="H568" s="2"/>
      <c r="I568" s="30"/>
    </row>
    <row r="569" spans="4:9">
      <c r="D569" s="47"/>
      <c r="E569" s="143"/>
      <c r="H569" s="2"/>
      <c r="I569" s="30"/>
    </row>
    <row r="570" spans="4:9">
      <c r="D570" s="47"/>
      <c r="E570" s="143"/>
      <c r="H570" s="2"/>
      <c r="I570" s="30"/>
    </row>
    <row r="571" spans="4:9">
      <c r="D571" s="47"/>
      <c r="E571" s="143"/>
      <c r="H571" s="2"/>
      <c r="I571" s="30"/>
    </row>
    <row r="572" spans="4:9">
      <c r="D572" s="47"/>
      <c r="E572" s="143"/>
      <c r="H572" s="2"/>
      <c r="I572" s="30"/>
    </row>
    <row r="573" spans="4:9">
      <c r="D573" s="47"/>
      <c r="E573" s="143"/>
      <c r="H573" s="2"/>
      <c r="I573" s="30"/>
    </row>
    <row r="574" spans="4:9">
      <c r="D574" s="47"/>
      <c r="E574" s="143"/>
      <c r="H574" s="2"/>
      <c r="I574" s="30"/>
    </row>
    <row r="575" spans="4:9">
      <c r="D575" s="47"/>
      <c r="E575" s="143"/>
      <c r="H575" s="2"/>
      <c r="I575" s="30"/>
    </row>
    <row r="576" spans="4:9">
      <c r="D576" s="47"/>
      <c r="E576" s="143"/>
      <c r="H576" s="2"/>
      <c r="I576" s="30"/>
    </row>
    <row r="577" spans="4:9">
      <c r="D577" s="47"/>
      <c r="E577" s="143"/>
      <c r="H577" s="2"/>
      <c r="I577" s="30"/>
    </row>
    <row r="578" spans="4:9">
      <c r="D578" s="47"/>
      <c r="E578" s="143"/>
      <c r="H578" s="2"/>
      <c r="I578" s="30"/>
    </row>
    <row r="579" spans="4:9">
      <c r="D579" s="47"/>
      <c r="E579" s="143"/>
      <c r="H579" s="2"/>
      <c r="I579" s="30"/>
    </row>
    <row r="580" spans="4:9">
      <c r="D580" s="47"/>
      <c r="E580" s="143"/>
      <c r="H580" s="2"/>
      <c r="I580" s="30"/>
    </row>
    <row r="581" spans="4:9">
      <c r="D581" s="47"/>
      <c r="E581" s="143"/>
      <c r="H581" s="2"/>
      <c r="I581" s="30"/>
    </row>
    <row r="582" spans="4:9">
      <c r="D582" s="47"/>
      <c r="E582" s="143"/>
      <c r="H582" s="2"/>
      <c r="I582" s="30"/>
    </row>
    <row r="583" spans="4:9">
      <c r="D583" s="47"/>
      <c r="E583" s="143"/>
      <c r="H583" s="2"/>
      <c r="I583" s="30"/>
    </row>
    <row r="584" spans="4:9">
      <c r="D584" s="47"/>
      <c r="E584" s="143"/>
      <c r="H584" s="2"/>
      <c r="I584" s="30"/>
    </row>
    <row r="585" spans="4:9">
      <c r="D585" s="47"/>
      <c r="E585" s="143"/>
      <c r="H585" s="2"/>
      <c r="I585" s="30"/>
    </row>
    <row r="586" spans="4:9">
      <c r="D586" s="47"/>
      <c r="E586" s="143"/>
      <c r="H586" s="2"/>
      <c r="I586" s="30"/>
    </row>
    <row r="587" spans="4:9">
      <c r="D587" s="47"/>
      <c r="E587" s="143"/>
      <c r="H587" s="2"/>
      <c r="I587" s="30"/>
    </row>
    <row r="588" spans="4:9">
      <c r="D588" s="47"/>
      <c r="E588" s="143"/>
      <c r="H588" s="2"/>
      <c r="I588" s="30"/>
    </row>
    <row r="589" spans="4:9">
      <c r="D589" s="47"/>
      <c r="E589" s="143"/>
      <c r="H589" s="2"/>
      <c r="I589" s="30"/>
    </row>
    <row r="590" spans="4:9">
      <c r="D590" s="47"/>
      <c r="E590" s="143"/>
      <c r="H590" s="2"/>
      <c r="I590" s="30"/>
    </row>
    <row r="591" spans="4:9">
      <c r="D591" s="47"/>
      <c r="E591" s="143"/>
      <c r="H591" s="2"/>
      <c r="I591" s="30"/>
    </row>
    <row r="592" spans="4:9">
      <c r="D592" s="47"/>
      <c r="E592" s="143"/>
      <c r="H592" s="2"/>
      <c r="I592" s="30"/>
    </row>
    <row r="593" spans="4:9">
      <c r="D593" s="47"/>
      <c r="E593" s="143"/>
      <c r="H593" s="2"/>
      <c r="I593" s="30"/>
    </row>
    <row r="594" spans="4:9">
      <c r="D594" s="47"/>
      <c r="E594" s="143"/>
      <c r="H594" s="2"/>
      <c r="I594" s="30"/>
    </row>
    <row r="595" spans="4:9">
      <c r="D595" s="47"/>
      <c r="E595" s="143"/>
      <c r="H595" s="2"/>
      <c r="I595" s="30"/>
    </row>
    <row r="596" spans="4:9">
      <c r="D596" s="47"/>
      <c r="E596" s="143"/>
      <c r="H596" s="2"/>
      <c r="I596" s="30"/>
    </row>
    <row r="597" spans="4:9">
      <c r="D597" s="47"/>
      <c r="E597" s="143"/>
      <c r="H597" s="2"/>
      <c r="I597" s="30"/>
    </row>
    <row r="598" spans="4:9">
      <c r="D598" s="47"/>
      <c r="E598" s="143"/>
      <c r="H598" s="2"/>
      <c r="I598" s="30"/>
    </row>
    <row r="599" spans="4:9">
      <c r="D599" s="47"/>
      <c r="E599" s="143"/>
      <c r="H599" s="2"/>
      <c r="I599" s="30"/>
    </row>
    <row r="600" spans="4:9">
      <c r="D600" s="47"/>
      <c r="E600" s="143"/>
      <c r="H600" s="2"/>
      <c r="I600" s="30"/>
    </row>
    <row r="601" spans="4:9">
      <c r="D601" s="47"/>
      <c r="E601" s="143"/>
      <c r="H601" s="2"/>
      <c r="I601" s="30"/>
    </row>
    <row r="602" spans="4:9">
      <c r="D602" s="47"/>
      <c r="E602" s="143"/>
      <c r="H602" s="2"/>
      <c r="I602" s="30"/>
    </row>
    <row r="603" spans="4:9">
      <c r="D603" s="47"/>
      <c r="E603" s="143"/>
      <c r="H603" s="2"/>
      <c r="I603" s="30"/>
    </row>
    <row r="604" spans="4:9">
      <c r="D604" s="47"/>
      <c r="E604" s="143"/>
      <c r="H604" s="2"/>
      <c r="I604" s="30"/>
    </row>
    <row r="605" spans="4:9">
      <c r="D605" s="47"/>
      <c r="E605" s="143"/>
      <c r="H605" s="2"/>
      <c r="I605" s="30"/>
    </row>
    <row r="606" spans="4:9">
      <c r="D606" s="47"/>
      <c r="E606" s="143"/>
      <c r="H606" s="2"/>
      <c r="I606" s="30"/>
    </row>
    <row r="607" spans="4:9">
      <c r="D607" s="47"/>
      <c r="E607" s="143"/>
      <c r="H607" s="2"/>
      <c r="I607" s="30"/>
    </row>
    <row r="608" spans="4:9">
      <c r="D608" s="47"/>
      <c r="E608" s="143"/>
      <c r="H608" s="2"/>
      <c r="I608" s="30"/>
    </row>
    <row r="609" spans="4:9">
      <c r="D609" s="47"/>
      <c r="E609" s="143"/>
      <c r="H609" s="2"/>
      <c r="I609" s="30"/>
    </row>
    <row r="610" spans="4:9">
      <c r="D610" s="47"/>
      <c r="E610" s="143"/>
      <c r="H610" s="2"/>
      <c r="I610" s="30"/>
    </row>
    <row r="611" spans="4:9">
      <c r="D611" s="47"/>
      <c r="E611" s="143"/>
      <c r="H611" s="2"/>
      <c r="I611" s="30"/>
    </row>
    <row r="612" spans="4:9">
      <c r="D612" s="47"/>
      <c r="E612" s="143"/>
      <c r="H612" s="2"/>
      <c r="I612" s="30"/>
    </row>
    <row r="613" spans="4:9">
      <c r="D613" s="47"/>
      <c r="E613" s="143"/>
      <c r="H613" s="2"/>
      <c r="I613" s="30"/>
    </row>
    <row r="614" spans="4:9">
      <c r="D614" s="47"/>
      <c r="E614" s="143"/>
      <c r="H614" s="2"/>
      <c r="I614" s="30"/>
    </row>
    <row r="615" spans="4:9">
      <c r="D615" s="47"/>
      <c r="E615" s="143"/>
      <c r="H615" s="2"/>
      <c r="I615" s="30"/>
    </row>
    <row r="616" spans="4:9">
      <c r="D616" s="47"/>
      <c r="E616" s="143"/>
      <c r="H616" s="2"/>
      <c r="I616" s="30"/>
    </row>
    <row r="617" spans="4:9">
      <c r="D617" s="47"/>
      <c r="E617" s="143"/>
      <c r="H617" s="2"/>
      <c r="I617" s="30"/>
    </row>
    <row r="618" spans="4:9">
      <c r="D618" s="47"/>
      <c r="E618" s="143"/>
      <c r="H618" s="2"/>
      <c r="I618" s="30"/>
    </row>
    <row r="619" spans="4:9">
      <c r="D619" s="47"/>
      <c r="E619" s="143"/>
      <c r="H619" s="2"/>
      <c r="I619" s="30"/>
    </row>
    <row r="620" spans="4:9">
      <c r="D620" s="47"/>
      <c r="E620" s="143"/>
      <c r="H620" s="2"/>
      <c r="I620" s="30"/>
    </row>
    <row r="621" spans="4:9">
      <c r="D621" s="47"/>
      <c r="E621" s="143"/>
      <c r="H621" s="2"/>
      <c r="I621" s="30"/>
    </row>
    <row r="622" spans="4:9">
      <c r="D622" s="47"/>
      <c r="E622" s="143"/>
      <c r="H622" s="2"/>
      <c r="I622" s="30"/>
    </row>
    <row r="623" spans="4:9">
      <c r="D623" s="47"/>
      <c r="E623" s="143"/>
      <c r="H623" s="2"/>
      <c r="I623" s="30"/>
    </row>
    <row r="624" spans="4:9">
      <c r="D624" s="47"/>
      <c r="E624" s="143"/>
      <c r="H624" s="2"/>
      <c r="I624" s="30"/>
    </row>
    <row r="625" spans="4:9">
      <c r="D625" s="47"/>
      <c r="E625" s="143"/>
      <c r="H625" s="2"/>
      <c r="I625" s="30"/>
    </row>
    <row r="626" spans="4:9">
      <c r="D626" s="47"/>
      <c r="E626" s="143"/>
      <c r="H626" s="2"/>
      <c r="I626" s="30"/>
    </row>
    <row r="627" spans="4:9">
      <c r="D627" s="47"/>
      <c r="E627" s="143"/>
      <c r="H627" s="2"/>
      <c r="I627" s="30"/>
    </row>
    <row r="628" spans="4:9">
      <c r="D628" s="47"/>
      <c r="E628" s="143"/>
      <c r="H628" s="2"/>
      <c r="I628" s="30"/>
    </row>
    <row r="629" spans="4:9">
      <c r="D629" s="47"/>
      <c r="E629" s="143"/>
      <c r="H629" s="2"/>
      <c r="I629" s="30"/>
    </row>
    <row r="630" spans="4:9">
      <c r="D630" s="47"/>
      <c r="E630" s="143"/>
      <c r="H630" s="2"/>
      <c r="I630" s="30"/>
    </row>
    <row r="631" spans="4:9">
      <c r="D631" s="47"/>
      <c r="E631" s="143"/>
      <c r="H631" s="2"/>
      <c r="I631" s="30"/>
    </row>
    <row r="632" spans="4:9">
      <c r="D632" s="47"/>
      <c r="E632" s="143"/>
      <c r="H632" s="2"/>
      <c r="I632" s="30"/>
    </row>
    <row r="633" spans="4:9">
      <c r="D633" s="47"/>
      <c r="E633" s="143"/>
      <c r="H633" s="2"/>
      <c r="I633" s="30"/>
    </row>
    <row r="634" spans="4:9">
      <c r="D634" s="47"/>
      <c r="E634" s="143"/>
      <c r="H634" s="2"/>
      <c r="I634" s="30"/>
    </row>
    <row r="635" spans="4:9">
      <c r="D635" s="47"/>
      <c r="E635" s="143"/>
      <c r="H635" s="2"/>
      <c r="I635" s="30"/>
    </row>
    <row r="636" spans="4:9">
      <c r="D636" s="47"/>
      <c r="E636" s="143"/>
      <c r="H636" s="2"/>
      <c r="I636" s="30"/>
    </row>
    <row r="637" spans="4:9">
      <c r="D637" s="47"/>
      <c r="E637" s="143"/>
      <c r="H637" s="2"/>
      <c r="I637" s="30"/>
    </row>
    <row r="638" spans="4:9">
      <c r="D638" s="47"/>
      <c r="E638" s="143"/>
      <c r="H638" s="2"/>
      <c r="I638" s="30"/>
    </row>
    <row r="639" spans="4:9">
      <c r="D639" s="47"/>
      <c r="E639" s="143"/>
      <c r="H639" s="2"/>
      <c r="I639" s="30"/>
    </row>
    <row r="640" spans="4:9">
      <c r="D640" s="47"/>
      <c r="E640" s="143"/>
      <c r="H640" s="2"/>
      <c r="I640" s="30"/>
    </row>
    <row r="641" spans="4:9">
      <c r="D641" s="47"/>
      <c r="E641" s="143"/>
      <c r="H641" s="2"/>
      <c r="I641" s="30"/>
    </row>
    <row r="642" spans="4:9">
      <c r="D642" s="47"/>
      <c r="E642" s="143"/>
      <c r="H642" s="2"/>
      <c r="I642" s="30"/>
    </row>
    <row r="643" spans="4:9">
      <c r="D643" s="47"/>
      <c r="E643" s="143"/>
      <c r="H643" s="2"/>
      <c r="I643" s="30"/>
    </row>
    <row r="644" spans="4:9">
      <c r="D644" s="47"/>
      <c r="E644" s="143"/>
      <c r="H644" s="2"/>
      <c r="I644" s="30"/>
    </row>
    <row r="645" spans="4:9">
      <c r="D645" s="47"/>
      <c r="E645" s="143"/>
      <c r="H645" s="2"/>
      <c r="I645" s="30"/>
    </row>
    <row r="646" spans="4:9">
      <c r="D646" s="47"/>
      <c r="E646" s="143"/>
      <c r="H646" s="2"/>
      <c r="I646" s="30"/>
    </row>
    <row r="647" spans="4:9">
      <c r="D647" s="47"/>
      <c r="E647" s="143"/>
      <c r="H647" s="2"/>
      <c r="I647" s="30"/>
    </row>
    <row r="648" spans="4:9">
      <c r="D648" s="47"/>
      <c r="E648" s="143"/>
      <c r="H648" s="2"/>
      <c r="I648" s="30"/>
    </row>
    <row r="649" spans="4:9">
      <c r="D649" s="47"/>
      <c r="E649" s="143"/>
      <c r="H649" s="2"/>
      <c r="I649" s="30"/>
    </row>
    <row r="650" spans="4:9">
      <c r="D650" s="47"/>
      <c r="E650" s="143"/>
      <c r="H650" s="2"/>
      <c r="I650" s="30"/>
    </row>
    <row r="651" spans="4:9">
      <c r="D651" s="47"/>
      <c r="E651" s="143"/>
      <c r="H651" s="2"/>
      <c r="I651" s="30"/>
    </row>
    <row r="652" spans="4:9">
      <c r="D652" s="47"/>
      <c r="E652" s="143"/>
      <c r="H652" s="2"/>
      <c r="I652" s="30"/>
    </row>
    <row r="653" spans="4:9">
      <c r="D653" s="47"/>
      <c r="E653" s="143"/>
      <c r="H653" s="2"/>
      <c r="I653" s="30"/>
    </row>
    <row r="654" spans="4:9">
      <c r="D654" s="47"/>
      <c r="E654" s="143"/>
      <c r="H654" s="2"/>
      <c r="I654" s="30"/>
    </row>
    <row r="655" spans="4:9">
      <c r="D655" s="47"/>
      <c r="E655" s="143"/>
      <c r="H655" s="2"/>
      <c r="I655" s="30"/>
    </row>
    <row r="656" spans="4:9">
      <c r="D656" s="47"/>
      <c r="E656" s="143"/>
      <c r="H656" s="2"/>
      <c r="I656" s="30"/>
    </row>
    <row r="657" spans="4:9">
      <c r="D657" s="47"/>
      <c r="E657" s="143"/>
      <c r="H657" s="2"/>
      <c r="I657" s="30"/>
    </row>
    <row r="658" spans="4:9">
      <c r="D658" s="47"/>
      <c r="E658" s="143"/>
      <c r="H658" s="2"/>
      <c r="I658" s="30"/>
    </row>
    <row r="659" spans="4:9">
      <c r="D659" s="47"/>
      <c r="E659" s="143"/>
      <c r="H659" s="2"/>
      <c r="I659" s="30"/>
    </row>
    <row r="660" spans="4:9">
      <c r="D660" s="47"/>
      <c r="E660" s="143"/>
      <c r="H660" s="2"/>
      <c r="I660" s="30"/>
    </row>
    <row r="661" spans="4:9">
      <c r="D661" s="47"/>
      <c r="E661" s="143"/>
      <c r="H661" s="2"/>
      <c r="I661" s="30"/>
    </row>
    <row r="662" spans="4:9">
      <c r="D662" s="47"/>
      <c r="E662" s="143"/>
      <c r="H662" s="2"/>
      <c r="I662" s="30"/>
    </row>
    <row r="663" spans="4:9">
      <c r="D663" s="47"/>
      <c r="E663" s="143"/>
      <c r="H663" s="2"/>
      <c r="I663" s="30"/>
    </row>
    <row r="664" spans="4:9">
      <c r="D664" s="47"/>
      <c r="E664" s="143"/>
      <c r="H664" s="2"/>
      <c r="I664" s="30"/>
    </row>
    <row r="665" spans="4:9">
      <c r="D665" s="47"/>
      <c r="E665" s="143"/>
      <c r="H665" s="2"/>
      <c r="I665" s="30"/>
    </row>
    <row r="666" spans="4:9">
      <c r="D666" s="47"/>
      <c r="E666" s="143"/>
      <c r="H666" s="2"/>
      <c r="I666" s="30"/>
    </row>
    <row r="667" spans="4:9">
      <c r="D667" s="47"/>
      <c r="E667" s="143"/>
      <c r="H667" s="2"/>
      <c r="I667" s="30"/>
    </row>
    <row r="668" spans="4:9">
      <c r="D668" s="47"/>
      <c r="E668" s="143"/>
      <c r="H668" s="2"/>
      <c r="I668" s="30"/>
    </row>
    <row r="669" spans="4:9">
      <c r="D669" s="47"/>
      <c r="E669" s="143"/>
      <c r="H669" s="2"/>
      <c r="I669" s="30"/>
    </row>
    <row r="670" spans="4:9">
      <c r="D670" s="47"/>
      <c r="E670" s="143"/>
      <c r="H670" s="2"/>
      <c r="I670" s="30"/>
    </row>
    <row r="671" spans="4:9">
      <c r="D671" s="47"/>
      <c r="E671" s="143"/>
      <c r="H671" s="2"/>
      <c r="I671" s="30"/>
    </row>
    <row r="672" spans="4:9">
      <c r="D672" s="47"/>
      <c r="E672" s="143"/>
      <c r="H672" s="2"/>
      <c r="I672" s="30"/>
    </row>
    <row r="673" spans="4:9">
      <c r="D673" s="47"/>
      <c r="E673" s="143"/>
      <c r="H673" s="2"/>
      <c r="I673" s="30"/>
    </row>
    <row r="674" spans="4:9">
      <c r="D674" s="47"/>
      <c r="E674" s="143"/>
      <c r="H674" s="2"/>
      <c r="I674" s="30"/>
    </row>
    <row r="675" spans="4:9">
      <c r="D675" s="47"/>
      <c r="E675" s="143"/>
      <c r="H675" s="2"/>
      <c r="I675" s="30"/>
    </row>
    <row r="676" spans="4:9">
      <c r="D676" s="47"/>
      <c r="E676" s="143"/>
      <c r="H676" s="2"/>
      <c r="I676" s="30"/>
    </row>
    <row r="677" spans="4:9">
      <c r="D677" s="47"/>
      <c r="E677" s="143"/>
      <c r="H677" s="2"/>
      <c r="I677" s="30"/>
    </row>
    <row r="678" spans="4:9">
      <c r="D678" s="47"/>
      <c r="E678" s="143"/>
      <c r="H678" s="2"/>
      <c r="I678" s="30"/>
    </row>
    <row r="679" spans="4:9">
      <c r="D679" s="47"/>
      <c r="E679" s="143"/>
      <c r="H679" s="2"/>
      <c r="I679" s="30"/>
    </row>
    <row r="680" spans="4:9">
      <c r="D680" s="47"/>
      <c r="E680" s="143"/>
      <c r="H680" s="2"/>
      <c r="I680" s="30"/>
    </row>
    <row r="681" spans="4:9">
      <c r="D681" s="47"/>
      <c r="E681" s="143"/>
      <c r="H681" s="2"/>
      <c r="I681" s="30"/>
    </row>
    <row r="682" spans="4:9">
      <c r="D682" s="47"/>
      <c r="E682" s="143"/>
      <c r="H682" s="2"/>
      <c r="I682" s="30"/>
    </row>
    <row r="683" spans="4:9">
      <c r="D683" s="47"/>
      <c r="E683" s="143"/>
      <c r="H683" s="2"/>
      <c r="I683" s="30"/>
    </row>
    <row r="684" spans="4:9">
      <c r="D684" s="47"/>
      <c r="E684" s="143"/>
      <c r="H684" s="2"/>
      <c r="I684" s="30"/>
    </row>
    <row r="685" spans="4:9">
      <c r="D685" s="47"/>
      <c r="E685" s="143"/>
      <c r="H685" s="2"/>
      <c r="I685" s="30"/>
    </row>
    <row r="686" spans="4:9">
      <c r="D686" s="47"/>
      <c r="E686" s="143"/>
      <c r="H686" s="2"/>
      <c r="I686" s="30"/>
    </row>
    <row r="687" spans="4:9">
      <c r="D687" s="47"/>
      <c r="E687" s="143"/>
      <c r="H687" s="2"/>
      <c r="I687" s="30"/>
    </row>
    <row r="688" spans="4:9">
      <c r="D688" s="47"/>
      <c r="E688" s="143"/>
      <c r="H688" s="2"/>
      <c r="I688" s="30"/>
    </row>
    <row r="689" spans="4:9">
      <c r="D689" s="47"/>
      <c r="E689" s="143"/>
      <c r="H689" s="2"/>
      <c r="I689" s="30"/>
    </row>
    <row r="690" spans="4:9">
      <c r="D690" s="47"/>
      <c r="E690" s="143"/>
      <c r="H690" s="2"/>
      <c r="I690" s="30"/>
    </row>
    <row r="691" spans="4:9">
      <c r="D691" s="47"/>
      <c r="E691" s="143"/>
      <c r="H691" s="2"/>
      <c r="I691" s="30"/>
    </row>
    <row r="692" spans="4:9">
      <c r="D692" s="47"/>
      <c r="E692" s="143"/>
      <c r="H692" s="2"/>
      <c r="I692" s="30"/>
    </row>
    <row r="693" spans="4:9">
      <c r="D693" s="47"/>
      <c r="E693" s="143"/>
      <c r="H693" s="2"/>
      <c r="I693" s="30"/>
    </row>
    <row r="694" spans="4:9">
      <c r="D694" s="47"/>
      <c r="E694" s="143"/>
      <c r="H694" s="2"/>
      <c r="I694" s="30"/>
    </row>
    <row r="695" spans="4:9">
      <c r="D695" s="47"/>
      <c r="E695" s="143"/>
      <c r="H695" s="2"/>
      <c r="I695" s="30"/>
    </row>
    <row r="696" spans="4:9">
      <c r="D696" s="47"/>
      <c r="E696" s="143"/>
      <c r="H696" s="2"/>
      <c r="I696" s="30"/>
    </row>
    <row r="697" spans="4:9">
      <c r="D697" s="47"/>
      <c r="E697" s="143"/>
      <c r="H697" s="2"/>
      <c r="I697" s="30"/>
    </row>
    <row r="698" spans="4:9">
      <c r="D698" s="47"/>
      <c r="E698" s="143"/>
      <c r="H698" s="2"/>
      <c r="I698" s="30"/>
    </row>
    <row r="699" spans="4:9">
      <c r="D699" s="47"/>
      <c r="E699" s="143"/>
      <c r="H699" s="2"/>
      <c r="I699" s="30"/>
    </row>
    <row r="700" spans="4:9">
      <c r="D700" s="47"/>
      <c r="E700" s="143"/>
      <c r="H700" s="2"/>
      <c r="I700" s="30"/>
    </row>
    <row r="701" spans="4:9">
      <c r="D701" s="47"/>
      <c r="E701" s="143"/>
      <c r="H701" s="2"/>
      <c r="I701" s="30"/>
    </row>
    <row r="702" spans="4:9">
      <c r="D702" s="47"/>
      <c r="E702" s="143"/>
      <c r="H702" s="2"/>
      <c r="I702" s="30"/>
    </row>
    <row r="703" spans="4:9">
      <c r="D703" s="47"/>
      <c r="E703" s="143"/>
      <c r="H703" s="2"/>
      <c r="I703" s="30"/>
    </row>
    <row r="704" spans="4:9">
      <c r="D704" s="47"/>
      <c r="E704" s="143"/>
      <c r="H704" s="2"/>
      <c r="I704" s="30"/>
    </row>
    <row r="705" spans="4:9">
      <c r="D705" s="47"/>
      <c r="E705" s="143"/>
      <c r="H705" s="2"/>
      <c r="I705" s="30"/>
    </row>
    <row r="706" spans="4:9">
      <c r="D706" s="47"/>
      <c r="E706" s="143"/>
      <c r="H706" s="2"/>
      <c r="I706" s="30"/>
    </row>
    <row r="707" spans="4:9">
      <c r="D707" s="47"/>
      <c r="E707" s="143"/>
      <c r="H707" s="2"/>
      <c r="I707" s="30"/>
    </row>
    <row r="708" spans="4:9">
      <c r="D708" s="47"/>
      <c r="E708" s="143"/>
      <c r="H708" s="2"/>
      <c r="I708" s="30"/>
    </row>
    <row r="709" spans="4:9">
      <c r="D709" s="47"/>
      <c r="E709" s="143"/>
      <c r="H709" s="2"/>
      <c r="I709" s="30"/>
    </row>
    <row r="710" spans="4:9">
      <c r="D710" s="47"/>
      <c r="E710" s="143"/>
      <c r="H710" s="2"/>
      <c r="I710" s="30"/>
    </row>
    <row r="711" spans="4:9">
      <c r="D711" s="47"/>
      <c r="E711" s="143"/>
      <c r="H711" s="2"/>
      <c r="I711" s="30"/>
    </row>
    <row r="712" spans="4:9">
      <c r="D712" s="47"/>
      <c r="E712" s="143"/>
      <c r="H712" s="2"/>
      <c r="I712" s="30"/>
    </row>
    <row r="713" spans="4:9">
      <c r="D713" s="47"/>
      <c r="E713" s="143"/>
      <c r="H713" s="2"/>
      <c r="I713" s="30"/>
    </row>
    <row r="714" spans="4:9">
      <c r="D714" s="47"/>
      <c r="E714" s="143"/>
      <c r="H714" s="2"/>
      <c r="I714" s="30"/>
    </row>
    <row r="715" spans="4:9">
      <c r="D715" s="47"/>
      <c r="E715" s="143"/>
      <c r="H715" s="2"/>
      <c r="I715" s="30"/>
    </row>
    <row r="716" spans="4:9">
      <c r="D716" s="47"/>
      <c r="E716" s="143"/>
      <c r="H716" s="2"/>
      <c r="I716" s="30"/>
    </row>
    <row r="717" spans="4:9">
      <c r="D717" s="47"/>
      <c r="E717" s="143"/>
      <c r="H717" s="2"/>
      <c r="I717" s="30"/>
    </row>
    <row r="718" spans="4:9">
      <c r="D718" s="47"/>
      <c r="E718" s="143"/>
      <c r="H718" s="2"/>
      <c r="I718" s="30"/>
    </row>
    <row r="719" spans="4:9">
      <c r="D719" s="47"/>
      <c r="E719" s="143"/>
      <c r="H719" s="2"/>
      <c r="I719" s="30"/>
    </row>
    <row r="720" spans="4:9">
      <c r="D720" s="47"/>
      <c r="E720" s="143"/>
      <c r="H720" s="2"/>
      <c r="I720" s="30"/>
    </row>
    <row r="721" spans="4:9">
      <c r="D721" s="47"/>
      <c r="E721" s="143"/>
      <c r="H721" s="2"/>
      <c r="I721" s="30"/>
    </row>
    <row r="722" spans="4:9">
      <c r="D722" s="47"/>
      <c r="E722" s="143"/>
      <c r="H722" s="2"/>
      <c r="I722" s="30"/>
    </row>
    <row r="723" spans="4:9">
      <c r="D723" s="47"/>
      <c r="E723" s="143"/>
      <c r="H723" s="2"/>
      <c r="I723" s="30"/>
    </row>
    <row r="724" spans="4:9">
      <c r="D724" s="47"/>
      <c r="E724" s="143"/>
      <c r="H724" s="2"/>
      <c r="I724" s="30"/>
    </row>
    <row r="725" spans="4:9">
      <c r="D725" s="47"/>
      <c r="E725" s="143"/>
      <c r="H725" s="2"/>
      <c r="I725" s="30"/>
    </row>
    <row r="726" spans="4:9">
      <c r="D726" s="47"/>
      <c r="E726" s="143"/>
      <c r="H726" s="2"/>
      <c r="I726" s="30"/>
    </row>
    <row r="727" spans="4:9">
      <c r="D727" s="47"/>
      <c r="E727" s="143"/>
      <c r="H727" s="2"/>
      <c r="I727" s="30"/>
    </row>
    <row r="728" spans="4:9">
      <c r="D728" s="47"/>
      <c r="E728" s="143"/>
      <c r="H728" s="2"/>
      <c r="I728" s="30"/>
    </row>
    <row r="729" spans="4:9">
      <c r="D729" s="47"/>
      <c r="E729" s="143"/>
      <c r="H729" s="2"/>
      <c r="I729" s="30"/>
    </row>
    <row r="730" spans="4:9">
      <c r="D730" s="47"/>
      <c r="E730" s="143"/>
      <c r="H730" s="2"/>
      <c r="I730" s="30"/>
    </row>
    <row r="731" spans="4:9">
      <c r="D731" s="47"/>
      <c r="E731" s="143"/>
      <c r="H731" s="2"/>
      <c r="I731" s="30"/>
    </row>
    <row r="732" spans="4:9">
      <c r="D732" s="47"/>
      <c r="E732" s="143"/>
      <c r="H732" s="2"/>
      <c r="I732" s="30"/>
    </row>
    <row r="733" spans="4:9">
      <c r="D733" s="47"/>
      <c r="E733" s="143"/>
      <c r="H733" s="2"/>
      <c r="I733" s="30"/>
    </row>
    <row r="734" spans="4:9">
      <c r="D734" s="47"/>
      <c r="E734" s="143"/>
      <c r="H734" s="2"/>
      <c r="I734" s="30"/>
    </row>
    <row r="735" spans="4:9">
      <c r="D735" s="47"/>
      <c r="E735" s="143"/>
      <c r="H735" s="2"/>
      <c r="I735" s="30"/>
    </row>
    <row r="736" spans="4:9">
      <c r="D736" s="47"/>
      <c r="E736" s="143"/>
      <c r="H736" s="2"/>
      <c r="I736" s="30"/>
    </row>
    <row r="737" spans="4:9">
      <c r="D737" s="47"/>
      <c r="E737" s="143"/>
      <c r="H737" s="2"/>
      <c r="I737" s="30"/>
    </row>
    <row r="738" spans="4:9">
      <c r="D738" s="47"/>
      <c r="E738" s="143"/>
      <c r="H738" s="2"/>
      <c r="I738" s="30"/>
    </row>
    <row r="739" spans="4:9">
      <c r="D739" s="47"/>
      <c r="E739" s="143"/>
      <c r="H739" s="2"/>
      <c r="I739" s="30"/>
    </row>
    <row r="740" spans="4:9">
      <c r="D740" s="47"/>
      <c r="E740" s="143"/>
      <c r="H740" s="2"/>
      <c r="I740" s="30"/>
    </row>
    <row r="741" spans="4:9">
      <c r="D741" s="47"/>
      <c r="E741" s="143"/>
      <c r="H741" s="2"/>
      <c r="I741" s="30"/>
    </row>
    <row r="742" spans="4:9">
      <c r="D742" s="47"/>
      <c r="E742" s="143"/>
      <c r="H742" s="2"/>
      <c r="I742" s="30"/>
    </row>
    <row r="743" spans="4:9">
      <c r="D743" s="47"/>
      <c r="E743" s="143"/>
      <c r="H743" s="2"/>
      <c r="I743" s="30"/>
    </row>
    <row r="744" spans="4:9">
      <c r="D744" s="47"/>
      <c r="E744" s="143"/>
      <c r="H744" s="2"/>
      <c r="I744" s="30"/>
    </row>
    <row r="745" spans="4:9">
      <c r="D745" s="47"/>
      <c r="E745" s="143"/>
      <c r="H745" s="2"/>
      <c r="I745" s="30"/>
    </row>
    <row r="746" spans="4:9">
      <c r="D746" s="47"/>
      <c r="E746" s="143"/>
      <c r="H746" s="2"/>
      <c r="I746" s="30"/>
    </row>
    <row r="747" spans="4:9">
      <c r="D747" s="47"/>
      <c r="E747" s="143"/>
      <c r="H747" s="2"/>
      <c r="I747" s="30"/>
    </row>
    <row r="748" spans="4:9">
      <c r="D748" s="47"/>
      <c r="E748" s="143"/>
      <c r="H748" s="2"/>
      <c r="I748" s="30"/>
    </row>
    <row r="749" spans="4:9">
      <c r="D749" s="47"/>
      <c r="E749" s="143"/>
      <c r="H749" s="2"/>
      <c r="I749" s="30"/>
    </row>
    <row r="750" spans="4:9">
      <c r="D750" s="47"/>
      <c r="E750" s="143"/>
      <c r="H750" s="2"/>
      <c r="I750" s="30"/>
    </row>
    <row r="751" spans="4:9">
      <c r="D751" s="47"/>
      <c r="E751" s="143"/>
      <c r="H751" s="2"/>
      <c r="I751" s="30"/>
    </row>
    <row r="752" spans="4:9">
      <c r="D752" s="47"/>
      <c r="E752" s="143"/>
      <c r="H752" s="2"/>
      <c r="I752" s="30"/>
    </row>
    <row r="753" spans="4:9">
      <c r="D753" s="47"/>
      <c r="E753" s="143"/>
      <c r="H753" s="2"/>
      <c r="I753" s="30"/>
    </row>
    <row r="754" spans="4:9">
      <c r="D754" s="47"/>
      <c r="E754" s="143"/>
      <c r="H754" s="2"/>
      <c r="I754" s="30"/>
    </row>
    <row r="755" spans="4:9">
      <c r="D755" s="47"/>
      <c r="E755" s="143"/>
      <c r="H755" s="2"/>
      <c r="I755" s="30"/>
    </row>
    <row r="756" spans="4:9">
      <c r="D756" s="47"/>
      <c r="E756" s="143"/>
      <c r="H756" s="2"/>
      <c r="I756" s="30"/>
    </row>
    <row r="757" spans="4:9">
      <c r="D757" s="47"/>
      <c r="E757" s="143"/>
      <c r="H757" s="2"/>
      <c r="I757" s="30"/>
    </row>
    <row r="758" spans="4:9">
      <c r="D758" s="47"/>
      <c r="E758" s="143"/>
      <c r="H758" s="2"/>
      <c r="I758" s="30"/>
    </row>
    <row r="759" spans="4:9">
      <c r="D759" s="47"/>
      <c r="E759" s="143"/>
      <c r="H759" s="2"/>
      <c r="I759" s="30"/>
    </row>
    <row r="760" spans="4:9">
      <c r="D760" s="47"/>
      <c r="E760" s="143"/>
      <c r="H760" s="2"/>
      <c r="I760" s="30"/>
    </row>
    <row r="761" spans="4:9">
      <c r="D761" s="47"/>
      <c r="E761" s="143"/>
      <c r="H761" s="2"/>
      <c r="I761" s="30"/>
    </row>
    <row r="762" spans="4:9">
      <c r="D762" s="47"/>
      <c r="E762" s="143"/>
      <c r="H762" s="2"/>
      <c r="I762" s="30"/>
    </row>
    <row r="763" spans="4:9">
      <c r="D763" s="47"/>
      <c r="E763" s="143"/>
      <c r="H763" s="2"/>
      <c r="I763" s="30"/>
    </row>
    <row r="764" spans="4:9">
      <c r="D764" s="47"/>
      <c r="E764" s="143"/>
      <c r="H764" s="2"/>
      <c r="I764" s="30"/>
    </row>
    <row r="765" spans="4:9">
      <c r="D765" s="47"/>
      <c r="E765" s="143"/>
      <c r="H765" s="2"/>
      <c r="I765" s="30"/>
    </row>
    <row r="766" spans="4:9">
      <c r="D766" s="47"/>
      <c r="E766" s="143"/>
      <c r="H766" s="2"/>
      <c r="I766" s="30"/>
    </row>
    <row r="767" spans="4:9">
      <c r="D767" s="47"/>
      <c r="E767" s="143"/>
      <c r="H767" s="2"/>
      <c r="I767" s="30"/>
    </row>
    <row r="768" spans="4:9">
      <c r="D768" s="47"/>
      <c r="E768" s="143"/>
      <c r="H768" s="2"/>
      <c r="I768" s="30"/>
    </row>
    <row r="769" spans="4:9">
      <c r="D769" s="47"/>
      <c r="E769" s="143"/>
      <c r="H769" s="2"/>
      <c r="I769" s="30"/>
    </row>
    <row r="770" spans="4:9">
      <c r="D770" s="47"/>
      <c r="E770" s="143"/>
      <c r="H770" s="2"/>
      <c r="I770" s="30"/>
    </row>
    <row r="771" spans="4:9">
      <c r="D771" s="47"/>
      <c r="E771" s="143"/>
      <c r="H771" s="2"/>
      <c r="I771" s="30"/>
    </row>
    <row r="772" spans="4:9">
      <c r="D772" s="47"/>
      <c r="E772" s="143"/>
      <c r="H772" s="2"/>
      <c r="I772" s="30"/>
    </row>
    <row r="773" spans="4:9">
      <c r="D773" s="47"/>
      <c r="E773" s="143"/>
      <c r="H773" s="2"/>
      <c r="I773" s="30"/>
    </row>
    <row r="774" spans="4:9">
      <c r="D774" s="47"/>
      <c r="E774" s="143"/>
      <c r="H774" s="2"/>
      <c r="I774" s="30"/>
    </row>
    <row r="775" spans="4:9">
      <c r="D775" s="47"/>
      <c r="E775" s="143"/>
      <c r="H775" s="2"/>
      <c r="I775" s="30"/>
    </row>
    <row r="776" spans="4:9">
      <c r="D776" s="47"/>
      <c r="E776" s="143"/>
      <c r="H776" s="2"/>
      <c r="I776" s="30"/>
    </row>
    <row r="777" spans="4:9">
      <c r="D777" s="47"/>
      <c r="E777" s="143"/>
      <c r="H777" s="2"/>
      <c r="I777" s="30"/>
    </row>
    <row r="778" spans="4:9">
      <c r="D778" s="47"/>
      <c r="E778" s="143"/>
      <c r="H778" s="2"/>
      <c r="I778" s="30"/>
    </row>
    <row r="779" spans="4:9">
      <c r="D779" s="47"/>
      <c r="E779" s="143"/>
      <c r="H779" s="2"/>
      <c r="I779" s="30"/>
    </row>
    <row r="780" spans="4:9">
      <c r="D780" s="47"/>
      <c r="E780" s="143"/>
      <c r="H780" s="2"/>
      <c r="I780" s="30"/>
    </row>
    <row r="781" spans="4:9">
      <c r="D781" s="47"/>
      <c r="E781" s="143"/>
      <c r="H781" s="2"/>
      <c r="I781" s="30"/>
    </row>
    <row r="782" spans="4:9">
      <c r="D782" s="47"/>
      <c r="E782" s="143"/>
      <c r="H782" s="2"/>
      <c r="I782" s="30"/>
    </row>
    <row r="783" spans="4:9">
      <c r="D783" s="47"/>
      <c r="E783" s="143"/>
      <c r="H783" s="2"/>
      <c r="I783" s="30"/>
    </row>
    <row r="784" spans="4:9">
      <c r="D784" s="47"/>
      <c r="E784" s="143"/>
      <c r="H784" s="2"/>
      <c r="I784" s="30"/>
    </row>
    <row r="785" spans="4:9">
      <c r="D785" s="47"/>
      <c r="E785" s="143"/>
      <c r="H785" s="2"/>
      <c r="I785" s="30"/>
    </row>
    <row r="786" spans="4:9">
      <c r="D786" s="47"/>
      <c r="E786" s="143"/>
      <c r="H786" s="2"/>
      <c r="I786" s="30"/>
    </row>
    <row r="787" spans="4:9">
      <c r="D787" s="47"/>
      <c r="E787" s="143"/>
      <c r="H787" s="2"/>
      <c r="I787" s="30"/>
    </row>
    <row r="788" spans="4:9">
      <c r="D788" s="47"/>
      <c r="E788" s="143"/>
      <c r="H788" s="2"/>
      <c r="I788" s="30"/>
    </row>
    <row r="789" spans="4:9">
      <c r="D789" s="47"/>
      <c r="E789" s="143"/>
      <c r="H789" s="2"/>
      <c r="I789" s="30"/>
    </row>
    <row r="790" spans="4:9">
      <c r="D790" s="47"/>
      <c r="E790" s="143"/>
      <c r="H790" s="2"/>
      <c r="I790" s="30"/>
    </row>
    <row r="791" spans="4:9">
      <c r="D791" s="47"/>
      <c r="E791" s="143"/>
      <c r="H791" s="2"/>
      <c r="I791" s="30"/>
    </row>
    <row r="792" spans="4:9">
      <c r="D792" s="47"/>
      <c r="E792" s="143"/>
      <c r="H792" s="2"/>
      <c r="I792" s="30"/>
    </row>
    <row r="793" spans="4:9">
      <c r="D793" s="47"/>
      <c r="E793" s="143"/>
      <c r="H793" s="2"/>
      <c r="I793" s="30"/>
    </row>
    <row r="794" spans="4:9">
      <c r="D794" s="47"/>
      <c r="E794" s="143"/>
      <c r="H794" s="2"/>
      <c r="I794" s="30"/>
    </row>
    <row r="795" spans="4:9">
      <c r="D795" s="47"/>
      <c r="E795" s="143"/>
      <c r="H795" s="2"/>
      <c r="I795" s="30"/>
    </row>
    <row r="796" spans="4:9">
      <c r="D796" s="47"/>
      <c r="E796" s="143"/>
      <c r="H796" s="2"/>
      <c r="I796" s="30"/>
    </row>
    <row r="797" spans="4:9">
      <c r="D797" s="47"/>
      <c r="E797" s="143"/>
      <c r="H797" s="2"/>
      <c r="I797" s="30"/>
    </row>
    <row r="798" spans="4:9">
      <c r="D798" s="47"/>
      <c r="E798" s="143"/>
      <c r="H798" s="2"/>
      <c r="I798" s="30"/>
    </row>
    <row r="799" spans="4:9">
      <c r="D799" s="47"/>
      <c r="E799" s="143"/>
      <c r="H799" s="2"/>
      <c r="I799" s="30"/>
    </row>
    <row r="800" spans="4:9">
      <c r="D800" s="47"/>
      <c r="E800" s="143"/>
      <c r="H800" s="2"/>
      <c r="I800" s="30"/>
    </row>
    <row r="801" spans="4:9">
      <c r="D801" s="47"/>
      <c r="E801" s="143"/>
      <c r="H801" s="2"/>
      <c r="I801" s="30"/>
    </row>
    <row r="802" spans="4:9">
      <c r="D802" s="47"/>
      <c r="E802" s="143"/>
      <c r="H802" s="2"/>
      <c r="I802" s="30"/>
    </row>
    <row r="803" spans="4:9">
      <c r="D803" s="47"/>
      <c r="E803" s="143"/>
      <c r="H803" s="2"/>
      <c r="I803" s="30"/>
    </row>
    <row r="804" spans="4:9">
      <c r="D804" s="47"/>
      <c r="E804" s="143"/>
      <c r="H804" s="2"/>
      <c r="I804" s="30"/>
    </row>
    <row r="805" spans="4:9">
      <c r="D805" s="47"/>
      <c r="E805" s="143"/>
      <c r="H805" s="2"/>
      <c r="I805" s="30"/>
    </row>
    <row r="806" spans="4:9">
      <c r="D806" s="47"/>
      <c r="E806" s="143"/>
      <c r="H806" s="2"/>
      <c r="I806" s="30"/>
    </row>
    <row r="807" spans="4:9">
      <c r="D807" s="47"/>
      <c r="E807" s="143"/>
      <c r="H807" s="2"/>
      <c r="I807" s="30"/>
    </row>
    <row r="808" spans="4:9">
      <c r="D808" s="47"/>
      <c r="E808" s="143"/>
      <c r="H808" s="2"/>
      <c r="I808" s="30"/>
    </row>
    <row r="809" spans="4:9">
      <c r="D809" s="47"/>
      <c r="E809" s="143"/>
      <c r="H809" s="2"/>
      <c r="I809" s="30"/>
    </row>
    <row r="810" spans="4:9">
      <c r="D810" s="47"/>
      <c r="E810" s="143"/>
      <c r="H810" s="2"/>
      <c r="I810" s="30"/>
    </row>
    <row r="811" spans="4:9">
      <c r="D811" s="47"/>
      <c r="E811" s="143"/>
      <c r="H811" s="2"/>
      <c r="I811" s="30"/>
    </row>
    <row r="812" spans="4:9">
      <c r="D812" s="47"/>
      <c r="E812" s="143"/>
      <c r="H812" s="2"/>
      <c r="I812" s="30"/>
    </row>
    <row r="813" spans="4:9">
      <c r="D813" s="47"/>
      <c r="E813" s="143"/>
      <c r="H813" s="2"/>
      <c r="I813" s="30"/>
    </row>
    <row r="814" spans="4:9">
      <c r="D814" s="47"/>
      <c r="E814" s="143"/>
      <c r="H814" s="2"/>
      <c r="I814" s="30"/>
    </row>
    <row r="815" spans="4:9">
      <c r="D815" s="47"/>
      <c r="E815" s="143"/>
      <c r="H815" s="2"/>
      <c r="I815" s="30"/>
    </row>
    <row r="816" spans="4:9">
      <c r="D816" s="47"/>
      <c r="E816" s="143"/>
      <c r="H816" s="2"/>
      <c r="I816" s="30"/>
    </row>
    <row r="817" spans="4:9">
      <c r="D817" s="47"/>
      <c r="E817" s="143"/>
      <c r="H817" s="2"/>
      <c r="I817" s="30"/>
    </row>
    <row r="818" spans="4:9">
      <c r="D818" s="47"/>
      <c r="E818" s="143"/>
      <c r="H818" s="2"/>
      <c r="I818" s="30"/>
    </row>
    <row r="819" spans="4:9">
      <c r="D819" s="47"/>
      <c r="E819" s="143"/>
      <c r="H819" s="2"/>
      <c r="I819" s="30"/>
    </row>
    <row r="820" spans="4:9">
      <c r="D820" s="47"/>
      <c r="E820" s="143"/>
      <c r="H820" s="2"/>
      <c r="I820" s="30"/>
    </row>
    <row r="821" spans="4:9">
      <c r="D821" s="47"/>
      <c r="E821" s="143"/>
      <c r="H821" s="2"/>
      <c r="I821" s="30"/>
    </row>
    <row r="822" spans="4:9">
      <c r="D822" s="47"/>
      <c r="E822" s="143"/>
      <c r="H822" s="2"/>
      <c r="I822" s="30"/>
    </row>
    <row r="823" spans="4:9">
      <c r="D823" s="47"/>
      <c r="E823" s="143"/>
      <c r="H823" s="2"/>
      <c r="I823" s="30"/>
    </row>
    <row r="824" spans="4:9">
      <c r="D824" s="47"/>
      <c r="E824" s="143"/>
      <c r="H824" s="2"/>
      <c r="I824" s="30"/>
    </row>
    <row r="825" spans="4:9">
      <c r="D825" s="47"/>
      <c r="E825" s="143"/>
      <c r="H825" s="2"/>
      <c r="I825" s="30"/>
    </row>
    <row r="826" spans="4:9">
      <c r="D826" s="47"/>
      <c r="E826" s="143"/>
      <c r="H826" s="2"/>
      <c r="I826" s="30"/>
    </row>
    <row r="827" spans="4:9">
      <c r="D827" s="47"/>
      <c r="E827" s="143"/>
      <c r="H827" s="2"/>
      <c r="I827" s="30"/>
    </row>
    <row r="828" spans="4:9">
      <c r="D828" s="47"/>
      <c r="E828" s="143"/>
      <c r="H828" s="2"/>
      <c r="I828" s="30"/>
    </row>
    <row r="829" spans="4:9">
      <c r="D829" s="47"/>
      <c r="E829" s="143"/>
      <c r="H829" s="2"/>
      <c r="I829" s="30"/>
    </row>
    <row r="830" spans="4:9">
      <c r="D830" s="47"/>
      <c r="E830" s="143"/>
      <c r="H830" s="2"/>
      <c r="I830" s="30"/>
    </row>
    <row r="831" spans="4:9">
      <c r="D831" s="47"/>
      <c r="E831" s="143"/>
      <c r="H831" s="2"/>
      <c r="I831" s="30"/>
    </row>
    <row r="832" spans="4:9">
      <c r="D832" s="47"/>
      <c r="E832" s="143"/>
      <c r="H832" s="2"/>
      <c r="I832" s="30"/>
    </row>
    <row r="833" spans="4:9">
      <c r="D833" s="47"/>
      <c r="E833" s="143"/>
      <c r="H833" s="2"/>
      <c r="I833" s="30"/>
    </row>
    <row r="834" spans="4:9">
      <c r="D834" s="47"/>
      <c r="E834" s="143"/>
      <c r="H834" s="2"/>
      <c r="I834" s="30"/>
    </row>
    <row r="835" spans="4:9">
      <c r="D835" s="47"/>
      <c r="E835" s="143"/>
      <c r="H835" s="2"/>
      <c r="I835" s="30"/>
    </row>
    <row r="836" spans="4:9">
      <c r="D836" s="47"/>
      <c r="E836" s="143"/>
      <c r="H836" s="2"/>
      <c r="I836" s="30"/>
    </row>
    <row r="837" spans="4:9">
      <c r="D837" s="47"/>
      <c r="E837" s="143"/>
      <c r="H837" s="2"/>
      <c r="I837" s="30"/>
    </row>
    <row r="838" spans="4:9">
      <c r="D838" s="47"/>
      <c r="E838" s="143"/>
      <c r="H838" s="2"/>
      <c r="I838" s="30"/>
    </row>
    <row r="839" spans="4:9">
      <c r="D839" s="47"/>
      <c r="E839" s="143"/>
      <c r="H839" s="2"/>
      <c r="I839" s="30"/>
    </row>
    <row r="840" spans="4:9">
      <c r="D840" s="47"/>
      <c r="E840" s="143"/>
      <c r="H840" s="2"/>
      <c r="I840" s="30"/>
    </row>
    <row r="841" spans="4:9">
      <c r="D841" s="47"/>
      <c r="E841" s="143"/>
      <c r="H841" s="2"/>
      <c r="I841" s="30"/>
    </row>
    <row r="842" spans="4:9">
      <c r="D842" s="47"/>
      <c r="E842" s="143"/>
      <c r="H842" s="2"/>
      <c r="I842" s="30"/>
    </row>
    <row r="843" spans="4:9">
      <c r="D843" s="47"/>
      <c r="E843" s="143"/>
      <c r="H843" s="2"/>
      <c r="I843" s="30"/>
    </row>
    <row r="844" spans="4:9">
      <c r="D844" s="47"/>
      <c r="E844" s="143"/>
      <c r="H844" s="2"/>
      <c r="I844" s="30"/>
    </row>
    <row r="845" spans="4:9">
      <c r="D845" s="47"/>
      <c r="E845" s="143"/>
      <c r="H845" s="2"/>
      <c r="I845" s="30"/>
    </row>
    <row r="846" spans="4:9">
      <c r="D846" s="47"/>
      <c r="E846" s="143"/>
      <c r="H846" s="2"/>
      <c r="I846" s="30"/>
    </row>
    <row r="847" spans="4:9">
      <c r="D847" s="47"/>
      <c r="E847" s="143"/>
      <c r="H847" s="2"/>
      <c r="I847" s="30"/>
    </row>
    <row r="848" spans="4:9">
      <c r="D848" s="47"/>
      <c r="E848" s="143"/>
      <c r="H848" s="2"/>
      <c r="I848" s="30"/>
    </row>
    <row r="849" spans="4:9">
      <c r="D849" s="47"/>
      <c r="E849" s="143"/>
      <c r="H849" s="2"/>
      <c r="I849" s="30"/>
    </row>
    <row r="850" spans="4:9">
      <c r="D850" s="47"/>
      <c r="E850" s="143"/>
      <c r="H850" s="2"/>
      <c r="I850" s="30"/>
    </row>
    <row r="851" spans="4:9">
      <c r="D851" s="47"/>
      <c r="E851" s="143"/>
      <c r="H851" s="2"/>
      <c r="I851" s="30"/>
    </row>
    <row r="852" spans="4:9">
      <c r="D852" s="47"/>
      <c r="E852" s="143"/>
      <c r="H852" s="2"/>
      <c r="I852" s="30"/>
    </row>
    <row r="853" spans="4:9">
      <c r="D853" s="47"/>
      <c r="E853" s="143"/>
      <c r="H853" s="2"/>
      <c r="I853" s="30"/>
    </row>
    <row r="854" spans="4:9">
      <c r="D854" s="47"/>
      <c r="E854" s="143"/>
      <c r="H854" s="2"/>
      <c r="I854" s="30"/>
    </row>
    <row r="855" spans="4:9">
      <c r="D855" s="47"/>
      <c r="E855" s="143"/>
      <c r="H855" s="2"/>
      <c r="I855" s="30"/>
    </row>
    <row r="856" spans="4:9">
      <c r="D856" s="47"/>
      <c r="E856" s="143"/>
      <c r="H856" s="2"/>
      <c r="I856" s="30"/>
    </row>
    <row r="857" spans="4:9">
      <c r="D857" s="47"/>
      <c r="E857" s="143"/>
      <c r="H857" s="2"/>
      <c r="I857" s="30"/>
    </row>
    <row r="858" spans="4:9">
      <c r="D858" s="47"/>
      <c r="E858" s="143"/>
      <c r="H858" s="2"/>
      <c r="I858" s="30"/>
    </row>
    <row r="859" spans="4:9">
      <c r="D859" s="47"/>
      <c r="E859" s="143"/>
      <c r="H859" s="2"/>
      <c r="I859" s="30"/>
    </row>
    <row r="860" spans="4:9">
      <c r="D860" s="47"/>
      <c r="E860" s="143"/>
      <c r="H860" s="2"/>
      <c r="I860" s="30"/>
    </row>
    <row r="861" spans="4:9">
      <c r="D861" s="47"/>
      <c r="E861" s="143"/>
      <c r="H861" s="2"/>
      <c r="I861" s="30"/>
    </row>
    <row r="862" spans="4:9">
      <c r="D862" s="47"/>
      <c r="E862" s="143"/>
      <c r="H862" s="2"/>
      <c r="I862" s="30"/>
    </row>
    <row r="863" spans="4:9">
      <c r="D863" s="47"/>
      <c r="E863" s="143"/>
      <c r="H863" s="2"/>
      <c r="I863" s="30"/>
    </row>
    <row r="864" spans="4:9">
      <c r="D864" s="47"/>
      <c r="E864" s="143"/>
      <c r="H864" s="2"/>
      <c r="I864" s="30"/>
    </row>
    <row r="865" spans="4:9">
      <c r="D865" s="47"/>
      <c r="E865" s="143"/>
      <c r="H865" s="2"/>
      <c r="I865" s="30"/>
    </row>
    <row r="866" spans="4:9">
      <c r="D866" s="47"/>
      <c r="E866" s="143"/>
      <c r="H866" s="2"/>
      <c r="I866" s="30"/>
    </row>
    <row r="867" spans="4:9">
      <c r="D867" s="47"/>
      <c r="E867" s="143"/>
      <c r="H867" s="2"/>
      <c r="I867" s="30"/>
    </row>
    <row r="868" spans="4:9">
      <c r="D868" s="47"/>
      <c r="E868" s="143"/>
      <c r="H868" s="2"/>
      <c r="I868" s="30"/>
    </row>
    <row r="869" spans="4:9">
      <c r="D869" s="47"/>
      <c r="E869" s="143"/>
      <c r="H869" s="2"/>
      <c r="I869" s="30"/>
    </row>
    <row r="870" spans="4:9">
      <c r="D870" s="47"/>
      <c r="E870" s="143"/>
      <c r="H870" s="2"/>
      <c r="I870" s="30"/>
    </row>
    <row r="871" spans="4:9">
      <c r="D871" s="47"/>
      <c r="E871" s="143"/>
      <c r="H871" s="2"/>
      <c r="I871" s="30"/>
    </row>
    <row r="872" spans="4:9">
      <c r="D872" s="47"/>
      <c r="E872" s="143"/>
      <c r="H872" s="2"/>
      <c r="I872" s="30"/>
    </row>
    <row r="873" spans="4:9">
      <c r="D873" s="47"/>
      <c r="E873" s="143"/>
      <c r="H873" s="2"/>
      <c r="I873" s="30"/>
    </row>
    <row r="874" spans="4:9">
      <c r="D874" s="47"/>
      <c r="E874" s="143"/>
      <c r="H874" s="2"/>
      <c r="I874" s="30"/>
    </row>
    <row r="875" spans="4:9">
      <c r="D875" s="47"/>
      <c r="E875" s="143"/>
      <c r="H875" s="2"/>
      <c r="I875" s="30"/>
    </row>
    <row r="876" spans="4:9">
      <c r="D876" s="47"/>
      <c r="E876" s="143"/>
      <c r="H876" s="2"/>
      <c r="I876" s="30"/>
    </row>
    <row r="877" spans="4:9">
      <c r="D877" s="47"/>
      <c r="E877" s="143"/>
      <c r="H877" s="2"/>
      <c r="I877" s="30"/>
    </row>
    <row r="878" spans="4:9">
      <c r="D878" s="47"/>
      <c r="E878" s="143"/>
      <c r="H878" s="2"/>
      <c r="I878" s="30"/>
    </row>
    <row r="879" spans="4:9">
      <c r="D879" s="47"/>
      <c r="E879" s="143"/>
      <c r="H879" s="2"/>
      <c r="I879" s="30"/>
    </row>
    <row r="880" spans="4:9">
      <c r="D880" s="47"/>
      <c r="E880" s="143"/>
      <c r="H880" s="2"/>
      <c r="I880" s="30"/>
    </row>
    <row r="881" spans="4:9">
      <c r="D881" s="47"/>
      <c r="E881" s="143"/>
      <c r="H881" s="2"/>
      <c r="I881" s="30"/>
    </row>
    <row r="882" spans="4:9">
      <c r="D882" s="47"/>
      <c r="E882" s="143"/>
      <c r="H882" s="2"/>
      <c r="I882" s="30"/>
    </row>
    <row r="883" spans="4:9">
      <c r="D883" s="47"/>
      <c r="E883" s="143"/>
      <c r="H883" s="2"/>
      <c r="I883" s="30"/>
    </row>
    <row r="884" spans="4:9">
      <c r="D884" s="47"/>
      <c r="E884" s="143"/>
      <c r="H884" s="2"/>
      <c r="I884" s="30"/>
    </row>
    <row r="885" spans="4:9">
      <c r="D885" s="47"/>
      <c r="E885" s="143"/>
      <c r="H885" s="2"/>
      <c r="I885" s="30"/>
    </row>
    <row r="886" spans="4:9">
      <c r="D886" s="47"/>
      <c r="E886" s="143"/>
      <c r="H886" s="2"/>
      <c r="I886" s="30"/>
    </row>
    <row r="887" spans="4:9">
      <c r="D887" s="47"/>
      <c r="E887" s="143"/>
      <c r="H887" s="2"/>
      <c r="I887" s="30"/>
    </row>
    <row r="888" spans="4:9">
      <c r="D888" s="47"/>
      <c r="E888" s="143"/>
      <c r="H888" s="2"/>
      <c r="I888" s="30"/>
    </row>
    <row r="889" spans="4:9">
      <c r="D889" s="47"/>
      <c r="E889" s="143"/>
      <c r="H889" s="2"/>
      <c r="I889" s="30"/>
    </row>
    <row r="890" spans="4:9">
      <c r="D890" s="47"/>
      <c r="E890" s="143"/>
      <c r="H890" s="2"/>
      <c r="I890" s="30"/>
    </row>
    <row r="891" spans="4:9">
      <c r="D891" s="47"/>
      <c r="E891" s="143"/>
      <c r="H891" s="2"/>
      <c r="I891" s="30"/>
    </row>
    <row r="892" spans="4:9">
      <c r="D892" s="47"/>
      <c r="E892" s="143"/>
      <c r="H892" s="2"/>
      <c r="I892" s="30"/>
    </row>
    <row r="893" spans="4:9">
      <c r="D893" s="47"/>
      <c r="E893" s="143"/>
      <c r="H893" s="2"/>
      <c r="I893" s="30"/>
    </row>
    <row r="894" spans="4:9">
      <c r="D894" s="47"/>
      <c r="E894" s="143"/>
      <c r="H894" s="2"/>
      <c r="I894" s="30"/>
    </row>
    <row r="895" spans="4:9">
      <c r="D895" s="47"/>
      <c r="E895" s="143"/>
      <c r="H895" s="2"/>
      <c r="I895" s="30"/>
    </row>
    <row r="896" spans="4:9">
      <c r="D896" s="47"/>
      <c r="E896" s="143"/>
      <c r="H896" s="2"/>
      <c r="I896" s="30"/>
    </row>
    <row r="897" spans="4:9">
      <c r="D897" s="47"/>
      <c r="E897" s="143"/>
      <c r="H897" s="2"/>
      <c r="I897" s="30"/>
    </row>
    <row r="898" spans="4:9">
      <c r="D898" s="47"/>
      <c r="E898" s="143"/>
      <c r="H898" s="2"/>
      <c r="I898" s="30"/>
    </row>
    <row r="899" spans="4:9">
      <c r="D899" s="47"/>
      <c r="E899" s="143"/>
      <c r="H899" s="2"/>
      <c r="I899" s="30"/>
    </row>
    <row r="900" spans="4:9">
      <c r="D900" s="47"/>
      <c r="E900" s="143"/>
      <c r="H900" s="2"/>
      <c r="I900" s="30"/>
    </row>
    <row r="901" spans="4:9">
      <c r="D901" s="47"/>
      <c r="E901" s="143"/>
      <c r="H901" s="2"/>
      <c r="I901" s="30"/>
    </row>
    <row r="902" spans="4:9">
      <c r="D902" s="47"/>
      <c r="E902" s="143"/>
      <c r="H902" s="2"/>
      <c r="I902" s="30"/>
    </row>
    <row r="903" spans="4:9">
      <c r="D903" s="47"/>
      <c r="E903" s="143"/>
      <c r="H903" s="2"/>
      <c r="I903" s="30"/>
    </row>
    <row r="904" spans="4:9">
      <c r="D904" s="47"/>
      <c r="E904" s="143"/>
      <c r="H904" s="2"/>
      <c r="I904" s="30"/>
    </row>
    <row r="905" spans="4:9">
      <c r="D905" s="47"/>
      <c r="E905" s="143"/>
      <c r="H905" s="2"/>
      <c r="I905" s="30"/>
    </row>
    <row r="906" spans="4:9">
      <c r="D906" s="47"/>
      <c r="E906" s="143"/>
      <c r="H906" s="2"/>
      <c r="I906" s="30"/>
    </row>
    <row r="907" spans="4:9">
      <c r="D907" s="47"/>
      <c r="E907" s="143"/>
      <c r="H907" s="2"/>
      <c r="I907" s="30"/>
    </row>
    <row r="908" spans="4:9">
      <c r="D908" s="47"/>
      <c r="E908" s="143"/>
      <c r="H908" s="2"/>
      <c r="I908" s="30"/>
    </row>
    <row r="909" spans="4:9">
      <c r="D909" s="47"/>
      <c r="E909" s="143"/>
      <c r="H909" s="2"/>
      <c r="I909" s="30"/>
    </row>
    <row r="910" spans="4:9">
      <c r="D910" s="47"/>
      <c r="E910" s="143"/>
      <c r="H910" s="2"/>
      <c r="I910" s="30"/>
    </row>
    <row r="911" spans="4:9">
      <c r="D911" s="47"/>
      <c r="E911" s="143"/>
      <c r="H911" s="2"/>
      <c r="I911" s="30"/>
    </row>
    <row r="912" spans="4:9">
      <c r="D912" s="47"/>
      <c r="E912" s="143"/>
      <c r="H912" s="2"/>
      <c r="I912" s="30"/>
    </row>
    <row r="913" spans="4:9">
      <c r="D913" s="47"/>
      <c r="E913" s="143"/>
      <c r="H913" s="2"/>
      <c r="I913" s="30"/>
    </row>
    <row r="914" spans="4:9">
      <c r="D914" s="47"/>
      <c r="E914" s="143"/>
      <c r="H914" s="2"/>
      <c r="I914" s="30"/>
    </row>
    <row r="915" spans="4:9">
      <c r="D915" s="47"/>
      <c r="E915" s="143"/>
      <c r="H915" s="2"/>
      <c r="I915" s="30"/>
    </row>
    <row r="916" spans="4:9">
      <c r="D916" s="47"/>
      <c r="E916" s="143"/>
      <c r="H916" s="2"/>
      <c r="I916" s="30"/>
    </row>
    <row r="917" spans="4:9">
      <c r="D917" s="47"/>
      <c r="E917" s="143"/>
      <c r="H917" s="2"/>
      <c r="I917" s="30"/>
    </row>
    <row r="918" spans="4:9">
      <c r="D918" s="47"/>
      <c r="E918" s="143"/>
      <c r="H918" s="2"/>
      <c r="I918" s="30"/>
    </row>
    <row r="919" spans="4:9">
      <c r="D919" s="47"/>
      <c r="E919" s="143"/>
      <c r="H919" s="2"/>
      <c r="I919" s="30"/>
    </row>
    <row r="920" spans="4:9">
      <c r="D920" s="47"/>
      <c r="E920" s="143"/>
      <c r="H920" s="2"/>
      <c r="I920" s="30"/>
    </row>
    <row r="921" spans="4:9">
      <c r="D921" s="47"/>
      <c r="E921" s="143"/>
      <c r="H921" s="2"/>
      <c r="I921" s="30"/>
    </row>
    <row r="922" spans="4:9">
      <c r="D922" s="47"/>
      <c r="E922" s="143"/>
      <c r="H922" s="2"/>
      <c r="I922" s="30"/>
    </row>
    <row r="923" spans="4:9">
      <c r="D923" s="47"/>
      <c r="E923" s="143"/>
      <c r="H923" s="2"/>
      <c r="I923" s="30"/>
    </row>
    <row r="924" spans="4:9">
      <c r="D924" s="47"/>
      <c r="E924" s="143"/>
      <c r="H924" s="2"/>
      <c r="I924" s="30"/>
    </row>
    <row r="925" spans="4:9">
      <c r="D925" s="47"/>
      <c r="E925" s="143"/>
      <c r="H925" s="2"/>
      <c r="I925" s="30"/>
    </row>
    <row r="926" spans="4:9">
      <c r="D926" s="47"/>
      <c r="E926" s="143"/>
      <c r="H926" s="2"/>
      <c r="I926" s="30"/>
    </row>
    <row r="927" spans="4:9">
      <c r="D927" s="47"/>
      <c r="E927" s="143"/>
      <c r="H927" s="2"/>
      <c r="I927" s="30"/>
    </row>
    <row r="928" spans="4:9">
      <c r="D928" s="47"/>
      <c r="E928" s="143"/>
      <c r="H928" s="2"/>
      <c r="I928" s="30"/>
    </row>
    <row r="929" spans="4:9">
      <c r="D929" s="47"/>
      <c r="E929" s="143"/>
      <c r="H929" s="2"/>
      <c r="I929" s="30"/>
    </row>
    <row r="930" spans="4:9">
      <c r="D930" s="47"/>
      <c r="E930" s="143"/>
      <c r="H930" s="2"/>
      <c r="I930" s="30"/>
    </row>
    <row r="931" spans="4:9">
      <c r="D931" s="47"/>
      <c r="E931" s="143"/>
      <c r="H931" s="2"/>
      <c r="I931" s="30"/>
    </row>
    <row r="932" spans="4:9">
      <c r="D932" s="47"/>
      <c r="E932" s="143"/>
      <c r="H932" s="2"/>
      <c r="I932" s="30"/>
    </row>
    <row r="933" spans="4:9">
      <c r="D933" s="47"/>
      <c r="E933" s="143"/>
      <c r="H933" s="2"/>
      <c r="I933" s="30"/>
    </row>
    <row r="934" spans="4:9">
      <c r="D934" s="47"/>
      <c r="E934" s="143"/>
      <c r="H934" s="2"/>
      <c r="I934" s="30"/>
    </row>
    <row r="935" spans="4:9">
      <c r="D935" s="47"/>
      <c r="E935" s="143"/>
      <c r="H935" s="2"/>
      <c r="I935" s="30"/>
    </row>
    <row r="936" spans="4:9">
      <c r="D936" s="47"/>
      <c r="E936" s="143"/>
      <c r="H936" s="2"/>
      <c r="I936" s="30"/>
    </row>
    <row r="937" spans="4:9">
      <c r="D937" s="47"/>
      <c r="E937" s="143"/>
      <c r="H937" s="2"/>
      <c r="I937" s="30"/>
    </row>
    <row r="938" spans="4:9">
      <c r="D938" s="47"/>
      <c r="E938" s="143"/>
      <c r="H938" s="2"/>
      <c r="I938" s="30"/>
    </row>
    <row r="939" spans="4:9">
      <c r="D939" s="47"/>
      <c r="E939" s="143"/>
      <c r="H939" s="2"/>
      <c r="I939" s="30"/>
    </row>
    <row r="940" spans="4:9">
      <c r="D940" s="47"/>
      <c r="E940" s="143"/>
      <c r="H940" s="2"/>
      <c r="I940" s="30"/>
    </row>
    <row r="941" spans="4:9">
      <c r="D941" s="47"/>
      <c r="E941" s="143"/>
      <c r="H941" s="2"/>
      <c r="I941" s="30"/>
    </row>
    <row r="942" spans="4:9">
      <c r="D942" s="47"/>
      <c r="E942" s="143"/>
      <c r="H942" s="2"/>
      <c r="I942" s="30"/>
    </row>
    <row r="943" spans="4:9">
      <c r="D943" s="47"/>
      <c r="E943" s="143"/>
      <c r="H943" s="2"/>
      <c r="I943" s="30"/>
    </row>
    <row r="944" spans="4:9">
      <c r="D944" s="47"/>
      <c r="E944" s="143"/>
      <c r="H944" s="2"/>
      <c r="I944" s="30"/>
    </row>
    <row r="945" spans="4:9">
      <c r="D945" s="47"/>
      <c r="E945" s="143"/>
      <c r="H945" s="2"/>
      <c r="I945" s="30"/>
    </row>
    <row r="946" spans="4:9">
      <c r="D946" s="47"/>
      <c r="E946" s="143"/>
      <c r="H946" s="2"/>
      <c r="I946" s="30"/>
    </row>
    <row r="947" spans="4:9">
      <c r="D947" s="47"/>
      <c r="E947" s="143"/>
      <c r="H947" s="2"/>
      <c r="I947" s="30"/>
    </row>
    <row r="948" spans="4:9">
      <c r="D948" s="47"/>
      <c r="E948" s="143"/>
      <c r="H948" s="2"/>
      <c r="I948" s="30"/>
    </row>
    <row r="949" spans="4:9">
      <c r="D949" s="47"/>
      <c r="E949" s="143"/>
      <c r="H949" s="2"/>
      <c r="I949" s="30"/>
    </row>
    <row r="950" spans="4:9">
      <c r="D950" s="47"/>
      <c r="E950" s="143"/>
      <c r="H950" s="2"/>
      <c r="I950" s="30"/>
    </row>
    <row r="951" spans="4:9">
      <c r="D951" s="47"/>
      <c r="E951" s="143"/>
      <c r="H951" s="2"/>
      <c r="I951" s="30"/>
    </row>
    <row r="952" spans="4:9">
      <c r="D952" s="47"/>
      <c r="E952" s="143"/>
      <c r="H952" s="2"/>
      <c r="I952" s="30"/>
    </row>
    <row r="953" spans="4:9">
      <c r="D953" s="47"/>
      <c r="E953" s="143"/>
      <c r="H953" s="2"/>
      <c r="I953" s="30"/>
    </row>
    <row r="954" spans="4:9">
      <c r="D954" s="47"/>
      <c r="E954" s="143"/>
      <c r="H954" s="2"/>
      <c r="I954" s="30"/>
    </row>
    <row r="955" spans="4:9">
      <c r="D955" s="47"/>
      <c r="E955" s="143"/>
      <c r="H955" s="2"/>
      <c r="I955" s="30"/>
    </row>
    <row r="956" spans="4:9">
      <c r="D956" s="47"/>
      <c r="E956" s="143"/>
      <c r="H956" s="2"/>
      <c r="I956" s="30"/>
    </row>
    <row r="957" spans="4:9">
      <c r="D957" s="47"/>
      <c r="E957" s="143"/>
      <c r="H957" s="2"/>
      <c r="I957" s="30"/>
    </row>
    <row r="958" spans="4:9">
      <c r="D958" s="47"/>
      <c r="E958" s="143"/>
      <c r="H958" s="2"/>
      <c r="I958" s="30"/>
    </row>
    <row r="959" spans="4:9">
      <c r="D959" s="47"/>
      <c r="E959" s="143"/>
      <c r="H959" s="2"/>
      <c r="I959" s="30"/>
    </row>
    <row r="960" spans="4:9">
      <c r="D960" s="47"/>
      <c r="E960" s="143"/>
      <c r="H960" s="2"/>
      <c r="I960" s="30"/>
    </row>
    <row r="961" spans="4:15">
      <c r="D961" s="47"/>
      <c r="E961" s="143"/>
      <c r="H961" s="2"/>
      <c r="I961" s="30"/>
    </row>
    <row r="962" spans="4:15">
      <c r="D962" s="47"/>
      <c r="E962" s="143"/>
      <c r="H962" s="2"/>
      <c r="I962" s="30"/>
    </row>
    <row r="963" spans="4:15">
      <c r="D963" s="47"/>
      <c r="E963" s="143"/>
      <c r="H963" s="2"/>
      <c r="I963" s="30"/>
    </row>
    <row r="964" spans="4:15">
      <c r="D964" s="47"/>
      <c r="E964" s="143"/>
      <c r="H964" s="2"/>
      <c r="I964" s="30"/>
    </row>
    <row r="965" spans="4:15">
      <c r="D965" s="47"/>
      <c r="E965" s="143"/>
      <c r="H965" s="2"/>
      <c r="I965" s="30"/>
    </row>
    <row r="966" spans="4:15">
      <c r="D966" s="47"/>
      <c r="E966" s="143"/>
      <c r="H966" s="2"/>
      <c r="I966" s="30"/>
    </row>
    <row r="967" spans="4:15">
      <c r="D967" s="47"/>
      <c r="E967" s="143"/>
      <c r="H967" s="2"/>
      <c r="I967" s="30"/>
    </row>
    <row r="968" spans="4:15">
      <c r="D968" s="47"/>
      <c r="E968" s="143"/>
      <c r="H968" s="2"/>
      <c r="I968" s="30"/>
    </row>
    <row r="969" spans="4:15">
      <c r="D969" s="47"/>
      <c r="E969" s="143"/>
      <c r="H969" s="2"/>
      <c r="I969" s="30"/>
    </row>
    <row r="970" spans="4:15">
      <c r="D970" s="47"/>
      <c r="E970" s="143"/>
      <c r="H970" s="2"/>
      <c r="I970" s="30"/>
    </row>
    <row r="971" spans="4:15">
      <c r="K971" s="143"/>
      <c r="N971" s="2"/>
      <c r="O971" s="30"/>
    </row>
    <row r="972" spans="4:15">
      <c r="K972" s="143"/>
      <c r="N972" s="2"/>
      <c r="O972" s="30"/>
    </row>
    <row r="973" spans="4:15">
      <c r="K973" s="143"/>
      <c r="N973" s="2"/>
      <c r="O973" s="30"/>
    </row>
    <row r="974" spans="4:15">
      <c r="K974" s="143"/>
      <c r="N974" s="2"/>
      <c r="O974" s="30"/>
    </row>
    <row r="975" spans="4:15">
      <c r="K975" s="143"/>
      <c r="N975" s="2"/>
      <c r="O975" s="30"/>
    </row>
    <row r="976" spans="4:15">
      <c r="K976" s="143"/>
      <c r="N976" s="2"/>
      <c r="O976" s="30"/>
    </row>
    <row r="977" spans="11:15">
      <c r="K977" s="143"/>
      <c r="N977" s="2"/>
      <c r="O977" s="30"/>
    </row>
    <row r="978" spans="11:15">
      <c r="K978" s="143"/>
      <c r="N978" s="2"/>
      <c r="O978" s="30"/>
    </row>
    <row r="979" spans="11:15">
      <c r="K979" s="143"/>
      <c r="N979" s="2"/>
      <c r="O979" s="30"/>
    </row>
    <row r="980" spans="11:15">
      <c r="K980" s="143"/>
      <c r="N980" s="2"/>
      <c r="O980" s="30"/>
    </row>
    <row r="981" spans="11:15">
      <c r="K981" s="143"/>
      <c r="N981" s="2"/>
      <c r="O981" s="30"/>
    </row>
    <row r="982" spans="11:15">
      <c r="K982" s="143"/>
      <c r="N982" s="2"/>
      <c r="O982" s="30"/>
    </row>
    <row r="983" spans="11:15">
      <c r="K983" s="143"/>
      <c r="N983" s="2"/>
      <c r="O983" s="30"/>
    </row>
    <row r="984" spans="11:15">
      <c r="K984" s="143"/>
      <c r="N984" s="2"/>
      <c r="O984" s="30"/>
    </row>
    <row r="985" spans="11:15">
      <c r="K985" s="143"/>
      <c r="N985" s="2"/>
      <c r="O985" s="30"/>
    </row>
    <row r="986" spans="11:15">
      <c r="K986" s="143"/>
      <c r="N986" s="2"/>
      <c r="O986" s="30"/>
    </row>
    <row r="987" spans="11:15">
      <c r="K987" s="143"/>
      <c r="N987" s="2"/>
      <c r="O987" s="30"/>
    </row>
    <row r="988" spans="11:15">
      <c r="K988" s="143"/>
      <c r="N988" s="2"/>
      <c r="O988" s="30"/>
    </row>
    <row r="989" spans="11:15">
      <c r="K989" s="143"/>
      <c r="N989" s="2"/>
      <c r="O989" s="30"/>
    </row>
    <row r="990" spans="11:15">
      <c r="K990" s="143"/>
      <c r="N990" s="2"/>
      <c r="O990" s="30"/>
    </row>
    <row r="991" spans="11:15">
      <c r="K991" s="143"/>
      <c r="N991" s="2"/>
      <c r="O991" s="30"/>
    </row>
    <row r="992" spans="11:15">
      <c r="K992" s="143"/>
      <c r="N992" s="2"/>
      <c r="O992" s="30"/>
    </row>
  </sheetData>
  <hyperlinks>
    <hyperlink ref="M11" r:id="rId1" xr:uid="{AE62D3F9-DD45-4C43-8801-14F2026BEFD9}"/>
    <hyperlink ref="M5" r:id="rId2" xr:uid="{80861324-5E8E-4100-80F3-C030E20A7D5A}"/>
    <hyperlink ref="M13" r:id="rId3" xr:uid="{C1FCA876-EA14-4C56-AA37-F5A5BA1AC8DF}"/>
  </hyperlinks>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FDEF4-0357-466A-A814-DC76E71CD0DF}">
  <dimension ref="A1:Q5"/>
  <sheetViews>
    <sheetView workbookViewId="0">
      <selection activeCell="A3" sqref="A3"/>
    </sheetView>
  </sheetViews>
  <sheetFormatPr defaultRowHeight="12.75"/>
  <cols>
    <col min="2" max="2" width="16.7109375" customWidth="1"/>
    <col min="3" max="3" width="14" customWidth="1"/>
    <col min="4" max="4" width="15.140625" customWidth="1"/>
    <col min="5" max="5" width="16.85546875" customWidth="1"/>
    <col min="6" max="6" width="48.7109375" customWidth="1"/>
    <col min="7" max="7" width="20.85546875" customWidth="1"/>
    <col min="8" max="8" width="13.28515625" customWidth="1"/>
    <col min="9" max="9" width="18.140625" customWidth="1"/>
    <col min="10" max="10" width="20.28515625" customWidth="1"/>
    <col min="11" max="11" width="13.28515625" customWidth="1"/>
  </cols>
  <sheetData>
    <row r="1" spans="1:17" ht="13.5">
      <c r="A1" s="59" t="s">
        <v>254</v>
      </c>
      <c r="B1" s="154" t="s">
        <v>11</v>
      </c>
      <c r="C1" s="155" t="s">
        <v>322</v>
      </c>
      <c r="D1" s="154" t="s">
        <v>256</v>
      </c>
      <c r="E1" s="155" t="s">
        <v>324</v>
      </c>
      <c r="F1" s="155" t="s">
        <v>325</v>
      </c>
      <c r="G1" s="154" t="s">
        <v>326</v>
      </c>
      <c r="H1" s="154" t="s">
        <v>328</v>
      </c>
      <c r="I1" s="154" t="s">
        <v>259</v>
      </c>
      <c r="J1" s="156" t="s">
        <v>329</v>
      </c>
      <c r="K1" s="157" t="s">
        <v>280</v>
      </c>
      <c r="L1" s="35"/>
      <c r="M1" s="35"/>
      <c r="N1" s="35"/>
      <c r="O1" s="35"/>
      <c r="P1" s="35"/>
      <c r="Q1" s="35"/>
    </row>
    <row r="2" spans="1:17">
      <c r="A2" t="s">
        <v>1826</v>
      </c>
    </row>
    <row r="5" spans="1:17">
      <c r="D5" t="s">
        <v>1804</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FBA29-CDD6-44FF-8D03-7CA8B54869D7}">
  <dimension ref="A1:AD993"/>
  <sheetViews>
    <sheetView topLeftCell="M1" workbookViewId="0">
      <selection activeCell="X5" sqref="X5"/>
    </sheetView>
  </sheetViews>
  <sheetFormatPr defaultRowHeight="12.75"/>
  <cols>
    <col min="1" max="1" width="9.140625" style="181"/>
    <col min="2" max="2" width="15.140625" customWidth="1"/>
    <col min="3" max="3" width="23.42578125" style="47" customWidth="1"/>
    <col min="4" max="4" width="12.85546875" customWidth="1"/>
    <col min="5" max="5" width="30.42578125" customWidth="1"/>
    <col min="6" max="7" width="9.140625" style="53"/>
    <col min="12" max="12" width="35.85546875" customWidth="1"/>
    <col min="13" max="13" width="19.140625" customWidth="1"/>
    <col min="14" max="15" width="9.42578125" bestFit="1" customWidth="1"/>
    <col min="17" max="17" width="13.28515625" customWidth="1"/>
    <col min="19" max="19" width="9.42578125" bestFit="1" customWidth="1"/>
    <col min="20" max="20" width="14.7109375" customWidth="1"/>
    <col min="21" max="21" width="15.28515625" customWidth="1"/>
    <col min="22" max="22" width="18.5703125" customWidth="1"/>
    <col min="23" max="23" width="15.28515625" style="137" customWidth="1"/>
    <col min="24" max="24" width="38.7109375" customWidth="1"/>
  </cols>
  <sheetData>
    <row r="1" spans="1:30">
      <c r="A1" s="184"/>
      <c r="B1" s="4"/>
      <c r="C1" s="5"/>
      <c r="D1" s="5"/>
      <c r="E1" s="4"/>
      <c r="F1" s="48"/>
      <c r="G1" s="48"/>
      <c r="H1" s="197"/>
      <c r="I1" s="198"/>
      <c r="J1" s="197"/>
      <c r="K1" s="197"/>
      <c r="L1" s="197"/>
      <c r="M1" s="197"/>
      <c r="N1" s="197"/>
      <c r="O1" s="197"/>
      <c r="P1" s="197"/>
      <c r="Q1" s="197"/>
      <c r="R1" s="197"/>
      <c r="S1" s="197"/>
      <c r="T1" s="197"/>
      <c r="U1" s="197"/>
      <c r="V1" s="197"/>
      <c r="W1" s="188"/>
      <c r="X1" s="209"/>
    </row>
    <row r="2" spans="1:30" ht="46.5">
      <c r="A2" s="193" t="s">
        <v>254</v>
      </c>
      <c r="B2" s="59" t="s">
        <v>255</v>
      </c>
      <c r="C2" s="195" t="s">
        <v>256</v>
      </c>
      <c r="D2" s="68" t="s">
        <v>257</v>
      </c>
      <c r="E2" s="70" t="s">
        <v>258</v>
      </c>
      <c r="F2" s="71" t="s">
        <v>260</v>
      </c>
      <c r="G2" s="71" t="s">
        <v>261</v>
      </c>
      <c r="H2" s="199" t="s">
        <v>265</v>
      </c>
      <c r="I2" s="199" t="s">
        <v>266</v>
      </c>
      <c r="J2" s="199" t="s">
        <v>267</v>
      </c>
      <c r="K2" s="199" t="s">
        <v>268</v>
      </c>
      <c r="L2" s="199" t="s">
        <v>269</v>
      </c>
      <c r="M2" s="199" t="s">
        <v>270</v>
      </c>
      <c r="N2" s="199" t="s">
        <v>271</v>
      </c>
      <c r="O2" s="199" t="s">
        <v>272</v>
      </c>
      <c r="P2" s="199" t="s">
        <v>1708</v>
      </c>
      <c r="Q2" s="199" t="s">
        <v>274</v>
      </c>
      <c r="R2" s="199" t="s">
        <v>1709</v>
      </c>
      <c r="S2" s="199" t="s">
        <v>276</v>
      </c>
      <c r="T2" s="199" t="s">
        <v>274</v>
      </c>
      <c r="U2" s="199" t="s">
        <v>278</v>
      </c>
      <c r="V2" s="199" t="s">
        <v>279</v>
      </c>
      <c r="W2" s="189" t="s">
        <v>259</v>
      </c>
      <c r="X2" s="210" t="s">
        <v>280</v>
      </c>
    </row>
    <row r="3" spans="1:30" s="181" customFormat="1" ht="53.25" customHeight="1">
      <c r="A3" s="185">
        <v>1</v>
      </c>
      <c r="B3" s="180" t="s">
        <v>1856</v>
      </c>
      <c r="C3" s="191" t="s">
        <v>292</v>
      </c>
      <c r="D3" s="90" t="s">
        <v>1857</v>
      </c>
      <c r="E3" s="183" t="s">
        <v>1858</v>
      </c>
      <c r="F3" s="213">
        <v>2</v>
      </c>
      <c r="G3" s="213">
        <v>2</v>
      </c>
      <c r="H3" s="19" t="s">
        <v>290</v>
      </c>
      <c r="I3" s="19" t="s">
        <v>862</v>
      </c>
      <c r="J3" s="83" t="s">
        <v>1560</v>
      </c>
      <c r="K3" s="19" t="s">
        <v>862</v>
      </c>
      <c r="L3" s="204" t="s">
        <v>1694</v>
      </c>
      <c r="M3" s="205" t="s">
        <v>1859</v>
      </c>
      <c r="N3" s="206">
        <v>45426</v>
      </c>
      <c r="O3" s="207">
        <v>45426</v>
      </c>
      <c r="P3" s="136" t="s">
        <v>294</v>
      </c>
      <c r="Q3" s="204" t="s">
        <v>1694</v>
      </c>
      <c r="R3" s="136" t="s">
        <v>1860</v>
      </c>
      <c r="S3" s="206">
        <v>45427</v>
      </c>
      <c r="T3" s="204" t="s">
        <v>1694</v>
      </c>
      <c r="U3" s="204" t="s">
        <v>1694</v>
      </c>
      <c r="V3" s="204" t="s">
        <v>1694</v>
      </c>
      <c r="W3" s="83" t="s">
        <v>384</v>
      </c>
      <c r="X3" s="211"/>
    </row>
    <row r="4" spans="1:30" ht="23.25">
      <c r="A4" s="185">
        <v>2</v>
      </c>
      <c r="B4" s="97" t="s">
        <v>1856</v>
      </c>
      <c r="C4" s="45" t="s">
        <v>1861</v>
      </c>
      <c r="D4" s="62" t="s">
        <v>1862</v>
      </c>
      <c r="E4" s="45" t="s">
        <v>1863</v>
      </c>
      <c r="F4" s="125">
        <v>2</v>
      </c>
      <c r="G4" s="125">
        <v>2</v>
      </c>
      <c r="H4" s="19" t="s">
        <v>290</v>
      </c>
      <c r="I4" s="18" t="s">
        <v>292</v>
      </c>
      <c r="J4" s="19" t="s">
        <v>1560</v>
      </c>
      <c r="K4" s="19" t="s">
        <v>862</v>
      </c>
      <c r="L4" s="19" t="s">
        <v>1728</v>
      </c>
      <c r="M4" s="19" t="s">
        <v>1728</v>
      </c>
      <c r="N4" s="19" t="s">
        <v>1728</v>
      </c>
      <c r="O4" s="19" t="s">
        <v>1728</v>
      </c>
      <c r="P4" s="19" t="s">
        <v>1728</v>
      </c>
      <c r="Q4" s="19" t="s">
        <v>1728</v>
      </c>
      <c r="R4" s="19" t="s">
        <v>1728</v>
      </c>
      <c r="S4" s="19" t="s">
        <v>1728</v>
      </c>
      <c r="T4" s="19" t="s">
        <v>1728</v>
      </c>
      <c r="U4" s="19" t="s">
        <v>1728</v>
      </c>
      <c r="V4" s="19" t="s">
        <v>1728</v>
      </c>
      <c r="W4" s="83" t="s">
        <v>384</v>
      </c>
      <c r="X4" s="211" t="s">
        <v>1864</v>
      </c>
    </row>
    <row r="5" spans="1:30" ht="24">
      <c r="A5" s="185">
        <v>3</v>
      </c>
      <c r="B5" s="97" t="s">
        <v>1856</v>
      </c>
      <c r="C5" s="45" t="s">
        <v>1865</v>
      </c>
      <c r="D5" s="12" t="s">
        <v>1866</v>
      </c>
      <c r="E5" s="18" t="s">
        <v>1867</v>
      </c>
      <c r="F5" s="125">
        <v>13</v>
      </c>
      <c r="G5" s="125">
        <v>13</v>
      </c>
      <c r="H5" s="19" t="s">
        <v>290</v>
      </c>
      <c r="I5" s="19" t="s">
        <v>1728</v>
      </c>
      <c r="J5" s="19" t="s">
        <v>1728</v>
      </c>
      <c r="K5" s="19" t="s">
        <v>1728</v>
      </c>
      <c r="L5" s="19" t="s">
        <v>1728</v>
      </c>
      <c r="M5" s="19" t="s">
        <v>1728</v>
      </c>
      <c r="N5" s="19" t="s">
        <v>1728</v>
      </c>
      <c r="O5" s="19" t="s">
        <v>1728</v>
      </c>
      <c r="P5" s="19" t="s">
        <v>1728</v>
      </c>
      <c r="Q5" s="19" t="s">
        <v>1728</v>
      </c>
      <c r="R5" s="19" t="s">
        <v>1728</v>
      </c>
      <c r="S5" s="19" t="s">
        <v>1728</v>
      </c>
      <c r="T5" s="19" t="s">
        <v>1728</v>
      </c>
      <c r="U5" s="19" t="s">
        <v>1728</v>
      </c>
      <c r="V5" s="19" t="s">
        <v>1728</v>
      </c>
      <c r="W5" s="83" t="s">
        <v>384</v>
      </c>
      <c r="X5" s="18" t="s">
        <v>1868</v>
      </c>
    </row>
    <row r="6" spans="1:30">
      <c r="A6" s="194"/>
      <c r="B6" s="104"/>
      <c r="C6" s="109"/>
      <c r="D6" s="109"/>
      <c r="E6" s="108"/>
      <c r="F6" s="214"/>
      <c r="G6" s="214"/>
      <c r="H6" s="107"/>
      <c r="I6" s="107"/>
      <c r="J6" s="107"/>
      <c r="K6" s="107"/>
      <c r="L6" s="107"/>
      <c r="M6" s="107"/>
      <c r="N6" s="107"/>
      <c r="O6" s="107"/>
      <c r="P6" s="107"/>
      <c r="Q6" s="107"/>
      <c r="R6" s="107"/>
      <c r="S6" s="107"/>
      <c r="T6" s="107"/>
      <c r="U6" s="107"/>
      <c r="V6" s="107"/>
      <c r="W6" s="208"/>
      <c r="X6" s="107"/>
    </row>
    <row r="7" spans="1:30">
      <c r="A7" s="185"/>
      <c r="B7" s="60"/>
      <c r="C7" s="12"/>
      <c r="D7" s="12"/>
      <c r="E7" s="18"/>
      <c r="F7" s="125"/>
      <c r="G7" s="125"/>
      <c r="H7" s="19"/>
      <c r="I7" s="19"/>
      <c r="J7" s="19"/>
      <c r="K7" s="19"/>
      <c r="L7" s="19"/>
      <c r="M7" s="19"/>
      <c r="N7" s="19"/>
      <c r="O7" s="19"/>
      <c r="P7" s="19"/>
      <c r="Q7" s="19"/>
      <c r="R7" s="19"/>
      <c r="S7" s="19"/>
      <c r="T7" s="19"/>
      <c r="U7" s="19"/>
      <c r="V7" s="19"/>
      <c r="W7" s="41"/>
      <c r="X7" s="19"/>
    </row>
    <row r="8" spans="1:30">
      <c r="A8" s="185"/>
      <c r="B8" s="60"/>
      <c r="C8" s="12"/>
      <c r="D8" s="12"/>
      <c r="E8" s="18"/>
      <c r="F8" s="125"/>
      <c r="G8" s="125"/>
      <c r="H8" s="19"/>
      <c r="I8" s="19"/>
      <c r="J8" s="19"/>
      <c r="K8" s="19"/>
      <c r="L8" s="19"/>
      <c r="M8" s="19"/>
      <c r="N8" s="19"/>
      <c r="O8" s="19"/>
      <c r="P8" s="19"/>
      <c r="Q8" s="19"/>
      <c r="R8" s="19"/>
      <c r="S8" s="19"/>
      <c r="T8" s="19"/>
      <c r="U8" s="19"/>
      <c r="V8" s="19"/>
      <c r="W8" s="41"/>
      <c r="X8" s="19"/>
    </row>
    <row r="9" spans="1:30">
      <c r="A9" s="221"/>
      <c r="B9" s="222"/>
      <c r="C9" s="220"/>
      <c r="D9" s="220"/>
      <c r="E9" s="223"/>
      <c r="F9" s="224"/>
      <c r="G9" s="224"/>
      <c r="H9" s="219"/>
      <c r="I9" s="219"/>
      <c r="J9" s="219"/>
      <c r="K9" s="219"/>
      <c r="L9" s="219"/>
      <c r="M9" s="219"/>
      <c r="N9" s="219"/>
      <c r="O9" s="219"/>
      <c r="P9" s="219"/>
      <c r="Q9" s="219"/>
      <c r="R9" s="219"/>
      <c r="S9" s="219"/>
      <c r="T9" s="219"/>
      <c r="U9" s="219"/>
      <c r="V9" s="219"/>
      <c r="W9" s="126"/>
      <c r="X9" s="219"/>
    </row>
    <row r="10" spans="1:30">
      <c r="B10" s="28"/>
      <c r="C10" s="196"/>
      <c r="D10" s="47"/>
      <c r="E10" s="28"/>
      <c r="F10" s="215"/>
      <c r="G10" s="215"/>
      <c r="H10" s="2"/>
      <c r="I10" s="35"/>
      <c r="K10" s="35"/>
      <c r="M10" s="35"/>
      <c r="N10" s="35"/>
      <c r="O10" s="35"/>
      <c r="P10" s="35"/>
    </row>
    <row r="11" spans="1:30">
      <c r="B11" s="28"/>
      <c r="C11" s="196"/>
      <c r="D11" s="47"/>
      <c r="E11" s="28"/>
      <c r="F11" s="215"/>
      <c r="G11" s="215"/>
      <c r="H11" s="2"/>
      <c r="I11" s="35"/>
      <c r="K11" s="35"/>
      <c r="M11" s="35"/>
      <c r="N11" s="35"/>
      <c r="O11" s="35"/>
      <c r="P11" s="35"/>
    </row>
    <row r="12" spans="1:30">
      <c r="B12" s="28"/>
      <c r="C12" s="196"/>
      <c r="D12" s="47"/>
      <c r="E12" s="28"/>
      <c r="F12" s="215"/>
      <c r="G12" s="215"/>
      <c r="H12" s="2"/>
      <c r="I12" s="35"/>
      <c r="K12" s="35"/>
      <c r="M12" s="35"/>
      <c r="N12" s="35"/>
      <c r="O12" s="35"/>
      <c r="P12" s="35"/>
    </row>
    <row r="13" spans="1:30">
      <c r="B13" s="28"/>
      <c r="C13" s="196"/>
      <c r="D13" s="47"/>
      <c r="E13" s="28"/>
      <c r="F13" s="215"/>
      <c r="G13" s="215"/>
      <c r="H13" s="2"/>
      <c r="I13" s="35"/>
      <c r="K13" s="35"/>
      <c r="M13" s="35"/>
      <c r="N13" s="35"/>
      <c r="O13" s="35"/>
      <c r="P13" s="35"/>
    </row>
    <row r="14" spans="1:30">
      <c r="B14" s="28"/>
      <c r="C14" s="196"/>
      <c r="D14" s="47"/>
      <c r="E14" s="28"/>
      <c r="F14" s="215"/>
      <c r="G14" s="215"/>
      <c r="H14" s="2"/>
      <c r="I14" s="35"/>
      <c r="K14" s="35"/>
      <c r="M14" s="35"/>
      <c r="N14" s="35"/>
      <c r="O14" s="35"/>
      <c r="P14" s="35"/>
      <c r="Y14" s="35"/>
      <c r="Z14" s="35"/>
      <c r="AA14" s="35"/>
      <c r="AB14" s="35"/>
      <c r="AC14" s="35"/>
      <c r="AD14" s="35"/>
    </row>
    <row r="15" spans="1:30">
      <c r="B15" s="28"/>
      <c r="C15" s="196"/>
      <c r="D15" s="47"/>
      <c r="E15" s="28"/>
      <c r="F15" s="215"/>
      <c r="G15" s="215"/>
      <c r="H15" s="2"/>
      <c r="I15" s="35"/>
      <c r="K15" s="35"/>
      <c r="M15" s="35"/>
      <c r="N15" s="35"/>
      <c r="O15" s="35"/>
      <c r="P15" s="35"/>
      <c r="Y15" s="35"/>
      <c r="Z15" s="35"/>
      <c r="AA15" s="35"/>
      <c r="AB15" s="35"/>
      <c r="AC15" s="35"/>
      <c r="AD15" s="35"/>
    </row>
    <row r="16" spans="1:30">
      <c r="B16" s="28"/>
      <c r="C16" s="196"/>
      <c r="D16" s="47"/>
      <c r="E16" s="28"/>
      <c r="F16" s="215"/>
      <c r="G16" s="215"/>
      <c r="H16" s="2"/>
      <c r="I16" s="35"/>
      <c r="K16" s="35"/>
      <c r="M16" s="35"/>
      <c r="N16" s="35"/>
      <c r="O16" s="35"/>
      <c r="P16" s="35"/>
      <c r="Y16" s="35"/>
      <c r="Z16" s="35"/>
      <c r="AA16" s="35"/>
      <c r="AB16" s="35"/>
      <c r="AC16" s="35"/>
      <c r="AD16" s="35"/>
    </row>
    <row r="17" spans="2:30">
      <c r="B17" s="28"/>
      <c r="C17" s="196"/>
      <c r="D17" s="47"/>
      <c r="E17" s="28"/>
      <c r="F17" s="215"/>
      <c r="G17" s="215"/>
      <c r="H17" s="2"/>
      <c r="I17" s="35"/>
      <c r="K17" s="35"/>
      <c r="M17" s="35"/>
      <c r="N17" s="35"/>
      <c r="O17" s="35"/>
      <c r="P17" s="35"/>
      <c r="Y17" s="35"/>
      <c r="Z17" s="35"/>
      <c r="AA17" s="35"/>
      <c r="AB17" s="35"/>
      <c r="AC17" s="35"/>
      <c r="AD17" s="35"/>
    </row>
    <row r="18" spans="2:30">
      <c r="B18" s="28"/>
      <c r="C18" s="196"/>
      <c r="D18" s="47"/>
      <c r="E18" s="28"/>
      <c r="F18" s="215"/>
      <c r="G18" s="215"/>
      <c r="H18" s="2"/>
      <c r="I18" s="35"/>
      <c r="K18" s="35"/>
      <c r="M18" s="35"/>
      <c r="N18" s="35"/>
      <c r="O18" s="35"/>
      <c r="P18" s="35"/>
    </row>
    <row r="19" spans="2:30">
      <c r="B19" s="28"/>
      <c r="C19" s="196"/>
      <c r="D19" s="47"/>
      <c r="E19" s="28"/>
      <c r="F19" s="215"/>
      <c r="G19" s="215"/>
      <c r="H19" s="2"/>
      <c r="I19" s="35"/>
      <c r="K19" s="35"/>
      <c r="M19" s="35"/>
      <c r="N19" s="35"/>
      <c r="O19" s="35"/>
      <c r="P19" s="35"/>
    </row>
    <row r="20" spans="2:30">
      <c r="B20" s="28"/>
      <c r="C20" s="196"/>
      <c r="D20" s="47"/>
      <c r="E20" s="28"/>
      <c r="F20" s="215"/>
      <c r="G20" s="215"/>
      <c r="H20" s="2"/>
      <c r="I20" s="35"/>
      <c r="K20" s="35"/>
      <c r="M20" s="35"/>
      <c r="N20" s="35"/>
      <c r="O20" s="35"/>
      <c r="P20" s="35"/>
    </row>
    <row r="21" spans="2:30">
      <c r="B21" s="28"/>
      <c r="C21" s="196"/>
      <c r="D21" s="47"/>
      <c r="E21" s="28"/>
      <c r="F21" s="215"/>
      <c r="G21" s="215"/>
      <c r="H21" s="2"/>
      <c r="I21" s="35"/>
      <c r="K21" s="35"/>
      <c r="M21" s="35"/>
      <c r="N21" s="35"/>
      <c r="O21" s="35"/>
      <c r="P21" s="35"/>
    </row>
    <row r="22" spans="2:30">
      <c r="B22" s="28"/>
      <c r="C22" s="196"/>
      <c r="D22" s="47"/>
      <c r="E22" s="28"/>
      <c r="F22" s="215"/>
      <c r="G22" s="215"/>
      <c r="H22" s="2"/>
      <c r="I22" s="35"/>
      <c r="K22" s="35"/>
      <c r="M22" s="35"/>
      <c r="N22" s="35"/>
      <c r="O22" s="35"/>
      <c r="P22" s="35"/>
    </row>
    <row r="23" spans="2:30">
      <c r="B23" s="28"/>
      <c r="C23" s="196"/>
      <c r="D23" s="47"/>
      <c r="E23" s="28"/>
      <c r="F23" s="215"/>
      <c r="G23" s="215"/>
      <c r="H23" s="2"/>
      <c r="I23" s="35"/>
      <c r="K23" s="35"/>
      <c r="M23" s="35"/>
      <c r="N23" s="35"/>
      <c r="O23" s="35"/>
      <c r="P23" s="35"/>
    </row>
    <row r="24" spans="2:30">
      <c r="B24" s="28"/>
      <c r="C24" s="196"/>
      <c r="D24" s="47"/>
      <c r="E24" s="28"/>
      <c r="F24" s="215"/>
      <c r="G24" s="215"/>
      <c r="H24" s="2"/>
      <c r="I24" s="35"/>
      <c r="K24" s="35"/>
      <c r="M24" s="35"/>
      <c r="N24" s="35"/>
      <c r="O24" s="35"/>
      <c r="P24" s="35"/>
    </row>
    <row r="25" spans="2:30">
      <c r="B25" s="28"/>
      <c r="C25" s="196"/>
      <c r="D25" s="47"/>
      <c r="E25" s="28"/>
      <c r="F25" s="215"/>
      <c r="G25" s="215"/>
      <c r="H25" s="2"/>
      <c r="I25" s="35"/>
      <c r="K25" s="35"/>
      <c r="M25" s="35"/>
      <c r="N25" s="35"/>
      <c r="O25" s="35"/>
      <c r="P25" s="35"/>
    </row>
    <row r="26" spans="2:30">
      <c r="B26" s="28"/>
      <c r="C26" s="196"/>
      <c r="D26" s="47"/>
      <c r="E26" s="28"/>
      <c r="F26" s="215"/>
      <c r="G26" s="215"/>
      <c r="H26" s="2"/>
      <c r="I26" s="35"/>
      <c r="K26" s="35"/>
      <c r="M26" s="35"/>
      <c r="N26" s="35"/>
      <c r="O26" s="35"/>
      <c r="P26" s="35"/>
    </row>
    <row r="27" spans="2:30">
      <c r="B27" s="28"/>
      <c r="C27" s="196"/>
      <c r="D27" s="47"/>
      <c r="E27" s="28"/>
      <c r="F27" s="215"/>
      <c r="G27" s="215"/>
      <c r="H27" s="2"/>
      <c r="I27" s="35"/>
      <c r="K27" s="35"/>
      <c r="M27" s="35"/>
      <c r="N27" s="35"/>
      <c r="O27" s="35"/>
      <c r="P27" s="35"/>
    </row>
    <row r="28" spans="2:30">
      <c r="B28" s="28"/>
      <c r="C28" s="196"/>
      <c r="D28" s="47"/>
      <c r="E28" s="28"/>
      <c r="F28" s="215"/>
      <c r="G28" s="215"/>
      <c r="H28" s="2"/>
      <c r="I28" s="35"/>
      <c r="K28" s="35"/>
      <c r="M28" s="35"/>
      <c r="N28" s="35"/>
      <c r="O28" s="35"/>
      <c r="P28" s="35"/>
    </row>
    <row r="29" spans="2:30">
      <c r="B29" s="28"/>
      <c r="C29" s="196"/>
      <c r="D29" s="47"/>
      <c r="E29" s="28"/>
      <c r="F29" s="215"/>
      <c r="G29" s="215"/>
      <c r="H29" s="2"/>
      <c r="I29" s="35"/>
      <c r="K29" s="35"/>
      <c r="M29" s="35"/>
      <c r="N29" s="35"/>
      <c r="O29" s="35"/>
      <c r="P29" s="35"/>
    </row>
    <row r="30" spans="2:30">
      <c r="B30" s="28"/>
      <c r="C30" s="196"/>
      <c r="D30" s="47"/>
      <c r="E30" s="28"/>
      <c r="F30" s="215"/>
      <c r="G30" s="215"/>
      <c r="H30" s="2"/>
      <c r="I30" s="35"/>
      <c r="K30" s="35"/>
      <c r="M30" s="35"/>
      <c r="N30" s="35"/>
      <c r="O30" s="35"/>
      <c r="P30" s="35"/>
    </row>
    <row r="31" spans="2:30">
      <c r="B31" s="28"/>
      <c r="C31" s="196"/>
      <c r="D31" s="47"/>
      <c r="E31" s="28"/>
      <c r="F31" s="215"/>
      <c r="G31" s="215"/>
      <c r="H31" s="2"/>
      <c r="I31" s="35"/>
      <c r="K31" s="35"/>
      <c r="M31" s="35"/>
      <c r="N31" s="35"/>
      <c r="O31" s="35"/>
      <c r="P31" s="35"/>
    </row>
    <row r="32" spans="2:30">
      <c r="B32" s="28"/>
      <c r="C32" s="196"/>
      <c r="D32" s="47"/>
      <c r="E32" s="28"/>
      <c r="F32" s="215"/>
      <c r="G32" s="215"/>
      <c r="H32" s="2"/>
      <c r="I32" s="35"/>
      <c r="K32" s="35"/>
      <c r="M32" s="35"/>
      <c r="N32" s="35"/>
      <c r="O32" s="35"/>
      <c r="P32" s="35"/>
    </row>
    <row r="33" spans="2:16">
      <c r="B33" s="28"/>
      <c r="C33" s="196"/>
      <c r="D33" s="47"/>
      <c r="E33" s="28"/>
      <c r="F33" s="215"/>
      <c r="G33" s="215"/>
      <c r="H33" s="2"/>
      <c r="I33" s="35"/>
      <c r="K33" s="35"/>
      <c r="M33" s="35"/>
      <c r="N33" s="35"/>
      <c r="O33" s="35"/>
      <c r="P33" s="35"/>
    </row>
    <row r="34" spans="2:16">
      <c r="B34" s="28"/>
      <c r="C34" s="196"/>
      <c r="D34" s="47"/>
      <c r="E34" s="28"/>
      <c r="F34" s="215"/>
      <c r="G34" s="215"/>
      <c r="H34" s="2"/>
      <c r="I34" s="35"/>
      <c r="K34" s="35"/>
      <c r="M34" s="35"/>
      <c r="N34" s="35"/>
      <c r="O34" s="35"/>
      <c r="P34" s="35"/>
    </row>
    <row r="35" spans="2:16">
      <c r="B35" s="28"/>
      <c r="C35" s="196"/>
      <c r="D35" s="47"/>
      <c r="E35" s="28"/>
      <c r="F35" s="215"/>
      <c r="G35" s="215"/>
      <c r="H35" s="2"/>
      <c r="I35" s="35"/>
      <c r="K35" s="35"/>
      <c r="M35" s="35"/>
      <c r="N35" s="35"/>
      <c r="O35" s="35"/>
      <c r="P35" s="35"/>
    </row>
    <row r="36" spans="2:16">
      <c r="B36" s="28"/>
      <c r="C36" s="196"/>
      <c r="D36" s="47"/>
      <c r="E36" s="28"/>
      <c r="F36" s="215"/>
      <c r="G36" s="215"/>
      <c r="H36" s="2"/>
      <c r="I36" s="35"/>
      <c r="K36" s="35"/>
      <c r="M36" s="35"/>
      <c r="N36" s="35"/>
      <c r="O36" s="35"/>
      <c r="P36" s="35"/>
    </row>
    <row r="37" spans="2:16">
      <c r="B37" s="28"/>
      <c r="C37" s="196"/>
      <c r="D37" s="47"/>
      <c r="E37" s="28"/>
      <c r="F37" s="215"/>
      <c r="G37" s="215"/>
      <c r="H37" s="2"/>
      <c r="I37" s="35"/>
      <c r="K37" s="35"/>
      <c r="M37" s="35"/>
      <c r="N37" s="35"/>
      <c r="O37" s="35"/>
      <c r="P37" s="35"/>
    </row>
    <row r="38" spans="2:16">
      <c r="B38" s="28"/>
      <c r="C38" s="196"/>
      <c r="D38" s="47"/>
      <c r="E38" s="28"/>
      <c r="F38" s="215"/>
      <c r="G38" s="215"/>
      <c r="H38" s="2"/>
      <c r="I38" s="35"/>
      <c r="K38" s="35"/>
      <c r="M38" s="35"/>
      <c r="N38" s="35"/>
      <c r="O38" s="35"/>
      <c r="P38" s="35"/>
    </row>
    <row r="39" spans="2:16">
      <c r="B39" s="28"/>
      <c r="C39" s="196"/>
      <c r="D39" s="47"/>
      <c r="E39" s="28"/>
      <c r="F39" s="215"/>
      <c r="G39" s="215"/>
      <c r="H39" s="2"/>
      <c r="I39" s="35"/>
      <c r="K39" s="35"/>
      <c r="M39" s="35"/>
      <c r="N39" s="35"/>
      <c r="O39" s="35"/>
      <c r="P39" s="35"/>
    </row>
    <row r="40" spans="2:16">
      <c r="B40" s="28"/>
      <c r="C40" s="196"/>
      <c r="D40" s="47"/>
      <c r="E40" s="28"/>
      <c r="F40" s="215"/>
      <c r="G40" s="215"/>
      <c r="H40" s="2"/>
      <c r="I40" s="35"/>
      <c r="K40" s="35"/>
      <c r="M40" s="35"/>
      <c r="N40" s="35"/>
      <c r="O40" s="35"/>
      <c r="P40" s="35"/>
    </row>
    <row r="41" spans="2:16">
      <c r="B41" s="28"/>
      <c r="C41" s="196"/>
      <c r="D41" s="47"/>
      <c r="E41" s="28"/>
      <c r="F41" s="215"/>
      <c r="G41" s="215"/>
      <c r="H41" s="2"/>
      <c r="I41" s="35"/>
      <c r="K41" s="35"/>
      <c r="M41" s="35"/>
      <c r="N41" s="35"/>
      <c r="O41" s="35"/>
      <c r="P41" s="35"/>
    </row>
    <row r="42" spans="2:16">
      <c r="B42" s="28"/>
      <c r="C42" s="196"/>
      <c r="D42" s="47"/>
      <c r="E42" s="28"/>
      <c r="F42" s="215"/>
      <c r="G42" s="215"/>
      <c r="H42" s="2"/>
      <c r="I42" s="35"/>
      <c r="K42" s="35"/>
      <c r="M42" s="35"/>
      <c r="N42" s="35"/>
      <c r="O42" s="35"/>
      <c r="P42" s="35"/>
    </row>
    <row r="43" spans="2:16">
      <c r="B43" s="28"/>
      <c r="C43" s="196"/>
      <c r="D43" s="47"/>
      <c r="E43" s="28"/>
      <c r="F43" s="215"/>
      <c r="G43" s="215"/>
      <c r="H43" s="2"/>
      <c r="I43" s="35"/>
      <c r="K43" s="35"/>
      <c r="M43" s="35"/>
      <c r="N43" s="35"/>
      <c r="O43" s="35"/>
      <c r="P43" s="35"/>
    </row>
    <row r="44" spans="2:16">
      <c r="B44" s="28"/>
      <c r="C44" s="196"/>
      <c r="D44" s="47"/>
      <c r="E44" s="28"/>
      <c r="F44" s="215"/>
      <c r="G44" s="215"/>
      <c r="H44" s="2"/>
      <c r="I44" s="35"/>
      <c r="K44" s="35"/>
      <c r="M44" s="35"/>
      <c r="N44" s="35"/>
      <c r="O44" s="35"/>
      <c r="P44" s="35"/>
    </row>
    <row r="45" spans="2:16">
      <c r="B45" s="28"/>
      <c r="C45" s="196"/>
      <c r="D45" s="47"/>
      <c r="E45" s="28"/>
      <c r="F45" s="215"/>
      <c r="G45" s="215"/>
      <c r="H45" s="2"/>
      <c r="I45" s="35"/>
      <c r="K45" s="35"/>
      <c r="M45" s="35"/>
      <c r="N45" s="35"/>
      <c r="O45" s="35"/>
      <c r="P45" s="35"/>
    </row>
    <row r="46" spans="2:16">
      <c r="B46" s="28"/>
      <c r="C46" s="196"/>
      <c r="D46" s="47"/>
      <c r="E46" s="28"/>
      <c r="F46" s="215"/>
      <c r="G46" s="215"/>
      <c r="H46" s="2"/>
      <c r="I46" s="35"/>
      <c r="K46" s="35"/>
      <c r="M46" s="35"/>
      <c r="N46" s="35"/>
      <c r="O46" s="35"/>
      <c r="P46" s="35"/>
    </row>
    <row r="47" spans="2:16">
      <c r="B47" s="28"/>
      <c r="C47" s="196"/>
      <c r="D47" s="47"/>
      <c r="E47" s="28"/>
      <c r="F47" s="215"/>
      <c r="G47" s="215"/>
      <c r="H47" s="2"/>
      <c r="I47" s="35"/>
      <c r="K47" s="35"/>
      <c r="M47" s="35"/>
      <c r="N47" s="35"/>
      <c r="O47" s="35"/>
      <c r="P47" s="35"/>
    </row>
    <row r="48" spans="2:16">
      <c r="B48" s="28"/>
      <c r="C48" s="196"/>
      <c r="D48" s="47"/>
      <c r="E48" s="28"/>
      <c r="F48" s="215"/>
      <c r="G48" s="215"/>
      <c r="H48" s="2"/>
      <c r="I48" s="35"/>
      <c r="K48" s="35"/>
      <c r="M48" s="35"/>
      <c r="N48" s="35"/>
      <c r="O48" s="35"/>
      <c r="P48" s="35"/>
    </row>
    <row r="49" spans="2:16">
      <c r="B49" s="28"/>
      <c r="C49" s="196"/>
      <c r="D49" s="47"/>
      <c r="E49" s="28"/>
      <c r="F49" s="215"/>
      <c r="G49" s="215"/>
      <c r="H49" s="2"/>
      <c r="I49" s="35"/>
      <c r="K49" s="35"/>
      <c r="M49" s="35"/>
      <c r="N49" s="35"/>
      <c r="O49" s="35"/>
      <c r="P49" s="35"/>
    </row>
    <row r="50" spans="2:16">
      <c r="B50" s="28"/>
      <c r="C50" s="196"/>
      <c r="D50" s="47"/>
      <c r="E50" s="28"/>
      <c r="F50" s="215"/>
      <c r="G50" s="215"/>
      <c r="H50" s="2"/>
      <c r="I50" s="35"/>
      <c r="K50" s="35"/>
      <c r="M50" s="35"/>
      <c r="N50" s="35"/>
      <c r="O50" s="35"/>
      <c r="P50" s="35"/>
    </row>
    <row r="51" spans="2:16">
      <c r="B51" s="28"/>
      <c r="C51" s="196"/>
      <c r="D51" s="47"/>
      <c r="E51" s="28"/>
      <c r="F51" s="215"/>
      <c r="G51" s="215"/>
      <c r="H51" s="2"/>
      <c r="I51" s="35"/>
      <c r="K51" s="35"/>
      <c r="M51" s="35"/>
      <c r="N51" s="35"/>
      <c r="O51" s="35"/>
      <c r="P51" s="35"/>
    </row>
    <row r="52" spans="2:16">
      <c r="B52" s="28"/>
      <c r="C52" s="196"/>
      <c r="D52" s="47"/>
      <c r="E52" s="28"/>
      <c r="F52" s="215"/>
      <c r="G52" s="215"/>
      <c r="H52" s="2"/>
      <c r="I52" s="35"/>
      <c r="K52" s="35"/>
      <c r="M52" s="35"/>
      <c r="N52" s="35"/>
      <c r="O52" s="35"/>
      <c r="P52" s="35"/>
    </row>
    <row r="53" spans="2:16">
      <c r="B53" s="28"/>
      <c r="C53" s="196"/>
      <c r="D53" s="47"/>
      <c r="E53" s="28"/>
      <c r="F53" s="215"/>
      <c r="G53" s="215"/>
      <c r="H53" s="2"/>
      <c r="I53" s="35"/>
      <c r="K53" s="35"/>
      <c r="M53" s="35"/>
      <c r="N53" s="35"/>
      <c r="O53" s="35"/>
      <c r="P53" s="35"/>
    </row>
    <row r="54" spans="2:16">
      <c r="B54" s="28"/>
      <c r="C54" s="196"/>
      <c r="D54" s="47"/>
      <c r="E54" s="28"/>
      <c r="F54" s="215"/>
      <c r="G54" s="215"/>
      <c r="H54" s="2"/>
      <c r="I54" s="35"/>
      <c r="K54" s="35"/>
      <c r="M54" s="35"/>
      <c r="N54" s="35"/>
      <c r="O54" s="35"/>
      <c r="P54" s="35"/>
    </row>
    <row r="55" spans="2:16">
      <c r="B55" s="28"/>
      <c r="C55" s="196"/>
      <c r="D55" s="47"/>
      <c r="E55" s="28"/>
      <c r="F55" s="215"/>
      <c r="G55" s="215"/>
      <c r="H55" s="2"/>
      <c r="I55" s="35"/>
      <c r="K55" s="35"/>
      <c r="M55" s="35"/>
      <c r="N55" s="35"/>
      <c r="O55" s="35"/>
      <c r="P55" s="35"/>
    </row>
    <row r="56" spans="2:16">
      <c r="B56" s="28"/>
      <c r="C56" s="196"/>
      <c r="D56" s="47"/>
      <c r="E56" s="28"/>
      <c r="F56" s="215"/>
      <c r="G56" s="215"/>
      <c r="H56" s="2"/>
      <c r="I56" s="35"/>
      <c r="K56" s="35"/>
      <c r="M56" s="35"/>
      <c r="N56" s="35"/>
      <c r="O56" s="35"/>
      <c r="P56" s="35"/>
    </row>
    <row r="57" spans="2:16">
      <c r="B57" s="28"/>
      <c r="C57" s="196"/>
      <c r="D57" s="47"/>
      <c r="E57" s="28"/>
      <c r="F57" s="215"/>
      <c r="G57" s="215"/>
      <c r="H57" s="2"/>
      <c r="I57" s="35"/>
      <c r="K57" s="35"/>
      <c r="M57" s="35"/>
      <c r="N57" s="35"/>
      <c r="O57" s="35"/>
      <c r="P57" s="35"/>
    </row>
    <row r="58" spans="2:16">
      <c r="B58" s="28"/>
      <c r="C58" s="196"/>
      <c r="D58" s="47"/>
      <c r="E58" s="28"/>
      <c r="F58" s="215"/>
      <c r="G58" s="215"/>
      <c r="H58" s="2"/>
      <c r="I58" s="35"/>
      <c r="K58" s="35"/>
      <c r="M58" s="35"/>
      <c r="N58" s="35"/>
      <c r="O58" s="35"/>
      <c r="P58" s="35"/>
    </row>
    <row r="59" spans="2:16">
      <c r="B59" s="28"/>
      <c r="C59" s="196"/>
      <c r="D59" s="47"/>
      <c r="E59" s="28"/>
      <c r="F59" s="215"/>
      <c r="G59" s="215"/>
      <c r="H59" s="2"/>
      <c r="I59" s="35"/>
      <c r="K59" s="35"/>
      <c r="M59" s="35"/>
      <c r="N59" s="35"/>
      <c r="O59" s="35"/>
      <c r="P59" s="35"/>
    </row>
    <row r="60" spans="2:16">
      <c r="B60" s="28"/>
      <c r="C60" s="196"/>
      <c r="D60" s="47"/>
      <c r="E60" s="28"/>
      <c r="F60" s="215"/>
      <c r="G60" s="215"/>
      <c r="H60" s="2"/>
      <c r="I60" s="35"/>
      <c r="K60" s="35"/>
      <c r="M60" s="35"/>
      <c r="N60" s="35"/>
      <c r="O60" s="35"/>
      <c r="P60" s="35"/>
    </row>
    <row r="61" spans="2:16">
      <c r="B61" s="28"/>
      <c r="C61" s="196"/>
      <c r="D61" s="47"/>
      <c r="E61" s="28"/>
      <c r="F61" s="215"/>
      <c r="G61" s="215"/>
      <c r="H61" s="2"/>
      <c r="I61" s="35"/>
      <c r="K61" s="35"/>
      <c r="M61" s="35"/>
      <c r="N61" s="35"/>
      <c r="O61" s="35"/>
      <c r="P61" s="35"/>
    </row>
    <row r="62" spans="2:16">
      <c r="B62" s="28"/>
      <c r="C62" s="196"/>
      <c r="D62" s="47"/>
      <c r="E62" s="28"/>
      <c r="F62" s="215"/>
      <c r="G62" s="215"/>
      <c r="H62" s="2"/>
      <c r="I62" s="35"/>
      <c r="K62" s="35"/>
      <c r="M62" s="35"/>
      <c r="N62" s="35"/>
      <c r="O62" s="35"/>
      <c r="P62" s="35"/>
    </row>
    <row r="63" spans="2:16">
      <c r="B63" s="28"/>
      <c r="C63" s="196"/>
      <c r="D63" s="47"/>
      <c r="E63" s="28"/>
      <c r="F63" s="215"/>
      <c r="G63" s="215"/>
      <c r="H63" s="2"/>
      <c r="I63" s="35"/>
      <c r="K63" s="35"/>
      <c r="M63" s="35"/>
      <c r="N63" s="35"/>
      <c r="O63" s="35"/>
      <c r="P63" s="35"/>
    </row>
    <row r="64" spans="2:16">
      <c r="B64" s="28"/>
      <c r="C64" s="196"/>
      <c r="D64" s="47"/>
      <c r="E64" s="28"/>
      <c r="F64" s="215"/>
      <c r="G64" s="215"/>
      <c r="H64" s="2"/>
      <c r="I64" s="35"/>
      <c r="K64" s="35"/>
      <c r="M64" s="35"/>
      <c r="N64" s="35"/>
      <c r="O64" s="35"/>
      <c r="P64" s="35"/>
    </row>
    <row r="65" spans="2:16">
      <c r="B65" s="28"/>
      <c r="C65" s="196"/>
      <c r="D65" s="47"/>
      <c r="E65" s="28"/>
      <c r="F65" s="215"/>
      <c r="G65" s="215"/>
      <c r="H65" s="2"/>
      <c r="I65" s="35"/>
      <c r="K65" s="35"/>
      <c r="M65" s="35"/>
      <c r="N65" s="35"/>
      <c r="O65" s="35"/>
      <c r="P65" s="35"/>
    </row>
    <row r="66" spans="2:16">
      <c r="B66" s="28"/>
      <c r="C66" s="196"/>
      <c r="D66" s="47"/>
      <c r="E66" s="28"/>
      <c r="F66" s="215"/>
      <c r="G66" s="215"/>
      <c r="H66" s="2"/>
      <c r="I66" s="35"/>
      <c r="K66" s="35"/>
      <c r="M66" s="35"/>
      <c r="N66" s="35"/>
      <c r="O66" s="35"/>
      <c r="P66" s="35"/>
    </row>
    <row r="67" spans="2:16">
      <c r="B67" s="28"/>
      <c r="C67" s="196"/>
      <c r="D67" s="47"/>
      <c r="E67" s="28"/>
      <c r="F67" s="215"/>
      <c r="G67" s="215"/>
      <c r="H67" s="2"/>
      <c r="I67" s="35"/>
      <c r="K67" s="35"/>
      <c r="M67" s="35"/>
      <c r="N67" s="35"/>
      <c r="O67" s="35"/>
      <c r="P67" s="35"/>
    </row>
    <row r="68" spans="2:16">
      <c r="B68" s="28"/>
      <c r="C68" s="196"/>
      <c r="D68" s="47"/>
      <c r="E68" s="28"/>
      <c r="F68" s="215"/>
      <c r="G68" s="215"/>
      <c r="H68" s="2"/>
      <c r="I68" s="35"/>
      <c r="K68" s="35"/>
      <c r="M68" s="35"/>
      <c r="N68" s="35"/>
      <c r="O68" s="35"/>
      <c r="P68" s="35"/>
    </row>
    <row r="69" spans="2:16">
      <c r="B69" s="28"/>
      <c r="C69" s="196"/>
      <c r="D69" s="47"/>
      <c r="E69" s="28"/>
      <c r="F69" s="215"/>
      <c r="G69" s="215"/>
      <c r="H69" s="2"/>
      <c r="I69" s="35"/>
      <c r="K69" s="35"/>
      <c r="M69" s="35"/>
      <c r="N69" s="35"/>
      <c r="O69" s="35"/>
      <c r="P69" s="35"/>
    </row>
    <row r="70" spans="2:16">
      <c r="B70" s="28"/>
      <c r="C70" s="196"/>
      <c r="D70" s="47"/>
      <c r="E70" s="28"/>
      <c r="F70" s="215"/>
      <c r="G70" s="215"/>
      <c r="H70" s="2"/>
      <c r="I70" s="35"/>
      <c r="K70" s="35"/>
      <c r="M70" s="35"/>
      <c r="N70" s="35"/>
      <c r="O70" s="35"/>
      <c r="P70" s="35"/>
    </row>
    <row r="71" spans="2:16">
      <c r="B71" s="28"/>
      <c r="C71" s="196"/>
      <c r="D71" s="47"/>
      <c r="E71" s="28"/>
      <c r="F71" s="215"/>
      <c r="G71" s="215"/>
      <c r="H71" s="2"/>
      <c r="I71" s="35"/>
      <c r="K71" s="35"/>
      <c r="M71" s="35"/>
      <c r="N71" s="35"/>
      <c r="O71" s="35"/>
      <c r="P71" s="35"/>
    </row>
    <row r="72" spans="2:16">
      <c r="B72" s="28"/>
      <c r="C72" s="196"/>
      <c r="D72" s="47"/>
      <c r="E72" s="28"/>
      <c r="F72" s="215"/>
      <c r="G72" s="215"/>
      <c r="H72" s="2"/>
      <c r="I72" s="35"/>
      <c r="K72" s="35"/>
      <c r="M72" s="35"/>
      <c r="N72" s="35"/>
      <c r="O72" s="35"/>
      <c r="P72" s="35"/>
    </row>
    <row r="73" spans="2:16">
      <c r="B73" s="28"/>
      <c r="C73" s="196"/>
      <c r="D73" s="47"/>
      <c r="E73" s="28"/>
      <c r="F73" s="215"/>
      <c r="G73" s="215"/>
      <c r="H73" s="2"/>
      <c r="I73" s="35"/>
      <c r="K73" s="35"/>
      <c r="M73" s="35"/>
      <c r="N73" s="35"/>
      <c r="O73" s="35"/>
      <c r="P73" s="35"/>
    </row>
    <row r="74" spans="2:16">
      <c r="B74" s="28"/>
      <c r="C74" s="196"/>
      <c r="D74" s="47"/>
      <c r="E74" s="28"/>
      <c r="F74" s="215"/>
      <c r="G74" s="215"/>
      <c r="H74" s="2"/>
      <c r="I74" s="35"/>
      <c r="K74" s="35"/>
      <c r="M74" s="35"/>
      <c r="N74" s="35"/>
      <c r="O74" s="35"/>
      <c r="P74" s="35"/>
    </row>
    <row r="75" spans="2:16">
      <c r="B75" s="28"/>
      <c r="C75" s="196"/>
      <c r="D75" s="47"/>
      <c r="E75" s="28"/>
      <c r="F75" s="215"/>
      <c r="G75" s="215"/>
      <c r="H75" s="2"/>
      <c r="I75" s="35"/>
      <c r="K75" s="35"/>
      <c r="M75" s="35"/>
      <c r="N75" s="35"/>
      <c r="O75" s="35"/>
      <c r="P75" s="35"/>
    </row>
    <row r="76" spans="2:16">
      <c r="B76" s="28"/>
      <c r="C76" s="196"/>
      <c r="D76" s="47"/>
      <c r="E76" s="28"/>
      <c r="F76" s="215"/>
      <c r="G76" s="215"/>
      <c r="H76" s="2"/>
      <c r="I76" s="35"/>
      <c r="K76" s="35"/>
      <c r="M76" s="35"/>
      <c r="N76" s="35"/>
      <c r="O76" s="35"/>
      <c r="P76" s="35"/>
    </row>
    <row r="77" spans="2:16">
      <c r="B77" s="28"/>
      <c r="C77" s="196"/>
      <c r="D77" s="47"/>
      <c r="E77" s="28"/>
      <c r="F77" s="215"/>
      <c r="G77" s="215"/>
      <c r="H77" s="2"/>
      <c r="I77" s="35"/>
      <c r="K77" s="35"/>
      <c r="M77" s="35"/>
      <c r="N77" s="35"/>
      <c r="O77" s="35"/>
      <c r="P77" s="35"/>
    </row>
    <row r="78" spans="2:16">
      <c r="B78" s="28"/>
      <c r="C78" s="196"/>
      <c r="D78" s="47"/>
      <c r="E78" s="28"/>
      <c r="F78" s="215"/>
      <c r="G78" s="215"/>
      <c r="H78" s="2"/>
      <c r="I78" s="35"/>
      <c r="K78" s="35"/>
      <c r="M78" s="35"/>
      <c r="N78" s="35"/>
      <c r="O78" s="35"/>
      <c r="P78" s="35"/>
    </row>
    <row r="79" spans="2:16">
      <c r="B79" s="28"/>
      <c r="C79" s="196"/>
      <c r="D79" s="47"/>
      <c r="E79" s="28"/>
      <c r="F79" s="215"/>
      <c r="G79" s="215"/>
      <c r="H79" s="2"/>
      <c r="I79" s="35"/>
      <c r="K79" s="35"/>
      <c r="M79" s="35"/>
      <c r="N79" s="35"/>
      <c r="O79" s="35"/>
      <c r="P79" s="35"/>
    </row>
    <row r="80" spans="2:16">
      <c r="B80" s="28"/>
      <c r="C80" s="196"/>
      <c r="D80" s="47"/>
      <c r="E80" s="28"/>
      <c r="F80" s="215"/>
      <c r="G80" s="215"/>
      <c r="H80" s="2"/>
      <c r="I80" s="35"/>
      <c r="K80" s="35"/>
      <c r="M80" s="35"/>
      <c r="N80" s="35"/>
      <c r="O80" s="35"/>
      <c r="P80" s="35"/>
    </row>
    <row r="81" spans="2:16">
      <c r="B81" s="28"/>
      <c r="C81" s="196"/>
      <c r="D81" s="47"/>
      <c r="E81" s="28"/>
      <c r="F81" s="215"/>
      <c r="G81" s="215"/>
      <c r="H81" s="2"/>
      <c r="I81" s="35"/>
      <c r="K81" s="35"/>
      <c r="M81" s="35"/>
      <c r="N81" s="35"/>
      <c r="O81" s="35"/>
      <c r="P81" s="35"/>
    </row>
    <row r="82" spans="2:16">
      <c r="B82" s="28"/>
      <c r="C82" s="196"/>
      <c r="D82" s="47"/>
      <c r="E82" s="28"/>
      <c r="F82" s="215"/>
      <c r="G82" s="215"/>
      <c r="H82" s="2"/>
      <c r="I82" s="35"/>
      <c r="K82" s="35"/>
      <c r="M82" s="35"/>
      <c r="N82" s="35"/>
      <c r="O82" s="35"/>
      <c r="P82" s="35"/>
    </row>
    <row r="83" spans="2:16">
      <c r="B83" s="28"/>
      <c r="C83" s="196"/>
      <c r="D83" s="47"/>
      <c r="E83" s="28"/>
      <c r="F83" s="215"/>
      <c r="G83" s="215"/>
      <c r="H83" s="2"/>
      <c r="I83" s="35"/>
      <c r="K83" s="35"/>
      <c r="M83" s="35"/>
      <c r="N83" s="35"/>
      <c r="O83" s="35"/>
      <c r="P83" s="35"/>
    </row>
    <row r="84" spans="2:16">
      <c r="B84" s="28"/>
      <c r="C84" s="196"/>
      <c r="D84" s="47"/>
      <c r="E84" s="28"/>
      <c r="F84" s="215"/>
      <c r="G84" s="215"/>
      <c r="H84" s="2"/>
      <c r="I84" s="35"/>
      <c r="K84" s="35"/>
      <c r="M84" s="35"/>
      <c r="N84" s="35"/>
      <c r="O84" s="35"/>
      <c r="P84" s="35"/>
    </row>
    <row r="85" spans="2:16">
      <c r="B85" s="28"/>
      <c r="C85" s="196"/>
      <c r="D85" s="47"/>
      <c r="E85" s="28"/>
      <c r="F85" s="215"/>
      <c r="G85" s="215"/>
      <c r="H85" s="2"/>
      <c r="I85" s="35"/>
      <c r="K85" s="35"/>
      <c r="M85" s="35"/>
      <c r="N85" s="35"/>
      <c r="O85" s="35"/>
      <c r="P85" s="35"/>
    </row>
    <row r="86" spans="2:16">
      <c r="B86" s="28"/>
      <c r="C86" s="196"/>
      <c r="D86" s="47"/>
      <c r="E86" s="28"/>
      <c r="F86" s="215"/>
      <c r="G86" s="215"/>
      <c r="H86" s="2"/>
      <c r="I86" s="35"/>
      <c r="K86" s="35"/>
      <c r="M86" s="35"/>
      <c r="N86" s="35"/>
      <c r="O86" s="35"/>
      <c r="P86" s="35"/>
    </row>
    <row r="87" spans="2:16">
      <c r="B87" s="28"/>
      <c r="C87" s="196"/>
      <c r="D87" s="47"/>
      <c r="E87" s="28"/>
      <c r="F87" s="215"/>
      <c r="G87" s="215"/>
      <c r="H87" s="2"/>
      <c r="I87" s="35"/>
      <c r="K87" s="35"/>
      <c r="M87" s="35"/>
      <c r="N87" s="35"/>
      <c r="O87" s="35"/>
      <c r="P87" s="35"/>
    </row>
    <row r="88" spans="2:16">
      <c r="B88" s="28"/>
      <c r="C88" s="196"/>
      <c r="D88" s="47"/>
      <c r="E88" s="28"/>
      <c r="F88" s="215"/>
      <c r="G88" s="215"/>
      <c r="H88" s="2"/>
      <c r="I88" s="35"/>
      <c r="K88" s="35"/>
      <c r="M88" s="35"/>
      <c r="N88" s="35"/>
      <c r="O88" s="35"/>
      <c r="P88" s="35"/>
    </row>
    <row r="89" spans="2:16">
      <c r="B89" s="28"/>
      <c r="C89" s="196"/>
      <c r="D89" s="47"/>
      <c r="E89" s="28"/>
      <c r="F89" s="215"/>
      <c r="G89" s="215"/>
      <c r="H89" s="2"/>
      <c r="I89" s="35"/>
      <c r="K89" s="35"/>
      <c r="M89" s="35"/>
      <c r="N89" s="35"/>
      <c r="O89" s="35"/>
      <c r="P89" s="35"/>
    </row>
    <row r="90" spans="2:16">
      <c r="B90" s="28"/>
      <c r="C90" s="196"/>
      <c r="D90" s="47"/>
      <c r="E90" s="28"/>
      <c r="F90" s="215"/>
      <c r="G90" s="215"/>
      <c r="H90" s="2"/>
      <c r="I90" s="35"/>
      <c r="K90" s="35"/>
      <c r="M90" s="35"/>
      <c r="N90" s="35"/>
      <c r="O90" s="35"/>
      <c r="P90" s="35"/>
    </row>
    <row r="91" spans="2:16">
      <c r="B91" s="28"/>
      <c r="C91" s="196"/>
      <c r="D91" s="47"/>
      <c r="E91" s="28"/>
      <c r="F91" s="215"/>
      <c r="G91" s="215"/>
      <c r="H91" s="2"/>
      <c r="I91" s="35"/>
      <c r="K91" s="35"/>
      <c r="M91" s="35"/>
      <c r="N91" s="35"/>
      <c r="O91" s="35"/>
      <c r="P91" s="35"/>
    </row>
    <row r="92" spans="2:16">
      <c r="B92" s="28"/>
      <c r="C92" s="196"/>
      <c r="D92" s="47"/>
      <c r="E92" s="28"/>
      <c r="F92" s="215"/>
      <c r="G92" s="215"/>
      <c r="H92" s="2"/>
      <c r="I92" s="35"/>
      <c r="K92" s="35"/>
      <c r="M92" s="35"/>
      <c r="N92" s="35"/>
      <c r="O92" s="35"/>
      <c r="P92" s="35"/>
    </row>
    <row r="93" spans="2:16">
      <c r="B93" s="28"/>
      <c r="C93" s="196"/>
      <c r="D93" s="47"/>
      <c r="E93" s="28"/>
      <c r="F93" s="215"/>
      <c r="G93" s="215"/>
      <c r="H93" s="2"/>
      <c r="I93" s="35"/>
      <c r="K93" s="35"/>
      <c r="M93" s="35"/>
      <c r="N93" s="35"/>
      <c r="O93" s="35"/>
      <c r="P93" s="35"/>
    </row>
    <row r="94" spans="2:16">
      <c r="B94" s="28"/>
      <c r="C94" s="196"/>
      <c r="D94" s="47"/>
      <c r="E94" s="28"/>
      <c r="F94" s="215"/>
      <c r="G94" s="215"/>
      <c r="H94" s="2"/>
      <c r="I94" s="35"/>
      <c r="K94" s="35"/>
      <c r="M94" s="35"/>
      <c r="N94" s="35"/>
      <c r="O94" s="35"/>
      <c r="P94" s="35"/>
    </row>
    <row r="95" spans="2:16">
      <c r="B95" s="28"/>
      <c r="C95" s="196"/>
      <c r="D95" s="47"/>
      <c r="E95" s="28"/>
      <c r="F95" s="215"/>
      <c r="G95" s="215"/>
      <c r="H95" s="2"/>
      <c r="I95" s="35"/>
      <c r="K95" s="35"/>
      <c r="M95" s="35"/>
      <c r="N95" s="35"/>
      <c r="O95" s="35"/>
      <c r="P95" s="35"/>
    </row>
    <row r="96" spans="2:16">
      <c r="B96" s="28"/>
      <c r="C96" s="196"/>
      <c r="D96" s="47"/>
      <c r="E96" s="28"/>
      <c r="F96" s="215"/>
      <c r="G96" s="215"/>
      <c r="H96" s="2"/>
      <c r="I96" s="35"/>
      <c r="K96" s="35"/>
      <c r="M96" s="35"/>
      <c r="N96" s="35"/>
      <c r="O96" s="35"/>
      <c r="P96" s="35"/>
    </row>
    <row r="97" spans="2:16">
      <c r="B97" s="28"/>
      <c r="C97" s="196"/>
      <c r="D97" s="47"/>
      <c r="E97" s="28"/>
      <c r="F97" s="215"/>
      <c r="G97" s="215"/>
      <c r="H97" s="2"/>
      <c r="I97" s="35"/>
      <c r="K97" s="35"/>
      <c r="M97" s="35"/>
      <c r="N97" s="35"/>
      <c r="O97" s="35"/>
      <c r="P97" s="35"/>
    </row>
    <row r="98" spans="2:16">
      <c r="B98" s="28"/>
      <c r="C98" s="196"/>
      <c r="D98" s="47"/>
      <c r="E98" s="28"/>
      <c r="F98" s="215"/>
      <c r="G98" s="215"/>
      <c r="H98" s="2"/>
      <c r="I98" s="35"/>
      <c r="K98" s="35"/>
      <c r="M98" s="35"/>
      <c r="N98" s="35"/>
      <c r="O98" s="35"/>
      <c r="P98" s="35"/>
    </row>
    <row r="99" spans="2:16">
      <c r="B99" s="28"/>
      <c r="C99" s="196"/>
      <c r="D99" s="47"/>
      <c r="E99" s="28"/>
      <c r="F99" s="215"/>
      <c r="G99" s="215"/>
      <c r="H99" s="2"/>
      <c r="I99" s="35"/>
      <c r="K99" s="35"/>
      <c r="M99" s="35"/>
      <c r="N99" s="35"/>
      <c r="O99" s="35"/>
      <c r="P99" s="35"/>
    </row>
    <row r="100" spans="2:16">
      <c r="B100" s="28"/>
      <c r="C100" s="196"/>
      <c r="D100" s="47"/>
      <c r="E100" s="28"/>
      <c r="F100" s="215"/>
      <c r="G100" s="215"/>
      <c r="H100" s="2"/>
      <c r="I100" s="35"/>
      <c r="K100" s="35"/>
      <c r="M100" s="35"/>
      <c r="N100" s="35"/>
      <c r="O100" s="35"/>
      <c r="P100" s="35"/>
    </row>
    <row r="101" spans="2:16">
      <c r="B101" s="28"/>
      <c r="C101" s="196"/>
      <c r="D101" s="47"/>
      <c r="E101" s="28"/>
      <c r="F101" s="215"/>
      <c r="G101" s="215"/>
      <c r="H101" s="2"/>
      <c r="I101" s="35"/>
      <c r="K101" s="35"/>
      <c r="M101" s="35"/>
      <c r="N101" s="35"/>
      <c r="O101" s="35"/>
      <c r="P101" s="35"/>
    </row>
    <row r="102" spans="2:16">
      <c r="B102" s="28"/>
      <c r="C102" s="196"/>
      <c r="D102" s="47"/>
      <c r="E102" s="28"/>
      <c r="F102" s="215"/>
      <c r="G102" s="215"/>
      <c r="H102" s="2"/>
      <c r="I102" s="107"/>
      <c r="K102" s="35"/>
      <c r="M102" s="35"/>
      <c r="N102" s="35"/>
      <c r="O102" s="35"/>
      <c r="P102" s="35"/>
    </row>
    <row r="103" spans="2:16">
      <c r="B103" s="28"/>
      <c r="C103" s="196"/>
      <c r="D103" s="47"/>
      <c r="E103" s="28"/>
      <c r="F103" s="215"/>
      <c r="G103" s="215"/>
      <c r="H103" s="2"/>
      <c r="I103" s="19"/>
      <c r="K103" s="35"/>
      <c r="M103" s="35"/>
      <c r="N103" s="35"/>
      <c r="O103" s="35"/>
      <c r="P103" s="35"/>
    </row>
    <row r="104" spans="2:16">
      <c r="B104" s="28"/>
      <c r="C104" s="196"/>
      <c r="D104" s="47"/>
      <c r="E104" s="28"/>
      <c r="F104" s="215"/>
      <c r="G104" s="215"/>
      <c r="H104" s="2"/>
      <c r="I104" s="19"/>
      <c r="K104" s="35"/>
      <c r="M104" s="35"/>
      <c r="N104" s="35"/>
      <c r="O104" s="35"/>
      <c r="P104" s="35"/>
    </row>
    <row r="105" spans="2:16">
      <c r="B105" s="28"/>
      <c r="C105" s="196"/>
      <c r="D105" s="47"/>
      <c r="E105" s="28"/>
      <c r="F105" s="215"/>
      <c r="G105" s="215"/>
      <c r="H105" s="2"/>
      <c r="I105" s="19"/>
      <c r="K105" s="35"/>
      <c r="M105" s="35"/>
      <c r="N105" s="35"/>
      <c r="O105" s="35"/>
      <c r="P105" s="35"/>
    </row>
    <row r="106" spans="2:16">
      <c r="B106" s="28"/>
      <c r="C106" s="196"/>
      <c r="D106" s="47"/>
      <c r="E106" s="28"/>
      <c r="F106" s="215"/>
      <c r="G106" s="215"/>
      <c r="H106" s="2"/>
      <c r="I106" s="19"/>
      <c r="K106" s="35"/>
      <c r="M106" s="35"/>
      <c r="N106" s="35"/>
      <c r="O106" s="35"/>
      <c r="P106" s="35"/>
    </row>
    <row r="107" spans="2:16">
      <c r="B107" s="28"/>
      <c r="C107" s="196"/>
      <c r="D107" s="47"/>
      <c r="E107" s="28"/>
      <c r="F107" s="215"/>
      <c r="G107" s="215"/>
      <c r="H107" s="2"/>
      <c r="I107" s="19"/>
      <c r="K107" s="35"/>
      <c r="M107" s="35"/>
      <c r="N107" s="35"/>
      <c r="O107" s="35"/>
      <c r="P107" s="35"/>
    </row>
    <row r="108" spans="2:16">
      <c r="B108" s="28"/>
      <c r="C108" s="196"/>
      <c r="D108" s="47"/>
      <c r="E108" s="28"/>
      <c r="F108" s="215"/>
      <c r="G108" s="215"/>
      <c r="H108" s="2"/>
      <c r="I108" s="19"/>
      <c r="K108" s="35"/>
      <c r="M108" s="35"/>
      <c r="N108" s="35"/>
      <c r="O108" s="35"/>
      <c r="P108" s="35"/>
    </row>
    <row r="109" spans="2:16">
      <c r="B109" s="28"/>
      <c r="C109" s="196"/>
      <c r="D109" s="47"/>
      <c r="E109" s="28"/>
      <c r="F109" s="215"/>
      <c r="G109" s="215"/>
      <c r="H109" s="2"/>
      <c r="I109" s="19"/>
      <c r="K109" s="35"/>
      <c r="M109" s="35"/>
      <c r="N109" s="35"/>
      <c r="O109" s="35"/>
      <c r="P109" s="35"/>
    </row>
    <row r="110" spans="2:16">
      <c r="B110" s="28"/>
      <c r="C110" s="196"/>
      <c r="D110" s="47"/>
      <c r="E110" s="28"/>
      <c r="F110" s="215"/>
      <c r="G110" s="215"/>
      <c r="H110" s="2"/>
      <c r="I110" s="19"/>
      <c r="K110" s="35"/>
      <c r="M110" s="35"/>
      <c r="N110" s="35"/>
      <c r="O110" s="35"/>
      <c r="P110" s="35"/>
    </row>
    <row r="111" spans="2:16">
      <c r="B111" s="28"/>
      <c r="C111" s="196"/>
      <c r="D111" s="47"/>
      <c r="E111" s="28"/>
      <c r="F111" s="215"/>
      <c r="G111" s="215"/>
      <c r="H111" s="2"/>
      <c r="I111" s="19"/>
      <c r="K111" s="35"/>
      <c r="M111" s="35"/>
      <c r="N111" s="35"/>
      <c r="O111" s="35"/>
      <c r="P111" s="35"/>
    </row>
    <row r="112" spans="2:16">
      <c r="B112" s="28"/>
      <c r="C112" s="196"/>
      <c r="D112" s="47"/>
      <c r="E112" s="28"/>
      <c r="F112" s="215"/>
      <c r="G112" s="215"/>
      <c r="H112" s="2"/>
      <c r="I112" s="19"/>
      <c r="K112" s="35"/>
      <c r="M112" s="35"/>
      <c r="N112" s="35"/>
      <c r="O112" s="35"/>
      <c r="P112" s="35"/>
    </row>
    <row r="113" spans="2:16">
      <c r="B113" s="28"/>
      <c r="C113" s="196"/>
      <c r="D113" s="47"/>
      <c r="E113" s="28"/>
      <c r="F113" s="215"/>
      <c r="G113" s="215"/>
      <c r="H113" s="2"/>
      <c r="I113" s="19"/>
      <c r="K113" s="35"/>
      <c r="M113" s="35"/>
      <c r="N113" s="35"/>
      <c r="O113" s="35"/>
      <c r="P113" s="35"/>
    </row>
    <row r="114" spans="2:16">
      <c r="B114" s="28"/>
      <c r="C114" s="196"/>
      <c r="D114" s="47"/>
      <c r="E114" s="28"/>
      <c r="F114" s="215"/>
      <c r="G114" s="215"/>
      <c r="H114" s="2"/>
      <c r="I114" s="19"/>
      <c r="K114" s="35"/>
      <c r="M114" s="35"/>
      <c r="N114" s="35"/>
      <c r="O114" s="35"/>
      <c r="P114" s="35"/>
    </row>
    <row r="115" spans="2:16">
      <c r="B115" s="28"/>
      <c r="C115" s="196"/>
      <c r="D115" s="47"/>
      <c r="E115" s="28"/>
      <c r="F115" s="215"/>
      <c r="G115" s="215"/>
      <c r="H115" s="2"/>
      <c r="I115" s="19"/>
      <c r="K115" s="35"/>
      <c r="M115" s="35"/>
      <c r="N115" s="35"/>
      <c r="O115" s="35"/>
      <c r="P115" s="35"/>
    </row>
    <row r="116" spans="2:16">
      <c r="B116" s="28"/>
      <c r="C116" s="196"/>
      <c r="D116" s="47"/>
      <c r="E116" s="28"/>
      <c r="F116" s="215"/>
      <c r="G116" s="215"/>
      <c r="H116" s="2"/>
      <c r="I116" s="19"/>
      <c r="K116" s="35"/>
      <c r="M116" s="35"/>
      <c r="N116" s="35"/>
      <c r="O116" s="35"/>
      <c r="P116" s="35"/>
    </row>
    <row r="117" spans="2:16">
      <c r="B117" s="28"/>
      <c r="C117" s="196"/>
      <c r="D117" s="47"/>
      <c r="E117" s="28"/>
      <c r="F117" s="215"/>
      <c r="G117" s="215"/>
      <c r="H117" s="2"/>
      <c r="I117" s="19"/>
      <c r="K117" s="35"/>
      <c r="M117" s="35"/>
      <c r="N117" s="35"/>
      <c r="O117" s="35"/>
      <c r="P117" s="35"/>
    </row>
    <row r="118" spans="2:16">
      <c r="B118" s="28"/>
      <c r="C118" s="196"/>
      <c r="D118" s="47"/>
      <c r="E118" s="28"/>
      <c r="F118" s="215"/>
      <c r="G118" s="215"/>
      <c r="H118" s="2"/>
      <c r="I118" s="19"/>
      <c r="K118" s="35"/>
      <c r="M118" s="35"/>
      <c r="N118" s="35"/>
      <c r="O118" s="35"/>
      <c r="P118" s="35"/>
    </row>
    <row r="119" spans="2:16">
      <c r="B119" s="28"/>
      <c r="C119" s="196"/>
      <c r="D119" s="47"/>
      <c r="E119" s="28"/>
      <c r="F119" s="215"/>
      <c r="G119" s="215"/>
      <c r="H119" s="2"/>
      <c r="I119" s="19"/>
      <c r="K119" s="35"/>
      <c r="M119" s="35"/>
      <c r="N119" s="35"/>
      <c r="O119" s="35"/>
      <c r="P119" s="35"/>
    </row>
    <row r="120" spans="2:16">
      <c r="B120" s="28"/>
      <c r="C120" s="196"/>
      <c r="D120" s="47"/>
      <c r="E120" s="28"/>
      <c r="F120" s="215"/>
      <c r="G120" s="215"/>
      <c r="H120" s="2"/>
      <c r="I120" s="19"/>
      <c r="K120" s="35"/>
      <c r="M120" s="35"/>
      <c r="N120" s="35"/>
      <c r="O120" s="35"/>
      <c r="P120" s="35"/>
    </row>
    <row r="121" spans="2:16">
      <c r="B121" s="28"/>
      <c r="C121" s="196"/>
      <c r="D121" s="47"/>
      <c r="E121" s="28"/>
      <c r="F121" s="215"/>
      <c r="G121" s="215"/>
      <c r="H121" s="2"/>
      <c r="I121" s="19"/>
      <c r="K121" s="35"/>
      <c r="M121" s="35"/>
      <c r="N121" s="35"/>
      <c r="O121" s="35"/>
      <c r="P121" s="35"/>
    </row>
    <row r="122" spans="2:16">
      <c r="B122" s="28"/>
      <c r="C122" s="196"/>
      <c r="D122" s="47"/>
      <c r="E122" s="28"/>
      <c r="F122" s="215"/>
      <c r="G122" s="215"/>
      <c r="H122" s="2"/>
      <c r="I122" s="19"/>
      <c r="K122" s="35"/>
      <c r="M122" s="35"/>
      <c r="N122" s="35"/>
      <c r="O122" s="35"/>
      <c r="P122" s="35"/>
    </row>
    <row r="123" spans="2:16">
      <c r="B123" s="28"/>
      <c r="C123" s="196"/>
      <c r="D123" s="47"/>
      <c r="E123" s="28"/>
      <c r="F123" s="215"/>
      <c r="G123" s="215"/>
      <c r="H123" s="2"/>
      <c r="I123" s="19"/>
      <c r="K123" s="35"/>
      <c r="M123" s="35"/>
      <c r="N123" s="35"/>
      <c r="O123" s="35"/>
      <c r="P123" s="35"/>
    </row>
    <row r="124" spans="2:16">
      <c r="B124" s="28"/>
      <c r="C124" s="196"/>
      <c r="D124" s="47"/>
      <c r="E124" s="28"/>
      <c r="F124" s="215"/>
      <c r="G124" s="215"/>
      <c r="H124" s="2"/>
      <c r="I124" s="19"/>
      <c r="K124" s="35"/>
      <c r="M124" s="35"/>
      <c r="N124" s="35"/>
      <c r="O124" s="35"/>
      <c r="P124" s="35"/>
    </row>
    <row r="125" spans="2:16">
      <c r="B125" s="28"/>
      <c r="C125" s="196"/>
      <c r="D125" s="47"/>
      <c r="E125" s="28"/>
      <c r="F125" s="215"/>
      <c r="G125" s="215"/>
      <c r="H125" s="2"/>
      <c r="I125" s="19"/>
      <c r="K125" s="35"/>
      <c r="M125" s="35"/>
      <c r="N125" s="35"/>
      <c r="O125" s="35"/>
      <c r="P125" s="35"/>
    </row>
    <row r="126" spans="2:16">
      <c r="B126" s="28"/>
      <c r="C126" s="196"/>
      <c r="D126" s="47"/>
      <c r="E126" s="28"/>
      <c r="F126" s="215"/>
      <c r="G126" s="215"/>
      <c r="H126" s="2"/>
      <c r="I126" s="19"/>
      <c r="K126" s="35"/>
      <c r="M126" s="35"/>
      <c r="N126" s="35"/>
      <c r="O126" s="35"/>
      <c r="P126" s="35"/>
    </row>
    <row r="127" spans="2:16">
      <c r="B127" s="28"/>
      <c r="C127" s="196"/>
      <c r="D127" s="47"/>
      <c r="E127" s="28"/>
      <c r="F127" s="215"/>
      <c r="G127" s="215"/>
      <c r="H127" s="2"/>
      <c r="I127" s="19"/>
      <c r="K127" s="35"/>
      <c r="M127" s="35"/>
      <c r="N127" s="35"/>
      <c r="O127" s="35"/>
      <c r="P127" s="35"/>
    </row>
    <row r="128" spans="2:16">
      <c r="B128" s="28"/>
      <c r="C128" s="196"/>
      <c r="D128" s="47"/>
      <c r="E128" s="28"/>
      <c r="F128" s="215"/>
      <c r="G128" s="215"/>
      <c r="H128" s="2"/>
      <c r="I128" s="19"/>
      <c r="K128" s="35"/>
      <c r="M128" s="35"/>
      <c r="N128" s="35"/>
      <c r="O128" s="35"/>
      <c r="P128" s="35"/>
    </row>
    <row r="129" spans="2:16">
      <c r="B129" s="28"/>
      <c r="C129" s="196"/>
      <c r="D129" s="47"/>
      <c r="E129" s="28"/>
      <c r="F129" s="215"/>
      <c r="G129" s="215"/>
      <c r="H129" s="2"/>
      <c r="I129" s="19"/>
      <c r="K129" s="35"/>
      <c r="M129" s="35"/>
      <c r="N129" s="35"/>
      <c r="O129" s="35"/>
      <c r="P129" s="35"/>
    </row>
    <row r="130" spans="2:16">
      <c r="B130" s="28"/>
      <c r="C130" s="196"/>
      <c r="D130" s="47"/>
      <c r="E130" s="28"/>
      <c r="F130" s="215"/>
      <c r="G130" s="215"/>
      <c r="H130" s="2"/>
      <c r="I130" s="19"/>
      <c r="K130" s="35"/>
      <c r="M130" s="35"/>
      <c r="N130" s="35"/>
      <c r="O130" s="35"/>
      <c r="P130" s="35"/>
    </row>
    <row r="131" spans="2:16">
      <c r="B131" s="28"/>
      <c r="C131" s="196"/>
      <c r="D131" s="47"/>
      <c r="E131" s="28"/>
      <c r="F131" s="215"/>
      <c r="G131" s="215"/>
      <c r="H131" s="2"/>
      <c r="I131" s="19"/>
      <c r="K131" s="35"/>
      <c r="M131" s="35"/>
      <c r="N131" s="35"/>
      <c r="O131" s="35"/>
      <c r="P131" s="35"/>
    </row>
    <row r="132" spans="2:16">
      <c r="B132" s="28"/>
      <c r="C132" s="196"/>
      <c r="D132" s="47"/>
      <c r="E132" s="28"/>
      <c r="F132" s="215"/>
      <c r="G132" s="215"/>
      <c r="H132" s="2"/>
      <c r="I132" s="19"/>
      <c r="K132" s="35"/>
      <c r="M132" s="35"/>
      <c r="N132" s="35"/>
      <c r="O132" s="35"/>
      <c r="P132" s="35"/>
    </row>
    <row r="133" spans="2:16">
      <c r="B133" s="28"/>
      <c r="C133" s="196"/>
      <c r="D133" s="47"/>
      <c r="E133" s="28"/>
      <c r="F133" s="215"/>
      <c r="G133" s="215"/>
      <c r="H133" s="2"/>
      <c r="I133" s="19"/>
      <c r="K133" s="35"/>
      <c r="M133" s="35"/>
      <c r="N133" s="35"/>
      <c r="O133" s="35"/>
      <c r="P133" s="35"/>
    </row>
    <row r="134" spans="2:16">
      <c r="B134" s="28"/>
      <c r="C134" s="196"/>
      <c r="D134" s="47"/>
      <c r="E134" s="28"/>
      <c r="F134" s="215"/>
      <c r="G134" s="215"/>
      <c r="H134" s="2"/>
      <c r="I134" s="19"/>
      <c r="K134" s="35"/>
      <c r="M134" s="35"/>
      <c r="N134" s="35"/>
      <c r="O134" s="35"/>
      <c r="P134" s="35"/>
    </row>
    <row r="135" spans="2:16">
      <c r="B135" s="28"/>
      <c r="C135" s="196"/>
      <c r="D135" s="47"/>
      <c r="E135" s="28"/>
      <c r="F135" s="215"/>
      <c r="G135" s="215"/>
      <c r="H135" s="2"/>
      <c r="I135" s="19"/>
      <c r="K135" s="35"/>
      <c r="M135" s="35"/>
      <c r="N135" s="35"/>
      <c r="O135" s="35"/>
      <c r="P135" s="35"/>
    </row>
    <row r="136" spans="2:16">
      <c r="B136" s="28"/>
      <c r="C136" s="196"/>
      <c r="D136" s="47"/>
      <c r="E136" s="28"/>
      <c r="F136" s="215"/>
      <c r="G136" s="215"/>
      <c r="H136" s="2"/>
      <c r="I136" s="19"/>
      <c r="K136" s="35"/>
      <c r="M136" s="35"/>
      <c r="N136" s="35"/>
      <c r="O136" s="35"/>
      <c r="P136" s="35"/>
    </row>
    <row r="137" spans="2:16">
      <c r="B137" s="28"/>
      <c r="C137" s="196"/>
      <c r="D137" s="47"/>
      <c r="E137" s="28"/>
      <c r="F137" s="215"/>
      <c r="G137" s="215"/>
      <c r="H137" s="2"/>
      <c r="I137" s="19"/>
      <c r="K137" s="35"/>
      <c r="M137" s="35"/>
      <c r="N137" s="35"/>
      <c r="O137" s="35"/>
      <c r="P137" s="35"/>
    </row>
    <row r="138" spans="2:16">
      <c r="B138" s="28"/>
      <c r="C138" s="196"/>
      <c r="D138" s="47"/>
      <c r="E138" s="28"/>
      <c r="F138" s="215"/>
      <c r="G138" s="215"/>
      <c r="H138" s="2"/>
      <c r="I138" s="19"/>
      <c r="K138" s="35"/>
      <c r="M138" s="35"/>
      <c r="N138" s="35"/>
      <c r="O138" s="35"/>
      <c r="P138" s="35"/>
    </row>
    <row r="139" spans="2:16">
      <c r="B139" s="28"/>
      <c r="C139" s="196"/>
      <c r="D139" s="47"/>
      <c r="E139" s="28"/>
      <c r="F139" s="215"/>
      <c r="G139" s="215"/>
      <c r="H139" s="2"/>
      <c r="I139" s="19"/>
      <c r="K139" s="35"/>
      <c r="M139" s="35"/>
      <c r="N139" s="35"/>
      <c r="O139" s="35"/>
      <c r="P139" s="35"/>
    </row>
    <row r="140" spans="2:16">
      <c r="B140" s="28"/>
      <c r="C140" s="196"/>
      <c r="D140" s="47"/>
      <c r="E140" s="28"/>
      <c r="F140" s="215"/>
      <c r="G140" s="215"/>
      <c r="H140" s="2"/>
      <c r="I140" s="19"/>
      <c r="K140" s="35"/>
      <c r="M140" s="35"/>
      <c r="N140" s="35"/>
      <c r="O140" s="35"/>
      <c r="P140" s="35"/>
    </row>
    <row r="141" spans="2:16">
      <c r="B141" s="28"/>
      <c r="C141" s="196"/>
      <c r="D141" s="47"/>
      <c r="E141" s="28"/>
      <c r="F141" s="215"/>
      <c r="G141" s="215"/>
      <c r="H141" s="2"/>
      <c r="I141" s="19"/>
      <c r="K141" s="35"/>
      <c r="M141" s="35"/>
      <c r="N141" s="35"/>
      <c r="O141" s="35"/>
      <c r="P141" s="35"/>
    </row>
    <row r="142" spans="2:16">
      <c r="B142" s="28"/>
      <c r="C142" s="196"/>
      <c r="D142" s="47"/>
      <c r="E142" s="28"/>
      <c r="F142" s="215"/>
      <c r="G142" s="215"/>
      <c r="H142" s="2"/>
      <c r="I142" s="19"/>
      <c r="K142" s="35"/>
      <c r="M142" s="35"/>
      <c r="N142" s="35"/>
      <c r="O142" s="35"/>
      <c r="P142" s="35"/>
    </row>
    <row r="143" spans="2:16">
      <c r="B143" s="28"/>
      <c r="C143" s="196"/>
      <c r="D143" s="47"/>
      <c r="E143" s="28"/>
      <c r="F143" s="215"/>
      <c r="G143" s="215"/>
      <c r="H143" s="2"/>
      <c r="I143" s="19"/>
      <c r="K143" s="35"/>
      <c r="M143" s="35"/>
      <c r="N143" s="35"/>
      <c r="O143" s="35"/>
      <c r="P143" s="35"/>
    </row>
    <row r="144" spans="2:16">
      <c r="B144" s="28"/>
      <c r="C144" s="196"/>
      <c r="D144" s="47"/>
      <c r="E144" s="28"/>
      <c r="F144" s="215"/>
      <c r="G144" s="215"/>
      <c r="H144" s="2"/>
      <c r="I144" s="19"/>
      <c r="K144" s="35"/>
      <c r="M144" s="35"/>
      <c r="N144" s="35"/>
      <c r="O144" s="35"/>
      <c r="P144" s="35"/>
    </row>
    <row r="145" spans="2:16">
      <c r="B145" s="28"/>
      <c r="C145" s="196"/>
      <c r="D145" s="47"/>
      <c r="E145" s="28"/>
      <c r="F145" s="215"/>
      <c r="G145" s="215"/>
      <c r="H145" s="2"/>
      <c r="I145" s="19"/>
      <c r="K145" s="35"/>
      <c r="M145" s="35"/>
      <c r="N145" s="35"/>
      <c r="O145" s="35"/>
      <c r="P145" s="35"/>
    </row>
    <row r="146" spans="2:16">
      <c r="B146" s="28"/>
      <c r="C146" s="196"/>
      <c r="D146" s="47"/>
      <c r="E146" s="28"/>
      <c r="F146" s="215"/>
      <c r="G146" s="215"/>
      <c r="H146" s="2"/>
      <c r="I146" s="19"/>
      <c r="K146" s="35"/>
      <c r="M146" s="35"/>
      <c r="N146" s="35"/>
      <c r="O146" s="35"/>
      <c r="P146" s="35"/>
    </row>
    <row r="147" spans="2:16">
      <c r="B147" s="28"/>
      <c r="C147" s="196"/>
      <c r="D147" s="47"/>
      <c r="E147" s="28"/>
      <c r="F147" s="215"/>
      <c r="G147" s="215"/>
      <c r="H147" s="2"/>
      <c r="I147" s="19"/>
      <c r="K147" s="35"/>
      <c r="M147" s="35"/>
      <c r="N147" s="35"/>
      <c r="O147" s="35"/>
      <c r="P147" s="35"/>
    </row>
    <row r="148" spans="2:16">
      <c r="B148" s="28"/>
      <c r="C148" s="196"/>
      <c r="D148" s="47"/>
      <c r="E148" s="28"/>
      <c r="F148" s="215"/>
      <c r="G148" s="215"/>
      <c r="H148" s="2"/>
      <c r="I148" s="19"/>
      <c r="K148" s="35"/>
      <c r="M148" s="35"/>
      <c r="N148" s="35"/>
      <c r="O148" s="35"/>
      <c r="P148" s="35"/>
    </row>
    <row r="149" spans="2:16">
      <c r="B149" s="28"/>
      <c r="C149" s="196"/>
      <c r="D149" s="47"/>
      <c r="E149" s="28"/>
      <c r="F149" s="215"/>
      <c r="G149" s="215"/>
      <c r="H149" s="2"/>
      <c r="I149" s="19"/>
      <c r="K149" s="35"/>
      <c r="M149" s="35"/>
      <c r="N149" s="35"/>
      <c r="O149" s="35"/>
      <c r="P149" s="35"/>
    </row>
    <row r="150" spans="2:16">
      <c r="B150" s="28"/>
      <c r="C150" s="196"/>
      <c r="D150" s="47"/>
      <c r="E150" s="28"/>
      <c r="F150" s="215"/>
      <c r="G150" s="215"/>
      <c r="H150" s="2"/>
      <c r="I150" s="19"/>
      <c r="K150" s="35"/>
      <c r="M150" s="35"/>
      <c r="N150" s="35"/>
      <c r="O150" s="35"/>
      <c r="P150" s="35"/>
    </row>
    <row r="151" spans="2:16">
      <c r="B151" s="28"/>
      <c r="C151" s="196"/>
      <c r="D151" s="47"/>
      <c r="E151" s="28"/>
      <c r="F151" s="215"/>
      <c r="G151" s="215"/>
      <c r="H151" s="2"/>
      <c r="I151" s="19"/>
      <c r="K151" s="35"/>
      <c r="M151" s="35"/>
      <c r="N151" s="35"/>
      <c r="O151" s="35"/>
      <c r="P151" s="35"/>
    </row>
    <row r="152" spans="2:16">
      <c r="B152" s="28"/>
      <c r="C152" s="196"/>
      <c r="D152" s="47"/>
      <c r="E152" s="28"/>
      <c r="F152" s="215"/>
      <c r="G152" s="215"/>
      <c r="H152" s="2"/>
      <c r="I152" s="19"/>
      <c r="K152" s="35"/>
      <c r="M152" s="35"/>
      <c r="N152" s="35"/>
      <c r="O152" s="35"/>
      <c r="P152" s="35"/>
    </row>
    <row r="153" spans="2:16">
      <c r="B153" s="28"/>
      <c r="C153" s="196"/>
      <c r="D153" s="47"/>
      <c r="E153" s="28"/>
      <c r="F153" s="215"/>
      <c r="G153" s="215"/>
      <c r="H153" s="2"/>
      <c r="I153" s="19"/>
      <c r="K153" s="35"/>
      <c r="M153" s="35"/>
      <c r="N153" s="35"/>
      <c r="O153" s="35"/>
      <c r="P153" s="35"/>
    </row>
    <row r="154" spans="2:16">
      <c r="B154" s="28"/>
      <c r="C154" s="196"/>
      <c r="D154" s="47"/>
      <c r="E154" s="28"/>
      <c r="F154" s="215"/>
      <c r="G154" s="215"/>
      <c r="H154" s="2"/>
      <c r="I154" s="19"/>
      <c r="K154" s="35"/>
      <c r="M154" s="35"/>
      <c r="N154" s="35"/>
      <c r="O154" s="35"/>
      <c r="P154" s="35"/>
    </row>
    <row r="155" spans="2:16">
      <c r="B155" s="28"/>
      <c r="C155" s="196"/>
      <c r="D155" s="47"/>
      <c r="E155" s="28"/>
      <c r="F155" s="215"/>
      <c r="G155" s="215"/>
      <c r="H155" s="2"/>
      <c r="I155" s="19"/>
      <c r="K155" s="35"/>
      <c r="M155" s="35"/>
      <c r="N155" s="35"/>
      <c r="O155" s="35"/>
      <c r="P155" s="35"/>
    </row>
    <row r="156" spans="2:16">
      <c r="B156" s="28"/>
      <c r="C156" s="196"/>
      <c r="D156" s="47"/>
      <c r="E156" s="28"/>
      <c r="F156" s="215"/>
      <c r="G156" s="215"/>
      <c r="H156" s="2"/>
      <c r="I156" s="19"/>
      <c r="K156" s="35"/>
      <c r="M156" s="35"/>
      <c r="N156" s="35"/>
      <c r="O156" s="35"/>
      <c r="P156" s="35"/>
    </row>
    <row r="157" spans="2:16">
      <c r="B157" s="28"/>
      <c r="C157" s="196"/>
      <c r="D157" s="47"/>
      <c r="E157" s="28"/>
      <c r="F157" s="215"/>
      <c r="G157" s="215"/>
      <c r="H157" s="2"/>
      <c r="I157" s="19"/>
      <c r="K157" s="35"/>
      <c r="M157" s="35"/>
      <c r="N157" s="35"/>
      <c r="O157" s="35"/>
      <c r="P157" s="35"/>
    </row>
    <row r="158" spans="2:16">
      <c r="B158" s="28"/>
      <c r="C158" s="196"/>
      <c r="D158" s="47"/>
      <c r="E158" s="28"/>
      <c r="F158" s="215"/>
      <c r="G158" s="215"/>
      <c r="H158" s="2"/>
      <c r="I158" s="19"/>
      <c r="K158" s="35"/>
      <c r="M158" s="35"/>
      <c r="N158" s="35"/>
      <c r="O158" s="35"/>
      <c r="P158" s="35"/>
    </row>
    <row r="159" spans="2:16">
      <c r="B159" s="28"/>
      <c r="C159" s="196"/>
      <c r="D159" s="47"/>
      <c r="E159" s="28"/>
      <c r="F159" s="215"/>
      <c r="G159" s="215"/>
      <c r="H159" s="2"/>
      <c r="I159" s="19"/>
      <c r="K159" s="35"/>
      <c r="M159" s="35"/>
      <c r="N159" s="35"/>
      <c r="O159" s="35"/>
      <c r="P159" s="35"/>
    </row>
    <row r="160" spans="2:16">
      <c r="B160" s="28"/>
      <c r="C160" s="196"/>
      <c r="D160" s="47"/>
      <c r="E160" s="28"/>
      <c r="F160" s="215"/>
      <c r="G160" s="215"/>
      <c r="H160" s="2"/>
      <c r="I160" s="19"/>
      <c r="K160" s="35"/>
      <c r="M160" s="35"/>
      <c r="N160" s="35"/>
      <c r="O160" s="35"/>
      <c r="P160" s="35"/>
    </row>
    <row r="161" spans="2:16">
      <c r="B161" s="28"/>
      <c r="C161" s="196"/>
      <c r="D161" s="47"/>
      <c r="E161" s="28"/>
      <c r="F161" s="215"/>
      <c r="G161" s="215"/>
      <c r="H161" s="2"/>
      <c r="I161" s="19"/>
      <c r="K161" s="35"/>
      <c r="M161" s="35"/>
      <c r="N161" s="35"/>
      <c r="O161" s="35"/>
      <c r="P161" s="35"/>
    </row>
    <row r="162" spans="2:16">
      <c r="B162" s="28"/>
      <c r="C162" s="196"/>
      <c r="D162" s="47"/>
      <c r="E162" s="28"/>
      <c r="F162" s="215"/>
      <c r="G162" s="215"/>
      <c r="H162" s="2"/>
      <c r="I162" s="19"/>
      <c r="K162" s="35"/>
      <c r="M162" s="35"/>
      <c r="N162" s="35"/>
      <c r="O162" s="35"/>
      <c r="P162" s="35"/>
    </row>
    <row r="163" spans="2:16">
      <c r="B163" s="28"/>
      <c r="C163" s="196"/>
      <c r="D163" s="47"/>
      <c r="E163" s="28"/>
      <c r="F163" s="215"/>
      <c r="G163" s="215"/>
      <c r="H163" s="2"/>
      <c r="I163" s="19"/>
      <c r="K163" s="35"/>
      <c r="M163" s="35"/>
      <c r="N163" s="35"/>
      <c r="O163" s="35"/>
      <c r="P163" s="35"/>
    </row>
    <row r="164" spans="2:16">
      <c r="B164" s="28"/>
      <c r="C164" s="196"/>
      <c r="D164" s="47"/>
      <c r="E164" s="28"/>
      <c r="F164" s="215"/>
      <c r="G164" s="215"/>
      <c r="H164" s="2"/>
      <c r="I164" s="19"/>
      <c r="K164" s="35"/>
      <c r="M164" s="35"/>
      <c r="N164" s="35"/>
      <c r="O164" s="35"/>
      <c r="P164" s="35"/>
    </row>
    <row r="165" spans="2:16">
      <c r="B165" s="28"/>
      <c r="C165" s="196"/>
      <c r="D165" s="47"/>
      <c r="E165" s="28"/>
      <c r="F165" s="215"/>
      <c r="G165" s="215"/>
      <c r="H165" s="2"/>
      <c r="I165" s="19"/>
      <c r="K165" s="35"/>
      <c r="M165" s="35"/>
      <c r="N165" s="35"/>
      <c r="O165" s="35"/>
      <c r="P165" s="35"/>
    </row>
    <row r="166" spans="2:16">
      <c r="B166" s="28"/>
      <c r="C166" s="196"/>
      <c r="D166" s="47"/>
      <c r="E166" s="28"/>
      <c r="F166" s="215"/>
      <c r="G166" s="215"/>
      <c r="H166" s="2"/>
      <c r="I166" s="19"/>
      <c r="K166" s="35"/>
      <c r="M166" s="35"/>
      <c r="N166" s="35"/>
      <c r="O166" s="35"/>
      <c r="P166" s="35"/>
    </row>
    <row r="167" spans="2:16">
      <c r="B167" s="28"/>
      <c r="C167" s="196"/>
      <c r="D167" s="47"/>
      <c r="E167" s="28"/>
      <c r="F167" s="215"/>
      <c r="G167" s="215"/>
      <c r="H167" s="2"/>
      <c r="I167" s="19"/>
      <c r="K167" s="35"/>
      <c r="M167" s="35"/>
      <c r="N167" s="35"/>
      <c r="O167" s="35"/>
      <c r="P167" s="35"/>
    </row>
    <row r="168" spans="2:16">
      <c r="B168" s="28"/>
      <c r="C168" s="196"/>
      <c r="D168" s="47"/>
      <c r="E168" s="28"/>
      <c r="F168" s="215"/>
      <c r="G168" s="215"/>
      <c r="H168" s="2"/>
      <c r="I168" s="19"/>
      <c r="K168" s="35"/>
      <c r="M168" s="35"/>
      <c r="N168" s="35"/>
      <c r="O168" s="35"/>
      <c r="P168" s="35"/>
    </row>
    <row r="169" spans="2:16">
      <c r="B169" s="28"/>
      <c r="C169" s="196"/>
      <c r="D169" s="47"/>
      <c r="E169" s="28"/>
      <c r="F169" s="215"/>
      <c r="G169" s="215"/>
      <c r="H169" s="2"/>
      <c r="I169" s="19"/>
      <c r="K169" s="35"/>
      <c r="M169" s="35"/>
      <c r="N169" s="35"/>
      <c r="O169" s="35"/>
      <c r="P169" s="35"/>
    </row>
    <row r="170" spans="2:16">
      <c r="B170" s="28"/>
      <c r="C170" s="196"/>
      <c r="D170" s="47"/>
      <c r="E170" s="28"/>
      <c r="F170" s="215"/>
      <c r="G170" s="215"/>
      <c r="H170" s="2"/>
      <c r="I170" s="19"/>
      <c r="K170" s="35"/>
      <c r="M170" s="35"/>
      <c r="N170" s="35"/>
      <c r="O170" s="35"/>
      <c r="P170" s="35"/>
    </row>
    <row r="171" spans="2:16">
      <c r="B171" s="28"/>
      <c r="C171" s="196"/>
      <c r="D171" s="47"/>
      <c r="E171" s="28"/>
      <c r="F171" s="215"/>
      <c r="G171" s="215"/>
      <c r="H171" s="2"/>
      <c r="I171" s="19"/>
      <c r="K171" s="35"/>
      <c r="M171" s="35"/>
      <c r="N171" s="35"/>
      <c r="O171" s="35"/>
      <c r="P171" s="35"/>
    </row>
    <row r="172" spans="2:16">
      <c r="B172" s="28"/>
      <c r="C172" s="196"/>
      <c r="D172" s="47"/>
      <c r="E172" s="28"/>
      <c r="F172" s="215"/>
      <c r="G172" s="215"/>
      <c r="H172" s="2"/>
      <c r="I172" s="19"/>
      <c r="K172" s="35"/>
      <c r="M172" s="35"/>
      <c r="N172" s="35"/>
      <c r="O172" s="35"/>
      <c r="P172" s="35"/>
    </row>
    <row r="173" spans="2:16">
      <c r="B173" s="28"/>
      <c r="C173" s="196"/>
      <c r="D173" s="47"/>
      <c r="E173" s="28"/>
      <c r="F173" s="215"/>
      <c r="G173" s="215"/>
      <c r="H173" s="2"/>
      <c r="I173" s="19"/>
      <c r="K173" s="35"/>
      <c r="M173" s="35"/>
      <c r="N173" s="35"/>
      <c r="O173" s="35"/>
      <c r="P173" s="35"/>
    </row>
    <row r="174" spans="2:16">
      <c r="B174" s="28"/>
      <c r="C174" s="196"/>
      <c r="D174" s="47"/>
      <c r="E174" s="28"/>
      <c r="F174" s="215"/>
      <c r="G174" s="215"/>
      <c r="H174" s="2"/>
      <c r="I174" s="19"/>
      <c r="K174" s="35"/>
      <c r="M174" s="35"/>
      <c r="N174" s="35"/>
      <c r="O174" s="35"/>
      <c r="P174" s="35"/>
    </row>
    <row r="175" spans="2:16">
      <c r="B175" s="28"/>
      <c r="C175" s="196"/>
      <c r="D175" s="47"/>
      <c r="E175" s="28"/>
      <c r="F175" s="215"/>
      <c r="G175" s="215"/>
      <c r="H175" s="2"/>
      <c r="I175" s="19"/>
      <c r="K175" s="35"/>
      <c r="M175" s="35"/>
      <c r="N175" s="35"/>
      <c r="O175" s="35"/>
      <c r="P175" s="35"/>
    </row>
    <row r="176" spans="2:16">
      <c r="B176" s="28"/>
      <c r="C176" s="196"/>
      <c r="D176" s="47"/>
      <c r="E176" s="28"/>
      <c r="F176" s="215"/>
      <c r="G176" s="215"/>
      <c r="H176" s="2"/>
      <c r="I176" s="19"/>
      <c r="K176" s="35"/>
      <c r="M176" s="35"/>
      <c r="N176" s="35"/>
      <c r="O176" s="35"/>
      <c r="P176" s="35"/>
    </row>
    <row r="177" spans="2:16">
      <c r="B177" s="28"/>
      <c r="C177" s="196"/>
      <c r="D177" s="47"/>
      <c r="E177" s="28"/>
      <c r="F177" s="215"/>
      <c r="G177" s="215"/>
      <c r="H177" s="2"/>
      <c r="I177" s="19"/>
      <c r="K177" s="35"/>
      <c r="M177" s="35"/>
      <c r="N177" s="35"/>
      <c r="O177" s="35"/>
      <c r="P177" s="35"/>
    </row>
    <row r="178" spans="2:16">
      <c r="B178" s="28"/>
      <c r="C178" s="196"/>
      <c r="D178" s="47"/>
      <c r="E178" s="28"/>
      <c r="F178" s="215"/>
      <c r="G178" s="215"/>
      <c r="H178" s="2"/>
      <c r="I178" s="19"/>
      <c r="K178" s="35"/>
      <c r="M178" s="35"/>
      <c r="N178" s="35"/>
      <c r="O178" s="35"/>
      <c r="P178" s="35"/>
    </row>
    <row r="179" spans="2:16">
      <c r="B179" s="28"/>
      <c r="C179" s="196"/>
      <c r="D179" s="47"/>
      <c r="E179" s="28"/>
      <c r="F179" s="215"/>
      <c r="G179" s="215"/>
      <c r="H179" s="2"/>
      <c r="I179" s="19"/>
      <c r="K179" s="35"/>
      <c r="M179" s="35"/>
      <c r="N179" s="35"/>
      <c r="O179" s="35"/>
      <c r="P179" s="35"/>
    </row>
    <row r="180" spans="2:16">
      <c r="B180" s="28"/>
      <c r="C180" s="196"/>
      <c r="D180" s="47"/>
      <c r="E180" s="28"/>
      <c r="F180" s="215"/>
      <c r="G180" s="215"/>
      <c r="H180" s="2"/>
      <c r="I180" s="19"/>
      <c r="K180" s="35"/>
      <c r="M180" s="35"/>
      <c r="N180" s="35"/>
      <c r="O180" s="35"/>
      <c r="P180" s="35"/>
    </row>
    <row r="181" spans="2:16">
      <c r="B181" s="28"/>
      <c r="C181" s="196"/>
      <c r="D181" s="47"/>
      <c r="E181" s="28"/>
      <c r="F181" s="215"/>
      <c r="G181" s="215"/>
      <c r="H181" s="2"/>
      <c r="I181" s="19"/>
      <c r="K181" s="35"/>
      <c r="M181" s="35"/>
      <c r="N181" s="35"/>
      <c r="O181" s="35"/>
      <c r="P181" s="35"/>
    </row>
    <row r="182" spans="2:16">
      <c r="B182" s="28"/>
      <c r="C182" s="196"/>
      <c r="D182" s="47"/>
      <c r="E182" s="28"/>
      <c r="F182" s="215"/>
      <c r="G182" s="215"/>
      <c r="H182" s="2"/>
      <c r="I182" s="19"/>
      <c r="K182" s="35"/>
      <c r="M182" s="35"/>
      <c r="N182" s="35"/>
      <c r="O182" s="35"/>
      <c r="P182" s="35"/>
    </row>
    <row r="183" spans="2:16">
      <c r="B183" s="28"/>
      <c r="C183" s="196"/>
      <c r="D183" s="47"/>
      <c r="E183" s="28"/>
      <c r="F183" s="215"/>
      <c r="G183" s="215"/>
      <c r="H183" s="2"/>
      <c r="I183" s="19"/>
      <c r="K183" s="35"/>
      <c r="M183" s="35"/>
      <c r="N183" s="35"/>
      <c r="O183" s="35"/>
      <c r="P183" s="35"/>
    </row>
    <row r="184" spans="2:16">
      <c r="B184" s="28"/>
      <c r="C184" s="196"/>
      <c r="D184" s="47"/>
      <c r="E184" s="28"/>
      <c r="F184" s="215"/>
      <c r="G184" s="215"/>
      <c r="H184" s="2"/>
      <c r="I184" s="19"/>
      <c r="K184" s="35"/>
      <c r="M184" s="35"/>
      <c r="N184" s="35"/>
      <c r="O184" s="35"/>
      <c r="P184" s="35"/>
    </row>
    <row r="185" spans="2:16">
      <c r="B185" s="28"/>
      <c r="C185" s="196"/>
      <c r="D185" s="47"/>
      <c r="E185" s="28"/>
      <c r="F185" s="215"/>
      <c r="G185" s="215"/>
      <c r="H185" s="2"/>
      <c r="I185" s="19"/>
      <c r="K185" s="35"/>
      <c r="M185" s="35"/>
      <c r="N185" s="35"/>
      <c r="O185" s="35"/>
      <c r="P185" s="35"/>
    </row>
    <row r="186" spans="2:16">
      <c r="B186" s="28"/>
      <c r="C186" s="196"/>
      <c r="D186" s="47"/>
      <c r="E186" s="28"/>
      <c r="F186" s="215"/>
      <c r="G186" s="215"/>
      <c r="H186" s="2"/>
      <c r="I186" s="19"/>
      <c r="K186" s="35"/>
      <c r="M186" s="35"/>
      <c r="N186" s="35"/>
      <c r="O186" s="35"/>
      <c r="P186" s="35"/>
    </row>
    <row r="187" spans="2:16">
      <c r="B187" s="28"/>
      <c r="C187" s="196"/>
      <c r="D187" s="47"/>
      <c r="E187" s="28"/>
      <c r="F187" s="215"/>
      <c r="G187" s="215"/>
      <c r="H187" s="2"/>
      <c r="I187" s="19"/>
      <c r="K187" s="35"/>
      <c r="M187" s="35"/>
      <c r="N187" s="35"/>
      <c r="O187" s="35"/>
      <c r="P187" s="35"/>
    </row>
    <row r="188" spans="2:16">
      <c r="B188" s="28"/>
      <c r="C188" s="196"/>
      <c r="D188" s="47"/>
      <c r="E188" s="28"/>
      <c r="F188" s="215"/>
      <c r="G188" s="215"/>
      <c r="H188" s="2"/>
      <c r="I188" s="19"/>
      <c r="K188" s="35"/>
      <c r="M188" s="35"/>
      <c r="N188" s="35"/>
      <c r="O188" s="35"/>
      <c r="P188" s="35"/>
    </row>
    <row r="189" spans="2:16">
      <c r="B189" s="28"/>
      <c r="C189" s="196"/>
      <c r="D189" s="47"/>
      <c r="E189" s="28"/>
      <c r="F189" s="215"/>
      <c r="G189" s="215"/>
      <c r="H189" s="2"/>
      <c r="I189" s="19"/>
      <c r="K189" s="35"/>
      <c r="M189" s="35"/>
      <c r="N189" s="35"/>
      <c r="O189" s="35"/>
      <c r="P189" s="35"/>
    </row>
    <row r="190" spans="2:16">
      <c r="B190" s="28"/>
      <c r="C190" s="196"/>
      <c r="D190" s="47"/>
      <c r="E190" s="28"/>
      <c r="F190" s="215"/>
      <c r="G190" s="215"/>
      <c r="H190" s="2"/>
      <c r="I190" s="19"/>
      <c r="K190" s="35"/>
      <c r="M190" s="35"/>
      <c r="N190" s="35"/>
      <c r="O190" s="35"/>
      <c r="P190" s="35"/>
    </row>
    <row r="191" spans="2:16">
      <c r="B191" s="28"/>
      <c r="C191" s="196"/>
      <c r="D191" s="47"/>
      <c r="E191" s="28"/>
      <c r="F191" s="215"/>
      <c r="G191" s="215"/>
      <c r="H191" s="2"/>
      <c r="I191" s="19"/>
      <c r="K191" s="35"/>
      <c r="M191" s="35"/>
      <c r="N191" s="35"/>
      <c r="O191" s="35"/>
      <c r="P191" s="35"/>
    </row>
    <row r="192" spans="2:16">
      <c r="D192" s="47"/>
      <c r="E192" s="143"/>
      <c r="H192" s="2"/>
      <c r="I192" s="30"/>
    </row>
    <row r="193" spans="4:9">
      <c r="D193" s="47"/>
      <c r="E193" s="143"/>
      <c r="H193" s="2"/>
      <c r="I193" s="30"/>
    </row>
    <row r="194" spans="4:9">
      <c r="D194" s="47"/>
      <c r="E194" s="143"/>
      <c r="H194" s="2"/>
      <c r="I194" s="30"/>
    </row>
    <row r="195" spans="4:9">
      <c r="D195" s="47"/>
      <c r="E195" s="143"/>
      <c r="H195" s="2"/>
      <c r="I195" s="30"/>
    </row>
    <row r="196" spans="4:9">
      <c r="D196" s="47"/>
      <c r="E196" s="143"/>
      <c r="H196" s="2"/>
      <c r="I196" s="30"/>
    </row>
    <row r="197" spans="4:9">
      <c r="D197" s="47"/>
      <c r="E197" s="143"/>
      <c r="H197" s="2"/>
      <c r="I197" s="30"/>
    </row>
    <row r="198" spans="4:9">
      <c r="D198" s="47"/>
      <c r="E198" s="143"/>
      <c r="H198" s="2"/>
      <c r="I198" s="30"/>
    </row>
    <row r="199" spans="4:9">
      <c r="D199" s="47"/>
      <c r="E199" s="143"/>
      <c r="H199" s="2"/>
      <c r="I199" s="30"/>
    </row>
    <row r="200" spans="4:9">
      <c r="D200" s="47"/>
      <c r="E200" s="143"/>
      <c r="H200" s="2"/>
      <c r="I200" s="30"/>
    </row>
    <row r="201" spans="4:9">
      <c r="D201" s="47"/>
      <c r="E201" s="143"/>
      <c r="H201" s="2"/>
      <c r="I201" s="30"/>
    </row>
    <row r="202" spans="4:9">
      <c r="D202" s="47"/>
      <c r="E202" s="143"/>
      <c r="H202" s="2"/>
      <c r="I202" s="30"/>
    </row>
    <row r="203" spans="4:9">
      <c r="D203" s="47"/>
      <c r="E203" s="143"/>
      <c r="H203" s="2"/>
      <c r="I203" s="30"/>
    </row>
    <row r="204" spans="4:9">
      <c r="D204" s="47"/>
      <c r="E204" s="143"/>
      <c r="H204" s="2"/>
      <c r="I204" s="30"/>
    </row>
    <row r="205" spans="4:9">
      <c r="D205" s="47"/>
      <c r="E205" s="143"/>
      <c r="H205" s="2"/>
      <c r="I205" s="30"/>
    </row>
    <row r="206" spans="4:9">
      <c r="D206" s="47"/>
      <c r="E206" s="143"/>
      <c r="H206" s="2"/>
      <c r="I206" s="30"/>
    </row>
    <row r="207" spans="4:9">
      <c r="D207" s="47"/>
      <c r="E207" s="143"/>
      <c r="H207" s="2"/>
      <c r="I207" s="30"/>
    </row>
    <row r="208" spans="4:9">
      <c r="D208" s="47"/>
      <c r="E208" s="143"/>
      <c r="H208" s="2"/>
      <c r="I208" s="30"/>
    </row>
    <row r="209" spans="4:9">
      <c r="D209" s="47"/>
      <c r="E209" s="143"/>
      <c r="H209" s="2"/>
      <c r="I209" s="30"/>
    </row>
    <row r="210" spans="4:9">
      <c r="D210" s="47"/>
      <c r="E210" s="143"/>
      <c r="H210" s="2"/>
      <c r="I210" s="30"/>
    </row>
    <row r="211" spans="4:9">
      <c r="D211" s="47"/>
      <c r="E211" s="143"/>
      <c r="H211" s="2"/>
      <c r="I211" s="30"/>
    </row>
    <row r="212" spans="4:9">
      <c r="D212" s="47"/>
      <c r="E212" s="143"/>
      <c r="H212" s="2"/>
      <c r="I212" s="30"/>
    </row>
    <row r="213" spans="4:9">
      <c r="D213" s="47"/>
      <c r="E213" s="143"/>
      <c r="H213" s="2"/>
      <c r="I213" s="30"/>
    </row>
    <row r="214" spans="4:9">
      <c r="D214" s="47"/>
      <c r="E214" s="143"/>
      <c r="H214" s="2"/>
      <c r="I214" s="30"/>
    </row>
    <row r="215" spans="4:9">
      <c r="D215" s="47"/>
      <c r="E215" s="143"/>
      <c r="H215" s="2"/>
      <c r="I215" s="30"/>
    </row>
    <row r="216" spans="4:9">
      <c r="D216" s="47"/>
      <c r="E216" s="143"/>
      <c r="H216" s="2"/>
      <c r="I216" s="30"/>
    </row>
    <row r="217" spans="4:9">
      <c r="D217" s="47"/>
      <c r="E217" s="143"/>
      <c r="H217" s="2"/>
      <c r="I217" s="30"/>
    </row>
    <row r="218" spans="4:9">
      <c r="D218" s="47"/>
      <c r="E218" s="143"/>
      <c r="H218" s="2"/>
      <c r="I218" s="30"/>
    </row>
    <row r="219" spans="4:9">
      <c r="D219" s="47"/>
      <c r="E219" s="143"/>
      <c r="H219" s="2"/>
      <c r="I219" s="30"/>
    </row>
    <row r="220" spans="4:9">
      <c r="D220" s="47"/>
      <c r="E220" s="143"/>
      <c r="H220" s="2"/>
      <c r="I220" s="30"/>
    </row>
    <row r="221" spans="4:9">
      <c r="D221" s="47"/>
      <c r="E221" s="143"/>
      <c r="H221" s="2"/>
      <c r="I221" s="30"/>
    </row>
    <row r="222" spans="4:9">
      <c r="D222" s="47"/>
      <c r="E222" s="143"/>
      <c r="H222" s="2"/>
      <c r="I222" s="30"/>
    </row>
    <row r="223" spans="4:9">
      <c r="D223" s="47"/>
      <c r="E223" s="143"/>
      <c r="H223" s="2"/>
      <c r="I223" s="30"/>
    </row>
    <row r="224" spans="4:9">
      <c r="D224" s="47"/>
      <c r="E224" s="143"/>
      <c r="H224" s="2"/>
      <c r="I224" s="30"/>
    </row>
    <row r="225" spans="4:9">
      <c r="D225" s="47"/>
      <c r="E225" s="143"/>
      <c r="H225" s="2"/>
      <c r="I225" s="30"/>
    </row>
    <row r="226" spans="4:9">
      <c r="D226" s="47"/>
      <c r="E226" s="143"/>
      <c r="H226" s="2"/>
      <c r="I226" s="30"/>
    </row>
    <row r="227" spans="4:9">
      <c r="D227" s="47"/>
      <c r="E227" s="143"/>
      <c r="H227" s="2"/>
      <c r="I227" s="30"/>
    </row>
    <row r="228" spans="4:9">
      <c r="D228" s="47"/>
      <c r="E228" s="143"/>
      <c r="H228" s="2"/>
      <c r="I228" s="30"/>
    </row>
    <row r="229" spans="4:9">
      <c r="D229" s="47"/>
      <c r="E229" s="143"/>
      <c r="H229" s="2"/>
      <c r="I229" s="30"/>
    </row>
    <row r="230" spans="4:9">
      <c r="D230" s="47"/>
      <c r="E230" s="143"/>
      <c r="H230" s="2"/>
      <c r="I230" s="30"/>
    </row>
    <row r="231" spans="4:9">
      <c r="D231" s="47"/>
      <c r="E231" s="143"/>
      <c r="H231" s="2"/>
      <c r="I231" s="30"/>
    </row>
    <row r="232" spans="4:9">
      <c r="D232" s="47"/>
      <c r="E232" s="143"/>
      <c r="H232" s="2"/>
      <c r="I232" s="30"/>
    </row>
    <row r="233" spans="4:9">
      <c r="D233" s="47"/>
      <c r="E233" s="143"/>
      <c r="H233" s="2"/>
      <c r="I233" s="30"/>
    </row>
    <row r="234" spans="4:9">
      <c r="D234" s="47"/>
      <c r="E234" s="143"/>
      <c r="H234" s="2"/>
      <c r="I234" s="30"/>
    </row>
    <row r="235" spans="4:9">
      <c r="D235" s="47"/>
      <c r="E235" s="143"/>
      <c r="H235" s="2"/>
      <c r="I235" s="30"/>
    </row>
    <row r="236" spans="4:9">
      <c r="D236" s="47"/>
      <c r="E236" s="143"/>
      <c r="H236" s="2"/>
      <c r="I236" s="30"/>
    </row>
    <row r="237" spans="4:9">
      <c r="D237" s="47"/>
      <c r="E237" s="143"/>
      <c r="H237" s="2"/>
      <c r="I237" s="30"/>
    </row>
    <row r="238" spans="4:9">
      <c r="D238" s="47"/>
      <c r="E238" s="143"/>
      <c r="H238" s="2"/>
      <c r="I238" s="30"/>
    </row>
    <row r="239" spans="4:9">
      <c r="D239" s="47"/>
      <c r="E239" s="143"/>
      <c r="H239" s="2"/>
      <c r="I239" s="30"/>
    </row>
    <row r="240" spans="4:9">
      <c r="D240" s="47"/>
      <c r="E240" s="143"/>
      <c r="H240" s="2"/>
      <c r="I240" s="30"/>
    </row>
    <row r="241" spans="4:9">
      <c r="D241" s="47"/>
      <c r="E241" s="143"/>
      <c r="H241" s="2"/>
      <c r="I241" s="30"/>
    </row>
    <row r="242" spans="4:9">
      <c r="D242" s="47"/>
      <c r="E242" s="143"/>
      <c r="H242" s="2"/>
      <c r="I242" s="30"/>
    </row>
    <row r="243" spans="4:9">
      <c r="D243" s="47"/>
      <c r="E243" s="143"/>
      <c r="H243" s="2"/>
      <c r="I243" s="30"/>
    </row>
    <row r="244" spans="4:9">
      <c r="D244" s="47"/>
      <c r="E244" s="143"/>
      <c r="H244" s="2"/>
      <c r="I244" s="30"/>
    </row>
    <row r="245" spans="4:9">
      <c r="D245" s="47"/>
      <c r="E245" s="143"/>
      <c r="H245" s="2"/>
      <c r="I245" s="30"/>
    </row>
    <row r="246" spans="4:9">
      <c r="D246" s="47"/>
      <c r="E246" s="143"/>
      <c r="H246" s="2"/>
      <c r="I246" s="30"/>
    </row>
    <row r="247" spans="4:9">
      <c r="D247" s="47"/>
      <c r="E247" s="143"/>
      <c r="H247" s="2"/>
      <c r="I247" s="30"/>
    </row>
    <row r="248" spans="4:9">
      <c r="D248" s="47"/>
      <c r="E248" s="143"/>
      <c r="H248" s="2"/>
      <c r="I248" s="30"/>
    </row>
    <row r="249" spans="4:9">
      <c r="D249" s="47"/>
      <c r="E249" s="143"/>
      <c r="H249" s="2"/>
      <c r="I249" s="30"/>
    </row>
    <row r="250" spans="4:9">
      <c r="D250" s="47"/>
      <c r="E250" s="143"/>
      <c r="H250" s="2"/>
      <c r="I250" s="30"/>
    </row>
    <row r="251" spans="4:9">
      <c r="D251" s="47"/>
      <c r="E251" s="143"/>
      <c r="H251" s="2"/>
      <c r="I251" s="30"/>
    </row>
    <row r="252" spans="4:9">
      <c r="D252" s="47"/>
      <c r="E252" s="143"/>
      <c r="H252" s="2"/>
      <c r="I252" s="30"/>
    </row>
    <row r="253" spans="4:9">
      <c r="D253" s="47"/>
      <c r="E253" s="143"/>
      <c r="H253" s="2"/>
      <c r="I253" s="30"/>
    </row>
    <row r="254" spans="4:9">
      <c r="D254" s="47"/>
      <c r="E254" s="143"/>
      <c r="H254" s="2"/>
      <c r="I254" s="30"/>
    </row>
    <row r="255" spans="4:9">
      <c r="D255" s="47"/>
      <c r="E255" s="143"/>
      <c r="H255" s="2"/>
      <c r="I255" s="30"/>
    </row>
    <row r="256" spans="4:9">
      <c r="D256" s="47"/>
      <c r="E256" s="143"/>
      <c r="H256" s="2"/>
      <c r="I256" s="30"/>
    </row>
    <row r="257" spans="4:9">
      <c r="D257" s="47"/>
      <c r="E257" s="143"/>
      <c r="H257" s="2"/>
      <c r="I257" s="30"/>
    </row>
    <row r="258" spans="4:9">
      <c r="D258" s="47"/>
      <c r="E258" s="143"/>
      <c r="H258" s="2"/>
      <c r="I258" s="30"/>
    </row>
    <row r="259" spans="4:9">
      <c r="D259" s="47"/>
      <c r="E259" s="143"/>
      <c r="H259" s="2"/>
      <c r="I259" s="30"/>
    </row>
    <row r="260" spans="4:9">
      <c r="D260" s="47"/>
      <c r="E260" s="143"/>
      <c r="H260" s="2"/>
      <c r="I260" s="30"/>
    </row>
    <row r="261" spans="4:9">
      <c r="D261" s="47"/>
      <c r="E261" s="143"/>
      <c r="H261" s="2"/>
      <c r="I261" s="30"/>
    </row>
    <row r="262" spans="4:9">
      <c r="D262" s="47"/>
      <c r="E262" s="143"/>
      <c r="H262" s="2"/>
      <c r="I262" s="30"/>
    </row>
    <row r="263" spans="4:9">
      <c r="D263" s="47"/>
      <c r="E263" s="143"/>
      <c r="H263" s="2"/>
      <c r="I263" s="30"/>
    </row>
    <row r="264" spans="4:9">
      <c r="D264" s="47"/>
      <c r="E264" s="143"/>
      <c r="H264" s="2"/>
      <c r="I264" s="30"/>
    </row>
    <row r="265" spans="4:9">
      <c r="D265" s="47"/>
      <c r="E265" s="143"/>
      <c r="H265" s="2"/>
      <c r="I265" s="30"/>
    </row>
    <row r="266" spans="4:9">
      <c r="D266" s="47"/>
      <c r="E266" s="143"/>
      <c r="H266" s="2"/>
      <c r="I266" s="30"/>
    </row>
    <row r="267" spans="4:9">
      <c r="D267" s="47"/>
      <c r="E267" s="143"/>
      <c r="H267" s="2"/>
      <c r="I267" s="30"/>
    </row>
    <row r="268" spans="4:9">
      <c r="D268" s="47"/>
      <c r="E268" s="143"/>
      <c r="H268" s="2"/>
      <c r="I268" s="30"/>
    </row>
    <row r="269" spans="4:9">
      <c r="D269" s="47"/>
      <c r="E269" s="143"/>
      <c r="H269" s="2"/>
      <c r="I269" s="30"/>
    </row>
    <row r="270" spans="4:9">
      <c r="D270" s="47"/>
      <c r="E270" s="143"/>
      <c r="H270" s="2"/>
      <c r="I270" s="30"/>
    </row>
    <row r="271" spans="4:9">
      <c r="D271" s="47"/>
      <c r="E271" s="143"/>
      <c r="H271" s="2"/>
      <c r="I271" s="30"/>
    </row>
    <row r="272" spans="4:9">
      <c r="D272" s="47"/>
      <c r="E272" s="143"/>
      <c r="H272" s="2"/>
      <c r="I272" s="30"/>
    </row>
    <row r="273" spans="4:9">
      <c r="D273" s="47"/>
      <c r="E273" s="143"/>
      <c r="H273" s="2"/>
      <c r="I273" s="30"/>
    </row>
    <row r="274" spans="4:9">
      <c r="D274" s="47"/>
      <c r="E274" s="143"/>
      <c r="H274" s="2"/>
      <c r="I274" s="30"/>
    </row>
    <row r="275" spans="4:9">
      <c r="D275" s="47"/>
      <c r="E275" s="143"/>
      <c r="H275" s="2"/>
      <c r="I275" s="30"/>
    </row>
    <row r="276" spans="4:9">
      <c r="D276" s="47"/>
      <c r="E276" s="143"/>
      <c r="H276" s="2"/>
      <c r="I276" s="30"/>
    </row>
    <row r="277" spans="4:9">
      <c r="D277" s="47"/>
      <c r="E277" s="143"/>
      <c r="H277" s="2"/>
      <c r="I277" s="30"/>
    </row>
    <row r="278" spans="4:9">
      <c r="D278" s="47"/>
      <c r="E278" s="143"/>
      <c r="H278" s="2"/>
      <c r="I278" s="30"/>
    </row>
    <row r="279" spans="4:9">
      <c r="D279" s="47"/>
      <c r="E279" s="143"/>
      <c r="H279" s="2"/>
      <c r="I279" s="30"/>
    </row>
    <row r="280" spans="4:9">
      <c r="D280" s="47"/>
      <c r="E280" s="143"/>
      <c r="H280" s="2"/>
      <c r="I280" s="30"/>
    </row>
    <row r="281" spans="4:9">
      <c r="D281" s="47"/>
      <c r="E281" s="143"/>
      <c r="H281" s="2"/>
      <c r="I281" s="30"/>
    </row>
    <row r="282" spans="4:9">
      <c r="D282" s="47"/>
      <c r="E282" s="143"/>
      <c r="H282" s="2"/>
      <c r="I282" s="30"/>
    </row>
    <row r="283" spans="4:9">
      <c r="D283" s="47"/>
      <c r="E283" s="143"/>
      <c r="H283" s="2"/>
      <c r="I283" s="30"/>
    </row>
    <row r="284" spans="4:9">
      <c r="D284" s="47"/>
      <c r="E284" s="143"/>
      <c r="H284" s="2"/>
      <c r="I284" s="30"/>
    </row>
    <row r="285" spans="4:9">
      <c r="D285" s="47"/>
      <c r="E285" s="143"/>
      <c r="H285" s="2"/>
      <c r="I285" s="30"/>
    </row>
    <row r="286" spans="4:9">
      <c r="D286" s="47"/>
      <c r="E286" s="143"/>
      <c r="H286" s="2"/>
      <c r="I286" s="30"/>
    </row>
    <row r="287" spans="4:9">
      <c r="D287" s="47"/>
      <c r="E287" s="143"/>
      <c r="H287" s="2"/>
      <c r="I287" s="30"/>
    </row>
    <row r="288" spans="4:9">
      <c r="D288" s="47"/>
      <c r="E288" s="143"/>
      <c r="H288" s="2"/>
      <c r="I288" s="30"/>
    </row>
    <row r="289" spans="4:9">
      <c r="D289" s="47"/>
      <c r="E289" s="143"/>
      <c r="H289" s="2"/>
      <c r="I289" s="30"/>
    </row>
    <row r="290" spans="4:9">
      <c r="D290" s="47"/>
      <c r="E290" s="143"/>
      <c r="H290" s="2"/>
      <c r="I290" s="30"/>
    </row>
    <row r="291" spans="4:9">
      <c r="D291" s="47"/>
      <c r="E291" s="143"/>
      <c r="H291" s="2"/>
      <c r="I291" s="30"/>
    </row>
    <row r="292" spans="4:9">
      <c r="D292" s="47"/>
      <c r="E292" s="143"/>
      <c r="H292" s="2"/>
      <c r="I292" s="30"/>
    </row>
    <row r="293" spans="4:9">
      <c r="D293" s="47"/>
      <c r="E293" s="143"/>
      <c r="H293" s="2"/>
      <c r="I293" s="30"/>
    </row>
    <row r="294" spans="4:9">
      <c r="D294" s="47"/>
      <c r="E294" s="143"/>
      <c r="H294" s="2"/>
      <c r="I294" s="30"/>
    </row>
    <row r="295" spans="4:9">
      <c r="D295" s="47"/>
      <c r="E295" s="143"/>
      <c r="H295" s="2"/>
      <c r="I295" s="30"/>
    </row>
    <row r="296" spans="4:9">
      <c r="D296" s="47"/>
      <c r="E296" s="143"/>
      <c r="H296" s="2"/>
      <c r="I296" s="30"/>
    </row>
    <row r="297" spans="4:9">
      <c r="D297" s="47"/>
      <c r="E297" s="143"/>
      <c r="H297" s="2"/>
      <c r="I297" s="30"/>
    </row>
    <row r="298" spans="4:9">
      <c r="D298" s="47"/>
      <c r="E298" s="143"/>
      <c r="H298" s="2"/>
      <c r="I298" s="30"/>
    </row>
    <row r="299" spans="4:9">
      <c r="D299" s="47"/>
      <c r="E299" s="143"/>
      <c r="H299" s="2"/>
      <c r="I299" s="30"/>
    </row>
    <row r="300" spans="4:9">
      <c r="D300" s="47"/>
      <c r="E300" s="143"/>
      <c r="H300" s="2"/>
      <c r="I300" s="30"/>
    </row>
    <row r="301" spans="4:9">
      <c r="D301" s="47"/>
      <c r="E301" s="143"/>
      <c r="H301" s="2"/>
      <c r="I301" s="30"/>
    </row>
    <row r="302" spans="4:9">
      <c r="D302" s="47"/>
      <c r="E302" s="143"/>
      <c r="H302" s="2"/>
      <c r="I302" s="30"/>
    </row>
    <row r="303" spans="4:9">
      <c r="D303" s="47"/>
      <c r="E303" s="143"/>
      <c r="H303" s="2"/>
      <c r="I303" s="30"/>
    </row>
    <row r="304" spans="4:9">
      <c r="D304" s="47"/>
      <c r="E304" s="143"/>
      <c r="H304" s="2"/>
      <c r="I304" s="30"/>
    </row>
    <row r="305" spans="4:9">
      <c r="D305" s="47"/>
      <c r="E305" s="143"/>
      <c r="H305" s="2"/>
      <c r="I305" s="30"/>
    </row>
    <row r="306" spans="4:9">
      <c r="D306" s="47"/>
      <c r="E306" s="143"/>
      <c r="H306" s="2"/>
      <c r="I306" s="30"/>
    </row>
    <row r="307" spans="4:9">
      <c r="D307" s="47"/>
      <c r="E307" s="143"/>
      <c r="H307" s="2"/>
      <c r="I307" s="30"/>
    </row>
    <row r="308" spans="4:9">
      <c r="D308" s="47"/>
      <c r="E308" s="143"/>
      <c r="H308" s="2"/>
      <c r="I308" s="30"/>
    </row>
    <row r="309" spans="4:9">
      <c r="D309" s="47"/>
      <c r="E309" s="143"/>
      <c r="H309" s="2"/>
      <c r="I309" s="30"/>
    </row>
    <row r="310" spans="4:9">
      <c r="D310" s="47"/>
      <c r="E310" s="143"/>
      <c r="H310" s="2"/>
      <c r="I310" s="30"/>
    </row>
    <row r="311" spans="4:9">
      <c r="D311" s="47"/>
      <c r="E311" s="143"/>
      <c r="H311" s="2"/>
      <c r="I311" s="30"/>
    </row>
    <row r="312" spans="4:9">
      <c r="D312" s="47"/>
      <c r="E312" s="143"/>
      <c r="H312" s="2"/>
      <c r="I312" s="30"/>
    </row>
    <row r="313" spans="4:9">
      <c r="D313" s="47"/>
      <c r="E313" s="143"/>
      <c r="H313" s="2"/>
      <c r="I313" s="30"/>
    </row>
    <row r="314" spans="4:9">
      <c r="D314" s="47"/>
      <c r="E314" s="143"/>
      <c r="H314" s="2"/>
      <c r="I314" s="30"/>
    </row>
    <row r="315" spans="4:9">
      <c r="D315" s="47"/>
      <c r="E315" s="143"/>
      <c r="H315" s="2"/>
      <c r="I315" s="30"/>
    </row>
    <row r="316" spans="4:9">
      <c r="D316" s="47"/>
      <c r="E316" s="143"/>
      <c r="H316" s="2"/>
      <c r="I316" s="30"/>
    </row>
    <row r="317" spans="4:9">
      <c r="D317" s="47"/>
      <c r="E317" s="143"/>
      <c r="H317" s="2"/>
      <c r="I317" s="30"/>
    </row>
    <row r="318" spans="4:9">
      <c r="D318" s="47"/>
      <c r="E318" s="143"/>
      <c r="H318" s="2"/>
      <c r="I318" s="30"/>
    </row>
    <row r="319" spans="4:9">
      <c r="D319" s="47"/>
      <c r="E319" s="143"/>
      <c r="H319" s="2"/>
      <c r="I319" s="30"/>
    </row>
    <row r="320" spans="4:9">
      <c r="D320" s="47"/>
      <c r="E320" s="143"/>
      <c r="H320" s="2"/>
      <c r="I320" s="30"/>
    </row>
    <row r="321" spans="4:9">
      <c r="D321" s="47"/>
      <c r="E321" s="143"/>
      <c r="H321" s="2"/>
      <c r="I321" s="30"/>
    </row>
    <row r="322" spans="4:9">
      <c r="D322" s="47"/>
      <c r="E322" s="143"/>
      <c r="H322" s="2"/>
      <c r="I322" s="30"/>
    </row>
    <row r="323" spans="4:9">
      <c r="D323" s="47"/>
      <c r="E323" s="143"/>
      <c r="H323" s="2"/>
      <c r="I323" s="30"/>
    </row>
    <row r="324" spans="4:9">
      <c r="D324" s="47"/>
      <c r="E324" s="143"/>
      <c r="H324" s="2"/>
      <c r="I324" s="30"/>
    </row>
    <row r="325" spans="4:9">
      <c r="D325" s="47"/>
      <c r="E325" s="143"/>
      <c r="H325" s="2"/>
      <c r="I325" s="30"/>
    </row>
    <row r="326" spans="4:9">
      <c r="D326" s="47"/>
      <c r="E326" s="143"/>
      <c r="H326" s="2"/>
      <c r="I326" s="30"/>
    </row>
    <row r="327" spans="4:9">
      <c r="D327" s="47"/>
      <c r="E327" s="143"/>
      <c r="H327" s="2"/>
      <c r="I327" s="30"/>
    </row>
    <row r="328" spans="4:9">
      <c r="D328" s="47"/>
      <c r="E328" s="143"/>
      <c r="H328" s="2"/>
      <c r="I328" s="30"/>
    </row>
    <row r="329" spans="4:9">
      <c r="D329" s="47"/>
      <c r="E329" s="143"/>
      <c r="H329" s="2"/>
      <c r="I329" s="30"/>
    </row>
    <row r="330" spans="4:9">
      <c r="D330" s="47"/>
      <c r="E330" s="143"/>
      <c r="H330" s="2"/>
      <c r="I330" s="30"/>
    </row>
    <row r="331" spans="4:9">
      <c r="D331" s="47"/>
      <c r="E331" s="143"/>
      <c r="H331" s="2"/>
      <c r="I331" s="30"/>
    </row>
    <row r="332" spans="4:9">
      <c r="D332" s="47"/>
      <c r="E332" s="143"/>
      <c r="H332" s="2"/>
      <c r="I332" s="30"/>
    </row>
    <row r="333" spans="4:9">
      <c r="D333" s="47"/>
      <c r="E333" s="143"/>
      <c r="H333" s="2"/>
      <c r="I333" s="30"/>
    </row>
    <row r="334" spans="4:9">
      <c r="D334" s="47"/>
      <c r="E334" s="143"/>
      <c r="H334" s="2"/>
      <c r="I334" s="30"/>
    </row>
    <row r="335" spans="4:9">
      <c r="D335" s="47"/>
      <c r="E335" s="143"/>
      <c r="H335" s="2"/>
      <c r="I335" s="30"/>
    </row>
    <row r="336" spans="4:9">
      <c r="D336" s="47"/>
      <c r="E336" s="143"/>
      <c r="H336" s="2"/>
      <c r="I336" s="30"/>
    </row>
    <row r="337" spans="4:9">
      <c r="D337" s="47"/>
      <c r="E337" s="143"/>
      <c r="H337" s="2"/>
      <c r="I337" s="30"/>
    </row>
    <row r="338" spans="4:9">
      <c r="D338" s="47"/>
      <c r="E338" s="143"/>
      <c r="H338" s="2"/>
      <c r="I338" s="30"/>
    </row>
    <row r="339" spans="4:9">
      <c r="D339" s="47"/>
      <c r="E339" s="143"/>
      <c r="H339" s="2"/>
      <c r="I339" s="30"/>
    </row>
    <row r="340" spans="4:9">
      <c r="D340" s="47"/>
      <c r="E340" s="143"/>
      <c r="H340" s="2"/>
      <c r="I340" s="30"/>
    </row>
    <row r="341" spans="4:9">
      <c r="D341" s="47"/>
      <c r="E341" s="143"/>
      <c r="H341" s="2"/>
      <c r="I341" s="30"/>
    </row>
    <row r="342" spans="4:9">
      <c r="D342" s="47"/>
      <c r="E342" s="143"/>
      <c r="H342" s="2"/>
      <c r="I342" s="30"/>
    </row>
    <row r="343" spans="4:9">
      <c r="D343" s="47"/>
      <c r="E343" s="143"/>
      <c r="H343" s="2"/>
      <c r="I343" s="30"/>
    </row>
    <row r="344" spans="4:9">
      <c r="D344" s="47"/>
      <c r="E344" s="143"/>
      <c r="H344" s="2"/>
      <c r="I344" s="30"/>
    </row>
    <row r="345" spans="4:9">
      <c r="D345" s="47"/>
      <c r="E345" s="143"/>
      <c r="H345" s="2"/>
      <c r="I345" s="30"/>
    </row>
    <row r="346" spans="4:9">
      <c r="D346" s="47"/>
      <c r="E346" s="143"/>
      <c r="H346" s="2"/>
      <c r="I346" s="30"/>
    </row>
    <row r="347" spans="4:9">
      <c r="D347" s="47"/>
      <c r="E347" s="143"/>
      <c r="H347" s="2"/>
      <c r="I347" s="30"/>
    </row>
    <row r="348" spans="4:9">
      <c r="D348" s="47"/>
      <c r="E348" s="143"/>
      <c r="H348" s="2"/>
      <c r="I348" s="30"/>
    </row>
    <row r="349" spans="4:9">
      <c r="D349" s="47"/>
      <c r="E349" s="143"/>
      <c r="H349" s="2"/>
      <c r="I349" s="30"/>
    </row>
    <row r="350" spans="4:9">
      <c r="D350" s="47"/>
      <c r="E350" s="143"/>
      <c r="H350" s="2"/>
      <c r="I350" s="30"/>
    </row>
    <row r="351" spans="4:9">
      <c r="D351" s="47"/>
      <c r="E351" s="143"/>
      <c r="H351" s="2"/>
      <c r="I351" s="30"/>
    </row>
    <row r="352" spans="4:9">
      <c r="D352" s="47"/>
      <c r="E352" s="143"/>
      <c r="H352" s="2"/>
      <c r="I352" s="30"/>
    </row>
    <row r="353" spans="4:9">
      <c r="D353" s="47"/>
      <c r="E353" s="143"/>
      <c r="H353" s="2"/>
      <c r="I353" s="30"/>
    </row>
    <row r="354" spans="4:9">
      <c r="D354" s="47"/>
      <c r="E354" s="143"/>
      <c r="H354" s="2"/>
      <c r="I354" s="30"/>
    </row>
    <row r="355" spans="4:9">
      <c r="D355" s="47"/>
      <c r="E355" s="143"/>
      <c r="H355" s="2"/>
      <c r="I355" s="30"/>
    </row>
    <row r="356" spans="4:9">
      <c r="D356" s="47"/>
      <c r="E356" s="143"/>
      <c r="H356" s="2"/>
      <c r="I356" s="30"/>
    </row>
    <row r="357" spans="4:9">
      <c r="D357" s="47"/>
      <c r="E357" s="143"/>
      <c r="H357" s="2"/>
      <c r="I357" s="30"/>
    </row>
    <row r="358" spans="4:9">
      <c r="D358" s="47"/>
      <c r="E358" s="143"/>
      <c r="H358" s="2"/>
      <c r="I358" s="30"/>
    </row>
    <row r="359" spans="4:9">
      <c r="D359" s="47"/>
      <c r="E359" s="143"/>
      <c r="H359" s="2"/>
      <c r="I359" s="30"/>
    </row>
    <row r="360" spans="4:9">
      <c r="D360" s="47"/>
      <c r="E360" s="143"/>
      <c r="H360" s="2"/>
      <c r="I360" s="30"/>
    </row>
    <row r="361" spans="4:9">
      <c r="D361" s="47"/>
      <c r="E361" s="143"/>
      <c r="H361" s="2"/>
      <c r="I361" s="30"/>
    </row>
    <row r="362" spans="4:9">
      <c r="D362" s="47"/>
      <c r="E362" s="143"/>
      <c r="H362" s="2"/>
      <c r="I362" s="30"/>
    </row>
    <row r="363" spans="4:9">
      <c r="D363" s="47"/>
      <c r="E363" s="143"/>
      <c r="H363" s="2"/>
      <c r="I363" s="30"/>
    </row>
    <row r="364" spans="4:9">
      <c r="D364" s="47"/>
      <c r="E364" s="143"/>
      <c r="H364" s="2"/>
      <c r="I364" s="30"/>
    </row>
    <row r="365" spans="4:9">
      <c r="D365" s="47"/>
      <c r="E365" s="143"/>
      <c r="H365" s="2"/>
      <c r="I365" s="30"/>
    </row>
    <row r="366" spans="4:9">
      <c r="D366" s="47"/>
      <c r="E366" s="143"/>
      <c r="H366" s="2"/>
      <c r="I366" s="30"/>
    </row>
    <row r="367" spans="4:9">
      <c r="D367" s="47"/>
      <c r="E367" s="143"/>
      <c r="H367" s="2"/>
      <c r="I367" s="30"/>
    </row>
    <row r="368" spans="4:9">
      <c r="D368" s="47"/>
      <c r="E368" s="143"/>
      <c r="H368" s="2"/>
      <c r="I368" s="30"/>
    </row>
    <row r="369" spans="4:9">
      <c r="D369" s="47"/>
      <c r="E369" s="143"/>
      <c r="H369" s="2"/>
      <c r="I369" s="30"/>
    </row>
    <row r="370" spans="4:9">
      <c r="D370" s="47"/>
      <c r="E370" s="143"/>
      <c r="H370" s="2"/>
      <c r="I370" s="30"/>
    </row>
    <row r="371" spans="4:9">
      <c r="D371" s="47"/>
      <c r="E371" s="143"/>
      <c r="H371" s="2"/>
      <c r="I371" s="30"/>
    </row>
    <row r="372" spans="4:9">
      <c r="D372" s="47"/>
      <c r="E372" s="143"/>
      <c r="H372" s="2"/>
      <c r="I372" s="30"/>
    </row>
    <row r="373" spans="4:9">
      <c r="D373" s="47"/>
      <c r="E373" s="143"/>
      <c r="H373" s="2"/>
      <c r="I373" s="30"/>
    </row>
    <row r="374" spans="4:9">
      <c r="D374" s="47"/>
      <c r="E374" s="143"/>
      <c r="H374" s="2"/>
      <c r="I374" s="30"/>
    </row>
    <row r="375" spans="4:9">
      <c r="D375" s="47"/>
      <c r="E375" s="143"/>
      <c r="H375" s="2"/>
      <c r="I375" s="30"/>
    </row>
    <row r="376" spans="4:9">
      <c r="D376" s="47"/>
      <c r="E376" s="143"/>
      <c r="H376" s="2"/>
      <c r="I376" s="30"/>
    </row>
    <row r="377" spans="4:9">
      <c r="D377" s="47"/>
      <c r="E377" s="143"/>
      <c r="H377" s="2"/>
      <c r="I377" s="30"/>
    </row>
    <row r="378" spans="4:9">
      <c r="D378" s="47"/>
      <c r="E378" s="143"/>
      <c r="H378" s="2"/>
      <c r="I378" s="30"/>
    </row>
    <row r="379" spans="4:9">
      <c r="D379" s="47"/>
      <c r="E379" s="143"/>
      <c r="H379" s="2"/>
      <c r="I379" s="30"/>
    </row>
    <row r="380" spans="4:9">
      <c r="D380" s="47"/>
      <c r="E380" s="143"/>
      <c r="H380" s="2"/>
      <c r="I380" s="30"/>
    </row>
    <row r="381" spans="4:9">
      <c r="D381" s="47"/>
      <c r="E381" s="143"/>
      <c r="H381" s="2"/>
      <c r="I381" s="30"/>
    </row>
    <row r="382" spans="4:9">
      <c r="D382" s="47"/>
      <c r="E382" s="143"/>
      <c r="H382" s="2"/>
      <c r="I382" s="30"/>
    </row>
    <row r="383" spans="4:9">
      <c r="D383" s="47"/>
      <c r="E383" s="143"/>
      <c r="H383" s="2"/>
      <c r="I383" s="30"/>
    </row>
    <row r="384" spans="4:9">
      <c r="D384" s="47"/>
      <c r="E384" s="143"/>
      <c r="H384" s="2"/>
      <c r="I384" s="30"/>
    </row>
    <row r="385" spans="4:9">
      <c r="D385" s="47"/>
      <c r="E385" s="143"/>
      <c r="H385" s="2"/>
      <c r="I385" s="30"/>
    </row>
    <row r="386" spans="4:9">
      <c r="D386" s="47"/>
      <c r="E386" s="143"/>
      <c r="H386" s="2"/>
      <c r="I386" s="30"/>
    </row>
    <row r="387" spans="4:9">
      <c r="D387" s="47"/>
      <c r="E387" s="143"/>
      <c r="H387" s="2"/>
      <c r="I387" s="30"/>
    </row>
    <row r="388" spans="4:9">
      <c r="D388" s="47"/>
      <c r="E388" s="143"/>
      <c r="H388" s="2"/>
      <c r="I388" s="30"/>
    </row>
    <row r="389" spans="4:9">
      <c r="D389" s="47"/>
      <c r="E389" s="143"/>
      <c r="H389" s="2"/>
      <c r="I389" s="30"/>
    </row>
    <row r="390" spans="4:9">
      <c r="D390" s="47"/>
      <c r="E390" s="143"/>
      <c r="H390" s="2"/>
      <c r="I390" s="30"/>
    </row>
    <row r="391" spans="4:9">
      <c r="D391" s="47"/>
      <c r="E391" s="143"/>
      <c r="H391" s="2"/>
      <c r="I391" s="30"/>
    </row>
    <row r="392" spans="4:9">
      <c r="D392" s="47"/>
      <c r="E392" s="143"/>
      <c r="H392" s="2"/>
      <c r="I392" s="30"/>
    </row>
    <row r="393" spans="4:9">
      <c r="D393" s="47"/>
      <c r="E393" s="143"/>
      <c r="H393" s="2"/>
      <c r="I393" s="30"/>
    </row>
    <row r="394" spans="4:9">
      <c r="D394" s="47"/>
      <c r="E394" s="143"/>
      <c r="H394" s="2"/>
      <c r="I394" s="30"/>
    </row>
    <row r="395" spans="4:9">
      <c r="D395" s="47"/>
      <c r="E395" s="143"/>
      <c r="H395" s="2"/>
      <c r="I395" s="30"/>
    </row>
    <row r="396" spans="4:9">
      <c r="D396" s="47"/>
      <c r="E396" s="143"/>
      <c r="H396" s="2"/>
      <c r="I396" s="30"/>
    </row>
    <row r="397" spans="4:9">
      <c r="D397" s="47"/>
      <c r="E397" s="143"/>
      <c r="H397" s="2"/>
      <c r="I397" s="30"/>
    </row>
    <row r="398" spans="4:9">
      <c r="D398" s="47"/>
      <c r="E398" s="143"/>
      <c r="H398" s="2"/>
      <c r="I398" s="30"/>
    </row>
    <row r="399" spans="4:9">
      <c r="D399" s="47"/>
      <c r="E399" s="143"/>
      <c r="H399" s="2"/>
      <c r="I399" s="30"/>
    </row>
    <row r="400" spans="4:9">
      <c r="D400" s="47"/>
      <c r="E400" s="143"/>
      <c r="H400" s="2"/>
      <c r="I400" s="30"/>
    </row>
    <row r="401" spans="4:9">
      <c r="D401" s="47"/>
      <c r="E401" s="143"/>
      <c r="H401" s="2"/>
      <c r="I401" s="30"/>
    </row>
    <row r="402" spans="4:9">
      <c r="D402" s="47"/>
      <c r="E402" s="143"/>
      <c r="H402" s="2"/>
      <c r="I402" s="30"/>
    </row>
    <row r="403" spans="4:9">
      <c r="D403" s="47"/>
      <c r="E403" s="143"/>
      <c r="H403" s="2"/>
      <c r="I403" s="30"/>
    </row>
    <row r="404" spans="4:9">
      <c r="D404" s="47"/>
      <c r="E404" s="143"/>
      <c r="H404" s="2"/>
      <c r="I404" s="30"/>
    </row>
    <row r="405" spans="4:9">
      <c r="D405" s="47"/>
      <c r="E405" s="143"/>
      <c r="H405" s="2"/>
      <c r="I405" s="30"/>
    </row>
    <row r="406" spans="4:9">
      <c r="D406" s="47"/>
      <c r="E406" s="143"/>
      <c r="H406" s="2"/>
      <c r="I406" s="30"/>
    </row>
    <row r="407" spans="4:9">
      <c r="D407" s="47"/>
      <c r="E407" s="143"/>
      <c r="H407" s="2"/>
      <c r="I407" s="30"/>
    </row>
    <row r="408" spans="4:9">
      <c r="D408" s="47"/>
      <c r="E408" s="143"/>
      <c r="H408" s="2"/>
      <c r="I408" s="30"/>
    </row>
    <row r="409" spans="4:9">
      <c r="D409" s="47"/>
      <c r="E409" s="143"/>
      <c r="H409" s="2"/>
      <c r="I409" s="30"/>
    </row>
    <row r="410" spans="4:9">
      <c r="D410" s="47"/>
      <c r="E410" s="143"/>
      <c r="H410" s="2"/>
      <c r="I410" s="30"/>
    </row>
    <row r="411" spans="4:9">
      <c r="D411" s="47"/>
      <c r="E411" s="143"/>
      <c r="H411" s="2"/>
      <c r="I411" s="30"/>
    </row>
    <row r="412" spans="4:9">
      <c r="D412" s="47"/>
      <c r="E412" s="143"/>
      <c r="H412" s="2"/>
      <c r="I412" s="30"/>
    </row>
    <row r="413" spans="4:9">
      <c r="D413" s="47"/>
      <c r="E413" s="143"/>
      <c r="H413" s="2"/>
      <c r="I413" s="30"/>
    </row>
    <row r="414" spans="4:9">
      <c r="D414" s="47"/>
      <c r="E414" s="143"/>
      <c r="H414" s="2"/>
      <c r="I414" s="30"/>
    </row>
    <row r="415" spans="4:9">
      <c r="D415" s="47"/>
      <c r="E415" s="143"/>
      <c r="H415" s="2"/>
      <c r="I415" s="30"/>
    </row>
    <row r="416" spans="4:9">
      <c r="D416" s="47"/>
      <c r="E416" s="143"/>
      <c r="H416" s="2"/>
      <c r="I416" s="30"/>
    </row>
    <row r="417" spans="4:9">
      <c r="D417" s="47"/>
      <c r="E417" s="143"/>
      <c r="H417" s="2"/>
      <c r="I417" s="30"/>
    </row>
    <row r="418" spans="4:9">
      <c r="D418" s="47"/>
      <c r="E418" s="143"/>
      <c r="H418" s="2"/>
      <c r="I418" s="30"/>
    </row>
    <row r="419" spans="4:9">
      <c r="D419" s="47"/>
      <c r="E419" s="143"/>
      <c r="H419" s="2"/>
      <c r="I419" s="30"/>
    </row>
    <row r="420" spans="4:9">
      <c r="D420" s="47"/>
      <c r="E420" s="143"/>
      <c r="H420" s="2"/>
      <c r="I420" s="30"/>
    </row>
    <row r="421" spans="4:9">
      <c r="D421" s="47"/>
      <c r="E421" s="143"/>
      <c r="H421" s="2"/>
      <c r="I421" s="30"/>
    </row>
    <row r="422" spans="4:9">
      <c r="D422" s="47"/>
      <c r="E422" s="143"/>
      <c r="H422" s="2"/>
      <c r="I422" s="30"/>
    </row>
    <row r="423" spans="4:9">
      <c r="D423" s="47"/>
      <c r="E423" s="143"/>
      <c r="H423" s="2"/>
      <c r="I423" s="30"/>
    </row>
    <row r="424" spans="4:9">
      <c r="D424" s="47"/>
      <c r="E424" s="143"/>
      <c r="H424" s="2"/>
      <c r="I424" s="30"/>
    </row>
    <row r="425" spans="4:9">
      <c r="D425" s="47"/>
      <c r="E425" s="143"/>
      <c r="H425" s="2"/>
      <c r="I425" s="30"/>
    </row>
    <row r="426" spans="4:9">
      <c r="D426" s="47"/>
      <c r="E426" s="143"/>
      <c r="H426" s="2"/>
      <c r="I426" s="30"/>
    </row>
    <row r="427" spans="4:9">
      <c r="D427" s="47"/>
      <c r="E427" s="143"/>
      <c r="H427" s="2"/>
      <c r="I427" s="30"/>
    </row>
    <row r="428" spans="4:9">
      <c r="D428" s="47"/>
      <c r="E428" s="143"/>
      <c r="H428" s="2"/>
      <c r="I428" s="30"/>
    </row>
    <row r="429" spans="4:9">
      <c r="D429" s="47"/>
      <c r="E429" s="143"/>
      <c r="H429" s="2"/>
      <c r="I429" s="30"/>
    </row>
    <row r="430" spans="4:9">
      <c r="D430" s="47"/>
      <c r="E430" s="143"/>
      <c r="H430" s="2"/>
      <c r="I430" s="30"/>
    </row>
    <row r="431" spans="4:9">
      <c r="D431" s="47"/>
      <c r="E431" s="143"/>
      <c r="H431" s="2"/>
      <c r="I431" s="30"/>
    </row>
    <row r="432" spans="4:9">
      <c r="D432" s="47"/>
      <c r="E432" s="143"/>
      <c r="H432" s="2"/>
      <c r="I432" s="30"/>
    </row>
    <row r="433" spans="4:9">
      <c r="D433" s="47"/>
      <c r="E433" s="143"/>
      <c r="H433" s="2"/>
      <c r="I433" s="30"/>
    </row>
    <row r="434" spans="4:9">
      <c r="D434" s="47"/>
      <c r="E434" s="143"/>
      <c r="H434" s="2"/>
      <c r="I434" s="30"/>
    </row>
    <row r="435" spans="4:9">
      <c r="D435" s="47"/>
      <c r="E435" s="143"/>
      <c r="H435" s="2"/>
      <c r="I435" s="30"/>
    </row>
    <row r="436" spans="4:9">
      <c r="D436" s="47"/>
      <c r="E436" s="143"/>
      <c r="H436" s="2"/>
      <c r="I436" s="30"/>
    </row>
    <row r="437" spans="4:9">
      <c r="D437" s="47"/>
      <c r="E437" s="143"/>
      <c r="H437" s="2"/>
      <c r="I437" s="30"/>
    </row>
    <row r="438" spans="4:9">
      <c r="D438" s="47"/>
      <c r="E438" s="143"/>
      <c r="H438" s="2"/>
      <c r="I438" s="30"/>
    </row>
    <row r="439" spans="4:9">
      <c r="D439" s="47"/>
      <c r="E439" s="143"/>
      <c r="H439" s="2"/>
      <c r="I439" s="30"/>
    </row>
    <row r="440" spans="4:9">
      <c r="D440" s="47"/>
      <c r="E440" s="143"/>
      <c r="H440" s="2"/>
      <c r="I440" s="30"/>
    </row>
    <row r="441" spans="4:9">
      <c r="D441" s="47"/>
      <c r="E441" s="143"/>
      <c r="H441" s="2"/>
      <c r="I441" s="30"/>
    </row>
    <row r="442" spans="4:9">
      <c r="D442" s="47"/>
      <c r="E442" s="143"/>
      <c r="H442" s="2"/>
      <c r="I442" s="30"/>
    </row>
    <row r="443" spans="4:9">
      <c r="D443" s="47"/>
      <c r="E443" s="143"/>
      <c r="H443" s="2"/>
      <c r="I443" s="30"/>
    </row>
    <row r="444" spans="4:9">
      <c r="D444" s="47"/>
      <c r="E444" s="143"/>
      <c r="H444" s="2"/>
      <c r="I444" s="30"/>
    </row>
    <row r="445" spans="4:9">
      <c r="D445" s="47"/>
      <c r="E445" s="143"/>
      <c r="H445" s="2"/>
      <c r="I445" s="30"/>
    </row>
    <row r="446" spans="4:9">
      <c r="D446" s="47"/>
      <c r="E446" s="143"/>
      <c r="H446" s="2"/>
      <c r="I446" s="30"/>
    </row>
    <row r="447" spans="4:9">
      <c r="D447" s="47"/>
      <c r="E447" s="143"/>
      <c r="H447" s="2"/>
      <c r="I447" s="30"/>
    </row>
    <row r="448" spans="4:9">
      <c r="D448" s="47"/>
      <c r="E448" s="143"/>
      <c r="H448" s="2"/>
      <c r="I448" s="30"/>
    </row>
    <row r="449" spans="4:9">
      <c r="D449" s="47"/>
      <c r="E449" s="143"/>
      <c r="H449" s="2"/>
      <c r="I449" s="30"/>
    </row>
    <row r="450" spans="4:9">
      <c r="D450" s="47"/>
      <c r="E450" s="143"/>
      <c r="H450" s="2"/>
      <c r="I450" s="30"/>
    </row>
    <row r="451" spans="4:9">
      <c r="D451" s="47"/>
      <c r="E451" s="143"/>
      <c r="H451" s="2"/>
      <c r="I451" s="30"/>
    </row>
    <row r="452" spans="4:9">
      <c r="D452" s="47"/>
      <c r="E452" s="143"/>
      <c r="H452" s="2"/>
      <c r="I452" s="30"/>
    </row>
    <row r="453" spans="4:9">
      <c r="D453" s="47"/>
      <c r="E453" s="143"/>
      <c r="H453" s="2"/>
      <c r="I453" s="30"/>
    </row>
    <row r="454" spans="4:9">
      <c r="D454" s="47"/>
      <c r="E454" s="143"/>
      <c r="H454" s="2"/>
      <c r="I454" s="30"/>
    </row>
    <row r="455" spans="4:9">
      <c r="D455" s="47"/>
      <c r="E455" s="143"/>
      <c r="H455" s="2"/>
      <c r="I455" s="30"/>
    </row>
    <row r="456" spans="4:9">
      <c r="D456" s="47"/>
      <c r="E456" s="143"/>
      <c r="H456" s="2"/>
      <c r="I456" s="30"/>
    </row>
    <row r="457" spans="4:9">
      <c r="D457" s="47"/>
      <c r="E457" s="143"/>
      <c r="H457" s="2"/>
      <c r="I457" s="30"/>
    </row>
    <row r="458" spans="4:9">
      <c r="D458" s="47"/>
      <c r="E458" s="143"/>
      <c r="H458" s="2"/>
      <c r="I458" s="30"/>
    </row>
    <row r="459" spans="4:9">
      <c r="D459" s="47"/>
      <c r="E459" s="143"/>
      <c r="H459" s="2"/>
      <c r="I459" s="30"/>
    </row>
    <row r="460" spans="4:9">
      <c r="D460" s="47"/>
      <c r="E460" s="143"/>
      <c r="H460" s="2"/>
      <c r="I460" s="30"/>
    </row>
    <row r="461" spans="4:9">
      <c r="D461" s="47"/>
      <c r="E461" s="143"/>
      <c r="H461" s="2"/>
      <c r="I461" s="30"/>
    </row>
    <row r="462" spans="4:9">
      <c r="D462" s="47"/>
      <c r="E462" s="143"/>
      <c r="H462" s="2"/>
      <c r="I462" s="30"/>
    </row>
    <row r="463" spans="4:9">
      <c r="D463" s="47"/>
      <c r="E463" s="143"/>
      <c r="H463" s="2"/>
      <c r="I463" s="30"/>
    </row>
    <row r="464" spans="4:9">
      <c r="D464" s="47"/>
      <c r="E464" s="143"/>
      <c r="H464" s="2"/>
      <c r="I464" s="30"/>
    </row>
    <row r="465" spans="4:9">
      <c r="D465" s="47"/>
      <c r="E465" s="143"/>
      <c r="H465" s="2"/>
      <c r="I465" s="30"/>
    </row>
    <row r="466" spans="4:9">
      <c r="D466" s="47"/>
      <c r="E466" s="143"/>
      <c r="H466" s="2"/>
      <c r="I466" s="30"/>
    </row>
    <row r="467" spans="4:9">
      <c r="D467" s="47"/>
      <c r="E467" s="143"/>
      <c r="H467" s="2"/>
      <c r="I467" s="30"/>
    </row>
    <row r="468" spans="4:9">
      <c r="D468" s="47"/>
      <c r="E468" s="143"/>
      <c r="H468" s="2"/>
      <c r="I468" s="30"/>
    </row>
    <row r="469" spans="4:9">
      <c r="D469" s="47"/>
      <c r="E469" s="143"/>
      <c r="H469" s="2"/>
      <c r="I469" s="30"/>
    </row>
    <row r="470" spans="4:9">
      <c r="D470" s="47"/>
      <c r="E470" s="143"/>
      <c r="H470" s="2"/>
      <c r="I470" s="30"/>
    </row>
    <row r="471" spans="4:9">
      <c r="D471" s="47"/>
      <c r="E471" s="143"/>
      <c r="H471" s="2"/>
      <c r="I471" s="30"/>
    </row>
    <row r="472" spans="4:9">
      <c r="D472" s="47"/>
      <c r="E472" s="143"/>
      <c r="H472" s="2"/>
      <c r="I472" s="30"/>
    </row>
    <row r="473" spans="4:9">
      <c r="D473" s="47"/>
      <c r="E473" s="143"/>
      <c r="H473" s="2"/>
      <c r="I473" s="30"/>
    </row>
    <row r="474" spans="4:9">
      <c r="D474" s="47"/>
      <c r="E474" s="143"/>
      <c r="H474" s="2"/>
      <c r="I474" s="30"/>
    </row>
    <row r="475" spans="4:9">
      <c r="D475" s="47"/>
      <c r="E475" s="143"/>
      <c r="H475" s="2"/>
      <c r="I475" s="30"/>
    </row>
    <row r="476" spans="4:9">
      <c r="D476" s="47"/>
      <c r="E476" s="143"/>
      <c r="H476" s="2"/>
      <c r="I476" s="30"/>
    </row>
    <row r="477" spans="4:9">
      <c r="D477" s="47"/>
      <c r="E477" s="143"/>
      <c r="H477" s="2"/>
      <c r="I477" s="30"/>
    </row>
    <row r="478" spans="4:9">
      <c r="D478" s="47"/>
      <c r="E478" s="143"/>
      <c r="H478" s="2"/>
      <c r="I478" s="30"/>
    </row>
    <row r="479" spans="4:9">
      <c r="D479" s="47"/>
      <c r="E479" s="143"/>
      <c r="H479" s="2"/>
      <c r="I479" s="30"/>
    </row>
    <row r="480" spans="4:9">
      <c r="D480" s="47"/>
      <c r="E480" s="143"/>
      <c r="H480" s="2"/>
      <c r="I480" s="30"/>
    </row>
    <row r="481" spans="4:9">
      <c r="D481" s="47"/>
      <c r="E481" s="143"/>
      <c r="H481" s="2"/>
      <c r="I481" s="30"/>
    </row>
    <row r="482" spans="4:9">
      <c r="D482" s="47"/>
      <c r="E482" s="143"/>
      <c r="H482" s="2"/>
      <c r="I482" s="30"/>
    </row>
    <row r="483" spans="4:9">
      <c r="D483" s="47"/>
      <c r="E483" s="143"/>
      <c r="H483" s="2"/>
      <c r="I483" s="30"/>
    </row>
    <row r="484" spans="4:9">
      <c r="D484" s="47"/>
      <c r="E484" s="143"/>
      <c r="H484" s="2"/>
      <c r="I484" s="30"/>
    </row>
    <row r="485" spans="4:9">
      <c r="D485" s="47"/>
      <c r="E485" s="143"/>
      <c r="H485" s="2"/>
      <c r="I485" s="30"/>
    </row>
    <row r="486" spans="4:9">
      <c r="D486" s="47"/>
      <c r="E486" s="143"/>
      <c r="H486" s="2"/>
      <c r="I486" s="30"/>
    </row>
    <row r="487" spans="4:9">
      <c r="D487" s="47"/>
      <c r="E487" s="143"/>
      <c r="H487" s="2"/>
      <c r="I487" s="30"/>
    </row>
    <row r="488" spans="4:9">
      <c r="D488" s="47"/>
      <c r="E488" s="143"/>
      <c r="H488" s="2"/>
      <c r="I488" s="30"/>
    </row>
    <row r="489" spans="4:9">
      <c r="D489" s="47"/>
      <c r="E489" s="143"/>
      <c r="H489" s="2"/>
      <c r="I489" s="30"/>
    </row>
    <row r="490" spans="4:9">
      <c r="D490" s="47"/>
      <c r="E490" s="143"/>
      <c r="H490" s="2"/>
      <c r="I490" s="30"/>
    </row>
    <row r="491" spans="4:9">
      <c r="D491" s="47"/>
      <c r="E491" s="143"/>
      <c r="H491" s="2"/>
      <c r="I491" s="30"/>
    </row>
    <row r="492" spans="4:9">
      <c r="D492" s="47"/>
      <c r="E492" s="143"/>
      <c r="H492" s="2"/>
      <c r="I492" s="30"/>
    </row>
    <row r="493" spans="4:9">
      <c r="D493" s="47"/>
      <c r="E493" s="143"/>
      <c r="H493" s="2"/>
      <c r="I493" s="30"/>
    </row>
    <row r="494" spans="4:9">
      <c r="D494" s="47"/>
      <c r="E494" s="143"/>
      <c r="H494" s="2"/>
      <c r="I494" s="30"/>
    </row>
    <row r="495" spans="4:9">
      <c r="D495" s="47"/>
      <c r="E495" s="143"/>
      <c r="H495" s="2"/>
      <c r="I495" s="30"/>
    </row>
    <row r="496" spans="4:9">
      <c r="D496" s="47"/>
      <c r="E496" s="143"/>
      <c r="H496" s="2"/>
      <c r="I496" s="30"/>
    </row>
    <row r="497" spans="4:9">
      <c r="D497" s="47"/>
      <c r="E497" s="143"/>
      <c r="H497" s="2"/>
      <c r="I497" s="30"/>
    </row>
    <row r="498" spans="4:9">
      <c r="D498" s="47"/>
      <c r="E498" s="143"/>
      <c r="H498" s="2"/>
      <c r="I498" s="30"/>
    </row>
    <row r="499" spans="4:9">
      <c r="D499" s="47"/>
      <c r="E499" s="143"/>
      <c r="H499" s="2"/>
      <c r="I499" s="30"/>
    </row>
    <row r="500" spans="4:9">
      <c r="D500" s="47"/>
      <c r="E500" s="143"/>
      <c r="H500" s="2"/>
      <c r="I500" s="30"/>
    </row>
    <row r="501" spans="4:9">
      <c r="D501" s="47"/>
      <c r="E501" s="143"/>
      <c r="H501" s="2"/>
      <c r="I501" s="30"/>
    </row>
    <row r="502" spans="4:9">
      <c r="D502" s="47"/>
      <c r="E502" s="143"/>
      <c r="H502" s="2"/>
      <c r="I502" s="30"/>
    </row>
    <row r="503" spans="4:9">
      <c r="D503" s="47"/>
      <c r="E503" s="143"/>
      <c r="H503" s="2"/>
      <c r="I503" s="30"/>
    </row>
    <row r="504" spans="4:9">
      <c r="D504" s="47"/>
      <c r="E504" s="143"/>
      <c r="H504" s="2"/>
      <c r="I504" s="30"/>
    </row>
    <row r="505" spans="4:9">
      <c r="D505" s="47"/>
      <c r="E505" s="143"/>
      <c r="H505" s="2"/>
      <c r="I505" s="30"/>
    </row>
    <row r="506" spans="4:9">
      <c r="D506" s="47"/>
      <c r="E506" s="143"/>
      <c r="H506" s="2"/>
      <c r="I506" s="30"/>
    </row>
    <row r="507" spans="4:9">
      <c r="D507" s="47"/>
      <c r="E507" s="143"/>
      <c r="H507" s="2"/>
      <c r="I507" s="30"/>
    </row>
    <row r="508" spans="4:9">
      <c r="D508" s="47"/>
      <c r="E508" s="143"/>
      <c r="H508" s="2"/>
      <c r="I508" s="30"/>
    </row>
    <row r="509" spans="4:9">
      <c r="D509" s="47"/>
      <c r="E509" s="143"/>
      <c r="H509" s="2"/>
      <c r="I509" s="30"/>
    </row>
    <row r="510" spans="4:9">
      <c r="D510" s="47"/>
      <c r="E510" s="143"/>
      <c r="H510" s="2"/>
      <c r="I510" s="30"/>
    </row>
    <row r="511" spans="4:9">
      <c r="D511" s="47"/>
      <c r="E511" s="143"/>
      <c r="H511" s="2"/>
      <c r="I511" s="30"/>
    </row>
    <row r="512" spans="4:9">
      <c r="D512" s="47"/>
      <c r="E512" s="143"/>
      <c r="H512" s="2"/>
      <c r="I512" s="30"/>
    </row>
    <row r="513" spans="4:9">
      <c r="D513" s="47"/>
      <c r="E513" s="143"/>
      <c r="H513" s="2"/>
      <c r="I513" s="30"/>
    </row>
    <row r="514" spans="4:9">
      <c r="D514" s="47"/>
      <c r="E514" s="143"/>
      <c r="H514" s="2"/>
      <c r="I514" s="30"/>
    </row>
    <row r="515" spans="4:9">
      <c r="D515" s="47"/>
      <c r="E515" s="143"/>
      <c r="H515" s="2"/>
      <c r="I515" s="30"/>
    </row>
    <row r="516" spans="4:9">
      <c r="D516" s="47"/>
      <c r="E516" s="143"/>
      <c r="H516" s="2"/>
      <c r="I516" s="30"/>
    </row>
    <row r="517" spans="4:9">
      <c r="D517" s="47"/>
      <c r="E517" s="143"/>
      <c r="H517" s="2"/>
      <c r="I517" s="30"/>
    </row>
    <row r="518" spans="4:9">
      <c r="D518" s="47"/>
      <c r="E518" s="143"/>
      <c r="H518" s="2"/>
      <c r="I518" s="30"/>
    </row>
    <row r="519" spans="4:9">
      <c r="D519" s="47"/>
      <c r="E519" s="143"/>
      <c r="H519" s="2"/>
      <c r="I519" s="30"/>
    </row>
    <row r="520" spans="4:9">
      <c r="D520" s="47"/>
      <c r="E520" s="143"/>
      <c r="H520" s="2"/>
      <c r="I520" s="30"/>
    </row>
    <row r="521" spans="4:9">
      <c r="D521" s="47"/>
      <c r="E521" s="143"/>
      <c r="H521" s="2"/>
      <c r="I521" s="30"/>
    </row>
    <row r="522" spans="4:9">
      <c r="D522" s="47"/>
      <c r="E522" s="143"/>
      <c r="H522" s="2"/>
      <c r="I522" s="30"/>
    </row>
    <row r="523" spans="4:9">
      <c r="D523" s="47"/>
      <c r="E523" s="143"/>
      <c r="H523" s="2"/>
      <c r="I523" s="30"/>
    </row>
    <row r="524" spans="4:9">
      <c r="D524" s="47"/>
      <c r="E524" s="143"/>
      <c r="H524" s="2"/>
      <c r="I524" s="30"/>
    </row>
    <row r="525" spans="4:9">
      <c r="D525" s="47"/>
      <c r="E525" s="143"/>
      <c r="H525" s="2"/>
      <c r="I525" s="30"/>
    </row>
    <row r="526" spans="4:9">
      <c r="D526" s="47"/>
      <c r="E526" s="143"/>
      <c r="H526" s="2"/>
      <c r="I526" s="30"/>
    </row>
    <row r="527" spans="4:9">
      <c r="D527" s="47"/>
      <c r="E527" s="143"/>
      <c r="H527" s="2"/>
      <c r="I527" s="30"/>
    </row>
    <row r="528" spans="4:9">
      <c r="D528" s="47"/>
      <c r="E528" s="143"/>
      <c r="H528" s="2"/>
      <c r="I528" s="30"/>
    </row>
    <row r="529" spans="4:9">
      <c r="D529" s="47"/>
      <c r="E529" s="143"/>
      <c r="H529" s="2"/>
      <c r="I529" s="30"/>
    </row>
    <row r="530" spans="4:9">
      <c r="D530" s="47"/>
      <c r="E530" s="143"/>
      <c r="H530" s="2"/>
      <c r="I530" s="30"/>
    </row>
    <row r="531" spans="4:9">
      <c r="D531" s="47"/>
      <c r="E531" s="143"/>
      <c r="H531" s="2"/>
      <c r="I531" s="30"/>
    </row>
    <row r="532" spans="4:9">
      <c r="D532" s="47"/>
      <c r="E532" s="143"/>
      <c r="H532" s="2"/>
      <c r="I532" s="30"/>
    </row>
    <row r="533" spans="4:9">
      <c r="D533" s="47"/>
      <c r="E533" s="143"/>
      <c r="H533" s="2"/>
      <c r="I533" s="30"/>
    </row>
    <row r="534" spans="4:9">
      <c r="D534" s="47"/>
      <c r="E534" s="143"/>
      <c r="H534" s="2"/>
      <c r="I534" s="30"/>
    </row>
    <row r="535" spans="4:9">
      <c r="D535" s="47"/>
      <c r="E535" s="143"/>
      <c r="H535" s="2"/>
      <c r="I535" s="30"/>
    </row>
    <row r="536" spans="4:9">
      <c r="D536" s="47"/>
      <c r="E536" s="143"/>
      <c r="H536" s="2"/>
      <c r="I536" s="30"/>
    </row>
    <row r="537" spans="4:9">
      <c r="D537" s="47"/>
      <c r="E537" s="143"/>
      <c r="H537" s="2"/>
      <c r="I537" s="30"/>
    </row>
    <row r="538" spans="4:9">
      <c r="D538" s="47"/>
      <c r="E538" s="143"/>
      <c r="H538" s="2"/>
      <c r="I538" s="30"/>
    </row>
    <row r="539" spans="4:9">
      <c r="D539" s="47"/>
      <c r="E539" s="143"/>
      <c r="H539" s="2"/>
      <c r="I539" s="30"/>
    </row>
    <row r="540" spans="4:9">
      <c r="D540" s="47"/>
      <c r="E540" s="143"/>
      <c r="H540" s="2"/>
      <c r="I540" s="30"/>
    </row>
    <row r="541" spans="4:9">
      <c r="D541" s="47"/>
      <c r="E541" s="143"/>
      <c r="H541" s="2"/>
      <c r="I541" s="30"/>
    </row>
    <row r="542" spans="4:9">
      <c r="D542" s="47"/>
      <c r="E542" s="143"/>
      <c r="H542" s="2"/>
      <c r="I542" s="30"/>
    </row>
    <row r="543" spans="4:9">
      <c r="D543" s="47"/>
      <c r="E543" s="143"/>
      <c r="H543" s="2"/>
      <c r="I543" s="30"/>
    </row>
    <row r="544" spans="4:9">
      <c r="D544" s="47"/>
      <c r="E544" s="143"/>
      <c r="H544" s="2"/>
      <c r="I544" s="30"/>
    </row>
    <row r="545" spans="4:9">
      <c r="D545" s="47"/>
      <c r="E545" s="143"/>
      <c r="H545" s="2"/>
      <c r="I545" s="30"/>
    </row>
    <row r="546" spans="4:9">
      <c r="D546" s="47"/>
      <c r="E546" s="143"/>
      <c r="H546" s="2"/>
      <c r="I546" s="30"/>
    </row>
    <row r="547" spans="4:9">
      <c r="D547" s="47"/>
      <c r="E547" s="143"/>
      <c r="H547" s="2"/>
      <c r="I547" s="30"/>
    </row>
    <row r="548" spans="4:9">
      <c r="D548" s="47"/>
      <c r="E548" s="143"/>
      <c r="H548" s="2"/>
      <c r="I548" s="30"/>
    </row>
    <row r="549" spans="4:9">
      <c r="D549" s="47"/>
      <c r="E549" s="143"/>
      <c r="H549" s="2"/>
      <c r="I549" s="30"/>
    </row>
    <row r="550" spans="4:9">
      <c r="D550" s="47"/>
      <c r="E550" s="143"/>
      <c r="H550" s="2"/>
      <c r="I550" s="30"/>
    </row>
    <row r="551" spans="4:9">
      <c r="D551" s="47"/>
      <c r="E551" s="143"/>
      <c r="H551" s="2"/>
      <c r="I551" s="30"/>
    </row>
    <row r="552" spans="4:9">
      <c r="D552" s="47"/>
      <c r="E552" s="143"/>
      <c r="H552" s="2"/>
      <c r="I552" s="30"/>
    </row>
    <row r="553" spans="4:9">
      <c r="D553" s="47"/>
      <c r="E553" s="143"/>
      <c r="H553" s="2"/>
      <c r="I553" s="30"/>
    </row>
    <row r="554" spans="4:9">
      <c r="D554" s="47"/>
      <c r="E554" s="143"/>
      <c r="H554" s="2"/>
      <c r="I554" s="30"/>
    </row>
    <row r="555" spans="4:9">
      <c r="D555" s="47"/>
      <c r="E555" s="143"/>
      <c r="H555" s="2"/>
      <c r="I555" s="30"/>
    </row>
    <row r="556" spans="4:9">
      <c r="D556" s="47"/>
      <c r="E556" s="143"/>
      <c r="H556" s="2"/>
      <c r="I556" s="30"/>
    </row>
    <row r="557" spans="4:9">
      <c r="D557" s="47"/>
      <c r="E557" s="143"/>
      <c r="H557" s="2"/>
      <c r="I557" s="30"/>
    </row>
    <row r="558" spans="4:9">
      <c r="D558" s="47"/>
      <c r="E558" s="143"/>
      <c r="H558" s="2"/>
      <c r="I558" s="30"/>
    </row>
    <row r="559" spans="4:9">
      <c r="D559" s="47"/>
      <c r="E559" s="143"/>
      <c r="H559" s="2"/>
      <c r="I559" s="30"/>
    </row>
    <row r="560" spans="4:9">
      <c r="D560" s="47"/>
      <c r="E560" s="143"/>
      <c r="H560" s="2"/>
      <c r="I560" s="30"/>
    </row>
    <row r="561" spans="4:9">
      <c r="D561" s="47"/>
      <c r="E561" s="143"/>
      <c r="H561" s="2"/>
      <c r="I561" s="30"/>
    </row>
    <row r="562" spans="4:9">
      <c r="D562" s="47"/>
      <c r="E562" s="143"/>
      <c r="H562" s="2"/>
      <c r="I562" s="30"/>
    </row>
    <row r="563" spans="4:9">
      <c r="D563" s="47"/>
      <c r="E563" s="143"/>
      <c r="H563" s="2"/>
      <c r="I563" s="30"/>
    </row>
    <row r="564" spans="4:9">
      <c r="D564" s="47"/>
      <c r="E564" s="143"/>
      <c r="H564" s="2"/>
      <c r="I564" s="30"/>
    </row>
    <row r="565" spans="4:9">
      <c r="D565" s="47"/>
      <c r="E565" s="143"/>
      <c r="H565" s="2"/>
      <c r="I565" s="30"/>
    </row>
    <row r="566" spans="4:9">
      <c r="D566" s="47"/>
      <c r="E566" s="143"/>
      <c r="H566" s="2"/>
      <c r="I566" s="30"/>
    </row>
    <row r="567" spans="4:9">
      <c r="D567" s="47"/>
      <c r="E567" s="143"/>
      <c r="H567" s="2"/>
      <c r="I567" s="30"/>
    </row>
    <row r="568" spans="4:9">
      <c r="D568" s="47"/>
      <c r="E568" s="143"/>
      <c r="H568" s="2"/>
      <c r="I568" s="30"/>
    </row>
    <row r="569" spans="4:9">
      <c r="D569" s="47"/>
      <c r="E569" s="143"/>
      <c r="H569" s="2"/>
      <c r="I569" s="30"/>
    </row>
    <row r="570" spans="4:9">
      <c r="D570" s="47"/>
      <c r="E570" s="143"/>
      <c r="H570" s="2"/>
      <c r="I570" s="30"/>
    </row>
    <row r="571" spans="4:9">
      <c r="D571" s="47"/>
      <c r="E571" s="143"/>
      <c r="H571" s="2"/>
      <c r="I571" s="30"/>
    </row>
    <row r="572" spans="4:9">
      <c r="D572" s="47"/>
      <c r="E572" s="143"/>
      <c r="H572" s="2"/>
      <c r="I572" s="30"/>
    </row>
    <row r="573" spans="4:9">
      <c r="D573" s="47"/>
      <c r="E573" s="143"/>
      <c r="H573" s="2"/>
      <c r="I573" s="30"/>
    </row>
    <row r="574" spans="4:9">
      <c r="D574" s="47"/>
      <c r="E574" s="143"/>
      <c r="H574" s="2"/>
      <c r="I574" s="30"/>
    </row>
    <row r="575" spans="4:9">
      <c r="D575" s="47"/>
      <c r="E575" s="143"/>
      <c r="H575" s="2"/>
      <c r="I575" s="30"/>
    </row>
    <row r="576" spans="4:9">
      <c r="D576" s="47"/>
      <c r="E576" s="143"/>
      <c r="H576" s="2"/>
      <c r="I576" s="30"/>
    </row>
    <row r="577" spans="4:9">
      <c r="D577" s="47"/>
      <c r="E577" s="143"/>
      <c r="H577" s="2"/>
      <c r="I577" s="30"/>
    </row>
    <row r="578" spans="4:9">
      <c r="D578" s="47"/>
      <c r="E578" s="143"/>
      <c r="H578" s="2"/>
      <c r="I578" s="30"/>
    </row>
    <row r="579" spans="4:9">
      <c r="D579" s="47"/>
      <c r="E579" s="143"/>
      <c r="H579" s="2"/>
      <c r="I579" s="30"/>
    </row>
    <row r="580" spans="4:9">
      <c r="D580" s="47"/>
      <c r="E580" s="143"/>
      <c r="H580" s="2"/>
      <c r="I580" s="30"/>
    </row>
    <row r="581" spans="4:9">
      <c r="D581" s="47"/>
      <c r="E581" s="143"/>
      <c r="H581" s="2"/>
      <c r="I581" s="30"/>
    </row>
    <row r="582" spans="4:9">
      <c r="D582" s="47"/>
      <c r="E582" s="143"/>
      <c r="H582" s="2"/>
      <c r="I582" s="30"/>
    </row>
    <row r="583" spans="4:9">
      <c r="D583" s="47"/>
      <c r="E583" s="143"/>
      <c r="H583" s="2"/>
      <c r="I583" s="30"/>
    </row>
    <row r="584" spans="4:9">
      <c r="D584" s="47"/>
      <c r="E584" s="143"/>
      <c r="H584" s="2"/>
      <c r="I584" s="30"/>
    </row>
    <row r="585" spans="4:9">
      <c r="D585" s="47"/>
      <c r="E585" s="143"/>
      <c r="H585" s="2"/>
      <c r="I585" s="30"/>
    </row>
    <row r="586" spans="4:9">
      <c r="D586" s="47"/>
      <c r="E586" s="143"/>
      <c r="H586" s="2"/>
      <c r="I586" s="30"/>
    </row>
    <row r="587" spans="4:9">
      <c r="D587" s="47"/>
      <c r="E587" s="143"/>
      <c r="H587" s="2"/>
      <c r="I587" s="30"/>
    </row>
    <row r="588" spans="4:9">
      <c r="D588" s="47"/>
      <c r="E588" s="143"/>
      <c r="H588" s="2"/>
      <c r="I588" s="30"/>
    </row>
    <row r="589" spans="4:9">
      <c r="D589" s="47"/>
      <c r="E589" s="143"/>
      <c r="H589" s="2"/>
      <c r="I589" s="30"/>
    </row>
    <row r="590" spans="4:9">
      <c r="D590" s="47"/>
      <c r="E590" s="143"/>
      <c r="H590" s="2"/>
      <c r="I590" s="30"/>
    </row>
    <row r="591" spans="4:9">
      <c r="D591" s="47"/>
      <c r="E591" s="143"/>
      <c r="H591" s="2"/>
      <c r="I591" s="30"/>
    </row>
    <row r="592" spans="4:9">
      <c r="D592" s="47"/>
      <c r="E592" s="143"/>
      <c r="H592" s="2"/>
      <c r="I592" s="30"/>
    </row>
    <row r="593" spans="4:9">
      <c r="D593" s="47"/>
      <c r="E593" s="143"/>
      <c r="H593" s="2"/>
      <c r="I593" s="30"/>
    </row>
    <row r="594" spans="4:9">
      <c r="D594" s="47"/>
      <c r="E594" s="143"/>
      <c r="H594" s="2"/>
      <c r="I594" s="30"/>
    </row>
    <row r="595" spans="4:9">
      <c r="D595" s="47"/>
      <c r="E595" s="143"/>
      <c r="H595" s="2"/>
      <c r="I595" s="30"/>
    </row>
    <row r="596" spans="4:9">
      <c r="D596" s="47"/>
      <c r="E596" s="143"/>
      <c r="H596" s="2"/>
      <c r="I596" s="30"/>
    </row>
    <row r="597" spans="4:9">
      <c r="D597" s="47"/>
      <c r="E597" s="143"/>
      <c r="H597" s="2"/>
      <c r="I597" s="30"/>
    </row>
    <row r="598" spans="4:9">
      <c r="D598" s="47"/>
      <c r="E598" s="143"/>
      <c r="H598" s="2"/>
      <c r="I598" s="30"/>
    </row>
    <row r="599" spans="4:9">
      <c r="D599" s="47"/>
      <c r="E599" s="143"/>
      <c r="H599" s="2"/>
      <c r="I599" s="30"/>
    </row>
    <row r="600" spans="4:9">
      <c r="D600" s="47"/>
      <c r="E600" s="143"/>
      <c r="H600" s="2"/>
      <c r="I600" s="30"/>
    </row>
    <row r="601" spans="4:9">
      <c r="D601" s="47"/>
      <c r="E601" s="143"/>
      <c r="H601" s="2"/>
      <c r="I601" s="30"/>
    </row>
    <row r="602" spans="4:9">
      <c r="D602" s="47"/>
      <c r="E602" s="143"/>
      <c r="H602" s="2"/>
      <c r="I602" s="30"/>
    </row>
    <row r="603" spans="4:9">
      <c r="D603" s="47"/>
      <c r="E603" s="143"/>
      <c r="H603" s="2"/>
      <c r="I603" s="30"/>
    </row>
    <row r="604" spans="4:9">
      <c r="D604" s="47"/>
      <c r="E604" s="143"/>
      <c r="H604" s="2"/>
      <c r="I604" s="30"/>
    </row>
    <row r="605" spans="4:9">
      <c r="D605" s="47"/>
      <c r="E605" s="143"/>
      <c r="H605" s="2"/>
      <c r="I605" s="30"/>
    </row>
    <row r="606" spans="4:9">
      <c r="D606" s="47"/>
      <c r="E606" s="143"/>
      <c r="H606" s="2"/>
      <c r="I606" s="30"/>
    </row>
    <row r="607" spans="4:9">
      <c r="D607" s="47"/>
      <c r="E607" s="143"/>
      <c r="H607" s="2"/>
      <c r="I607" s="30"/>
    </row>
    <row r="608" spans="4:9">
      <c r="D608" s="47"/>
      <c r="E608" s="143"/>
      <c r="H608" s="2"/>
      <c r="I608" s="30"/>
    </row>
    <row r="609" spans="4:9">
      <c r="D609" s="47"/>
      <c r="E609" s="143"/>
      <c r="H609" s="2"/>
      <c r="I609" s="30"/>
    </row>
    <row r="610" spans="4:9">
      <c r="D610" s="47"/>
      <c r="E610" s="143"/>
      <c r="H610" s="2"/>
      <c r="I610" s="30"/>
    </row>
    <row r="611" spans="4:9">
      <c r="D611" s="47"/>
      <c r="E611" s="143"/>
      <c r="H611" s="2"/>
      <c r="I611" s="30"/>
    </row>
    <row r="612" spans="4:9">
      <c r="D612" s="47"/>
      <c r="E612" s="143"/>
      <c r="H612" s="2"/>
      <c r="I612" s="30"/>
    </row>
    <row r="613" spans="4:9">
      <c r="D613" s="47"/>
      <c r="E613" s="143"/>
      <c r="H613" s="2"/>
      <c r="I613" s="30"/>
    </row>
    <row r="614" spans="4:9">
      <c r="D614" s="47"/>
      <c r="E614" s="143"/>
      <c r="H614" s="2"/>
      <c r="I614" s="30"/>
    </row>
    <row r="615" spans="4:9">
      <c r="D615" s="47"/>
      <c r="E615" s="143"/>
      <c r="H615" s="2"/>
      <c r="I615" s="30"/>
    </row>
    <row r="616" spans="4:9">
      <c r="D616" s="47"/>
      <c r="E616" s="143"/>
      <c r="H616" s="2"/>
      <c r="I616" s="30"/>
    </row>
    <row r="617" spans="4:9">
      <c r="D617" s="47"/>
      <c r="E617" s="143"/>
      <c r="H617" s="2"/>
      <c r="I617" s="30"/>
    </row>
    <row r="618" spans="4:9">
      <c r="D618" s="47"/>
      <c r="E618" s="143"/>
      <c r="H618" s="2"/>
      <c r="I618" s="30"/>
    </row>
    <row r="619" spans="4:9">
      <c r="D619" s="47"/>
      <c r="E619" s="143"/>
      <c r="H619" s="2"/>
      <c r="I619" s="30"/>
    </row>
    <row r="620" spans="4:9">
      <c r="D620" s="47"/>
      <c r="E620" s="143"/>
      <c r="H620" s="2"/>
      <c r="I620" s="30"/>
    </row>
    <row r="621" spans="4:9">
      <c r="D621" s="47"/>
      <c r="E621" s="143"/>
      <c r="H621" s="2"/>
      <c r="I621" s="30"/>
    </row>
    <row r="622" spans="4:9">
      <c r="D622" s="47"/>
      <c r="E622" s="143"/>
      <c r="H622" s="2"/>
      <c r="I622" s="30"/>
    </row>
    <row r="623" spans="4:9">
      <c r="D623" s="47"/>
      <c r="E623" s="143"/>
      <c r="H623" s="2"/>
      <c r="I623" s="30"/>
    </row>
    <row r="624" spans="4:9">
      <c r="D624" s="47"/>
      <c r="E624" s="143"/>
      <c r="H624" s="2"/>
      <c r="I624" s="30"/>
    </row>
    <row r="625" spans="4:9">
      <c r="D625" s="47"/>
      <c r="E625" s="143"/>
      <c r="H625" s="2"/>
      <c r="I625" s="30"/>
    </row>
    <row r="626" spans="4:9">
      <c r="D626" s="47"/>
      <c r="E626" s="143"/>
      <c r="H626" s="2"/>
      <c r="I626" s="30"/>
    </row>
    <row r="627" spans="4:9">
      <c r="D627" s="47"/>
      <c r="E627" s="143"/>
      <c r="H627" s="2"/>
      <c r="I627" s="30"/>
    </row>
    <row r="628" spans="4:9">
      <c r="D628" s="47"/>
      <c r="E628" s="143"/>
      <c r="H628" s="2"/>
      <c r="I628" s="30"/>
    </row>
    <row r="629" spans="4:9">
      <c r="D629" s="47"/>
      <c r="E629" s="143"/>
      <c r="H629" s="2"/>
      <c r="I629" s="30"/>
    </row>
    <row r="630" spans="4:9">
      <c r="D630" s="47"/>
      <c r="E630" s="143"/>
      <c r="H630" s="2"/>
      <c r="I630" s="30"/>
    </row>
    <row r="631" spans="4:9">
      <c r="D631" s="47"/>
      <c r="E631" s="143"/>
      <c r="H631" s="2"/>
      <c r="I631" s="30"/>
    </row>
    <row r="632" spans="4:9">
      <c r="D632" s="47"/>
      <c r="E632" s="143"/>
      <c r="H632" s="2"/>
      <c r="I632" s="30"/>
    </row>
    <row r="633" spans="4:9">
      <c r="D633" s="47"/>
      <c r="E633" s="143"/>
      <c r="H633" s="2"/>
      <c r="I633" s="30"/>
    </row>
    <row r="634" spans="4:9">
      <c r="D634" s="47"/>
      <c r="E634" s="143"/>
      <c r="H634" s="2"/>
      <c r="I634" s="30"/>
    </row>
    <row r="635" spans="4:9">
      <c r="D635" s="47"/>
      <c r="E635" s="143"/>
      <c r="H635" s="2"/>
      <c r="I635" s="30"/>
    </row>
    <row r="636" spans="4:9">
      <c r="D636" s="47"/>
      <c r="E636" s="143"/>
      <c r="H636" s="2"/>
      <c r="I636" s="30"/>
    </row>
    <row r="637" spans="4:9">
      <c r="D637" s="47"/>
      <c r="E637" s="143"/>
      <c r="H637" s="2"/>
      <c r="I637" s="30"/>
    </row>
    <row r="638" spans="4:9">
      <c r="D638" s="47"/>
      <c r="E638" s="143"/>
      <c r="H638" s="2"/>
      <c r="I638" s="30"/>
    </row>
    <row r="639" spans="4:9">
      <c r="D639" s="47"/>
      <c r="E639" s="143"/>
      <c r="H639" s="2"/>
      <c r="I639" s="30"/>
    </row>
    <row r="640" spans="4:9">
      <c r="D640" s="47"/>
      <c r="E640" s="143"/>
      <c r="H640" s="2"/>
      <c r="I640" s="30"/>
    </row>
    <row r="641" spans="4:9">
      <c r="D641" s="47"/>
      <c r="E641" s="143"/>
      <c r="H641" s="2"/>
      <c r="I641" s="30"/>
    </row>
    <row r="642" spans="4:9">
      <c r="D642" s="47"/>
      <c r="E642" s="143"/>
      <c r="H642" s="2"/>
      <c r="I642" s="30"/>
    </row>
    <row r="643" spans="4:9">
      <c r="D643" s="47"/>
      <c r="E643" s="143"/>
      <c r="H643" s="2"/>
      <c r="I643" s="30"/>
    </row>
    <row r="644" spans="4:9">
      <c r="D644" s="47"/>
      <c r="E644" s="143"/>
      <c r="H644" s="2"/>
      <c r="I644" s="30"/>
    </row>
    <row r="645" spans="4:9">
      <c r="D645" s="47"/>
      <c r="E645" s="143"/>
      <c r="H645" s="2"/>
      <c r="I645" s="30"/>
    </row>
    <row r="646" spans="4:9">
      <c r="D646" s="47"/>
      <c r="E646" s="143"/>
      <c r="H646" s="2"/>
      <c r="I646" s="30"/>
    </row>
    <row r="647" spans="4:9">
      <c r="D647" s="47"/>
      <c r="E647" s="143"/>
      <c r="H647" s="2"/>
      <c r="I647" s="30"/>
    </row>
    <row r="648" spans="4:9">
      <c r="D648" s="47"/>
      <c r="E648" s="143"/>
      <c r="H648" s="2"/>
      <c r="I648" s="30"/>
    </row>
    <row r="649" spans="4:9">
      <c r="D649" s="47"/>
      <c r="E649" s="143"/>
      <c r="H649" s="2"/>
      <c r="I649" s="30"/>
    </row>
    <row r="650" spans="4:9">
      <c r="D650" s="47"/>
      <c r="E650" s="143"/>
      <c r="H650" s="2"/>
      <c r="I650" s="30"/>
    </row>
    <row r="651" spans="4:9">
      <c r="D651" s="47"/>
      <c r="E651" s="143"/>
      <c r="H651" s="2"/>
      <c r="I651" s="30"/>
    </row>
    <row r="652" spans="4:9">
      <c r="D652" s="47"/>
      <c r="E652" s="143"/>
      <c r="H652" s="2"/>
      <c r="I652" s="30"/>
    </row>
    <row r="653" spans="4:9">
      <c r="D653" s="47"/>
      <c r="E653" s="143"/>
      <c r="H653" s="2"/>
      <c r="I653" s="30"/>
    </row>
    <row r="654" spans="4:9">
      <c r="D654" s="47"/>
      <c r="E654" s="143"/>
      <c r="H654" s="2"/>
      <c r="I654" s="30"/>
    </row>
    <row r="655" spans="4:9">
      <c r="D655" s="47"/>
      <c r="E655" s="143"/>
      <c r="H655" s="2"/>
      <c r="I655" s="30"/>
    </row>
    <row r="656" spans="4:9">
      <c r="D656" s="47"/>
      <c r="E656" s="143"/>
      <c r="H656" s="2"/>
      <c r="I656" s="30"/>
    </row>
    <row r="657" spans="4:9">
      <c r="D657" s="47"/>
      <c r="E657" s="143"/>
      <c r="H657" s="2"/>
      <c r="I657" s="30"/>
    </row>
    <row r="658" spans="4:9">
      <c r="D658" s="47"/>
      <c r="E658" s="143"/>
      <c r="H658" s="2"/>
      <c r="I658" s="30"/>
    </row>
    <row r="659" spans="4:9">
      <c r="D659" s="47"/>
      <c r="E659" s="143"/>
      <c r="H659" s="2"/>
      <c r="I659" s="30"/>
    </row>
    <row r="660" spans="4:9">
      <c r="D660" s="47"/>
      <c r="E660" s="143"/>
      <c r="H660" s="2"/>
      <c r="I660" s="30"/>
    </row>
    <row r="661" spans="4:9">
      <c r="D661" s="47"/>
      <c r="E661" s="143"/>
      <c r="H661" s="2"/>
      <c r="I661" s="30"/>
    </row>
    <row r="662" spans="4:9">
      <c r="D662" s="47"/>
      <c r="E662" s="143"/>
      <c r="H662" s="2"/>
      <c r="I662" s="30"/>
    </row>
    <row r="663" spans="4:9">
      <c r="D663" s="47"/>
      <c r="E663" s="143"/>
      <c r="H663" s="2"/>
      <c r="I663" s="30"/>
    </row>
    <row r="664" spans="4:9">
      <c r="D664" s="47"/>
      <c r="E664" s="143"/>
      <c r="H664" s="2"/>
      <c r="I664" s="30"/>
    </row>
    <row r="665" spans="4:9">
      <c r="D665" s="47"/>
      <c r="E665" s="143"/>
      <c r="H665" s="2"/>
      <c r="I665" s="30"/>
    </row>
    <row r="666" spans="4:9">
      <c r="D666" s="47"/>
      <c r="E666" s="143"/>
      <c r="H666" s="2"/>
      <c r="I666" s="30"/>
    </row>
    <row r="667" spans="4:9">
      <c r="D667" s="47"/>
      <c r="E667" s="143"/>
      <c r="H667" s="2"/>
      <c r="I667" s="30"/>
    </row>
    <row r="668" spans="4:9">
      <c r="D668" s="47"/>
      <c r="E668" s="143"/>
      <c r="H668" s="2"/>
      <c r="I668" s="30"/>
    </row>
    <row r="669" spans="4:9">
      <c r="D669" s="47"/>
      <c r="E669" s="143"/>
      <c r="H669" s="2"/>
      <c r="I669" s="30"/>
    </row>
    <row r="670" spans="4:9">
      <c r="D670" s="47"/>
      <c r="E670" s="143"/>
      <c r="H670" s="2"/>
      <c r="I670" s="30"/>
    </row>
    <row r="671" spans="4:9">
      <c r="D671" s="47"/>
      <c r="E671" s="143"/>
      <c r="H671" s="2"/>
      <c r="I671" s="30"/>
    </row>
    <row r="672" spans="4:9">
      <c r="D672" s="47"/>
      <c r="E672" s="143"/>
      <c r="H672" s="2"/>
      <c r="I672" s="30"/>
    </row>
    <row r="673" spans="4:9">
      <c r="D673" s="47"/>
      <c r="E673" s="143"/>
      <c r="H673" s="2"/>
      <c r="I673" s="30"/>
    </row>
    <row r="674" spans="4:9">
      <c r="D674" s="47"/>
      <c r="E674" s="143"/>
      <c r="H674" s="2"/>
      <c r="I674" s="30"/>
    </row>
    <row r="675" spans="4:9">
      <c r="D675" s="47"/>
      <c r="E675" s="143"/>
      <c r="H675" s="2"/>
      <c r="I675" s="30"/>
    </row>
    <row r="676" spans="4:9">
      <c r="D676" s="47"/>
      <c r="E676" s="143"/>
      <c r="H676" s="2"/>
      <c r="I676" s="30"/>
    </row>
    <row r="677" spans="4:9">
      <c r="D677" s="47"/>
      <c r="E677" s="143"/>
      <c r="H677" s="2"/>
      <c r="I677" s="30"/>
    </row>
    <row r="678" spans="4:9">
      <c r="D678" s="47"/>
      <c r="E678" s="143"/>
      <c r="H678" s="2"/>
      <c r="I678" s="30"/>
    </row>
    <row r="679" spans="4:9">
      <c r="D679" s="47"/>
      <c r="E679" s="143"/>
      <c r="H679" s="2"/>
      <c r="I679" s="30"/>
    </row>
    <row r="680" spans="4:9">
      <c r="D680" s="47"/>
      <c r="E680" s="143"/>
      <c r="H680" s="2"/>
      <c r="I680" s="30"/>
    </row>
    <row r="681" spans="4:9">
      <c r="D681" s="47"/>
      <c r="E681" s="143"/>
      <c r="H681" s="2"/>
      <c r="I681" s="30"/>
    </row>
    <row r="682" spans="4:9">
      <c r="D682" s="47"/>
      <c r="E682" s="143"/>
      <c r="H682" s="2"/>
      <c r="I682" s="30"/>
    </row>
    <row r="683" spans="4:9">
      <c r="D683" s="47"/>
      <c r="E683" s="143"/>
      <c r="H683" s="2"/>
      <c r="I683" s="30"/>
    </row>
    <row r="684" spans="4:9">
      <c r="D684" s="47"/>
      <c r="E684" s="143"/>
      <c r="H684" s="2"/>
      <c r="I684" s="30"/>
    </row>
    <row r="685" spans="4:9">
      <c r="D685" s="47"/>
      <c r="E685" s="143"/>
      <c r="H685" s="2"/>
      <c r="I685" s="30"/>
    </row>
    <row r="686" spans="4:9">
      <c r="D686" s="47"/>
      <c r="E686" s="143"/>
      <c r="H686" s="2"/>
      <c r="I686" s="30"/>
    </row>
    <row r="687" spans="4:9">
      <c r="D687" s="47"/>
      <c r="E687" s="143"/>
      <c r="H687" s="2"/>
      <c r="I687" s="30"/>
    </row>
    <row r="688" spans="4:9">
      <c r="D688" s="47"/>
      <c r="E688" s="143"/>
      <c r="H688" s="2"/>
      <c r="I688" s="30"/>
    </row>
    <row r="689" spans="4:9">
      <c r="D689" s="47"/>
      <c r="E689" s="143"/>
      <c r="H689" s="2"/>
      <c r="I689" s="30"/>
    </row>
    <row r="690" spans="4:9">
      <c r="D690" s="47"/>
      <c r="E690" s="143"/>
      <c r="H690" s="2"/>
      <c r="I690" s="30"/>
    </row>
    <row r="691" spans="4:9">
      <c r="D691" s="47"/>
      <c r="E691" s="143"/>
      <c r="H691" s="2"/>
      <c r="I691" s="30"/>
    </row>
    <row r="692" spans="4:9">
      <c r="D692" s="47"/>
      <c r="E692" s="143"/>
      <c r="H692" s="2"/>
      <c r="I692" s="30"/>
    </row>
    <row r="693" spans="4:9">
      <c r="D693" s="47"/>
      <c r="E693" s="143"/>
      <c r="H693" s="2"/>
      <c r="I693" s="30"/>
    </row>
    <row r="694" spans="4:9">
      <c r="D694" s="47"/>
      <c r="E694" s="143"/>
      <c r="H694" s="2"/>
      <c r="I694" s="30"/>
    </row>
    <row r="695" spans="4:9">
      <c r="D695" s="47"/>
      <c r="E695" s="143"/>
      <c r="H695" s="2"/>
      <c r="I695" s="30"/>
    </row>
    <row r="696" spans="4:9">
      <c r="D696" s="47"/>
      <c r="E696" s="143"/>
      <c r="H696" s="2"/>
      <c r="I696" s="30"/>
    </row>
    <row r="697" spans="4:9">
      <c r="D697" s="47"/>
      <c r="E697" s="143"/>
      <c r="H697" s="2"/>
      <c r="I697" s="30"/>
    </row>
    <row r="698" spans="4:9">
      <c r="D698" s="47"/>
      <c r="E698" s="143"/>
      <c r="H698" s="2"/>
      <c r="I698" s="30"/>
    </row>
    <row r="699" spans="4:9">
      <c r="D699" s="47"/>
      <c r="E699" s="143"/>
      <c r="H699" s="2"/>
      <c r="I699" s="30"/>
    </row>
    <row r="700" spans="4:9">
      <c r="D700" s="47"/>
      <c r="E700" s="143"/>
      <c r="H700" s="2"/>
      <c r="I700" s="30"/>
    </row>
    <row r="701" spans="4:9">
      <c r="D701" s="47"/>
      <c r="E701" s="143"/>
      <c r="H701" s="2"/>
      <c r="I701" s="30"/>
    </row>
    <row r="702" spans="4:9">
      <c r="D702" s="47"/>
      <c r="E702" s="143"/>
      <c r="H702" s="2"/>
      <c r="I702" s="30"/>
    </row>
    <row r="703" spans="4:9">
      <c r="D703" s="47"/>
      <c r="E703" s="143"/>
      <c r="H703" s="2"/>
      <c r="I703" s="30"/>
    </row>
    <row r="704" spans="4:9">
      <c r="D704" s="47"/>
      <c r="E704" s="143"/>
      <c r="H704" s="2"/>
      <c r="I704" s="30"/>
    </row>
    <row r="705" spans="4:9">
      <c r="D705" s="47"/>
      <c r="E705" s="143"/>
      <c r="H705" s="2"/>
      <c r="I705" s="30"/>
    </row>
    <row r="706" spans="4:9">
      <c r="D706" s="47"/>
      <c r="E706" s="143"/>
      <c r="H706" s="2"/>
      <c r="I706" s="30"/>
    </row>
    <row r="707" spans="4:9">
      <c r="D707" s="47"/>
      <c r="E707" s="143"/>
      <c r="H707" s="2"/>
      <c r="I707" s="30"/>
    </row>
    <row r="708" spans="4:9">
      <c r="D708" s="47"/>
      <c r="E708" s="143"/>
      <c r="H708" s="2"/>
      <c r="I708" s="30"/>
    </row>
    <row r="709" spans="4:9">
      <c r="D709" s="47"/>
      <c r="E709" s="143"/>
      <c r="H709" s="2"/>
      <c r="I709" s="30"/>
    </row>
    <row r="710" spans="4:9">
      <c r="D710" s="47"/>
      <c r="E710" s="143"/>
      <c r="H710" s="2"/>
      <c r="I710" s="30"/>
    </row>
    <row r="711" spans="4:9">
      <c r="D711" s="47"/>
      <c r="E711" s="143"/>
      <c r="H711" s="2"/>
      <c r="I711" s="30"/>
    </row>
    <row r="712" spans="4:9">
      <c r="D712" s="47"/>
      <c r="E712" s="143"/>
      <c r="H712" s="2"/>
      <c r="I712" s="30"/>
    </row>
    <row r="713" spans="4:9">
      <c r="D713" s="47"/>
      <c r="E713" s="143"/>
      <c r="H713" s="2"/>
      <c r="I713" s="30"/>
    </row>
    <row r="714" spans="4:9">
      <c r="D714" s="47"/>
      <c r="E714" s="143"/>
      <c r="H714" s="2"/>
      <c r="I714" s="30"/>
    </row>
    <row r="715" spans="4:9">
      <c r="D715" s="47"/>
      <c r="E715" s="143"/>
      <c r="H715" s="2"/>
      <c r="I715" s="30"/>
    </row>
    <row r="716" spans="4:9">
      <c r="D716" s="47"/>
      <c r="E716" s="143"/>
      <c r="H716" s="2"/>
      <c r="I716" s="30"/>
    </row>
    <row r="717" spans="4:9">
      <c r="D717" s="47"/>
      <c r="E717" s="143"/>
      <c r="H717" s="2"/>
      <c r="I717" s="30"/>
    </row>
    <row r="718" spans="4:9">
      <c r="D718" s="47"/>
      <c r="E718" s="143"/>
      <c r="H718" s="2"/>
      <c r="I718" s="30"/>
    </row>
    <row r="719" spans="4:9">
      <c r="D719" s="47"/>
      <c r="E719" s="143"/>
      <c r="H719" s="2"/>
      <c r="I719" s="30"/>
    </row>
    <row r="720" spans="4:9">
      <c r="D720" s="47"/>
      <c r="E720" s="143"/>
      <c r="H720" s="2"/>
      <c r="I720" s="30"/>
    </row>
    <row r="721" spans="4:9">
      <c r="D721" s="47"/>
      <c r="E721" s="143"/>
      <c r="H721" s="2"/>
      <c r="I721" s="30"/>
    </row>
    <row r="722" spans="4:9">
      <c r="D722" s="47"/>
      <c r="E722" s="143"/>
      <c r="H722" s="2"/>
      <c r="I722" s="30"/>
    </row>
    <row r="723" spans="4:9">
      <c r="D723" s="47"/>
      <c r="E723" s="143"/>
      <c r="H723" s="2"/>
      <c r="I723" s="30"/>
    </row>
    <row r="724" spans="4:9">
      <c r="D724" s="47"/>
      <c r="E724" s="143"/>
      <c r="H724" s="2"/>
      <c r="I724" s="30"/>
    </row>
    <row r="725" spans="4:9">
      <c r="D725" s="47"/>
      <c r="E725" s="143"/>
      <c r="H725" s="2"/>
      <c r="I725" s="30"/>
    </row>
    <row r="726" spans="4:9">
      <c r="D726" s="47"/>
      <c r="E726" s="143"/>
      <c r="H726" s="2"/>
      <c r="I726" s="30"/>
    </row>
    <row r="727" spans="4:9">
      <c r="D727" s="47"/>
      <c r="E727" s="143"/>
      <c r="H727" s="2"/>
      <c r="I727" s="30"/>
    </row>
    <row r="728" spans="4:9">
      <c r="D728" s="47"/>
      <c r="E728" s="143"/>
      <c r="H728" s="2"/>
      <c r="I728" s="30"/>
    </row>
    <row r="729" spans="4:9">
      <c r="D729" s="47"/>
      <c r="E729" s="143"/>
      <c r="H729" s="2"/>
      <c r="I729" s="30"/>
    </row>
    <row r="730" spans="4:9">
      <c r="D730" s="47"/>
      <c r="E730" s="143"/>
      <c r="H730" s="2"/>
      <c r="I730" s="30"/>
    </row>
    <row r="731" spans="4:9">
      <c r="D731" s="47"/>
      <c r="E731" s="143"/>
      <c r="H731" s="2"/>
      <c r="I731" s="30"/>
    </row>
    <row r="732" spans="4:9">
      <c r="D732" s="47"/>
      <c r="E732" s="143"/>
      <c r="H732" s="2"/>
      <c r="I732" s="30"/>
    </row>
    <row r="733" spans="4:9">
      <c r="D733" s="47"/>
      <c r="E733" s="143"/>
      <c r="H733" s="2"/>
      <c r="I733" s="30"/>
    </row>
    <row r="734" spans="4:9">
      <c r="D734" s="47"/>
      <c r="E734" s="143"/>
      <c r="H734" s="2"/>
      <c r="I734" s="30"/>
    </row>
    <row r="735" spans="4:9">
      <c r="D735" s="47"/>
      <c r="E735" s="143"/>
      <c r="H735" s="2"/>
      <c r="I735" s="30"/>
    </row>
    <row r="736" spans="4:9">
      <c r="D736" s="47"/>
      <c r="E736" s="143"/>
      <c r="H736" s="2"/>
      <c r="I736" s="30"/>
    </row>
    <row r="737" spans="4:9">
      <c r="D737" s="47"/>
      <c r="E737" s="143"/>
      <c r="H737" s="2"/>
      <c r="I737" s="30"/>
    </row>
    <row r="738" spans="4:9">
      <c r="D738" s="47"/>
      <c r="E738" s="143"/>
      <c r="H738" s="2"/>
      <c r="I738" s="30"/>
    </row>
    <row r="739" spans="4:9">
      <c r="D739" s="47"/>
      <c r="E739" s="143"/>
      <c r="H739" s="2"/>
      <c r="I739" s="30"/>
    </row>
    <row r="740" spans="4:9">
      <c r="D740" s="47"/>
      <c r="E740" s="143"/>
      <c r="H740" s="2"/>
      <c r="I740" s="30"/>
    </row>
    <row r="741" spans="4:9">
      <c r="D741" s="47"/>
      <c r="E741" s="143"/>
      <c r="H741" s="2"/>
      <c r="I741" s="30"/>
    </row>
    <row r="742" spans="4:9">
      <c r="D742" s="47"/>
      <c r="E742" s="143"/>
      <c r="H742" s="2"/>
      <c r="I742" s="30"/>
    </row>
    <row r="743" spans="4:9">
      <c r="D743" s="47"/>
      <c r="E743" s="143"/>
      <c r="H743" s="2"/>
      <c r="I743" s="30"/>
    </row>
    <row r="744" spans="4:9">
      <c r="D744" s="47"/>
      <c r="E744" s="143"/>
      <c r="H744" s="2"/>
      <c r="I744" s="30"/>
    </row>
    <row r="745" spans="4:9">
      <c r="D745" s="47"/>
      <c r="E745" s="143"/>
      <c r="H745" s="2"/>
      <c r="I745" s="30"/>
    </row>
    <row r="746" spans="4:9">
      <c r="D746" s="47"/>
      <c r="E746" s="143"/>
      <c r="H746" s="2"/>
      <c r="I746" s="30"/>
    </row>
    <row r="747" spans="4:9">
      <c r="D747" s="47"/>
      <c r="E747" s="143"/>
      <c r="H747" s="2"/>
      <c r="I747" s="30"/>
    </row>
    <row r="748" spans="4:9">
      <c r="D748" s="47"/>
      <c r="E748" s="143"/>
      <c r="H748" s="2"/>
      <c r="I748" s="30"/>
    </row>
    <row r="749" spans="4:9">
      <c r="D749" s="47"/>
      <c r="E749" s="143"/>
      <c r="H749" s="2"/>
      <c r="I749" s="30"/>
    </row>
    <row r="750" spans="4:9">
      <c r="D750" s="47"/>
      <c r="E750" s="143"/>
      <c r="H750" s="2"/>
      <c r="I750" s="30"/>
    </row>
    <row r="751" spans="4:9">
      <c r="D751" s="47"/>
      <c r="E751" s="143"/>
      <c r="H751" s="2"/>
      <c r="I751" s="30"/>
    </row>
    <row r="752" spans="4:9">
      <c r="D752" s="47"/>
      <c r="E752" s="143"/>
      <c r="H752" s="2"/>
      <c r="I752" s="30"/>
    </row>
    <row r="753" spans="4:9">
      <c r="D753" s="47"/>
      <c r="E753" s="143"/>
      <c r="H753" s="2"/>
      <c r="I753" s="30"/>
    </row>
    <row r="754" spans="4:9">
      <c r="D754" s="47"/>
      <c r="E754" s="143"/>
      <c r="H754" s="2"/>
      <c r="I754" s="30"/>
    </row>
    <row r="755" spans="4:9">
      <c r="D755" s="47"/>
      <c r="E755" s="143"/>
      <c r="H755" s="2"/>
      <c r="I755" s="30"/>
    </row>
    <row r="756" spans="4:9">
      <c r="D756" s="47"/>
      <c r="E756" s="143"/>
      <c r="H756" s="2"/>
      <c r="I756" s="30"/>
    </row>
    <row r="757" spans="4:9">
      <c r="D757" s="47"/>
      <c r="E757" s="143"/>
      <c r="H757" s="2"/>
      <c r="I757" s="30"/>
    </row>
    <row r="758" spans="4:9">
      <c r="D758" s="47"/>
      <c r="E758" s="143"/>
      <c r="H758" s="2"/>
      <c r="I758" s="30"/>
    </row>
    <row r="759" spans="4:9">
      <c r="D759" s="47"/>
      <c r="E759" s="143"/>
      <c r="H759" s="2"/>
      <c r="I759" s="30"/>
    </row>
    <row r="760" spans="4:9">
      <c r="D760" s="47"/>
      <c r="E760" s="143"/>
      <c r="H760" s="2"/>
      <c r="I760" s="30"/>
    </row>
    <row r="761" spans="4:9">
      <c r="D761" s="47"/>
      <c r="E761" s="143"/>
      <c r="H761" s="2"/>
      <c r="I761" s="30"/>
    </row>
    <row r="762" spans="4:9">
      <c r="D762" s="47"/>
      <c r="E762" s="143"/>
      <c r="H762" s="2"/>
      <c r="I762" s="30"/>
    </row>
    <row r="763" spans="4:9">
      <c r="D763" s="47"/>
      <c r="E763" s="143"/>
      <c r="H763" s="2"/>
      <c r="I763" s="30"/>
    </row>
    <row r="764" spans="4:9">
      <c r="D764" s="47"/>
      <c r="E764" s="143"/>
      <c r="H764" s="2"/>
      <c r="I764" s="30"/>
    </row>
    <row r="765" spans="4:9">
      <c r="D765" s="47"/>
      <c r="E765" s="143"/>
      <c r="H765" s="2"/>
      <c r="I765" s="30"/>
    </row>
    <row r="766" spans="4:9">
      <c r="D766" s="47"/>
      <c r="E766" s="143"/>
      <c r="H766" s="2"/>
      <c r="I766" s="30"/>
    </row>
    <row r="767" spans="4:9">
      <c r="D767" s="47"/>
      <c r="E767" s="143"/>
      <c r="H767" s="2"/>
      <c r="I767" s="30"/>
    </row>
    <row r="768" spans="4:9">
      <c r="D768" s="47"/>
      <c r="E768" s="143"/>
      <c r="H768" s="2"/>
      <c r="I768" s="30"/>
    </row>
    <row r="769" spans="4:9">
      <c r="D769" s="47"/>
      <c r="E769" s="143"/>
      <c r="H769" s="2"/>
      <c r="I769" s="30"/>
    </row>
    <row r="770" spans="4:9">
      <c r="D770" s="47"/>
      <c r="E770" s="143"/>
      <c r="H770" s="2"/>
      <c r="I770" s="30"/>
    </row>
    <row r="771" spans="4:9">
      <c r="D771" s="47"/>
      <c r="E771" s="143"/>
      <c r="H771" s="2"/>
      <c r="I771" s="30"/>
    </row>
    <row r="772" spans="4:9">
      <c r="D772" s="47"/>
      <c r="E772" s="143"/>
      <c r="H772" s="2"/>
      <c r="I772" s="30"/>
    </row>
    <row r="773" spans="4:9">
      <c r="D773" s="47"/>
      <c r="E773" s="143"/>
      <c r="H773" s="2"/>
      <c r="I773" s="30"/>
    </row>
    <row r="774" spans="4:9">
      <c r="D774" s="47"/>
      <c r="E774" s="143"/>
      <c r="H774" s="2"/>
      <c r="I774" s="30"/>
    </row>
    <row r="775" spans="4:9">
      <c r="D775" s="47"/>
      <c r="E775" s="143"/>
      <c r="H775" s="2"/>
      <c r="I775" s="30"/>
    </row>
    <row r="776" spans="4:9">
      <c r="D776" s="47"/>
      <c r="E776" s="143"/>
      <c r="H776" s="2"/>
      <c r="I776" s="30"/>
    </row>
    <row r="777" spans="4:9">
      <c r="D777" s="47"/>
      <c r="E777" s="143"/>
      <c r="H777" s="2"/>
      <c r="I777" s="30"/>
    </row>
    <row r="778" spans="4:9">
      <c r="D778" s="47"/>
      <c r="E778" s="143"/>
      <c r="H778" s="2"/>
      <c r="I778" s="30"/>
    </row>
    <row r="779" spans="4:9">
      <c r="D779" s="47"/>
      <c r="E779" s="143"/>
      <c r="H779" s="2"/>
      <c r="I779" s="30"/>
    </row>
    <row r="780" spans="4:9">
      <c r="D780" s="47"/>
      <c r="E780" s="143"/>
      <c r="H780" s="2"/>
      <c r="I780" s="30"/>
    </row>
    <row r="781" spans="4:9">
      <c r="D781" s="47"/>
      <c r="E781" s="143"/>
      <c r="H781" s="2"/>
      <c r="I781" s="30"/>
    </row>
    <row r="782" spans="4:9">
      <c r="D782" s="47"/>
      <c r="E782" s="143"/>
      <c r="H782" s="2"/>
      <c r="I782" s="30"/>
    </row>
    <row r="783" spans="4:9">
      <c r="D783" s="47"/>
      <c r="E783" s="143"/>
      <c r="H783" s="2"/>
      <c r="I783" s="30"/>
    </row>
    <row r="784" spans="4:9">
      <c r="D784" s="47"/>
      <c r="E784" s="143"/>
      <c r="H784" s="2"/>
      <c r="I784" s="30"/>
    </row>
    <row r="785" spans="4:9">
      <c r="D785" s="47"/>
      <c r="E785" s="143"/>
      <c r="H785" s="2"/>
      <c r="I785" s="30"/>
    </row>
    <row r="786" spans="4:9">
      <c r="D786" s="47"/>
      <c r="E786" s="143"/>
      <c r="H786" s="2"/>
      <c r="I786" s="30"/>
    </row>
    <row r="787" spans="4:9">
      <c r="D787" s="47"/>
      <c r="E787" s="143"/>
      <c r="H787" s="2"/>
      <c r="I787" s="30"/>
    </row>
    <row r="788" spans="4:9">
      <c r="D788" s="47"/>
      <c r="E788" s="143"/>
      <c r="H788" s="2"/>
      <c r="I788" s="30"/>
    </row>
    <row r="789" spans="4:9">
      <c r="D789" s="47"/>
      <c r="E789" s="143"/>
      <c r="H789" s="2"/>
      <c r="I789" s="30"/>
    </row>
    <row r="790" spans="4:9">
      <c r="D790" s="47"/>
      <c r="E790" s="143"/>
      <c r="H790" s="2"/>
      <c r="I790" s="30"/>
    </row>
    <row r="791" spans="4:9">
      <c r="D791" s="47"/>
      <c r="E791" s="143"/>
      <c r="H791" s="2"/>
      <c r="I791" s="30"/>
    </row>
    <row r="792" spans="4:9">
      <c r="D792" s="47"/>
      <c r="E792" s="143"/>
      <c r="H792" s="2"/>
      <c r="I792" s="30"/>
    </row>
    <row r="793" spans="4:9">
      <c r="D793" s="47"/>
      <c r="E793" s="143"/>
      <c r="H793" s="2"/>
      <c r="I793" s="30"/>
    </row>
    <row r="794" spans="4:9">
      <c r="D794" s="47"/>
      <c r="E794" s="143"/>
      <c r="H794" s="2"/>
      <c r="I794" s="30"/>
    </row>
    <row r="795" spans="4:9">
      <c r="D795" s="47"/>
      <c r="E795" s="143"/>
      <c r="H795" s="2"/>
      <c r="I795" s="30"/>
    </row>
    <row r="796" spans="4:9">
      <c r="D796" s="47"/>
      <c r="E796" s="143"/>
      <c r="H796" s="2"/>
      <c r="I796" s="30"/>
    </row>
    <row r="797" spans="4:9">
      <c r="D797" s="47"/>
      <c r="E797" s="143"/>
      <c r="H797" s="2"/>
      <c r="I797" s="30"/>
    </row>
    <row r="798" spans="4:9">
      <c r="D798" s="47"/>
      <c r="E798" s="143"/>
      <c r="H798" s="2"/>
      <c r="I798" s="30"/>
    </row>
    <row r="799" spans="4:9">
      <c r="D799" s="47"/>
      <c r="E799" s="143"/>
      <c r="H799" s="2"/>
      <c r="I799" s="30"/>
    </row>
    <row r="800" spans="4:9">
      <c r="D800" s="47"/>
      <c r="E800" s="143"/>
      <c r="H800" s="2"/>
      <c r="I800" s="30"/>
    </row>
    <row r="801" spans="4:9">
      <c r="D801" s="47"/>
      <c r="E801" s="143"/>
      <c r="H801" s="2"/>
      <c r="I801" s="30"/>
    </row>
    <row r="802" spans="4:9">
      <c r="D802" s="47"/>
      <c r="E802" s="143"/>
      <c r="H802" s="2"/>
      <c r="I802" s="30"/>
    </row>
    <row r="803" spans="4:9">
      <c r="D803" s="47"/>
      <c r="E803" s="143"/>
      <c r="H803" s="2"/>
      <c r="I803" s="30"/>
    </row>
    <row r="804" spans="4:9">
      <c r="D804" s="47"/>
      <c r="E804" s="143"/>
      <c r="H804" s="2"/>
      <c r="I804" s="30"/>
    </row>
    <row r="805" spans="4:9">
      <c r="D805" s="47"/>
      <c r="E805" s="143"/>
      <c r="H805" s="2"/>
      <c r="I805" s="30"/>
    </row>
    <row r="806" spans="4:9">
      <c r="D806" s="47"/>
      <c r="E806" s="143"/>
      <c r="H806" s="2"/>
      <c r="I806" s="30"/>
    </row>
    <row r="807" spans="4:9">
      <c r="D807" s="47"/>
      <c r="E807" s="143"/>
      <c r="H807" s="2"/>
      <c r="I807" s="30"/>
    </row>
    <row r="808" spans="4:9">
      <c r="D808" s="47"/>
      <c r="E808" s="143"/>
      <c r="H808" s="2"/>
      <c r="I808" s="30"/>
    </row>
    <row r="809" spans="4:9">
      <c r="D809" s="47"/>
      <c r="E809" s="143"/>
      <c r="H809" s="2"/>
      <c r="I809" s="30"/>
    </row>
    <row r="810" spans="4:9">
      <c r="D810" s="47"/>
      <c r="E810" s="143"/>
      <c r="H810" s="2"/>
      <c r="I810" s="30"/>
    </row>
    <row r="811" spans="4:9">
      <c r="D811" s="47"/>
      <c r="E811" s="143"/>
      <c r="H811" s="2"/>
      <c r="I811" s="30"/>
    </row>
    <row r="812" spans="4:9">
      <c r="D812" s="47"/>
      <c r="E812" s="143"/>
      <c r="H812" s="2"/>
      <c r="I812" s="30"/>
    </row>
    <row r="813" spans="4:9">
      <c r="D813" s="47"/>
      <c r="E813" s="143"/>
      <c r="H813" s="2"/>
      <c r="I813" s="30"/>
    </row>
    <row r="814" spans="4:9">
      <c r="D814" s="47"/>
      <c r="E814" s="143"/>
      <c r="H814" s="2"/>
      <c r="I814" s="30"/>
    </row>
    <row r="815" spans="4:9">
      <c r="D815" s="47"/>
      <c r="E815" s="143"/>
      <c r="H815" s="2"/>
      <c r="I815" s="30"/>
    </row>
    <row r="816" spans="4:9">
      <c r="D816" s="47"/>
      <c r="E816" s="143"/>
      <c r="H816" s="2"/>
      <c r="I816" s="30"/>
    </row>
    <row r="817" spans="4:9">
      <c r="D817" s="47"/>
      <c r="E817" s="143"/>
      <c r="H817" s="2"/>
      <c r="I817" s="30"/>
    </row>
    <row r="818" spans="4:9">
      <c r="D818" s="47"/>
      <c r="E818" s="143"/>
      <c r="H818" s="2"/>
      <c r="I818" s="30"/>
    </row>
    <row r="819" spans="4:9">
      <c r="D819" s="47"/>
      <c r="E819" s="143"/>
      <c r="H819" s="2"/>
      <c r="I819" s="30"/>
    </row>
    <row r="820" spans="4:9">
      <c r="D820" s="47"/>
      <c r="E820" s="143"/>
      <c r="H820" s="2"/>
      <c r="I820" s="30"/>
    </row>
    <row r="821" spans="4:9">
      <c r="D821" s="47"/>
      <c r="E821" s="143"/>
      <c r="H821" s="2"/>
      <c r="I821" s="30"/>
    </row>
    <row r="822" spans="4:9">
      <c r="D822" s="47"/>
      <c r="E822" s="143"/>
      <c r="H822" s="2"/>
      <c r="I822" s="30"/>
    </row>
    <row r="823" spans="4:9">
      <c r="D823" s="47"/>
      <c r="E823" s="143"/>
      <c r="H823" s="2"/>
      <c r="I823" s="30"/>
    </row>
    <row r="824" spans="4:9">
      <c r="D824" s="47"/>
      <c r="E824" s="143"/>
      <c r="H824" s="2"/>
      <c r="I824" s="30"/>
    </row>
    <row r="825" spans="4:9">
      <c r="D825" s="47"/>
      <c r="E825" s="143"/>
      <c r="H825" s="2"/>
      <c r="I825" s="30"/>
    </row>
    <row r="826" spans="4:9">
      <c r="D826" s="47"/>
      <c r="E826" s="143"/>
      <c r="H826" s="2"/>
      <c r="I826" s="30"/>
    </row>
    <row r="827" spans="4:9">
      <c r="D827" s="47"/>
      <c r="E827" s="143"/>
      <c r="H827" s="2"/>
      <c r="I827" s="30"/>
    </row>
    <row r="828" spans="4:9">
      <c r="D828" s="47"/>
      <c r="E828" s="143"/>
      <c r="H828" s="2"/>
      <c r="I828" s="30"/>
    </row>
    <row r="829" spans="4:9">
      <c r="D829" s="47"/>
      <c r="E829" s="143"/>
      <c r="H829" s="2"/>
      <c r="I829" s="30"/>
    </row>
    <row r="830" spans="4:9">
      <c r="D830" s="47"/>
      <c r="E830" s="143"/>
      <c r="H830" s="2"/>
      <c r="I830" s="30"/>
    </row>
    <row r="831" spans="4:9">
      <c r="D831" s="47"/>
      <c r="E831" s="143"/>
      <c r="H831" s="2"/>
      <c r="I831" s="30"/>
    </row>
    <row r="832" spans="4:9">
      <c r="D832" s="47"/>
      <c r="E832" s="143"/>
      <c r="H832" s="2"/>
      <c r="I832" s="30"/>
    </row>
    <row r="833" spans="4:9">
      <c r="D833" s="47"/>
      <c r="E833" s="143"/>
      <c r="H833" s="2"/>
      <c r="I833" s="30"/>
    </row>
    <row r="834" spans="4:9">
      <c r="D834" s="47"/>
      <c r="E834" s="143"/>
      <c r="H834" s="2"/>
      <c r="I834" s="30"/>
    </row>
    <row r="835" spans="4:9">
      <c r="D835" s="47"/>
      <c r="E835" s="143"/>
      <c r="H835" s="2"/>
      <c r="I835" s="30"/>
    </row>
    <row r="836" spans="4:9">
      <c r="D836" s="47"/>
      <c r="E836" s="143"/>
      <c r="H836" s="2"/>
      <c r="I836" s="30"/>
    </row>
    <row r="837" spans="4:9">
      <c r="D837" s="47"/>
      <c r="E837" s="143"/>
      <c r="H837" s="2"/>
      <c r="I837" s="30"/>
    </row>
    <row r="838" spans="4:9">
      <c r="D838" s="47"/>
      <c r="E838" s="143"/>
      <c r="H838" s="2"/>
      <c r="I838" s="30"/>
    </row>
    <row r="839" spans="4:9">
      <c r="D839" s="47"/>
      <c r="E839" s="143"/>
      <c r="H839" s="2"/>
      <c r="I839" s="30"/>
    </row>
    <row r="840" spans="4:9">
      <c r="D840" s="47"/>
      <c r="E840" s="143"/>
      <c r="H840" s="2"/>
      <c r="I840" s="30"/>
    </row>
    <row r="841" spans="4:9">
      <c r="D841" s="47"/>
      <c r="E841" s="143"/>
      <c r="H841" s="2"/>
      <c r="I841" s="30"/>
    </row>
    <row r="842" spans="4:9">
      <c r="D842" s="47"/>
      <c r="E842" s="143"/>
      <c r="H842" s="2"/>
      <c r="I842" s="30"/>
    </row>
    <row r="843" spans="4:9">
      <c r="D843" s="47"/>
      <c r="E843" s="143"/>
      <c r="H843" s="2"/>
      <c r="I843" s="30"/>
    </row>
    <row r="844" spans="4:9">
      <c r="D844" s="47"/>
      <c r="E844" s="143"/>
      <c r="H844" s="2"/>
      <c r="I844" s="30"/>
    </row>
    <row r="845" spans="4:9">
      <c r="D845" s="47"/>
      <c r="E845" s="143"/>
      <c r="H845" s="2"/>
      <c r="I845" s="30"/>
    </row>
    <row r="846" spans="4:9">
      <c r="D846" s="47"/>
      <c r="E846" s="143"/>
      <c r="H846" s="2"/>
      <c r="I846" s="30"/>
    </row>
    <row r="847" spans="4:9">
      <c r="D847" s="47"/>
      <c r="E847" s="143"/>
      <c r="H847" s="2"/>
      <c r="I847" s="30"/>
    </row>
    <row r="848" spans="4:9">
      <c r="D848" s="47"/>
      <c r="E848" s="143"/>
      <c r="H848" s="2"/>
      <c r="I848" s="30"/>
    </row>
    <row r="849" spans="4:9">
      <c r="D849" s="47"/>
      <c r="E849" s="143"/>
      <c r="H849" s="2"/>
      <c r="I849" s="30"/>
    </row>
    <row r="850" spans="4:9">
      <c r="D850" s="47"/>
      <c r="E850" s="143"/>
      <c r="H850" s="2"/>
      <c r="I850" s="30"/>
    </row>
    <row r="851" spans="4:9">
      <c r="D851" s="47"/>
      <c r="E851" s="143"/>
      <c r="H851" s="2"/>
      <c r="I851" s="30"/>
    </row>
    <row r="852" spans="4:9">
      <c r="D852" s="47"/>
      <c r="E852" s="143"/>
      <c r="H852" s="2"/>
      <c r="I852" s="30"/>
    </row>
    <row r="853" spans="4:9">
      <c r="D853" s="47"/>
      <c r="E853" s="143"/>
      <c r="H853" s="2"/>
      <c r="I853" s="30"/>
    </row>
    <row r="854" spans="4:9">
      <c r="D854" s="47"/>
      <c r="E854" s="143"/>
      <c r="H854" s="2"/>
      <c r="I854" s="30"/>
    </row>
    <row r="855" spans="4:9">
      <c r="D855" s="47"/>
      <c r="E855" s="143"/>
      <c r="H855" s="2"/>
      <c r="I855" s="30"/>
    </row>
    <row r="856" spans="4:9">
      <c r="D856" s="47"/>
      <c r="E856" s="143"/>
      <c r="H856" s="2"/>
      <c r="I856" s="30"/>
    </row>
    <row r="857" spans="4:9">
      <c r="D857" s="47"/>
      <c r="E857" s="143"/>
      <c r="H857" s="2"/>
      <c r="I857" s="30"/>
    </row>
    <row r="858" spans="4:9">
      <c r="D858" s="47"/>
      <c r="E858" s="143"/>
      <c r="H858" s="2"/>
      <c r="I858" s="30"/>
    </row>
    <row r="859" spans="4:9">
      <c r="D859" s="47"/>
      <c r="E859" s="143"/>
      <c r="H859" s="2"/>
      <c r="I859" s="30"/>
    </row>
    <row r="860" spans="4:9">
      <c r="D860" s="47"/>
      <c r="E860" s="143"/>
      <c r="H860" s="2"/>
      <c r="I860" s="30"/>
    </row>
    <row r="861" spans="4:9">
      <c r="D861" s="47"/>
      <c r="E861" s="143"/>
      <c r="H861" s="2"/>
      <c r="I861" s="30"/>
    </row>
    <row r="862" spans="4:9">
      <c r="D862" s="47"/>
      <c r="E862" s="143"/>
      <c r="H862" s="2"/>
      <c r="I862" s="30"/>
    </row>
    <row r="863" spans="4:9">
      <c r="D863" s="47"/>
      <c r="E863" s="143"/>
      <c r="H863" s="2"/>
      <c r="I863" s="30"/>
    </row>
    <row r="864" spans="4:9">
      <c r="D864" s="47"/>
      <c r="E864" s="143"/>
      <c r="H864" s="2"/>
      <c r="I864" s="30"/>
    </row>
    <row r="865" spans="4:9">
      <c r="D865" s="47"/>
      <c r="E865" s="143"/>
      <c r="H865" s="2"/>
      <c r="I865" s="30"/>
    </row>
    <row r="866" spans="4:9">
      <c r="D866" s="47"/>
      <c r="E866" s="143"/>
      <c r="H866" s="2"/>
      <c r="I866" s="30"/>
    </row>
    <row r="867" spans="4:9">
      <c r="D867" s="47"/>
      <c r="E867" s="143"/>
      <c r="H867" s="2"/>
      <c r="I867" s="30"/>
    </row>
    <row r="868" spans="4:9">
      <c r="D868" s="47"/>
      <c r="E868" s="143"/>
      <c r="H868" s="2"/>
      <c r="I868" s="30"/>
    </row>
    <row r="869" spans="4:9">
      <c r="D869" s="47"/>
      <c r="E869" s="143"/>
      <c r="H869" s="2"/>
      <c r="I869" s="30"/>
    </row>
    <row r="870" spans="4:9">
      <c r="D870" s="47"/>
      <c r="E870" s="143"/>
      <c r="H870" s="2"/>
      <c r="I870" s="30"/>
    </row>
    <row r="871" spans="4:9">
      <c r="D871" s="47"/>
      <c r="E871" s="143"/>
      <c r="H871" s="2"/>
      <c r="I871" s="30"/>
    </row>
    <row r="872" spans="4:9">
      <c r="D872" s="47"/>
      <c r="E872" s="143"/>
      <c r="H872" s="2"/>
      <c r="I872" s="30"/>
    </row>
    <row r="873" spans="4:9">
      <c r="D873" s="47"/>
      <c r="E873" s="143"/>
      <c r="H873" s="2"/>
      <c r="I873" s="30"/>
    </row>
    <row r="874" spans="4:9">
      <c r="D874" s="47"/>
      <c r="E874" s="143"/>
      <c r="H874" s="2"/>
      <c r="I874" s="30"/>
    </row>
    <row r="875" spans="4:9">
      <c r="D875" s="47"/>
      <c r="E875" s="143"/>
      <c r="H875" s="2"/>
      <c r="I875" s="30"/>
    </row>
    <row r="876" spans="4:9">
      <c r="D876" s="47"/>
      <c r="E876" s="143"/>
      <c r="H876" s="2"/>
      <c r="I876" s="30"/>
    </row>
    <row r="877" spans="4:9">
      <c r="D877" s="47"/>
      <c r="E877" s="143"/>
      <c r="H877" s="2"/>
      <c r="I877" s="30"/>
    </row>
    <row r="878" spans="4:9">
      <c r="D878" s="47"/>
      <c r="E878" s="143"/>
      <c r="H878" s="2"/>
      <c r="I878" s="30"/>
    </row>
    <row r="879" spans="4:9">
      <c r="D879" s="47"/>
      <c r="E879" s="143"/>
      <c r="H879" s="2"/>
      <c r="I879" s="30"/>
    </row>
    <row r="880" spans="4:9">
      <c r="D880" s="47"/>
      <c r="E880" s="143"/>
      <c r="H880" s="2"/>
      <c r="I880" s="30"/>
    </row>
    <row r="881" spans="4:9">
      <c r="D881" s="47"/>
      <c r="E881" s="143"/>
      <c r="H881" s="2"/>
      <c r="I881" s="30"/>
    </row>
    <row r="882" spans="4:9">
      <c r="D882" s="47"/>
      <c r="E882" s="143"/>
      <c r="H882" s="2"/>
      <c r="I882" s="30"/>
    </row>
    <row r="883" spans="4:9">
      <c r="D883" s="47"/>
      <c r="E883" s="143"/>
      <c r="H883" s="2"/>
      <c r="I883" s="30"/>
    </row>
    <row r="884" spans="4:9">
      <c r="D884" s="47"/>
      <c r="E884" s="143"/>
      <c r="H884" s="2"/>
      <c r="I884" s="30"/>
    </row>
    <row r="885" spans="4:9">
      <c r="D885" s="47"/>
      <c r="E885" s="143"/>
      <c r="H885" s="2"/>
      <c r="I885" s="30"/>
    </row>
    <row r="886" spans="4:9">
      <c r="D886" s="47"/>
      <c r="E886" s="143"/>
      <c r="H886" s="2"/>
      <c r="I886" s="30"/>
    </row>
    <row r="887" spans="4:9">
      <c r="D887" s="47"/>
      <c r="E887" s="143"/>
      <c r="H887" s="2"/>
      <c r="I887" s="30"/>
    </row>
    <row r="888" spans="4:9">
      <c r="D888" s="47"/>
      <c r="E888" s="143"/>
      <c r="H888" s="2"/>
      <c r="I888" s="30"/>
    </row>
    <row r="889" spans="4:9">
      <c r="D889" s="47"/>
      <c r="E889" s="143"/>
      <c r="H889" s="2"/>
      <c r="I889" s="30"/>
    </row>
    <row r="890" spans="4:9">
      <c r="D890" s="47"/>
      <c r="E890" s="143"/>
      <c r="H890" s="2"/>
      <c r="I890" s="30"/>
    </row>
    <row r="891" spans="4:9">
      <c r="D891" s="47"/>
      <c r="E891" s="143"/>
      <c r="H891" s="2"/>
      <c r="I891" s="30"/>
    </row>
    <row r="892" spans="4:9">
      <c r="D892" s="47"/>
      <c r="E892" s="143"/>
      <c r="H892" s="2"/>
      <c r="I892" s="30"/>
    </row>
    <row r="893" spans="4:9">
      <c r="D893" s="47"/>
      <c r="E893" s="143"/>
      <c r="H893" s="2"/>
      <c r="I893" s="30"/>
    </row>
    <row r="894" spans="4:9">
      <c r="D894" s="47"/>
      <c r="E894" s="143"/>
      <c r="H894" s="2"/>
      <c r="I894" s="30"/>
    </row>
    <row r="895" spans="4:9">
      <c r="D895" s="47"/>
      <c r="E895" s="143"/>
      <c r="H895" s="2"/>
      <c r="I895" s="30"/>
    </row>
    <row r="896" spans="4:9">
      <c r="D896" s="47"/>
      <c r="E896" s="143"/>
      <c r="H896" s="2"/>
      <c r="I896" s="30"/>
    </row>
    <row r="897" spans="4:9">
      <c r="D897" s="47"/>
      <c r="E897" s="143"/>
      <c r="H897" s="2"/>
      <c r="I897" s="30"/>
    </row>
    <row r="898" spans="4:9">
      <c r="D898" s="47"/>
      <c r="E898" s="143"/>
      <c r="H898" s="2"/>
      <c r="I898" s="30"/>
    </row>
    <row r="899" spans="4:9">
      <c r="D899" s="47"/>
      <c r="E899" s="143"/>
      <c r="H899" s="2"/>
      <c r="I899" s="30"/>
    </row>
    <row r="900" spans="4:9">
      <c r="D900" s="47"/>
      <c r="E900" s="143"/>
      <c r="H900" s="2"/>
      <c r="I900" s="30"/>
    </row>
    <row r="901" spans="4:9">
      <c r="D901" s="47"/>
      <c r="E901" s="143"/>
      <c r="H901" s="2"/>
      <c r="I901" s="30"/>
    </row>
    <row r="902" spans="4:9">
      <c r="D902" s="47"/>
      <c r="E902" s="143"/>
      <c r="H902" s="2"/>
      <c r="I902" s="30"/>
    </row>
    <row r="903" spans="4:9">
      <c r="D903" s="47"/>
      <c r="E903" s="143"/>
      <c r="H903" s="2"/>
      <c r="I903" s="30"/>
    </row>
    <row r="904" spans="4:9">
      <c r="D904" s="47"/>
      <c r="E904" s="143"/>
      <c r="H904" s="2"/>
      <c r="I904" s="30"/>
    </row>
    <row r="905" spans="4:9">
      <c r="D905" s="47"/>
      <c r="E905" s="143"/>
      <c r="H905" s="2"/>
      <c r="I905" s="30"/>
    </row>
    <row r="906" spans="4:9">
      <c r="D906" s="47"/>
      <c r="E906" s="143"/>
      <c r="H906" s="2"/>
      <c r="I906" s="30"/>
    </row>
    <row r="907" spans="4:9">
      <c r="D907" s="47"/>
      <c r="E907" s="143"/>
      <c r="H907" s="2"/>
      <c r="I907" s="30"/>
    </row>
    <row r="908" spans="4:9">
      <c r="D908" s="47"/>
      <c r="E908" s="143"/>
      <c r="H908" s="2"/>
      <c r="I908" s="30"/>
    </row>
    <row r="909" spans="4:9">
      <c r="D909" s="47"/>
      <c r="E909" s="143"/>
      <c r="H909" s="2"/>
      <c r="I909" s="30"/>
    </row>
    <row r="910" spans="4:9">
      <c r="D910" s="47"/>
      <c r="E910" s="143"/>
      <c r="H910" s="2"/>
      <c r="I910" s="30"/>
    </row>
    <row r="911" spans="4:9">
      <c r="D911" s="47"/>
      <c r="E911" s="143"/>
      <c r="H911" s="2"/>
      <c r="I911" s="30"/>
    </row>
    <row r="912" spans="4:9">
      <c r="D912" s="47"/>
      <c r="E912" s="143"/>
      <c r="H912" s="2"/>
      <c r="I912" s="30"/>
    </row>
    <row r="913" spans="4:9">
      <c r="D913" s="47"/>
      <c r="E913" s="143"/>
      <c r="H913" s="2"/>
      <c r="I913" s="30"/>
    </row>
    <row r="914" spans="4:9">
      <c r="D914" s="47"/>
      <c r="E914" s="143"/>
      <c r="H914" s="2"/>
      <c r="I914" s="30"/>
    </row>
    <row r="915" spans="4:9">
      <c r="D915" s="47"/>
      <c r="E915" s="143"/>
      <c r="H915" s="2"/>
      <c r="I915" s="30"/>
    </row>
    <row r="916" spans="4:9">
      <c r="D916" s="47"/>
      <c r="E916" s="143"/>
      <c r="H916" s="2"/>
      <c r="I916" s="30"/>
    </row>
    <row r="917" spans="4:9">
      <c r="D917" s="47"/>
      <c r="E917" s="143"/>
      <c r="H917" s="2"/>
      <c r="I917" s="30"/>
    </row>
    <row r="918" spans="4:9">
      <c r="D918" s="47"/>
      <c r="E918" s="143"/>
      <c r="H918" s="2"/>
      <c r="I918" s="30"/>
    </row>
    <row r="919" spans="4:9">
      <c r="D919" s="47"/>
      <c r="E919" s="143"/>
      <c r="H919" s="2"/>
      <c r="I919" s="30"/>
    </row>
    <row r="920" spans="4:9">
      <c r="D920" s="47"/>
      <c r="E920" s="143"/>
      <c r="H920" s="2"/>
      <c r="I920" s="30"/>
    </row>
    <row r="921" spans="4:9">
      <c r="D921" s="47"/>
      <c r="E921" s="143"/>
      <c r="H921" s="2"/>
      <c r="I921" s="30"/>
    </row>
    <row r="922" spans="4:9">
      <c r="D922" s="47"/>
      <c r="E922" s="143"/>
      <c r="H922" s="2"/>
      <c r="I922" s="30"/>
    </row>
    <row r="923" spans="4:9">
      <c r="D923" s="47"/>
      <c r="E923" s="143"/>
      <c r="H923" s="2"/>
      <c r="I923" s="30"/>
    </row>
    <row r="924" spans="4:9">
      <c r="D924" s="47"/>
      <c r="E924" s="143"/>
      <c r="H924" s="2"/>
      <c r="I924" s="30"/>
    </row>
    <row r="925" spans="4:9">
      <c r="D925" s="47"/>
      <c r="E925" s="143"/>
      <c r="H925" s="2"/>
      <c r="I925" s="30"/>
    </row>
    <row r="926" spans="4:9">
      <c r="D926" s="47"/>
      <c r="E926" s="143"/>
      <c r="H926" s="2"/>
      <c r="I926" s="30"/>
    </row>
    <row r="927" spans="4:9">
      <c r="D927" s="47"/>
      <c r="E927" s="143"/>
      <c r="H927" s="2"/>
      <c r="I927" s="30"/>
    </row>
    <row r="928" spans="4:9">
      <c r="D928" s="47"/>
      <c r="E928" s="143"/>
      <c r="H928" s="2"/>
      <c r="I928" s="30"/>
    </row>
    <row r="929" spans="4:9">
      <c r="D929" s="47"/>
      <c r="E929" s="143"/>
      <c r="H929" s="2"/>
      <c r="I929" s="30"/>
    </row>
    <row r="930" spans="4:9">
      <c r="D930" s="47"/>
      <c r="E930" s="143"/>
      <c r="H930" s="2"/>
      <c r="I930" s="30"/>
    </row>
    <row r="931" spans="4:9">
      <c r="D931" s="47"/>
      <c r="E931" s="143"/>
      <c r="H931" s="2"/>
      <c r="I931" s="30"/>
    </row>
    <row r="932" spans="4:9">
      <c r="D932" s="47"/>
      <c r="E932" s="143"/>
      <c r="H932" s="2"/>
      <c r="I932" s="30"/>
    </row>
    <row r="933" spans="4:9">
      <c r="D933" s="47"/>
      <c r="E933" s="143"/>
      <c r="H933" s="2"/>
      <c r="I933" s="30"/>
    </row>
    <row r="934" spans="4:9">
      <c r="D934" s="47"/>
      <c r="E934" s="143"/>
      <c r="H934" s="2"/>
      <c r="I934" s="30"/>
    </row>
    <row r="935" spans="4:9">
      <c r="D935" s="47"/>
      <c r="E935" s="143"/>
      <c r="H935" s="2"/>
      <c r="I935" s="30"/>
    </row>
    <row r="936" spans="4:9">
      <c r="D936" s="47"/>
      <c r="E936" s="143"/>
      <c r="H936" s="2"/>
      <c r="I936" s="30"/>
    </row>
    <row r="937" spans="4:9">
      <c r="D937" s="47"/>
      <c r="E937" s="143"/>
      <c r="H937" s="2"/>
      <c r="I937" s="30"/>
    </row>
    <row r="938" spans="4:9">
      <c r="D938" s="47"/>
      <c r="E938" s="143"/>
      <c r="H938" s="2"/>
      <c r="I938" s="30"/>
    </row>
    <row r="939" spans="4:9">
      <c r="D939" s="47"/>
      <c r="E939" s="143"/>
      <c r="H939" s="2"/>
      <c r="I939" s="30"/>
    </row>
    <row r="940" spans="4:9">
      <c r="D940" s="47"/>
      <c r="E940" s="143"/>
      <c r="H940" s="2"/>
      <c r="I940" s="30"/>
    </row>
    <row r="941" spans="4:9">
      <c r="D941" s="47"/>
      <c r="E941" s="143"/>
      <c r="H941" s="2"/>
      <c r="I941" s="30"/>
    </row>
    <row r="942" spans="4:9">
      <c r="D942" s="47"/>
      <c r="E942" s="143"/>
      <c r="H942" s="2"/>
      <c r="I942" s="30"/>
    </row>
    <row r="943" spans="4:9">
      <c r="D943" s="47"/>
      <c r="E943" s="143"/>
      <c r="H943" s="2"/>
      <c r="I943" s="30"/>
    </row>
    <row r="944" spans="4:9">
      <c r="D944" s="47"/>
      <c r="E944" s="143"/>
      <c r="H944" s="2"/>
      <c r="I944" s="30"/>
    </row>
    <row r="945" spans="4:9">
      <c r="D945" s="47"/>
      <c r="E945" s="143"/>
      <c r="H945" s="2"/>
      <c r="I945" s="30"/>
    </row>
    <row r="946" spans="4:9">
      <c r="D946" s="47"/>
      <c r="E946" s="143"/>
      <c r="H946" s="2"/>
      <c r="I946" s="30"/>
    </row>
    <row r="947" spans="4:9">
      <c r="D947" s="47"/>
      <c r="E947" s="143"/>
      <c r="H947" s="2"/>
      <c r="I947" s="30"/>
    </row>
    <row r="948" spans="4:9">
      <c r="D948" s="47"/>
      <c r="E948" s="143"/>
      <c r="H948" s="2"/>
      <c r="I948" s="30"/>
    </row>
    <row r="949" spans="4:9">
      <c r="D949" s="47"/>
      <c r="E949" s="143"/>
      <c r="H949" s="2"/>
      <c r="I949" s="30"/>
    </row>
    <row r="950" spans="4:9">
      <c r="D950" s="47"/>
      <c r="E950" s="143"/>
      <c r="H950" s="2"/>
      <c r="I950" s="30"/>
    </row>
    <row r="951" spans="4:9">
      <c r="D951" s="47"/>
      <c r="E951" s="143"/>
      <c r="H951" s="2"/>
      <c r="I951" s="30"/>
    </row>
    <row r="952" spans="4:9">
      <c r="D952" s="47"/>
      <c r="E952" s="143"/>
      <c r="H952" s="2"/>
      <c r="I952" s="30"/>
    </row>
    <row r="953" spans="4:9">
      <c r="D953" s="47"/>
      <c r="E953" s="143"/>
      <c r="H953" s="2"/>
      <c r="I953" s="30"/>
    </row>
    <row r="954" spans="4:9">
      <c r="D954" s="47"/>
      <c r="E954" s="143"/>
      <c r="H954" s="2"/>
      <c r="I954" s="30"/>
    </row>
    <row r="955" spans="4:9">
      <c r="D955" s="47"/>
      <c r="E955" s="143"/>
      <c r="H955" s="2"/>
      <c r="I955" s="30"/>
    </row>
    <row r="956" spans="4:9">
      <c r="D956" s="47"/>
      <c r="E956" s="143"/>
      <c r="H956" s="2"/>
      <c r="I956" s="30"/>
    </row>
    <row r="957" spans="4:9">
      <c r="D957" s="47"/>
      <c r="E957" s="143"/>
      <c r="H957" s="2"/>
      <c r="I957" s="30"/>
    </row>
    <row r="958" spans="4:9">
      <c r="D958" s="47"/>
      <c r="E958" s="143"/>
      <c r="H958" s="2"/>
      <c r="I958" s="30"/>
    </row>
    <row r="959" spans="4:9">
      <c r="D959" s="47"/>
      <c r="E959" s="143"/>
      <c r="H959" s="2"/>
      <c r="I959" s="30"/>
    </row>
    <row r="960" spans="4:9">
      <c r="D960" s="47"/>
      <c r="E960" s="143"/>
      <c r="H960" s="2"/>
      <c r="I960" s="30"/>
    </row>
    <row r="961" spans="4:15">
      <c r="D961" s="47"/>
      <c r="E961" s="143"/>
      <c r="H961" s="2"/>
      <c r="I961" s="30"/>
    </row>
    <row r="962" spans="4:15">
      <c r="D962" s="47"/>
      <c r="E962" s="143"/>
      <c r="H962" s="2"/>
      <c r="I962" s="30"/>
    </row>
    <row r="963" spans="4:15">
      <c r="D963" s="47"/>
      <c r="E963" s="143"/>
      <c r="H963" s="2"/>
      <c r="I963" s="30"/>
    </row>
    <row r="964" spans="4:15">
      <c r="D964" s="47"/>
      <c r="E964" s="143"/>
      <c r="H964" s="2"/>
      <c r="I964" s="30"/>
    </row>
    <row r="965" spans="4:15">
      <c r="D965" s="47"/>
      <c r="E965" s="143"/>
      <c r="H965" s="2"/>
      <c r="I965" s="30"/>
    </row>
    <row r="966" spans="4:15">
      <c r="D966" s="47"/>
      <c r="E966" s="143"/>
      <c r="H966" s="2"/>
      <c r="I966" s="30"/>
    </row>
    <row r="967" spans="4:15">
      <c r="D967" s="47"/>
      <c r="E967" s="143"/>
      <c r="H967" s="2"/>
      <c r="I967" s="30"/>
    </row>
    <row r="968" spans="4:15">
      <c r="D968" s="47"/>
      <c r="E968" s="143"/>
      <c r="H968" s="2"/>
      <c r="I968" s="30"/>
    </row>
    <row r="969" spans="4:15">
      <c r="D969" s="47"/>
      <c r="E969" s="143"/>
      <c r="H969" s="2"/>
      <c r="I969" s="30"/>
    </row>
    <row r="970" spans="4:15">
      <c r="D970" s="47"/>
      <c r="E970" s="143"/>
      <c r="H970" s="2"/>
      <c r="I970" s="30"/>
    </row>
    <row r="971" spans="4:15">
      <c r="D971" s="47"/>
      <c r="E971" s="143"/>
      <c r="H971" s="2"/>
      <c r="I971" s="30"/>
    </row>
    <row r="972" spans="4:15">
      <c r="K972" s="143"/>
      <c r="N972" s="2"/>
      <c r="O972" s="30"/>
    </row>
    <row r="973" spans="4:15">
      <c r="K973" s="143"/>
      <c r="N973" s="2"/>
      <c r="O973" s="30"/>
    </row>
    <row r="974" spans="4:15">
      <c r="K974" s="143"/>
      <c r="N974" s="2"/>
      <c r="O974" s="30"/>
    </row>
    <row r="975" spans="4:15">
      <c r="K975" s="143"/>
      <c r="N975" s="2"/>
      <c r="O975" s="30"/>
    </row>
    <row r="976" spans="4:15">
      <c r="K976" s="143"/>
      <c r="N976" s="2"/>
      <c r="O976" s="30"/>
    </row>
    <row r="977" spans="11:15">
      <c r="K977" s="143"/>
      <c r="N977" s="2"/>
      <c r="O977" s="30"/>
    </row>
    <row r="978" spans="11:15">
      <c r="K978" s="143"/>
      <c r="N978" s="2"/>
      <c r="O978" s="30"/>
    </row>
    <row r="979" spans="11:15">
      <c r="K979" s="143"/>
      <c r="N979" s="2"/>
      <c r="O979" s="30"/>
    </row>
    <row r="980" spans="11:15">
      <c r="K980" s="143"/>
      <c r="N980" s="2"/>
      <c r="O980" s="30"/>
    </row>
    <row r="981" spans="11:15">
      <c r="K981" s="143"/>
      <c r="N981" s="2"/>
      <c r="O981" s="30"/>
    </row>
    <row r="982" spans="11:15">
      <c r="K982" s="143"/>
      <c r="N982" s="2"/>
      <c r="O982" s="30"/>
    </row>
    <row r="983" spans="11:15">
      <c r="K983" s="143"/>
      <c r="N983" s="2"/>
      <c r="O983" s="30"/>
    </row>
    <row r="984" spans="11:15">
      <c r="K984" s="143"/>
      <c r="N984" s="2"/>
      <c r="O984" s="30"/>
    </row>
    <row r="985" spans="11:15">
      <c r="K985" s="143"/>
      <c r="N985" s="2"/>
      <c r="O985" s="30"/>
    </row>
    <row r="986" spans="11:15">
      <c r="K986" s="143"/>
      <c r="N986" s="2"/>
      <c r="O986" s="30"/>
    </row>
    <row r="987" spans="11:15">
      <c r="K987" s="143"/>
      <c r="N987" s="2"/>
      <c r="O987" s="30"/>
    </row>
    <row r="988" spans="11:15">
      <c r="K988" s="143"/>
      <c r="N988" s="2"/>
      <c r="O988" s="30"/>
    </row>
    <row r="989" spans="11:15">
      <c r="K989" s="143"/>
      <c r="N989" s="2"/>
      <c r="O989" s="30"/>
    </row>
    <row r="990" spans="11:15">
      <c r="K990" s="143"/>
      <c r="N990" s="2"/>
      <c r="O990" s="30"/>
    </row>
    <row r="991" spans="11:15">
      <c r="K991" s="143"/>
      <c r="N991" s="2"/>
      <c r="O991" s="30"/>
    </row>
    <row r="992" spans="11:15">
      <c r="K992" s="143"/>
      <c r="N992" s="2"/>
      <c r="O992" s="30"/>
    </row>
    <row r="993" spans="11:15">
      <c r="K993" s="143"/>
      <c r="N993" s="2"/>
      <c r="O993" s="30"/>
    </row>
  </sheetData>
  <dataValidations count="1">
    <dataValidation type="list" allowBlank="1" showErrorMessage="1" sqref="W3:W5" xr:uid="{641B2B57-E21F-4900-825E-194CAE13C4C2}">
      <formula1>"Open,Inprogress,Closed"</formula1>
    </dataValidation>
  </dataValidations>
  <hyperlinks>
    <hyperlink ref="M3" r:id="rId1" xr:uid="{BB635A9F-7174-4639-BA5F-B53EEA1DA3EC}"/>
  </hyperlinks>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3B2BB-C53A-49BA-A38A-2E3B6F7C9644}">
  <dimension ref="A1:Q10"/>
  <sheetViews>
    <sheetView workbookViewId="0">
      <selection activeCell="E2" sqref="E2:J2"/>
    </sheetView>
  </sheetViews>
  <sheetFormatPr defaultRowHeight="12.75"/>
  <cols>
    <col min="2" max="2" width="16.7109375" customWidth="1"/>
    <col min="3" max="3" width="14" customWidth="1"/>
    <col min="4" max="4" width="15.140625" customWidth="1"/>
    <col min="5" max="5" width="16.85546875" customWidth="1"/>
    <col min="6" max="6" width="48.7109375" customWidth="1"/>
    <col min="7" max="7" width="20.85546875" customWidth="1"/>
    <col min="8" max="8" width="13.28515625" customWidth="1"/>
    <col min="9" max="9" width="18.140625" customWidth="1"/>
    <col min="10" max="10" width="20.28515625" customWidth="1"/>
    <col min="11" max="11" width="13.28515625" customWidth="1"/>
  </cols>
  <sheetData>
    <row r="1" spans="1:17" ht="40.5">
      <c r="A1" s="59" t="s">
        <v>254</v>
      </c>
      <c r="B1" s="154" t="s">
        <v>11</v>
      </c>
      <c r="C1" s="155" t="s">
        <v>322</v>
      </c>
      <c r="D1" s="154" t="s">
        <v>256</v>
      </c>
      <c r="E1" s="155" t="s">
        <v>324</v>
      </c>
      <c r="F1" s="155" t="s">
        <v>325</v>
      </c>
      <c r="G1" s="154" t="s">
        <v>326</v>
      </c>
      <c r="H1" s="154" t="s">
        <v>328</v>
      </c>
      <c r="I1" s="154" t="s">
        <v>259</v>
      </c>
      <c r="J1" s="156" t="s">
        <v>329</v>
      </c>
      <c r="K1" s="157" t="s">
        <v>280</v>
      </c>
      <c r="L1" s="35"/>
      <c r="M1" s="35"/>
      <c r="N1" s="35"/>
      <c r="O1" s="35"/>
      <c r="P1" s="35"/>
      <c r="Q1" s="35"/>
    </row>
    <row r="2" spans="1:17" ht="24">
      <c r="A2" s="61">
        <v>1</v>
      </c>
      <c r="B2" s="61" t="s">
        <v>1856</v>
      </c>
      <c r="C2" s="58" t="s">
        <v>1869</v>
      </c>
      <c r="D2" s="58" t="s">
        <v>295</v>
      </c>
      <c r="E2" s="58" t="s">
        <v>380</v>
      </c>
      <c r="F2" s="216" t="s">
        <v>1870</v>
      </c>
      <c r="G2" s="19" t="s">
        <v>381</v>
      </c>
      <c r="H2" s="19" t="s">
        <v>383</v>
      </c>
      <c r="I2" s="19" t="s">
        <v>768</v>
      </c>
      <c r="J2" s="19" t="s">
        <v>540</v>
      </c>
      <c r="K2" s="19" t="s">
        <v>289</v>
      </c>
    </row>
    <row r="3" spans="1:17">
      <c r="A3" s="217">
        <v>2</v>
      </c>
      <c r="B3" s="217" t="s">
        <v>1856</v>
      </c>
      <c r="C3" s="218" t="s">
        <v>1871</v>
      </c>
      <c r="D3" s="218" t="s">
        <v>295</v>
      </c>
      <c r="E3" s="218" t="s">
        <v>380</v>
      </c>
      <c r="F3" s="218" t="s">
        <v>1872</v>
      </c>
      <c r="G3" s="219" t="s">
        <v>381</v>
      </c>
      <c r="H3" s="219" t="s">
        <v>383</v>
      </c>
      <c r="I3" s="219" t="s">
        <v>768</v>
      </c>
      <c r="J3" s="219" t="s">
        <v>540</v>
      </c>
      <c r="K3" s="19" t="s">
        <v>289</v>
      </c>
    </row>
    <row r="4" spans="1:17" ht="24">
      <c r="A4" s="217">
        <v>3</v>
      </c>
      <c r="B4" s="217" t="s">
        <v>1856</v>
      </c>
      <c r="C4" s="217" t="s">
        <v>1873</v>
      </c>
      <c r="D4" s="217" t="s">
        <v>294</v>
      </c>
      <c r="E4" s="217" t="s">
        <v>380</v>
      </c>
      <c r="F4" s="151" t="s">
        <v>1874</v>
      </c>
      <c r="G4" s="220" t="s">
        <v>622</v>
      </c>
      <c r="H4" s="220" t="s">
        <v>383</v>
      </c>
      <c r="I4" s="220" t="s">
        <v>768</v>
      </c>
      <c r="J4" s="220" t="s">
        <v>390</v>
      </c>
      <c r="K4" s="219" t="s">
        <v>289</v>
      </c>
    </row>
    <row r="5" spans="1:17">
      <c r="A5" s="61">
        <v>4</v>
      </c>
      <c r="B5" s="61" t="s">
        <v>1856</v>
      </c>
      <c r="C5" s="61" t="s">
        <v>1875</v>
      </c>
      <c r="D5" s="217" t="s">
        <v>294</v>
      </c>
      <c r="E5" s="61" t="s">
        <v>380</v>
      </c>
      <c r="F5" s="61" t="s">
        <v>1876</v>
      </c>
      <c r="G5" s="12" t="s">
        <v>622</v>
      </c>
      <c r="H5" s="12" t="s">
        <v>383</v>
      </c>
      <c r="I5" s="12" t="s">
        <v>768</v>
      </c>
      <c r="J5" s="61" t="s">
        <v>540</v>
      </c>
      <c r="K5" s="61"/>
    </row>
    <row r="6" spans="1:17">
      <c r="A6" s="61">
        <v>5</v>
      </c>
      <c r="B6" s="61" t="s">
        <v>1856</v>
      </c>
      <c r="C6" s="61" t="s">
        <v>1877</v>
      </c>
      <c r="D6" s="61" t="s">
        <v>862</v>
      </c>
      <c r="E6" s="61" t="s">
        <v>380</v>
      </c>
      <c r="F6" s="61" t="s">
        <v>1878</v>
      </c>
      <c r="G6" s="61" t="s">
        <v>381</v>
      </c>
      <c r="H6" s="12" t="s">
        <v>383</v>
      </c>
      <c r="I6" s="12" t="s">
        <v>768</v>
      </c>
      <c r="J6" s="61" t="s">
        <v>540</v>
      </c>
      <c r="K6" s="61" t="s">
        <v>289</v>
      </c>
    </row>
    <row r="10" spans="1:17">
      <c r="D10" t="s">
        <v>1804</v>
      </c>
    </row>
  </sheetData>
  <dataValidations count="3">
    <dataValidation type="list" allowBlank="1" showErrorMessage="1" sqref="G2:G5" xr:uid="{E4D40610-A1D5-4E6E-8B59-AD8F7362A7AA}">
      <formula1>"Minor,Significant,Major"</formula1>
    </dataValidation>
    <dataValidation type="list" allowBlank="1" showErrorMessage="1" sqref="I2:I6" xr:uid="{5F53BCB9-DDA7-4A4D-BE19-5515A9090329}">
      <formula1>"Open,Inprogress,Closed"</formula1>
    </dataValidation>
    <dataValidation type="list" allowBlank="1" showErrorMessage="1" sqref="H2:H6" xr:uid="{F7B5E08A-6D56-440B-97B6-A6A5260C2FA3}">
      <formula1>"Internal,External"</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D7EC3CF2-8E41-4158-9F17-51157E9E66B5}">
          <x14:formula1>
            <xm:f>Details!$A$2:$A$10</xm:f>
          </x14:formula1>
          <xm:sqref>J2:J4</xm:sqref>
        </x14:dataValidation>
      </x14:dataValidations>
    </ext>
  </extLst>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C277F-44A8-490B-8293-2089C4A56167}">
  <dimension ref="A1:Z3"/>
  <sheetViews>
    <sheetView workbookViewId="0">
      <selection activeCell="J2" sqref="J2"/>
    </sheetView>
  </sheetViews>
  <sheetFormatPr defaultRowHeight="12.75"/>
  <cols>
    <col min="2" max="2" width="17.140625" customWidth="1"/>
    <col min="3" max="3" width="12.85546875" customWidth="1"/>
    <col min="4" max="4" width="17.85546875" customWidth="1"/>
    <col min="5" max="5" width="23.42578125" customWidth="1"/>
    <col min="6" max="6" width="33.42578125" customWidth="1"/>
    <col min="7" max="7" width="18.140625" customWidth="1"/>
    <col min="9" max="9" width="11.85546875" customWidth="1"/>
    <col min="10" max="10" width="18.28515625" customWidth="1"/>
    <col min="11" max="11" width="29.42578125" customWidth="1"/>
  </cols>
  <sheetData>
    <row r="1" spans="1:26" ht="40.5">
      <c r="A1" s="59" t="s">
        <v>254</v>
      </c>
      <c r="B1" s="154" t="s">
        <v>11</v>
      </c>
      <c r="C1" s="155" t="s">
        <v>322</v>
      </c>
      <c r="D1" s="154" t="s">
        <v>256</v>
      </c>
      <c r="E1" s="155" t="s">
        <v>324</v>
      </c>
      <c r="F1" s="155" t="s">
        <v>325</v>
      </c>
      <c r="G1" s="154" t="s">
        <v>326</v>
      </c>
      <c r="H1" s="154" t="s">
        <v>328</v>
      </c>
      <c r="I1" s="154" t="s">
        <v>259</v>
      </c>
      <c r="J1" s="156" t="s">
        <v>329</v>
      </c>
      <c r="K1" s="157" t="s">
        <v>280</v>
      </c>
      <c r="L1" s="35"/>
      <c r="M1" s="35"/>
      <c r="N1" s="35"/>
      <c r="O1" s="35"/>
      <c r="P1" s="35"/>
      <c r="Q1" s="35"/>
      <c r="R1" s="35"/>
      <c r="S1" s="35"/>
      <c r="T1" s="35"/>
      <c r="U1" s="35"/>
      <c r="V1" s="35"/>
      <c r="W1" s="35"/>
      <c r="X1" s="35"/>
      <c r="Y1" s="35"/>
      <c r="Z1" s="35"/>
    </row>
    <row r="2" spans="1:26" ht="36">
      <c r="A2" s="61">
        <v>1</v>
      </c>
      <c r="B2" s="61" t="s">
        <v>1879</v>
      </c>
      <c r="C2" s="186" t="s">
        <v>1880</v>
      </c>
      <c r="D2" s="12" t="s">
        <v>292</v>
      </c>
      <c r="E2" s="12" t="s">
        <v>380</v>
      </c>
      <c r="F2" s="45" t="s">
        <v>1881</v>
      </c>
      <c r="G2" s="12" t="s">
        <v>381</v>
      </c>
      <c r="H2" s="12" t="s">
        <v>383</v>
      </c>
      <c r="I2" s="12" t="s">
        <v>500</v>
      </c>
      <c r="J2" s="12" t="s">
        <v>540</v>
      </c>
      <c r="K2" s="19" t="s">
        <v>1882</v>
      </c>
      <c r="L2" s="35"/>
      <c r="M2" s="35"/>
      <c r="N2" s="35"/>
      <c r="O2" s="35"/>
      <c r="P2" s="35"/>
      <c r="Q2" s="35"/>
      <c r="R2" s="35"/>
      <c r="S2" s="35"/>
      <c r="T2" s="35"/>
      <c r="U2" s="35"/>
      <c r="V2" s="35"/>
    </row>
    <row r="3" spans="1:26">
      <c r="A3" s="61">
        <v>2</v>
      </c>
      <c r="B3" s="61" t="s">
        <v>1879</v>
      </c>
      <c r="C3" s="61" t="s">
        <v>1883</v>
      </c>
      <c r="D3" s="12" t="s">
        <v>292</v>
      </c>
      <c r="E3" s="12" t="s">
        <v>380</v>
      </c>
      <c r="F3" s="61" t="s">
        <v>1884</v>
      </c>
      <c r="G3" s="61" t="s">
        <v>843</v>
      </c>
      <c r="H3" s="12" t="s">
        <v>383</v>
      </c>
      <c r="I3" s="12" t="s">
        <v>500</v>
      </c>
      <c r="J3" s="61" t="s">
        <v>1885</v>
      </c>
      <c r="K3" s="19" t="s">
        <v>289</v>
      </c>
    </row>
  </sheetData>
  <dataValidations count="4">
    <dataValidation type="list" allowBlank="1" showErrorMessage="1" sqref="H2:H3" xr:uid="{13E26EE9-EC29-49DE-9DA2-E473A702DA23}">
      <formula1>"Internal,External"</formula1>
    </dataValidation>
    <dataValidation type="list" allowBlank="1" showErrorMessage="1" sqref="E2:E3" xr:uid="{5A16FF25-14DA-4EF6-B45D-579E99A48F8B}">
      <formula1>"Bounceback,Defect,None"</formula1>
    </dataValidation>
    <dataValidation type="list" allowBlank="1" showErrorMessage="1" sqref="I2:I3" xr:uid="{C9931D98-95B2-41DB-8D5F-881173EA96E4}">
      <formula1>"Open,Inprogress,Closed"</formula1>
    </dataValidation>
    <dataValidation type="list" allowBlank="1" showErrorMessage="1" sqref="G2" xr:uid="{C211713C-356D-40E3-BCD6-0D2CB39D5A3F}">
      <formula1>"Minor,Significant,Major"</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67282C09-D78E-4C96-A324-FA4BDE61DEA6}">
          <x14:formula1>
            <xm:f>Details!$A$2:$A$10</xm:f>
          </x14:formula1>
          <xm:sqref>J2</xm:sqref>
        </x14:dataValidation>
      </x14:dataValidations>
    </ext>
  </extLst>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F0371-0C50-4223-9606-A3A3928DF20F}">
  <dimension ref="A1:AD999"/>
  <sheetViews>
    <sheetView topLeftCell="A4" workbookViewId="0">
      <selection activeCell="E10" sqref="E10"/>
    </sheetView>
  </sheetViews>
  <sheetFormatPr defaultRowHeight="12.75"/>
  <cols>
    <col min="1" max="1" width="9.140625" style="181"/>
    <col min="2" max="2" width="15.140625" customWidth="1"/>
    <col min="3" max="3" width="23.42578125" style="47" customWidth="1"/>
    <col min="4" max="4" width="12.85546875" customWidth="1"/>
    <col min="5" max="5" width="30.42578125" customWidth="1"/>
    <col min="6" max="7" width="9.140625" style="53"/>
    <col min="12" max="12" width="35.85546875" customWidth="1"/>
    <col min="13" max="13" width="19.140625" customWidth="1"/>
    <col min="14" max="15" width="9.42578125" bestFit="1" customWidth="1"/>
    <col min="17" max="17" width="13.28515625" customWidth="1"/>
    <col min="19" max="19" width="9.42578125" bestFit="1" customWidth="1"/>
    <col min="20" max="20" width="14.7109375" customWidth="1"/>
    <col min="21" max="21" width="15.28515625" customWidth="1"/>
    <col min="22" max="22" width="18.5703125" customWidth="1"/>
    <col min="23" max="23" width="15.28515625" style="137" customWidth="1"/>
    <col min="24" max="24" width="38.7109375" customWidth="1"/>
  </cols>
  <sheetData>
    <row r="1" spans="1:24">
      <c r="A1" s="184"/>
      <c r="B1" s="4"/>
      <c r="C1" s="5"/>
      <c r="D1" s="5"/>
      <c r="E1" s="4"/>
      <c r="F1" s="48"/>
      <c r="G1" s="48"/>
      <c r="H1" s="197"/>
      <c r="I1" s="198"/>
      <c r="J1" s="197"/>
      <c r="K1" s="197"/>
      <c r="L1" s="197"/>
      <c r="M1" s="197"/>
      <c r="N1" s="197"/>
      <c r="O1" s="197"/>
      <c r="P1" s="197"/>
      <c r="Q1" s="197"/>
      <c r="R1" s="197"/>
      <c r="S1" s="197"/>
      <c r="T1" s="197"/>
      <c r="U1" s="197"/>
      <c r="V1" s="197"/>
      <c r="W1" s="188"/>
      <c r="X1" s="209"/>
    </row>
    <row r="2" spans="1:24" ht="46.5">
      <c r="A2" s="193" t="s">
        <v>254</v>
      </c>
      <c r="B2" s="59" t="s">
        <v>255</v>
      </c>
      <c r="C2" s="195" t="s">
        <v>256</v>
      </c>
      <c r="D2" s="68" t="s">
        <v>257</v>
      </c>
      <c r="E2" s="70" t="s">
        <v>258</v>
      </c>
      <c r="F2" s="71" t="s">
        <v>260</v>
      </c>
      <c r="G2" s="71" t="s">
        <v>261</v>
      </c>
      <c r="H2" s="199" t="s">
        <v>265</v>
      </c>
      <c r="I2" s="199" t="s">
        <v>266</v>
      </c>
      <c r="J2" s="199" t="s">
        <v>267</v>
      </c>
      <c r="K2" s="199" t="s">
        <v>268</v>
      </c>
      <c r="L2" s="199" t="s">
        <v>269</v>
      </c>
      <c r="M2" s="199" t="s">
        <v>270</v>
      </c>
      <c r="N2" s="199" t="s">
        <v>271</v>
      </c>
      <c r="O2" s="199" t="s">
        <v>272</v>
      </c>
      <c r="P2" s="199" t="s">
        <v>1708</v>
      </c>
      <c r="Q2" s="199" t="s">
        <v>274</v>
      </c>
      <c r="R2" s="199" t="s">
        <v>1709</v>
      </c>
      <c r="S2" s="199" t="s">
        <v>276</v>
      </c>
      <c r="T2" s="199" t="s">
        <v>274</v>
      </c>
      <c r="U2" s="199" t="s">
        <v>278</v>
      </c>
      <c r="V2" s="199" t="s">
        <v>279</v>
      </c>
      <c r="W2" s="189" t="s">
        <v>259</v>
      </c>
      <c r="X2" s="210" t="s">
        <v>280</v>
      </c>
    </row>
    <row r="3" spans="1:24" ht="48.75" customHeight="1">
      <c r="A3" s="185">
        <v>1</v>
      </c>
      <c r="B3" s="190" t="s">
        <v>1879</v>
      </c>
      <c r="C3" s="191" t="s">
        <v>1886</v>
      </c>
      <c r="D3" s="87" t="s">
        <v>1887</v>
      </c>
      <c r="E3" s="161" t="s">
        <v>1888</v>
      </c>
      <c r="F3" s="212">
        <v>3</v>
      </c>
      <c r="G3" s="212">
        <v>3</v>
      </c>
      <c r="H3" s="83" t="s">
        <v>290</v>
      </c>
      <c r="I3" s="83" t="s">
        <v>292</v>
      </c>
      <c r="J3" s="83" t="s">
        <v>1560</v>
      </c>
      <c r="K3" s="83" t="s">
        <v>862</v>
      </c>
      <c r="L3" s="136" t="s">
        <v>1728</v>
      </c>
      <c r="M3" s="200" t="s">
        <v>1889</v>
      </c>
      <c r="N3" s="201">
        <v>45408</v>
      </c>
      <c r="O3" s="201">
        <v>45411</v>
      </c>
      <c r="P3" s="136" t="s">
        <v>294</v>
      </c>
      <c r="Q3" s="202" t="s">
        <v>1694</v>
      </c>
      <c r="R3" s="136" t="s">
        <v>1860</v>
      </c>
      <c r="S3" s="135">
        <v>45411</v>
      </c>
      <c r="T3" s="202" t="s">
        <v>1694</v>
      </c>
      <c r="U3" s="202" t="s">
        <v>1728</v>
      </c>
      <c r="V3" s="202" t="s">
        <v>1728</v>
      </c>
      <c r="W3" s="139" t="s">
        <v>384</v>
      </c>
      <c r="X3" s="30"/>
    </row>
    <row r="4" spans="1:24" ht="60" customHeight="1">
      <c r="A4" s="185">
        <v>2</v>
      </c>
      <c r="B4" s="190" t="s">
        <v>1879</v>
      </c>
      <c r="C4" s="191" t="s">
        <v>1766</v>
      </c>
      <c r="D4" s="90" t="s">
        <v>1890</v>
      </c>
      <c r="E4" s="179" t="s">
        <v>1891</v>
      </c>
      <c r="F4" s="213">
        <v>2</v>
      </c>
      <c r="G4" s="213">
        <v>2</v>
      </c>
      <c r="H4" s="83" t="s">
        <v>290</v>
      </c>
      <c r="I4" s="83" t="s">
        <v>1714</v>
      </c>
      <c r="J4" s="83" t="s">
        <v>1560</v>
      </c>
      <c r="K4" s="83" t="s">
        <v>862</v>
      </c>
      <c r="L4" s="136" t="s">
        <v>1728</v>
      </c>
      <c r="M4" s="200" t="s">
        <v>1892</v>
      </c>
      <c r="N4" s="201">
        <v>45411</v>
      </c>
      <c r="O4" s="201">
        <v>45415</v>
      </c>
      <c r="P4" s="136" t="s">
        <v>294</v>
      </c>
      <c r="Q4" s="202" t="s">
        <v>1694</v>
      </c>
      <c r="R4" s="136" t="s">
        <v>1860</v>
      </c>
      <c r="S4" s="135">
        <v>45418</v>
      </c>
      <c r="T4" s="202" t="s">
        <v>1694</v>
      </c>
      <c r="U4" s="202" t="s">
        <v>1728</v>
      </c>
      <c r="V4" s="202" t="s">
        <v>1728</v>
      </c>
      <c r="W4" s="139" t="s">
        <v>384</v>
      </c>
      <c r="X4" s="211"/>
    </row>
    <row r="5" spans="1:24" ht="23.25">
      <c r="A5" s="185">
        <v>3</v>
      </c>
      <c r="B5" s="190" t="s">
        <v>1879</v>
      </c>
      <c r="C5" s="192" t="s">
        <v>1893</v>
      </c>
      <c r="D5" s="87" t="s">
        <v>1894</v>
      </c>
      <c r="E5" s="136" t="s">
        <v>1895</v>
      </c>
      <c r="F5" s="213">
        <v>5</v>
      </c>
      <c r="G5" s="213">
        <v>5</v>
      </c>
      <c r="H5" s="83" t="s">
        <v>290</v>
      </c>
      <c r="I5" s="83" t="s">
        <v>1560</v>
      </c>
      <c r="J5" s="83" t="s">
        <v>1560</v>
      </c>
      <c r="K5" s="83" t="s">
        <v>862</v>
      </c>
      <c r="L5" s="19" t="s">
        <v>1728</v>
      </c>
      <c r="M5" s="19" t="s">
        <v>1728</v>
      </c>
      <c r="N5" s="19" t="s">
        <v>1728</v>
      </c>
      <c r="O5" s="64" t="s">
        <v>1728</v>
      </c>
      <c r="P5" s="64" t="s">
        <v>1728</v>
      </c>
      <c r="Q5" s="202" t="s">
        <v>1728</v>
      </c>
      <c r="R5" s="202" t="s">
        <v>1728</v>
      </c>
      <c r="S5" s="202" t="s">
        <v>1728</v>
      </c>
      <c r="T5" s="202" t="s">
        <v>1728</v>
      </c>
      <c r="U5" s="202" t="s">
        <v>1728</v>
      </c>
      <c r="V5" s="202" t="s">
        <v>1728</v>
      </c>
      <c r="W5" s="187" t="s">
        <v>384</v>
      </c>
      <c r="X5" s="19" t="s">
        <v>1896</v>
      </c>
    </row>
    <row r="6" spans="1:24" s="181" customFormat="1" ht="53.25" customHeight="1">
      <c r="A6" s="185">
        <v>4</v>
      </c>
      <c r="B6" s="180" t="s">
        <v>1879</v>
      </c>
      <c r="C6" s="191" t="s">
        <v>292</v>
      </c>
      <c r="D6" s="90" t="s">
        <v>1897</v>
      </c>
      <c r="E6" s="183" t="s">
        <v>1898</v>
      </c>
      <c r="F6" s="213">
        <v>1</v>
      </c>
      <c r="G6" s="213">
        <v>1</v>
      </c>
      <c r="H6" s="203"/>
      <c r="I6" s="203"/>
      <c r="J6" s="83"/>
      <c r="K6" s="83"/>
      <c r="L6" s="204"/>
      <c r="M6" s="205"/>
      <c r="N6" s="206"/>
      <c r="O6" s="207"/>
      <c r="P6" s="136"/>
      <c r="Q6" s="83"/>
      <c r="R6" s="136"/>
      <c r="S6" s="206"/>
      <c r="T6" s="83"/>
      <c r="U6" s="136"/>
      <c r="V6" s="136"/>
      <c r="W6" s="83" t="s">
        <v>500</v>
      </c>
      <c r="X6" s="211" t="s">
        <v>1899</v>
      </c>
    </row>
    <row r="7" spans="1:24" ht="34.5" customHeight="1">
      <c r="A7" s="185">
        <v>5</v>
      </c>
      <c r="B7" s="97" t="s">
        <v>1879</v>
      </c>
      <c r="C7" s="46" t="s">
        <v>292</v>
      </c>
      <c r="D7" s="225" t="s">
        <v>1883</v>
      </c>
      <c r="E7" s="182" t="s">
        <v>1900</v>
      </c>
      <c r="F7" s="125">
        <v>1</v>
      </c>
      <c r="G7" s="125">
        <v>1</v>
      </c>
      <c r="H7" s="83" t="s">
        <v>290</v>
      </c>
      <c r="I7" s="83" t="s">
        <v>862</v>
      </c>
      <c r="J7" s="83" t="s">
        <v>1560</v>
      </c>
      <c r="K7" s="83" t="s">
        <v>862</v>
      </c>
      <c r="L7" s="136" t="s">
        <v>1728</v>
      </c>
      <c r="M7" s="200" t="s">
        <v>1901</v>
      </c>
      <c r="N7" s="65">
        <v>45420</v>
      </c>
      <c r="O7" s="65">
        <v>45420</v>
      </c>
      <c r="P7" s="19" t="s">
        <v>294</v>
      </c>
      <c r="Q7" s="202" t="s">
        <v>1694</v>
      </c>
      <c r="R7" s="136" t="s">
        <v>1860</v>
      </c>
      <c r="S7" s="65">
        <v>45420</v>
      </c>
      <c r="T7" s="202" t="s">
        <v>1694</v>
      </c>
      <c r="U7" s="202" t="s">
        <v>1728</v>
      </c>
      <c r="V7" s="202" t="s">
        <v>1728</v>
      </c>
      <c r="W7" s="139" t="s">
        <v>384</v>
      </c>
      <c r="X7" s="19"/>
    </row>
    <row r="8" spans="1:24" ht="34.5" customHeight="1">
      <c r="A8" s="185">
        <v>6</v>
      </c>
      <c r="B8" s="97" t="s">
        <v>1879</v>
      </c>
      <c r="C8" s="45" t="s">
        <v>1902</v>
      </c>
      <c r="D8" s="90" t="s">
        <v>1903</v>
      </c>
      <c r="E8" s="18" t="s">
        <v>1904</v>
      </c>
      <c r="F8" s="125">
        <v>1</v>
      </c>
      <c r="G8" s="125">
        <v>1</v>
      </c>
      <c r="H8" s="19" t="s">
        <v>290</v>
      </c>
      <c r="I8" s="18" t="s">
        <v>1714</v>
      </c>
      <c r="J8" s="19" t="s">
        <v>1560</v>
      </c>
      <c r="K8" s="19" t="s">
        <v>862</v>
      </c>
      <c r="L8" s="19" t="s">
        <v>1728</v>
      </c>
      <c r="M8" s="19" t="s">
        <v>1728</v>
      </c>
      <c r="N8" s="19" t="s">
        <v>1728</v>
      </c>
      <c r="O8" s="64" t="s">
        <v>1728</v>
      </c>
      <c r="P8" s="64" t="s">
        <v>1728</v>
      </c>
      <c r="Q8" s="202" t="s">
        <v>1728</v>
      </c>
      <c r="R8" s="202" t="s">
        <v>1728</v>
      </c>
      <c r="S8" s="202" t="s">
        <v>1728</v>
      </c>
      <c r="T8" s="202" t="s">
        <v>1728</v>
      </c>
      <c r="U8" s="202" t="s">
        <v>1728</v>
      </c>
      <c r="V8" s="202" t="s">
        <v>1728</v>
      </c>
      <c r="W8" s="187" t="s">
        <v>384</v>
      </c>
      <c r="X8" s="19" t="s">
        <v>1896</v>
      </c>
    </row>
    <row r="9" spans="1:24" ht="23.25">
      <c r="A9" s="185">
        <v>6</v>
      </c>
      <c r="B9" s="97" t="s">
        <v>1879</v>
      </c>
      <c r="C9" s="45" t="s">
        <v>1861</v>
      </c>
      <c r="D9" s="90" t="s">
        <v>1905</v>
      </c>
      <c r="E9" s="18" t="s">
        <v>1906</v>
      </c>
      <c r="F9" s="125">
        <v>1</v>
      </c>
      <c r="G9" s="125">
        <v>1</v>
      </c>
      <c r="H9" s="19" t="s">
        <v>290</v>
      </c>
      <c r="I9" s="18" t="s">
        <v>292</v>
      </c>
      <c r="J9" s="19" t="s">
        <v>1560</v>
      </c>
      <c r="K9" s="19" t="s">
        <v>862</v>
      </c>
      <c r="L9" s="19" t="s">
        <v>1728</v>
      </c>
      <c r="M9" s="19" t="s">
        <v>1728</v>
      </c>
      <c r="N9" s="19" t="s">
        <v>1728</v>
      </c>
      <c r="O9" s="64" t="s">
        <v>1728</v>
      </c>
      <c r="P9" s="64" t="s">
        <v>1728</v>
      </c>
      <c r="Q9" s="202" t="s">
        <v>1728</v>
      </c>
      <c r="R9" s="202" t="s">
        <v>1728</v>
      </c>
      <c r="S9" s="202" t="s">
        <v>1728</v>
      </c>
      <c r="T9" s="202" t="s">
        <v>1728</v>
      </c>
      <c r="U9" s="202" t="s">
        <v>1728</v>
      </c>
      <c r="V9" s="202" t="s">
        <v>1728</v>
      </c>
      <c r="W9" s="187" t="s">
        <v>384</v>
      </c>
      <c r="X9" s="18" t="s">
        <v>1907</v>
      </c>
    </row>
    <row r="10" spans="1:24" ht="33.75">
      <c r="A10" s="185">
        <v>7</v>
      </c>
      <c r="B10" s="97" t="s">
        <v>1879</v>
      </c>
      <c r="C10" s="45" t="s">
        <v>1861</v>
      </c>
      <c r="D10" s="62" t="s">
        <v>1862</v>
      </c>
      <c r="E10" s="45" t="s">
        <v>1863</v>
      </c>
      <c r="F10" s="125">
        <v>2</v>
      </c>
      <c r="G10" s="125">
        <v>2</v>
      </c>
      <c r="H10" s="19" t="s">
        <v>290</v>
      </c>
      <c r="I10" s="18" t="s">
        <v>292</v>
      </c>
      <c r="J10" s="19" t="s">
        <v>1560</v>
      </c>
      <c r="K10" s="19" t="s">
        <v>862</v>
      </c>
      <c r="L10" s="19" t="s">
        <v>1728</v>
      </c>
      <c r="M10" s="19" t="s">
        <v>1728</v>
      </c>
      <c r="N10" s="19" t="s">
        <v>1728</v>
      </c>
      <c r="O10" s="19" t="s">
        <v>1728</v>
      </c>
      <c r="P10" s="19" t="s">
        <v>1728</v>
      </c>
      <c r="Q10" s="19" t="s">
        <v>1728</v>
      </c>
      <c r="R10" s="19" t="s">
        <v>1728</v>
      </c>
      <c r="S10" s="19" t="s">
        <v>1728</v>
      </c>
      <c r="T10" s="19" t="s">
        <v>1728</v>
      </c>
      <c r="U10" s="19" t="s">
        <v>1728</v>
      </c>
      <c r="V10" s="19" t="s">
        <v>1728</v>
      </c>
      <c r="W10" s="187" t="s">
        <v>384</v>
      </c>
      <c r="X10" s="211" t="s">
        <v>1908</v>
      </c>
    </row>
    <row r="11" spans="1:24">
      <c r="A11" s="185"/>
      <c r="B11" s="18"/>
      <c r="C11" s="12"/>
      <c r="D11" s="12"/>
      <c r="E11" s="18"/>
      <c r="F11" s="125"/>
      <c r="G11" s="125"/>
      <c r="H11" s="19"/>
      <c r="I11" s="19"/>
      <c r="J11" s="19"/>
      <c r="K11" s="19"/>
      <c r="L11" s="19"/>
      <c r="M11" s="19"/>
      <c r="N11" s="19"/>
      <c r="O11" s="19"/>
      <c r="P11" s="19"/>
      <c r="Q11" s="19"/>
      <c r="R11" s="19"/>
      <c r="S11" s="19"/>
      <c r="T11" s="19"/>
      <c r="U11" s="19"/>
      <c r="V11" s="19"/>
      <c r="W11" s="41"/>
      <c r="X11" s="19"/>
    </row>
    <row r="12" spans="1:24">
      <c r="A12" s="194"/>
      <c r="B12" s="104"/>
      <c r="C12" s="109"/>
      <c r="D12" s="109"/>
      <c r="E12" s="108"/>
      <c r="F12" s="214"/>
      <c r="G12" s="214"/>
      <c r="H12" s="107"/>
      <c r="I12" s="107"/>
      <c r="J12" s="107"/>
      <c r="K12" s="107"/>
      <c r="L12" s="107"/>
      <c r="M12" s="107"/>
      <c r="N12" s="107"/>
      <c r="O12" s="107"/>
      <c r="P12" s="107"/>
      <c r="Q12" s="107"/>
      <c r="R12" s="107"/>
      <c r="S12" s="107"/>
      <c r="T12" s="107"/>
      <c r="U12" s="107"/>
      <c r="V12" s="107"/>
      <c r="W12" s="208"/>
      <c r="X12" s="107"/>
    </row>
    <row r="13" spans="1:24">
      <c r="A13" s="185"/>
      <c r="B13" s="60"/>
      <c r="C13" s="12"/>
      <c r="D13" s="12"/>
      <c r="E13" s="18"/>
      <c r="F13" s="125"/>
      <c r="G13" s="125"/>
      <c r="H13" s="19"/>
      <c r="I13" s="19"/>
      <c r="J13" s="19"/>
      <c r="K13" s="19"/>
      <c r="L13" s="19"/>
      <c r="M13" s="19"/>
      <c r="N13" s="19"/>
      <c r="O13" s="19"/>
      <c r="P13" s="19"/>
      <c r="Q13" s="19"/>
      <c r="R13" s="19"/>
      <c r="S13" s="19"/>
      <c r="T13" s="19"/>
      <c r="U13" s="19"/>
      <c r="V13" s="19"/>
      <c r="W13" s="41"/>
      <c r="X13" s="19"/>
    </row>
    <row r="14" spans="1:24">
      <c r="A14" s="185"/>
      <c r="B14" s="60"/>
      <c r="C14" s="12"/>
      <c r="D14" s="12"/>
      <c r="E14" s="18"/>
      <c r="F14" s="125"/>
      <c r="G14" s="125"/>
      <c r="H14" s="19"/>
      <c r="I14" s="19"/>
      <c r="J14" s="19"/>
      <c r="K14" s="19"/>
      <c r="L14" s="19"/>
      <c r="M14" s="19"/>
      <c r="N14" s="19"/>
      <c r="O14" s="19"/>
      <c r="P14" s="19"/>
      <c r="Q14" s="19"/>
      <c r="R14" s="19"/>
      <c r="S14" s="19"/>
      <c r="T14" s="19"/>
      <c r="U14" s="19"/>
      <c r="V14" s="19"/>
      <c r="W14" s="41"/>
      <c r="X14" s="19"/>
    </row>
    <row r="15" spans="1:24">
      <c r="A15" s="185"/>
      <c r="B15" s="60"/>
      <c r="C15" s="12"/>
      <c r="D15" s="12"/>
      <c r="E15" s="18"/>
      <c r="F15" s="125"/>
      <c r="G15" s="125"/>
      <c r="H15" s="19"/>
      <c r="I15" s="19"/>
      <c r="J15" s="19"/>
      <c r="K15" s="19"/>
      <c r="L15" s="19"/>
      <c r="M15" s="19"/>
      <c r="N15" s="19"/>
      <c r="O15" s="19"/>
      <c r="P15" s="19"/>
      <c r="Q15" s="19"/>
      <c r="R15" s="19"/>
      <c r="S15" s="19"/>
      <c r="T15" s="19"/>
      <c r="U15" s="19"/>
      <c r="V15" s="19"/>
      <c r="W15" s="41"/>
      <c r="X15" s="19"/>
    </row>
    <row r="16" spans="1:24">
      <c r="B16" s="28"/>
      <c r="C16" s="196"/>
      <c r="D16" s="47"/>
      <c r="E16" s="28"/>
      <c r="F16" s="215"/>
      <c r="G16" s="215"/>
      <c r="H16" s="2"/>
      <c r="I16" s="107"/>
      <c r="K16" s="35"/>
      <c r="M16" s="35"/>
      <c r="N16" s="35"/>
      <c r="O16" s="35"/>
      <c r="P16" s="35"/>
    </row>
    <row r="17" spans="2:30">
      <c r="B17" s="28"/>
      <c r="C17" s="196"/>
      <c r="D17" s="47"/>
      <c r="E17" s="28"/>
      <c r="F17" s="215"/>
      <c r="G17" s="215"/>
      <c r="H17" s="2"/>
      <c r="I17" s="19"/>
      <c r="K17" s="35"/>
      <c r="M17" s="35"/>
      <c r="N17" s="35"/>
      <c r="O17" s="35"/>
      <c r="P17" s="35"/>
    </row>
    <row r="18" spans="2:30">
      <c r="B18" s="28"/>
      <c r="C18" s="196"/>
      <c r="D18" s="47"/>
      <c r="E18" s="28"/>
      <c r="F18" s="215"/>
      <c r="G18" s="215"/>
      <c r="H18" s="2"/>
      <c r="I18" s="19"/>
      <c r="K18" s="35"/>
      <c r="M18" s="35"/>
      <c r="N18" s="35"/>
      <c r="O18" s="35"/>
      <c r="P18" s="35"/>
    </row>
    <row r="19" spans="2:30">
      <c r="B19" s="28"/>
      <c r="C19" s="196"/>
      <c r="D19" s="47"/>
      <c r="E19" s="28"/>
      <c r="F19" s="215"/>
      <c r="G19" s="215"/>
      <c r="H19" s="2"/>
      <c r="I19" s="19"/>
      <c r="K19" s="35"/>
      <c r="M19" s="35"/>
      <c r="N19" s="35"/>
      <c r="O19" s="35"/>
      <c r="P19" s="35"/>
    </row>
    <row r="20" spans="2:30">
      <c r="B20" s="28"/>
      <c r="C20" s="196"/>
      <c r="D20" s="47"/>
      <c r="E20" s="28"/>
      <c r="F20" s="215"/>
      <c r="G20" s="215"/>
      <c r="H20" s="2"/>
      <c r="I20" s="19"/>
      <c r="K20" s="35"/>
      <c r="M20" s="35"/>
      <c r="N20" s="35"/>
      <c r="O20" s="35"/>
      <c r="P20" s="35"/>
      <c r="Y20" s="19"/>
      <c r="Z20" s="19"/>
      <c r="AA20" s="19"/>
      <c r="AB20" s="19"/>
      <c r="AC20" s="19"/>
      <c r="AD20" s="19"/>
    </row>
    <row r="21" spans="2:30">
      <c r="B21" s="28"/>
      <c r="C21" s="196"/>
      <c r="D21" s="47"/>
      <c r="E21" s="28"/>
      <c r="F21" s="215"/>
      <c r="G21" s="215"/>
      <c r="H21" s="2"/>
      <c r="I21" s="19"/>
      <c r="K21" s="35"/>
      <c r="M21" s="35"/>
      <c r="N21" s="35"/>
      <c r="O21" s="35"/>
      <c r="P21" s="35"/>
      <c r="Y21" s="19"/>
      <c r="Z21" s="19"/>
      <c r="AA21" s="19"/>
      <c r="AB21" s="19"/>
      <c r="AC21" s="19"/>
      <c r="AD21" s="19"/>
    </row>
    <row r="22" spans="2:30">
      <c r="B22" s="28"/>
      <c r="C22" s="196"/>
      <c r="D22" s="47"/>
      <c r="E22" s="28"/>
      <c r="F22" s="215"/>
      <c r="G22" s="215"/>
      <c r="H22" s="2"/>
      <c r="I22" s="19"/>
      <c r="K22" s="35"/>
      <c r="M22" s="35"/>
      <c r="N22" s="35"/>
      <c r="O22" s="35"/>
      <c r="P22" s="35"/>
      <c r="Y22" s="19"/>
      <c r="Z22" s="19"/>
      <c r="AA22" s="19"/>
      <c r="AB22" s="19"/>
      <c r="AC22" s="19"/>
      <c r="AD22" s="19"/>
    </row>
    <row r="23" spans="2:30">
      <c r="B23" s="28"/>
      <c r="C23" s="196"/>
      <c r="D23" s="47"/>
      <c r="E23" s="28"/>
      <c r="F23" s="215"/>
      <c r="G23" s="215"/>
      <c r="H23" s="2"/>
      <c r="I23" s="19"/>
      <c r="K23" s="35"/>
      <c r="M23" s="35"/>
      <c r="N23" s="35"/>
      <c r="O23" s="35"/>
      <c r="P23" s="35"/>
      <c r="Y23" s="19"/>
      <c r="Z23" s="19"/>
      <c r="AA23" s="19"/>
      <c r="AB23" s="19"/>
      <c r="AC23" s="19"/>
      <c r="AD23" s="19"/>
    </row>
    <row r="24" spans="2:30">
      <c r="B24" s="28"/>
      <c r="C24" s="196"/>
      <c r="D24" s="47"/>
      <c r="E24" s="28"/>
      <c r="F24" s="215"/>
      <c r="G24" s="215"/>
      <c r="H24" s="2"/>
      <c r="I24" s="19"/>
      <c r="K24" s="35"/>
      <c r="M24" s="35"/>
      <c r="N24" s="35"/>
      <c r="O24" s="35"/>
      <c r="P24" s="35"/>
    </row>
    <row r="25" spans="2:30">
      <c r="B25" s="28"/>
      <c r="C25" s="196"/>
      <c r="D25" s="47"/>
      <c r="E25" s="28"/>
      <c r="F25" s="215"/>
      <c r="G25" s="215"/>
      <c r="H25" s="2"/>
      <c r="I25" s="19"/>
      <c r="K25" s="35"/>
      <c r="M25" s="35"/>
      <c r="N25" s="35"/>
      <c r="O25" s="35"/>
      <c r="P25" s="35"/>
    </row>
    <row r="26" spans="2:30">
      <c r="B26" s="28"/>
      <c r="C26" s="196"/>
      <c r="D26" s="47"/>
      <c r="E26" s="28"/>
      <c r="F26" s="215"/>
      <c r="G26" s="215"/>
      <c r="H26" s="2"/>
      <c r="I26" s="19"/>
      <c r="K26" s="35"/>
      <c r="M26" s="35"/>
      <c r="N26" s="35"/>
      <c r="O26" s="35"/>
      <c r="P26" s="35"/>
    </row>
    <row r="27" spans="2:30">
      <c r="B27" s="28"/>
      <c r="C27" s="196"/>
      <c r="D27" s="47"/>
      <c r="E27" s="28"/>
      <c r="F27" s="215"/>
      <c r="G27" s="215"/>
      <c r="H27" s="2"/>
      <c r="I27" s="19"/>
      <c r="K27" s="35"/>
      <c r="M27" s="35"/>
      <c r="N27" s="35"/>
      <c r="O27" s="35"/>
      <c r="P27" s="35"/>
    </row>
    <row r="28" spans="2:30">
      <c r="B28" s="28"/>
      <c r="C28" s="196"/>
      <c r="D28" s="47"/>
      <c r="E28" s="28"/>
      <c r="F28" s="215"/>
      <c r="G28" s="215"/>
      <c r="H28" s="2"/>
      <c r="I28" s="19"/>
      <c r="K28" s="35"/>
      <c r="M28" s="35"/>
      <c r="N28" s="35"/>
      <c r="O28" s="35"/>
      <c r="P28" s="35"/>
    </row>
    <row r="29" spans="2:30">
      <c r="B29" s="28"/>
      <c r="C29" s="196"/>
      <c r="D29" s="47"/>
      <c r="E29" s="28"/>
      <c r="F29" s="215"/>
      <c r="G29" s="215"/>
      <c r="H29" s="2"/>
      <c r="I29" s="19"/>
      <c r="K29" s="35"/>
      <c r="M29" s="35"/>
      <c r="N29" s="35"/>
      <c r="O29" s="35"/>
      <c r="P29" s="35"/>
    </row>
    <row r="30" spans="2:30">
      <c r="B30" s="28"/>
      <c r="C30" s="196"/>
      <c r="D30" s="47"/>
      <c r="E30" s="28"/>
      <c r="F30" s="215"/>
      <c r="G30" s="215"/>
      <c r="H30" s="2"/>
      <c r="I30" s="19"/>
      <c r="K30" s="35"/>
      <c r="M30" s="35"/>
      <c r="N30" s="35"/>
      <c r="O30" s="35"/>
      <c r="P30" s="35"/>
    </row>
    <row r="31" spans="2:30">
      <c r="B31" s="28"/>
      <c r="C31" s="196"/>
      <c r="D31" s="47"/>
      <c r="E31" s="28"/>
      <c r="F31" s="215"/>
      <c r="G31" s="215"/>
      <c r="H31" s="2"/>
      <c r="I31" s="19"/>
      <c r="K31" s="35"/>
      <c r="M31" s="35"/>
      <c r="N31" s="35"/>
      <c r="O31" s="35"/>
      <c r="P31" s="35"/>
    </row>
    <row r="32" spans="2:30">
      <c r="B32" s="28"/>
      <c r="C32" s="196"/>
      <c r="D32" s="47"/>
      <c r="E32" s="28"/>
      <c r="F32" s="215"/>
      <c r="G32" s="215"/>
      <c r="H32" s="2"/>
      <c r="I32" s="19"/>
      <c r="K32" s="35"/>
      <c r="M32" s="35"/>
      <c r="N32" s="35"/>
      <c r="O32" s="35"/>
      <c r="P32" s="35"/>
    </row>
    <row r="33" spans="2:16">
      <c r="B33" s="28"/>
      <c r="C33" s="196"/>
      <c r="D33" s="47"/>
      <c r="E33" s="28"/>
      <c r="F33" s="215"/>
      <c r="G33" s="215"/>
      <c r="H33" s="2"/>
      <c r="I33" s="19"/>
      <c r="K33" s="35"/>
      <c r="M33" s="35"/>
      <c r="N33" s="35"/>
      <c r="O33" s="35"/>
      <c r="P33" s="35"/>
    </row>
    <row r="34" spans="2:16">
      <c r="B34" s="28"/>
      <c r="C34" s="196"/>
      <c r="D34" s="47"/>
      <c r="E34" s="28"/>
      <c r="F34" s="215"/>
      <c r="G34" s="215"/>
      <c r="H34" s="2"/>
      <c r="I34" s="19"/>
      <c r="K34" s="35"/>
      <c r="M34" s="35"/>
      <c r="N34" s="35"/>
      <c r="O34" s="35"/>
      <c r="P34" s="35"/>
    </row>
    <row r="35" spans="2:16">
      <c r="B35" s="28"/>
      <c r="C35" s="196"/>
      <c r="D35" s="47"/>
      <c r="E35" s="28"/>
      <c r="F35" s="215"/>
      <c r="G35" s="215"/>
      <c r="H35" s="2"/>
      <c r="I35" s="19"/>
      <c r="K35" s="35"/>
      <c r="M35" s="35"/>
      <c r="N35" s="35"/>
      <c r="O35" s="35"/>
      <c r="P35" s="35"/>
    </row>
    <row r="36" spans="2:16">
      <c r="B36" s="28"/>
      <c r="C36" s="196"/>
      <c r="D36" s="47"/>
      <c r="E36" s="28"/>
      <c r="F36" s="215"/>
      <c r="G36" s="215"/>
      <c r="H36" s="2"/>
      <c r="I36" s="19"/>
      <c r="K36" s="35"/>
      <c r="M36" s="35"/>
      <c r="N36" s="35"/>
      <c r="O36" s="35"/>
      <c r="P36" s="35"/>
    </row>
    <row r="37" spans="2:16">
      <c r="B37" s="28"/>
      <c r="C37" s="196"/>
      <c r="D37" s="47"/>
      <c r="E37" s="28"/>
      <c r="F37" s="215"/>
      <c r="G37" s="215"/>
      <c r="H37" s="2"/>
      <c r="I37" s="19"/>
      <c r="K37" s="35"/>
      <c r="M37" s="35"/>
      <c r="N37" s="35"/>
      <c r="O37" s="35"/>
      <c r="P37" s="35"/>
    </row>
    <row r="38" spans="2:16">
      <c r="B38" s="28"/>
      <c r="C38" s="196"/>
      <c r="D38" s="47"/>
      <c r="E38" s="28"/>
      <c r="F38" s="215"/>
      <c r="G38" s="215"/>
      <c r="H38" s="2"/>
      <c r="I38" s="19"/>
      <c r="K38" s="35"/>
      <c r="M38" s="35"/>
      <c r="N38" s="35"/>
      <c r="O38" s="35"/>
      <c r="P38" s="35"/>
    </row>
    <row r="39" spans="2:16">
      <c r="B39" s="28"/>
      <c r="C39" s="196"/>
      <c r="D39" s="47"/>
      <c r="E39" s="28"/>
      <c r="F39" s="215"/>
      <c r="G39" s="215"/>
      <c r="H39" s="2"/>
      <c r="I39" s="19"/>
      <c r="K39" s="35"/>
      <c r="M39" s="35"/>
      <c r="N39" s="35"/>
      <c r="O39" s="35"/>
      <c r="P39" s="35"/>
    </row>
    <row r="40" spans="2:16">
      <c r="B40" s="28"/>
      <c r="C40" s="196"/>
      <c r="D40" s="47"/>
      <c r="E40" s="28"/>
      <c r="F40" s="215"/>
      <c r="G40" s="215"/>
      <c r="H40" s="2"/>
      <c r="I40" s="19"/>
      <c r="K40" s="35"/>
      <c r="M40" s="35"/>
      <c r="N40" s="35"/>
      <c r="O40" s="35"/>
      <c r="P40" s="35"/>
    </row>
    <row r="41" spans="2:16">
      <c r="B41" s="28"/>
      <c r="C41" s="196"/>
      <c r="D41" s="47"/>
      <c r="E41" s="28"/>
      <c r="F41" s="215"/>
      <c r="G41" s="215"/>
      <c r="H41" s="2"/>
      <c r="I41" s="19"/>
      <c r="K41" s="35"/>
      <c r="M41" s="35"/>
      <c r="N41" s="35"/>
      <c r="O41" s="35"/>
      <c r="P41" s="35"/>
    </row>
    <row r="42" spans="2:16">
      <c r="B42" s="28"/>
      <c r="C42" s="196"/>
      <c r="D42" s="47"/>
      <c r="E42" s="28"/>
      <c r="F42" s="215"/>
      <c r="G42" s="215"/>
      <c r="H42" s="2"/>
      <c r="I42" s="19"/>
      <c r="K42" s="35"/>
      <c r="M42" s="35"/>
      <c r="N42" s="35"/>
      <c r="O42" s="35"/>
      <c r="P42" s="35"/>
    </row>
    <row r="43" spans="2:16">
      <c r="B43" s="28"/>
      <c r="C43" s="196"/>
      <c r="D43" s="47"/>
      <c r="E43" s="28"/>
      <c r="F43" s="215"/>
      <c r="G43" s="215"/>
      <c r="H43" s="2"/>
      <c r="I43" s="19"/>
      <c r="K43" s="35"/>
      <c r="M43" s="35"/>
      <c r="N43" s="35"/>
      <c r="O43" s="35"/>
      <c r="P43" s="35"/>
    </row>
    <row r="44" spans="2:16">
      <c r="B44" s="28"/>
      <c r="C44" s="196"/>
      <c r="D44" s="47"/>
      <c r="E44" s="28"/>
      <c r="F44" s="215"/>
      <c r="G44" s="215"/>
      <c r="H44" s="2"/>
      <c r="I44" s="19"/>
      <c r="K44" s="35"/>
      <c r="M44" s="35"/>
      <c r="N44" s="35"/>
      <c r="O44" s="35"/>
      <c r="P44" s="35"/>
    </row>
    <row r="45" spans="2:16">
      <c r="B45" s="28"/>
      <c r="C45" s="196"/>
      <c r="D45" s="47"/>
      <c r="E45" s="28"/>
      <c r="F45" s="215"/>
      <c r="G45" s="215"/>
      <c r="H45" s="2"/>
      <c r="I45" s="19"/>
      <c r="K45" s="35"/>
      <c r="M45" s="35"/>
      <c r="N45" s="35"/>
      <c r="O45" s="35"/>
      <c r="P45" s="35"/>
    </row>
    <row r="46" spans="2:16">
      <c r="B46" s="28"/>
      <c r="C46" s="196"/>
      <c r="D46" s="47"/>
      <c r="E46" s="28"/>
      <c r="F46" s="215"/>
      <c r="G46" s="215"/>
      <c r="H46" s="2"/>
      <c r="I46" s="19"/>
      <c r="K46" s="35"/>
      <c r="M46" s="35"/>
      <c r="N46" s="35"/>
      <c r="O46" s="35"/>
      <c r="P46" s="35"/>
    </row>
    <row r="47" spans="2:16">
      <c r="B47" s="28"/>
      <c r="C47" s="196"/>
      <c r="D47" s="47"/>
      <c r="E47" s="28"/>
      <c r="F47" s="215"/>
      <c r="G47" s="215"/>
      <c r="H47" s="2"/>
      <c r="I47" s="19"/>
      <c r="K47" s="35"/>
      <c r="M47" s="35"/>
      <c r="N47" s="35"/>
      <c r="O47" s="35"/>
      <c r="P47" s="35"/>
    </row>
    <row r="48" spans="2:16">
      <c r="B48" s="28"/>
      <c r="C48" s="196"/>
      <c r="D48" s="47"/>
      <c r="E48" s="28"/>
      <c r="F48" s="215"/>
      <c r="G48" s="215"/>
      <c r="H48" s="2"/>
      <c r="I48" s="19"/>
      <c r="K48" s="35"/>
      <c r="M48" s="35"/>
      <c r="N48" s="35"/>
      <c r="O48" s="35"/>
      <c r="P48" s="35"/>
    </row>
    <row r="49" spans="2:16">
      <c r="B49" s="28"/>
      <c r="C49" s="196"/>
      <c r="D49" s="47"/>
      <c r="E49" s="28"/>
      <c r="F49" s="215"/>
      <c r="G49" s="215"/>
      <c r="H49" s="2"/>
      <c r="I49" s="19"/>
      <c r="K49" s="35"/>
      <c r="M49" s="35"/>
      <c r="N49" s="35"/>
      <c r="O49" s="35"/>
      <c r="P49" s="35"/>
    </row>
    <row r="50" spans="2:16">
      <c r="B50" s="28"/>
      <c r="C50" s="196"/>
      <c r="D50" s="47"/>
      <c r="E50" s="28"/>
      <c r="F50" s="215"/>
      <c r="G50" s="215"/>
      <c r="H50" s="2"/>
      <c r="I50" s="19"/>
      <c r="K50" s="35"/>
      <c r="M50" s="35"/>
      <c r="N50" s="35"/>
      <c r="O50" s="35"/>
      <c r="P50" s="35"/>
    </row>
    <row r="51" spans="2:16">
      <c r="B51" s="28"/>
      <c r="C51" s="196"/>
      <c r="D51" s="47"/>
      <c r="E51" s="28"/>
      <c r="F51" s="215"/>
      <c r="G51" s="215"/>
      <c r="H51" s="2"/>
      <c r="I51" s="19"/>
      <c r="K51" s="35"/>
      <c r="M51" s="35"/>
      <c r="N51" s="35"/>
      <c r="O51" s="35"/>
      <c r="P51" s="35"/>
    </row>
    <row r="52" spans="2:16">
      <c r="B52" s="28"/>
      <c r="C52" s="196"/>
      <c r="D52" s="47"/>
      <c r="E52" s="28"/>
      <c r="F52" s="215"/>
      <c r="G52" s="215"/>
      <c r="H52" s="2"/>
      <c r="I52" s="19"/>
      <c r="K52" s="35"/>
      <c r="M52" s="35"/>
      <c r="N52" s="35"/>
      <c r="O52" s="35"/>
      <c r="P52" s="35"/>
    </row>
    <row r="53" spans="2:16">
      <c r="B53" s="28"/>
      <c r="C53" s="196"/>
      <c r="D53" s="47"/>
      <c r="E53" s="28"/>
      <c r="F53" s="215"/>
      <c r="G53" s="215"/>
      <c r="H53" s="2"/>
      <c r="I53" s="19"/>
      <c r="K53" s="35"/>
      <c r="M53" s="35"/>
      <c r="N53" s="35"/>
      <c r="O53" s="35"/>
      <c r="P53" s="35"/>
    </row>
    <row r="54" spans="2:16">
      <c r="B54" s="28"/>
      <c r="C54" s="196"/>
      <c r="D54" s="47"/>
      <c r="E54" s="28"/>
      <c r="F54" s="215"/>
      <c r="G54" s="215"/>
      <c r="H54" s="2"/>
      <c r="I54" s="19"/>
      <c r="K54" s="35"/>
      <c r="M54" s="35"/>
      <c r="N54" s="35"/>
      <c r="O54" s="35"/>
      <c r="P54" s="35"/>
    </row>
    <row r="55" spans="2:16">
      <c r="B55" s="28"/>
      <c r="C55" s="196"/>
      <c r="D55" s="47"/>
      <c r="E55" s="28"/>
      <c r="F55" s="215"/>
      <c r="G55" s="215"/>
      <c r="H55" s="2"/>
      <c r="I55" s="19"/>
      <c r="K55" s="35"/>
      <c r="M55" s="35"/>
      <c r="N55" s="35"/>
      <c r="O55" s="35"/>
      <c r="P55" s="35"/>
    </row>
    <row r="56" spans="2:16">
      <c r="B56" s="28"/>
      <c r="C56" s="196"/>
      <c r="D56" s="47"/>
      <c r="E56" s="28"/>
      <c r="F56" s="215"/>
      <c r="G56" s="215"/>
      <c r="H56" s="2"/>
      <c r="I56" s="19"/>
      <c r="K56" s="35"/>
      <c r="M56" s="35"/>
      <c r="N56" s="35"/>
      <c r="O56" s="35"/>
      <c r="P56" s="35"/>
    </row>
    <row r="57" spans="2:16">
      <c r="B57" s="28"/>
      <c r="C57" s="196"/>
      <c r="D57" s="47"/>
      <c r="E57" s="28"/>
      <c r="F57" s="215"/>
      <c r="G57" s="215"/>
      <c r="H57" s="2"/>
      <c r="I57" s="19"/>
      <c r="K57" s="35"/>
      <c r="M57" s="35"/>
      <c r="N57" s="35"/>
      <c r="O57" s="35"/>
      <c r="P57" s="35"/>
    </row>
    <row r="58" spans="2:16">
      <c r="B58" s="28"/>
      <c r="C58" s="196"/>
      <c r="D58" s="47"/>
      <c r="E58" s="28"/>
      <c r="F58" s="215"/>
      <c r="G58" s="215"/>
      <c r="H58" s="2"/>
      <c r="I58" s="19"/>
      <c r="K58" s="35"/>
      <c r="M58" s="35"/>
      <c r="N58" s="35"/>
      <c r="O58" s="35"/>
      <c r="P58" s="35"/>
    </row>
    <row r="59" spans="2:16">
      <c r="B59" s="28"/>
      <c r="C59" s="196"/>
      <c r="D59" s="47"/>
      <c r="E59" s="28"/>
      <c r="F59" s="215"/>
      <c r="G59" s="215"/>
      <c r="H59" s="2"/>
      <c r="I59" s="19"/>
      <c r="K59" s="35"/>
      <c r="M59" s="35"/>
      <c r="N59" s="35"/>
      <c r="O59" s="35"/>
      <c r="P59" s="35"/>
    </row>
    <row r="60" spans="2:16">
      <c r="B60" s="28"/>
      <c r="C60" s="196"/>
      <c r="D60" s="47"/>
      <c r="E60" s="28"/>
      <c r="F60" s="215"/>
      <c r="G60" s="215"/>
      <c r="H60" s="2"/>
      <c r="I60" s="19"/>
      <c r="K60" s="35"/>
      <c r="M60" s="35"/>
      <c r="N60" s="35"/>
      <c r="O60" s="35"/>
      <c r="P60" s="35"/>
    </row>
    <row r="61" spans="2:16">
      <c r="B61" s="28"/>
      <c r="C61" s="196"/>
      <c r="D61" s="47"/>
      <c r="E61" s="28"/>
      <c r="F61" s="215"/>
      <c r="G61" s="215"/>
      <c r="H61" s="2"/>
      <c r="I61" s="19"/>
      <c r="K61" s="35"/>
      <c r="M61" s="35"/>
      <c r="N61" s="35"/>
      <c r="O61" s="35"/>
      <c r="P61" s="35"/>
    </row>
    <row r="62" spans="2:16">
      <c r="B62" s="28"/>
      <c r="C62" s="196"/>
      <c r="D62" s="47"/>
      <c r="E62" s="28"/>
      <c r="F62" s="215"/>
      <c r="G62" s="215"/>
      <c r="H62" s="2"/>
      <c r="I62" s="19"/>
      <c r="K62" s="35"/>
      <c r="M62" s="35"/>
      <c r="N62" s="35"/>
      <c r="O62" s="35"/>
      <c r="P62" s="35"/>
    </row>
    <row r="63" spans="2:16">
      <c r="B63" s="28"/>
      <c r="C63" s="196"/>
      <c r="D63" s="47"/>
      <c r="E63" s="28"/>
      <c r="F63" s="215"/>
      <c r="G63" s="215"/>
      <c r="H63" s="2"/>
      <c r="I63" s="19"/>
      <c r="K63" s="35"/>
      <c r="M63" s="35"/>
      <c r="N63" s="35"/>
      <c r="O63" s="35"/>
      <c r="P63" s="35"/>
    </row>
    <row r="64" spans="2:16">
      <c r="B64" s="28"/>
      <c r="C64" s="196"/>
      <c r="D64" s="47"/>
      <c r="E64" s="28"/>
      <c r="F64" s="215"/>
      <c r="G64" s="215"/>
      <c r="H64" s="2"/>
      <c r="I64" s="19"/>
      <c r="K64" s="35"/>
      <c r="M64" s="35"/>
      <c r="N64" s="35"/>
      <c r="O64" s="35"/>
      <c r="P64" s="35"/>
    </row>
    <row r="65" spans="2:16">
      <c r="B65" s="28"/>
      <c r="C65" s="196"/>
      <c r="D65" s="47"/>
      <c r="E65" s="28"/>
      <c r="F65" s="215"/>
      <c r="G65" s="215"/>
      <c r="H65" s="2"/>
      <c r="I65" s="19"/>
      <c r="K65" s="35"/>
      <c r="M65" s="35"/>
      <c r="N65" s="35"/>
      <c r="O65" s="35"/>
      <c r="P65" s="35"/>
    </row>
    <row r="66" spans="2:16">
      <c r="B66" s="28"/>
      <c r="C66" s="196"/>
      <c r="D66" s="47"/>
      <c r="E66" s="28"/>
      <c r="F66" s="215"/>
      <c r="G66" s="215"/>
      <c r="H66" s="2"/>
      <c r="I66" s="19"/>
      <c r="K66" s="35"/>
      <c r="M66" s="35"/>
      <c r="N66" s="35"/>
      <c r="O66" s="35"/>
      <c r="P66" s="35"/>
    </row>
    <row r="67" spans="2:16">
      <c r="B67" s="28"/>
      <c r="C67" s="196"/>
      <c r="D67" s="47"/>
      <c r="E67" s="28"/>
      <c r="F67" s="215"/>
      <c r="G67" s="215"/>
      <c r="H67" s="2"/>
      <c r="I67" s="19"/>
      <c r="K67" s="35"/>
      <c r="M67" s="35"/>
      <c r="N67" s="35"/>
      <c r="O67" s="35"/>
      <c r="P67" s="35"/>
    </row>
    <row r="68" spans="2:16">
      <c r="B68" s="28"/>
      <c r="C68" s="196"/>
      <c r="D68" s="47"/>
      <c r="E68" s="28"/>
      <c r="F68" s="215"/>
      <c r="G68" s="215"/>
      <c r="H68" s="2"/>
      <c r="I68" s="19"/>
      <c r="K68" s="35"/>
      <c r="M68" s="35"/>
      <c r="N68" s="35"/>
      <c r="O68" s="35"/>
      <c r="P68" s="35"/>
    </row>
    <row r="69" spans="2:16">
      <c r="B69" s="28"/>
      <c r="C69" s="196"/>
      <c r="D69" s="47"/>
      <c r="E69" s="28"/>
      <c r="F69" s="215"/>
      <c r="G69" s="215"/>
      <c r="H69" s="2"/>
      <c r="I69" s="19"/>
      <c r="K69" s="35"/>
      <c r="M69" s="35"/>
      <c r="N69" s="35"/>
      <c r="O69" s="35"/>
      <c r="P69" s="35"/>
    </row>
    <row r="70" spans="2:16">
      <c r="B70" s="28"/>
      <c r="C70" s="196"/>
      <c r="D70" s="47"/>
      <c r="E70" s="28"/>
      <c r="F70" s="215"/>
      <c r="G70" s="215"/>
      <c r="H70" s="2"/>
      <c r="I70" s="19"/>
      <c r="K70" s="35"/>
      <c r="M70" s="35"/>
      <c r="N70" s="35"/>
      <c r="O70" s="35"/>
      <c r="P70" s="35"/>
    </row>
    <row r="71" spans="2:16">
      <c r="B71" s="28"/>
      <c r="C71" s="196"/>
      <c r="D71" s="47"/>
      <c r="E71" s="28"/>
      <c r="F71" s="215"/>
      <c r="G71" s="215"/>
      <c r="H71" s="2"/>
      <c r="I71" s="19"/>
      <c r="K71" s="35"/>
      <c r="M71" s="35"/>
      <c r="N71" s="35"/>
      <c r="O71" s="35"/>
      <c r="P71" s="35"/>
    </row>
    <row r="72" spans="2:16">
      <c r="B72" s="28"/>
      <c r="C72" s="196"/>
      <c r="D72" s="47"/>
      <c r="E72" s="28"/>
      <c r="F72" s="215"/>
      <c r="G72" s="215"/>
      <c r="H72" s="2"/>
      <c r="I72" s="19"/>
      <c r="K72" s="35"/>
      <c r="M72" s="35"/>
      <c r="N72" s="35"/>
      <c r="O72" s="35"/>
      <c r="P72" s="35"/>
    </row>
    <row r="73" spans="2:16">
      <c r="B73" s="28"/>
      <c r="C73" s="196"/>
      <c r="D73" s="47"/>
      <c r="E73" s="28"/>
      <c r="F73" s="215"/>
      <c r="G73" s="215"/>
      <c r="H73" s="2"/>
      <c r="I73" s="19"/>
      <c r="K73" s="35"/>
      <c r="M73" s="35"/>
      <c r="N73" s="35"/>
      <c r="O73" s="35"/>
      <c r="P73" s="35"/>
    </row>
    <row r="74" spans="2:16">
      <c r="B74" s="28"/>
      <c r="C74" s="196"/>
      <c r="D74" s="47"/>
      <c r="E74" s="28"/>
      <c r="F74" s="215"/>
      <c r="G74" s="215"/>
      <c r="H74" s="2"/>
      <c r="I74" s="19"/>
      <c r="K74" s="35"/>
      <c r="M74" s="35"/>
      <c r="N74" s="35"/>
      <c r="O74" s="35"/>
      <c r="P74" s="35"/>
    </row>
    <row r="75" spans="2:16">
      <c r="B75" s="28"/>
      <c r="C75" s="196"/>
      <c r="D75" s="47"/>
      <c r="E75" s="28"/>
      <c r="F75" s="215"/>
      <c r="G75" s="215"/>
      <c r="H75" s="2"/>
      <c r="I75" s="19"/>
      <c r="K75" s="35"/>
      <c r="M75" s="35"/>
      <c r="N75" s="35"/>
      <c r="O75" s="35"/>
      <c r="P75" s="35"/>
    </row>
    <row r="76" spans="2:16">
      <c r="B76" s="28"/>
      <c r="C76" s="196"/>
      <c r="D76" s="47"/>
      <c r="E76" s="28"/>
      <c r="F76" s="215"/>
      <c r="G76" s="215"/>
      <c r="H76" s="2"/>
      <c r="I76" s="19"/>
      <c r="K76" s="35"/>
      <c r="M76" s="35"/>
      <c r="N76" s="35"/>
      <c r="O76" s="35"/>
      <c r="P76" s="35"/>
    </row>
    <row r="77" spans="2:16">
      <c r="B77" s="28"/>
      <c r="C77" s="196"/>
      <c r="D77" s="47"/>
      <c r="E77" s="28"/>
      <c r="F77" s="215"/>
      <c r="G77" s="215"/>
      <c r="H77" s="2"/>
      <c r="I77" s="19"/>
      <c r="K77" s="35"/>
      <c r="M77" s="35"/>
      <c r="N77" s="35"/>
      <c r="O77" s="35"/>
      <c r="P77" s="35"/>
    </row>
    <row r="78" spans="2:16">
      <c r="B78" s="28"/>
      <c r="C78" s="196"/>
      <c r="D78" s="47"/>
      <c r="E78" s="28"/>
      <c r="F78" s="215"/>
      <c r="G78" s="215"/>
      <c r="H78" s="2"/>
      <c r="I78" s="19"/>
      <c r="K78" s="35"/>
      <c r="M78" s="35"/>
      <c r="N78" s="35"/>
      <c r="O78" s="35"/>
      <c r="P78" s="35"/>
    </row>
    <row r="79" spans="2:16">
      <c r="B79" s="28"/>
      <c r="C79" s="196"/>
      <c r="D79" s="47"/>
      <c r="E79" s="28"/>
      <c r="F79" s="215"/>
      <c r="G79" s="215"/>
      <c r="H79" s="2"/>
      <c r="I79" s="19"/>
      <c r="K79" s="35"/>
      <c r="M79" s="35"/>
      <c r="N79" s="35"/>
      <c r="O79" s="35"/>
      <c r="P79" s="35"/>
    </row>
    <row r="80" spans="2:16">
      <c r="B80" s="28"/>
      <c r="C80" s="196"/>
      <c r="D80" s="47"/>
      <c r="E80" s="28"/>
      <c r="F80" s="215"/>
      <c r="G80" s="215"/>
      <c r="H80" s="2"/>
      <c r="I80" s="19"/>
      <c r="K80" s="35"/>
      <c r="M80" s="35"/>
      <c r="N80" s="35"/>
      <c r="O80" s="35"/>
      <c r="P80" s="35"/>
    </row>
    <row r="81" spans="2:16">
      <c r="B81" s="28"/>
      <c r="C81" s="196"/>
      <c r="D81" s="47"/>
      <c r="E81" s="28"/>
      <c r="F81" s="215"/>
      <c r="G81" s="215"/>
      <c r="H81" s="2"/>
      <c r="I81" s="19"/>
      <c r="K81" s="35"/>
      <c r="M81" s="35"/>
      <c r="N81" s="35"/>
      <c r="O81" s="35"/>
      <c r="P81" s="35"/>
    </row>
    <row r="82" spans="2:16">
      <c r="B82" s="28"/>
      <c r="C82" s="196"/>
      <c r="D82" s="47"/>
      <c r="E82" s="28"/>
      <c r="F82" s="215"/>
      <c r="G82" s="215"/>
      <c r="H82" s="2"/>
      <c r="I82" s="19"/>
      <c r="K82" s="35"/>
      <c r="M82" s="35"/>
      <c r="N82" s="35"/>
      <c r="O82" s="35"/>
      <c r="P82" s="35"/>
    </row>
    <row r="83" spans="2:16">
      <c r="B83" s="28"/>
      <c r="C83" s="196"/>
      <c r="D83" s="47"/>
      <c r="E83" s="28"/>
      <c r="F83" s="215"/>
      <c r="G83" s="215"/>
      <c r="H83" s="2"/>
      <c r="I83" s="19"/>
      <c r="K83" s="35"/>
      <c r="M83" s="35"/>
      <c r="N83" s="35"/>
      <c r="O83" s="35"/>
      <c r="P83" s="35"/>
    </row>
    <row r="84" spans="2:16">
      <c r="B84" s="28"/>
      <c r="C84" s="196"/>
      <c r="D84" s="47"/>
      <c r="E84" s="28"/>
      <c r="F84" s="215"/>
      <c r="G84" s="215"/>
      <c r="H84" s="2"/>
      <c r="I84" s="19"/>
      <c r="K84" s="35"/>
      <c r="M84" s="35"/>
      <c r="N84" s="35"/>
      <c r="O84" s="35"/>
      <c r="P84" s="35"/>
    </row>
    <row r="85" spans="2:16">
      <c r="B85" s="28"/>
      <c r="C85" s="196"/>
      <c r="D85" s="47"/>
      <c r="E85" s="28"/>
      <c r="F85" s="215"/>
      <c r="G85" s="215"/>
      <c r="H85" s="2"/>
      <c r="I85" s="19"/>
      <c r="K85" s="35"/>
      <c r="M85" s="35"/>
      <c r="N85" s="35"/>
      <c r="O85" s="35"/>
      <c r="P85" s="35"/>
    </row>
    <row r="86" spans="2:16">
      <c r="B86" s="28"/>
      <c r="C86" s="196"/>
      <c r="D86" s="47"/>
      <c r="E86" s="28"/>
      <c r="F86" s="215"/>
      <c r="G86" s="215"/>
      <c r="H86" s="2"/>
      <c r="I86" s="19"/>
      <c r="K86" s="35"/>
      <c r="M86" s="35"/>
      <c r="N86" s="35"/>
      <c r="O86" s="35"/>
      <c r="P86" s="35"/>
    </row>
    <row r="87" spans="2:16">
      <c r="B87" s="28"/>
      <c r="C87" s="196"/>
      <c r="D87" s="47"/>
      <c r="E87" s="28"/>
      <c r="F87" s="215"/>
      <c r="G87" s="215"/>
      <c r="H87" s="2"/>
      <c r="I87" s="19"/>
      <c r="K87" s="35"/>
      <c r="M87" s="35"/>
      <c r="N87" s="35"/>
      <c r="O87" s="35"/>
      <c r="P87" s="35"/>
    </row>
    <row r="88" spans="2:16">
      <c r="B88" s="28"/>
      <c r="C88" s="196"/>
      <c r="D88" s="47"/>
      <c r="E88" s="28"/>
      <c r="F88" s="215"/>
      <c r="G88" s="215"/>
      <c r="H88" s="2"/>
      <c r="I88" s="19"/>
      <c r="K88" s="35"/>
      <c r="M88" s="35"/>
      <c r="N88" s="35"/>
      <c r="O88" s="35"/>
      <c r="P88" s="35"/>
    </row>
    <row r="89" spans="2:16">
      <c r="B89" s="28"/>
      <c r="C89" s="196"/>
      <c r="D89" s="47"/>
      <c r="E89" s="28"/>
      <c r="F89" s="215"/>
      <c r="G89" s="215"/>
      <c r="H89" s="2"/>
      <c r="I89" s="19"/>
      <c r="K89" s="35"/>
      <c r="M89" s="35"/>
      <c r="N89" s="35"/>
      <c r="O89" s="35"/>
      <c r="P89" s="35"/>
    </row>
    <row r="90" spans="2:16">
      <c r="B90" s="28"/>
      <c r="C90" s="196"/>
      <c r="D90" s="47"/>
      <c r="E90" s="28"/>
      <c r="F90" s="215"/>
      <c r="G90" s="215"/>
      <c r="H90" s="2"/>
      <c r="I90" s="19"/>
      <c r="K90" s="35"/>
      <c r="M90" s="35"/>
      <c r="N90" s="35"/>
      <c r="O90" s="35"/>
      <c r="P90" s="35"/>
    </row>
    <row r="91" spans="2:16">
      <c r="B91" s="28"/>
      <c r="C91" s="196"/>
      <c r="D91" s="47"/>
      <c r="E91" s="28"/>
      <c r="F91" s="215"/>
      <c r="G91" s="215"/>
      <c r="H91" s="2"/>
      <c r="I91" s="19"/>
      <c r="K91" s="35"/>
      <c r="M91" s="35"/>
      <c r="N91" s="35"/>
      <c r="O91" s="35"/>
      <c r="P91" s="35"/>
    </row>
    <row r="92" spans="2:16">
      <c r="B92" s="28"/>
      <c r="C92" s="196"/>
      <c r="D92" s="47"/>
      <c r="E92" s="28"/>
      <c r="F92" s="215"/>
      <c r="G92" s="215"/>
      <c r="H92" s="2"/>
      <c r="I92" s="19"/>
      <c r="K92" s="35"/>
      <c r="M92" s="35"/>
      <c r="N92" s="35"/>
      <c r="O92" s="35"/>
      <c r="P92" s="35"/>
    </row>
    <row r="93" spans="2:16">
      <c r="B93" s="28"/>
      <c r="C93" s="196"/>
      <c r="D93" s="47"/>
      <c r="E93" s="28"/>
      <c r="F93" s="215"/>
      <c r="G93" s="215"/>
      <c r="H93" s="2"/>
      <c r="I93" s="19"/>
      <c r="K93" s="35"/>
      <c r="M93" s="35"/>
      <c r="N93" s="35"/>
      <c r="O93" s="35"/>
      <c r="P93" s="35"/>
    </row>
    <row r="94" spans="2:16">
      <c r="B94" s="28"/>
      <c r="C94" s="196"/>
      <c r="D94" s="47"/>
      <c r="E94" s="28"/>
      <c r="F94" s="215"/>
      <c r="G94" s="215"/>
      <c r="H94" s="2"/>
      <c r="I94" s="19"/>
      <c r="K94" s="35"/>
      <c r="M94" s="35"/>
      <c r="N94" s="35"/>
      <c r="O94" s="35"/>
      <c r="P94" s="35"/>
    </row>
    <row r="95" spans="2:16">
      <c r="B95" s="28"/>
      <c r="C95" s="196"/>
      <c r="D95" s="47"/>
      <c r="E95" s="28"/>
      <c r="F95" s="215"/>
      <c r="G95" s="215"/>
      <c r="H95" s="2"/>
      <c r="I95" s="19"/>
      <c r="K95" s="35"/>
      <c r="M95" s="35"/>
      <c r="N95" s="35"/>
      <c r="O95" s="35"/>
      <c r="P95" s="35"/>
    </row>
    <row r="96" spans="2:16">
      <c r="B96" s="28"/>
      <c r="C96" s="196"/>
      <c r="D96" s="47"/>
      <c r="E96" s="28"/>
      <c r="F96" s="215"/>
      <c r="G96" s="215"/>
      <c r="H96" s="2"/>
      <c r="I96" s="19"/>
      <c r="K96" s="35"/>
      <c r="M96" s="35"/>
      <c r="N96" s="35"/>
      <c r="O96" s="35"/>
      <c r="P96" s="35"/>
    </row>
    <row r="97" spans="2:16">
      <c r="B97" s="28"/>
      <c r="C97" s="196"/>
      <c r="D97" s="47"/>
      <c r="E97" s="28"/>
      <c r="F97" s="215"/>
      <c r="G97" s="215"/>
      <c r="H97" s="2"/>
      <c r="I97" s="19"/>
      <c r="K97" s="35"/>
      <c r="M97" s="35"/>
      <c r="N97" s="35"/>
      <c r="O97" s="35"/>
      <c r="P97" s="35"/>
    </row>
    <row r="98" spans="2:16">
      <c r="B98" s="28"/>
      <c r="C98" s="196"/>
      <c r="D98" s="47"/>
      <c r="E98" s="28"/>
      <c r="F98" s="215"/>
      <c r="G98" s="215"/>
      <c r="H98" s="2"/>
      <c r="I98" s="19"/>
      <c r="K98" s="35"/>
      <c r="M98" s="35"/>
      <c r="N98" s="35"/>
      <c r="O98" s="35"/>
      <c r="P98" s="35"/>
    </row>
    <row r="99" spans="2:16">
      <c r="B99" s="28"/>
      <c r="C99" s="196"/>
      <c r="D99" s="47"/>
      <c r="E99" s="28"/>
      <c r="F99" s="215"/>
      <c r="G99" s="215"/>
      <c r="H99" s="2"/>
      <c r="I99" s="19"/>
      <c r="K99" s="35"/>
      <c r="M99" s="35"/>
      <c r="N99" s="35"/>
      <c r="O99" s="35"/>
      <c r="P99" s="35"/>
    </row>
    <row r="100" spans="2:16">
      <c r="B100" s="28"/>
      <c r="C100" s="196"/>
      <c r="D100" s="47"/>
      <c r="E100" s="28"/>
      <c r="F100" s="215"/>
      <c r="G100" s="215"/>
      <c r="H100" s="2"/>
      <c r="I100" s="19"/>
      <c r="K100" s="35"/>
      <c r="M100" s="35"/>
      <c r="N100" s="35"/>
      <c r="O100" s="35"/>
      <c r="P100" s="35"/>
    </row>
    <row r="101" spans="2:16">
      <c r="B101" s="28"/>
      <c r="C101" s="196"/>
      <c r="D101" s="47"/>
      <c r="E101" s="28"/>
      <c r="F101" s="215"/>
      <c r="G101" s="215"/>
      <c r="H101" s="2"/>
      <c r="I101" s="19"/>
      <c r="K101" s="35"/>
      <c r="M101" s="35"/>
      <c r="N101" s="35"/>
      <c r="O101" s="35"/>
      <c r="P101" s="35"/>
    </row>
    <row r="102" spans="2:16">
      <c r="B102" s="28"/>
      <c r="C102" s="196"/>
      <c r="D102" s="47"/>
      <c r="E102" s="28"/>
      <c r="F102" s="215"/>
      <c r="G102" s="215"/>
      <c r="H102" s="2"/>
      <c r="I102" s="19"/>
      <c r="K102" s="35"/>
      <c r="M102" s="35"/>
      <c r="N102" s="35"/>
      <c r="O102" s="35"/>
      <c r="P102" s="35"/>
    </row>
    <row r="103" spans="2:16">
      <c r="B103" s="28"/>
      <c r="C103" s="196"/>
      <c r="D103" s="47"/>
      <c r="E103" s="28"/>
      <c r="F103" s="215"/>
      <c r="G103" s="215"/>
      <c r="H103" s="2"/>
      <c r="I103" s="19"/>
      <c r="K103" s="35"/>
      <c r="M103" s="35"/>
      <c r="N103" s="35"/>
      <c r="O103" s="35"/>
      <c r="P103" s="35"/>
    </row>
    <row r="104" spans="2:16">
      <c r="B104" s="28"/>
      <c r="C104" s="196"/>
      <c r="D104" s="47"/>
      <c r="E104" s="28"/>
      <c r="F104" s="215"/>
      <c r="G104" s="215"/>
      <c r="H104" s="2"/>
      <c r="I104" s="19"/>
      <c r="K104" s="35"/>
      <c r="M104" s="35"/>
      <c r="N104" s="35"/>
      <c r="O104" s="35"/>
      <c r="P104" s="35"/>
    </row>
    <row r="105" spans="2:16">
      <c r="B105" s="28"/>
      <c r="C105" s="196"/>
      <c r="D105" s="47"/>
      <c r="E105" s="28"/>
      <c r="F105" s="215"/>
      <c r="G105" s="215"/>
      <c r="H105" s="2"/>
      <c r="I105" s="19"/>
      <c r="K105" s="35"/>
      <c r="M105" s="35"/>
      <c r="N105" s="35"/>
      <c r="O105" s="35"/>
      <c r="P105" s="35"/>
    </row>
    <row r="106" spans="2:16">
      <c r="B106" s="28"/>
      <c r="C106" s="196"/>
      <c r="D106" s="47"/>
      <c r="E106" s="28"/>
      <c r="F106" s="215"/>
      <c r="G106" s="215"/>
      <c r="H106" s="2"/>
      <c r="I106" s="19"/>
      <c r="K106" s="35"/>
      <c r="M106" s="35"/>
      <c r="N106" s="35"/>
      <c r="O106" s="35"/>
      <c r="P106" s="35"/>
    </row>
    <row r="107" spans="2:16">
      <c r="B107" s="28"/>
      <c r="C107" s="196"/>
      <c r="D107" s="47"/>
      <c r="E107" s="28"/>
      <c r="F107" s="215"/>
      <c r="G107" s="215"/>
      <c r="H107" s="2"/>
      <c r="I107" s="19"/>
      <c r="K107" s="35"/>
      <c r="M107" s="35"/>
      <c r="N107" s="35"/>
      <c r="O107" s="35"/>
      <c r="P107" s="35"/>
    </row>
    <row r="108" spans="2:16">
      <c r="B108" s="28"/>
      <c r="C108" s="196"/>
      <c r="D108" s="47"/>
      <c r="E108" s="28"/>
      <c r="F108" s="215"/>
      <c r="G108" s="215"/>
      <c r="H108" s="2"/>
      <c r="I108" s="19"/>
      <c r="K108" s="35"/>
      <c r="M108" s="35"/>
      <c r="N108" s="35"/>
      <c r="O108" s="35"/>
      <c r="P108" s="35"/>
    </row>
    <row r="109" spans="2:16">
      <c r="B109" s="28"/>
      <c r="C109" s="196"/>
      <c r="D109" s="47"/>
      <c r="E109" s="28"/>
      <c r="F109" s="215"/>
      <c r="G109" s="215"/>
      <c r="H109" s="2"/>
      <c r="I109" s="19"/>
      <c r="K109" s="35"/>
      <c r="M109" s="35"/>
      <c r="N109" s="35"/>
      <c r="O109" s="35"/>
      <c r="P109" s="35"/>
    </row>
    <row r="110" spans="2:16">
      <c r="B110" s="28"/>
      <c r="C110" s="196"/>
      <c r="D110" s="47"/>
      <c r="E110" s="28"/>
      <c r="F110" s="215"/>
      <c r="G110" s="215"/>
      <c r="H110" s="2"/>
      <c r="I110" s="19"/>
      <c r="K110" s="35"/>
      <c r="M110" s="35"/>
      <c r="N110" s="35"/>
      <c r="O110" s="35"/>
      <c r="P110" s="35"/>
    </row>
    <row r="111" spans="2:16">
      <c r="B111" s="28"/>
      <c r="C111" s="196"/>
      <c r="D111" s="47"/>
      <c r="E111" s="28"/>
      <c r="F111" s="215"/>
      <c r="G111" s="215"/>
      <c r="H111" s="2"/>
      <c r="I111" s="19"/>
      <c r="K111" s="35"/>
      <c r="M111" s="35"/>
      <c r="N111" s="35"/>
      <c r="O111" s="35"/>
      <c r="P111" s="35"/>
    </row>
    <row r="112" spans="2:16">
      <c r="B112" s="28"/>
      <c r="C112" s="196"/>
      <c r="D112" s="47"/>
      <c r="E112" s="28"/>
      <c r="F112" s="215"/>
      <c r="G112" s="215"/>
      <c r="H112" s="2"/>
      <c r="I112" s="19"/>
      <c r="K112" s="35"/>
      <c r="M112" s="35"/>
      <c r="N112" s="35"/>
      <c r="O112" s="35"/>
      <c r="P112" s="35"/>
    </row>
    <row r="113" spans="2:16">
      <c r="B113" s="28"/>
      <c r="C113" s="196"/>
      <c r="D113" s="47"/>
      <c r="E113" s="28"/>
      <c r="F113" s="215"/>
      <c r="G113" s="215"/>
      <c r="H113" s="2"/>
      <c r="I113" s="19"/>
      <c r="K113" s="35"/>
      <c r="M113" s="35"/>
      <c r="N113" s="35"/>
      <c r="O113" s="35"/>
      <c r="P113" s="35"/>
    </row>
    <row r="114" spans="2:16">
      <c r="B114" s="28"/>
      <c r="C114" s="196"/>
      <c r="D114" s="47"/>
      <c r="E114" s="28"/>
      <c r="F114" s="215"/>
      <c r="G114" s="215"/>
      <c r="H114" s="2"/>
      <c r="I114" s="19"/>
      <c r="K114" s="35"/>
      <c r="M114" s="35"/>
      <c r="N114" s="35"/>
      <c r="O114" s="35"/>
      <c r="P114" s="35"/>
    </row>
    <row r="115" spans="2:16">
      <c r="B115" s="28"/>
      <c r="C115" s="196"/>
      <c r="D115" s="47"/>
      <c r="E115" s="28"/>
      <c r="F115" s="215"/>
      <c r="G115" s="215"/>
      <c r="H115" s="2"/>
      <c r="I115" s="19"/>
      <c r="K115" s="35"/>
      <c r="M115" s="35"/>
      <c r="N115" s="35"/>
      <c r="O115" s="35"/>
      <c r="P115" s="35"/>
    </row>
    <row r="116" spans="2:16">
      <c r="B116" s="28"/>
      <c r="C116" s="196"/>
      <c r="D116" s="47"/>
      <c r="E116" s="28"/>
      <c r="F116" s="215"/>
      <c r="G116" s="215"/>
      <c r="H116" s="2"/>
      <c r="I116" s="19"/>
      <c r="K116" s="35"/>
      <c r="M116" s="35"/>
      <c r="N116" s="35"/>
      <c r="O116" s="35"/>
      <c r="P116" s="35"/>
    </row>
    <row r="117" spans="2:16">
      <c r="B117" s="28"/>
      <c r="C117" s="196"/>
      <c r="D117" s="47"/>
      <c r="E117" s="28"/>
      <c r="F117" s="215"/>
      <c r="G117" s="215"/>
      <c r="H117" s="2"/>
      <c r="I117" s="19"/>
      <c r="K117" s="35"/>
      <c r="M117" s="35"/>
      <c r="N117" s="35"/>
      <c r="O117" s="35"/>
      <c r="P117" s="35"/>
    </row>
    <row r="118" spans="2:16">
      <c r="B118" s="28"/>
      <c r="C118" s="196"/>
      <c r="D118" s="47"/>
      <c r="E118" s="28"/>
      <c r="F118" s="215"/>
      <c r="G118" s="215"/>
      <c r="H118" s="2"/>
      <c r="I118" s="19"/>
      <c r="K118" s="35"/>
      <c r="M118" s="35"/>
      <c r="N118" s="35"/>
      <c r="O118" s="35"/>
      <c r="P118" s="35"/>
    </row>
    <row r="119" spans="2:16">
      <c r="B119" s="28"/>
      <c r="C119" s="196"/>
      <c r="D119" s="47"/>
      <c r="E119" s="28"/>
      <c r="F119" s="215"/>
      <c r="G119" s="215"/>
      <c r="H119" s="2"/>
      <c r="I119" s="19"/>
      <c r="K119" s="35"/>
      <c r="M119" s="35"/>
      <c r="N119" s="35"/>
      <c r="O119" s="35"/>
      <c r="P119" s="35"/>
    </row>
    <row r="120" spans="2:16">
      <c r="B120" s="28"/>
      <c r="C120" s="196"/>
      <c r="D120" s="47"/>
      <c r="E120" s="28"/>
      <c r="F120" s="215"/>
      <c r="G120" s="215"/>
      <c r="H120" s="2"/>
      <c r="I120" s="19"/>
      <c r="K120" s="35"/>
      <c r="M120" s="35"/>
      <c r="N120" s="35"/>
      <c r="O120" s="35"/>
      <c r="P120" s="35"/>
    </row>
    <row r="121" spans="2:16">
      <c r="B121" s="28"/>
      <c r="C121" s="196"/>
      <c r="D121" s="47"/>
      <c r="E121" s="28"/>
      <c r="F121" s="215"/>
      <c r="G121" s="215"/>
      <c r="H121" s="2"/>
      <c r="I121" s="19"/>
      <c r="K121" s="35"/>
      <c r="M121" s="35"/>
      <c r="N121" s="35"/>
      <c r="O121" s="35"/>
      <c r="P121" s="35"/>
    </row>
    <row r="122" spans="2:16">
      <c r="B122" s="28"/>
      <c r="C122" s="196"/>
      <c r="D122" s="47"/>
      <c r="E122" s="28"/>
      <c r="F122" s="215"/>
      <c r="G122" s="215"/>
      <c r="H122" s="2"/>
      <c r="I122" s="19"/>
      <c r="K122" s="35"/>
      <c r="M122" s="35"/>
      <c r="N122" s="35"/>
      <c r="O122" s="35"/>
      <c r="P122" s="35"/>
    </row>
    <row r="123" spans="2:16">
      <c r="B123" s="28"/>
      <c r="C123" s="196"/>
      <c r="D123" s="47"/>
      <c r="E123" s="28"/>
      <c r="F123" s="215"/>
      <c r="G123" s="215"/>
      <c r="H123" s="2"/>
      <c r="I123" s="19"/>
      <c r="K123" s="35"/>
      <c r="M123" s="35"/>
      <c r="N123" s="35"/>
      <c r="O123" s="35"/>
      <c r="P123" s="35"/>
    </row>
    <row r="124" spans="2:16">
      <c r="B124" s="28"/>
      <c r="C124" s="196"/>
      <c r="D124" s="47"/>
      <c r="E124" s="28"/>
      <c r="F124" s="215"/>
      <c r="G124" s="215"/>
      <c r="H124" s="2"/>
      <c r="I124" s="19"/>
      <c r="K124" s="35"/>
      <c r="M124" s="35"/>
      <c r="N124" s="35"/>
      <c r="O124" s="35"/>
      <c r="P124" s="35"/>
    </row>
    <row r="125" spans="2:16">
      <c r="B125" s="28"/>
      <c r="C125" s="196"/>
      <c r="D125" s="47"/>
      <c r="E125" s="28"/>
      <c r="F125" s="215"/>
      <c r="G125" s="215"/>
      <c r="H125" s="2"/>
      <c r="I125" s="19"/>
      <c r="K125" s="35"/>
      <c r="M125" s="35"/>
      <c r="N125" s="35"/>
      <c r="O125" s="35"/>
      <c r="P125" s="35"/>
    </row>
    <row r="126" spans="2:16">
      <c r="B126" s="28"/>
      <c r="C126" s="196"/>
      <c r="D126" s="47"/>
      <c r="E126" s="28"/>
      <c r="F126" s="215"/>
      <c r="G126" s="215"/>
      <c r="H126" s="2"/>
      <c r="I126" s="19"/>
      <c r="K126" s="35"/>
      <c r="M126" s="35"/>
      <c r="N126" s="35"/>
      <c r="O126" s="35"/>
      <c r="P126" s="35"/>
    </row>
    <row r="127" spans="2:16">
      <c r="B127" s="28"/>
      <c r="C127" s="196"/>
      <c r="D127" s="47"/>
      <c r="E127" s="28"/>
      <c r="F127" s="215"/>
      <c r="G127" s="215"/>
      <c r="H127" s="2"/>
      <c r="I127" s="19"/>
      <c r="K127" s="35"/>
      <c r="M127" s="35"/>
      <c r="N127" s="35"/>
      <c r="O127" s="35"/>
      <c r="P127" s="35"/>
    </row>
    <row r="128" spans="2:16">
      <c r="B128" s="28"/>
      <c r="C128" s="196"/>
      <c r="D128" s="47"/>
      <c r="E128" s="28"/>
      <c r="F128" s="215"/>
      <c r="G128" s="215"/>
      <c r="H128" s="2"/>
      <c r="I128" s="19"/>
      <c r="K128" s="35"/>
      <c r="M128" s="35"/>
      <c r="N128" s="35"/>
      <c r="O128" s="35"/>
      <c r="P128" s="35"/>
    </row>
    <row r="129" spans="2:16">
      <c r="B129" s="28"/>
      <c r="C129" s="196"/>
      <c r="D129" s="47"/>
      <c r="E129" s="28"/>
      <c r="F129" s="215"/>
      <c r="G129" s="215"/>
      <c r="H129" s="2"/>
      <c r="I129" s="19"/>
      <c r="K129" s="35"/>
      <c r="M129" s="35"/>
      <c r="N129" s="35"/>
      <c r="O129" s="35"/>
      <c r="P129" s="35"/>
    </row>
    <row r="130" spans="2:16">
      <c r="B130" s="28"/>
      <c r="C130" s="196"/>
      <c r="D130" s="47"/>
      <c r="E130" s="28"/>
      <c r="F130" s="215"/>
      <c r="G130" s="215"/>
      <c r="H130" s="2"/>
      <c r="I130" s="19"/>
      <c r="K130" s="35"/>
      <c r="M130" s="35"/>
      <c r="N130" s="35"/>
      <c r="O130" s="35"/>
      <c r="P130" s="35"/>
    </row>
    <row r="131" spans="2:16">
      <c r="B131" s="28"/>
      <c r="C131" s="196"/>
      <c r="D131" s="47"/>
      <c r="E131" s="28"/>
      <c r="F131" s="215"/>
      <c r="G131" s="215"/>
      <c r="H131" s="2"/>
      <c r="I131" s="19"/>
      <c r="K131" s="35"/>
      <c r="M131" s="35"/>
      <c r="N131" s="35"/>
      <c r="O131" s="35"/>
      <c r="P131" s="35"/>
    </row>
    <row r="132" spans="2:16">
      <c r="B132" s="28"/>
      <c r="C132" s="196"/>
      <c r="D132" s="47"/>
      <c r="E132" s="28"/>
      <c r="F132" s="215"/>
      <c r="G132" s="215"/>
      <c r="H132" s="2"/>
      <c r="I132" s="19"/>
      <c r="K132" s="35"/>
      <c r="M132" s="35"/>
      <c r="N132" s="35"/>
      <c r="O132" s="35"/>
      <c r="P132" s="35"/>
    </row>
    <row r="133" spans="2:16">
      <c r="B133" s="28"/>
      <c r="C133" s="196"/>
      <c r="D133" s="47"/>
      <c r="E133" s="28"/>
      <c r="F133" s="215"/>
      <c r="G133" s="215"/>
      <c r="H133" s="2"/>
      <c r="I133" s="19"/>
      <c r="K133" s="35"/>
      <c r="M133" s="35"/>
      <c r="N133" s="35"/>
      <c r="O133" s="35"/>
      <c r="P133" s="35"/>
    </row>
    <row r="134" spans="2:16">
      <c r="B134" s="28"/>
      <c r="C134" s="196"/>
      <c r="D134" s="47"/>
      <c r="E134" s="28"/>
      <c r="F134" s="215"/>
      <c r="G134" s="215"/>
      <c r="H134" s="2"/>
      <c r="I134" s="19"/>
      <c r="K134" s="35"/>
      <c r="M134" s="35"/>
      <c r="N134" s="35"/>
      <c r="O134" s="35"/>
      <c r="P134" s="35"/>
    </row>
    <row r="135" spans="2:16">
      <c r="B135" s="28"/>
      <c r="C135" s="196"/>
      <c r="D135" s="47"/>
      <c r="E135" s="28"/>
      <c r="F135" s="215"/>
      <c r="G135" s="215"/>
      <c r="H135" s="2"/>
      <c r="I135" s="19"/>
      <c r="K135" s="35"/>
      <c r="M135" s="35"/>
      <c r="N135" s="35"/>
      <c r="O135" s="35"/>
      <c r="P135" s="35"/>
    </row>
    <row r="136" spans="2:16">
      <c r="B136" s="28"/>
      <c r="C136" s="196"/>
      <c r="D136" s="47"/>
      <c r="E136" s="28"/>
      <c r="F136" s="215"/>
      <c r="G136" s="215"/>
      <c r="H136" s="2"/>
      <c r="I136" s="19"/>
      <c r="K136" s="35"/>
      <c r="M136" s="35"/>
      <c r="N136" s="35"/>
      <c r="O136" s="35"/>
      <c r="P136" s="35"/>
    </row>
    <row r="137" spans="2:16">
      <c r="B137" s="28"/>
      <c r="C137" s="196"/>
      <c r="D137" s="47"/>
      <c r="E137" s="28"/>
      <c r="F137" s="215"/>
      <c r="G137" s="215"/>
      <c r="H137" s="2"/>
      <c r="I137" s="19"/>
      <c r="K137" s="35"/>
      <c r="M137" s="35"/>
      <c r="N137" s="35"/>
      <c r="O137" s="35"/>
      <c r="P137" s="35"/>
    </row>
    <row r="138" spans="2:16">
      <c r="B138" s="28"/>
      <c r="C138" s="196"/>
      <c r="D138" s="47"/>
      <c r="E138" s="28"/>
      <c r="F138" s="215"/>
      <c r="G138" s="215"/>
      <c r="H138" s="2"/>
      <c r="I138" s="19"/>
      <c r="K138" s="35"/>
      <c r="M138" s="35"/>
      <c r="N138" s="35"/>
      <c r="O138" s="35"/>
      <c r="P138" s="35"/>
    </row>
    <row r="139" spans="2:16">
      <c r="B139" s="28"/>
      <c r="C139" s="196"/>
      <c r="D139" s="47"/>
      <c r="E139" s="28"/>
      <c r="F139" s="215"/>
      <c r="G139" s="215"/>
      <c r="H139" s="2"/>
      <c r="I139" s="19"/>
      <c r="K139" s="35"/>
      <c r="M139" s="35"/>
      <c r="N139" s="35"/>
      <c r="O139" s="35"/>
      <c r="P139" s="35"/>
    </row>
    <row r="140" spans="2:16">
      <c r="B140" s="28"/>
      <c r="C140" s="196"/>
      <c r="D140" s="47"/>
      <c r="E140" s="28"/>
      <c r="F140" s="215"/>
      <c r="G140" s="215"/>
      <c r="H140" s="2"/>
      <c r="I140" s="19"/>
      <c r="K140" s="35"/>
      <c r="M140" s="35"/>
      <c r="N140" s="35"/>
      <c r="O140" s="35"/>
      <c r="P140" s="35"/>
    </row>
    <row r="141" spans="2:16">
      <c r="B141" s="28"/>
      <c r="C141" s="196"/>
      <c r="D141" s="47"/>
      <c r="E141" s="28"/>
      <c r="F141" s="215"/>
      <c r="G141" s="215"/>
      <c r="H141" s="2"/>
      <c r="I141" s="19"/>
      <c r="K141" s="35"/>
      <c r="M141" s="35"/>
      <c r="N141" s="35"/>
      <c r="O141" s="35"/>
      <c r="P141" s="35"/>
    </row>
    <row r="142" spans="2:16">
      <c r="B142" s="28"/>
      <c r="C142" s="196"/>
      <c r="D142" s="47"/>
      <c r="E142" s="28"/>
      <c r="F142" s="215"/>
      <c r="G142" s="215"/>
      <c r="H142" s="2"/>
      <c r="I142" s="19"/>
      <c r="K142" s="35"/>
      <c r="M142" s="35"/>
      <c r="N142" s="35"/>
      <c r="O142" s="35"/>
      <c r="P142" s="35"/>
    </row>
    <row r="143" spans="2:16">
      <c r="B143" s="28"/>
      <c r="C143" s="196"/>
      <c r="D143" s="47"/>
      <c r="E143" s="28"/>
      <c r="F143" s="215"/>
      <c r="G143" s="215"/>
      <c r="H143" s="2"/>
      <c r="I143" s="19"/>
      <c r="K143" s="35"/>
      <c r="M143" s="35"/>
      <c r="N143" s="35"/>
      <c r="O143" s="35"/>
      <c r="P143" s="35"/>
    </row>
    <row r="144" spans="2:16">
      <c r="B144" s="28"/>
      <c r="C144" s="196"/>
      <c r="D144" s="47"/>
      <c r="E144" s="28"/>
      <c r="F144" s="215"/>
      <c r="G144" s="215"/>
      <c r="H144" s="2"/>
      <c r="I144" s="19"/>
      <c r="K144" s="35"/>
      <c r="M144" s="35"/>
      <c r="N144" s="35"/>
      <c r="O144" s="35"/>
      <c r="P144" s="35"/>
    </row>
    <row r="145" spans="2:16">
      <c r="B145" s="28"/>
      <c r="C145" s="196"/>
      <c r="D145" s="47"/>
      <c r="E145" s="28"/>
      <c r="F145" s="215"/>
      <c r="G145" s="215"/>
      <c r="H145" s="2"/>
      <c r="I145" s="19"/>
      <c r="K145" s="35"/>
      <c r="M145" s="35"/>
      <c r="N145" s="35"/>
      <c r="O145" s="35"/>
      <c r="P145" s="35"/>
    </row>
    <row r="146" spans="2:16">
      <c r="B146" s="28"/>
      <c r="C146" s="196"/>
      <c r="D146" s="47"/>
      <c r="E146" s="28"/>
      <c r="F146" s="215"/>
      <c r="G146" s="215"/>
      <c r="H146" s="2"/>
      <c r="I146" s="19"/>
      <c r="K146" s="35"/>
      <c r="M146" s="35"/>
      <c r="N146" s="35"/>
      <c r="O146" s="35"/>
      <c r="P146" s="35"/>
    </row>
    <row r="147" spans="2:16">
      <c r="B147" s="28"/>
      <c r="C147" s="196"/>
      <c r="D147" s="47"/>
      <c r="E147" s="28"/>
      <c r="F147" s="215"/>
      <c r="G147" s="215"/>
      <c r="H147" s="2"/>
      <c r="I147" s="19"/>
      <c r="K147" s="35"/>
      <c r="M147" s="35"/>
      <c r="N147" s="35"/>
      <c r="O147" s="35"/>
      <c r="P147" s="35"/>
    </row>
    <row r="148" spans="2:16">
      <c r="B148" s="28"/>
      <c r="C148" s="196"/>
      <c r="D148" s="47"/>
      <c r="E148" s="28"/>
      <c r="F148" s="215"/>
      <c r="G148" s="215"/>
      <c r="H148" s="2"/>
      <c r="I148" s="19"/>
      <c r="K148" s="35"/>
      <c r="M148" s="35"/>
      <c r="N148" s="35"/>
      <c r="O148" s="35"/>
      <c r="P148" s="35"/>
    </row>
    <row r="149" spans="2:16">
      <c r="B149" s="28"/>
      <c r="C149" s="196"/>
      <c r="D149" s="47"/>
      <c r="E149" s="28"/>
      <c r="F149" s="215"/>
      <c r="G149" s="215"/>
      <c r="H149" s="2"/>
      <c r="I149" s="19"/>
      <c r="K149" s="35"/>
      <c r="M149" s="35"/>
      <c r="N149" s="35"/>
      <c r="O149" s="35"/>
      <c r="P149" s="35"/>
    </row>
    <row r="150" spans="2:16">
      <c r="B150" s="28"/>
      <c r="C150" s="196"/>
      <c r="D150" s="47"/>
      <c r="E150" s="28"/>
      <c r="F150" s="215"/>
      <c r="G150" s="215"/>
      <c r="H150" s="2"/>
      <c r="I150" s="19"/>
      <c r="K150" s="35"/>
      <c r="M150" s="35"/>
      <c r="N150" s="35"/>
      <c r="O150" s="35"/>
      <c r="P150" s="35"/>
    </row>
    <row r="151" spans="2:16">
      <c r="B151" s="28"/>
      <c r="C151" s="196"/>
      <c r="D151" s="47"/>
      <c r="E151" s="28"/>
      <c r="F151" s="215"/>
      <c r="G151" s="215"/>
      <c r="H151" s="2"/>
      <c r="I151" s="19"/>
      <c r="K151" s="35"/>
      <c r="M151" s="35"/>
      <c r="N151" s="35"/>
      <c r="O151" s="35"/>
      <c r="P151" s="35"/>
    </row>
    <row r="152" spans="2:16">
      <c r="B152" s="28"/>
      <c r="C152" s="196"/>
      <c r="D152" s="47"/>
      <c r="E152" s="28"/>
      <c r="F152" s="215"/>
      <c r="G152" s="215"/>
      <c r="H152" s="2"/>
      <c r="I152" s="19"/>
      <c r="K152" s="35"/>
      <c r="M152" s="35"/>
      <c r="N152" s="35"/>
      <c r="O152" s="35"/>
      <c r="P152" s="35"/>
    </row>
    <row r="153" spans="2:16">
      <c r="B153" s="28"/>
      <c r="C153" s="196"/>
      <c r="D153" s="47"/>
      <c r="E153" s="28"/>
      <c r="F153" s="215"/>
      <c r="G153" s="215"/>
      <c r="H153" s="2"/>
      <c r="I153" s="19"/>
      <c r="K153" s="35"/>
      <c r="M153" s="35"/>
      <c r="N153" s="35"/>
      <c r="O153" s="35"/>
      <c r="P153" s="35"/>
    </row>
    <row r="154" spans="2:16">
      <c r="B154" s="28"/>
      <c r="C154" s="196"/>
      <c r="D154" s="47"/>
      <c r="E154" s="28"/>
      <c r="F154" s="215"/>
      <c r="G154" s="215"/>
      <c r="H154" s="2"/>
      <c r="I154" s="19"/>
      <c r="K154" s="35"/>
      <c r="M154" s="35"/>
      <c r="N154" s="35"/>
      <c r="O154" s="35"/>
      <c r="P154" s="35"/>
    </row>
    <row r="155" spans="2:16">
      <c r="B155" s="28"/>
      <c r="C155" s="196"/>
      <c r="D155" s="47"/>
      <c r="E155" s="28"/>
      <c r="F155" s="215"/>
      <c r="G155" s="215"/>
      <c r="H155" s="2"/>
      <c r="I155" s="19"/>
      <c r="K155" s="35"/>
      <c r="M155" s="35"/>
      <c r="N155" s="35"/>
      <c r="O155" s="35"/>
      <c r="P155" s="35"/>
    </row>
    <row r="156" spans="2:16">
      <c r="B156" s="28"/>
      <c r="C156" s="196"/>
      <c r="D156" s="47"/>
      <c r="E156" s="28"/>
      <c r="F156" s="215"/>
      <c r="G156" s="215"/>
      <c r="H156" s="2"/>
      <c r="I156" s="19"/>
      <c r="K156" s="35"/>
      <c r="M156" s="35"/>
      <c r="N156" s="35"/>
      <c r="O156" s="35"/>
      <c r="P156" s="35"/>
    </row>
    <row r="157" spans="2:16">
      <c r="B157" s="28"/>
      <c r="C157" s="196"/>
      <c r="D157" s="47"/>
      <c r="E157" s="28"/>
      <c r="F157" s="215"/>
      <c r="G157" s="215"/>
      <c r="H157" s="2"/>
      <c r="I157" s="19"/>
      <c r="K157" s="35"/>
      <c r="M157" s="35"/>
      <c r="N157" s="35"/>
      <c r="O157" s="35"/>
      <c r="P157" s="35"/>
    </row>
    <row r="158" spans="2:16">
      <c r="B158" s="28"/>
      <c r="C158" s="196"/>
      <c r="D158" s="47"/>
      <c r="E158" s="28"/>
      <c r="F158" s="215"/>
      <c r="G158" s="215"/>
      <c r="H158" s="2"/>
      <c r="I158" s="19"/>
      <c r="K158" s="35"/>
      <c r="M158" s="35"/>
      <c r="N158" s="35"/>
      <c r="O158" s="35"/>
      <c r="P158" s="35"/>
    </row>
    <row r="159" spans="2:16">
      <c r="B159" s="28"/>
      <c r="C159" s="196"/>
      <c r="D159" s="47"/>
      <c r="E159" s="28"/>
      <c r="F159" s="215"/>
      <c r="G159" s="215"/>
      <c r="H159" s="2"/>
      <c r="I159" s="19"/>
      <c r="K159" s="35"/>
      <c r="M159" s="35"/>
      <c r="N159" s="35"/>
      <c r="O159" s="35"/>
      <c r="P159" s="35"/>
    </row>
    <row r="160" spans="2:16">
      <c r="B160" s="28"/>
      <c r="C160" s="196"/>
      <c r="D160" s="47"/>
      <c r="E160" s="28"/>
      <c r="F160" s="215"/>
      <c r="G160" s="215"/>
      <c r="H160" s="2"/>
      <c r="I160" s="19"/>
      <c r="K160" s="35"/>
      <c r="M160" s="35"/>
      <c r="N160" s="35"/>
      <c r="O160" s="35"/>
      <c r="P160" s="35"/>
    </row>
    <row r="161" spans="2:16">
      <c r="B161" s="28"/>
      <c r="C161" s="196"/>
      <c r="D161" s="47"/>
      <c r="E161" s="28"/>
      <c r="F161" s="215"/>
      <c r="G161" s="215"/>
      <c r="H161" s="2"/>
      <c r="I161" s="19"/>
      <c r="K161" s="35"/>
      <c r="M161" s="35"/>
      <c r="N161" s="35"/>
      <c r="O161" s="35"/>
      <c r="P161" s="35"/>
    </row>
    <row r="162" spans="2:16">
      <c r="B162" s="28"/>
      <c r="C162" s="196"/>
      <c r="D162" s="47"/>
      <c r="E162" s="28"/>
      <c r="F162" s="215"/>
      <c r="G162" s="215"/>
      <c r="H162" s="2"/>
      <c r="I162" s="19"/>
      <c r="K162" s="35"/>
      <c r="M162" s="35"/>
      <c r="N162" s="35"/>
      <c r="O162" s="35"/>
      <c r="P162" s="35"/>
    </row>
    <row r="163" spans="2:16">
      <c r="B163" s="28"/>
      <c r="C163" s="196"/>
      <c r="D163" s="47"/>
      <c r="E163" s="28"/>
      <c r="F163" s="215"/>
      <c r="G163" s="215"/>
      <c r="H163" s="2"/>
      <c r="I163" s="19"/>
      <c r="K163" s="35"/>
      <c r="M163" s="35"/>
      <c r="N163" s="35"/>
      <c r="O163" s="35"/>
      <c r="P163" s="35"/>
    </row>
    <row r="164" spans="2:16">
      <c r="B164" s="28"/>
      <c r="C164" s="196"/>
      <c r="D164" s="47"/>
      <c r="E164" s="28"/>
      <c r="F164" s="215"/>
      <c r="G164" s="215"/>
      <c r="H164" s="2"/>
      <c r="I164" s="19"/>
      <c r="K164" s="35"/>
      <c r="M164" s="35"/>
      <c r="N164" s="35"/>
      <c r="O164" s="35"/>
      <c r="P164" s="35"/>
    </row>
    <row r="165" spans="2:16">
      <c r="B165" s="28"/>
      <c r="C165" s="196"/>
      <c r="D165" s="47"/>
      <c r="E165" s="28"/>
      <c r="F165" s="215"/>
      <c r="G165" s="215"/>
      <c r="H165" s="2"/>
      <c r="I165" s="19"/>
      <c r="K165" s="35"/>
      <c r="M165" s="35"/>
      <c r="N165" s="35"/>
      <c r="O165" s="35"/>
      <c r="P165" s="35"/>
    </row>
    <row r="166" spans="2:16">
      <c r="B166" s="28"/>
      <c r="C166" s="196"/>
      <c r="D166" s="47"/>
      <c r="E166" s="28"/>
      <c r="F166" s="215"/>
      <c r="G166" s="215"/>
      <c r="H166" s="2"/>
      <c r="I166" s="19"/>
      <c r="K166" s="35"/>
      <c r="M166" s="35"/>
      <c r="N166" s="35"/>
      <c r="O166" s="35"/>
      <c r="P166" s="35"/>
    </row>
    <row r="167" spans="2:16">
      <c r="B167" s="28"/>
      <c r="C167" s="196"/>
      <c r="D167" s="47"/>
      <c r="E167" s="28"/>
      <c r="F167" s="215"/>
      <c r="G167" s="215"/>
      <c r="H167" s="2"/>
      <c r="I167" s="19"/>
      <c r="K167" s="35"/>
      <c r="M167" s="35"/>
      <c r="N167" s="35"/>
      <c r="O167" s="35"/>
      <c r="P167" s="35"/>
    </row>
    <row r="168" spans="2:16">
      <c r="B168" s="28"/>
      <c r="C168" s="196"/>
      <c r="D168" s="47"/>
      <c r="E168" s="28"/>
      <c r="F168" s="215"/>
      <c r="G168" s="215"/>
      <c r="H168" s="2"/>
      <c r="I168" s="19"/>
      <c r="K168" s="35"/>
      <c r="M168" s="35"/>
      <c r="N168" s="35"/>
      <c r="O168" s="35"/>
      <c r="P168" s="35"/>
    </row>
    <row r="169" spans="2:16">
      <c r="B169" s="28"/>
      <c r="C169" s="196"/>
      <c r="D169" s="47"/>
      <c r="E169" s="28"/>
      <c r="F169" s="215"/>
      <c r="G169" s="215"/>
      <c r="H169" s="2"/>
      <c r="I169" s="19"/>
      <c r="K169" s="35"/>
      <c r="M169" s="35"/>
      <c r="N169" s="35"/>
      <c r="O169" s="35"/>
      <c r="P169" s="35"/>
    </row>
    <row r="170" spans="2:16">
      <c r="B170" s="28"/>
      <c r="C170" s="196"/>
      <c r="D170" s="47"/>
      <c r="E170" s="28"/>
      <c r="F170" s="215"/>
      <c r="G170" s="215"/>
      <c r="H170" s="2"/>
      <c r="I170" s="19"/>
      <c r="K170" s="35"/>
      <c r="M170" s="35"/>
      <c r="N170" s="35"/>
      <c r="O170" s="35"/>
      <c r="P170" s="35"/>
    </row>
    <row r="171" spans="2:16">
      <c r="B171" s="28"/>
      <c r="C171" s="196"/>
      <c r="D171" s="47"/>
      <c r="E171" s="28"/>
      <c r="F171" s="215"/>
      <c r="G171" s="215"/>
      <c r="H171" s="2"/>
      <c r="I171" s="19"/>
      <c r="K171" s="35"/>
      <c r="M171" s="35"/>
      <c r="N171" s="35"/>
      <c r="O171" s="35"/>
      <c r="P171" s="35"/>
    </row>
    <row r="172" spans="2:16">
      <c r="B172" s="28"/>
      <c r="C172" s="196"/>
      <c r="D172" s="47"/>
      <c r="E172" s="28"/>
      <c r="F172" s="215"/>
      <c r="G172" s="215"/>
      <c r="H172" s="2"/>
      <c r="I172" s="19"/>
      <c r="K172" s="35"/>
      <c r="M172" s="35"/>
      <c r="N172" s="35"/>
      <c r="O172" s="35"/>
      <c r="P172" s="35"/>
    </row>
    <row r="173" spans="2:16">
      <c r="B173" s="28"/>
      <c r="C173" s="196"/>
      <c r="D173" s="47"/>
      <c r="E173" s="28"/>
      <c r="F173" s="215"/>
      <c r="G173" s="215"/>
      <c r="H173" s="2"/>
      <c r="I173" s="19"/>
      <c r="K173" s="35"/>
      <c r="M173" s="35"/>
      <c r="N173" s="35"/>
      <c r="O173" s="35"/>
      <c r="P173" s="35"/>
    </row>
    <row r="174" spans="2:16">
      <c r="B174" s="28"/>
      <c r="C174" s="196"/>
      <c r="D174" s="47"/>
      <c r="E174" s="28"/>
      <c r="F174" s="215"/>
      <c r="G174" s="215"/>
      <c r="H174" s="2"/>
      <c r="I174" s="19"/>
      <c r="K174" s="35"/>
      <c r="M174" s="35"/>
      <c r="N174" s="35"/>
      <c r="O174" s="35"/>
      <c r="P174" s="35"/>
    </row>
    <row r="175" spans="2:16">
      <c r="B175" s="28"/>
      <c r="C175" s="196"/>
      <c r="D175" s="47"/>
      <c r="E175" s="28"/>
      <c r="F175" s="215"/>
      <c r="G175" s="215"/>
      <c r="H175" s="2"/>
      <c r="I175" s="19"/>
      <c r="K175" s="35"/>
      <c r="M175" s="35"/>
      <c r="N175" s="35"/>
      <c r="O175" s="35"/>
      <c r="P175" s="35"/>
    </row>
    <row r="176" spans="2:16">
      <c r="B176" s="28"/>
      <c r="C176" s="196"/>
      <c r="D176" s="47"/>
      <c r="E176" s="28"/>
      <c r="F176" s="215"/>
      <c r="G176" s="215"/>
      <c r="H176" s="2"/>
      <c r="I176" s="19"/>
      <c r="K176" s="35"/>
      <c r="M176" s="35"/>
      <c r="N176" s="35"/>
      <c r="O176" s="35"/>
      <c r="P176" s="35"/>
    </row>
    <row r="177" spans="2:16">
      <c r="B177" s="28"/>
      <c r="C177" s="196"/>
      <c r="D177" s="47"/>
      <c r="E177" s="28"/>
      <c r="F177" s="215"/>
      <c r="G177" s="215"/>
      <c r="H177" s="2"/>
      <c r="I177" s="19"/>
      <c r="K177" s="35"/>
      <c r="M177" s="35"/>
      <c r="N177" s="35"/>
      <c r="O177" s="35"/>
      <c r="P177" s="35"/>
    </row>
    <row r="178" spans="2:16">
      <c r="B178" s="28"/>
      <c r="C178" s="196"/>
      <c r="D178" s="47"/>
      <c r="E178" s="28"/>
      <c r="F178" s="215"/>
      <c r="G178" s="215"/>
      <c r="H178" s="2"/>
      <c r="I178" s="19"/>
      <c r="K178" s="35"/>
      <c r="M178" s="35"/>
      <c r="N178" s="35"/>
      <c r="O178" s="35"/>
      <c r="P178" s="35"/>
    </row>
    <row r="179" spans="2:16">
      <c r="B179" s="28"/>
      <c r="C179" s="196"/>
      <c r="D179" s="47"/>
      <c r="E179" s="28"/>
      <c r="F179" s="215"/>
      <c r="G179" s="215"/>
      <c r="H179" s="2"/>
      <c r="I179" s="19"/>
      <c r="K179" s="35"/>
      <c r="M179" s="35"/>
      <c r="N179" s="35"/>
      <c r="O179" s="35"/>
      <c r="P179" s="35"/>
    </row>
    <row r="180" spans="2:16">
      <c r="B180" s="28"/>
      <c r="C180" s="196"/>
      <c r="D180" s="47"/>
      <c r="E180" s="28"/>
      <c r="F180" s="215"/>
      <c r="G180" s="215"/>
      <c r="H180" s="2"/>
      <c r="I180" s="19"/>
      <c r="K180" s="35"/>
      <c r="M180" s="35"/>
      <c r="N180" s="35"/>
      <c r="O180" s="35"/>
      <c r="P180" s="35"/>
    </row>
    <row r="181" spans="2:16">
      <c r="B181" s="28"/>
      <c r="C181" s="196"/>
      <c r="D181" s="47"/>
      <c r="E181" s="28"/>
      <c r="F181" s="215"/>
      <c r="G181" s="215"/>
      <c r="H181" s="2"/>
      <c r="I181" s="19"/>
      <c r="K181" s="35"/>
      <c r="M181" s="35"/>
      <c r="N181" s="35"/>
      <c r="O181" s="35"/>
      <c r="P181" s="35"/>
    </row>
    <row r="182" spans="2:16">
      <c r="B182" s="28"/>
      <c r="C182" s="196"/>
      <c r="D182" s="47"/>
      <c r="E182" s="28"/>
      <c r="F182" s="215"/>
      <c r="G182" s="215"/>
      <c r="H182" s="2"/>
      <c r="I182" s="19"/>
      <c r="K182" s="35"/>
      <c r="M182" s="35"/>
      <c r="N182" s="35"/>
      <c r="O182" s="35"/>
      <c r="P182" s="35"/>
    </row>
    <row r="183" spans="2:16">
      <c r="B183" s="28"/>
      <c r="C183" s="196"/>
      <c r="D183" s="47"/>
      <c r="E183" s="28"/>
      <c r="F183" s="215"/>
      <c r="G183" s="215"/>
      <c r="H183" s="2"/>
      <c r="I183" s="19"/>
      <c r="K183" s="35"/>
      <c r="M183" s="35"/>
      <c r="N183" s="35"/>
      <c r="O183" s="35"/>
      <c r="P183" s="35"/>
    </row>
    <row r="184" spans="2:16">
      <c r="B184" s="28"/>
      <c r="C184" s="196"/>
      <c r="D184" s="47"/>
      <c r="E184" s="28"/>
      <c r="F184" s="215"/>
      <c r="G184" s="215"/>
      <c r="H184" s="2"/>
      <c r="I184" s="19"/>
      <c r="K184" s="35"/>
      <c r="M184" s="35"/>
      <c r="N184" s="35"/>
      <c r="O184" s="35"/>
      <c r="P184" s="35"/>
    </row>
    <row r="185" spans="2:16">
      <c r="B185" s="28"/>
      <c r="C185" s="196"/>
      <c r="D185" s="47"/>
      <c r="E185" s="28"/>
      <c r="F185" s="215"/>
      <c r="G185" s="215"/>
      <c r="H185" s="2"/>
      <c r="I185" s="19"/>
      <c r="K185" s="35"/>
      <c r="M185" s="35"/>
      <c r="N185" s="35"/>
      <c r="O185" s="35"/>
      <c r="P185" s="35"/>
    </row>
    <row r="186" spans="2:16">
      <c r="B186" s="28"/>
      <c r="C186" s="196"/>
      <c r="D186" s="47"/>
      <c r="E186" s="28"/>
      <c r="F186" s="215"/>
      <c r="G186" s="215"/>
      <c r="H186" s="2"/>
      <c r="I186" s="19"/>
      <c r="K186" s="35"/>
      <c r="M186" s="35"/>
      <c r="N186" s="35"/>
      <c r="O186" s="35"/>
      <c r="P186" s="35"/>
    </row>
    <row r="187" spans="2:16">
      <c r="B187" s="28"/>
      <c r="C187" s="196"/>
      <c r="D187" s="47"/>
      <c r="E187" s="28"/>
      <c r="F187" s="215"/>
      <c r="G187" s="215"/>
      <c r="H187" s="2"/>
      <c r="I187" s="19"/>
      <c r="K187" s="35"/>
      <c r="M187" s="35"/>
      <c r="N187" s="35"/>
      <c r="O187" s="35"/>
      <c r="P187" s="35"/>
    </row>
    <row r="188" spans="2:16">
      <c r="B188" s="28"/>
      <c r="C188" s="196"/>
      <c r="D188" s="47"/>
      <c r="E188" s="28"/>
      <c r="F188" s="215"/>
      <c r="G188" s="215"/>
      <c r="H188" s="2"/>
      <c r="I188" s="19"/>
      <c r="K188" s="35"/>
      <c r="M188" s="35"/>
      <c r="N188" s="35"/>
      <c r="O188" s="35"/>
      <c r="P188" s="35"/>
    </row>
    <row r="189" spans="2:16">
      <c r="B189" s="28"/>
      <c r="C189" s="196"/>
      <c r="D189" s="47"/>
      <c r="E189" s="28"/>
      <c r="F189" s="215"/>
      <c r="G189" s="215"/>
      <c r="H189" s="2"/>
      <c r="I189" s="19"/>
      <c r="K189" s="35"/>
      <c r="M189" s="35"/>
      <c r="N189" s="35"/>
      <c r="O189" s="35"/>
      <c r="P189" s="35"/>
    </row>
    <row r="190" spans="2:16">
      <c r="B190" s="28"/>
      <c r="C190" s="196"/>
      <c r="D190" s="47"/>
      <c r="E190" s="28"/>
      <c r="F190" s="215"/>
      <c r="G190" s="215"/>
      <c r="H190" s="2"/>
      <c r="I190" s="19"/>
      <c r="K190" s="35"/>
      <c r="M190" s="35"/>
      <c r="N190" s="35"/>
      <c r="O190" s="35"/>
      <c r="P190" s="35"/>
    </row>
    <row r="191" spans="2:16">
      <c r="B191" s="28"/>
      <c r="C191" s="196"/>
      <c r="D191" s="47"/>
      <c r="E191" s="28"/>
      <c r="F191" s="215"/>
      <c r="G191" s="215"/>
      <c r="H191" s="2"/>
      <c r="I191" s="19"/>
      <c r="K191" s="35"/>
      <c r="M191" s="35"/>
      <c r="N191" s="35"/>
      <c r="O191" s="35"/>
      <c r="P191" s="35"/>
    </row>
    <row r="192" spans="2:16">
      <c r="B192" s="28"/>
      <c r="C192" s="196"/>
      <c r="D192" s="47"/>
      <c r="E192" s="28"/>
      <c r="F192" s="215"/>
      <c r="G192" s="215"/>
      <c r="H192" s="2"/>
      <c r="I192" s="19"/>
      <c r="K192" s="35"/>
      <c r="M192" s="35"/>
      <c r="N192" s="35"/>
      <c r="O192" s="35"/>
      <c r="P192" s="35"/>
    </row>
    <row r="193" spans="2:16">
      <c r="B193" s="28"/>
      <c r="C193" s="196"/>
      <c r="D193" s="47"/>
      <c r="E193" s="28"/>
      <c r="F193" s="215"/>
      <c r="G193" s="215"/>
      <c r="H193" s="2"/>
      <c r="I193" s="19"/>
      <c r="K193" s="35"/>
      <c r="M193" s="35"/>
      <c r="N193" s="35"/>
      <c r="O193" s="35"/>
      <c r="P193" s="35"/>
    </row>
    <row r="194" spans="2:16">
      <c r="B194" s="28"/>
      <c r="C194" s="196"/>
      <c r="D194" s="47"/>
      <c r="E194" s="28"/>
      <c r="F194" s="215"/>
      <c r="G194" s="215"/>
      <c r="H194" s="2"/>
      <c r="I194" s="19"/>
      <c r="K194" s="35"/>
      <c r="M194" s="35"/>
      <c r="N194" s="35"/>
      <c r="O194" s="35"/>
      <c r="P194" s="35"/>
    </row>
    <row r="195" spans="2:16">
      <c r="B195" s="28"/>
      <c r="C195" s="196"/>
      <c r="D195" s="47"/>
      <c r="E195" s="28"/>
      <c r="F195" s="215"/>
      <c r="G195" s="215"/>
      <c r="H195" s="2"/>
      <c r="I195" s="19"/>
      <c r="K195" s="35"/>
      <c r="M195" s="35"/>
      <c r="N195" s="35"/>
      <c r="O195" s="35"/>
      <c r="P195" s="35"/>
    </row>
    <row r="196" spans="2:16">
      <c r="B196" s="28"/>
      <c r="C196" s="196"/>
      <c r="D196" s="47"/>
      <c r="E196" s="28"/>
      <c r="F196" s="215"/>
      <c r="G196" s="215"/>
      <c r="H196" s="2"/>
      <c r="I196" s="19"/>
      <c r="K196" s="35"/>
      <c r="M196" s="35"/>
      <c r="N196" s="35"/>
      <c r="O196" s="35"/>
      <c r="P196" s="35"/>
    </row>
    <row r="197" spans="2:16">
      <c r="B197" s="28"/>
      <c r="C197" s="196"/>
      <c r="D197" s="47"/>
      <c r="E197" s="28"/>
      <c r="F197" s="215"/>
      <c r="G197" s="215"/>
      <c r="H197" s="2"/>
      <c r="I197" s="19"/>
      <c r="K197" s="35"/>
      <c r="M197" s="35"/>
      <c r="N197" s="35"/>
      <c r="O197" s="35"/>
      <c r="P197" s="35"/>
    </row>
    <row r="198" spans="2:16">
      <c r="D198" s="47"/>
      <c r="E198" s="143"/>
      <c r="H198" s="2"/>
      <c r="I198" s="30"/>
    </row>
    <row r="199" spans="2:16">
      <c r="D199" s="47"/>
      <c r="E199" s="143"/>
      <c r="H199" s="2"/>
      <c r="I199" s="30"/>
    </row>
    <row r="200" spans="2:16">
      <c r="D200" s="47"/>
      <c r="E200" s="143"/>
      <c r="H200" s="2"/>
      <c r="I200" s="30"/>
    </row>
    <row r="201" spans="2:16">
      <c r="D201" s="47"/>
      <c r="E201" s="143"/>
      <c r="H201" s="2"/>
      <c r="I201" s="30"/>
    </row>
    <row r="202" spans="2:16">
      <c r="D202" s="47"/>
      <c r="E202" s="143"/>
      <c r="H202" s="2"/>
      <c r="I202" s="30"/>
    </row>
    <row r="203" spans="2:16">
      <c r="D203" s="47"/>
      <c r="E203" s="143"/>
      <c r="H203" s="2"/>
      <c r="I203" s="30"/>
    </row>
    <row r="204" spans="2:16">
      <c r="D204" s="47"/>
      <c r="E204" s="143"/>
      <c r="H204" s="2"/>
      <c r="I204" s="30"/>
    </row>
    <row r="205" spans="2:16">
      <c r="D205" s="47"/>
      <c r="E205" s="143"/>
      <c r="H205" s="2"/>
      <c r="I205" s="30"/>
    </row>
    <row r="206" spans="2:16">
      <c r="D206" s="47"/>
      <c r="E206" s="143"/>
      <c r="H206" s="2"/>
      <c r="I206" s="30"/>
    </row>
    <row r="207" spans="2:16">
      <c r="D207" s="47"/>
      <c r="E207" s="143"/>
      <c r="H207" s="2"/>
      <c r="I207" s="30"/>
    </row>
    <row r="208" spans="2:16">
      <c r="D208" s="47"/>
      <c r="E208" s="143"/>
      <c r="H208" s="2"/>
      <c r="I208" s="30"/>
    </row>
    <row r="209" spans="4:9">
      <c r="D209" s="47"/>
      <c r="E209" s="143"/>
      <c r="H209" s="2"/>
      <c r="I209" s="30"/>
    </row>
    <row r="210" spans="4:9">
      <c r="D210" s="47"/>
      <c r="E210" s="143"/>
      <c r="H210" s="2"/>
      <c r="I210" s="30"/>
    </row>
    <row r="211" spans="4:9">
      <c r="D211" s="47"/>
      <c r="E211" s="143"/>
      <c r="H211" s="2"/>
      <c r="I211" s="30"/>
    </row>
    <row r="212" spans="4:9">
      <c r="D212" s="47"/>
      <c r="E212" s="143"/>
      <c r="H212" s="2"/>
      <c r="I212" s="30"/>
    </row>
    <row r="213" spans="4:9">
      <c r="D213" s="47"/>
      <c r="E213" s="143"/>
      <c r="H213" s="2"/>
      <c r="I213" s="30"/>
    </row>
    <row r="214" spans="4:9">
      <c r="D214" s="47"/>
      <c r="E214" s="143"/>
      <c r="H214" s="2"/>
      <c r="I214" s="30"/>
    </row>
    <row r="215" spans="4:9">
      <c r="D215" s="47"/>
      <c r="E215" s="143"/>
      <c r="H215" s="2"/>
      <c r="I215" s="30"/>
    </row>
    <row r="216" spans="4:9">
      <c r="D216" s="47"/>
      <c r="E216" s="143"/>
      <c r="H216" s="2"/>
      <c r="I216" s="30"/>
    </row>
    <row r="217" spans="4:9">
      <c r="D217" s="47"/>
      <c r="E217" s="143"/>
      <c r="H217" s="2"/>
      <c r="I217" s="30"/>
    </row>
    <row r="218" spans="4:9">
      <c r="D218" s="47"/>
      <c r="E218" s="143"/>
      <c r="H218" s="2"/>
      <c r="I218" s="30"/>
    </row>
    <row r="219" spans="4:9">
      <c r="D219" s="47"/>
      <c r="E219" s="143"/>
      <c r="H219" s="2"/>
      <c r="I219" s="30"/>
    </row>
    <row r="220" spans="4:9">
      <c r="D220" s="47"/>
      <c r="E220" s="143"/>
      <c r="H220" s="2"/>
      <c r="I220" s="30"/>
    </row>
    <row r="221" spans="4:9">
      <c r="D221" s="47"/>
      <c r="E221" s="143"/>
      <c r="H221" s="2"/>
      <c r="I221" s="30"/>
    </row>
    <row r="222" spans="4:9">
      <c r="D222" s="47"/>
      <c r="E222" s="143"/>
      <c r="H222" s="2"/>
      <c r="I222" s="30"/>
    </row>
    <row r="223" spans="4:9">
      <c r="D223" s="47"/>
      <c r="E223" s="143"/>
      <c r="H223" s="2"/>
      <c r="I223" s="30"/>
    </row>
    <row r="224" spans="4:9">
      <c r="D224" s="47"/>
      <c r="E224" s="143"/>
      <c r="H224" s="2"/>
      <c r="I224" s="30"/>
    </row>
    <row r="225" spans="4:9">
      <c r="D225" s="47"/>
      <c r="E225" s="143"/>
      <c r="H225" s="2"/>
      <c r="I225" s="30"/>
    </row>
    <row r="226" spans="4:9">
      <c r="D226" s="47"/>
      <c r="E226" s="143"/>
      <c r="H226" s="2"/>
      <c r="I226" s="30"/>
    </row>
    <row r="227" spans="4:9">
      <c r="D227" s="47"/>
      <c r="E227" s="143"/>
      <c r="H227" s="2"/>
      <c r="I227" s="30"/>
    </row>
    <row r="228" spans="4:9">
      <c r="D228" s="47"/>
      <c r="E228" s="143"/>
      <c r="H228" s="2"/>
      <c r="I228" s="30"/>
    </row>
    <row r="229" spans="4:9">
      <c r="D229" s="47"/>
      <c r="E229" s="143"/>
      <c r="H229" s="2"/>
      <c r="I229" s="30"/>
    </row>
    <row r="230" spans="4:9">
      <c r="D230" s="47"/>
      <c r="E230" s="143"/>
      <c r="H230" s="2"/>
      <c r="I230" s="30"/>
    </row>
    <row r="231" spans="4:9">
      <c r="D231" s="47"/>
      <c r="E231" s="143"/>
      <c r="H231" s="2"/>
      <c r="I231" s="30"/>
    </row>
    <row r="232" spans="4:9">
      <c r="D232" s="47"/>
      <c r="E232" s="143"/>
      <c r="H232" s="2"/>
      <c r="I232" s="30"/>
    </row>
    <row r="233" spans="4:9">
      <c r="D233" s="47"/>
      <c r="E233" s="143"/>
      <c r="H233" s="2"/>
      <c r="I233" s="30"/>
    </row>
    <row r="234" spans="4:9">
      <c r="D234" s="47"/>
      <c r="E234" s="143"/>
      <c r="H234" s="2"/>
      <c r="I234" s="30"/>
    </row>
    <row r="235" spans="4:9">
      <c r="D235" s="47"/>
      <c r="E235" s="143"/>
      <c r="H235" s="2"/>
      <c r="I235" s="30"/>
    </row>
    <row r="236" spans="4:9">
      <c r="D236" s="47"/>
      <c r="E236" s="143"/>
      <c r="H236" s="2"/>
      <c r="I236" s="30"/>
    </row>
    <row r="237" spans="4:9">
      <c r="D237" s="47"/>
      <c r="E237" s="143"/>
      <c r="H237" s="2"/>
      <c r="I237" s="30"/>
    </row>
    <row r="238" spans="4:9">
      <c r="D238" s="47"/>
      <c r="E238" s="143"/>
      <c r="H238" s="2"/>
      <c r="I238" s="30"/>
    </row>
    <row r="239" spans="4:9">
      <c r="D239" s="47"/>
      <c r="E239" s="143"/>
      <c r="H239" s="2"/>
      <c r="I239" s="30"/>
    </row>
    <row r="240" spans="4:9">
      <c r="D240" s="47"/>
      <c r="E240" s="143"/>
      <c r="H240" s="2"/>
      <c r="I240" s="30"/>
    </row>
    <row r="241" spans="4:9">
      <c r="D241" s="47"/>
      <c r="E241" s="143"/>
      <c r="H241" s="2"/>
      <c r="I241" s="30"/>
    </row>
    <row r="242" spans="4:9">
      <c r="D242" s="47"/>
      <c r="E242" s="143"/>
      <c r="H242" s="2"/>
      <c r="I242" s="30"/>
    </row>
    <row r="243" spans="4:9">
      <c r="D243" s="47"/>
      <c r="E243" s="143"/>
      <c r="H243" s="2"/>
      <c r="I243" s="30"/>
    </row>
    <row r="244" spans="4:9">
      <c r="D244" s="47"/>
      <c r="E244" s="143"/>
      <c r="H244" s="2"/>
      <c r="I244" s="30"/>
    </row>
    <row r="245" spans="4:9">
      <c r="D245" s="47"/>
      <c r="E245" s="143"/>
      <c r="H245" s="2"/>
      <c r="I245" s="30"/>
    </row>
    <row r="246" spans="4:9">
      <c r="D246" s="47"/>
      <c r="E246" s="143"/>
      <c r="H246" s="2"/>
      <c r="I246" s="30"/>
    </row>
    <row r="247" spans="4:9">
      <c r="D247" s="47"/>
      <c r="E247" s="143"/>
      <c r="H247" s="2"/>
      <c r="I247" s="30"/>
    </row>
    <row r="248" spans="4:9">
      <c r="D248" s="47"/>
      <c r="E248" s="143"/>
      <c r="H248" s="2"/>
      <c r="I248" s="30"/>
    </row>
    <row r="249" spans="4:9">
      <c r="D249" s="47"/>
      <c r="E249" s="143"/>
      <c r="H249" s="2"/>
      <c r="I249" s="30"/>
    </row>
    <row r="250" spans="4:9">
      <c r="D250" s="47"/>
      <c r="E250" s="143"/>
      <c r="H250" s="2"/>
      <c r="I250" s="30"/>
    </row>
    <row r="251" spans="4:9">
      <c r="D251" s="47"/>
      <c r="E251" s="143"/>
      <c r="H251" s="2"/>
      <c r="I251" s="30"/>
    </row>
    <row r="252" spans="4:9">
      <c r="D252" s="47"/>
      <c r="E252" s="143"/>
      <c r="H252" s="2"/>
      <c r="I252" s="30"/>
    </row>
    <row r="253" spans="4:9">
      <c r="D253" s="47"/>
      <c r="E253" s="143"/>
      <c r="H253" s="2"/>
      <c r="I253" s="30"/>
    </row>
    <row r="254" spans="4:9">
      <c r="D254" s="47"/>
      <c r="E254" s="143"/>
      <c r="H254" s="2"/>
      <c r="I254" s="30"/>
    </row>
    <row r="255" spans="4:9">
      <c r="D255" s="47"/>
      <c r="E255" s="143"/>
      <c r="H255" s="2"/>
      <c r="I255" s="30"/>
    </row>
    <row r="256" spans="4:9">
      <c r="D256" s="47"/>
      <c r="E256" s="143"/>
      <c r="H256" s="2"/>
      <c r="I256" s="30"/>
    </row>
    <row r="257" spans="4:9">
      <c r="D257" s="47"/>
      <c r="E257" s="143"/>
      <c r="H257" s="2"/>
      <c r="I257" s="30"/>
    </row>
    <row r="258" spans="4:9">
      <c r="D258" s="47"/>
      <c r="E258" s="143"/>
      <c r="H258" s="2"/>
      <c r="I258" s="30"/>
    </row>
    <row r="259" spans="4:9">
      <c r="D259" s="47"/>
      <c r="E259" s="143"/>
      <c r="H259" s="2"/>
      <c r="I259" s="30"/>
    </row>
    <row r="260" spans="4:9">
      <c r="D260" s="47"/>
      <c r="E260" s="143"/>
      <c r="H260" s="2"/>
      <c r="I260" s="30"/>
    </row>
    <row r="261" spans="4:9">
      <c r="D261" s="47"/>
      <c r="E261" s="143"/>
      <c r="H261" s="2"/>
      <c r="I261" s="30"/>
    </row>
    <row r="262" spans="4:9">
      <c r="D262" s="47"/>
      <c r="E262" s="143"/>
      <c r="H262" s="2"/>
      <c r="I262" s="30"/>
    </row>
    <row r="263" spans="4:9">
      <c r="D263" s="47"/>
      <c r="E263" s="143"/>
      <c r="H263" s="2"/>
      <c r="I263" s="30"/>
    </row>
    <row r="264" spans="4:9">
      <c r="D264" s="47"/>
      <c r="E264" s="143"/>
      <c r="H264" s="2"/>
      <c r="I264" s="30"/>
    </row>
    <row r="265" spans="4:9">
      <c r="D265" s="47"/>
      <c r="E265" s="143"/>
      <c r="H265" s="2"/>
      <c r="I265" s="30"/>
    </row>
    <row r="266" spans="4:9">
      <c r="D266" s="47"/>
      <c r="E266" s="143"/>
      <c r="H266" s="2"/>
      <c r="I266" s="30"/>
    </row>
    <row r="267" spans="4:9">
      <c r="D267" s="47"/>
      <c r="E267" s="143"/>
      <c r="H267" s="2"/>
      <c r="I267" s="30"/>
    </row>
    <row r="268" spans="4:9">
      <c r="D268" s="47"/>
      <c r="E268" s="143"/>
      <c r="H268" s="2"/>
      <c r="I268" s="30"/>
    </row>
    <row r="269" spans="4:9">
      <c r="D269" s="47"/>
      <c r="E269" s="143"/>
      <c r="H269" s="2"/>
      <c r="I269" s="30"/>
    </row>
    <row r="270" spans="4:9">
      <c r="D270" s="47"/>
      <c r="E270" s="143"/>
      <c r="H270" s="2"/>
      <c r="I270" s="30"/>
    </row>
    <row r="271" spans="4:9">
      <c r="D271" s="47"/>
      <c r="E271" s="143"/>
      <c r="H271" s="2"/>
      <c r="I271" s="30"/>
    </row>
    <row r="272" spans="4:9">
      <c r="D272" s="47"/>
      <c r="E272" s="143"/>
      <c r="H272" s="2"/>
      <c r="I272" s="30"/>
    </row>
    <row r="273" spans="4:9">
      <c r="D273" s="47"/>
      <c r="E273" s="143"/>
      <c r="H273" s="2"/>
      <c r="I273" s="30"/>
    </row>
    <row r="274" spans="4:9">
      <c r="D274" s="47"/>
      <c r="E274" s="143"/>
      <c r="H274" s="2"/>
      <c r="I274" s="30"/>
    </row>
    <row r="275" spans="4:9">
      <c r="D275" s="47"/>
      <c r="E275" s="143"/>
      <c r="H275" s="2"/>
      <c r="I275" s="30"/>
    </row>
    <row r="276" spans="4:9">
      <c r="D276" s="47"/>
      <c r="E276" s="143"/>
      <c r="H276" s="2"/>
      <c r="I276" s="30"/>
    </row>
    <row r="277" spans="4:9">
      <c r="D277" s="47"/>
      <c r="E277" s="143"/>
      <c r="H277" s="2"/>
      <c r="I277" s="30"/>
    </row>
    <row r="278" spans="4:9">
      <c r="D278" s="47"/>
      <c r="E278" s="143"/>
      <c r="H278" s="2"/>
      <c r="I278" s="30"/>
    </row>
    <row r="279" spans="4:9">
      <c r="D279" s="47"/>
      <c r="E279" s="143"/>
      <c r="H279" s="2"/>
      <c r="I279" s="30"/>
    </row>
    <row r="280" spans="4:9">
      <c r="D280" s="47"/>
      <c r="E280" s="143"/>
      <c r="H280" s="2"/>
      <c r="I280" s="30"/>
    </row>
    <row r="281" spans="4:9">
      <c r="D281" s="47"/>
      <c r="E281" s="143"/>
      <c r="H281" s="2"/>
      <c r="I281" s="30"/>
    </row>
    <row r="282" spans="4:9">
      <c r="D282" s="47"/>
      <c r="E282" s="143"/>
      <c r="H282" s="2"/>
      <c r="I282" s="30"/>
    </row>
    <row r="283" spans="4:9">
      <c r="D283" s="47"/>
      <c r="E283" s="143"/>
      <c r="H283" s="2"/>
      <c r="I283" s="30"/>
    </row>
    <row r="284" spans="4:9">
      <c r="D284" s="47"/>
      <c r="E284" s="143"/>
      <c r="H284" s="2"/>
      <c r="I284" s="30"/>
    </row>
    <row r="285" spans="4:9">
      <c r="D285" s="47"/>
      <c r="E285" s="143"/>
      <c r="H285" s="2"/>
      <c r="I285" s="30"/>
    </row>
    <row r="286" spans="4:9">
      <c r="D286" s="47"/>
      <c r="E286" s="143"/>
      <c r="H286" s="2"/>
      <c r="I286" s="30"/>
    </row>
    <row r="287" spans="4:9">
      <c r="D287" s="47"/>
      <c r="E287" s="143"/>
      <c r="H287" s="2"/>
      <c r="I287" s="30"/>
    </row>
    <row r="288" spans="4:9">
      <c r="D288" s="47"/>
      <c r="E288" s="143"/>
      <c r="H288" s="2"/>
      <c r="I288" s="30"/>
    </row>
    <row r="289" spans="4:9">
      <c r="D289" s="47"/>
      <c r="E289" s="143"/>
      <c r="H289" s="2"/>
      <c r="I289" s="30"/>
    </row>
    <row r="290" spans="4:9">
      <c r="D290" s="47"/>
      <c r="E290" s="143"/>
      <c r="H290" s="2"/>
      <c r="I290" s="30"/>
    </row>
    <row r="291" spans="4:9">
      <c r="D291" s="47"/>
      <c r="E291" s="143"/>
      <c r="H291" s="2"/>
      <c r="I291" s="30"/>
    </row>
    <row r="292" spans="4:9">
      <c r="D292" s="47"/>
      <c r="E292" s="143"/>
      <c r="H292" s="2"/>
      <c r="I292" s="30"/>
    </row>
    <row r="293" spans="4:9">
      <c r="D293" s="47"/>
      <c r="E293" s="143"/>
      <c r="H293" s="2"/>
      <c r="I293" s="30"/>
    </row>
    <row r="294" spans="4:9">
      <c r="D294" s="47"/>
      <c r="E294" s="143"/>
      <c r="H294" s="2"/>
      <c r="I294" s="30"/>
    </row>
    <row r="295" spans="4:9">
      <c r="D295" s="47"/>
      <c r="E295" s="143"/>
      <c r="H295" s="2"/>
      <c r="I295" s="30"/>
    </row>
    <row r="296" spans="4:9">
      <c r="D296" s="47"/>
      <c r="E296" s="143"/>
      <c r="H296" s="2"/>
      <c r="I296" s="30"/>
    </row>
    <row r="297" spans="4:9">
      <c r="D297" s="47"/>
      <c r="E297" s="143"/>
      <c r="H297" s="2"/>
      <c r="I297" s="30"/>
    </row>
    <row r="298" spans="4:9">
      <c r="D298" s="47"/>
      <c r="E298" s="143"/>
      <c r="H298" s="2"/>
      <c r="I298" s="30"/>
    </row>
    <row r="299" spans="4:9">
      <c r="D299" s="47"/>
      <c r="E299" s="143"/>
      <c r="H299" s="2"/>
      <c r="I299" s="30"/>
    </row>
    <row r="300" spans="4:9">
      <c r="D300" s="47"/>
      <c r="E300" s="143"/>
      <c r="H300" s="2"/>
      <c r="I300" s="30"/>
    </row>
    <row r="301" spans="4:9">
      <c r="D301" s="47"/>
      <c r="E301" s="143"/>
      <c r="H301" s="2"/>
      <c r="I301" s="30"/>
    </row>
    <row r="302" spans="4:9">
      <c r="D302" s="47"/>
      <c r="E302" s="143"/>
      <c r="H302" s="2"/>
      <c r="I302" s="30"/>
    </row>
    <row r="303" spans="4:9">
      <c r="D303" s="47"/>
      <c r="E303" s="143"/>
      <c r="H303" s="2"/>
      <c r="I303" s="30"/>
    </row>
    <row r="304" spans="4:9">
      <c r="D304" s="47"/>
      <c r="E304" s="143"/>
      <c r="H304" s="2"/>
      <c r="I304" s="30"/>
    </row>
    <row r="305" spans="4:9">
      <c r="D305" s="47"/>
      <c r="E305" s="143"/>
      <c r="H305" s="2"/>
      <c r="I305" s="30"/>
    </row>
    <row r="306" spans="4:9">
      <c r="D306" s="47"/>
      <c r="E306" s="143"/>
      <c r="H306" s="2"/>
      <c r="I306" s="30"/>
    </row>
    <row r="307" spans="4:9">
      <c r="D307" s="47"/>
      <c r="E307" s="143"/>
      <c r="H307" s="2"/>
      <c r="I307" s="30"/>
    </row>
    <row r="308" spans="4:9">
      <c r="D308" s="47"/>
      <c r="E308" s="143"/>
      <c r="H308" s="2"/>
      <c r="I308" s="30"/>
    </row>
    <row r="309" spans="4:9">
      <c r="D309" s="47"/>
      <c r="E309" s="143"/>
      <c r="H309" s="2"/>
      <c r="I309" s="30"/>
    </row>
    <row r="310" spans="4:9">
      <c r="D310" s="47"/>
      <c r="E310" s="143"/>
      <c r="H310" s="2"/>
      <c r="I310" s="30"/>
    </row>
    <row r="311" spans="4:9">
      <c r="D311" s="47"/>
      <c r="E311" s="143"/>
      <c r="H311" s="2"/>
      <c r="I311" s="30"/>
    </row>
    <row r="312" spans="4:9">
      <c r="D312" s="47"/>
      <c r="E312" s="143"/>
      <c r="H312" s="2"/>
      <c r="I312" s="30"/>
    </row>
    <row r="313" spans="4:9">
      <c r="D313" s="47"/>
      <c r="E313" s="143"/>
      <c r="H313" s="2"/>
      <c r="I313" s="30"/>
    </row>
    <row r="314" spans="4:9">
      <c r="D314" s="47"/>
      <c r="E314" s="143"/>
      <c r="H314" s="2"/>
      <c r="I314" s="30"/>
    </row>
    <row r="315" spans="4:9">
      <c r="D315" s="47"/>
      <c r="E315" s="143"/>
      <c r="H315" s="2"/>
      <c r="I315" s="30"/>
    </row>
    <row r="316" spans="4:9">
      <c r="D316" s="47"/>
      <c r="E316" s="143"/>
      <c r="H316" s="2"/>
      <c r="I316" s="30"/>
    </row>
    <row r="317" spans="4:9">
      <c r="D317" s="47"/>
      <c r="E317" s="143"/>
      <c r="H317" s="2"/>
      <c r="I317" s="30"/>
    </row>
    <row r="318" spans="4:9">
      <c r="D318" s="47"/>
      <c r="E318" s="143"/>
      <c r="H318" s="2"/>
      <c r="I318" s="30"/>
    </row>
    <row r="319" spans="4:9">
      <c r="D319" s="47"/>
      <c r="E319" s="143"/>
      <c r="H319" s="2"/>
      <c r="I319" s="30"/>
    </row>
    <row r="320" spans="4:9">
      <c r="D320" s="47"/>
      <c r="E320" s="143"/>
      <c r="H320" s="2"/>
      <c r="I320" s="30"/>
    </row>
    <row r="321" spans="4:9">
      <c r="D321" s="47"/>
      <c r="E321" s="143"/>
      <c r="H321" s="2"/>
      <c r="I321" s="30"/>
    </row>
    <row r="322" spans="4:9">
      <c r="D322" s="47"/>
      <c r="E322" s="143"/>
      <c r="H322" s="2"/>
      <c r="I322" s="30"/>
    </row>
    <row r="323" spans="4:9">
      <c r="D323" s="47"/>
      <c r="E323" s="143"/>
      <c r="H323" s="2"/>
      <c r="I323" s="30"/>
    </row>
    <row r="324" spans="4:9">
      <c r="D324" s="47"/>
      <c r="E324" s="143"/>
      <c r="H324" s="2"/>
      <c r="I324" s="30"/>
    </row>
    <row r="325" spans="4:9">
      <c r="D325" s="47"/>
      <c r="E325" s="143"/>
      <c r="H325" s="2"/>
      <c r="I325" s="30"/>
    </row>
    <row r="326" spans="4:9">
      <c r="D326" s="47"/>
      <c r="E326" s="143"/>
      <c r="H326" s="2"/>
      <c r="I326" s="30"/>
    </row>
    <row r="327" spans="4:9">
      <c r="D327" s="47"/>
      <c r="E327" s="143"/>
      <c r="H327" s="2"/>
      <c r="I327" s="30"/>
    </row>
    <row r="328" spans="4:9">
      <c r="D328" s="47"/>
      <c r="E328" s="143"/>
      <c r="H328" s="2"/>
      <c r="I328" s="30"/>
    </row>
    <row r="329" spans="4:9">
      <c r="D329" s="47"/>
      <c r="E329" s="143"/>
      <c r="H329" s="2"/>
      <c r="I329" s="30"/>
    </row>
    <row r="330" spans="4:9">
      <c r="D330" s="47"/>
      <c r="E330" s="143"/>
      <c r="H330" s="2"/>
      <c r="I330" s="30"/>
    </row>
    <row r="331" spans="4:9">
      <c r="D331" s="47"/>
      <c r="E331" s="143"/>
      <c r="H331" s="2"/>
      <c r="I331" s="30"/>
    </row>
    <row r="332" spans="4:9">
      <c r="D332" s="47"/>
      <c r="E332" s="143"/>
      <c r="H332" s="2"/>
      <c r="I332" s="30"/>
    </row>
    <row r="333" spans="4:9">
      <c r="D333" s="47"/>
      <c r="E333" s="143"/>
      <c r="H333" s="2"/>
      <c r="I333" s="30"/>
    </row>
    <row r="334" spans="4:9">
      <c r="D334" s="47"/>
      <c r="E334" s="143"/>
      <c r="H334" s="2"/>
      <c r="I334" s="30"/>
    </row>
    <row r="335" spans="4:9">
      <c r="D335" s="47"/>
      <c r="E335" s="143"/>
      <c r="H335" s="2"/>
      <c r="I335" s="30"/>
    </row>
    <row r="336" spans="4:9">
      <c r="D336" s="47"/>
      <c r="E336" s="143"/>
      <c r="H336" s="2"/>
      <c r="I336" s="30"/>
    </row>
    <row r="337" spans="4:9">
      <c r="D337" s="47"/>
      <c r="E337" s="143"/>
      <c r="H337" s="2"/>
      <c r="I337" s="30"/>
    </row>
    <row r="338" spans="4:9">
      <c r="D338" s="47"/>
      <c r="E338" s="143"/>
      <c r="H338" s="2"/>
      <c r="I338" s="30"/>
    </row>
    <row r="339" spans="4:9">
      <c r="D339" s="47"/>
      <c r="E339" s="143"/>
      <c r="H339" s="2"/>
      <c r="I339" s="30"/>
    </row>
    <row r="340" spans="4:9">
      <c r="D340" s="47"/>
      <c r="E340" s="143"/>
      <c r="H340" s="2"/>
      <c r="I340" s="30"/>
    </row>
    <row r="341" spans="4:9">
      <c r="D341" s="47"/>
      <c r="E341" s="143"/>
      <c r="H341" s="2"/>
      <c r="I341" s="30"/>
    </row>
    <row r="342" spans="4:9">
      <c r="D342" s="47"/>
      <c r="E342" s="143"/>
      <c r="H342" s="2"/>
      <c r="I342" s="30"/>
    </row>
    <row r="343" spans="4:9">
      <c r="D343" s="47"/>
      <c r="E343" s="143"/>
      <c r="H343" s="2"/>
      <c r="I343" s="30"/>
    </row>
    <row r="344" spans="4:9">
      <c r="D344" s="47"/>
      <c r="E344" s="143"/>
      <c r="H344" s="2"/>
      <c r="I344" s="30"/>
    </row>
    <row r="345" spans="4:9">
      <c r="D345" s="47"/>
      <c r="E345" s="143"/>
      <c r="H345" s="2"/>
      <c r="I345" s="30"/>
    </row>
    <row r="346" spans="4:9">
      <c r="D346" s="47"/>
      <c r="E346" s="143"/>
      <c r="H346" s="2"/>
      <c r="I346" s="30"/>
    </row>
    <row r="347" spans="4:9">
      <c r="D347" s="47"/>
      <c r="E347" s="143"/>
      <c r="H347" s="2"/>
      <c r="I347" s="30"/>
    </row>
    <row r="348" spans="4:9">
      <c r="D348" s="47"/>
      <c r="E348" s="143"/>
      <c r="H348" s="2"/>
      <c r="I348" s="30"/>
    </row>
    <row r="349" spans="4:9">
      <c r="D349" s="47"/>
      <c r="E349" s="143"/>
      <c r="H349" s="2"/>
      <c r="I349" s="30"/>
    </row>
    <row r="350" spans="4:9">
      <c r="D350" s="47"/>
      <c r="E350" s="143"/>
      <c r="H350" s="2"/>
      <c r="I350" s="30"/>
    </row>
    <row r="351" spans="4:9">
      <c r="D351" s="47"/>
      <c r="E351" s="143"/>
      <c r="H351" s="2"/>
      <c r="I351" s="30"/>
    </row>
    <row r="352" spans="4:9">
      <c r="D352" s="47"/>
      <c r="E352" s="143"/>
      <c r="H352" s="2"/>
      <c r="I352" s="30"/>
    </row>
    <row r="353" spans="4:9">
      <c r="D353" s="47"/>
      <c r="E353" s="143"/>
      <c r="H353" s="2"/>
      <c r="I353" s="30"/>
    </row>
    <row r="354" spans="4:9">
      <c r="D354" s="47"/>
      <c r="E354" s="143"/>
      <c r="H354" s="2"/>
      <c r="I354" s="30"/>
    </row>
    <row r="355" spans="4:9">
      <c r="D355" s="47"/>
      <c r="E355" s="143"/>
      <c r="H355" s="2"/>
      <c r="I355" s="30"/>
    </row>
    <row r="356" spans="4:9">
      <c r="D356" s="47"/>
      <c r="E356" s="143"/>
      <c r="H356" s="2"/>
      <c r="I356" s="30"/>
    </row>
    <row r="357" spans="4:9">
      <c r="D357" s="47"/>
      <c r="E357" s="143"/>
      <c r="H357" s="2"/>
      <c r="I357" s="30"/>
    </row>
    <row r="358" spans="4:9">
      <c r="D358" s="47"/>
      <c r="E358" s="143"/>
      <c r="H358" s="2"/>
      <c r="I358" s="30"/>
    </row>
    <row r="359" spans="4:9">
      <c r="D359" s="47"/>
      <c r="E359" s="143"/>
      <c r="H359" s="2"/>
      <c r="I359" s="30"/>
    </row>
    <row r="360" spans="4:9">
      <c r="D360" s="47"/>
      <c r="E360" s="143"/>
      <c r="H360" s="2"/>
      <c r="I360" s="30"/>
    </row>
    <row r="361" spans="4:9">
      <c r="D361" s="47"/>
      <c r="E361" s="143"/>
      <c r="H361" s="2"/>
      <c r="I361" s="30"/>
    </row>
    <row r="362" spans="4:9">
      <c r="D362" s="47"/>
      <c r="E362" s="143"/>
      <c r="H362" s="2"/>
      <c r="I362" s="30"/>
    </row>
    <row r="363" spans="4:9">
      <c r="D363" s="47"/>
      <c r="E363" s="143"/>
      <c r="H363" s="2"/>
      <c r="I363" s="30"/>
    </row>
    <row r="364" spans="4:9">
      <c r="D364" s="47"/>
      <c r="E364" s="143"/>
      <c r="H364" s="2"/>
      <c r="I364" s="30"/>
    </row>
    <row r="365" spans="4:9">
      <c r="D365" s="47"/>
      <c r="E365" s="143"/>
      <c r="H365" s="2"/>
      <c r="I365" s="30"/>
    </row>
    <row r="366" spans="4:9">
      <c r="D366" s="47"/>
      <c r="E366" s="143"/>
      <c r="H366" s="2"/>
      <c r="I366" s="30"/>
    </row>
    <row r="367" spans="4:9">
      <c r="D367" s="47"/>
      <c r="E367" s="143"/>
      <c r="H367" s="2"/>
      <c r="I367" s="30"/>
    </row>
    <row r="368" spans="4:9">
      <c r="D368" s="47"/>
      <c r="E368" s="143"/>
      <c r="H368" s="2"/>
      <c r="I368" s="30"/>
    </row>
    <row r="369" spans="4:9">
      <c r="D369" s="47"/>
      <c r="E369" s="143"/>
      <c r="H369" s="2"/>
      <c r="I369" s="30"/>
    </row>
    <row r="370" spans="4:9">
      <c r="D370" s="47"/>
      <c r="E370" s="143"/>
      <c r="H370" s="2"/>
      <c r="I370" s="30"/>
    </row>
    <row r="371" spans="4:9">
      <c r="D371" s="47"/>
      <c r="E371" s="143"/>
      <c r="H371" s="2"/>
      <c r="I371" s="30"/>
    </row>
    <row r="372" spans="4:9">
      <c r="D372" s="47"/>
      <c r="E372" s="143"/>
      <c r="H372" s="2"/>
      <c r="I372" s="30"/>
    </row>
    <row r="373" spans="4:9">
      <c r="D373" s="47"/>
      <c r="E373" s="143"/>
      <c r="H373" s="2"/>
      <c r="I373" s="30"/>
    </row>
    <row r="374" spans="4:9">
      <c r="D374" s="47"/>
      <c r="E374" s="143"/>
      <c r="H374" s="2"/>
      <c r="I374" s="30"/>
    </row>
    <row r="375" spans="4:9">
      <c r="D375" s="47"/>
      <c r="E375" s="143"/>
      <c r="H375" s="2"/>
      <c r="I375" s="30"/>
    </row>
    <row r="376" spans="4:9">
      <c r="D376" s="47"/>
      <c r="E376" s="143"/>
      <c r="H376" s="2"/>
      <c r="I376" s="30"/>
    </row>
    <row r="377" spans="4:9">
      <c r="D377" s="47"/>
      <c r="E377" s="143"/>
      <c r="H377" s="2"/>
      <c r="I377" s="30"/>
    </row>
    <row r="378" spans="4:9">
      <c r="D378" s="47"/>
      <c r="E378" s="143"/>
      <c r="H378" s="2"/>
      <c r="I378" s="30"/>
    </row>
    <row r="379" spans="4:9">
      <c r="D379" s="47"/>
      <c r="E379" s="143"/>
      <c r="H379" s="2"/>
      <c r="I379" s="30"/>
    </row>
    <row r="380" spans="4:9">
      <c r="D380" s="47"/>
      <c r="E380" s="143"/>
      <c r="H380" s="2"/>
      <c r="I380" s="30"/>
    </row>
    <row r="381" spans="4:9">
      <c r="D381" s="47"/>
      <c r="E381" s="143"/>
      <c r="H381" s="2"/>
      <c r="I381" s="30"/>
    </row>
    <row r="382" spans="4:9">
      <c r="D382" s="47"/>
      <c r="E382" s="143"/>
      <c r="H382" s="2"/>
      <c r="I382" s="30"/>
    </row>
    <row r="383" spans="4:9">
      <c r="D383" s="47"/>
      <c r="E383" s="143"/>
      <c r="H383" s="2"/>
      <c r="I383" s="30"/>
    </row>
    <row r="384" spans="4:9">
      <c r="D384" s="47"/>
      <c r="E384" s="143"/>
      <c r="H384" s="2"/>
      <c r="I384" s="30"/>
    </row>
    <row r="385" spans="4:9">
      <c r="D385" s="47"/>
      <c r="E385" s="143"/>
      <c r="H385" s="2"/>
      <c r="I385" s="30"/>
    </row>
    <row r="386" spans="4:9">
      <c r="D386" s="47"/>
      <c r="E386" s="143"/>
      <c r="H386" s="2"/>
      <c r="I386" s="30"/>
    </row>
    <row r="387" spans="4:9">
      <c r="D387" s="47"/>
      <c r="E387" s="143"/>
      <c r="H387" s="2"/>
      <c r="I387" s="30"/>
    </row>
    <row r="388" spans="4:9">
      <c r="D388" s="47"/>
      <c r="E388" s="143"/>
      <c r="H388" s="2"/>
      <c r="I388" s="30"/>
    </row>
    <row r="389" spans="4:9">
      <c r="D389" s="47"/>
      <c r="E389" s="143"/>
      <c r="H389" s="2"/>
      <c r="I389" s="30"/>
    </row>
    <row r="390" spans="4:9">
      <c r="D390" s="47"/>
      <c r="E390" s="143"/>
      <c r="H390" s="2"/>
      <c r="I390" s="30"/>
    </row>
    <row r="391" spans="4:9">
      <c r="D391" s="47"/>
      <c r="E391" s="143"/>
      <c r="H391" s="2"/>
      <c r="I391" s="30"/>
    </row>
    <row r="392" spans="4:9">
      <c r="D392" s="47"/>
      <c r="E392" s="143"/>
      <c r="H392" s="2"/>
      <c r="I392" s="30"/>
    </row>
    <row r="393" spans="4:9">
      <c r="D393" s="47"/>
      <c r="E393" s="143"/>
      <c r="H393" s="2"/>
      <c r="I393" s="30"/>
    </row>
    <row r="394" spans="4:9">
      <c r="D394" s="47"/>
      <c r="E394" s="143"/>
      <c r="H394" s="2"/>
      <c r="I394" s="30"/>
    </row>
    <row r="395" spans="4:9">
      <c r="D395" s="47"/>
      <c r="E395" s="143"/>
      <c r="H395" s="2"/>
      <c r="I395" s="30"/>
    </row>
    <row r="396" spans="4:9">
      <c r="D396" s="47"/>
      <c r="E396" s="143"/>
      <c r="H396" s="2"/>
      <c r="I396" s="30"/>
    </row>
    <row r="397" spans="4:9">
      <c r="D397" s="47"/>
      <c r="E397" s="143"/>
      <c r="H397" s="2"/>
      <c r="I397" s="30"/>
    </row>
    <row r="398" spans="4:9">
      <c r="D398" s="47"/>
      <c r="E398" s="143"/>
      <c r="H398" s="2"/>
      <c r="I398" s="30"/>
    </row>
    <row r="399" spans="4:9">
      <c r="D399" s="47"/>
      <c r="E399" s="143"/>
      <c r="H399" s="2"/>
      <c r="I399" s="30"/>
    </row>
    <row r="400" spans="4:9">
      <c r="D400" s="47"/>
      <c r="E400" s="143"/>
      <c r="H400" s="2"/>
      <c r="I400" s="30"/>
    </row>
    <row r="401" spans="4:9">
      <c r="D401" s="47"/>
      <c r="E401" s="143"/>
      <c r="H401" s="2"/>
      <c r="I401" s="30"/>
    </row>
    <row r="402" spans="4:9">
      <c r="D402" s="47"/>
      <c r="E402" s="143"/>
      <c r="H402" s="2"/>
      <c r="I402" s="30"/>
    </row>
    <row r="403" spans="4:9">
      <c r="D403" s="47"/>
      <c r="E403" s="143"/>
      <c r="H403" s="2"/>
      <c r="I403" s="30"/>
    </row>
    <row r="404" spans="4:9">
      <c r="D404" s="47"/>
      <c r="E404" s="143"/>
      <c r="H404" s="2"/>
      <c r="I404" s="30"/>
    </row>
    <row r="405" spans="4:9">
      <c r="D405" s="47"/>
      <c r="E405" s="143"/>
      <c r="H405" s="2"/>
      <c r="I405" s="30"/>
    </row>
    <row r="406" spans="4:9">
      <c r="D406" s="47"/>
      <c r="E406" s="143"/>
      <c r="H406" s="2"/>
      <c r="I406" s="30"/>
    </row>
    <row r="407" spans="4:9">
      <c r="D407" s="47"/>
      <c r="E407" s="143"/>
      <c r="H407" s="2"/>
      <c r="I407" s="30"/>
    </row>
    <row r="408" spans="4:9">
      <c r="D408" s="47"/>
      <c r="E408" s="143"/>
      <c r="H408" s="2"/>
      <c r="I408" s="30"/>
    </row>
    <row r="409" spans="4:9">
      <c r="D409" s="47"/>
      <c r="E409" s="143"/>
      <c r="H409" s="2"/>
      <c r="I409" s="30"/>
    </row>
    <row r="410" spans="4:9">
      <c r="D410" s="47"/>
      <c r="E410" s="143"/>
      <c r="H410" s="2"/>
      <c r="I410" s="30"/>
    </row>
    <row r="411" spans="4:9">
      <c r="D411" s="47"/>
      <c r="E411" s="143"/>
      <c r="H411" s="2"/>
      <c r="I411" s="30"/>
    </row>
    <row r="412" spans="4:9">
      <c r="D412" s="47"/>
      <c r="E412" s="143"/>
      <c r="H412" s="2"/>
      <c r="I412" s="30"/>
    </row>
    <row r="413" spans="4:9">
      <c r="D413" s="47"/>
      <c r="E413" s="143"/>
      <c r="H413" s="2"/>
      <c r="I413" s="30"/>
    </row>
    <row r="414" spans="4:9">
      <c r="D414" s="47"/>
      <c r="E414" s="143"/>
      <c r="H414" s="2"/>
      <c r="I414" s="30"/>
    </row>
    <row r="415" spans="4:9">
      <c r="D415" s="47"/>
      <c r="E415" s="143"/>
      <c r="H415" s="2"/>
      <c r="I415" s="30"/>
    </row>
    <row r="416" spans="4:9">
      <c r="D416" s="47"/>
      <c r="E416" s="143"/>
      <c r="H416" s="2"/>
      <c r="I416" s="30"/>
    </row>
    <row r="417" spans="4:9">
      <c r="D417" s="47"/>
      <c r="E417" s="143"/>
      <c r="H417" s="2"/>
      <c r="I417" s="30"/>
    </row>
    <row r="418" spans="4:9">
      <c r="D418" s="47"/>
      <c r="E418" s="143"/>
      <c r="H418" s="2"/>
      <c r="I418" s="30"/>
    </row>
    <row r="419" spans="4:9">
      <c r="D419" s="47"/>
      <c r="E419" s="143"/>
      <c r="H419" s="2"/>
      <c r="I419" s="30"/>
    </row>
    <row r="420" spans="4:9">
      <c r="D420" s="47"/>
      <c r="E420" s="143"/>
      <c r="H420" s="2"/>
      <c r="I420" s="30"/>
    </row>
    <row r="421" spans="4:9">
      <c r="D421" s="47"/>
      <c r="E421" s="143"/>
      <c r="H421" s="2"/>
      <c r="I421" s="30"/>
    </row>
    <row r="422" spans="4:9">
      <c r="D422" s="47"/>
      <c r="E422" s="143"/>
      <c r="H422" s="2"/>
      <c r="I422" s="30"/>
    </row>
    <row r="423" spans="4:9">
      <c r="D423" s="47"/>
      <c r="E423" s="143"/>
      <c r="H423" s="2"/>
      <c r="I423" s="30"/>
    </row>
    <row r="424" spans="4:9">
      <c r="D424" s="47"/>
      <c r="E424" s="143"/>
      <c r="H424" s="2"/>
      <c r="I424" s="30"/>
    </row>
    <row r="425" spans="4:9">
      <c r="D425" s="47"/>
      <c r="E425" s="143"/>
      <c r="H425" s="2"/>
      <c r="I425" s="30"/>
    </row>
    <row r="426" spans="4:9">
      <c r="D426" s="47"/>
      <c r="E426" s="143"/>
      <c r="H426" s="2"/>
      <c r="I426" s="30"/>
    </row>
    <row r="427" spans="4:9">
      <c r="D427" s="47"/>
      <c r="E427" s="143"/>
      <c r="H427" s="2"/>
      <c r="I427" s="30"/>
    </row>
    <row r="428" spans="4:9">
      <c r="D428" s="47"/>
      <c r="E428" s="143"/>
      <c r="H428" s="2"/>
      <c r="I428" s="30"/>
    </row>
    <row r="429" spans="4:9">
      <c r="D429" s="47"/>
      <c r="E429" s="143"/>
      <c r="H429" s="2"/>
      <c r="I429" s="30"/>
    </row>
    <row r="430" spans="4:9">
      <c r="D430" s="47"/>
      <c r="E430" s="143"/>
      <c r="H430" s="2"/>
      <c r="I430" s="30"/>
    </row>
    <row r="431" spans="4:9">
      <c r="D431" s="47"/>
      <c r="E431" s="143"/>
      <c r="H431" s="2"/>
      <c r="I431" s="30"/>
    </row>
    <row r="432" spans="4:9">
      <c r="D432" s="47"/>
      <c r="E432" s="143"/>
      <c r="H432" s="2"/>
      <c r="I432" s="30"/>
    </row>
    <row r="433" spans="4:9">
      <c r="D433" s="47"/>
      <c r="E433" s="143"/>
      <c r="H433" s="2"/>
      <c r="I433" s="30"/>
    </row>
    <row r="434" spans="4:9">
      <c r="D434" s="47"/>
      <c r="E434" s="143"/>
      <c r="H434" s="2"/>
      <c r="I434" s="30"/>
    </row>
    <row r="435" spans="4:9">
      <c r="D435" s="47"/>
      <c r="E435" s="143"/>
      <c r="H435" s="2"/>
      <c r="I435" s="30"/>
    </row>
    <row r="436" spans="4:9">
      <c r="D436" s="47"/>
      <c r="E436" s="143"/>
      <c r="H436" s="2"/>
      <c r="I436" s="30"/>
    </row>
    <row r="437" spans="4:9">
      <c r="D437" s="47"/>
      <c r="E437" s="143"/>
      <c r="H437" s="2"/>
      <c r="I437" s="30"/>
    </row>
    <row r="438" spans="4:9">
      <c r="D438" s="47"/>
      <c r="E438" s="143"/>
      <c r="H438" s="2"/>
      <c r="I438" s="30"/>
    </row>
    <row r="439" spans="4:9">
      <c r="D439" s="47"/>
      <c r="E439" s="143"/>
      <c r="H439" s="2"/>
      <c r="I439" s="30"/>
    </row>
    <row r="440" spans="4:9">
      <c r="D440" s="47"/>
      <c r="E440" s="143"/>
      <c r="H440" s="2"/>
      <c r="I440" s="30"/>
    </row>
    <row r="441" spans="4:9">
      <c r="D441" s="47"/>
      <c r="E441" s="143"/>
      <c r="H441" s="2"/>
      <c r="I441" s="30"/>
    </row>
    <row r="442" spans="4:9">
      <c r="D442" s="47"/>
      <c r="E442" s="143"/>
      <c r="H442" s="2"/>
      <c r="I442" s="30"/>
    </row>
    <row r="443" spans="4:9">
      <c r="D443" s="47"/>
      <c r="E443" s="143"/>
      <c r="H443" s="2"/>
      <c r="I443" s="30"/>
    </row>
    <row r="444" spans="4:9">
      <c r="D444" s="47"/>
      <c r="E444" s="143"/>
      <c r="H444" s="2"/>
      <c r="I444" s="30"/>
    </row>
    <row r="445" spans="4:9">
      <c r="D445" s="47"/>
      <c r="E445" s="143"/>
      <c r="H445" s="2"/>
      <c r="I445" s="30"/>
    </row>
    <row r="446" spans="4:9">
      <c r="D446" s="47"/>
      <c r="E446" s="143"/>
      <c r="H446" s="2"/>
      <c r="I446" s="30"/>
    </row>
    <row r="447" spans="4:9">
      <c r="D447" s="47"/>
      <c r="E447" s="143"/>
      <c r="H447" s="2"/>
      <c r="I447" s="30"/>
    </row>
    <row r="448" spans="4:9">
      <c r="D448" s="47"/>
      <c r="E448" s="143"/>
      <c r="H448" s="2"/>
      <c r="I448" s="30"/>
    </row>
    <row r="449" spans="4:9">
      <c r="D449" s="47"/>
      <c r="E449" s="143"/>
      <c r="H449" s="2"/>
      <c r="I449" s="30"/>
    </row>
    <row r="450" spans="4:9">
      <c r="D450" s="47"/>
      <c r="E450" s="143"/>
      <c r="H450" s="2"/>
      <c r="I450" s="30"/>
    </row>
    <row r="451" spans="4:9">
      <c r="D451" s="47"/>
      <c r="E451" s="143"/>
      <c r="H451" s="2"/>
      <c r="I451" s="30"/>
    </row>
    <row r="452" spans="4:9">
      <c r="D452" s="47"/>
      <c r="E452" s="143"/>
      <c r="H452" s="2"/>
      <c r="I452" s="30"/>
    </row>
    <row r="453" spans="4:9">
      <c r="D453" s="47"/>
      <c r="E453" s="143"/>
      <c r="H453" s="2"/>
      <c r="I453" s="30"/>
    </row>
    <row r="454" spans="4:9">
      <c r="D454" s="47"/>
      <c r="E454" s="143"/>
      <c r="H454" s="2"/>
      <c r="I454" s="30"/>
    </row>
    <row r="455" spans="4:9">
      <c r="D455" s="47"/>
      <c r="E455" s="143"/>
      <c r="H455" s="2"/>
      <c r="I455" s="30"/>
    </row>
    <row r="456" spans="4:9">
      <c r="D456" s="47"/>
      <c r="E456" s="143"/>
      <c r="H456" s="2"/>
      <c r="I456" s="30"/>
    </row>
    <row r="457" spans="4:9">
      <c r="D457" s="47"/>
      <c r="E457" s="143"/>
      <c r="H457" s="2"/>
      <c r="I457" s="30"/>
    </row>
    <row r="458" spans="4:9">
      <c r="D458" s="47"/>
      <c r="E458" s="143"/>
      <c r="H458" s="2"/>
      <c r="I458" s="30"/>
    </row>
    <row r="459" spans="4:9">
      <c r="D459" s="47"/>
      <c r="E459" s="143"/>
      <c r="H459" s="2"/>
      <c r="I459" s="30"/>
    </row>
    <row r="460" spans="4:9">
      <c r="D460" s="47"/>
      <c r="E460" s="143"/>
      <c r="H460" s="2"/>
      <c r="I460" s="30"/>
    </row>
    <row r="461" spans="4:9">
      <c r="D461" s="47"/>
      <c r="E461" s="143"/>
      <c r="H461" s="2"/>
      <c r="I461" s="30"/>
    </row>
    <row r="462" spans="4:9">
      <c r="D462" s="47"/>
      <c r="E462" s="143"/>
      <c r="H462" s="2"/>
      <c r="I462" s="30"/>
    </row>
    <row r="463" spans="4:9">
      <c r="D463" s="47"/>
      <c r="E463" s="143"/>
      <c r="H463" s="2"/>
      <c r="I463" s="30"/>
    </row>
    <row r="464" spans="4:9">
      <c r="D464" s="47"/>
      <c r="E464" s="143"/>
      <c r="H464" s="2"/>
      <c r="I464" s="30"/>
    </row>
    <row r="465" spans="4:9">
      <c r="D465" s="47"/>
      <c r="E465" s="143"/>
      <c r="H465" s="2"/>
      <c r="I465" s="30"/>
    </row>
    <row r="466" spans="4:9">
      <c r="D466" s="47"/>
      <c r="E466" s="143"/>
      <c r="H466" s="2"/>
      <c r="I466" s="30"/>
    </row>
    <row r="467" spans="4:9">
      <c r="D467" s="47"/>
      <c r="E467" s="143"/>
      <c r="H467" s="2"/>
      <c r="I467" s="30"/>
    </row>
    <row r="468" spans="4:9">
      <c r="D468" s="47"/>
      <c r="E468" s="143"/>
      <c r="H468" s="2"/>
      <c r="I468" s="30"/>
    </row>
    <row r="469" spans="4:9">
      <c r="D469" s="47"/>
      <c r="E469" s="143"/>
      <c r="H469" s="2"/>
      <c r="I469" s="30"/>
    </row>
    <row r="470" spans="4:9">
      <c r="D470" s="47"/>
      <c r="E470" s="143"/>
      <c r="H470" s="2"/>
      <c r="I470" s="30"/>
    </row>
    <row r="471" spans="4:9">
      <c r="D471" s="47"/>
      <c r="E471" s="143"/>
      <c r="H471" s="2"/>
      <c r="I471" s="30"/>
    </row>
    <row r="472" spans="4:9">
      <c r="D472" s="47"/>
      <c r="E472" s="143"/>
      <c r="H472" s="2"/>
      <c r="I472" s="30"/>
    </row>
    <row r="473" spans="4:9">
      <c r="D473" s="47"/>
      <c r="E473" s="143"/>
      <c r="H473" s="2"/>
      <c r="I473" s="30"/>
    </row>
    <row r="474" spans="4:9">
      <c r="D474" s="47"/>
      <c r="E474" s="143"/>
      <c r="H474" s="2"/>
      <c r="I474" s="30"/>
    </row>
    <row r="475" spans="4:9">
      <c r="D475" s="47"/>
      <c r="E475" s="143"/>
      <c r="H475" s="2"/>
      <c r="I475" s="30"/>
    </row>
    <row r="476" spans="4:9">
      <c r="D476" s="47"/>
      <c r="E476" s="143"/>
      <c r="H476" s="2"/>
      <c r="I476" s="30"/>
    </row>
    <row r="477" spans="4:9">
      <c r="D477" s="47"/>
      <c r="E477" s="143"/>
      <c r="H477" s="2"/>
      <c r="I477" s="30"/>
    </row>
    <row r="478" spans="4:9">
      <c r="D478" s="47"/>
      <c r="E478" s="143"/>
      <c r="H478" s="2"/>
      <c r="I478" s="30"/>
    </row>
    <row r="479" spans="4:9">
      <c r="D479" s="47"/>
      <c r="E479" s="143"/>
      <c r="H479" s="2"/>
      <c r="I479" s="30"/>
    </row>
    <row r="480" spans="4:9">
      <c r="D480" s="47"/>
      <c r="E480" s="143"/>
      <c r="H480" s="2"/>
      <c r="I480" s="30"/>
    </row>
    <row r="481" spans="4:9">
      <c r="D481" s="47"/>
      <c r="E481" s="143"/>
      <c r="H481" s="2"/>
      <c r="I481" s="30"/>
    </row>
    <row r="482" spans="4:9">
      <c r="D482" s="47"/>
      <c r="E482" s="143"/>
      <c r="H482" s="2"/>
      <c r="I482" s="30"/>
    </row>
    <row r="483" spans="4:9">
      <c r="D483" s="47"/>
      <c r="E483" s="143"/>
      <c r="H483" s="2"/>
      <c r="I483" s="30"/>
    </row>
    <row r="484" spans="4:9">
      <c r="D484" s="47"/>
      <c r="E484" s="143"/>
      <c r="H484" s="2"/>
      <c r="I484" s="30"/>
    </row>
    <row r="485" spans="4:9">
      <c r="D485" s="47"/>
      <c r="E485" s="143"/>
      <c r="H485" s="2"/>
      <c r="I485" s="30"/>
    </row>
    <row r="486" spans="4:9">
      <c r="D486" s="47"/>
      <c r="E486" s="143"/>
      <c r="H486" s="2"/>
      <c r="I486" s="30"/>
    </row>
    <row r="487" spans="4:9">
      <c r="D487" s="47"/>
      <c r="E487" s="143"/>
      <c r="H487" s="2"/>
      <c r="I487" s="30"/>
    </row>
    <row r="488" spans="4:9">
      <c r="D488" s="47"/>
      <c r="E488" s="143"/>
      <c r="H488" s="2"/>
      <c r="I488" s="30"/>
    </row>
    <row r="489" spans="4:9">
      <c r="D489" s="47"/>
      <c r="E489" s="143"/>
      <c r="H489" s="2"/>
      <c r="I489" s="30"/>
    </row>
    <row r="490" spans="4:9">
      <c r="D490" s="47"/>
      <c r="E490" s="143"/>
      <c r="H490" s="2"/>
      <c r="I490" s="30"/>
    </row>
    <row r="491" spans="4:9">
      <c r="D491" s="47"/>
      <c r="E491" s="143"/>
      <c r="H491" s="2"/>
      <c r="I491" s="30"/>
    </row>
    <row r="492" spans="4:9">
      <c r="D492" s="47"/>
      <c r="E492" s="143"/>
      <c r="H492" s="2"/>
      <c r="I492" s="30"/>
    </row>
    <row r="493" spans="4:9">
      <c r="D493" s="47"/>
      <c r="E493" s="143"/>
      <c r="H493" s="2"/>
      <c r="I493" s="30"/>
    </row>
    <row r="494" spans="4:9">
      <c r="D494" s="47"/>
      <c r="E494" s="143"/>
      <c r="H494" s="2"/>
      <c r="I494" s="30"/>
    </row>
    <row r="495" spans="4:9">
      <c r="D495" s="47"/>
      <c r="E495" s="143"/>
      <c r="H495" s="2"/>
      <c r="I495" s="30"/>
    </row>
    <row r="496" spans="4:9">
      <c r="D496" s="47"/>
      <c r="E496" s="143"/>
      <c r="H496" s="2"/>
      <c r="I496" s="30"/>
    </row>
    <row r="497" spans="4:9">
      <c r="D497" s="47"/>
      <c r="E497" s="143"/>
      <c r="H497" s="2"/>
      <c r="I497" s="30"/>
    </row>
    <row r="498" spans="4:9">
      <c r="D498" s="47"/>
      <c r="E498" s="143"/>
      <c r="H498" s="2"/>
      <c r="I498" s="30"/>
    </row>
    <row r="499" spans="4:9">
      <c r="D499" s="47"/>
      <c r="E499" s="143"/>
      <c r="H499" s="2"/>
      <c r="I499" s="30"/>
    </row>
    <row r="500" spans="4:9">
      <c r="D500" s="47"/>
      <c r="E500" s="143"/>
      <c r="H500" s="2"/>
      <c r="I500" s="30"/>
    </row>
    <row r="501" spans="4:9">
      <c r="D501" s="47"/>
      <c r="E501" s="143"/>
      <c r="H501" s="2"/>
      <c r="I501" s="30"/>
    </row>
    <row r="502" spans="4:9">
      <c r="D502" s="47"/>
      <c r="E502" s="143"/>
      <c r="H502" s="2"/>
      <c r="I502" s="30"/>
    </row>
    <row r="503" spans="4:9">
      <c r="D503" s="47"/>
      <c r="E503" s="143"/>
      <c r="H503" s="2"/>
      <c r="I503" s="30"/>
    </row>
    <row r="504" spans="4:9">
      <c r="D504" s="47"/>
      <c r="E504" s="143"/>
      <c r="H504" s="2"/>
      <c r="I504" s="30"/>
    </row>
    <row r="505" spans="4:9">
      <c r="D505" s="47"/>
      <c r="E505" s="143"/>
      <c r="H505" s="2"/>
      <c r="I505" s="30"/>
    </row>
    <row r="506" spans="4:9">
      <c r="D506" s="47"/>
      <c r="E506" s="143"/>
      <c r="H506" s="2"/>
      <c r="I506" s="30"/>
    </row>
    <row r="507" spans="4:9">
      <c r="D507" s="47"/>
      <c r="E507" s="143"/>
      <c r="H507" s="2"/>
      <c r="I507" s="30"/>
    </row>
    <row r="508" spans="4:9">
      <c r="D508" s="47"/>
      <c r="E508" s="143"/>
      <c r="H508" s="2"/>
      <c r="I508" s="30"/>
    </row>
    <row r="509" spans="4:9">
      <c r="D509" s="47"/>
      <c r="E509" s="143"/>
      <c r="H509" s="2"/>
      <c r="I509" s="30"/>
    </row>
    <row r="510" spans="4:9">
      <c r="D510" s="47"/>
      <c r="E510" s="143"/>
      <c r="H510" s="2"/>
      <c r="I510" s="30"/>
    </row>
    <row r="511" spans="4:9">
      <c r="D511" s="47"/>
      <c r="E511" s="143"/>
      <c r="H511" s="2"/>
      <c r="I511" s="30"/>
    </row>
    <row r="512" spans="4:9">
      <c r="D512" s="47"/>
      <c r="E512" s="143"/>
      <c r="H512" s="2"/>
      <c r="I512" s="30"/>
    </row>
    <row r="513" spans="4:9">
      <c r="D513" s="47"/>
      <c r="E513" s="143"/>
      <c r="H513" s="2"/>
      <c r="I513" s="30"/>
    </row>
    <row r="514" spans="4:9">
      <c r="D514" s="47"/>
      <c r="E514" s="143"/>
      <c r="H514" s="2"/>
      <c r="I514" s="30"/>
    </row>
    <row r="515" spans="4:9">
      <c r="D515" s="47"/>
      <c r="E515" s="143"/>
      <c r="H515" s="2"/>
      <c r="I515" s="30"/>
    </row>
    <row r="516" spans="4:9">
      <c r="D516" s="47"/>
      <c r="E516" s="143"/>
      <c r="H516" s="2"/>
      <c r="I516" s="30"/>
    </row>
    <row r="517" spans="4:9">
      <c r="D517" s="47"/>
      <c r="E517" s="143"/>
      <c r="H517" s="2"/>
      <c r="I517" s="30"/>
    </row>
    <row r="518" spans="4:9">
      <c r="D518" s="47"/>
      <c r="E518" s="143"/>
      <c r="H518" s="2"/>
      <c r="I518" s="30"/>
    </row>
    <row r="519" spans="4:9">
      <c r="D519" s="47"/>
      <c r="E519" s="143"/>
      <c r="H519" s="2"/>
      <c r="I519" s="30"/>
    </row>
    <row r="520" spans="4:9">
      <c r="D520" s="47"/>
      <c r="E520" s="143"/>
      <c r="H520" s="2"/>
      <c r="I520" s="30"/>
    </row>
    <row r="521" spans="4:9">
      <c r="D521" s="47"/>
      <c r="E521" s="143"/>
      <c r="H521" s="2"/>
      <c r="I521" s="30"/>
    </row>
    <row r="522" spans="4:9">
      <c r="D522" s="47"/>
      <c r="E522" s="143"/>
      <c r="H522" s="2"/>
      <c r="I522" s="30"/>
    </row>
    <row r="523" spans="4:9">
      <c r="D523" s="47"/>
      <c r="E523" s="143"/>
      <c r="H523" s="2"/>
      <c r="I523" s="30"/>
    </row>
    <row r="524" spans="4:9">
      <c r="D524" s="47"/>
      <c r="E524" s="143"/>
      <c r="H524" s="2"/>
      <c r="I524" s="30"/>
    </row>
    <row r="525" spans="4:9">
      <c r="D525" s="47"/>
      <c r="E525" s="143"/>
      <c r="H525" s="2"/>
      <c r="I525" s="30"/>
    </row>
    <row r="526" spans="4:9">
      <c r="D526" s="47"/>
      <c r="E526" s="143"/>
      <c r="H526" s="2"/>
      <c r="I526" s="30"/>
    </row>
    <row r="527" spans="4:9">
      <c r="D527" s="47"/>
      <c r="E527" s="143"/>
      <c r="H527" s="2"/>
      <c r="I527" s="30"/>
    </row>
    <row r="528" spans="4:9">
      <c r="D528" s="47"/>
      <c r="E528" s="143"/>
      <c r="H528" s="2"/>
      <c r="I528" s="30"/>
    </row>
    <row r="529" spans="4:9">
      <c r="D529" s="47"/>
      <c r="E529" s="143"/>
      <c r="H529" s="2"/>
      <c r="I529" s="30"/>
    </row>
    <row r="530" spans="4:9">
      <c r="D530" s="47"/>
      <c r="E530" s="143"/>
      <c r="H530" s="2"/>
      <c r="I530" s="30"/>
    </row>
    <row r="531" spans="4:9">
      <c r="D531" s="47"/>
      <c r="E531" s="143"/>
      <c r="H531" s="2"/>
      <c r="I531" s="30"/>
    </row>
    <row r="532" spans="4:9">
      <c r="D532" s="47"/>
      <c r="E532" s="143"/>
      <c r="H532" s="2"/>
      <c r="I532" s="30"/>
    </row>
    <row r="533" spans="4:9">
      <c r="D533" s="47"/>
      <c r="E533" s="143"/>
      <c r="H533" s="2"/>
      <c r="I533" s="30"/>
    </row>
    <row r="534" spans="4:9">
      <c r="D534" s="47"/>
      <c r="E534" s="143"/>
      <c r="H534" s="2"/>
      <c r="I534" s="30"/>
    </row>
    <row r="535" spans="4:9">
      <c r="D535" s="47"/>
      <c r="E535" s="143"/>
      <c r="H535" s="2"/>
      <c r="I535" s="30"/>
    </row>
    <row r="536" spans="4:9">
      <c r="D536" s="47"/>
      <c r="E536" s="143"/>
      <c r="H536" s="2"/>
      <c r="I536" s="30"/>
    </row>
    <row r="537" spans="4:9">
      <c r="D537" s="47"/>
      <c r="E537" s="143"/>
      <c r="H537" s="2"/>
      <c r="I537" s="30"/>
    </row>
    <row r="538" spans="4:9">
      <c r="D538" s="47"/>
      <c r="E538" s="143"/>
      <c r="H538" s="2"/>
      <c r="I538" s="30"/>
    </row>
    <row r="539" spans="4:9">
      <c r="D539" s="47"/>
      <c r="E539" s="143"/>
      <c r="H539" s="2"/>
      <c r="I539" s="30"/>
    </row>
    <row r="540" spans="4:9">
      <c r="D540" s="47"/>
      <c r="E540" s="143"/>
      <c r="H540" s="2"/>
      <c r="I540" s="30"/>
    </row>
    <row r="541" spans="4:9">
      <c r="D541" s="47"/>
      <c r="E541" s="143"/>
      <c r="H541" s="2"/>
      <c r="I541" s="30"/>
    </row>
    <row r="542" spans="4:9">
      <c r="D542" s="47"/>
      <c r="E542" s="143"/>
      <c r="H542" s="2"/>
      <c r="I542" s="30"/>
    </row>
    <row r="543" spans="4:9">
      <c r="D543" s="47"/>
      <c r="E543" s="143"/>
      <c r="H543" s="2"/>
      <c r="I543" s="30"/>
    </row>
    <row r="544" spans="4:9">
      <c r="D544" s="47"/>
      <c r="E544" s="143"/>
      <c r="H544" s="2"/>
      <c r="I544" s="30"/>
    </row>
    <row r="545" spans="4:9">
      <c r="D545" s="47"/>
      <c r="E545" s="143"/>
      <c r="H545" s="2"/>
      <c r="I545" s="30"/>
    </row>
    <row r="546" spans="4:9">
      <c r="D546" s="47"/>
      <c r="E546" s="143"/>
      <c r="H546" s="2"/>
      <c r="I546" s="30"/>
    </row>
    <row r="547" spans="4:9">
      <c r="D547" s="47"/>
      <c r="E547" s="143"/>
      <c r="H547" s="2"/>
      <c r="I547" s="30"/>
    </row>
    <row r="548" spans="4:9">
      <c r="D548" s="47"/>
      <c r="E548" s="143"/>
      <c r="H548" s="2"/>
      <c r="I548" s="30"/>
    </row>
    <row r="549" spans="4:9">
      <c r="D549" s="47"/>
      <c r="E549" s="143"/>
      <c r="H549" s="2"/>
      <c r="I549" s="30"/>
    </row>
    <row r="550" spans="4:9">
      <c r="D550" s="47"/>
      <c r="E550" s="143"/>
      <c r="H550" s="2"/>
      <c r="I550" s="30"/>
    </row>
    <row r="551" spans="4:9">
      <c r="D551" s="47"/>
      <c r="E551" s="143"/>
      <c r="H551" s="2"/>
      <c r="I551" s="30"/>
    </row>
    <row r="552" spans="4:9">
      <c r="D552" s="47"/>
      <c r="E552" s="143"/>
      <c r="H552" s="2"/>
      <c r="I552" s="30"/>
    </row>
    <row r="553" spans="4:9">
      <c r="D553" s="47"/>
      <c r="E553" s="143"/>
      <c r="H553" s="2"/>
      <c r="I553" s="30"/>
    </row>
    <row r="554" spans="4:9">
      <c r="D554" s="47"/>
      <c r="E554" s="143"/>
      <c r="H554" s="2"/>
      <c r="I554" s="30"/>
    </row>
    <row r="555" spans="4:9">
      <c r="D555" s="47"/>
      <c r="E555" s="143"/>
      <c r="H555" s="2"/>
      <c r="I555" s="30"/>
    </row>
    <row r="556" spans="4:9">
      <c r="D556" s="47"/>
      <c r="E556" s="143"/>
      <c r="H556" s="2"/>
      <c r="I556" s="30"/>
    </row>
    <row r="557" spans="4:9">
      <c r="D557" s="47"/>
      <c r="E557" s="143"/>
      <c r="H557" s="2"/>
      <c r="I557" s="30"/>
    </row>
    <row r="558" spans="4:9">
      <c r="D558" s="47"/>
      <c r="E558" s="143"/>
      <c r="H558" s="2"/>
      <c r="I558" s="30"/>
    </row>
    <row r="559" spans="4:9">
      <c r="D559" s="47"/>
      <c r="E559" s="143"/>
      <c r="H559" s="2"/>
      <c r="I559" s="30"/>
    </row>
    <row r="560" spans="4:9">
      <c r="D560" s="47"/>
      <c r="E560" s="143"/>
      <c r="H560" s="2"/>
      <c r="I560" s="30"/>
    </row>
    <row r="561" spans="4:9">
      <c r="D561" s="47"/>
      <c r="E561" s="143"/>
      <c r="H561" s="2"/>
      <c r="I561" s="30"/>
    </row>
    <row r="562" spans="4:9">
      <c r="D562" s="47"/>
      <c r="E562" s="143"/>
      <c r="H562" s="2"/>
      <c r="I562" s="30"/>
    </row>
    <row r="563" spans="4:9">
      <c r="D563" s="47"/>
      <c r="E563" s="143"/>
      <c r="H563" s="2"/>
      <c r="I563" s="30"/>
    </row>
    <row r="564" spans="4:9">
      <c r="D564" s="47"/>
      <c r="E564" s="143"/>
      <c r="H564" s="2"/>
      <c r="I564" s="30"/>
    </row>
    <row r="565" spans="4:9">
      <c r="D565" s="47"/>
      <c r="E565" s="143"/>
      <c r="H565" s="2"/>
      <c r="I565" s="30"/>
    </row>
    <row r="566" spans="4:9">
      <c r="D566" s="47"/>
      <c r="E566" s="143"/>
      <c r="H566" s="2"/>
      <c r="I566" s="30"/>
    </row>
    <row r="567" spans="4:9">
      <c r="D567" s="47"/>
      <c r="E567" s="143"/>
      <c r="H567" s="2"/>
      <c r="I567" s="30"/>
    </row>
    <row r="568" spans="4:9">
      <c r="D568" s="47"/>
      <c r="E568" s="143"/>
      <c r="H568" s="2"/>
      <c r="I568" s="30"/>
    </row>
    <row r="569" spans="4:9">
      <c r="D569" s="47"/>
      <c r="E569" s="143"/>
      <c r="H569" s="2"/>
      <c r="I569" s="30"/>
    </row>
    <row r="570" spans="4:9">
      <c r="D570" s="47"/>
      <c r="E570" s="143"/>
      <c r="H570" s="2"/>
      <c r="I570" s="30"/>
    </row>
    <row r="571" spans="4:9">
      <c r="D571" s="47"/>
      <c r="E571" s="143"/>
      <c r="H571" s="2"/>
      <c r="I571" s="30"/>
    </row>
    <row r="572" spans="4:9">
      <c r="D572" s="47"/>
      <c r="E572" s="143"/>
      <c r="H572" s="2"/>
      <c r="I572" s="30"/>
    </row>
    <row r="573" spans="4:9">
      <c r="D573" s="47"/>
      <c r="E573" s="143"/>
      <c r="H573" s="2"/>
      <c r="I573" s="30"/>
    </row>
    <row r="574" spans="4:9">
      <c r="D574" s="47"/>
      <c r="E574" s="143"/>
      <c r="H574" s="2"/>
      <c r="I574" s="30"/>
    </row>
    <row r="575" spans="4:9">
      <c r="D575" s="47"/>
      <c r="E575" s="143"/>
      <c r="H575" s="2"/>
      <c r="I575" s="30"/>
    </row>
    <row r="576" spans="4:9">
      <c r="D576" s="47"/>
      <c r="E576" s="143"/>
      <c r="H576" s="2"/>
      <c r="I576" s="30"/>
    </row>
    <row r="577" spans="4:9">
      <c r="D577" s="47"/>
      <c r="E577" s="143"/>
      <c r="H577" s="2"/>
      <c r="I577" s="30"/>
    </row>
    <row r="578" spans="4:9">
      <c r="D578" s="47"/>
      <c r="E578" s="143"/>
      <c r="H578" s="2"/>
      <c r="I578" s="30"/>
    </row>
    <row r="579" spans="4:9">
      <c r="D579" s="47"/>
      <c r="E579" s="143"/>
      <c r="H579" s="2"/>
      <c r="I579" s="30"/>
    </row>
    <row r="580" spans="4:9">
      <c r="D580" s="47"/>
      <c r="E580" s="143"/>
      <c r="H580" s="2"/>
      <c r="I580" s="30"/>
    </row>
    <row r="581" spans="4:9">
      <c r="D581" s="47"/>
      <c r="E581" s="143"/>
      <c r="H581" s="2"/>
      <c r="I581" s="30"/>
    </row>
    <row r="582" spans="4:9">
      <c r="D582" s="47"/>
      <c r="E582" s="143"/>
      <c r="H582" s="2"/>
      <c r="I582" s="30"/>
    </row>
    <row r="583" spans="4:9">
      <c r="D583" s="47"/>
      <c r="E583" s="143"/>
      <c r="H583" s="2"/>
      <c r="I583" s="30"/>
    </row>
    <row r="584" spans="4:9">
      <c r="D584" s="47"/>
      <c r="E584" s="143"/>
      <c r="H584" s="2"/>
      <c r="I584" s="30"/>
    </row>
    <row r="585" spans="4:9">
      <c r="D585" s="47"/>
      <c r="E585" s="143"/>
      <c r="H585" s="2"/>
      <c r="I585" s="30"/>
    </row>
    <row r="586" spans="4:9">
      <c r="D586" s="47"/>
      <c r="E586" s="143"/>
      <c r="H586" s="2"/>
      <c r="I586" s="30"/>
    </row>
    <row r="587" spans="4:9">
      <c r="D587" s="47"/>
      <c r="E587" s="143"/>
      <c r="H587" s="2"/>
      <c r="I587" s="30"/>
    </row>
    <row r="588" spans="4:9">
      <c r="D588" s="47"/>
      <c r="E588" s="143"/>
      <c r="H588" s="2"/>
      <c r="I588" s="30"/>
    </row>
    <row r="589" spans="4:9">
      <c r="D589" s="47"/>
      <c r="E589" s="143"/>
      <c r="H589" s="2"/>
      <c r="I589" s="30"/>
    </row>
    <row r="590" spans="4:9">
      <c r="D590" s="47"/>
      <c r="E590" s="143"/>
      <c r="H590" s="2"/>
      <c r="I590" s="30"/>
    </row>
    <row r="591" spans="4:9">
      <c r="D591" s="47"/>
      <c r="E591" s="143"/>
      <c r="H591" s="2"/>
      <c r="I591" s="30"/>
    </row>
    <row r="592" spans="4:9">
      <c r="D592" s="47"/>
      <c r="E592" s="143"/>
      <c r="H592" s="2"/>
      <c r="I592" s="30"/>
    </row>
    <row r="593" spans="4:9">
      <c r="D593" s="47"/>
      <c r="E593" s="143"/>
      <c r="H593" s="2"/>
      <c r="I593" s="30"/>
    </row>
    <row r="594" spans="4:9">
      <c r="D594" s="47"/>
      <c r="E594" s="143"/>
      <c r="H594" s="2"/>
      <c r="I594" s="30"/>
    </row>
    <row r="595" spans="4:9">
      <c r="D595" s="47"/>
      <c r="E595" s="143"/>
      <c r="H595" s="2"/>
      <c r="I595" s="30"/>
    </row>
    <row r="596" spans="4:9">
      <c r="D596" s="47"/>
      <c r="E596" s="143"/>
      <c r="H596" s="2"/>
      <c r="I596" s="30"/>
    </row>
    <row r="597" spans="4:9">
      <c r="D597" s="47"/>
      <c r="E597" s="143"/>
      <c r="H597" s="2"/>
      <c r="I597" s="30"/>
    </row>
    <row r="598" spans="4:9">
      <c r="D598" s="47"/>
      <c r="E598" s="143"/>
      <c r="H598" s="2"/>
      <c r="I598" s="30"/>
    </row>
    <row r="599" spans="4:9">
      <c r="D599" s="47"/>
      <c r="E599" s="143"/>
      <c r="H599" s="2"/>
      <c r="I599" s="30"/>
    </row>
    <row r="600" spans="4:9">
      <c r="D600" s="47"/>
      <c r="E600" s="143"/>
      <c r="H600" s="2"/>
      <c r="I600" s="30"/>
    </row>
    <row r="601" spans="4:9">
      <c r="D601" s="47"/>
      <c r="E601" s="143"/>
      <c r="H601" s="2"/>
      <c r="I601" s="30"/>
    </row>
    <row r="602" spans="4:9">
      <c r="D602" s="47"/>
      <c r="E602" s="143"/>
      <c r="H602" s="2"/>
      <c r="I602" s="30"/>
    </row>
    <row r="603" spans="4:9">
      <c r="D603" s="47"/>
      <c r="E603" s="143"/>
      <c r="H603" s="2"/>
      <c r="I603" s="30"/>
    </row>
    <row r="604" spans="4:9">
      <c r="D604" s="47"/>
      <c r="E604" s="143"/>
      <c r="H604" s="2"/>
      <c r="I604" s="30"/>
    </row>
    <row r="605" spans="4:9">
      <c r="D605" s="47"/>
      <c r="E605" s="143"/>
      <c r="H605" s="2"/>
      <c r="I605" s="30"/>
    </row>
    <row r="606" spans="4:9">
      <c r="D606" s="47"/>
      <c r="E606" s="143"/>
      <c r="H606" s="2"/>
      <c r="I606" s="30"/>
    </row>
    <row r="607" spans="4:9">
      <c r="D607" s="47"/>
      <c r="E607" s="143"/>
      <c r="H607" s="2"/>
      <c r="I607" s="30"/>
    </row>
    <row r="608" spans="4:9">
      <c r="D608" s="47"/>
      <c r="E608" s="143"/>
      <c r="H608" s="2"/>
      <c r="I608" s="30"/>
    </row>
    <row r="609" spans="4:9">
      <c r="D609" s="47"/>
      <c r="E609" s="143"/>
      <c r="H609" s="2"/>
      <c r="I609" s="30"/>
    </row>
    <row r="610" spans="4:9">
      <c r="D610" s="47"/>
      <c r="E610" s="143"/>
      <c r="H610" s="2"/>
      <c r="I610" s="30"/>
    </row>
    <row r="611" spans="4:9">
      <c r="D611" s="47"/>
      <c r="E611" s="143"/>
      <c r="H611" s="2"/>
      <c r="I611" s="30"/>
    </row>
    <row r="612" spans="4:9">
      <c r="D612" s="47"/>
      <c r="E612" s="143"/>
      <c r="H612" s="2"/>
      <c r="I612" s="30"/>
    </row>
    <row r="613" spans="4:9">
      <c r="D613" s="47"/>
      <c r="E613" s="143"/>
      <c r="H613" s="2"/>
      <c r="I613" s="30"/>
    </row>
    <row r="614" spans="4:9">
      <c r="D614" s="47"/>
      <c r="E614" s="143"/>
      <c r="H614" s="2"/>
      <c r="I614" s="30"/>
    </row>
    <row r="615" spans="4:9">
      <c r="D615" s="47"/>
      <c r="E615" s="143"/>
      <c r="H615" s="2"/>
      <c r="I615" s="30"/>
    </row>
    <row r="616" spans="4:9">
      <c r="D616" s="47"/>
      <c r="E616" s="143"/>
      <c r="H616" s="2"/>
      <c r="I616" s="30"/>
    </row>
    <row r="617" spans="4:9">
      <c r="D617" s="47"/>
      <c r="E617" s="143"/>
      <c r="H617" s="2"/>
      <c r="I617" s="30"/>
    </row>
    <row r="618" spans="4:9">
      <c r="D618" s="47"/>
      <c r="E618" s="143"/>
      <c r="H618" s="2"/>
      <c r="I618" s="30"/>
    </row>
    <row r="619" spans="4:9">
      <c r="D619" s="47"/>
      <c r="E619" s="143"/>
      <c r="H619" s="2"/>
      <c r="I619" s="30"/>
    </row>
    <row r="620" spans="4:9">
      <c r="D620" s="47"/>
      <c r="E620" s="143"/>
      <c r="H620" s="2"/>
      <c r="I620" s="30"/>
    </row>
    <row r="621" spans="4:9">
      <c r="D621" s="47"/>
      <c r="E621" s="143"/>
      <c r="H621" s="2"/>
      <c r="I621" s="30"/>
    </row>
    <row r="622" spans="4:9">
      <c r="D622" s="47"/>
      <c r="E622" s="143"/>
      <c r="H622" s="2"/>
      <c r="I622" s="30"/>
    </row>
    <row r="623" spans="4:9">
      <c r="D623" s="47"/>
      <c r="E623" s="143"/>
      <c r="H623" s="2"/>
      <c r="I623" s="30"/>
    </row>
    <row r="624" spans="4:9">
      <c r="D624" s="47"/>
      <c r="E624" s="143"/>
      <c r="H624" s="2"/>
      <c r="I624" s="30"/>
    </row>
    <row r="625" spans="4:9">
      <c r="D625" s="47"/>
      <c r="E625" s="143"/>
      <c r="H625" s="2"/>
      <c r="I625" s="30"/>
    </row>
    <row r="626" spans="4:9">
      <c r="D626" s="47"/>
      <c r="E626" s="143"/>
      <c r="H626" s="2"/>
      <c r="I626" s="30"/>
    </row>
    <row r="627" spans="4:9">
      <c r="D627" s="47"/>
      <c r="E627" s="143"/>
      <c r="H627" s="2"/>
      <c r="I627" s="30"/>
    </row>
    <row r="628" spans="4:9">
      <c r="D628" s="47"/>
      <c r="E628" s="143"/>
      <c r="H628" s="2"/>
      <c r="I628" s="30"/>
    </row>
    <row r="629" spans="4:9">
      <c r="D629" s="47"/>
      <c r="E629" s="143"/>
      <c r="H629" s="2"/>
      <c r="I629" s="30"/>
    </row>
    <row r="630" spans="4:9">
      <c r="D630" s="47"/>
      <c r="E630" s="143"/>
      <c r="H630" s="2"/>
      <c r="I630" s="30"/>
    </row>
    <row r="631" spans="4:9">
      <c r="D631" s="47"/>
      <c r="E631" s="143"/>
      <c r="H631" s="2"/>
      <c r="I631" s="30"/>
    </row>
    <row r="632" spans="4:9">
      <c r="D632" s="47"/>
      <c r="E632" s="143"/>
      <c r="H632" s="2"/>
      <c r="I632" s="30"/>
    </row>
    <row r="633" spans="4:9">
      <c r="D633" s="47"/>
      <c r="E633" s="143"/>
      <c r="H633" s="2"/>
      <c r="I633" s="30"/>
    </row>
    <row r="634" spans="4:9">
      <c r="D634" s="47"/>
      <c r="E634" s="143"/>
      <c r="H634" s="2"/>
      <c r="I634" s="30"/>
    </row>
    <row r="635" spans="4:9">
      <c r="D635" s="47"/>
      <c r="E635" s="143"/>
      <c r="H635" s="2"/>
      <c r="I635" s="30"/>
    </row>
    <row r="636" spans="4:9">
      <c r="D636" s="47"/>
      <c r="E636" s="143"/>
      <c r="H636" s="2"/>
      <c r="I636" s="30"/>
    </row>
    <row r="637" spans="4:9">
      <c r="D637" s="47"/>
      <c r="E637" s="143"/>
      <c r="H637" s="2"/>
      <c r="I637" s="30"/>
    </row>
    <row r="638" spans="4:9">
      <c r="D638" s="47"/>
      <c r="E638" s="143"/>
      <c r="H638" s="2"/>
      <c r="I638" s="30"/>
    </row>
    <row r="639" spans="4:9">
      <c r="D639" s="47"/>
      <c r="E639" s="143"/>
      <c r="H639" s="2"/>
      <c r="I639" s="30"/>
    </row>
    <row r="640" spans="4:9">
      <c r="D640" s="47"/>
      <c r="E640" s="143"/>
      <c r="H640" s="2"/>
      <c r="I640" s="30"/>
    </row>
    <row r="641" spans="4:9">
      <c r="D641" s="47"/>
      <c r="E641" s="143"/>
      <c r="H641" s="2"/>
      <c r="I641" s="30"/>
    </row>
    <row r="642" spans="4:9">
      <c r="D642" s="47"/>
      <c r="E642" s="143"/>
      <c r="H642" s="2"/>
      <c r="I642" s="30"/>
    </row>
    <row r="643" spans="4:9">
      <c r="D643" s="47"/>
      <c r="E643" s="143"/>
      <c r="H643" s="2"/>
      <c r="I643" s="30"/>
    </row>
    <row r="644" spans="4:9">
      <c r="D644" s="47"/>
      <c r="E644" s="143"/>
      <c r="H644" s="2"/>
      <c r="I644" s="30"/>
    </row>
    <row r="645" spans="4:9">
      <c r="D645" s="47"/>
      <c r="E645" s="143"/>
      <c r="H645" s="2"/>
      <c r="I645" s="30"/>
    </row>
    <row r="646" spans="4:9">
      <c r="D646" s="47"/>
      <c r="E646" s="143"/>
      <c r="H646" s="2"/>
      <c r="I646" s="30"/>
    </row>
    <row r="647" spans="4:9">
      <c r="D647" s="47"/>
      <c r="E647" s="143"/>
      <c r="H647" s="2"/>
      <c r="I647" s="30"/>
    </row>
    <row r="648" spans="4:9">
      <c r="D648" s="47"/>
      <c r="E648" s="143"/>
      <c r="H648" s="2"/>
      <c r="I648" s="30"/>
    </row>
    <row r="649" spans="4:9">
      <c r="D649" s="47"/>
      <c r="E649" s="143"/>
      <c r="H649" s="2"/>
      <c r="I649" s="30"/>
    </row>
    <row r="650" spans="4:9">
      <c r="D650" s="47"/>
      <c r="E650" s="143"/>
      <c r="H650" s="2"/>
      <c r="I650" s="30"/>
    </row>
    <row r="651" spans="4:9">
      <c r="D651" s="47"/>
      <c r="E651" s="143"/>
      <c r="H651" s="2"/>
      <c r="I651" s="30"/>
    </row>
    <row r="652" spans="4:9">
      <c r="D652" s="47"/>
      <c r="E652" s="143"/>
      <c r="H652" s="2"/>
      <c r="I652" s="30"/>
    </row>
    <row r="653" spans="4:9">
      <c r="D653" s="47"/>
      <c r="E653" s="143"/>
      <c r="H653" s="2"/>
      <c r="I653" s="30"/>
    </row>
    <row r="654" spans="4:9">
      <c r="D654" s="47"/>
      <c r="E654" s="143"/>
      <c r="H654" s="2"/>
      <c r="I654" s="30"/>
    </row>
    <row r="655" spans="4:9">
      <c r="D655" s="47"/>
      <c r="E655" s="143"/>
      <c r="H655" s="2"/>
      <c r="I655" s="30"/>
    </row>
    <row r="656" spans="4:9">
      <c r="D656" s="47"/>
      <c r="E656" s="143"/>
      <c r="H656" s="2"/>
      <c r="I656" s="30"/>
    </row>
    <row r="657" spans="4:9">
      <c r="D657" s="47"/>
      <c r="E657" s="143"/>
      <c r="H657" s="2"/>
      <c r="I657" s="30"/>
    </row>
    <row r="658" spans="4:9">
      <c r="D658" s="47"/>
      <c r="E658" s="143"/>
      <c r="H658" s="2"/>
      <c r="I658" s="30"/>
    </row>
    <row r="659" spans="4:9">
      <c r="D659" s="47"/>
      <c r="E659" s="143"/>
      <c r="H659" s="2"/>
      <c r="I659" s="30"/>
    </row>
    <row r="660" spans="4:9">
      <c r="D660" s="47"/>
      <c r="E660" s="143"/>
      <c r="H660" s="2"/>
      <c r="I660" s="30"/>
    </row>
    <row r="661" spans="4:9">
      <c r="D661" s="47"/>
      <c r="E661" s="143"/>
      <c r="H661" s="2"/>
      <c r="I661" s="30"/>
    </row>
    <row r="662" spans="4:9">
      <c r="D662" s="47"/>
      <c r="E662" s="143"/>
      <c r="H662" s="2"/>
      <c r="I662" s="30"/>
    </row>
    <row r="663" spans="4:9">
      <c r="D663" s="47"/>
      <c r="E663" s="143"/>
      <c r="H663" s="2"/>
      <c r="I663" s="30"/>
    </row>
    <row r="664" spans="4:9">
      <c r="D664" s="47"/>
      <c r="E664" s="143"/>
      <c r="H664" s="2"/>
      <c r="I664" s="30"/>
    </row>
    <row r="665" spans="4:9">
      <c r="D665" s="47"/>
      <c r="E665" s="143"/>
      <c r="H665" s="2"/>
      <c r="I665" s="30"/>
    </row>
    <row r="666" spans="4:9">
      <c r="D666" s="47"/>
      <c r="E666" s="143"/>
      <c r="H666" s="2"/>
      <c r="I666" s="30"/>
    </row>
    <row r="667" spans="4:9">
      <c r="D667" s="47"/>
      <c r="E667" s="143"/>
      <c r="H667" s="2"/>
      <c r="I667" s="30"/>
    </row>
    <row r="668" spans="4:9">
      <c r="D668" s="47"/>
      <c r="E668" s="143"/>
      <c r="H668" s="2"/>
      <c r="I668" s="30"/>
    </row>
    <row r="669" spans="4:9">
      <c r="D669" s="47"/>
      <c r="E669" s="143"/>
      <c r="H669" s="2"/>
      <c r="I669" s="30"/>
    </row>
    <row r="670" spans="4:9">
      <c r="D670" s="47"/>
      <c r="E670" s="143"/>
      <c r="H670" s="2"/>
      <c r="I670" s="30"/>
    </row>
    <row r="671" spans="4:9">
      <c r="D671" s="47"/>
      <c r="E671" s="143"/>
      <c r="H671" s="2"/>
      <c r="I671" s="30"/>
    </row>
    <row r="672" spans="4:9">
      <c r="D672" s="47"/>
      <c r="E672" s="143"/>
      <c r="H672" s="2"/>
      <c r="I672" s="30"/>
    </row>
    <row r="673" spans="4:9">
      <c r="D673" s="47"/>
      <c r="E673" s="143"/>
      <c r="H673" s="2"/>
      <c r="I673" s="30"/>
    </row>
    <row r="674" spans="4:9">
      <c r="D674" s="47"/>
      <c r="E674" s="143"/>
      <c r="H674" s="2"/>
      <c r="I674" s="30"/>
    </row>
    <row r="675" spans="4:9">
      <c r="D675" s="47"/>
      <c r="E675" s="143"/>
      <c r="H675" s="2"/>
      <c r="I675" s="30"/>
    </row>
    <row r="676" spans="4:9">
      <c r="D676" s="47"/>
      <c r="E676" s="143"/>
      <c r="H676" s="2"/>
      <c r="I676" s="30"/>
    </row>
    <row r="677" spans="4:9">
      <c r="D677" s="47"/>
      <c r="E677" s="143"/>
      <c r="H677" s="2"/>
      <c r="I677" s="30"/>
    </row>
    <row r="678" spans="4:9">
      <c r="D678" s="47"/>
      <c r="E678" s="143"/>
      <c r="H678" s="2"/>
      <c r="I678" s="30"/>
    </row>
    <row r="679" spans="4:9">
      <c r="D679" s="47"/>
      <c r="E679" s="143"/>
      <c r="H679" s="2"/>
      <c r="I679" s="30"/>
    </row>
    <row r="680" spans="4:9">
      <c r="D680" s="47"/>
      <c r="E680" s="143"/>
      <c r="H680" s="2"/>
      <c r="I680" s="30"/>
    </row>
    <row r="681" spans="4:9">
      <c r="D681" s="47"/>
      <c r="E681" s="143"/>
      <c r="H681" s="2"/>
      <c r="I681" s="30"/>
    </row>
    <row r="682" spans="4:9">
      <c r="D682" s="47"/>
      <c r="E682" s="143"/>
      <c r="H682" s="2"/>
      <c r="I682" s="30"/>
    </row>
    <row r="683" spans="4:9">
      <c r="D683" s="47"/>
      <c r="E683" s="143"/>
      <c r="H683" s="2"/>
      <c r="I683" s="30"/>
    </row>
    <row r="684" spans="4:9">
      <c r="D684" s="47"/>
      <c r="E684" s="143"/>
      <c r="H684" s="2"/>
      <c r="I684" s="30"/>
    </row>
    <row r="685" spans="4:9">
      <c r="D685" s="47"/>
      <c r="E685" s="143"/>
      <c r="H685" s="2"/>
      <c r="I685" s="30"/>
    </row>
    <row r="686" spans="4:9">
      <c r="D686" s="47"/>
      <c r="E686" s="143"/>
      <c r="H686" s="2"/>
      <c r="I686" s="30"/>
    </row>
    <row r="687" spans="4:9">
      <c r="D687" s="47"/>
      <c r="E687" s="143"/>
      <c r="H687" s="2"/>
      <c r="I687" s="30"/>
    </row>
    <row r="688" spans="4:9">
      <c r="D688" s="47"/>
      <c r="E688" s="143"/>
      <c r="H688" s="2"/>
      <c r="I688" s="30"/>
    </row>
    <row r="689" spans="4:9">
      <c r="D689" s="47"/>
      <c r="E689" s="143"/>
      <c r="H689" s="2"/>
      <c r="I689" s="30"/>
    </row>
    <row r="690" spans="4:9">
      <c r="D690" s="47"/>
      <c r="E690" s="143"/>
      <c r="H690" s="2"/>
      <c r="I690" s="30"/>
    </row>
    <row r="691" spans="4:9">
      <c r="D691" s="47"/>
      <c r="E691" s="143"/>
      <c r="H691" s="2"/>
      <c r="I691" s="30"/>
    </row>
    <row r="692" spans="4:9">
      <c r="D692" s="47"/>
      <c r="E692" s="143"/>
      <c r="H692" s="2"/>
      <c r="I692" s="30"/>
    </row>
    <row r="693" spans="4:9">
      <c r="D693" s="47"/>
      <c r="E693" s="143"/>
      <c r="H693" s="2"/>
      <c r="I693" s="30"/>
    </row>
    <row r="694" spans="4:9">
      <c r="D694" s="47"/>
      <c r="E694" s="143"/>
      <c r="H694" s="2"/>
      <c r="I694" s="30"/>
    </row>
    <row r="695" spans="4:9">
      <c r="D695" s="47"/>
      <c r="E695" s="143"/>
      <c r="H695" s="2"/>
      <c r="I695" s="30"/>
    </row>
    <row r="696" spans="4:9">
      <c r="D696" s="47"/>
      <c r="E696" s="143"/>
      <c r="H696" s="2"/>
      <c r="I696" s="30"/>
    </row>
    <row r="697" spans="4:9">
      <c r="D697" s="47"/>
      <c r="E697" s="143"/>
      <c r="H697" s="2"/>
      <c r="I697" s="30"/>
    </row>
    <row r="698" spans="4:9">
      <c r="D698" s="47"/>
      <c r="E698" s="143"/>
      <c r="H698" s="2"/>
      <c r="I698" s="30"/>
    </row>
    <row r="699" spans="4:9">
      <c r="D699" s="47"/>
      <c r="E699" s="143"/>
      <c r="H699" s="2"/>
      <c r="I699" s="30"/>
    </row>
    <row r="700" spans="4:9">
      <c r="D700" s="47"/>
      <c r="E700" s="143"/>
      <c r="H700" s="2"/>
      <c r="I700" s="30"/>
    </row>
    <row r="701" spans="4:9">
      <c r="D701" s="47"/>
      <c r="E701" s="143"/>
      <c r="H701" s="2"/>
      <c r="I701" s="30"/>
    </row>
    <row r="702" spans="4:9">
      <c r="D702" s="47"/>
      <c r="E702" s="143"/>
      <c r="H702" s="2"/>
      <c r="I702" s="30"/>
    </row>
    <row r="703" spans="4:9">
      <c r="D703" s="47"/>
      <c r="E703" s="143"/>
      <c r="H703" s="2"/>
      <c r="I703" s="30"/>
    </row>
    <row r="704" spans="4:9">
      <c r="D704" s="47"/>
      <c r="E704" s="143"/>
      <c r="H704" s="2"/>
      <c r="I704" s="30"/>
    </row>
    <row r="705" spans="4:9">
      <c r="D705" s="47"/>
      <c r="E705" s="143"/>
      <c r="H705" s="2"/>
      <c r="I705" s="30"/>
    </row>
    <row r="706" spans="4:9">
      <c r="D706" s="47"/>
      <c r="E706" s="143"/>
      <c r="H706" s="2"/>
      <c r="I706" s="30"/>
    </row>
    <row r="707" spans="4:9">
      <c r="D707" s="47"/>
      <c r="E707" s="143"/>
      <c r="H707" s="2"/>
      <c r="I707" s="30"/>
    </row>
    <row r="708" spans="4:9">
      <c r="D708" s="47"/>
      <c r="E708" s="143"/>
      <c r="H708" s="2"/>
      <c r="I708" s="30"/>
    </row>
    <row r="709" spans="4:9">
      <c r="D709" s="47"/>
      <c r="E709" s="143"/>
      <c r="H709" s="2"/>
      <c r="I709" s="30"/>
    </row>
    <row r="710" spans="4:9">
      <c r="D710" s="47"/>
      <c r="E710" s="143"/>
      <c r="H710" s="2"/>
      <c r="I710" s="30"/>
    </row>
    <row r="711" spans="4:9">
      <c r="D711" s="47"/>
      <c r="E711" s="143"/>
      <c r="H711" s="2"/>
      <c r="I711" s="30"/>
    </row>
    <row r="712" spans="4:9">
      <c r="D712" s="47"/>
      <c r="E712" s="143"/>
      <c r="H712" s="2"/>
      <c r="I712" s="30"/>
    </row>
    <row r="713" spans="4:9">
      <c r="D713" s="47"/>
      <c r="E713" s="143"/>
      <c r="H713" s="2"/>
      <c r="I713" s="30"/>
    </row>
    <row r="714" spans="4:9">
      <c r="D714" s="47"/>
      <c r="E714" s="143"/>
      <c r="H714" s="2"/>
      <c r="I714" s="30"/>
    </row>
    <row r="715" spans="4:9">
      <c r="D715" s="47"/>
      <c r="E715" s="143"/>
      <c r="H715" s="2"/>
      <c r="I715" s="30"/>
    </row>
    <row r="716" spans="4:9">
      <c r="D716" s="47"/>
      <c r="E716" s="143"/>
      <c r="H716" s="2"/>
      <c r="I716" s="30"/>
    </row>
    <row r="717" spans="4:9">
      <c r="D717" s="47"/>
      <c r="E717" s="143"/>
      <c r="H717" s="2"/>
      <c r="I717" s="30"/>
    </row>
    <row r="718" spans="4:9">
      <c r="D718" s="47"/>
      <c r="E718" s="143"/>
      <c r="H718" s="2"/>
      <c r="I718" s="30"/>
    </row>
    <row r="719" spans="4:9">
      <c r="D719" s="47"/>
      <c r="E719" s="143"/>
      <c r="H719" s="2"/>
      <c r="I719" s="30"/>
    </row>
    <row r="720" spans="4:9">
      <c r="D720" s="47"/>
      <c r="E720" s="143"/>
      <c r="H720" s="2"/>
      <c r="I720" s="30"/>
    </row>
    <row r="721" spans="4:9">
      <c r="D721" s="47"/>
      <c r="E721" s="143"/>
      <c r="H721" s="2"/>
      <c r="I721" s="30"/>
    </row>
    <row r="722" spans="4:9">
      <c r="D722" s="47"/>
      <c r="E722" s="143"/>
      <c r="H722" s="2"/>
      <c r="I722" s="30"/>
    </row>
    <row r="723" spans="4:9">
      <c r="D723" s="47"/>
      <c r="E723" s="143"/>
      <c r="H723" s="2"/>
      <c r="I723" s="30"/>
    </row>
    <row r="724" spans="4:9">
      <c r="D724" s="47"/>
      <c r="E724" s="143"/>
      <c r="H724" s="2"/>
      <c r="I724" s="30"/>
    </row>
    <row r="725" spans="4:9">
      <c r="D725" s="47"/>
      <c r="E725" s="143"/>
      <c r="H725" s="2"/>
      <c r="I725" s="30"/>
    </row>
    <row r="726" spans="4:9">
      <c r="D726" s="47"/>
      <c r="E726" s="143"/>
      <c r="H726" s="2"/>
      <c r="I726" s="30"/>
    </row>
    <row r="727" spans="4:9">
      <c r="D727" s="47"/>
      <c r="E727" s="143"/>
      <c r="H727" s="2"/>
      <c r="I727" s="30"/>
    </row>
    <row r="728" spans="4:9">
      <c r="D728" s="47"/>
      <c r="E728" s="143"/>
      <c r="H728" s="2"/>
      <c r="I728" s="30"/>
    </row>
    <row r="729" spans="4:9">
      <c r="D729" s="47"/>
      <c r="E729" s="143"/>
      <c r="H729" s="2"/>
      <c r="I729" s="30"/>
    </row>
    <row r="730" spans="4:9">
      <c r="D730" s="47"/>
      <c r="E730" s="143"/>
      <c r="H730" s="2"/>
      <c r="I730" s="30"/>
    </row>
    <row r="731" spans="4:9">
      <c r="D731" s="47"/>
      <c r="E731" s="143"/>
      <c r="H731" s="2"/>
      <c r="I731" s="30"/>
    </row>
    <row r="732" spans="4:9">
      <c r="D732" s="47"/>
      <c r="E732" s="143"/>
      <c r="H732" s="2"/>
      <c r="I732" s="30"/>
    </row>
    <row r="733" spans="4:9">
      <c r="D733" s="47"/>
      <c r="E733" s="143"/>
      <c r="H733" s="2"/>
      <c r="I733" s="30"/>
    </row>
    <row r="734" spans="4:9">
      <c r="D734" s="47"/>
      <c r="E734" s="143"/>
      <c r="H734" s="2"/>
      <c r="I734" s="30"/>
    </row>
    <row r="735" spans="4:9">
      <c r="D735" s="47"/>
      <c r="E735" s="143"/>
      <c r="H735" s="2"/>
      <c r="I735" s="30"/>
    </row>
    <row r="736" spans="4:9">
      <c r="D736" s="47"/>
      <c r="E736" s="143"/>
      <c r="H736" s="2"/>
      <c r="I736" s="30"/>
    </row>
    <row r="737" spans="4:9">
      <c r="D737" s="47"/>
      <c r="E737" s="143"/>
      <c r="H737" s="2"/>
      <c r="I737" s="30"/>
    </row>
    <row r="738" spans="4:9">
      <c r="D738" s="47"/>
      <c r="E738" s="143"/>
      <c r="H738" s="2"/>
      <c r="I738" s="30"/>
    </row>
    <row r="739" spans="4:9">
      <c r="D739" s="47"/>
      <c r="E739" s="143"/>
      <c r="H739" s="2"/>
      <c r="I739" s="30"/>
    </row>
    <row r="740" spans="4:9">
      <c r="D740" s="47"/>
      <c r="E740" s="143"/>
      <c r="H740" s="2"/>
      <c r="I740" s="30"/>
    </row>
    <row r="741" spans="4:9">
      <c r="D741" s="47"/>
      <c r="E741" s="143"/>
      <c r="H741" s="2"/>
      <c r="I741" s="30"/>
    </row>
    <row r="742" spans="4:9">
      <c r="D742" s="47"/>
      <c r="E742" s="143"/>
      <c r="H742" s="2"/>
      <c r="I742" s="30"/>
    </row>
    <row r="743" spans="4:9">
      <c r="D743" s="47"/>
      <c r="E743" s="143"/>
      <c r="H743" s="2"/>
      <c r="I743" s="30"/>
    </row>
    <row r="744" spans="4:9">
      <c r="D744" s="47"/>
      <c r="E744" s="143"/>
      <c r="H744" s="2"/>
      <c r="I744" s="30"/>
    </row>
    <row r="745" spans="4:9">
      <c r="D745" s="47"/>
      <c r="E745" s="143"/>
      <c r="H745" s="2"/>
      <c r="I745" s="30"/>
    </row>
    <row r="746" spans="4:9">
      <c r="D746" s="47"/>
      <c r="E746" s="143"/>
      <c r="H746" s="2"/>
      <c r="I746" s="30"/>
    </row>
    <row r="747" spans="4:9">
      <c r="D747" s="47"/>
      <c r="E747" s="143"/>
      <c r="H747" s="2"/>
      <c r="I747" s="30"/>
    </row>
    <row r="748" spans="4:9">
      <c r="D748" s="47"/>
      <c r="E748" s="143"/>
      <c r="H748" s="2"/>
      <c r="I748" s="30"/>
    </row>
    <row r="749" spans="4:9">
      <c r="D749" s="47"/>
      <c r="E749" s="143"/>
      <c r="H749" s="2"/>
      <c r="I749" s="30"/>
    </row>
    <row r="750" spans="4:9">
      <c r="D750" s="47"/>
      <c r="E750" s="143"/>
      <c r="H750" s="2"/>
      <c r="I750" s="30"/>
    </row>
    <row r="751" spans="4:9">
      <c r="D751" s="47"/>
      <c r="E751" s="143"/>
      <c r="H751" s="2"/>
      <c r="I751" s="30"/>
    </row>
    <row r="752" spans="4:9">
      <c r="D752" s="47"/>
      <c r="E752" s="143"/>
      <c r="H752" s="2"/>
      <c r="I752" s="30"/>
    </row>
    <row r="753" spans="4:9">
      <c r="D753" s="47"/>
      <c r="E753" s="143"/>
      <c r="H753" s="2"/>
      <c r="I753" s="30"/>
    </row>
    <row r="754" spans="4:9">
      <c r="D754" s="47"/>
      <c r="E754" s="143"/>
      <c r="H754" s="2"/>
      <c r="I754" s="30"/>
    </row>
    <row r="755" spans="4:9">
      <c r="D755" s="47"/>
      <c r="E755" s="143"/>
      <c r="H755" s="2"/>
      <c r="I755" s="30"/>
    </row>
    <row r="756" spans="4:9">
      <c r="D756" s="47"/>
      <c r="E756" s="143"/>
      <c r="H756" s="2"/>
      <c r="I756" s="30"/>
    </row>
    <row r="757" spans="4:9">
      <c r="D757" s="47"/>
      <c r="E757" s="143"/>
      <c r="H757" s="2"/>
      <c r="I757" s="30"/>
    </row>
    <row r="758" spans="4:9">
      <c r="D758" s="47"/>
      <c r="E758" s="143"/>
      <c r="H758" s="2"/>
      <c r="I758" s="30"/>
    </row>
    <row r="759" spans="4:9">
      <c r="D759" s="47"/>
      <c r="E759" s="143"/>
      <c r="H759" s="2"/>
      <c r="I759" s="30"/>
    </row>
    <row r="760" spans="4:9">
      <c r="D760" s="47"/>
      <c r="E760" s="143"/>
      <c r="H760" s="2"/>
      <c r="I760" s="30"/>
    </row>
    <row r="761" spans="4:9">
      <c r="D761" s="47"/>
      <c r="E761" s="143"/>
      <c r="H761" s="2"/>
      <c r="I761" s="30"/>
    </row>
    <row r="762" spans="4:9">
      <c r="D762" s="47"/>
      <c r="E762" s="143"/>
      <c r="H762" s="2"/>
      <c r="I762" s="30"/>
    </row>
    <row r="763" spans="4:9">
      <c r="D763" s="47"/>
      <c r="E763" s="143"/>
      <c r="H763" s="2"/>
      <c r="I763" s="30"/>
    </row>
    <row r="764" spans="4:9">
      <c r="D764" s="47"/>
      <c r="E764" s="143"/>
      <c r="H764" s="2"/>
      <c r="I764" s="30"/>
    </row>
    <row r="765" spans="4:9">
      <c r="D765" s="47"/>
      <c r="E765" s="143"/>
      <c r="H765" s="2"/>
      <c r="I765" s="30"/>
    </row>
    <row r="766" spans="4:9">
      <c r="D766" s="47"/>
      <c r="E766" s="143"/>
      <c r="H766" s="2"/>
      <c r="I766" s="30"/>
    </row>
    <row r="767" spans="4:9">
      <c r="D767" s="47"/>
      <c r="E767" s="143"/>
      <c r="H767" s="2"/>
      <c r="I767" s="30"/>
    </row>
    <row r="768" spans="4:9">
      <c r="D768" s="47"/>
      <c r="E768" s="143"/>
      <c r="H768" s="2"/>
      <c r="I768" s="30"/>
    </row>
    <row r="769" spans="4:9">
      <c r="D769" s="47"/>
      <c r="E769" s="143"/>
      <c r="H769" s="2"/>
      <c r="I769" s="30"/>
    </row>
    <row r="770" spans="4:9">
      <c r="D770" s="47"/>
      <c r="E770" s="143"/>
      <c r="H770" s="2"/>
      <c r="I770" s="30"/>
    </row>
    <row r="771" spans="4:9">
      <c r="D771" s="47"/>
      <c r="E771" s="143"/>
      <c r="H771" s="2"/>
      <c r="I771" s="30"/>
    </row>
    <row r="772" spans="4:9">
      <c r="D772" s="47"/>
      <c r="E772" s="143"/>
      <c r="H772" s="2"/>
      <c r="I772" s="30"/>
    </row>
    <row r="773" spans="4:9">
      <c r="D773" s="47"/>
      <c r="E773" s="143"/>
      <c r="H773" s="2"/>
      <c r="I773" s="30"/>
    </row>
    <row r="774" spans="4:9">
      <c r="D774" s="47"/>
      <c r="E774" s="143"/>
      <c r="H774" s="2"/>
      <c r="I774" s="30"/>
    </row>
    <row r="775" spans="4:9">
      <c r="D775" s="47"/>
      <c r="E775" s="143"/>
      <c r="H775" s="2"/>
      <c r="I775" s="30"/>
    </row>
    <row r="776" spans="4:9">
      <c r="D776" s="47"/>
      <c r="E776" s="143"/>
      <c r="H776" s="2"/>
      <c r="I776" s="30"/>
    </row>
    <row r="777" spans="4:9">
      <c r="D777" s="47"/>
      <c r="E777" s="143"/>
      <c r="H777" s="2"/>
      <c r="I777" s="30"/>
    </row>
    <row r="778" spans="4:9">
      <c r="D778" s="47"/>
      <c r="E778" s="143"/>
      <c r="H778" s="2"/>
      <c r="I778" s="30"/>
    </row>
    <row r="779" spans="4:9">
      <c r="D779" s="47"/>
      <c r="E779" s="143"/>
      <c r="H779" s="2"/>
      <c r="I779" s="30"/>
    </row>
    <row r="780" spans="4:9">
      <c r="D780" s="47"/>
      <c r="E780" s="143"/>
      <c r="H780" s="2"/>
      <c r="I780" s="30"/>
    </row>
    <row r="781" spans="4:9">
      <c r="D781" s="47"/>
      <c r="E781" s="143"/>
      <c r="H781" s="2"/>
      <c r="I781" s="30"/>
    </row>
    <row r="782" spans="4:9">
      <c r="D782" s="47"/>
      <c r="E782" s="143"/>
      <c r="H782" s="2"/>
      <c r="I782" s="30"/>
    </row>
    <row r="783" spans="4:9">
      <c r="D783" s="47"/>
      <c r="E783" s="143"/>
      <c r="H783" s="2"/>
      <c r="I783" s="30"/>
    </row>
    <row r="784" spans="4:9">
      <c r="D784" s="47"/>
      <c r="E784" s="143"/>
      <c r="H784" s="2"/>
      <c r="I784" s="30"/>
    </row>
    <row r="785" spans="4:9">
      <c r="D785" s="47"/>
      <c r="E785" s="143"/>
      <c r="H785" s="2"/>
      <c r="I785" s="30"/>
    </row>
    <row r="786" spans="4:9">
      <c r="D786" s="47"/>
      <c r="E786" s="143"/>
      <c r="H786" s="2"/>
      <c r="I786" s="30"/>
    </row>
    <row r="787" spans="4:9">
      <c r="D787" s="47"/>
      <c r="E787" s="143"/>
      <c r="H787" s="2"/>
      <c r="I787" s="30"/>
    </row>
    <row r="788" spans="4:9">
      <c r="D788" s="47"/>
      <c r="E788" s="143"/>
      <c r="H788" s="2"/>
      <c r="I788" s="30"/>
    </row>
    <row r="789" spans="4:9">
      <c r="D789" s="47"/>
      <c r="E789" s="143"/>
      <c r="H789" s="2"/>
      <c r="I789" s="30"/>
    </row>
    <row r="790" spans="4:9">
      <c r="D790" s="47"/>
      <c r="E790" s="143"/>
      <c r="H790" s="2"/>
      <c r="I790" s="30"/>
    </row>
    <row r="791" spans="4:9">
      <c r="D791" s="47"/>
      <c r="E791" s="143"/>
      <c r="H791" s="2"/>
      <c r="I791" s="30"/>
    </row>
    <row r="792" spans="4:9">
      <c r="D792" s="47"/>
      <c r="E792" s="143"/>
      <c r="H792" s="2"/>
      <c r="I792" s="30"/>
    </row>
    <row r="793" spans="4:9">
      <c r="D793" s="47"/>
      <c r="E793" s="143"/>
      <c r="H793" s="2"/>
      <c r="I793" s="30"/>
    </row>
    <row r="794" spans="4:9">
      <c r="D794" s="47"/>
      <c r="E794" s="143"/>
      <c r="H794" s="2"/>
      <c r="I794" s="30"/>
    </row>
    <row r="795" spans="4:9">
      <c r="D795" s="47"/>
      <c r="E795" s="143"/>
      <c r="H795" s="2"/>
      <c r="I795" s="30"/>
    </row>
    <row r="796" spans="4:9">
      <c r="D796" s="47"/>
      <c r="E796" s="143"/>
      <c r="H796" s="2"/>
      <c r="I796" s="30"/>
    </row>
    <row r="797" spans="4:9">
      <c r="D797" s="47"/>
      <c r="E797" s="143"/>
      <c r="H797" s="2"/>
      <c r="I797" s="30"/>
    </row>
    <row r="798" spans="4:9">
      <c r="D798" s="47"/>
      <c r="E798" s="143"/>
      <c r="H798" s="2"/>
      <c r="I798" s="30"/>
    </row>
    <row r="799" spans="4:9">
      <c r="D799" s="47"/>
      <c r="E799" s="143"/>
      <c r="H799" s="2"/>
      <c r="I799" s="30"/>
    </row>
    <row r="800" spans="4:9">
      <c r="D800" s="47"/>
      <c r="E800" s="143"/>
      <c r="H800" s="2"/>
      <c r="I800" s="30"/>
    </row>
    <row r="801" spans="4:9">
      <c r="D801" s="47"/>
      <c r="E801" s="143"/>
      <c r="H801" s="2"/>
      <c r="I801" s="30"/>
    </row>
    <row r="802" spans="4:9">
      <c r="D802" s="47"/>
      <c r="E802" s="143"/>
      <c r="H802" s="2"/>
      <c r="I802" s="30"/>
    </row>
    <row r="803" spans="4:9">
      <c r="D803" s="47"/>
      <c r="E803" s="143"/>
      <c r="H803" s="2"/>
      <c r="I803" s="30"/>
    </row>
    <row r="804" spans="4:9">
      <c r="D804" s="47"/>
      <c r="E804" s="143"/>
      <c r="H804" s="2"/>
      <c r="I804" s="30"/>
    </row>
    <row r="805" spans="4:9">
      <c r="D805" s="47"/>
      <c r="E805" s="143"/>
      <c r="H805" s="2"/>
      <c r="I805" s="30"/>
    </row>
    <row r="806" spans="4:9">
      <c r="D806" s="47"/>
      <c r="E806" s="143"/>
      <c r="H806" s="2"/>
      <c r="I806" s="30"/>
    </row>
    <row r="807" spans="4:9">
      <c r="D807" s="47"/>
      <c r="E807" s="143"/>
      <c r="H807" s="2"/>
      <c r="I807" s="30"/>
    </row>
    <row r="808" spans="4:9">
      <c r="D808" s="47"/>
      <c r="E808" s="143"/>
      <c r="H808" s="2"/>
      <c r="I808" s="30"/>
    </row>
    <row r="809" spans="4:9">
      <c r="D809" s="47"/>
      <c r="E809" s="143"/>
      <c r="H809" s="2"/>
      <c r="I809" s="30"/>
    </row>
    <row r="810" spans="4:9">
      <c r="D810" s="47"/>
      <c r="E810" s="143"/>
      <c r="H810" s="2"/>
      <c r="I810" s="30"/>
    </row>
    <row r="811" spans="4:9">
      <c r="D811" s="47"/>
      <c r="E811" s="143"/>
      <c r="H811" s="2"/>
      <c r="I811" s="30"/>
    </row>
    <row r="812" spans="4:9">
      <c r="D812" s="47"/>
      <c r="E812" s="143"/>
      <c r="H812" s="2"/>
      <c r="I812" s="30"/>
    </row>
    <row r="813" spans="4:9">
      <c r="D813" s="47"/>
      <c r="E813" s="143"/>
      <c r="H813" s="2"/>
      <c r="I813" s="30"/>
    </row>
    <row r="814" spans="4:9">
      <c r="D814" s="47"/>
      <c r="E814" s="143"/>
      <c r="H814" s="2"/>
      <c r="I814" s="30"/>
    </row>
    <row r="815" spans="4:9">
      <c r="D815" s="47"/>
      <c r="E815" s="143"/>
      <c r="H815" s="2"/>
      <c r="I815" s="30"/>
    </row>
    <row r="816" spans="4:9">
      <c r="D816" s="47"/>
      <c r="E816" s="143"/>
      <c r="H816" s="2"/>
      <c r="I816" s="30"/>
    </row>
    <row r="817" spans="4:9">
      <c r="D817" s="47"/>
      <c r="E817" s="143"/>
      <c r="H817" s="2"/>
      <c r="I817" s="30"/>
    </row>
    <row r="818" spans="4:9">
      <c r="D818" s="47"/>
      <c r="E818" s="143"/>
      <c r="H818" s="2"/>
      <c r="I818" s="30"/>
    </row>
    <row r="819" spans="4:9">
      <c r="D819" s="47"/>
      <c r="E819" s="143"/>
      <c r="H819" s="2"/>
      <c r="I819" s="30"/>
    </row>
    <row r="820" spans="4:9">
      <c r="D820" s="47"/>
      <c r="E820" s="143"/>
      <c r="H820" s="2"/>
      <c r="I820" s="30"/>
    </row>
    <row r="821" spans="4:9">
      <c r="D821" s="47"/>
      <c r="E821" s="143"/>
      <c r="H821" s="2"/>
      <c r="I821" s="30"/>
    </row>
    <row r="822" spans="4:9">
      <c r="D822" s="47"/>
      <c r="E822" s="143"/>
      <c r="H822" s="2"/>
      <c r="I822" s="30"/>
    </row>
    <row r="823" spans="4:9">
      <c r="D823" s="47"/>
      <c r="E823" s="143"/>
      <c r="H823" s="2"/>
      <c r="I823" s="30"/>
    </row>
    <row r="824" spans="4:9">
      <c r="D824" s="47"/>
      <c r="E824" s="143"/>
      <c r="H824" s="2"/>
      <c r="I824" s="30"/>
    </row>
    <row r="825" spans="4:9">
      <c r="D825" s="47"/>
      <c r="E825" s="143"/>
      <c r="H825" s="2"/>
      <c r="I825" s="30"/>
    </row>
    <row r="826" spans="4:9">
      <c r="D826" s="47"/>
      <c r="E826" s="143"/>
      <c r="H826" s="2"/>
      <c r="I826" s="30"/>
    </row>
    <row r="827" spans="4:9">
      <c r="D827" s="47"/>
      <c r="E827" s="143"/>
      <c r="H827" s="2"/>
      <c r="I827" s="30"/>
    </row>
    <row r="828" spans="4:9">
      <c r="D828" s="47"/>
      <c r="E828" s="143"/>
      <c r="H828" s="2"/>
      <c r="I828" s="30"/>
    </row>
    <row r="829" spans="4:9">
      <c r="D829" s="47"/>
      <c r="E829" s="143"/>
      <c r="H829" s="2"/>
      <c r="I829" s="30"/>
    </row>
    <row r="830" spans="4:9">
      <c r="D830" s="47"/>
      <c r="E830" s="143"/>
      <c r="H830" s="2"/>
      <c r="I830" s="30"/>
    </row>
    <row r="831" spans="4:9">
      <c r="D831" s="47"/>
      <c r="E831" s="143"/>
      <c r="H831" s="2"/>
      <c r="I831" s="30"/>
    </row>
    <row r="832" spans="4:9">
      <c r="D832" s="47"/>
      <c r="E832" s="143"/>
      <c r="H832" s="2"/>
      <c r="I832" s="30"/>
    </row>
    <row r="833" spans="4:9">
      <c r="D833" s="47"/>
      <c r="E833" s="143"/>
      <c r="H833" s="2"/>
      <c r="I833" s="30"/>
    </row>
    <row r="834" spans="4:9">
      <c r="D834" s="47"/>
      <c r="E834" s="143"/>
      <c r="H834" s="2"/>
      <c r="I834" s="30"/>
    </row>
    <row r="835" spans="4:9">
      <c r="D835" s="47"/>
      <c r="E835" s="143"/>
      <c r="H835" s="2"/>
      <c r="I835" s="30"/>
    </row>
    <row r="836" spans="4:9">
      <c r="D836" s="47"/>
      <c r="E836" s="143"/>
      <c r="H836" s="2"/>
      <c r="I836" s="30"/>
    </row>
    <row r="837" spans="4:9">
      <c r="D837" s="47"/>
      <c r="E837" s="143"/>
      <c r="H837" s="2"/>
      <c r="I837" s="30"/>
    </row>
    <row r="838" spans="4:9">
      <c r="D838" s="47"/>
      <c r="E838" s="143"/>
      <c r="H838" s="2"/>
      <c r="I838" s="30"/>
    </row>
    <row r="839" spans="4:9">
      <c r="D839" s="47"/>
      <c r="E839" s="143"/>
      <c r="H839" s="2"/>
      <c r="I839" s="30"/>
    </row>
    <row r="840" spans="4:9">
      <c r="D840" s="47"/>
      <c r="E840" s="143"/>
      <c r="H840" s="2"/>
      <c r="I840" s="30"/>
    </row>
    <row r="841" spans="4:9">
      <c r="D841" s="47"/>
      <c r="E841" s="143"/>
      <c r="H841" s="2"/>
      <c r="I841" s="30"/>
    </row>
    <row r="842" spans="4:9">
      <c r="D842" s="47"/>
      <c r="E842" s="143"/>
      <c r="H842" s="2"/>
      <c r="I842" s="30"/>
    </row>
    <row r="843" spans="4:9">
      <c r="D843" s="47"/>
      <c r="E843" s="143"/>
      <c r="H843" s="2"/>
      <c r="I843" s="30"/>
    </row>
    <row r="844" spans="4:9">
      <c r="D844" s="47"/>
      <c r="E844" s="143"/>
      <c r="H844" s="2"/>
      <c r="I844" s="30"/>
    </row>
    <row r="845" spans="4:9">
      <c r="D845" s="47"/>
      <c r="E845" s="143"/>
      <c r="H845" s="2"/>
      <c r="I845" s="30"/>
    </row>
    <row r="846" spans="4:9">
      <c r="D846" s="47"/>
      <c r="E846" s="143"/>
      <c r="H846" s="2"/>
      <c r="I846" s="30"/>
    </row>
    <row r="847" spans="4:9">
      <c r="D847" s="47"/>
      <c r="E847" s="143"/>
      <c r="H847" s="2"/>
      <c r="I847" s="30"/>
    </row>
    <row r="848" spans="4:9">
      <c r="D848" s="47"/>
      <c r="E848" s="143"/>
      <c r="H848" s="2"/>
      <c r="I848" s="30"/>
    </row>
    <row r="849" spans="4:9">
      <c r="D849" s="47"/>
      <c r="E849" s="143"/>
      <c r="H849" s="2"/>
      <c r="I849" s="30"/>
    </row>
    <row r="850" spans="4:9">
      <c r="D850" s="47"/>
      <c r="E850" s="143"/>
      <c r="H850" s="2"/>
      <c r="I850" s="30"/>
    </row>
    <row r="851" spans="4:9">
      <c r="D851" s="47"/>
      <c r="E851" s="143"/>
      <c r="H851" s="2"/>
      <c r="I851" s="30"/>
    </row>
    <row r="852" spans="4:9">
      <c r="D852" s="47"/>
      <c r="E852" s="143"/>
      <c r="H852" s="2"/>
      <c r="I852" s="30"/>
    </row>
    <row r="853" spans="4:9">
      <c r="D853" s="47"/>
      <c r="E853" s="143"/>
      <c r="H853" s="2"/>
      <c r="I853" s="30"/>
    </row>
    <row r="854" spans="4:9">
      <c r="D854" s="47"/>
      <c r="E854" s="143"/>
      <c r="H854" s="2"/>
      <c r="I854" s="30"/>
    </row>
    <row r="855" spans="4:9">
      <c r="D855" s="47"/>
      <c r="E855" s="143"/>
      <c r="H855" s="2"/>
      <c r="I855" s="30"/>
    </row>
    <row r="856" spans="4:9">
      <c r="D856" s="47"/>
      <c r="E856" s="143"/>
      <c r="H856" s="2"/>
      <c r="I856" s="30"/>
    </row>
    <row r="857" spans="4:9">
      <c r="D857" s="47"/>
      <c r="E857" s="143"/>
      <c r="H857" s="2"/>
      <c r="I857" s="30"/>
    </row>
    <row r="858" spans="4:9">
      <c r="D858" s="47"/>
      <c r="E858" s="143"/>
      <c r="H858" s="2"/>
      <c r="I858" s="30"/>
    </row>
    <row r="859" spans="4:9">
      <c r="D859" s="47"/>
      <c r="E859" s="143"/>
      <c r="H859" s="2"/>
      <c r="I859" s="30"/>
    </row>
    <row r="860" spans="4:9">
      <c r="D860" s="47"/>
      <c r="E860" s="143"/>
      <c r="H860" s="2"/>
      <c r="I860" s="30"/>
    </row>
    <row r="861" spans="4:9">
      <c r="D861" s="47"/>
      <c r="E861" s="143"/>
      <c r="H861" s="2"/>
      <c r="I861" s="30"/>
    </row>
    <row r="862" spans="4:9">
      <c r="D862" s="47"/>
      <c r="E862" s="143"/>
      <c r="H862" s="2"/>
      <c r="I862" s="30"/>
    </row>
    <row r="863" spans="4:9">
      <c r="D863" s="47"/>
      <c r="E863" s="143"/>
      <c r="H863" s="2"/>
      <c r="I863" s="30"/>
    </row>
    <row r="864" spans="4:9">
      <c r="D864" s="47"/>
      <c r="E864" s="143"/>
      <c r="H864" s="2"/>
      <c r="I864" s="30"/>
    </row>
    <row r="865" spans="4:9">
      <c r="D865" s="47"/>
      <c r="E865" s="143"/>
      <c r="H865" s="2"/>
      <c r="I865" s="30"/>
    </row>
    <row r="866" spans="4:9">
      <c r="D866" s="47"/>
      <c r="E866" s="143"/>
      <c r="H866" s="2"/>
      <c r="I866" s="30"/>
    </row>
    <row r="867" spans="4:9">
      <c r="D867" s="47"/>
      <c r="E867" s="143"/>
      <c r="H867" s="2"/>
      <c r="I867" s="30"/>
    </row>
    <row r="868" spans="4:9">
      <c r="D868" s="47"/>
      <c r="E868" s="143"/>
      <c r="H868" s="2"/>
      <c r="I868" s="30"/>
    </row>
    <row r="869" spans="4:9">
      <c r="D869" s="47"/>
      <c r="E869" s="143"/>
      <c r="H869" s="2"/>
      <c r="I869" s="30"/>
    </row>
    <row r="870" spans="4:9">
      <c r="D870" s="47"/>
      <c r="E870" s="143"/>
      <c r="H870" s="2"/>
      <c r="I870" s="30"/>
    </row>
    <row r="871" spans="4:9">
      <c r="D871" s="47"/>
      <c r="E871" s="143"/>
      <c r="H871" s="2"/>
      <c r="I871" s="30"/>
    </row>
    <row r="872" spans="4:9">
      <c r="D872" s="47"/>
      <c r="E872" s="143"/>
      <c r="H872" s="2"/>
      <c r="I872" s="30"/>
    </row>
    <row r="873" spans="4:9">
      <c r="D873" s="47"/>
      <c r="E873" s="143"/>
      <c r="H873" s="2"/>
      <c r="I873" s="30"/>
    </row>
    <row r="874" spans="4:9">
      <c r="D874" s="47"/>
      <c r="E874" s="143"/>
      <c r="H874" s="2"/>
      <c r="I874" s="30"/>
    </row>
    <row r="875" spans="4:9">
      <c r="D875" s="47"/>
      <c r="E875" s="143"/>
      <c r="H875" s="2"/>
      <c r="I875" s="30"/>
    </row>
    <row r="876" spans="4:9">
      <c r="D876" s="47"/>
      <c r="E876" s="143"/>
      <c r="H876" s="2"/>
      <c r="I876" s="30"/>
    </row>
    <row r="877" spans="4:9">
      <c r="D877" s="47"/>
      <c r="E877" s="143"/>
      <c r="H877" s="2"/>
      <c r="I877" s="30"/>
    </row>
    <row r="878" spans="4:9">
      <c r="D878" s="47"/>
      <c r="E878" s="143"/>
      <c r="H878" s="2"/>
      <c r="I878" s="30"/>
    </row>
    <row r="879" spans="4:9">
      <c r="D879" s="47"/>
      <c r="E879" s="143"/>
      <c r="H879" s="2"/>
      <c r="I879" s="30"/>
    </row>
    <row r="880" spans="4:9">
      <c r="D880" s="47"/>
      <c r="E880" s="143"/>
      <c r="H880" s="2"/>
      <c r="I880" s="30"/>
    </row>
    <row r="881" spans="4:9">
      <c r="D881" s="47"/>
      <c r="E881" s="143"/>
      <c r="H881" s="2"/>
      <c r="I881" s="30"/>
    </row>
    <row r="882" spans="4:9">
      <c r="D882" s="47"/>
      <c r="E882" s="143"/>
      <c r="H882" s="2"/>
      <c r="I882" s="30"/>
    </row>
    <row r="883" spans="4:9">
      <c r="D883" s="47"/>
      <c r="E883" s="143"/>
      <c r="H883" s="2"/>
      <c r="I883" s="30"/>
    </row>
    <row r="884" spans="4:9">
      <c r="D884" s="47"/>
      <c r="E884" s="143"/>
      <c r="H884" s="2"/>
      <c r="I884" s="30"/>
    </row>
    <row r="885" spans="4:9">
      <c r="D885" s="47"/>
      <c r="E885" s="143"/>
      <c r="H885" s="2"/>
      <c r="I885" s="30"/>
    </row>
    <row r="886" spans="4:9">
      <c r="D886" s="47"/>
      <c r="E886" s="143"/>
      <c r="H886" s="2"/>
      <c r="I886" s="30"/>
    </row>
    <row r="887" spans="4:9">
      <c r="D887" s="47"/>
      <c r="E887" s="143"/>
      <c r="H887" s="2"/>
      <c r="I887" s="30"/>
    </row>
    <row r="888" spans="4:9">
      <c r="D888" s="47"/>
      <c r="E888" s="143"/>
      <c r="H888" s="2"/>
      <c r="I888" s="30"/>
    </row>
    <row r="889" spans="4:9">
      <c r="D889" s="47"/>
      <c r="E889" s="143"/>
      <c r="H889" s="2"/>
      <c r="I889" s="30"/>
    </row>
    <row r="890" spans="4:9">
      <c r="D890" s="47"/>
      <c r="E890" s="143"/>
      <c r="H890" s="2"/>
      <c r="I890" s="30"/>
    </row>
    <row r="891" spans="4:9">
      <c r="D891" s="47"/>
      <c r="E891" s="143"/>
      <c r="H891" s="2"/>
      <c r="I891" s="30"/>
    </row>
    <row r="892" spans="4:9">
      <c r="D892" s="47"/>
      <c r="E892" s="143"/>
      <c r="H892" s="2"/>
      <c r="I892" s="30"/>
    </row>
    <row r="893" spans="4:9">
      <c r="D893" s="47"/>
      <c r="E893" s="143"/>
      <c r="H893" s="2"/>
      <c r="I893" s="30"/>
    </row>
    <row r="894" spans="4:9">
      <c r="D894" s="47"/>
      <c r="E894" s="143"/>
      <c r="H894" s="2"/>
      <c r="I894" s="30"/>
    </row>
    <row r="895" spans="4:9">
      <c r="D895" s="47"/>
      <c r="E895" s="143"/>
      <c r="H895" s="2"/>
      <c r="I895" s="30"/>
    </row>
    <row r="896" spans="4:9">
      <c r="D896" s="47"/>
      <c r="E896" s="143"/>
      <c r="H896" s="2"/>
      <c r="I896" s="30"/>
    </row>
    <row r="897" spans="4:9">
      <c r="D897" s="47"/>
      <c r="E897" s="143"/>
      <c r="H897" s="2"/>
      <c r="I897" s="30"/>
    </row>
    <row r="898" spans="4:9">
      <c r="D898" s="47"/>
      <c r="E898" s="143"/>
      <c r="H898" s="2"/>
      <c r="I898" s="30"/>
    </row>
    <row r="899" spans="4:9">
      <c r="D899" s="47"/>
      <c r="E899" s="143"/>
      <c r="H899" s="2"/>
      <c r="I899" s="30"/>
    </row>
    <row r="900" spans="4:9">
      <c r="D900" s="47"/>
      <c r="E900" s="143"/>
      <c r="H900" s="2"/>
      <c r="I900" s="30"/>
    </row>
    <row r="901" spans="4:9">
      <c r="D901" s="47"/>
      <c r="E901" s="143"/>
      <c r="H901" s="2"/>
      <c r="I901" s="30"/>
    </row>
    <row r="902" spans="4:9">
      <c r="D902" s="47"/>
      <c r="E902" s="143"/>
      <c r="H902" s="2"/>
      <c r="I902" s="30"/>
    </row>
    <row r="903" spans="4:9">
      <c r="D903" s="47"/>
      <c r="E903" s="143"/>
      <c r="H903" s="2"/>
      <c r="I903" s="30"/>
    </row>
    <row r="904" spans="4:9">
      <c r="D904" s="47"/>
      <c r="E904" s="143"/>
      <c r="H904" s="2"/>
      <c r="I904" s="30"/>
    </row>
    <row r="905" spans="4:9">
      <c r="D905" s="47"/>
      <c r="E905" s="143"/>
      <c r="H905" s="2"/>
      <c r="I905" s="30"/>
    </row>
    <row r="906" spans="4:9">
      <c r="D906" s="47"/>
      <c r="E906" s="143"/>
      <c r="H906" s="2"/>
      <c r="I906" s="30"/>
    </row>
    <row r="907" spans="4:9">
      <c r="D907" s="47"/>
      <c r="E907" s="143"/>
      <c r="H907" s="2"/>
      <c r="I907" s="30"/>
    </row>
    <row r="908" spans="4:9">
      <c r="D908" s="47"/>
      <c r="E908" s="143"/>
      <c r="H908" s="2"/>
      <c r="I908" s="30"/>
    </row>
    <row r="909" spans="4:9">
      <c r="D909" s="47"/>
      <c r="E909" s="143"/>
      <c r="H909" s="2"/>
      <c r="I909" s="30"/>
    </row>
    <row r="910" spans="4:9">
      <c r="D910" s="47"/>
      <c r="E910" s="143"/>
      <c r="H910" s="2"/>
      <c r="I910" s="30"/>
    </row>
    <row r="911" spans="4:9">
      <c r="D911" s="47"/>
      <c r="E911" s="143"/>
      <c r="H911" s="2"/>
      <c r="I911" s="30"/>
    </row>
    <row r="912" spans="4:9">
      <c r="D912" s="47"/>
      <c r="E912" s="143"/>
      <c r="H912" s="2"/>
      <c r="I912" s="30"/>
    </row>
    <row r="913" spans="4:9">
      <c r="D913" s="47"/>
      <c r="E913" s="143"/>
      <c r="H913" s="2"/>
      <c r="I913" s="30"/>
    </row>
    <row r="914" spans="4:9">
      <c r="D914" s="47"/>
      <c r="E914" s="143"/>
      <c r="H914" s="2"/>
      <c r="I914" s="30"/>
    </row>
    <row r="915" spans="4:9">
      <c r="D915" s="47"/>
      <c r="E915" s="143"/>
      <c r="H915" s="2"/>
      <c r="I915" s="30"/>
    </row>
    <row r="916" spans="4:9">
      <c r="D916" s="47"/>
      <c r="E916" s="143"/>
      <c r="H916" s="2"/>
      <c r="I916" s="30"/>
    </row>
    <row r="917" spans="4:9">
      <c r="D917" s="47"/>
      <c r="E917" s="143"/>
      <c r="H917" s="2"/>
      <c r="I917" s="30"/>
    </row>
    <row r="918" spans="4:9">
      <c r="D918" s="47"/>
      <c r="E918" s="143"/>
      <c r="H918" s="2"/>
      <c r="I918" s="30"/>
    </row>
    <row r="919" spans="4:9">
      <c r="D919" s="47"/>
      <c r="E919" s="143"/>
      <c r="H919" s="2"/>
      <c r="I919" s="30"/>
    </row>
    <row r="920" spans="4:9">
      <c r="D920" s="47"/>
      <c r="E920" s="143"/>
      <c r="H920" s="2"/>
      <c r="I920" s="30"/>
    </row>
    <row r="921" spans="4:9">
      <c r="D921" s="47"/>
      <c r="E921" s="143"/>
      <c r="H921" s="2"/>
      <c r="I921" s="30"/>
    </row>
    <row r="922" spans="4:9">
      <c r="D922" s="47"/>
      <c r="E922" s="143"/>
      <c r="H922" s="2"/>
      <c r="I922" s="30"/>
    </row>
    <row r="923" spans="4:9">
      <c r="D923" s="47"/>
      <c r="E923" s="143"/>
      <c r="H923" s="2"/>
      <c r="I923" s="30"/>
    </row>
    <row r="924" spans="4:9">
      <c r="D924" s="47"/>
      <c r="E924" s="143"/>
      <c r="H924" s="2"/>
      <c r="I924" s="30"/>
    </row>
    <row r="925" spans="4:9">
      <c r="D925" s="47"/>
      <c r="E925" s="143"/>
      <c r="H925" s="2"/>
      <c r="I925" s="30"/>
    </row>
    <row r="926" spans="4:9">
      <c r="D926" s="47"/>
      <c r="E926" s="143"/>
      <c r="H926" s="2"/>
      <c r="I926" s="30"/>
    </row>
    <row r="927" spans="4:9">
      <c r="D927" s="47"/>
      <c r="E927" s="143"/>
      <c r="H927" s="2"/>
      <c r="I927" s="30"/>
    </row>
    <row r="928" spans="4:9">
      <c r="D928" s="47"/>
      <c r="E928" s="143"/>
      <c r="H928" s="2"/>
      <c r="I928" s="30"/>
    </row>
    <row r="929" spans="4:9">
      <c r="D929" s="47"/>
      <c r="E929" s="143"/>
      <c r="H929" s="2"/>
      <c r="I929" s="30"/>
    </row>
    <row r="930" spans="4:9">
      <c r="D930" s="47"/>
      <c r="E930" s="143"/>
      <c r="H930" s="2"/>
      <c r="I930" s="30"/>
    </row>
    <row r="931" spans="4:9">
      <c r="D931" s="47"/>
      <c r="E931" s="143"/>
      <c r="H931" s="2"/>
      <c r="I931" s="30"/>
    </row>
    <row r="932" spans="4:9">
      <c r="D932" s="47"/>
      <c r="E932" s="143"/>
      <c r="H932" s="2"/>
      <c r="I932" s="30"/>
    </row>
    <row r="933" spans="4:9">
      <c r="D933" s="47"/>
      <c r="E933" s="143"/>
      <c r="H933" s="2"/>
      <c r="I933" s="30"/>
    </row>
    <row r="934" spans="4:9">
      <c r="D934" s="47"/>
      <c r="E934" s="143"/>
      <c r="H934" s="2"/>
      <c r="I934" s="30"/>
    </row>
    <row r="935" spans="4:9">
      <c r="D935" s="47"/>
      <c r="E935" s="143"/>
      <c r="H935" s="2"/>
      <c r="I935" s="30"/>
    </row>
    <row r="936" spans="4:9">
      <c r="D936" s="47"/>
      <c r="E936" s="143"/>
      <c r="H936" s="2"/>
      <c r="I936" s="30"/>
    </row>
    <row r="937" spans="4:9">
      <c r="D937" s="47"/>
      <c r="E937" s="143"/>
      <c r="H937" s="2"/>
      <c r="I937" s="30"/>
    </row>
    <row r="938" spans="4:9">
      <c r="D938" s="47"/>
      <c r="E938" s="143"/>
      <c r="H938" s="2"/>
      <c r="I938" s="30"/>
    </row>
    <row r="939" spans="4:9">
      <c r="D939" s="47"/>
      <c r="E939" s="143"/>
      <c r="H939" s="2"/>
      <c r="I939" s="30"/>
    </row>
    <row r="940" spans="4:9">
      <c r="D940" s="47"/>
      <c r="E940" s="143"/>
      <c r="H940" s="2"/>
      <c r="I940" s="30"/>
    </row>
    <row r="941" spans="4:9">
      <c r="D941" s="47"/>
      <c r="E941" s="143"/>
      <c r="H941" s="2"/>
      <c r="I941" s="30"/>
    </row>
    <row r="942" spans="4:9">
      <c r="D942" s="47"/>
      <c r="E942" s="143"/>
      <c r="H942" s="2"/>
      <c r="I942" s="30"/>
    </row>
    <row r="943" spans="4:9">
      <c r="D943" s="47"/>
      <c r="E943" s="143"/>
      <c r="H943" s="2"/>
      <c r="I943" s="30"/>
    </row>
    <row r="944" spans="4:9">
      <c r="D944" s="47"/>
      <c r="E944" s="143"/>
      <c r="H944" s="2"/>
      <c r="I944" s="30"/>
    </row>
    <row r="945" spans="4:9">
      <c r="D945" s="47"/>
      <c r="E945" s="143"/>
      <c r="H945" s="2"/>
      <c r="I945" s="30"/>
    </row>
    <row r="946" spans="4:9">
      <c r="D946" s="47"/>
      <c r="E946" s="143"/>
      <c r="H946" s="2"/>
      <c r="I946" s="30"/>
    </row>
    <row r="947" spans="4:9">
      <c r="D947" s="47"/>
      <c r="E947" s="143"/>
      <c r="H947" s="2"/>
      <c r="I947" s="30"/>
    </row>
    <row r="948" spans="4:9">
      <c r="D948" s="47"/>
      <c r="E948" s="143"/>
      <c r="H948" s="2"/>
      <c r="I948" s="30"/>
    </row>
    <row r="949" spans="4:9">
      <c r="D949" s="47"/>
      <c r="E949" s="143"/>
      <c r="H949" s="2"/>
      <c r="I949" s="30"/>
    </row>
    <row r="950" spans="4:9">
      <c r="D950" s="47"/>
      <c r="E950" s="143"/>
      <c r="H950" s="2"/>
      <c r="I950" s="30"/>
    </row>
    <row r="951" spans="4:9">
      <c r="D951" s="47"/>
      <c r="E951" s="143"/>
      <c r="H951" s="2"/>
      <c r="I951" s="30"/>
    </row>
    <row r="952" spans="4:9">
      <c r="D952" s="47"/>
      <c r="E952" s="143"/>
      <c r="H952" s="2"/>
      <c r="I952" s="30"/>
    </row>
    <row r="953" spans="4:9">
      <c r="D953" s="47"/>
      <c r="E953" s="143"/>
      <c r="H953" s="2"/>
      <c r="I953" s="30"/>
    </row>
    <row r="954" spans="4:9">
      <c r="D954" s="47"/>
      <c r="E954" s="143"/>
      <c r="H954" s="2"/>
      <c r="I954" s="30"/>
    </row>
    <row r="955" spans="4:9">
      <c r="D955" s="47"/>
      <c r="E955" s="143"/>
      <c r="H955" s="2"/>
      <c r="I955" s="30"/>
    </row>
    <row r="956" spans="4:9">
      <c r="D956" s="47"/>
      <c r="E956" s="143"/>
      <c r="H956" s="2"/>
      <c r="I956" s="30"/>
    </row>
    <row r="957" spans="4:9">
      <c r="D957" s="47"/>
      <c r="E957" s="143"/>
      <c r="H957" s="2"/>
      <c r="I957" s="30"/>
    </row>
    <row r="958" spans="4:9">
      <c r="D958" s="47"/>
      <c r="E958" s="143"/>
      <c r="H958" s="2"/>
      <c r="I958" s="30"/>
    </row>
    <row r="959" spans="4:9">
      <c r="D959" s="47"/>
      <c r="E959" s="143"/>
      <c r="H959" s="2"/>
      <c r="I959" s="30"/>
    </row>
    <row r="960" spans="4:9">
      <c r="D960" s="47"/>
      <c r="E960" s="143"/>
      <c r="H960" s="2"/>
      <c r="I960" s="30"/>
    </row>
    <row r="961" spans="4:9">
      <c r="D961" s="47"/>
      <c r="E961" s="143"/>
      <c r="H961" s="2"/>
      <c r="I961" s="30"/>
    </row>
    <row r="962" spans="4:9">
      <c r="D962" s="47"/>
      <c r="E962" s="143"/>
      <c r="H962" s="2"/>
      <c r="I962" s="30"/>
    </row>
    <row r="963" spans="4:9">
      <c r="D963" s="47"/>
      <c r="E963" s="143"/>
      <c r="H963" s="2"/>
      <c r="I963" s="30"/>
    </row>
    <row r="964" spans="4:9">
      <c r="D964" s="47"/>
      <c r="E964" s="143"/>
      <c r="H964" s="2"/>
      <c r="I964" s="30"/>
    </row>
    <row r="965" spans="4:9">
      <c r="D965" s="47"/>
      <c r="E965" s="143"/>
      <c r="H965" s="2"/>
      <c r="I965" s="30"/>
    </row>
    <row r="966" spans="4:9">
      <c r="D966" s="47"/>
      <c r="E966" s="143"/>
      <c r="H966" s="2"/>
      <c r="I966" s="30"/>
    </row>
    <row r="967" spans="4:9">
      <c r="D967" s="47"/>
      <c r="E967" s="143"/>
      <c r="H967" s="2"/>
      <c r="I967" s="30"/>
    </row>
    <row r="968" spans="4:9">
      <c r="D968" s="47"/>
      <c r="E968" s="143"/>
      <c r="H968" s="2"/>
      <c r="I968" s="30"/>
    </row>
    <row r="969" spans="4:9">
      <c r="D969" s="47"/>
      <c r="E969" s="143"/>
      <c r="H969" s="2"/>
      <c r="I969" s="30"/>
    </row>
    <row r="970" spans="4:9">
      <c r="D970" s="47"/>
      <c r="E970" s="143"/>
      <c r="H970" s="2"/>
      <c r="I970" s="30"/>
    </row>
    <row r="971" spans="4:9">
      <c r="D971" s="47"/>
      <c r="E971" s="143"/>
      <c r="H971" s="2"/>
      <c r="I971" s="30"/>
    </row>
    <row r="972" spans="4:9">
      <c r="D972" s="47"/>
      <c r="E972" s="143"/>
      <c r="H972" s="2"/>
      <c r="I972" s="30"/>
    </row>
    <row r="973" spans="4:9">
      <c r="D973" s="47"/>
      <c r="E973" s="143"/>
      <c r="H973" s="2"/>
      <c r="I973" s="30"/>
    </row>
    <row r="974" spans="4:9">
      <c r="D974" s="47"/>
      <c r="E974" s="143"/>
      <c r="H974" s="2"/>
      <c r="I974" s="30"/>
    </row>
    <row r="975" spans="4:9">
      <c r="D975" s="47"/>
      <c r="E975" s="143"/>
      <c r="H975" s="2"/>
      <c r="I975" s="30"/>
    </row>
    <row r="976" spans="4:9">
      <c r="D976" s="47"/>
      <c r="E976" s="143"/>
      <c r="H976" s="2"/>
      <c r="I976" s="30"/>
    </row>
    <row r="977" spans="4:15">
      <c r="D977" s="47"/>
      <c r="E977" s="143"/>
      <c r="H977" s="2"/>
      <c r="I977" s="30"/>
    </row>
    <row r="978" spans="4:15">
      <c r="K978" s="143"/>
      <c r="N978" s="2"/>
      <c r="O978" s="30"/>
    </row>
    <row r="979" spans="4:15">
      <c r="K979" s="143"/>
      <c r="N979" s="2"/>
      <c r="O979" s="30"/>
    </row>
    <row r="980" spans="4:15">
      <c r="K980" s="143"/>
      <c r="N980" s="2"/>
      <c r="O980" s="30"/>
    </row>
    <row r="981" spans="4:15">
      <c r="K981" s="143"/>
      <c r="N981" s="2"/>
      <c r="O981" s="30"/>
    </row>
    <row r="982" spans="4:15">
      <c r="K982" s="143"/>
      <c r="N982" s="2"/>
      <c r="O982" s="30"/>
    </row>
    <row r="983" spans="4:15">
      <c r="K983" s="143"/>
      <c r="N983" s="2"/>
      <c r="O983" s="30"/>
    </row>
    <row r="984" spans="4:15">
      <c r="K984" s="143"/>
      <c r="N984" s="2"/>
      <c r="O984" s="30"/>
    </row>
    <row r="985" spans="4:15">
      <c r="K985" s="143"/>
      <c r="N985" s="2"/>
      <c r="O985" s="30"/>
    </row>
    <row r="986" spans="4:15">
      <c r="K986" s="143"/>
      <c r="N986" s="2"/>
      <c r="O986" s="30"/>
    </row>
    <row r="987" spans="4:15">
      <c r="K987" s="143"/>
      <c r="N987" s="2"/>
      <c r="O987" s="30"/>
    </row>
    <row r="988" spans="4:15">
      <c r="K988" s="143"/>
      <c r="N988" s="2"/>
      <c r="O988" s="30"/>
    </row>
    <row r="989" spans="4:15">
      <c r="K989" s="143"/>
      <c r="N989" s="2"/>
      <c r="O989" s="30"/>
    </row>
    <row r="990" spans="4:15">
      <c r="K990" s="143"/>
      <c r="N990" s="2"/>
      <c r="O990" s="30"/>
    </row>
    <row r="991" spans="4:15">
      <c r="K991" s="143"/>
      <c r="N991" s="2"/>
      <c r="O991" s="30"/>
    </row>
    <row r="992" spans="4:15">
      <c r="K992" s="143"/>
      <c r="N992" s="2"/>
      <c r="O992" s="30"/>
    </row>
    <row r="993" spans="11:15">
      <c r="K993" s="143"/>
      <c r="N993" s="2"/>
      <c r="O993" s="30"/>
    </row>
    <row r="994" spans="11:15">
      <c r="K994" s="143"/>
      <c r="N994" s="2"/>
      <c r="O994" s="30"/>
    </row>
    <row r="995" spans="11:15">
      <c r="K995" s="143"/>
      <c r="N995" s="2"/>
      <c r="O995" s="30"/>
    </row>
    <row r="996" spans="11:15">
      <c r="K996" s="143"/>
      <c r="N996" s="2"/>
      <c r="O996" s="30"/>
    </row>
    <row r="997" spans="11:15">
      <c r="K997" s="143"/>
      <c r="N997" s="2"/>
      <c r="O997" s="30"/>
    </row>
    <row r="998" spans="11:15">
      <c r="K998" s="143"/>
      <c r="N998" s="2"/>
      <c r="O998" s="30"/>
    </row>
    <row r="999" spans="11:15">
      <c r="K999" s="143"/>
      <c r="N999" s="2"/>
      <c r="O999" s="30"/>
    </row>
  </sheetData>
  <dataValidations count="1">
    <dataValidation type="list" allowBlank="1" showErrorMessage="1" sqref="W3:W4 W6:W7" xr:uid="{3FE32AFD-E334-4EB6-95E4-AF509195778B}">
      <formula1>"Open,Inprogress,Closed"</formula1>
    </dataValidation>
  </dataValidations>
  <hyperlinks>
    <hyperlink ref="M3" r:id="rId1" xr:uid="{F08562B1-7415-4749-BF0F-498B82725B35}"/>
    <hyperlink ref="M4" r:id="rId2" xr:uid="{143231C1-3892-4F3F-B872-F4308B3840D6}"/>
    <hyperlink ref="M7" r:id="rId3" xr:uid="{04A9ED57-B114-4E31-AFEF-5703E9E8CB18}"/>
  </hyperlinks>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78329-14D0-486D-A238-AFCDEF065B48}">
  <dimension ref="A1:AD1015"/>
  <sheetViews>
    <sheetView topLeftCell="M1" workbookViewId="0">
      <selection activeCell="X5" sqref="X5"/>
    </sheetView>
  </sheetViews>
  <sheetFormatPr defaultRowHeight="12.75"/>
  <cols>
    <col min="2" max="2" width="15.140625" customWidth="1"/>
    <col min="3" max="3" width="23.42578125" customWidth="1"/>
    <col min="5" max="5" width="18.42578125" customWidth="1"/>
    <col min="12" max="12" width="35.85546875" customWidth="1"/>
    <col min="13" max="13" width="19.140625" customWidth="1"/>
    <col min="14" max="15" width="9.42578125" bestFit="1" customWidth="1"/>
    <col min="17" max="17" width="13.28515625" customWidth="1"/>
    <col min="19" max="19" width="9.42578125" bestFit="1" customWidth="1"/>
    <col min="20" max="20" width="14.7109375" customWidth="1"/>
    <col min="21" max="21" width="15.28515625" customWidth="1"/>
    <col min="22" max="22" width="18.5703125" customWidth="1"/>
    <col min="23" max="23" width="15.28515625" customWidth="1"/>
    <col min="24" max="24" width="38.7109375" customWidth="1"/>
  </cols>
  <sheetData>
    <row r="1" spans="1:24">
      <c r="A1" s="4"/>
      <c r="B1" s="4"/>
      <c r="C1" s="4"/>
      <c r="D1" s="5"/>
      <c r="E1" s="4"/>
      <c r="F1" s="4"/>
      <c r="G1" s="4"/>
      <c r="H1" s="5"/>
      <c r="I1" s="1"/>
      <c r="J1" s="4"/>
      <c r="K1" s="4"/>
      <c r="L1" s="4"/>
      <c r="M1" s="4"/>
      <c r="N1" s="4"/>
      <c r="O1" s="48"/>
      <c r="P1" s="4"/>
      <c r="Q1" s="4"/>
      <c r="R1" s="4"/>
      <c r="S1" s="4"/>
      <c r="T1" s="4"/>
      <c r="U1" s="4"/>
      <c r="V1" s="4"/>
      <c r="W1" s="4"/>
      <c r="X1" s="6"/>
    </row>
    <row r="2" spans="1:24" ht="60">
      <c r="A2" s="1" t="s">
        <v>254</v>
      </c>
      <c r="B2" s="59" t="s">
        <v>255</v>
      </c>
      <c r="C2" s="59" t="s">
        <v>256</v>
      </c>
      <c r="D2" s="68" t="s">
        <v>257</v>
      </c>
      <c r="E2" s="70" t="s">
        <v>258</v>
      </c>
      <c r="F2" s="70" t="s">
        <v>260</v>
      </c>
      <c r="G2" s="70" t="s">
        <v>261</v>
      </c>
      <c r="H2" s="68" t="s">
        <v>265</v>
      </c>
      <c r="I2" s="70" t="s">
        <v>266</v>
      </c>
      <c r="J2" s="70" t="s">
        <v>267</v>
      </c>
      <c r="K2" s="70" t="s">
        <v>268</v>
      </c>
      <c r="L2" s="70" t="s">
        <v>269</v>
      </c>
      <c r="M2" s="70" t="s">
        <v>270</v>
      </c>
      <c r="N2" s="70" t="s">
        <v>271</v>
      </c>
      <c r="O2" s="71" t="s">
        <v>272</v>
      </c>
      <c r="P2" s="70" t="s">
        <v>1708</v>
      </c>
      <c r="Q2" s="70" t="s">
        <v>274</v>
      </c>
      <c r="R2" s="70" t="s">
        <v>1709</v>
      </c>
      <c r="S2" s="70" t="s">
        <v>276</v>
      </c>
      <c r="T2" s="70" t="s">
        <v>274</v>
      </c>
      <c r="U2" s="70" t="s">
        <v>278</v>
      </c>
      <c r="V2" s="70" t="s">
        <v>279</v>
      </c>
      <c r="W2" s="70" t="s">
        <v>259</v>
      </c>
      <c r="X2" s="72" t="s">
        <v>280</v>
      </c>
    </row>
    <row r="3" spans="1:24" ht="48" customHeight="1">
      <c r="A3" s="158">
        <v>1</v>
      </c>
      <c r="B3" s="159" t="s">
        <v>1909</v>
      </c>
      <c r="C3" s="160" t="s">
        <v>1910</v>
      </c>
      <c r="D3" s="87" t="s">
        <v>1911</v>
      </c>
      <c r="E3" s="161" t="s">
        <v>1912</v>
      </c>
      <c r="F3" s="161">
        <v>2</v>
      </c>
      <c r="G3" s="161">
        <v>2</v>
      </c>
      <c r="H3" s="87" t="s">
        <v>290</v>
      </c>
      <c r="I3" s="87" t="s">
        <v>292</v>
      </c>
      <c r="J3" s="87" t="s">
        <v>1560</v>
      </c>
      <c r="K3" s="87" t="s">
        <v>862</v>
      </c>
      <c r="L3" s="130" t="s">
        <v>1728</v>
      </c>
      <c r="M3" s="129" t="s">
        <v>1913</v>
      </c>
      <c r="N3" s="162">
        <v>45398</v>
      </c>
      <c r="O3" s="162">
        <v>45399</v>
      </c>
      <c r="P3" s="130" t="s">
        <v>294</v>
      </c>
      <c r="Q3" s="178" t="s">
        <v>1694</v>
      </c>
      <c r="R3" s="130" t="s">
        <v>1860</v>
      </c>
      <c r="S3" s="163">
        <v>45399</v>
      </c>
      <c r="T3" s="164" t="s">
        <v>1694</v>
      </c>
      <c r="U3" s="164" t="s">
        <v>1728</v>
      </c>
      <c r="V3" s="164" t="s">
        <v>1728</v>
      </c>
      <c r="W3" s="165" t="s">
        <v>384</v>
      </c>
      <c r="X3" s="87"/>
    </row>
    <row r="4" spans="1:24" ht="48.75" customHeight="1">
      <c r="A4" s="158">
        <v>2</v>
      </c>
      <c r="B4" s="159" t="s">
        <v>1909</v>
      </c>
      <c r="C4" s="166" t="s">
        <v>1886</v>
      </c>
      <c r="D4" s="87" t="s">
        <v>1887</v>
      </c>
      <c r="E4" s="161" t="s">
        <v>1888</v>
      </c>
      <c r="F4" s="161">
        <v>5</v>
      </c>
      <c r="G4" s="161">
        <v>5</v>
      </c>
      <c r="H4" s="87" t="s">
        <v>290</v>
      </c>
      <c r="I4" s="87" t="s">
        <v>292</v>
      </c>
      <c r="J4" s="87" t="s">
        <v>1560</v>
      </c>
      <c r="K4" s="87" t="s">
        <v>862</v>
      </c>
      <c r="L4" s="130" t="s">
        <v>1728</v>
      </c>
      <c r="M4" s="129" t="s">
        <v>1914</v>
      </c>
      <c r="N4" s="167">
        <v>45406</v>
      </c>
      <c r="O4" s="167">
        <v>45407</v>
      </c>
      <c r="P4" s="130" t="s">
        <v>294</v>
      </c>
      <c r="Q4" s="178" t="s">
        <v>1694</v>
      </c>
      <c r="R4" s="130" t="s">
        <v>1860</v>
      </c>
      <c r="S4" s="169">
        <v>45407</v>
      </c>
      <c r="T4" s="164" t="s">
        <v>1694</v>
      </c>
      <c r="U4" s="164" t="s">
        <v>1728</v>
      </c>
      <c r="V4" s="164" t="s">
        <v>1728</v>
      </c>
      <c r="W4" s="165" t="s">
        <v>384</v>
      </c>
      <c r="X4" s="170"/>
    </row>
    <row r="5" spans="1:24" ht="60" customHeight="1">
      <c r="A5" s="171">
        <v>3</v>
      </c>
      <c r="B5" s="159" t="s">
        <v>1915</v>
      </c>
      <c r="C5" s="166" t="s">
        <v>1766</v>
      </c>
      <c r="D5" s="146" t="s">
        <v>1890</v>
      </c>
      <c r="E5" s="179" t="s">
        <v>1916</v>
      </c>
      <c r="F5" s="130">
        <v>3</v>
      </c>
      <c r="G5" s="130">
        <v>3</v>
      </c>
      <c r="H5" s="87" t="s">
        <v>290</v>
      </c>
      <c r="I5" s="87" t="s">
        <v>1714</v>
      </c>
      <c r="J5" s="87" t="s">
        <v>1560</v>
      </c>
      <c r="K5" s="87" t="s">
        <v>862</v>
      </c>
      <c r="L5" s="130" t="s">
        <v>1728</v>
      </c>
      <c r="M5" s="172" t="s">
        <v>1892</v>
      </c>
      <c r="N5" s="167">
        <v>45407</v>
      </c>
      <c r="O5" s="167"/>
      <c r="P5" s="130"/>
      <c r="Q5" s="168"/>
      <c r="R5" s="130"/>
      <c r="S5" s="169"/>
      <c r="T5" s="168"/>
      <c r="U5" s="164"/>
      <c r="V5" s="164"/>
      <c r="W5" s="165" t="s">
        <v>500</v>
      </c>
      <c r="X5" s="174" t="s">
        <v>1917</v>
      </c>
    </row>
    <row r="6" spans="1:24" ht="14.25">
      <c r="A6" s="171"/>
      <c r="B6" s="175"/>
      <c r="C6" s="166"/>
      <c r="D6" s="87"/>
      <c r="E6" s="130"/>
      <c r="F6" s="130"/>
      <c r="G6" s="96"/>
      <c r="H6" s="87"/>
      <c r="I6" s="87"/>
      <c r="J6" s="87"/>
      <c r="K6" s="87"/>
      <c r="L6" s="87"/>
      <c r="M6" s="176"/>
      <c r="N6" s="87"/>
      <c r="O6" s="87"/>
      <c r="P6" s="87"/>
      <c r="Q6" s="87"/>
      <c r="R6" s="87"/>
      <c r="S6" s="87"/>
      <c r="T6" s="87"/>
      <c r="U6" s="87"/>
      <c r="V6" s="87"/>
      <c r="W6" s="73"/>
      <c r="X6" s="177"/>
    </row>
    <row r="7" spans="1:24">
      <c r="A7" s="98"/>
      <c r="B7" s="97"/>
      <c r="C7" s="101"/>
      <c r="D7" s="87"/>
      <c r="E7" s="136"/>
      <c r="F7" s="84"/>
      <c r="G7" s="80"/>
      <c r="H7" s="77"/>
      <c r="I7" s="78"/>
      <c r="J7" s="78"/>
      <c r="K7" s="78"/>
      <c r="L7" s="138"/>
      <c r="M7" s="40"/>
      <c r="N7" s="134"/>
      <c r="O7" s="134"/>
      <c r="P7" s="88"/>
      <c r="Q7" s="73"/>
      <c r="R7" s="81"/>
      <c r="S7" s="135"/>
      <c r="T7" s="73"/>
      <c r="U7" s="81"/>
      <c r="V7" s="81"/>
      <c r="W7" s="30"/>
    </row>
    <row r="8" spans="1:24" ht="14.25">
      <c r="A8" s="98"/>
      <c r="B8" s="97"/>
      <c r="C8" s="100"/>
      <c r="D8" s="87"/>
      <c r="E8" s="136"/>
      <c r="F8" s="84"/>
      <c r="G8" s="80"/>
      <c r="H8" s="77"/>
      <c r="I8" s="78"/>
      <c r="J8" s="78"/>
      <c r="K8" s="78"/>
      <c r="L8" s="89"/>
      <c r="M8" s="40"/>
      <c r="N8" s="94"/>
      <c r="O8" s="85"/>
      <c r="P8" s="80"/>
      <c r="Q8" s="78"/>
      <c r="R8" s="81"/>
      <c r="S8" s="95"/>
      <c r="T8" s="78"/>
      <c r="U8" s="81"/>
      <c r="V8" s="81"/>
      <c r="W8" s="30"/>
      <c r="X8" s="30"/>
    </row>
    <row r="9" spans="1:24" ht="16.5">
      <c r="A9" s="99"/>
      <c r="B9" s="97"/>
      <c r="C9" s="102"/>
      <c r="D9" s="46"/>
      <c r="E9" s="18"/>
      <c r="F9" s="18"/>
      <c r="G9" s="18"/>
      <c r="H9" s="12"/>
      <c r="I9" s="14"/>
      <c r="J9" s="14"/>
      <c r="K9" s="14"/>
      <c r="L9" s="67"/>
      <c r="M9" s="40"/>
      <c r="N9" s="65"/>
      <c r="O9" s="66"/>
      <c r="P9" s="14"/>
      <c r="Q9" s="14"/>
      <c r="R9" s="19"/>
      <c r="S9" s="65"/>
      <c r="T9" s="14"/>
      <c r="U9" s="19"/>
      <c r="V9" s="19"/>
      <c r="W9" s="64"/>
      <c r="X9" s="19"/>
    </row>
    <row r="10" spans="1:24">
      <c r="A10" s="99"/>
      <c r="B10" s="97"/>
      <c r="C10" s="103"/>
      <c r="D10" s="46"/>
      <c r="E10" s="18"/>
      <c r="F10" s="18"/>
      <c r="G10" s="18"/>
      <c r="H10" s="12"/>
      <c r="I10" s="14"/>
      <c r="J10" s="14"/>
      <c r="K10" s="14"/>
      <c r="L10" s="58"/>
      <c r="M10" s="14"/>
      <c r="N10" s="14"/>
      <c r="O10" s="9"/>
      <c r="P10" s="14"/>
      <c r="Q10" s="19"/>
      <c r="R10" s="19"/>
      <c r="S10" s="19"/>
      <c r="T10" s="19"/>
      <c r="U10" s="19"/>
      <c r="V10" s="19"/>
      <c r="W10" s="64"/>
      <c r="X10" s="19"/>
    </row>
    <row r="11" spans="1:24">
      <c r="A11" s="99"/>
      <c r="B11" s="97"/>
      <c r="C11" s="103"/>
      <c r="D11" s="62"/>
      <c r="E11" s="18"/>
      <c r="F11" s="18"/>
      <c r="G11" s="18"/>
      <c r="H11" s="12"/>
      <c r="I11" s="10"/>
      <c r="J11" s="14"/>
      <c r="K11" s="14"/>
      <c r="L11" s="19"/>
      <c r="M11" s="14"/>
      <c r="N11" s="14"/>
      <c r="O11" s="9"/>
      <c r="P11" s="14"/>
      <c r="Q11" s="18"/>
      <c r="R11" s="19"/>
      <c r="S11" s="19"/>
      <c r="T11" s="19"/>
      <c r="U11" s="19"/>
      <c r="V11" s="19"/>
      <c r="W11" s="64"/>
      <c r="X11" s="19"/>
    </row>
    <row r="12" spans="1:24">
      <c r="A12" s="99"/>
      <c r="B12" s="97"/>
      <c r="C12" s="102"/>
      <c r="D12" s="62"/>
      <c r="E12" s="45"/>
      <c r="F12" s="18"/>
      <c r="G12" s="18"/>
      <c r="H12" s="12"/>
      <c r="I12" s="14"/>
      <c r="J12" s="19"/>
      <c r="K12" s="14"/>
      <c r="L12" s="19"/>
      <c r="M12" s="14"/>
      <c r="N12" s="14"/>
      <c r="O12" s="9"/>
      <c r="P12" s="14"/>
      <c r="Q12" s="19"/>
      <c r="R12" s="19"/>
      <c r="S12" s="19"/>
      <c r="T12" s="19"/>
      <c r="U12" s="19"/>
      <c r="V12" s="19"/>
      <c r="W12" s="64"/>
      <c r="X12" s="19"/>
    </row>
    <row r="13" spans="1:24">
      <c r="A13" s="19"/>
      <c r="B13" s="104"/>
      <c r="C13" s="14"/>
      <c r="D13" s="12"/>
      <c r="E13" s="18"/>
      <c r="F13" s="18"/>
      <c r="G13" s="18"/>
      <c r="H13" s="12"/>
      <c r="I13" s="14"/>
      <c r="J13" s="19"/>
      <c r="K13" s="14"/>
      <c r="L13" s="19"/>
      <c r="M13" s="14"/>
      <c r="N13" s="14"/>
      <c r="O13" s="9"/>
      <c r="P13" s="14"/>
      <c r="Q13" s="19"/>
      <c r="R13" s="19"/>
      <c r="S13" s="19"/>
      <c r="T13" s="19"/>
      <c r="U13" s="19"/>
      <c r="V13" s="19"/>
      <c r="W13" s="19"/>
      <c r="X13" s="19"/>
    </row>
    <row r="14" spans="1:24">
      <c r="A14" s="19"/>
      <c r="B14" s="60"/>
      <c r="C14" s="14"/>
      <c r="D14" s="12"/>
      <c r="E14" s="18"/>
      <c r="F14" s="18"/>
      <c r="G14" s="18"/>
      <c r="H14" s="12"/>
      <c r="I14" s="14"/>
      <c r="J14" s="19"/>
      <c r="K14" s="14"/>
      <c r="L14" s="19"/>
      <c r="M14" s="14"/>
      <c r="N14" s="14"/>
      <c r="O14" s="9"/>
      <c r="P14" s="14"/>
      <c r="Q14" s="19"/>
      <c r="R14" s="19"/>
      <c r="S14" s="19"/>
      <c r="T14" s="19"/>
      <c r="U14" s="19"/>
      <c r="V14" s="19"/>
      <c r="W14" s="19"/>
      <c r="X14" s="19"/>
    </row>
    <row r="15" spans="1:24">
      <c r="A15" s="19"/>
      <c r="B15" s="60"/>
      <c r="C15" s="14"/>
      <c r="D15" s="12"/>
      <c r="E15" s="18"/>
      <c r="F15" s="18"/>
      <c r="G15" s="18"/>
      <c r="H15" s="12"/>
      <c r="I15" s="14"/>
      <c r="J15" s="19"/>
      <c r="K15" s="14"/>
      <c r="L15" s="19"/>
      <c r="M15" s="14"/>
      <c r="N15" s="14"/>
      <c r="O15" s="9"/>
      <c r="P15" s="14"/>
      <c r="Q15" s="19"/>
      <c r="R15" s="19"/>
      <c r="S15" s="19"/>
      <c r="T15" s="19"/>
      <c r="U15" s="19"/>
      <c r="V15" s="19"/>
      <c r="W15" s="19"/>
      <c r="X15" s="19"/>
    </row>
    <row r="16" spans="1:24">
      <c r="A16" s="19"/>
      <c r="B16" s="60"/>
      <c r="C16" s="14"/>
      <c r="D16" s="12"/>
      <c r="E16" s="18"/>
      <c r="F16" s="18"/>
      <c r="G16" s="18"/>
      <c r="H16" s="12"/>
      <c r="I16" s="14"/>
      <c r="J16" s="19"/>
      <c r="K16" s="14"/>
      <c r="L16" s="19"/>
      <c r="M16" s="14"/>
      <c r="N16" s="14"/>
      <c r="O16" s="9"/>
      <c r="P16" s="14"/>
      <c r="Q16" s="19"/>
      <c r="R16" s="19"/>
      <c r="S16" s="19"/>
      <c r="T16" s="19"/>
      <c r="U16" s="19"/>
      <c r="V16" s="19"/>
      <c r="W16" s="19"/>
      <c r="X16" s="19"/>
    </row>
    <row r="17" spans="1:30">
      <c r="A17" s="19"/>
      <c r="B17" s="60"/>
      <c r="C17" s="14"/>
      <c r="D17" s="12"/>
      <c r="E17" s="18"/>
      <c r="F17" s="18"/>
      <c r="G17" s="18"/>
      <c r="H17" s="12"/>
      <c r="I17" s="14"/>
      <c r="J17" s="19"/>
      <c r="K17" s="14"/>
      <c r="L17" s="19"/>
      <c r="M17" s="14"/>
      <c r="N17" s="14"/>
      <c r="O17" s="9"/>
      <c r="P17" s="14"/>
      <c r="Q17" s="19"/>
      <c r="R17" s="19"/>
      <c r="S17" s="19"/>
      <c r="T17" s="19"/>
      <c r="U17" s="19"/>
      <c r="V17" s="19"/>
      <c r="W17" s="19"/>
      <c r="X17" s="19"/>
    </row>
    <row r="18" spans="1:30">
      <c r="B18" s="28"/>
      <c r="C18" s="3"/>
      <c r="D18" s="47"/>
      <c r="E18" s="28"/>
      <c r="F18" s="28"/>
      <c r="G18" s="28"/>
      <c r="H18" s="29"/>
      <c r="I18" s="63"/>
      <c r="K18" s="3"/>
      <c r="M18" s="3"/>
      <c r="N18" s="3"/>
      <c r="O18" s="52"/>
      <c r="P18" s="3"/>
    </row>
    <row r="19" spans="1:30">
      <c r="B19" s="28"/>
      <c r="C19" s="3"/>
      <c r="D19" s="47"/>
      <c r="E19" s="28"/>
      <c r="F19" s="28"/>
      <c r="G19" s="28"/>
      <c r="H19" s="29"/>
      <c r="I19" s="14"/>
      <c r="K19" s="3"/>
      <c r="M19" s="3"/>
      <c r="N19" s="3"/>
      <c r="O19" s="52"/>
      <c r="P19" s="3"/>
    </row>
    <row r="20" spans="1:30">
      <c r="B20" s="28"/>
      <c r="C20" s="3"/>
      <c r="D20" s="47"/>
      <c r="E20" s="28"/>
      <c r="F20" s="28"/>
      <c r="G20" s="28"/>
      <c r="H20" s="29"/>
      <c r="I20" s="14"/>
      <c r="K20" s="3"/>
      <c r="M20" s="3"/>
      <c r="N20" s="3"/>
      <c r="O20" s="52"/>
      <c r="P20" s="3"/>
    </row>
    <row r="21" spans="1:30">
      <c r="B21" s="28"/>
      <c r="C21" s="3"/>
      <c r="D21" s="47"/>
      <c r="E21" s="28"/>
      <c r="F21" s="28"/>
      <c r="G21" s="28"/>
      <c r="H21" s="29"/>
      <c r="I21" s="14"/>
      <c r="K21" s="3"/>
      <c r="M21" s="3"/>
      <c r="N21" s="3"/>
      <c r="O21" s="52"/>
      <c r="P21" s="3"/>
    </row>
    <row r="22" spans="1:30">
      <c r="B22" s="28"/>
      <c r="C22" s="3"/>
      <c r="D22" s="47"/>
      <c r="E22" s="28"/>
      <c r="F22" s="28"/>
      <c r="G22" s="28"/>
      <c r="H22" s="29"/>
      <c r="I22" s="14"/>
      <c r="K22" s="3"/>
      <c r="M22" s="3"/>
      <c r="N22" s="3"/>
      <c r="O22" s="52"/>
      <c r="P22" s="3"/>
    </row>
    <row r="23" spans="1:30">
      <c r="B23" s="28"/>
      <c r="C23" s="3"/>
      <c r="D23" s="47"/>
      <c r="E23" s="28"/>
      <c r="F23" s="28"/>
      <c r="G23" s="28"/>
      <c r="H23" s="29"/>
      <c r="I23" s="14"/>
      <c r="K23" s="3"/>
      <c r="M23" s="3"/>
      <c r="N23" s="3"/>
      <c r="O23" s="52"/>
      <c r="P23" s="3"/>
      <c r="Y23" s="4"/>
      <c r="Z23" s="4"/>
      <c r="AA23" s="4"/>
      <c r="AB23" s="4"/>
      <c r="AC23" s="4"/>
      <c r="AD23" s="6"/>
    </row>
    <row r="24" spans="1:30" ht="48">
      <c r="B24" s="28"/>
      <c r="C24" s="3"/>
      <c r="D24" s="47"/>
      <c r="E24" s="28"/>
      <c r="F24" s="28"/>
      <c r="G24" s="28"/>
      <c r="H24" s="29"/>
      <c r="I24" s="14"/>
      <c r="K24" s="3"/>
      <c r="M24" s="3"/>
      <c r="N24" s="3"/>
      <c r="O24" s="52"/>
      <c r="P24" s="3"/>
      <c r="Y24" s="70" t="s">
        <v>276</v>
      </c>
      <c r="Z24" s="70" t="s">
        <v>274</v>
      </c>
      <c r="AA24" s="70" t="s">
        <v>278</v>
      </c>
      <c r="AB24" s="70" t="s">
        <v>279</v>
      </c>
      <c r="AC24" s="70" t="s">
        <v>259</v>
      </c>
      <c r="AD24" s="72" t="s">
        <v>280</v>
      </c>
    </row>
    <row r="25" spans="1:30">
      <c r="B25" s="28"/>
      <c r="C25" s="3"/>
      <c r="D25" s="47"/>
      <c r="E25" s="28"/>
      <c r="F25" s="28"/>
      <c r="G25" s="28"/>
      <c r="H25" s="29"/>
      <c r="I25" s="14"/>
      <c r="K25" s="3"/>
      <c r="M25" s="3"/>
      <c r="N25" s="3"/>
      <c r="O25" s="52"/>
      <c r="P25" s="3"/>
      <c r="Y25" s="140"/>
      <c r="Z25" s="77"/>
      <c r="AA25" s="77"/>
      <c r="AB25" s="77"/>
      <c r="AC25" s="139"/>
      <c r="AD25" s="83"/>
    </row>
    <row r="26" spans="1:30">
      <c r="B26" s="28"/>
      <c r="C26" s="3"/>
      <c r="D26" s="47"/>
      <c r="E26" s="28"/>
      <c r="F26" s="28"/>
      <c r="G26" s="28"/>
      <c r="H26" s="29"/>
      <c r="I26" s="14"/>
      <c r="K26" s="3"/>
      <c r="M26" s="3"/>
      <c r="N26" s="3"/>
      <c r="O26" s="52"/>
      <c r="P26" s="3"/>
      <c r="Y26" s="135"/>
      <c r="Z26" s="77"/>
      <c r="AA26" s="84"/>
      <c r="AB26" s="150"/>
      <c r="AC26" s="83"/>
      <c r="AD26" s="83"/>
    </row>
    <row r="27" spans="1:30">
      <c r="B27" s="28"/>
      <c r="C27" s="3"/>
      <c r="D27" s="47"/>
      <c r="E27" s="28"/>
      <c r="F27" s="28"/>
      <c r="G27" s="28"/>
      <c r="H27" s="29"/>
      <c r="I27" s="14"/>
      <c r="K27" s="3"/>
      <c r="M27" s="3"/>
      <c r="N27" s="3"/>
      <c r="O27" s="52"/>
      <c r="P27" s="3"/>
      <c r="Y27" s="77"/>
      <c r="Z27" s="77"/>
      <c r="AA27" s="77"/>
      <c r="AB27" s="77"/>
      <c r="AC27" s="30"/>
      <c r="AD27" s="30"/>
    </row>
    <row r="28" spans="1:30">
      <c r="B28" s="28"/>
      <c r="C28" s="3"/>
      <c r="D28" s="47"/>
      <c r="E28" s="28"/>
      <c r="F28" s="28"/>
      <c r="G28" s="28"/>
      <c r="H28" s="29"/>
      <c r="I28" s="14"/>
      <c r="K28" s="3"/>
      <c r="M28" s="3"/>
      <c r="N28" s="3"/>
      <c r="O28" s="52"/>
      <c r="P28" s="3"/>
      <c r="Y28" s="77"/>
      <c r="Z28" s="77"/>
      <c r="AA28" s="77"/>
      <c r="AB28" s="77"/>
      <c r="AC28" s="30"/>
      <c r="AD28" s="30"/>
    </row>
    <row r="29" spans="1:30">
      <c r="B29" s="28"/>
      <c r="C29" s="3"/>
      <c r="D29" s="47"/>
      <c r="E29" s="28"/>
      <c r="F29" s="28"/>
      <c r="G29" s="28"/>
      <c r="H29" s="29"/>
      <c r="I29" s="14"/>
      <c r="K29" s="3"/>
      <c r="M29" s="3"/>
      <c r="N29" s="3"/>
      <c r="O29" s="52"/>
      <c r="P29" s="3"/>
      <c r="Y29" s="135"/>
      <c r="Z29" s="73"/>
      <c r="AA29" s="81"/>
      <c r="AB29" s="81"/>
      <c r="AC29" s="30"/>
      <c r="AD29" s="81"/>
    </row>
    <row r="30" spans="1:30">
      <c r="B30" s="28"/>
      <c r="C30" s="3"/>
      <c r="D30" s="47"/>
      <c r="E30" s="28"/>
      <c r="F30" s="28"/>
      <c r="G30" s="28"/>
      <c r="H30" s="29"/>
      <c r="I30" s="14"/>
      <c r="K30" s="3"/>
      <c r="M30" s="3"/>
      <c r="N30" s="3"/>
      <c r="O30" s="52"/>
      <c r="P30" s="3"/>
      <c r="Y30" s="95"/>
      <c r="Z30" s="78"/>
      <c r="AA30" s="81"/>
      <c r="AB30" s="81"/>
      <c r="AC30" s="30"/>
      <c r="AD30" s="30"/>
    </row>
    <row r="31" spans="1:30">
      <c r="B31" s="28"/>
      <c r="C31" s="3"/>
      <c r="D31" s="47"/>
      <c r="E31" s="28"/>
      <c r="F31" s="28"/>
      <c r="G31" s="28"/>
      <c r="H31" s="29"/>
      <c r="I31" s="14"/>
      <c r="K31" s="3"/>
      <c r="M31" s="3"/>
      <c r="N31" s="3"/>
      <c r="O31" s="52"/>
      <c r="P31" s="3"/>
      <c r="Y31" s="65"/>
      <c r="Z31" s="14"/>
      <c r="AA31" s="19"/>
      <c r="AB31" s="19"/>
      <c r="AC31" s="64"/>
      <c r="AD31" s="19"/>
    </row>
    <row r="32" spans="1:30">
      <c r="B32" s="28"/>
      <c r="C32" s="3"/>
      <c r="D32" s="47"/>
      <c r="E32" s="28"/>
      <c r="F32" s="28"/>
      <c r="G32" s="28"/>
      <c r="H32" s="29"/>
      <c r="I32" s="14"/>
      <c r="K32" s="3"/>
      <c r="M32" s="3"/>
      <c r="N32" s="3"/>
      <c r="O32" s="52"/>
      <c r="P32" s="3"/>
      <c r="Y32" s="19"/>
      <c r="Z32" s="19"/>
      <c r="AA32" s="19"/>
      <c r="AB32" s="19"/>
      <c r="AC32" s="64"/>
      <c r="AD32" s="19"/>
    </row>
    <row r="33" spans="2:30">
      <c r="B33" s="28"/>
      <c r="C33" s="3"/>
      <c r="D33" s="47"/>
      <c r="E33" s="28"/>
      <c r="F33" s="28"/>
      <c r="G33" s="28"/>
      <c r="H33" s="29"/>
      <c r="I33" s="14"/>
      <c r="K33" s="3"/>
      <c r="M33" s="3"/>
      <c r="N33" s="3"/>
      <c r="O33" s="52"/>
      <c r="P33" s="3"/>
      <c r="Y33" s="19"/>
      <c r="Z33" s="19"/>
      <c r="AA33" s="19"/>
      <c r="AB33" s="19"/>
      <c r="AC33" s="64"/>
      <c r="AD33" s="19"/>
    </row>
    <row r="34" spans="2:30">
      <c r="B34" s="28"/>
      <c r="C34" s="3"/>
      <c r="D34" s="47"/>
      <c r="E34" s="28"/>
      <c r="F34" s="28"/>
      <c r="G34" s="28"/>
      <c r="H34" s="29"/>
      <c r="I34" s="14"/>
      <c r="K34" s="3"/>
      <c r="M34" s="3"/>
      <c r="N34" s="3"/>
      <c r="O34" s="52"/>
      <c r="P34" s="3"/>
      <c r="Y34" s="19"/>
      <c r="Z34" s="19"/>
      <c r="AA34" s="19"/>
      <c r="AB34" s="19"/>
      <c r="AC34" s="64"/>
      <c r="AD34" s="19"/>
    </row>
    <row r="35" spans="2:30">
      <c r="B35" s="28"/>
      <c r="C35" s="3"/>
      <c r="D35" s="47"/>
      <c r="E35" s="28"/>
      <c r="F35" s="28"/>
      <c r="G35" s="28"/>
      <c r="H35" s="29"/>
      <c r="I35" s="14"/>
      <c r="K35" s="3"/>
      <c r="M35" s="3"/>
      <c r="N35" s="3"/>
      <c r="O35" s="52"/>
      <c r="P35" s="3"/>
      <c r="Y35" s="19"/>
      <c r="Z35" s="19"/>
      <c r="AA35" s="19"/>
      <c r="AB35" s="19"/>
      <c r="AC35" s="19"/>
      <c r="AD35" s="19"/>
    </row>
    <row r="36" spans="2:30">
      <c r="B36" s="28"/>
      <c r="C36" s="3"/>
      <c r="D36" s="47"/>
      <c r="E36" s="28"/>
      <c r="F36" s="28"/>
      <c r="G36" s="28"/>
      <c r="H36" s="29"/>
      <c r="I36" s="14"/>
      <c r="K36" s="3"/>
      <c r="M36" s="3"/>
      <c r="N36" s="3"/>
      <c r="O36" s="52"/>
      <c r="P36" s="3"/>
      <c r="Y36" s="19"/>
      <c r="Z36" s="19"/>
      <c r="AA36" s="19"/>
      <c r="AB36" s="19"/>
      <c r="AC36" s="19"/>
      <c r="AD36" s="19"/>
    </row>
    <row r="37" spans="2:30">
      <c r="B37" s="28"/>
      <c r="C37" s="3"/>
      <c r="D37" s="47"/>
      <c r="E37" s="28"/>
      <c r="F37" s="28"/>
      <c r="G37" s="28"/>
      <c r="H37" s="29"/>
      <c r="I37" s="14"/>
      <c r="K37" s="3"/>
      <c r="M37" s="3"/>
      <c r="N37" s="3"/>
      <c r="O37" s="52"/>
      <c r="P37" s="3"/>
      <c r="Y37" s="19"/>
      <c r="Z37" s="19"/>
      <c r="AA37" s="19"/>
      <c r="AB37" s="19"/>
      <c r="AC37" s="19"/>
      <c r="AD37" s="19"/>
    </row>
    <row r="38" spans="2:30">
      <c r="B38" s="28"/>
      <c r="C38" s="3"/>
      <c r="D38" s="47"/>
      <c r="E38" s="28"/>
      <c r="F38" s="28"/>
      <c r="G38" s="28"/>
      <c r="H38" s="29"/>
      <c r="I38" s="14"/>
      <c r="K38" s="3"/>
      <c r="M38" s="3"/>
      <c r="N38" s="3"/>
      <c r="O38" s="52"/>
      <c r="P38" s="3"/>
      <c r="Y38" s="19"/>
      <c r="Z38" s="19"/>
      <c r="AA38" s="19"/>
      <c r="AB38" s="19"/>
      <c r="AC38" s="19"/>
      <c r="AD38" s="19"/>
    </row>
    <row r="39" spans="2:30">
      <c r="B39" s="28"/>
      <c r="C39" s="3"/>
      <c r="D39" s="47"/>
      <c r="E39" s="28"/>
      <c r="F39" s="28"/>
      <c r="G39" s="28"/>
      <c r="H39" s="29"/>
      <c r="I39" s="14"/>
      <c r="K39" s="3"/>
      <c r="M39" s="3"/>
      <c r="N39" s="3"/>
      <c r="O39" s="52"/>
      <c r="P39" s="3"/>
      <c r="Y39" s="19"/>
      <c r="Z39" s="19"/>
      <c r="AA39" s="19"/>
      <c r="AB39" s="19"/>
      <c r="AC39" s="19"/>
      <c r="AD39" s="19"/>
    </row>
    <row r="40" spans="2:30">
      <c r="B40" s="28"/>
      <c r="C40" s="3"/>
      <c r="D40" s="47"/>
      <c r="E40" s="28"/>
      <c r="F40" s="28"/>
      <c r="G40" s="28"/>
      <c r="H40" s="29"/>
      <c r="I40" s="14"/>
      <c r="K40" s="3"/>
      <c r="M40" s="3"/>
      <c r="N40" s="3"/>
      <c r="O40" s="52"/>
      <c r="P40" s="3"/>
    </row>
    <row r="41" spans="2:30">
      <c r="B41" s="28"/>
      <c r="C41" s="3"/>
      <c r="D41" s="47"/>
      <c r="E41" s="28"/>
      <c r="F41" s="28"/>
      <c r="G41" s="28"/>
      <c r="H41" s="29"/>
      <c r="I41" s="14"/>
      <c r="K41" s="3"/>
      <c r="M41" s="3"/>
      <c r="N41" s="3"/>
      <c r="O41" s="52"/>
      <c r="P41" s="3"/>
    </row>
    <row r="42" spans="2:30">
      <c r="B42" s="28"/>
      <c r="C42" s="3"/>
      <c r="D42" s="47"/>
      <c r="E42" s="28"/>
      <c r="F42" s="28"/>
      <c r="G42" s="28"/>
      <c r="H42" s="29"/>
      <c r="I42" s="14"/>
      <c r="K42" s="3"/>
      <c r="M42" s="3"/>
      <c r="N42" s="3"/>
      <c r="O42" s="52"/>
      <c r="P42" s="3"/>
    </row>
    <row r="43" spans="2:30">
      <c r="B43" s="28"/>
      <c r="C43" s="3"/>
      <c r="D43" s="47"/>
      <c r="E43" s="28"/>
      <c r="F43" s="28"/>
      <c r="G43" s="28"/>
      <c r="H43" s="29"/>
      <c r="I43" s="14"/>
      <c r="K43" s="3"/>
      <c r="M43" s="3"/>
      <c r="N43" s="3"/>
      <c r="O43" s="52"/>
      <c r="P43" s="3"/>
    </row>
    <row r="44" spans="2:30">
      <c r="B44" s="28"/>
      <c r="C44" s="3"/>
      <c r="D44" s="47"/>
      <c r="E44" s="28"/>
      <c r="F44" s="28"/>
      <c r="G44" s="28"/>
      <c r="H44" s="29"/>
      <c r="I44" s="14"/>
      <c r="K44" s="3"/>
      <c r="M44" s="3"/>
      <c r="N44" s="3"/>
      <c r="O44" s="52"/>
      <c r="P44" s="3"/>
    </row>
    <row r="45" spans="2:30">
      <c r="B45" s="28"/>
      <c r="C45" s="3"/>
      <c r="D45" s="47"/>
      <c r="E45" s="28"/>
      <c r="F45" s="28"/>
      <c r="G45" s="28"/>
      <c r="H45" s="29"/>
      <c r="I45" s="14"/>
      <c r="K45" s="3"/>
      <c r="M45" s="3"/>
      <c r="N45" s="3"/>
      <c r="O45" s="52"/>
      <c r="P45" s="3"/>
    </row>
    <row r="46" spans="2:30">
      <c r="B46" s="28"/>
      <c r="C46" s="3"/>
      <c r="D46" s="47"/>
      <c r="E46" s="28"/>
      <c r="F46" s="28"/>
      <c r="G46" s="28"/>
      <c r="H46" s="29"/>
      <c r="I46" s="14"/>
      <c r="K46" s="3"/>
      <c r="M46" s="3"/>
      <c r="N46" s="3"/>
      <c r="O46" s="52"/>
      <c r="P46" s="3"/>
    </row>
    <row r="47" spans="2:30">
      <c r="B47" s="28"/>
      <c r="C47" s="3"/>
      <c r="D47" s="47"/>
      <c r="E47" s="28"/>
      <c r="F47" s="28"/>
      <c r="G47" s="28"/>
      <c r="H47" s="29"/>
      <c r="I47" s="14"/>
      <c r="K47" s="3"/>
      <c r="M47" s="3"/>
      <c r="N47" s="3"/>
      <c r="O47" s="52"/>
      <c r="P47" s="3"/>
    </row>
    <row r="48" spans="2:30">
      <c r="B48" s="28"/>
      <c r="C48" s="3"/>
      <c r="D48" s="47"/>
      <c r="E48" s="28"/>
      <c r="F48" s="28"/>
      <c r="G48" s="28"/>
      <c r="H48" s="29"/>
      <c r="I48" s="14"/>
      <c r="K48" s="3"/>
      <c r="M48" s="3"/>
      <c r="N48" s="3"/>
      <c r="O48" s="52"/>
      <c r="P48" s="3"/>
    </row>
    <row r="49" spans="2:16">
      <c r="B49" s="28"/>
      <c r="C49" s="3"/>
      <c r="D49" s="47"/>
      <c r="E49" s="28"/>
      <c r="F49" s="28"/>
      <c r="G49" s="28"/>
      <c r="H49" s="29"/>
      <c r="I49" s="14"/>
      <c r="K49" s="3"/>
      <c r="M49" s="3"/>
      <c r="N49" s="3"/>
      <c r="O49" s="52"/>
      <c r="P49" s="3"/>
    </row>
    <row r="50" spans="2:16">
      <c r="B50" s="28"/>
      <c r="C50" s="3"/>
      <c r="D50" s="47"/>
      <c r="E50" s="28"/>
      <c r="F50" s="28"/>
      <c r="G50" s="28"/>
      <c r="H50" s="29"/>
      <c r="I50" s="14"/>
      <c r="K50" s="3"/>
      <c r="M50" s="3"/>
      <c r="N50" s="3"/>
      <c r="O50" s="52"/>
      <c r="P50" s="3"/>
    </row>
    <row r="51" spans="2:16">
      <c r="B51" s="28"/>
      <c r="C51" s="3"/>
      <c r="D51" s="47"/>
      <c r="E51" s="28"/>
      <c r="F51" s="28"/>
      <c r="G51" s="28"/>
      <c r="H51" s="29"/>
      <c r="I51" s="14"/>
      <c r="K51" s="3"/>
      <c r="M51" s="3"/>
      <c r="N51" s="3"/>
      <c r="O51" s="52"/>
      <c r="P51" s="3"/>
    </row>
    <row r="52" spans="2:16">
      <c r="B52" s="28"/>
      <c r="C52" s="3"/>
      <c r="D52" s="47"/>
      <c r="E52" s="28"/>
      <c r="F52" s="28"/>
      <c r="G52" s="28"/>
      <c r="H52" s="29"/>
      <c r="I52" s="14"/>
      <c r="K52" s="3"/>
      <c r="M52" s="3"/>
      <c r="N52" s="3"/>
      <c r="O52" s="52"/>
      <c r="P52" s="3"/>
    </row>
    <row r="53" spans="2:16">
      <c r="B53" s="28"/>
      <c r="C53" s="3"/>
      <c r="D53" s="47"/>
      <c r="E53" s="28"/>
      <c r="F53" s="28"/>
      <c r="G53" s="28"/>
      <c r="H53" s="29"/>
      <c r="I53" s="14"/>
      <c r="K53" s="3"/>
      <c r="M53" s="3"/>
      <c r="N53" s="3"/>
      <c r="O53" s="52"/>
      <c r="P53" s="3"/>
    </row>
    <row r="54" spans="2:16">
      <c r="B54" s="28"/>
      <c r="C54" s="3"/>
      <c r="D54" s="47"/>
      <c r="E54" s="28"/>
      <c r="F54" s="28"/>
      <c r="G54" s="28"/>
      <c r="H54" s="29"/>
      <c r="I54" s="14"/>
      <c r="K54" s="3"/>
      <c r="M54" s="3"/>
      <c r="N54" s="3"/>
      <c r="O54" s="52"/>
      <c r="P54" s="3"/>
    </row>
    <row r="55" spans="2:16">
      <c r="B55" s="28"/>
      <c r="C55" s="3"/>
      <c r="D55" s="47"/>
      <c r="E55" s="28"/>
      <c r="F55" s="28"/>
      <c r="G55" s="28"/>
      <c r="H55" s="29"/>
      <c r="I55" s="14"/>
      <c r="K55" s="3"/>
      <c r="M55" s="3"/>
      <c r="N55" s="3"/>
      <c r="O55" s="52"/>
      <c r="P55" s="3"/>
    </row>
    <row r="56" spans="2:16">
      <c r="B56" s="28"/>
      <c r="C56" s="3"/>
      <c r="D56" s="47"/>
      <c r="E56" s="28"/>
      <c r="F56" s="28"/>
      <c r="G56" s="28"/>
      <c r="H56" s="29"/>
      <c r="I56" s="14"/>
      <c r="K56" s="3"/>
      <c r="M56" s="3"/>
      <c r="N56" s="3"/>
      <c r="O56" s="52"/>
      <c r="P56" s="3"/>
    </row>
    <row r="57" spans="2:16">
      <c r="B57" s="28"/>
      <c r="C57" s="3"/>
      <c r="D57" s="47"/>
      <c r="E57" s="28"/>
      <c r="F57" s="28"/>
      <c r="G57" s="28"/>
      <c r="H57" s="29"/>
      <c r="I57" s="14"/>
      <c r="K57" s="3"/>
      <c r="M57" s="3"/>
      <c r="N57" s="3"/>
      <c r="O57" s="52"/>
      <c r="P57" s="3"/>
    </row>
    <row r="58" spans="2:16">
      <c r="B58" s="28"/>
      <c r="C58" s="3"/>
      <c r="D58" s="47"/>
      <c r="E58" s="28"/>
      <c r="F58" s="28"/>
      <c r="G58" s="28"/>
      <c r="H58" s="29"/>
      <c r="I58" s="14"/>
      <c r="K58" s="3"/>
      <c r="M58" s="3"/>
      <c r="N58" s="3"/>
      <c r="O58" s="52"/>
      <c r="P58" s="3"/>
    </row>
    <row r="59" spans="2:16">
      <c r="B59" s="28"/>
      <c r="C59" s="3"/>
      <c r="D59" s="47"/>
      <c r="E59" s="28"/>
      <c r="F59" s="28"/>
      <c r="G59" s="28"/>
      <c r="H59" s="29"/>
      <c r="I59" s="14"/>
      <c r="K59" s="3"/>
      <c r="M59" s="3"/>
      <c r="N59" s="3"/>
      <c r="O59" s="52"/>
      <c r="P59" s="3"/>
    </row>
    <row r="60" spans="2:16">
      <c r="B60" s="28"/>
      <c r="C60" s="3"/>
      <c r="D60" s="47"/>
      <c r="E60" s="28"/>
      <c r="F60" s="28"/>
      <c r="G60" s="28"/>
      <c r="H60" s="29"/>
      <c r="I60" s="14"/>
      <c r="K60" s="3"/>
      <c r="M60" s="3"/>
      <c r="N60" s="3"/>
      <c r="O60" s="52"/>
      <c r="P60" s="3"/>
    </row>
    <row r="61" spans="2:16">
      <c r="B61" s="28"/>
      <c r="C61" s="3"/>
      <c r="D61" s="47"/>
      <c r="E61" s="28"/>
      <c r="F61" s="28"/>
      <c r="G61" s="28"/>
      <c r="H61" s="29"/>
      <c r="I61" s="14"/>
      <c r="K61" s="3"/>
      <c r="M61" s="3"/>
      <c r="N61" s="3"/>
      <c r="O61" s="52"/>
      <c r="P61" s="3"/>
    </row>
    <row r="62" spans="2:16">
      <c r="B62" s="28"/>
      <c r="C62" s="3"/>
      <c r="D62" s="47"/>
      <c r="E62" s="28"/>
      <c r="F62" s="28"/>
      <c r="G62" s="28"/>
      <c r="H62" s="29"/>
      <c r="I62" s="14"/>
      <c r="K62" s="3"/>
      <c r="M62" s="3"/>
      <c r="N62" s="3"/>
      <c r="O62" s="52"/>
      <c r="P62" s="3"/>
    </row>
    <row r="63" spans="2:16">
      <c r="B63" s="28"/>
      <c r="C63" s="3"/>
      <c r="D63" s="47"/>
      <c r="E63" s="28"/>
      <c r="F63" s="28"/>
      <c r="G63" s="28"/>
      <c r="H63" s="29"/>
      <c r="I63" s="14"/>
      <c r="K63" s="3"/>
      <c r="M63" s="3"/>
      <c r="N63" s="3"/>
      <c r="O63" s="52"/>
      <c r="P63" s="3"/>
    </row>
    <row r="64" spans="2:16">
      <c r="B64" s="28"/>
      <c r="C64" s="3"/>
      <c r="D64" s="47"/>
      <c r="E64" s="28"/>
      <c r="F64" s="28"/>
      <c r="G64" s="28"/>
      <c r="H64" s="29"/>
      <c r="I64" s="14"/>
      <c r="K64" s="3"/>
      <c r="M64" s="3"/>
      <c r="N64" s="3"/>
      <c r="O64" s="52"/>
      <c r="P64" s="3"/>
    </row>
    <row r="65" spans="2:16">
      <c r="B65" s="28"/>
      <c r="C65" s="3"/>
      <c r="D65" s="47"/>
      <c r="E65" s="28"/>
      <c r="F65" s="28"/>
      <c r="G65" s="28"/>
      <c r="H65" s="29"/>
      <c r="I65" s="14"/>
      <c r="K65" s="3"/>
      <c r="M65" s="3"/>
      <c r="N65" s="3"/>
      <c r="O65" s="52"/>
      <c r="P65" s="3"/>
    </row>
    <row r="66" spans="2:16">
      <c r="B66" s="28"/>
      <c r="C66" s="3"/>
      <c r="D66" s="47"/>
      <c r="E66" s="28"/>
      <c r="F66" s="28"/>
      <c r="G66" s="28"/>
      <c r="H66" s="29"/>
      <c r="I66" s="14"/>
      <c r="K66" s="3"/>
      <c r="M66" s="3"/>
      <c r="N66" s="3"/>
      <c r="O66" s="52"/>
      <c r="P66" s="3"/>
    </row>
    <row r="67" spans="2:16">
      <c r="B67" s="28"/>
      <c r="C67" s="3"/>
      <c r="D67" s="47"/>
      <c r="E67" s="28"/>
      <c r="F67" s="28"/>
      <c r="G67" s="28"/>
      <c r="H67" s="29"/>
      <c r="I67" s="14"/>
      <c r="K67" s="3"/>
      <c r="M67" s="3"/>
      <c r="N67" s="3"/>
      <c r="O67" s="52"/>
      <c r="P67" s="3"/>
    </row>
    <row r="68" spans="2:16">
      <c r="B68" s="28"/>
      <c r="C68" s="3"/>
      <c r="D68" s="47"/>
      <c r="E68" s="28"/>
      <c r="F68" s="28"/>
      <c r="G68" s="28"/>
      <c r="H68" s="29"/>
      <c r="I68" s="14"/>
      <c r="K68" s="3"/>
      <c r="M68" s="3"/>
      <c r="N68" s="3"/>
      <c r="O68" s="52"/>
      <c r="P68" s="3"/>
    </row>
    <row r="69" spans="2:16">
      <c r="B69" s="28"/>
      <c r="C69" s="3"/>
      <c r="D69" s="47"/>
      <c r="E69" s="28"/>
      <c r="F69" s="28"/>
      <c r="G69" s="28"/>
      <c r="H69" s="29"/>
      <c r="I69" s="14"/>
      <c r="K69" s="3"/>
      <c r="M69" s="3"/>
      <c r="N69" s="3"/>
      <c r="O69" s="52"/>
      <c r="P69" s="3"/>
    </row>
    <row r="70" spans="2:16">
      <c r="B70" s="28"/>
      <c r="C70" s="3"/>
      <c r="D70" s="47"/>
      <c r="E70" s="28"/>
      <c r="F70" s="28"/>
      <c r="G70" s="28"/>
      <c r="H70" s="29"/>
      <c r="I70" s="14"/>
      <c r="K70" s="3"/>
      <c r="M70" s="3"/>
      <c r="N70" s="3"/>
      <c r="O70" s="52"/>
      <c r="P70" s="3"/>
    </row>
    <row r="71" spans="2:16">
      <c r="B71" s="28"/>
      <c r="C71" s="3"/>
      <c r="D71" s="47"/>
      <c r="E71" s="28"/>
      <c r="F71" s="28"/>
      <c r="G71" s="28"/>
      <c r="H71" s="29"/>
      <c r="I71" s="14"/>
      <c r="K71" s="3"/>
      <c r="M71" s="3"/>
      <c r="N71" s="3"/>
      <c r="O71" s="52"/>
      <c r="P71" s="3"/>
    </row>
    <row r="72" spans="2:16">
      <c r="B72" s="28"/>
      <c r="C72" s="3"/>
      <c r="D72" s="47"/>
      <c r="E72" s="28"/>
      <c r="F72" s="28"/>
      <c r="G72" s="28"/>
      <c r="H72" s="29"/>
      <c r="I72" s="14"/>
      <c r="K72" s="3"/>
      <c r="M72" s="3"/>
      <c r="N72" s="3"/>
      <c r="O72" s="52"/>
      <c r="P72" s="3"/>
    </row>
    <row r="73" spans="2:16">
      <c r="B73" s="28"/>
      <c r="C73" s="3"/>
      <c r="D73" s="47"/>
      <c r="E73" s="28"/>
      <c r="F73" s="28"/>
      <c r="G73" s="28"/>
      <c r="H73" s="29"/>
      <c r="I73" s="14"/>
      <c r="K73" s="3"/>
      <c r="M73" s="3"/>
      <c r="N73" s="3"/>
      <c r="O73" s="52"/>
      <c r="P73" s="3"/>
    </row>
    <row r="74" spans="2:16">
      <c r="B74" s="28"/>
      <c r="C74" s="3"/>
      <c r="D74" s="47"/>
      <c r="E74" s="28"/>
      <c r="F74" s="28"/>
      <c r="G74" s="28"/>
      <c r="H74" s="29"/>
      <c r="I74" s="14"/>
      <c r="K74" s="3"/>
      <c r="M74" s="3"/>
      <c r="N74" s="3"/>
      <c r="O74" s="52"/>
      <c r="P74" s="3"/>
    </row>
    <row r="75" spans="2:16">
      <c r="B75" s="28"/>
      <c r="C75" s="3"/>
      <c r="D75" s="47"/>
      <c r="E75" s="28"/>
      <c r="F75" s="28"/>
      <c r="G75" s="28"/>
      <c r="H75" s="29"/>
      <c r="I75" s="14"/>
      <c r="K75" s="3"/>
      <c r="M75" s="3"/>
      <c r="N75" s="3"/>
      <c r="O75" s="52"/>
      <c r="P75" s="3"/>
    </row>
    <row r="76" spans="2:16">
      <c r="B76" s="28"/>
      <c r="C76" s="3"/>
      <c r="D76" s="47"/>
      <c r="E76" s="28"/>
      <c r="F76" s="28"/>
      <c r="G76" s="28"/>
      <c r="H76" s="29"/>
      <c r="I76" s="14"/>
      <c r="K76" s="3"/>
      <c r="M76" s="3"/>
      <c r="N76" s="3"/>
      <c r="O76" s="52"/>
      <c r="P76" s="3"/>
    </row>
    <row r="77" spans="2:16">
      <c r="B77" s="28"/>
      <c r="C77" s="3"/>
      <c r="D77" s="47"/>
      <c r="E77" s="28"/>
      <c r="F77" s="28"/>
      <c r="G77" s="28"/>
      <c r="H77" s="29"/>
      <c r="I77" s="14"/>
      <c r="K77" s="3"/>
      <c r="M77" s="3"/>
      <c r="N77" s="3"/>
      <c r="O77" s="52"/>
      <c r="P77" s="3"/>
    </row>
    <row r="78" spans="2:16">
      <c r="B78" s="28"/>
      <c r="C78" s="3"/>
      <c r="D78" s="47"/>
      <c r="E78" s="28"/>
      <c r="F78" s="28"/>
      <c r="G78" s="28"/>
      <c r="H78" s="29"/>
      <c r="I78" s="14"/>
      <c r="K78" s="3"/>
      <c r="M78" s="3"/>
      <c r="N78" s="3"/>
      <c r="O78" s="52"/>
      <c r="P78" s="3"/>
    </row>
    <row r="79" spans="2:16">
      <c r="B79" s="28"/>
      <c r="C79" s="3"/>
      <c r="D79" s="47"/>
      <c r="E79" s="28"/>
      <c r="F79" s="28"/>
      <c r="G79" s="28"/>
      <c r="H79" s="29"/>
      <c r="I79" s="14"/>
      <c r="K79" s="3"/>
      <c r="M79" s="3"/>
      <c r="N79" s="3"/>
      <c r="O79" s="52"/>
      <c r="P79" s="3"/>
    </row>
    <row r="80" spans="2:16">
      <c r="B80" s="28"/>
      <c r="C80" s="3"/>
      <c r="D80" s="47"/>
      <c r="E80" s="28"/>
      <c r="F80" s="28"/>
      <c r="G80" s="28"/>
      <c r="H80" s="29"/>
      <c r="I80" s="14"/>
      <c r="K80" s="3"/>
      <c r="M80" s="3"/>
      <c r="N80" s="3"/>
      <c r="O80" s="52"/>
      <c r="P80" s="3"/>
    </row>
    <row r="81" spans="2:16">
      <c r="B81" s="28"/>
      <c r="C81" s="3"/>
      <c r="D81" s="47"/>
      <c r="E81" s="28"/>
      <c r="F81" s="28"/>
      <c r="G81" s="28"/>
      <c r="H81" s="29"/>
      <c r="I81" s="14"/>
      <c r="K81" s="3"/>
      <c r="M81" s="3"/>
      <c r="N81" s="3"/>
      <c r="O81" s="52"/>
      <c r="P81" s="3"/>
    </row>
    <row r="82" spans="2:16">
      <c r="B82" s="28"/>
      <c r="C82" s="3"/>
      <c r="D82" s="47"/>
      <c r="E82" s="28"/>
      <c r="F82" s="28"/>
      <c r="G82" s="28"/>
      <c r="H82" s="29"/>
      <c r="I82" s="14"/>
      <c r="K82" s="3"/>
      <c r="M82" s="3"/>
      <c r="N82" s="3"/>
      <c r="O82" s="52"/>
      <c r="P82" s="3"/>
    </row>
    <row r="83" spans="2:16">
      <c r="B83" s="28"/>
      <c r="C83" s="3"/>
      <c r="D83" s="47"/>
      <c r="E83" s="28"/>
      <c r="F83" s="28"/>
      <c r="G83" s="28"/>
      <c r="H83" s="29"/>
      <c r="I83" s="14"/>
      <c r="K83" s="3"/>
      <c r="M83" s="3"/>
      <c r="N83" s="3"/>
      <c r="O83" s="52"/>
      <c r="P83" s="3"/>
    </row>
    <row r="84" spans="2:16">
      <c r="B84" s="28"/>
      <c r="C84" s="3"/>
      <c r="D84" s="47"/>
      <c r="E84" s="28"/>
      <c r="F84" s="28"/>
      <c r="G84" s="28"/>
      <c r="H84" s="29"/>
      <c r="I84" s="14"/>
      <c r="K84" s="3"/>
      <c r="M84" s="3"/>
      <c r="N84" s="3"/>
      <c r="O84" s="52"/>
      <c r="P84" s="3"/>
    </row>
    <row r="85" spans="2:16">
      <c r="B85" s="28"/>
      <c r="C85" s="3"/>
      <c r="D85" s="47"/>
      <c r="E85" s="28"/>
      <c r="F85" s="28"/>
      <c r="G85" s="28"/>
      <c r="H85" s="29"/>
      <c r="I85" s="14"/>
      <c r="K85" s="3"/>
      <c r="M85" s="3"/>
      <c r="N85" s="3"/>
      <c r="O85" s="52"/>
      <c r="P85" s="3"/>
    </row>
    <row r="86" spans="2:16">
      <c r="B86" s="28"/>
      <c r="C86" s="3"/>
      <c r="D86" s="47"/>
      <c r="E86" s="28"/>
      <c r="F86" s="28"/>
      <c r="G86" s="28"/>
      <c r="H86" s="29"/>
      <c r="I86" s="14"/>
      <c r="K86" s="3"/>
      <c r="M86" s="3"/>
      <c r="N86" s="3"/>
      <c r="O86" s="52"/>
      <c r="P86" s="3"/>
    </row>
    <row r="87" spans="2:16">
      <c r="B87" s="28"/>
      <c r="C87" s="3"/>
      <c r="D87" s="47"/>
      <c r="E87" s="28"/>
      <c r="F87" s="28"/>
      <c r="G87" s="28"/>
      <c r="H87" s="29"/>
      <c r="I87" s="14"/>
      <c r="K87" s="3"/>
      <c r="M87" s="3"/>
      <c r="N87" s="3"/>
      <c r="O87" s="52"/>
      <c r="P87" s="3"/>
    </row>
    <row r="88" spans="2:16">
      <c r="B88" s="28"/>
      <c r="C88" s="3"/>
      <c r="D88" s="47"/>
      <c r="E88" s="28"/>
      <c r="F88" s="28"/>
      <c r="G88" s="28"/>
      <c r="H88" s="29"/>
      <c r="I88" s="14"/>
      <c r="K88" s="3"/>
      <c r="M88" s="3"/>
      <c r="N88" s="3"/>
      <c r="O88" s="52"/>
      <c r="P88" s="3"/>
    </row>
    <row r="89" spans="2:16">
      <c r="B89" s="28"/>
      <c r="C89" s="3"/>
      <c r="D89" s="47"/>
      <c r="E89" s="28"/>
      <c r="F89" s="28"/>
      <c r="G89" s="28"/>
      <c r="H89" s="29"/>
      <c r="I89" s="14"/>
      <c r="K89" s="3"/>
      <c r="M89" s="3"/>
      <c r="N89" s="3"/>
      <c r="O89" s="52"/>
      <c r="P89" s="3"/>
    </row>
    <row r="90" spans="2:16">
      <c r="B90" s="28"/>
      <c r="C90" s="3"/>
      <c r="D90" s="47"/>
      <c r="E90" s="28"/>
      <c r="F90" s="28"/>
      <c r="G90" s="28"/>
      <c r="H90" s="29"/>
      <c r="I90" s="14"/>
      <c r="K90" s="3"/>
      <c r="M90" s="3"/>
      <c r="N90" s="3"/>
      <c r="O90" s="52"/>
      <c r="P90" s="3"/>
    </row>
    <row r="91" spans="2:16">
      <c r="B91" s="28"/>
      <c r="C91" s="3"/>
      <c r="D91" s="47"/>
      <c r="E91" s="28"/>
      <c r="F91" s="28"/>
      <c r="G91" s="28"/>
      <c r="H91" s="29"/>
      <c r="I91" s="14"/>
      <c r="K91" s="3"/>
      <c r="M91" s="3"/>
      <c r="N91" s="3"/>
      <c r="O91" s="52"/>
      <c r="P91" s="3"/>
    </row>
    <row r="92" spans="2:16">
      <c r="B92" s="28"/>
      <c r="C92" s="3"/>
      <c r="D92" s="47"/>
      <c r="E92" s="28"/>
      <c r="F92" s="28"/>
      <c r="G92" s="28"/>
      <c r="H92" s="29"/>
      <c r="I92" s="14"/>
      <c r="K92" s="3"/>
      <c r="M92" s="3"/>
      <c r="N92" s="3"/>
      <c r="O92" s="52"/>
      <c r="P92" s="3"/>
    </row>
    <row r="93" spans="2:16">
      <c r="B93" s="28"/>
      <c r="C93" s="3"/>
      <c r="D93" s="47"/>
      <c r="E93" s="28"/>
      <c r="F93" s="28"/>
      <c r="G93" s="28"/>
      <c r="H93" s="29"/>
      <c r="I93" s="14"/>
      <c r="K93" s="3"/>
      <c r="M93" s="3"/>
      <c r="N93" s="3"/>
      <c r="O93" s="52"/>
      <c r="P93" s="3"/>
    </row>
    <row r="94" spans="2:16">
      <c r="B94" s="28"/>
      <c r="C94" s="3"/>
      <c r="D94" s="47"/>
      <c r="E94" s="28"/>
      <c r="F94" s="28"/>
      <c r="G94" s="28"/>
      <c r="H94" s="29"/>
      <c r="I94" s="14"/>
      <c r="K94" s="3"/>
      <c r="M94" s="3"/>
      <c r="N94" s="3"/>
      <c r="O94" s="52"/>
      <c r="P94" s="3"/>
    </row>
    <row r="95" spans="2:16">
      <c r="B95" s="28"/>
      <c r="C95" s="3"/>
      <c r="D95" s="47"/>
      <c r="E95" s="28"/>
      <c r="F95" s="28"/>
      <c r="G95" s="28"/>
      <c r="H95" s="29"/>
      <c r="I95" s="14"/>
      <c r="K95" s="3"/>
      <c r="M95" s="3"/>
      <c r="N95" s="3"/>
      <c r="O95" s="52"/>
      <c r="P95" s="3"/>
    </row>
    <row r="96" spans="2:16">
      <c r="B96" s="28"/>
      <c r="C96" s="3"/>
      <c r="D96" s="47"/>
      <c r="E96" s="28"/>
      <c r="F96" s="28"/>
      <c r="G96" s="28"/>
      <c r="H96" s="29"/>
      <c r="I96" s="14"/>
      <c r="K96" s="3"/>
      <c r="M96" s="3"/>
      <c r="N96" s="3"/>
      <c r="O96" s="52"/>
      <c r="P96" s="3"/>
    </row>
    <row r="97" spans="2:16">
      <c r="B97" s="28"/>
      <c r="C97" s="3"/>
      <c r="D97" s="47"/>
      <c r="E97" s="28"/>
      <c r="F97" s="28"/>
      <c r="G97" s="28"/>
      <c r="H97" s="29"/>
      <c r="I97" s="14"/>
      <c r="K97" s="3"/>
      <c r="M97" s="3"/>
      <c r="N97" s="3"/>
      <c r="O97" s="52"/>
      <c r="P97" s="3"/>
    </row>
    <row r="98" spans="2:16">
      <c r="B98" s="28"/>
      <c r="C98" s="3"/>
      <c r="D98" s="47"/>
      <c r="E98" s="28"/>
      <c r="F98" s="28"/>
      <c r="G98" s="28"/>
      <c r="H98" s="29"/>
      <c r="I98" s="14"/>
      <c r="K98" s="3"/>
      <c r="M98" s="3"/>
      <c r="N98" s="3"/>
      <c r="O98" s="52"/>
      <c r="P98" s="3"/>
    </row>
    <row r="99" spans="2:16">
      <c r="B99" s="28"/>
      <c r="C99" s="3"/>
      <c r="D99" s="47"/>
      <c r="E99" s="28"/>
      <c r="F99" s="28"/>
      <c r="G99" s="28"/>
      <c r="H99" s="29"/>
      <c r="I99" s="14"/>
      <c r="K99" s="3"/>
      <c r="M99" s="3"/>
      <c r="N99" s="3"/>
      <c r="O99" s="52"/>
      <c r="P99" s="3"/>
    </row>
    <row r="100" spans="2:16">
      <c r="B100" s="28"/>
      <c r="C100" s="3"/>
      <c r="D100" s="47"/>
      <c r="E100" s="28"/>
      <c r="F100" s="28"/>
      <c r="G100" s="28"/>
      <c r="H100" s="29"/>
      <c r="I100" s="14"/>
      <c r="K100" s="3"/>
      <c r="M100" s="3"/>
      <c r="N100" s="3"/>
      <c r="O100" s="52"/>
      <c r="P100" s="3"/>
    </row>
    <row r="101" spans="2:16">
      <c r="B101" s="28"/>
      <c r="C101" s="3"/>
      <c r="D101" s="47"/>
      <c r="E101" s="28"/>
      <c r="F101" s="28"/>
      <c r="G101" s="28"/>
      <c r="H101" s="29"/>
      <c r="I101" s="14"/>
      <c r="K101" s="3"/>
      <c r="M101" s="3"/>
      <c r="N101" s="3"/>
      <c r="O101" s="52"/>
      <c r="P101" s="3"/>
    </row>
    <row r="102" spans="2:16">
      <c r="B102" s="28"/>
      <c r="C102" s="3"/>
      <c r="D102" s="47"/>
      <c r="E102" s="28"/>
      <c r="F102" s="28"/>
      <c r="G102" s="28"/>
      <c r="H102" s="29"/>
      <c r="I102" s="14"/>
      <c r="K102" s="3"/>
      <c r="M102" s="3"/>
      <c r="N102" s="3"/>
      <c r="O102" s="52"/>
      <c r="P102" s="3"/>
    </row>
    <row r="103" spans="2:16">
      <c r="B103" s="28"/>
      <c r="C103" s="3"/>
      <c r="D103" s="47"/>
      <c r="E103" s="28"/>
      <c r="F103" s="28"/>
      <c r="G103" s="28"/>
      <c r="H103" s="29"/>
      <c r="I103" s="14"/>
      <c r="K103" s="3"/>
      <c r="M103" s="3"/>
      <c r="N103" s="3"/>
      <c r="O103" s="52"/>
      <c r="P103" s="3"/>
    </row>
    <row r="104" spans="2:16">
      <c r="B104" s="28"/>
      <c r="C104" s="3"/>
      <c r="D104" s="47"/>
      <c r="E104" s="28"/>
      <c r="F104" s="28"/>
      <c r="G104" s="28"/>
      <c r="H104" s="29"/>
      <c r="I104" s="14"/>
      <c r="K104" s="3"/>
      <c r="M104" s="3"/>
      <c r="N104" s="3"/>
      <c r="O104" s="52"/>
      <c r="P104" s="3"/>
    </row>
    <row r="105" spans="2:16">
      <c r="B105" s="28"/>
      <c r="C105" s="3"/>
      <c r="D105" s="47"/>
      <c r="E105" s="28"/>
      <c r="F105" s="28"/>
      <c r="G105" s="28"/>
      <c r="H105" s="29"/>
      <c r="I105" s="14"/>
      <c r="K105" s="3"/>
      <c r="M105" s="3"/>
      <c r="N105" s="3"/>
      <c r="O105" s="52"/>
      <c r="P105" s="3"/>
    </row>
    <row r="106" spans="2:16">
      <c r="B106" s="28"/>
      <c r="C106" s="3"/>
      <c r="D106" s="47"/>
      <c r="E106" s="28"/>
      <c r="F106" s="28"/>
      <c r="G106" s="28"/>
      <c r="H106" s="29"/>
      <c r="I106" s="14"/>
      <c r="K106" s="3"/>
      <c r="M106" s="3"/>
      <c r="N106" s="3"/>
      <c r="O106" s="52"/>
      <c r="P106" s="3"/>
    </row>
    <row r="107" spans="2:16">
      <c r="B107" s="28"/>
      <c r="C107" s="3"/>
      <c r="D107" s="47"/>
      <c r="E107" s="28"/>
      <c r="F107" s="28"/>
      <c r="G107" s="28"/>
      <c r="H107" s="29"/>
      <c r="I107" s="14"/>
      <c r="K107" s="3"/>
      <c r="M107" s="3"/>
      <c r="N107" s="3"/>
      <c r="O107" s="52"/>
      <c r="P107" s="3"/>
    </row>
    <row r="108" spans="2:16">
      <c r="B108" s="28"/>
      <c r="C108" s="3"/>
      <c r="D108" s="47"/>
      <c r="E108" s="28"/>
      <c r="F108" s="28"/>
      <c r="G108" s="28"/>
      <c r="H108" s="29"/>
      <c r="I108" s="14"/>
      <c r="K108" s="3"/>
      <c r="M108" s="3"/>
      <c r="N108" s="3"/>
      <c r="O108" s="52"/>
      <c r="P108" s="3"/>
    </row>
    <row r="109" spans="2:16">
      <c r="B109" s="28"/>
      <c r="C109" s="3"/>
      <c r="D109" s="47"/>
      <c r="E109" s="28"/>
      <c r="F109" s="28"/>
      <c r="G109" s="28"/>
      <c r="H109" s="29"/>
      <c r="I109" s="14"/>
      <c r="K109" s="3"/>
      <c r="M109" s="3"/>
      <c r="N109" s="3"/>
      <c r="O109" s="52"/>
      <c r="P109" s="3"/>
    </row>
    <row r="110" spans="2:16">
      <c r="B110" s="28"/>
      <c r="C110" s="3"/>
      <c r="D110" s="47"/>
      <c r="E110" s="28"/>
      <c r="F110" s="28"/>
      <c r="G110" s="28"/>
      <c r="H110" s="29"/>
      <c r="I110" s="14"/>
      <c r="K110" s="3"/>
      <c r="M110" s="3"/>
      <c r="N110" s="3"/>
      <c r="O110" s="52"/>
      <c r="P110" s="3"/>
    </row>
    <row r="111" spans="2:16">
      <c r="B111" s="28"/>
      <c r="C111" s="3"/>
      <c r="D111" s="47"/>
      <c r="E111" s="28"/>
      <c r="F111" s="28"/>
      <c r="G111" s="28"/>
      <c r="H111" s="29"/>
      <c r="I111" s="14"/>
      <c r="K111" s="3"/>
      <c r="M111" s="3"/>
      <c r="N111" s="3"/>
      <c r="O111" s="52"/>
      <c r="P111" s="3"/>
    </row>
    <row r="112" spans="2:16">
      <c r="B112" s="28"/>
      <c r="C112" s="3"/>
      <c r="D112" s="47"/>
      <c r="E112" s="28"/>
      <c r="F112" s="28"/>
      <c r="G112" s="28"/>
      <c r="H112" s="29"/>
      <c r="I112" s="14"/>
      <c r="K112" s="3"/>
      <c r="M112" s="3"/>
      <c r="N112" s="3"/>
      <c r="O112" s="52"/>
      <c r="P112" s="3"/>
    </row>
    <row r="113" spans="2:16">
      <c r="B113" s="28"/>
      <c r="C113" s="3"/>
      <c r="D113" s="47"/>
      <c r="E113" s="28"/>
      <c r="F113" s="28"/>
      <c r="G113" s="28"/>
      <c r="H113" s="29"/>
      <c r="I113" s="14"/>
      <c r="K113" s="3"/>
      <c r="M113" s="3"/>
      <c r="N113" s="3"/>
      <c r="O113" s="52"/>
      <c r="P113" s="3"/>
    </row>
    <row r="114" spans="2:16">
      <c r="B114" s="28"/>
      <c r="C114" s="3"/>
      <c r="D114" s="47"/>
      <c r="E114" s="28"/>
      <c r="F114" s="28"/>
      <c r="G114" s="28"/>
      <c r="H114" s="29"/>
      <c r="I114" s="14"/>
      <c r="K114" s="3"/>
      <c r="M114" s="3"/>
      <c r="N114" s="3"/>
      <c r="O114" s="52"/>
      <c r="P114" s="3"/>
    </row>
    <row r="115" spans="2:16">
      <c r="B115" s="28"/>
      <c r="C115" s="3"/>
      <c r="D115" s="47"/>
      <c r="E115" s="28"/>
      <c r="F115" s="28"/>
      <c r="G115" s="28"/>
      <c r="H115" s="29"/>
      <c r="I115" s="14"/>
      <c r="K115" s="3"/>
      <c r="M115" s="3"/>
      <c r="N115" s="3"/>
      <c r="O115" s="52"/>
      <c r="P115" s="3"/>
    </row>
    <row r="116" spans="2:16">
      <c r="B116" s="28"/>
      <c r="C116" s="3"/>
      <c r="D116" s="47"/>
      <c r="E116" s="28"/>
      <c r="F116" s="28"/>
      <c r="G116" s="28"/>
      <c r="H116" s="29"/>
      <c r="I116" s="14"/>
      <c r="K116" s="3"/>
      <c r="M116" s="3"/>
      <c r="N116" s="3"/>
      <c r="O116" s="52"/>
      <c r="P116" s="3"/>
    </row>
    <row r="117" spans="2:16">
      <c r="B117" s="28"/>
      <c r="C117" s="3"/>
      <c r="D117" s="47"/>
      <c r="E117" s="28"/>
      <c r="F117" s="28"/>
      <c r="G117" s="28"/>
      <c r="H117" s="29"/>
      <c r="I117" s="14"/>
      <c r="K117" s="3"/>
      <c r="M117" s="3"/>
      <c r="N117" s="3"/>
      <c r="O117" s="52"/>
      <c r="P117" s="3"/>
    </row>
    <row r="118" spans="2:16">
      <c r="B118" s="28"/>
      <c r="C118" s="3"/>
      <c r="D118" s="47"/>
      <c r="E118" s="28"/>
      <c r="F118" s="28"/>
      <c r="G118" s="28"/>
      <c r="H118" s="29"/>
      <c r="I118" s="14"/>
      <c r="K118" s="3"/>
      <c r="M118" s="3"/>
      <c r="N118" s="3"/>
      <c r="O118" s="52"/>
      <c r="P118" s="3"/>
    </row>
    <row r="119" spans="2:16">
      <c r="B119" s="28"/>
      <c r="C119" s="3"/>
      <c r="D119" s="47"/>
      <c r="E119" s="28"/>
      <c r="F119" s="28"/>
      <c r="G119" s="28"/>
      <c r="H119" s="29"/>
      <c r="I119" s="14"/>
      <c r="K119" s="3"/>
      <c r="M119" s="3"/>
      <c r="N119" s="3"/>
      <c r="O119" s="52"/>
      <c r="P119" s="3"/>
    </row>
    <row r="120" spans="2:16">
      <c r="B120" s="28"/>
      <c r="C120" s="3"/>
      <c r="D120" s="47"/>
      <c r="E120" s="28"/>
      <c r="F120" s="28"/>
      <c r="G120" s="28"/>
      <c r="H120" s="29"/>
      <c r="I120" s="14"/>
      <c r="K120" s="3"/>
      <c r="M120" s="3"/>
      <c r="N120" s="3"/>
      <c r="O120" s="52"/>
      <c r="P120" s="3"/>
    </row>
    <row r="121" spans="2:16">
      <c r="B121" s="28"/>
      <c r="C121" s="3"/>
      <c r="D121" s="47"/>
      <c r="E121" s="28"/>
      <c r="F121" s="28"/>
      <c r="G121" s="28"/>
      <c r="H121" s="29"/>
      <c r="I121" s="14"/>
      <c r="K121" s="3"/>
      <c r="M121" s="3"/>
      <c r="N121" s="3"/>
      <c r="O121" s="52"/>
      <c r="P121" s="3"/>
    </row>
    <row r="122" spans="2:16">
      <c r="B122" s="28"/>
      <c r="C122" s="3"/>
      <c r="D122" s="47"/>
      <c r="E122" s="28"/>
      <c r="F122" s="28"/>
      <c r="G122" s="28"/>
      <c r="H122" s="29"/>
      <c r="I122" s="14"/>
      <c r="K122" s="3"/>
      <c r="M122" s="3"/>
      <c r="N122" s="3"/>
      <c r="O122" s="52"/>
      <c r="P122" s="3"/>
    </row>
    <row r="123" spans="2:16">
      <c r="B123" s="28"/>
      <c r="C123" s="3"/>
      <c r="D123" s="47"/>
      <c r="E123" s="28"/>
      <c r="F123" s="28"/>
      <c r="G123" s="28"/>
      <c r="H123" s="29"/>
      <c r="I123" s="14"/>
      <c r="K123" s="3"/>
      <c r="M123" s="3"/>
      <c r="N123" s="3"/>
      <c r="O123" s="52"/>
      <c r="P123" s="3"/>
    </row>
    <row r="124" spans="2:16">
      <c r="B124" s="28"/>
      <c r="C124" s="3"/>
      <c r="D124" s="47"/>
      <c r="E124" s="28"/>
      <c r="F124" s="28"/>
      <c r="G124" s="28"/>
      <c r="H124" s="29"/>
      <c r="I124" s="14"/>
      <c r="K124" s="3"/>
      <c r="M124" s="3"/>
      <c r="N124" s="3"/>
      <c r="O124" s="52"/>
      <c r="P124" s="3"/>
    </row>
    <row r="125" spans="2:16">
      <c r="B125" s="28"/>
      <c r="C125" s="3"/>
      <c r="D125" s="47"/>
      <c r="E125" s="28"/>
      <c r="F125" s="28"/>
      <c r="G125" s="28"/>
      <c r="H125" s="29"/>
      <c r="I125" s="14"/>
      <c r="K125" s="3"/>
      <c r="M125" s="3"/>
      <c r="N125" s="3"/>
      <c r="O125" s="52"/>
      <c r="P125" s="3"/>
    </row>
    <row r="126" spans="2:16">
      <c r="B126" s="28"/>
      <c r="C126" s="3"/>
      <c r="D126" s="47"/>
      <c r="E126" s="28"/>
      <c r="F126" s="28"/>
      <c r="G126" s="28"/>
      <c r="H126" s="29"/>
      <c r="I126" s="14"/>
      <c r="K126" s="3"/>
      <c r="M126" s="3"/>
      <c r="N126" s="3"/>
      <c r="O126" s="52"/>
      <c r="P126" s="3"/>
    </row>
    <row r="127" spans="2:16">
      <c r="B127" s="28"/>
      <c r="C127" s="3"/>
      <c r="D127" s="47"/>
      <c r="E127" s="28"/>
      <c r="F127" s="28"/>
      <c r="G127" s="28"/>
      <c r="H127" s="29"/>
      <c r="I127" s="14"/>
      <c r="K127" s="3"/>
      <c r="M127" s="3"/>
      <c r="N127" s="3"/>
      <c r="O127" s="52"/>
      <c r="P127" s="3"/>
    </row>
    <row r="128" spans="2:16">
      <c r="B128" s="28"/>
      <c r="C128" s="3"/>
      <c r="D128" s="47"/>
      <c r="E128" s="28"/>
      <c r="F128" s="28"/>
      <c r="G128" s="28"/>
      <c r="H128" s="29"/>
      <c r="I128" s="14"/>
      <c r="K128" s="3"/>
      <c r="M128" s="3"/>
      <c r="N128" s="3"/>
      <c r="O128" s="52"/>
      <c r="P128" s="3"/>
    </row>
    <row r="129" spans="2:16">
      <c r="B129" s="28"/>
      <c r="C129" s="3"/>
      <c r="D129" s="47"/>
      <c r="E129" s="28"/>
      <c r="F129" s="28"/>
      <c r="G129" s="28"/>
      <c r="H129" s="29"/>
      <c r="I129" s="14"/>
      <c r="K129" s="3"/>
      <c r="M129" s="3"/>
      <c r="N129" s="3"/>
      <c r="O129" s="52"/>
      <c r="P129" s="3"/>
    </row>
    <row r="130" spans="2:16">
      <c r="B130" s="28"/>
      <c r="C130" s="3"/>
      <c r="D130" s="47"/>
      <c r="E130" s="28"/>
      <c r="F130" s="28"/>
      <c r="G130" s="28"/>
      <c r="H130" s="29"/>
      <c r="I130" s="14"/>
      <c r="K130" s="3"/>
      <c r="M130" s="3"/>
      <c r="N130" s="3"/>
      <c r="O130" s="52"/>
      <c r="P130" s="3"/>
    </row>
    <row r="131" spans="2:16">
      <c r="B131" s="28"/>
      <c r="C131" s="3"/>
      <c r="D131" s="47"/>
      <c r="E131" s="28"/>
      <c r="F131" s="28"/>
      <c r="G131" s="28"/>
      <c r="H131" s="29"/>
      <c r="I131" s="14"/>
      <c r="K131" s="3"/>
      <c r="M131" s="3"/>
      <c r="N131" s="3"/>
      <c r="O131" s="52"/>
      <c r="P131" s="3"/>
    </row>
    <row r="132" spans="2:16">
      <c r="B132" s="28"/>
      <c r="C132" s="3"/>
      <c r="D132" s="47"/>
      <c r="E132" s="28"/>
      <c r="F132" s="28"/>
      <c r="G132" s="28"/>
      <c r="H132" s="29"/>
      <c r="I132" s="14"/>
      <c r="K132" s="3"/>
      <c r="M132" s="3"/>
      <c r="N132" s="3"/>
      <c r="O132" s="52"/>
      <c r="P132" s="3"/>
    </row>
    <row r="133" spans="2:16">
      <c r="B133" s="28"/>
      <c r="C133" s="3"/>
      <c r="D133" s="47"/>
      <c r="E133" s="28"/>
      <c r="F133" s="28"/>
      <c r="G133" s="28"/>
      <c r="H133" s="29"/>
      <c r="I133" s="14"/>
      <c r="K133" s="3"/>
      <c r="M133" s="3"/>
      <c r="N133" s="3"/>
      <c r="O133" s="52"/>
      <c r="P133" s="3"/>
    </row>
    <row r="134" spans="2:16">
      <c r="B134" s="28"/>
      <c r="C134" s="3"/>
      <c r="D134" s="47"/>
      <c r="E134" s="28"/>
      <c r="F134" s="28"/>
      <c r="G134" s="28"/>
      <c r="H134" s="29"/>
      <c r="I134" s="14"/>
      <c r="K134" s="3"/>
      <c r="M134" s="3"/>
      <c r="N134" s="3"/>
      <c r="O134" s="52"/>
      <c r="P134" s="3"/>
    </row>
    <row r="135" spans="2:16">
      <c r="B135" s="28"/>
      <c r="C135" s="3"/>
      <c r="D135" s="47"/>
      <c r="E135" s="28"/>
      <c r="F135" s="28"/>
      <c r="G135" s="28"/>
      <c r="H135" s="29"/>
      <c r="I135" s="14"/>
      <c r="K135" s="3"/>
      <c r="M135" s="3"/>
      <c r="N135" s="3"/>
      <c r="O135" s="52"/>
      <c r="P135" s="3"/>
    </row>
    <row r="136" spans="2:16">
      <c r="B136" s="28"/>
      <c r="C136" s="3"/>
      <c r="D136" s="47"/>
      <c r="E136" s="28"/>
      <c r="F136" s="28"/>
      <c r="G136" s="28"/>
      <c r="H136" s="29"/>
      <c r="I136" s="14"/>
      <c r="K136" s="3"/>
      <c r="M136" s="3"/>
      <c r="N136" s="3"/>
      <c r="O136" s="52"/>
      <c r="P136" s="3"/>
    </row>
    <row r="137" spans="2:16">
      <c r="B137" s="28"/>
      <c r="C137" s="3"/>
      <c r="D137" s="47"/>
      <c r="E137" s="28"/>
      <c r="F137" s="28"/>
      <c r="G137" s="28"/>
      <c r="H137" s="29"/>
      <c r="I137" s="14"/>
      <c r="K137" s="3"/>
      <c r="M137" s="3"/>
      <c r="N137" s="3"/>
      <c r="O137" s="52"/>
      <c r="P137" s="3"/>
    </row>
    <row r="138" spans="2:16">
      <c r="B138" s="28"/>
      <c r="C138" s="3"/>
      <c r="D138" s="47"/>
      <c r="E138" s="28"/>
      <c r="F138" s="28"/>
      <c r="G138" s="28"/>
      <c r="H138" s="29"/>
      <c r="I138" s="14"/>
      <c r="K138" s="3"/>
      <c r="M138" s="3"/>
      <c r="N138" s="3"/>
      <c r="O138" s="52"/>
      <c r="P138" s="3"/>
    </row>
    <row r="139" spans="2:16">
      <c r="B139" s="28"/>
      <c r="C139" s="3"/>
      <c r="D139" s="47"/>
      <c r="E139" s="28"/>
      <c r="F139" s="28"/>
      <c r="G139" s="28"/>
      <c r="H139" s="29"/>
      <c r="I139" s="14"/>
      <c r="K139" s="3"/>
      <c r="M139" s="3"/>
      <c r="N139" s="3"/>
      <c r="O139" s="52"/>
      <c r="P139" s="3"/>
    </row>
    <row r="140" spans="2:16">
      <c r="B140" s="28"/>
      <c r="C140" s="3"/>
      <c r="D140" s="47"/>
      <c r="E140" s="28"/>
      <c r="F140" s="28"/>
      <c r="G140" s="28"/>
      <c r="H140" s="29"/>
      <c r="I140" s="14"/>
      <c r="K140" s="3"/>
      <c r="M140" s="3"/>
      <c r="N140" s="3"/>
      <c r="O140" s="52"/>
      <c r="P140" s="3"/>
    </row>
    <row r="141" spans="2:16">
      <c r="B141" s="28"/>
      <c r="C141" s="3"/>
      <c r="D141" s="47"/>
      <c r="E141" s="28"/>
      <c r="F141" s="28"/>
      <c r="G141" s="28"/>
      <c r="H141" s="29"/>
      <c r="I141" s="14"/>
      <c r="K141" s="3"/>
      <c r="M141" s="3"/>
      <c r="N141" s="3"/>
      <c r="O141" s="52"/>
      <c r="P141" s="3"/>
    </row>
    <row r="142" spans="2:16">
      <c r="B142" s="28"/>
      <c r="C142" s="3"/>
      <c r="D142" s="47"/>
      <c r="E142" s="28"/>
      <c r="F142" s="28"/>
      <c r="G142" s="28"/>
      <c r="H142" s="29"/>
      <c r="I142" s="14"/>
      <c r="K142" s="3"/>
      <c r="M142" s="3"/>
      <c r="N142" s="3"/>
      <c r="O142" s="52"/>
      <c r="P142" s="3"/>
    </row>
    <row r="143" spans="2:16">
      <c r="B143" s="28"/>
      <c r="C143" s="3"/>
      <c r="D143" s="47"/>
      <c r="E143" s="28"/>
      <c r="F143" s="28"/>
      <c r="G143" s="28"/>
      <c r="H143" s="29"/>
      <c r="I143" s="14"/>
      <c r="K143" s="3"/>
      <c r="M143" s="3"/>
      <c r="N143" s="3"/>
      <c r="O143" s="52"/>
      <c r="P143" s="3"/>
    </row>
    <row r="144" spans="2:16">
      <c r="B144" s="28"/>
      <c r="C144" s="3"/>
      <c r="D144" s="47"/>
      <c r="E144" s="28"/>
      <c r="F144" s="28"/>
      <c r="G144" s="28"/>
      <c r="H144" s="29"/>
      <c r="I144" s="14"/>
      <c r="K144" s="3"/>
      <c r="M144" s="3"/>
      <c r="N144" s="3"/>
      <c r="O144" s="52"/>
      <c r="P144" s="3"/>
    </row>
    <row r="145" spans="2:16">
      <c r="B145" s="28"/>
      <c r="C145" s="3"/>
      <c r="D145" s="47"/>
      <c r="E145" s="28"/>
      <c r="F145" s="28"/>
      <c r="G145" s="28"/>
      <c r="H145" s="29"/>
      <c r="I145" s="14"/>
      <c r="K145" s="3"/>
      <c r="M145" s="3"/>
      <c r="N145" s="3"/>
      <c r="O145" s="52"/>
      <c r="P145" s="3"/>
    </row>
    <row r="146" spans="2:16">
      <c r="B146" s="28"/>
      <c r="C146" s="3"/>
      <c r="D146" s="47"/>
      <c r="E146" s="28"/>
      <c r="F146" s="28"/>
      <c r="G146" s="28"/>
      <c r="H146" s="29"/>
      <c r="I146" s="14"/>
      <c r="K146" s="3"/>
      <c r="M146" s="3"/>
      <c r="N146" s="3"/>
      <c r="O146" s="52"/>
      <c r="P146" s="3"/>
    </row>
    <row r="147" spans="2:16">
      <c r="B147" s="28"/>
      <c r="C147" s="3"/>
      <c r="D147" s="47"/>
      <c r="E147" s="28"/>
      <c r="F147" s="28"/>
      <c r="G147" s="28"/>
      <c r="H147" s="29"/>
      <c r="I147" s="14"/>
      <c r="K147" s="3"/>
      <c r="M147" s="3"/>
      <c r="N147" s="3"/>
      <c r="O147" s="52"/>
      <c r="P147" s="3"/>
    </row>
    <row r="148" spans="2:16">
      <c r="B148" s="28"/>
      <c r="C148" s="3"/>
      <c r="D148" s="47"/>
      <c r="E148" s="28"/>
      <c r="F148" s="28"/>
      <c r="G148" s="28"/>
      <c r="H148" s="29"/>
      <c r="I148" s="14"/>
      <c r="K148" s="3"/>
      <c r="M148" s="3"/>
      <c r="N148" s="3"/>
      <c r="O148" s="52"/>
      <c r="P148" s="3"/>
    </row>
    <row r="149" spans="2:16">
      <c r="B149" s="28"/>
      <c r="C149" s="3"/>
      <c r="D149" s="47"/>
      <c r="E149" s="28"/>
      <c r="F149" s="28"/>
      <c r="G149" s="28"/>
      <c r="H149" s="29"/>
      <c r="I149" s="14"/>
      <c r="K149" s="3"/>
      <c r="M149" s="3"/>
      <c r="N149" s="3"/>
      <c r="O149" s="52"/>
      <c r="P149" s="3"/>
    </row>
    <row r="150" spans="2:16">
      <c r="B150" s="28"/>
      <c r="C150" s="3"/>
      <c r="D150" s="47"/>
      <c r="E150" s="28"/>
      <c r="F150" s="28"/>
      <c r="G150" s="28"/>
      <c r="H150" s="29"/>
      <c r="I150" s="14"/>
      <c r="K150" s="3"/>
      <c r="M150" s="3"/>
      <c r="N150" s="3"/>
      <c r="O150" s="52"/>
      <c r="P150" s="3"/>
    </row>
    <row r="151" spans="2:16">
      <c r="B151" s="28"/>
      <c r="C151" s="3"/>
      <c r="D151" s="47"/>
      <c r="E151" s="28"/>
      <c r="F151" s="28"/>
      <c r="G151" s="28"/>
      <c r="H151" s="29"/>
      <c r="I151" s="14"/>
      <c r="K151" s="3"/>
      <c r="M151" s="3"/>
      <c r="N151" s="3"/>
      <c r="O151" s="52"/>
      <c r="P151" s="3"/>
    </row>
    <row r="152" spans="2:16">
      <c r="B152" s="28"/>
      <c r="C152" s="3"/>
      <c r="D152" s="47"/>
      <c r="E152" s="28"/>
      <c r="F152" s="28"/>
      <c r="G152" s="28"/>
      <c r="H152" s="29"/>
      <c r="I152" s="14"/>
      <c r="K152" s="3"/>
      <c r="M152" s="3"/>
      <c r="N152" s="3"/>
      <c r="O152" s="52"/>
      <c r="P152" s="3"/>
    </row>
    <row r="153" spans="2:16">
      <c r="B153" s="28"/>
      <c r="C153" s="3"/>
      <c r="D153" s="47"/>
      <c r="E153" s="28"/>
      <c r="F153" s="28"/>
      <c r="G153" s="28"/>
      <c r="H153" s="29"/>
      <c r="I153" s="14"/>
      <c r="K153" s="3"/>
      <c r="M153" s="3"/>
      <c r="N153" s="3"/>
      <c r="O153" s="52"/>
      <c r="P153" s="3"/>
    </row>
    <row r="154" spans="2:16">
      <c r="B154" s="28"/>
      <c r="C154" s="3"/>
      <c r="D154" s="47"/>
      <c r="E154" s="28"/>
      <c r="F154" s="28"/>
      <c r="G154" s="28"/>
      <c r="H154" s="29"/>
      <c r="I154" s="14"/>
      <c r="K154" s="3"/>
      <c r="M154" s="3"/>
      <c r="N154" s="3"/>
      <c r="O154" s="52"/>
      <c r="P154" s="3"/>
    </row>
    <row r="155" spans="2:16">
      <c r="B155" s="28"/>
      <c r="C155" s="3"/>
      <c r="D155" s="47"/>
      <c r="E155" s="28"/>
      <c r="F155" s="28"/>
      <c r="G155" s="28"/>
      <c r="H155" s="29"/>
      <c r="I155" s="14"/>
      <c r="K155" s="3"/>
      <c r="M155" s="3"/>
      <c r="N155" s="3"/>
      <c r="O155" s="52"/>
      <c r="P155" s="3"/>
    </row>
    <row r="156" spans="2:16">
      <c r="B156" s="28"/>
      <c r="C156" s="3"/>
      <c r="D156" s="47"/>
      <c r="E156" s="28"/>
      <c r="F156" s="28"/>
      <c r="G156" s="28"/>
      <c r="H156" s="29"/>
      <c r="I156" s="14"/>
      <c r="K156" s="3"/>
      <c r="M156" s="3"/>
      <c r="N156" s="3"/>
      <c r="O156" s="52"/>
      <c r="P156" s="3"/>
    </row>
    <row r="157" spans="2:16">
      <c r="B157" s="28"/>
      <c r="C157" s="3"/>
      <c r="D157" s="47"/>
      <c r="E157" s="28"/>
      <c r="F157" s="28"/>
      <c r="G157" s="28"/>
      <c r="H157" s="29"/>
      <c r="I157" s="14"/>
      <c r="K157" s="3"/>
      <c r="M157" s="3"/>
      <c r="N157" s="3"/>
      <c r="O157" s="52"/>
      <c r="P157" s="3"/>
    </row>
    <row r="158" spans="2:16">
      <c r="B158" s="28"/>
      <c r="C158" s="3"/>
      <c r="D158" s="47"/>
      <c r="E158" s="28"/>
      <c r="F158" s="28"/>
      <c r="G158" s="28"/>
      <c r="H158" s="29"/>
      <c r="I158" s="14"/>
      <c r="K158" s="3"/>
      <c r="M158" s="3"/>
      <c r="N158" s="3"/>
      <c r="O158" s="52"/>
      <c r="P158" s="3"/>
    </row>
    <row r="159" spans="2:16">
      <c r="B159" s="28"/>
      <c r="C159" s="3"/>
      <c r="D159" s="47"/>
      <c r="E159" s="28"/>
      <c r="F159" s="28"/>
      <c r="G159" s="28"/>
      <c r="H159" s="29"/>
      <c r="I159" s="14"/>
      <c r="K159" s="3"/>
      <c r="M159" s="3"/>
      <c r="N159" s="3"/>
      <c r="O159" s="52"/>
      <c r="P159" s="3"/>
    </row>
    <row r="160" spans="2:16">
      <c r="B160" s="28"/>
      <c r="C160" s="3"/>
      <c r="D160" s="47"/>
      <c r="E160" s="28"/>
      <c r="F160" s="28"/>
      <c r="G160" s="28"/>
      <c r="H160" s="29"/>
      <c r="I160" s="14"/>
      <c r="K160" s="3"/>
      <c r="M160" s="3"/>
      <c r="N160" s="3"/>
      <c r="O160" s="52"/>
      <c r="P160" s="3"/>
    </row>
    <row r="161" spans="2:16">
      <c r="B161" s="28"/>
      <c r="C161" s="3"/>
      <c r="D161" s="47"/>
      <c r="E161" s="28"/>
      <c r="F161" s="28"/>
      <c r="G161" s="28"/>
      <c r="H161" s="29"/>
      <c r="I161" s="14"/>
      <c r="K161" s="3"/>
      <c r="M161" s="3"/>
      <c r="N161" s="3"/>
      <c r="O161" s="52"/>
      <c r="P161" s="3"/>
    </row>
    <row r="162" spans="2:16">
      <c r="B162" s="28"/>
      <c r="C162" s="3"/>
      <c r="D162" s="47"/>
      <c r="E162" s="28"/>
      <c r="F162" s="28"/>
      <c r="G162" s="28"/>
      <c r="H162" s="29"/>
      <c r="I162" s="14"/>
      <c r="K162" s="3"/>
      <c r="M162" s="3"/>
      <c r="N162" s="3"/>
      <c r="O162" s="52"/>
      <c r="P162" s="3"/>
    </row>
    <row r="163" spans="2:16">
      <c r="B163" s="28"/>
      <c r="C163" s="3"/>
      <c r="D163" s="47"/>
      <c r="E163" s="28"/>
      <c r="F163" s="28"/>
      <c r="G163" s="28"/>
      <c r="H163" s="29"/>
      <c r="I163" s="14"/>
      <c r="K163" s="3"/>
      <c r="M163" s="3"/>
      <c r="N163" s="3"/>
      <c r="O163" s="52"/>
      <c r="P163" s="3"/>
    </row>
    <row r="164" spans="2:16">
      <c r="B164" s="28"/>
      <c r="C164" s="3"/>
      <c r="D164" s="47"/>
      <c r="E164" s="28"/>
      <c r="F164" s="28"/>
      <c r="G164" s="28"/>
      <c r="H164" s="29"/>
      <c r="I164" s="14"/>
      <c r="K164" s="3"/>
      <c r="M164" s="3"/>
      <c r="N164" s="3"/>
      <c r="O164" s="52"/>
      <c r="P164" s="3"/>
    </row>
    <row r="165" spans="2:16">
      <c r="B165" s="28"/>
      <c r="C165" s="3"/>
      <c r="D165" s="47"/>
      <c r="E165" s="28"/>
      <c r="F165" s="28"/>
      <c r="G165" s="28"/>
      <c r="H165" s="29"/>
      <c r="I165" s="14"/>
      <c r="K165" s="3"/>
      <c r="M165" s="3"/>
      <c r="N165" s="3"/>
      <c r="O165" s="52"/>
      <c r="P165" s="3"/>
    </row>
    <row r="166" spans="2:16">
      <c r="B166" s="28"/>
      <c r="C166" s="3"/>
      <c r="D166" s="47"/>
      <c r="E166" s="28"/>
      <c r="F166" s="28"/>
      <c r="G166" s="28"/>
      <c r="H166" s="29"/>
      <c r="I166" s="14"/>
      <c r="K166" s="3"/>
      <c r="M166" s="3"/>
      <c r="N166" s="3"/>
      <c r="O166" s="52"/>
      <c r="P166" s="3"/>
    </row>
    <row r="167" spans="2:16">
      <c r="B167" s="28"/>
      <c r="C167" s="3"/>
      <c r="D167" s="47"/>
      <c r="E167" s="28"/>
      <c r="F167" s="28"/>
      <c r="G167" s="28"/>
      <c r="H167" s="29"/>
      <c r="I167" s="14"/>
      <c r="K167" s="3"/>
      <c r="M167" s="3"/>
      <c r="N167" s="3"/>
      <c r="O167" s="52"/>
      <c r="P167" s="3"/>
    </row>
    <row r="168" spans="2:16">
      <c r="B168" s="28"/>
      <c r="C168" s="3"/>
      <c r="D168" s="47"/>
      <c r="E168" s="28"/>
      <c r="F168" s="28"/>
      <c r="G168" s="28"/>
      <c r="H168" s="29"/>
      <c r="I168" s="14"/>
      <c r="K168" s="3"/>
      <c r="M168" s="3"/>
      <c r="N168" s="3"/>
      <c r="O168" s="52"/>
      <c r="P168" s="3"/>
    </row>
    <row r="169" spans="2:16">
      <c r="B169" s="28"/>
      <c r="C169" s="3"/>
      <c r="D169" s="47"/>
      <c r="E169" s="28"/>
      <c r="F169" s="28"/>
      <c r="G169" s="28"/>
      <c r="H169" s="29"/>
      <c r="I169" s="14"/>
      <c r="K169" s="3"/>
      <c r="M169" s="3"/>
      <c r="N169" s="3"/>
      <c r="O169" s="52"/>
      <c r="P169" s="3"/>
    </row>
    <row r="170" spans="2:16">
      <c r="B170" s="28"/>
      <c r="C170" s="3"/>
      <c r="D170" s="47"/>
      <c r="E170" s="28"/>
      <c r="F170" s="28"/>
      <c r="G170" s="28"/>
      <c r="H170" s="29"/>
      <c r="I170" s="14"/>
      <c r="K170" s="3"/>
      <c r="M170" s="3"/>
      <c r="N170" s="3"/>
      <c r="O170" s="52"/>
      <c r="P170" s="3"/>
    </row>
    <row r="171" spans="2:16">
      <c r="B171" s="28"/>
      <c r="C171" s="3"/>
      <c r="D171" s="47"/>
      <c r="E171" s="28"/>
      <c r="F171" s="28"/>
      <c r="G171" s="28"/>
      <c r="H171" s="29"/>
      <c r="I171" s="14"/>
      <c r="K171" s="3"/>
      <c r="M171" s="3"/>
      <c r="N171" s="3"/>
      <c r="O171" s="52"/>
      <c r="P171" s="3"/>
    </row>
    <row r="172" spans="2:16">
      <c r="B172" s="28"/>
      <c r="C172" s="3"/>
      <c r="D172" s="47"/>
      <c r="E172" s="28"/>
      <c r="F172" s="28"/>
      <c r="G172" s="28"/>
      <c r="H172" s="29"/>
      <c r="I172" s="14"/>
      <c r="K172" s="3"/>
      <c r="M172" s="3"/>
      <c r="N172" s="3"/>
      <c r="O172" s="52"/>
      <c r="P172" s="3"/>
    </row>
    <row r="173" spans="2:16">
      <c r="B173" s="28"/>
      <c r="C173" s="3"/>
      <c r="D173" s="47"/>
      <c r="E173" s="28"/>
      <c r="F173" s="28"/>
      <c r="G173" s="28"/>
      <c r="H173" s="29"/>
      <c r="I173" s="14"/>
      <c r="K173" s="3"/>
      <c r="M173" s="3"/>
      <c r="N173" s="3"/>
      <c r="O173" s="52"/>
      <c r="P173" s="3"/>
    </row>
    <row r="174" spans="2:16">
      <c r="B174" s="28"/>
      <c r="C174" s="3"/>
      <c r="D174" s="47"/>
      <c r="E174" s="28"/>
      <c r="F174" s="28"/>
      <c r="G174" s="28"/>
      <c r="H174" s="29"/>
      <c r="I174" s="14"/>
      <c r="K174" s="3"/>
      <c r="M174" s="3"/>
      <c r="N174" s="3"/>
      <c r="O174" s="52"/>
      <c r="P174" s="3"/>
    </row>
    <row r="175" spans="2:16">
      <c r="B175" s="28"/>
      <c r="C175" s="3"/>
      <c r="D175" s="47"/>
      <c r="E175" s="28"/>
      <c r="F175" s="28"/>
      <c r="G175" s="28"/>
      <c r="H175" s="29"/>
      <c r="I175" s="14"/>
      <c r="K175" s="3"/>
      <c r="M175" s="3"/>
      <c r="N175" s="3"/>
      <c r="O175" s="52"/>
      <c r="P175" s="3"/>
    </row>
    <row r="176" spans="2:16">
      <c r="B176" s="28"/>
      <c r="C176" s="3"/>
      <c r="D176" s="47"/>
      <c r="E176" s="28"/>
      <c r="F176" s="28"/>
      <c r="G176" s="28"/>
      <c r="H176" s="29"/>
      <c r="I176" s="14"/>
      <c r="K176" s="3"/>
      <c r="M176" s="3"/>
      <c r="N176" s="3"/>
      <c r="O176" s="52"/>
      <c r="P176" s="3"/>
    </row>
    <row r="177" spans="2:16">
      <c r="B177" s="28"/>
      <c r="C177" s="3"/>
      <c r="D177" s="47"/>
      <c r="E177" s="28"/>
      <c r="F177" s="28"/>
      <c r="G177" s="28"/>
      <c r="H177" s="29"/>
      <c r="I177" s="14"/>
      <c r="K177" s="3"/>
      <c r="M177" s="3"/>
      <c r="N177" s="3"/>
      <c r="O177" s="52"/>
      <c r="P177" s="3"/>
    </row>
    <row r="178" spans="2:16">
      <c r="B178" s="28"/>
      <c r="C178" s="3"/>
      <c r="D178" s="47"/>
      <c r="E178" s="28"/>
      <c r="F178" s="28"/>
      <c r="G178" s="28"/>
      <c r="H178" s="29"/>
      <c r="I178" s="14"/>
      <c r="K178" s="3"/>
      <c r="M178" s="3"/>
      <c r="N178" s="3"/>
      <c r="O178" s="52"/>
      <c r="P178" s="3"/>
    </row>
    <row r="179" spans="2:16">
      <c r="B179" s="28"/>
      <c r="C179" s="3"/>
      <c r="D179" s="47"/>
      <c r="E179" s="28"/>
      <c r="F179" s="28"/>
      <c r="G179" s="28"/>
      <c r="H179" s="29"/>
      <c r="I179" s="14"/>
      <c r="K179" s="3"/>
      <c r="M179" s="3"/>
      <c r="N179" s="3"/>
      <c r="O179" s="52"/>
      <c r="P179" s="3"/>
    </row>
    <row r="180" spans="2:16">
      <c r="B180" s="28"/>
      <c r="C180" s="3"/>
      <c r="D180" s="47"/>
      <c r="E180" s="28"/>
      <c r="F180" s="28"/>
      <c r="G180" s="28"/>
      <c r="H180" s="29"/>
      <c r="I180" s="14"/>
      <c r="K180" s="3"/>
      <c r="M180" s="3"/>
      <c r="N180" s="3"/>
      <c r="O180" s="52"/>
      <c r="P180" s="3"/>
    </row>
    <row r="181" spans="2:16">
      <c r="B181" s="28"/>
      <c r="C181" s="3"/>
      <c r="D181" s="47"/>
      <c r="E181" s="28"/>
      <c r="F181" s="28"/>
      <c r="G181" s="28"/>
      <c r="H181" s="29"/>
      <c r="I181" s="14"/>
      <c r="K181" s="3"/>
      <c r="M181" s="3"/>
      <c r="N181" s="3"/>
      <c r="O181" s="52"/>
      <c r="P181" s="3"/>
    </row>
    <row r="182" spans="2:16">
      <c r="B182" s="28"/>
      <c r="C182" s="3"/>
      <c r="D182" s="47"/>
      <c r="E182" s="28"/>
      <c r="F182" s="28"/>
      <c r="G182" s="28"/>
      <c r="H182" s="29"/>
      <c r="I182" s="14"/>
      <c r="K182" s="3"/>
      <c r="M182" s="3"/>
      <c r="N182" s="3"/>
      <c r="O182" s="52"/>
      <c r="P182" s="3"/>
    </row>
    <row r="183" spans="2:16">
      <c r="B183" s="28"/>
      <c r="C183" s="3"/>
      <c r="D183" s="47"/>
      <c r="E183" s="28"/>
      <c r="F183" s="28"/>
      <c r="G183" s="28"/>
      <c r="H183" s="29"/>
      <c r="I183" s="14"/>
      <c r="K183" s="3"/>
      <c r="M183" s="3"/>
      <c r="N183" s="3"/>
      <c r="O183" s="52"/>
      <c r="P183" s="3"/>
    </row>
    <row r="184" spans="2:16">
      <c r="B184" s="28"/>
      <c r="C184" s="3"/>
      <c r="D184" s="47"/>
      <c r="E184" s="28"/>
      <c r="F184" s="28"/>
      <c r="G184" s="28"/>
      <c r="H184" s="29"/>
      <c r="I184" s="14"/>
      <c r="K184" s="3"/>
      <c r="M184" s="3"/>
      <c r="N184" s="3"/>
      <c r="O184" s="52"/>
      <c r="P184" s="3"/>
    </row>
    <row r="185" spans="2:16">
      <c r="B185" s="28"/>
      <c r="C185" s="3"/>
      <c r="D185" s="47"/>
      <c r="E185" s="28"/>
      <c r="F185" s="28"/>
      <c r="G185" s="28"/>
      <c r="H185" s="29"/>
      <c r="I185" s="14"/>
      <c r="K185" s="3"/>
      <c r="M185" s="3"/>
      <c r="N185" s="3"/>
      <c r="O185" s="52"/>
      <c r="P185" s="3"/>
    </row>
    <row r="186" spans="2:16">
      <c r="B186" s="28"/>
      <c r="C186" s="3"/>
      <c r="D186" s="47"/>
      <c r="E186" s="28"/>
      <c r="F186" s="28"/>
      <c r="G186" s="28"/>
      <c r="H186" s="29"/>
      <c r="I186" s="14"/>
      <c r="K186" s="3"/>
      <c r="M186" s="3"/>
      <c r="N186" s="3"/>
      <c r="O186" s="52"/>
      <c r="P186" s="3"/>
    </row>
    <row r="187" spans="2:16">
      <c r="B187" s="28"/>
      <c r="C187" s="3"/>
      <c r="D187" s="47"/>
      <c r="E187" s="28"/>
      <c r="F187" s="28"/>
      <c r="G187" s="28"/>
      <c r="H187" s="29"/>
      <c r="I187" s="14"/>
      <c r="K187" s="3"/>
      <c r="M187" s="3"/>
      <c r="N187" s="3"/>
      <c r="O187" s="52"/>
      <c r="P187" s="3"/>
    </row>
    <row r="188" spans="2:16">
      <c r="B188" s="28"/>
      <c r="C188" s="3"/>
      <c r="D188" s="47"/>
      <c r="E188" s="28"/>
      <c r="F188" s="28"/>
      <c r="G188" s="28"/>
      <c r="H188" s="29"/>
      <c r="I188" s="14"/>
      <c r="K188" s="3"/>
      <c r="M188" s="3"/>
      <c r="N188" s="3"/>
      <c r="O188" s="52"/>
      <c r="P188" s="3"/>
    </row>
    <row r="189" spans="2:16">
      <c r="B189" s="28"/>
      <c r="C189" s="3"/>
      <c r="D189" s="47"/>
      <c r="E189" s="28"/>
      <c r="F189" s="28"/>
      <c r="G189" s="28"/>
      <c r="H189" s="29"/>
      <c r="I189" s="14"/>
      <c r="K189" s="3"/>
      <c r="M189" s="3"/>
      <c r="N189" s="3"/>
      <c r="O189" s="52"/>
      <c r="P189" s="3"/>
    </row>
    <row r="190" spans="2:16">
      <c r="B190" s="28"/>
      <c r="C190" s="3"/>
      <c r="D190" s="47"/>
      <c r="E190" s="28"/>
      <c r="F190" s="28"/>
      <c r="G190" s="28"/>
      <c r="H190" s="29"/>
      <c r="I190" s="14"/>
      <c r="K190" s="3"/>
      <c r="M190" s="3"/>
      <c r="N190" s="3"/>
      <c r="O190" s="52"/>
      <c r="P190" s="3"/>
    </row>
    <row r="191" spans="2:16">
      <c r="B191" s="28"/>
      <c r="C191" s="3"/>
      <c r="D191" s="47"/>
      <c r="E191" s="28"/>
      <c r="F191" s="28"/>
      <c r="G191" s="28"/>
      <c r="H191" s="29"/>
      <c r="I191" s="14"/>
      <c r="K191" s="3"/>
      <c r="M191" s="3"/>
      <c r="N191" s="3"/>
      <c r="O191" s="52"/>
      <c r="P191" s="3"/>
    </row>
    <row r="192" spans="2:16">
      <c r="B192" s="28"/>
      <c r="C192" s="3"/>
      <c r="D192" s="47"/>
      <c r="E192" s="28"/>
      <c r="F192" s="28"/>
      <c r="G192" s="28"/>
      <c r="H192" s="29"/>
      <c r="I192" s="14"/>
      <c r="K192" s="3"/>
      <c r="M192" s="3"/>
      <c r="N192" s="3"/>
      <c r="O192" s="52"/>
      <c r="P192" s="3"/>
    </row>
    <row r="193" spans="2:16">
      <c r="B193" s="28"/>
      <c r="C193" s="3"/>
      <c r="D193" s="47"/>
      <c r="E193" s="28"/>
      <c r="F193" s="28"/>
      <c r="G193" s="28"/>
      <c r="H193" s="29"/>
      <c r="I193" s="14"/>
      <c r="K193" s="3"/>
      <c r="M193" s="3"/>
      <c r="N193" s="3"/>
      <c r="O193" s="52"/>
      <c r="P193" s="3"/>
    </row>
    <row r="194" spans="2:16">
      <c r="B194" s="28"/>
      <c r="C194" s="3"/>
      <c r="D194" s="47"/>
      <c r="E194" s="28"/>
      <c r="F194" s="28"/>
      <c r="G194" s="28"/>
      <c r="H194" s="29"/>
      <c r="I194" s="14"/>
      <c r="K194" s="3"/>
      <c r="M194" s="3"/>
      <c r="N194" s="3"/>
      <c r="O194" s="52"/>
      <c r="P194" s="3"/>
    </row>
    <row r="195" spans="2:16">
      <c r="B195" s="28"/>
      <c r="C195" s="3"/>
      <c r="D195" s="47"/>
      <c r="E195" s="28"/>
      <c r="F195" s="28"/>
      <c r="G195" s="28"/>
      <c r="H195" s="29"/>
      <c r="I195" s="14"/>
      <c r="K195" s="3"/>
      <c r="M195" s="3"/>
      <c r="N195" s="3"/>
      <c r="O195" s="52"/>
      <c r="P195" s="3"/>
    </row>
    <row r="196" spans="2:16">
      <c r="B196" s="28"/>
      <c r="C196" s="3"/>
      <c r="D196" s="47"/>
      <c r="E196" s="28"/>
      <c r="F196" s="28"/>
      <c r="G196" s="28"/>
      <c r="H196" s="29"/>
      <c r="I196" s="14"/>
      <c r="K196" s="3"/>
      <c r="M196" s="3"/>
      <c r="N196" s="3"/>
      <c r="O196" s="52"/>
      <c r="P196" s="3"/>
    </row>
    <row r="197" spans="2:16">
      <c r="B197" s="28"/>
      <c r="C197" s="3"/>
      <c r="D197" s="47"/>
      <c r="E197" s="28"/>
      <c r="F197" s="28"/>
      <c r="G197" s="28"/>
      <c r="H197" s="29"/>
      <c r="I197" s="14"/>
      <c r="K197" s="3"/>
      <c r="M197" s="3"/>
      <c r="N197" s="3"/>
      <c r="O197" s="52"/>
      <c r="P197" s="3"/>
    </row>
    <row r="198" spans="2:16">
      <c r="B198" s="28"/>
      <c r="C198" s="3"/>
      <c r="D198" s="47"/>
      <c r="E198" s="28"/>
      <c r="F198" s="28"/>
      <c r="G198" s="28"/>
      <c r="H198" s="29"/>
      <c r="I198" s="14"/>
      <c r="K198" s="3"/>
      <c r="M198" s="3"/>
      <c r="N198" s="3"/>
      <c r="O198" s="52"/>
      <c r="P198" s="3"/>
    </row>
    <row r="199" spans="2:16">
      <c r="B199" s="28"/>
      <c r="C199" s="3"/>
      <c r="D199" s="47"/>
      <c r="E199" s="28"/>
      <c r="F199" s="28"/>
      <c r="G199" s="28"/>
      <c r="H199" s="29"/>
      <c r="I199" s="14"/>
      <c r="K199" s="3"/>
      <c r="M199" s="3"/>
      <c r="N199" s="3"/>
      <c r="O199" s="52"/>
      <c r="P199" s="3"/>
    </row>
    <row r="200" spans="2:16">
      <c r="B200" s="28"/>
      <c r="C200" s="3"/>
      <c r="D200" s="47"/>
      <c r="E200" s="28"/>
      <c r="F200" s="28"/>
      <c r="G200" s="28"/>
      <c r="H200" s="29"/>
      <c r="I200" s="14"/>
      <c r="K200" s="3"/>
      <c r="M200" s="3"/>
      <c r="N200" s="3"/>
      <c r="O200" s="52"/>
      <c r="P200" s="3"/>
    </row>
    <row r="201" spans="2:16">
      <c r="B201" s="28"/>
      <c r="C201" s="3"/>
      <c r="D201" s="47"/>
      <c r="E201" s="28"/>
      <c r="F201" s="28"/>
      <c r="G201" s="28"/>
      <c r="H201" s="29"/>
      <c r="I201" s="14"/>
      <c r="K201" s="3"/>
      <c r="M201" s="3"/>
      <c r="N201" s="3"/>
      <c r="O201" s="52"/>
      <c r="P201" s="3"/>
    </row>
    <row r="202" spans="2:16">
      <c r="B202" s="28"/>
      <c r="C202" s="3"/>
      <c r="D202" s="47"/>
      <c r="E202" s="28"/>
      <c r="F202" s="28"/>
      <c r="G202" s="28"/>
      <c r="H202" s="29"/>
      <c r="I202" s="14"/>
      <c r="K202" s="3"/>
      <c r="M202" s="3"/>
      <c r="N202" s="3"/>
      <c r="O202" s="52"/>
      <c r="P202" s="3"/>
    </row>
    <row r="203" spans="2:16">
      <c r="B203" s="28"/>
      <c r="C203" s="3"/>
      <c r="D203" s="47"/>
      <c r="E203" s="28"/>
      <c r="F203" s="28"/>
      <c r="G203" s="28"/>
      <c r="H203" s="29"/>
      <c r="I203" s="14"/>
      <c r="K203" s="3"/>
      <c r="M203" s="3"/>
      <c r="N203" s="3"/>
      <c r="O203" s="52"/>
      <c r="P203" s="3"/>
    </row>
    <row r="204" spans="2:16">
      <c r="B204" s="28"/>
      <c r="C204" s="3"/>
      <c r="D204" s="47"/>
      <c r="E204" s="28"/>
      <c r="F204" s="28"/>
      <c r="G204" s="28"/>
      <c r="H204" s="29"/>
      <c r="I204" s="14"/>
      <c r="K204" s="3"/>
      <c r="M204" s="3"/>
      <c r="N204" s="3"/>
      <c r="O204" s="52"/>
      <c r="P204" s="3"/>
    </row>
    <row r="205" spans="2:16">
      <c r="B205" s="28"/>
      <c r="C205" s="3"/>
      <c r="D205" s="47"/>
      <c r="E205" s="28"/>
      <c r="F205" s="28"/>
      <c r="G205" s="28"/>
      <c r="H205" s="29"/>
      <c r="I205" s="14"/>
      <c r="K205" s="3"/>
      <c r="M205" s="3"/>
      <c r="N205" s="3"/>
      <c r="O205" s="52"/>
      <c r="P205" s="3"/>
    </row>
    <row r="206" spans="2:16">
      <c r="B206" s="28"/>
      <c r="C206" s="3"/>
      <c r="D206" s="47"/>
      <c r="E206" s="28"/>
      <c r="F206" s="28"/>
      <c r="G206" s="28"/>
      <c r="H206" s="29"/>
      <c r="I206" s="14"/>
      <c r="K206" s="3"/>
      <c r="M206" s="3"/>
      <c r="N206" s="3"/>
      <c r="O206" s="52"/>
      <c r="P206" s="3"/>
    </row>
    <row r="207" spans="2:16">
      <c r="B207" s="28"/>
      <c r="C207" s="3"/>
      <c r="D207" s="47"/>
      <c r="E207" s="28"/>
      <c r="F207" s="28"/>
      <c r="G207" s="28"/>
      <c r="H207" s="29"/>
      <c r="I207" s="14"/>
      <c r="K207" s="3"/>
      <c r="M207" s="3"/>
      <c r="N207" s="3"/>
      <c r="O207" s="52"/>
      <c r="P207" s="3"/>
    </row>
    <row r="208" spans="2:16">
      <c r="B208" s="28"/>
      <c r="C208" s="3"/>
      <c r="D208" s="47"/>
      <c r="E208" s="28"/>
      <c r="F208" s="28"/>
      <c r="G208" s="28"/>
      <c r="H208" s="29"/>
      <c r="I208" s="14"/>
      <c r="K208" s="3"/>
      <c r="M208" s="3"/>
      <c r="N208" s="3"/>
      <c r="O208" s="52"/>
      <c r="P208" s="3"/>
    </row>
    <row r="209" spans="2:16">
      <c r="B209" s="28"/>
      <c r="C209" s="3"/>
      <c r="D209" s="47"/>
      <c r="E209" s="28"/>
      <c r="F209" s="28"/>
      <c r="G209" s="28"/>
      <c r="H209" s="29"/>
      <c r="I209" s="14"/>
      <c r="K209" s="3"/>
      <c r="M209" s="3"/>
      <c r="N209" s="3"/>
      <c r="O209" s="52"/>
      <c r="P209" s="3"/>
    </row>
    <row r="210" spans="2:16">
      <c r="B210" s="28"/>
      <c r="C210" s="3"/>
      <c r="D210" s="47"/>
      <c r="E210" s="28"/>
      <c r="F210" s="28"/>
      <c r="G210" s="28"/>
      <c r="H210" s="29"/>
      <c r="I210" s="14"/>
      <c r="K210" s="3"/>
      <c r="M210" s="3"/>
      <c r="N210" s="3"/>
      <c r="O210" s="52"/>
      <c r="P210" s="3"/>
    </row>
    <row r="211" spans="2:16">
      <c r="B211" s="28"/>
      <c r="C211" s="3"/>
      <c r="D211" s="47"/>
      <c r="E211" s="28"/>
      <c r="F211" s="28"/>
      <c r="G211" s="28"/>
      <c r="H211" s="29"/>
      <c r="I211" s="14"/>
      <c r="K211" s="3"/>
      <c r="M211" s="3"/>
      <c r="N211" s="3"/>
      <c r="O211" s="52"/>
      <c r="P211" s="3"/>
    </row>
    <row r="212" spans="2:16">
      <c r="B212" s="28"/>
      <c r="C212" s="3"/>
      <c r="D212" s="47"/>
      <c r="E212" s="28"/>
      <c r="F212" s="28"/>
      <c r="G212" s="28"/>
      <c r="H212" s="29"/>
      <c r="I212" s="14"/>
      <c r="K212" s="3"/>
      <c r="M212" s="3"/>
      <c r="N212" s="3"/>
      <c r="O212" s="52"/>
      <c r="P212" s="3"/>
    </row>
    <row r="213" spans="2:16">
      <c r="B213" s="28"/>
      <c r="C213" s="3"/>
      <c r="D213" s="47"/>
      <c r="E213" s="28"/>
      <c r="F213" s="28"/>
      <c r="G213" s="28"/>
      <c r="H213" s="29"/>
      <c r="I213" s="14"/>
      <c r="K213" s="3"/>
      <c r="M213" s="3"/>
      <c r="N213" s="3"/>
      <c r="O213" s="52"/>
      <c r="P213" s="3"/>
    </row>
    <row r="214" spans="2:16">
      <c r="D214" s="47"/>
      <c r="E214" s="143"/>
      <c r="H214" s="29"/>
      <c r="I214" s="30"/>
      <c r="O214" s="53"/>
    </row>
    <row r="215" spans="2:16">
      <c r="D215" s="47"/>
      <c r="E215" s="143"/>
      <c r="H215" s="29"/>
      <c r="I215" s="30"/>
      <c r="O215" s="53"/>
    </row>
    <row r="216" spans="2:16">
      <c r="D216" s="47"/>
      <c r="E216" s="143"/>
      <c r="H216" s="29"/>
      <c r="I216" s="30"/>
      <c r="O216" s="53"/>
    </row>
    <row r="217" spans="2:16">
      <c r="D217" s="47"/>
      <c r="E217" s="143"/>
      <c r="H217" s="29"/>
      <c r="I217" s="30"/>
      <c r="O217" s="53"/>
    </row>
    <row r="218" spans="2:16">
      <c r="D218" s="47"/>
      <c r="E218" s="143"/>
      <c r="H218" s="29"/>
      <c r="I218" s="30"/>
      <c r="O218" s="53"/>
    </row>
    <row r="219" spans="2:16">
      <c r="D219" s="47"/>
      <c r="E219" s="143"/>
      <c r="H219" s="29"/>
      <c r="I219" s="30"/>
      <c r="O219" s="53"/>
    </row>
    <row r="220" spans="2:16">
      <c r="D220" s="47"/>
      <c r="E220" s="143"/>
      <c r="H220" s="29"/>
      <c r="I220" s="30"/>
      <c r="O220" s="53"/>
    </row>
    <row r="221" spans="2:16">
      <c r="D221" s="47"/>
      <c r="E221" s="143"/>
      <c r="H221" s="29"/>
      <c r="I221" s="30"/>
      <c r="O221" s="53"/>
    </row>
    <row r="222" spans="2:16">
      <c r="D222" s="47"/>
      <c r="E222" s="143"/>
      <c r="H222" s="29"/>
      <c r="I222" s="30"/>
      <c r="O222" s="53"/>
    </row>
    <row r="223" spans="2:16">
      <c r="D223" s="47"/>
      <c r="E223" s="143"/>
      <c r="H223" s="29"/>
      <c r="I223" s="30"/>
      <c r="O223" s="53"/>
    </row>
    <row r="224" spans="2:16">
      <c r="D224" s="47"/>
      <c r="E224" s="143"/>
      <c r="H224" s="29"/>
      <c r="I224" s="30"/>
      <c r="O224" s="53"/>
    </row>
    <row r="225" spans="4:15">
      <c r="D225" s="47"/>
      <c r="E225" s="143"/>
      <c r="H225" s="29"/>
      <c r="I225" s="30"/>
      <c r="O225" s="53"/>
    </row>
    <row r="226" spans="4:15">
      <c r="D226" s="47"/>
      <c r="E226" s="143"/>
      <c r="H226" s="29"/>
      <c r="I226" s="30"/>
      <c r="O226" s="53"/>
    </row>
    <row r="227" spans="4:15">
      <c r="D227" s="47"/>
      <c r="E227" s="143"/>
      <c r="H227" s="29"/>
      <c r="I227" s="30"/>
      <c r="O227" s="53"/>
    </row>
    <row r="228" spans="4:15">
      <c r="D228" s="47"/>
      <c r="E228" s="143"/>
      <c r="H228" s="29"/>
      <c r="I228" s="30"/>
      <c r="O228" s="53"/>
    </row>
    <row r="229" spans="4:15">
      <c r="D229" s="47"/>
      <c r="E229" s="143"/>
      <c r="H229" s="29"/>
      <c r="I229" s="30"/>
      <c r="O229" s="53"/>
    </row>
    <row r="230" spans="4:15">
      <c r="D230" s="47"/>
      <c r="E230" s="143"/>
      <c r="H230" s="29"/>
      <c r="I230" s="30"/>
      <c r="O230" s="53"/>
    </row>
    <row r="231" spans="4:15">
      <c r="D231" s="47"/>
      <c r="E231" s="143"/>
      <c r="H231" s="29"/>
      <c r="I231" s="30"/>
      <c r="O231" s="53"/>
    </row>
    <row r="232" spans="4:15">
      <c r="D232" s="47"/>
      <c r="E232" s="143"/>
      <c r="H232" s="29"/>
      <c r="I232" s="30"/>
      <c r="O232" s="53"/>
    </row>
    <row r="233" spans="4:15">
      <c r="D233" s="47"/>
      <c r="E233" s="143"/>
      <c r="H233" s="29"/>
      <c r="I233" s="30"/>
      <c r="O233" s="53"/>
    </row>
    <row r="234" spans="4:15">
      <c r="D234" s="47"/>
      <c r="E234" s="143"/>
      <c r="H234" s="29"/>
      <c r="I234" s="30"/>
      <c r="O234" s="53"/>
    </row>
    <row r="235" spans="4:15">
      <c r="D235" s="47"/>
      <c r="E235" s="143"/>
      <c r="H235" s="29"/>
      <c r="I235" s="30"/>
      <c r="O235" s="53"/>
    </row>
    <row r="236" spans="4:15">
      <c r="D236" s="47"/>
      <c r="E236" s="143"/>
      <c r="H236" s="29"/>
      <c r="I236" s="30"/>
      <c r="O236" s="53"/>
    </row>
    <row r="237" spans="4:15">
      <c r="D237" s="47"/>
      <c r="E237" s="143"/>
      <c r="H237" s="29"/>
      <c r="I237" s="30"/>
      <c r="O237" s="53"/>
    </row>
    <row r="238" spans="4:15">
      <c r="D238" s="47"/>
      <c r="E238" s="143"/>
      <c r="H238" s="29"/>
      <c r="I238" s="30"/>
      <c r="O238" s="53"/>
    </row>
    <row r="239" spans="4:15">
      <c r="D239" s="47"/>
      <c r="E239" s="143"/>
      <c r="H239" s="29"/>
      <c r="I239" s="30"/>
      <c r="O239" s="53"/>
    </row>
    <row r="240" spans="4:15">
      <c r="D240" s="47"/>
      <c r="E240" s="143"/>
      <c r="H240" s="29"/>
      <c r="I240" s="30"/>
      <c r="O240" s="53"/>
    </row>
    <row r="241" spans="4:15">
      <c r="D241" s="47"/>
      <c r="E241" s="143"/>
      <c r="H241" s="29"/>
      <c r="I241" s="30"/>
      <c r="O241" s="53"/>
    </row>
    <row r="242" spans="4:15">
      <c r="D242" s="47"/>
      <c r="E242" s="143"/>
      <c r="H242" s="29"/>
      <c r="I242" s="30"/>
      <c r="O242" s="53"/>
    </row>
    <row r="243" spans="4:15">
      <c r="D243" s="47"/>
      <c r="E243" s="143"/>
      <c r="H243" s="29"/>
      <c r="I243" s="30"/>
      <c r="O243" s="53"/>
    </row>
    <row r="244" spans="4:15">
      <c r="D244" s="47"/>
      <c r="E244" s="143"/>
      <c r="H244" s="29"/>
      <c r="I244" s="30"/>
      <c r="O244" s="53"/>
    </row>
    <row r="245" spans="4:15">
      <c r="D245" s="47"/>
      <c r="E245" s="143"/>
      <c r="H245" s="29"/>
      <c r="I245" s="30"/>
      <c r="O245" s="53"/>
    </row>
    <row r="246" spans="4:15">
      <c r="D246" s="47"/>
      <c r="E246" s="143"/>
      <c r="H246" s="29"/>
      <c r="I246" s="30"/>
      <c r="O246" s="53"/>
    </row>
    <row r="247" spans="4:15">
      <c r="D247" s="47"/>
      <c r="E247" s="143"/>
      <c r="H247" s="29"/>
      <c r="I247" s="30"/>
      <c r="O247" s="53"/>
    </row>
    <row r="248" spans="4:15">
      <c r="D248" s="47"/>
      <c r="E248" s="143"/>
      <c r="H248" s="29"/>
      <c r="I248" s="30"/>
      <c r="O248" s="53"/>
    </row>
    <row r="249" spans="4:15">
      <c r="D249" s="47"/>
      <c r="E249" s="143"/>
      <c r="H249" s="29"/>
      <c r="I249" s="30"/>
      <c r="O249" s="53"/>
    </row>
    <row r="250" spans="4:15">
      <c r="D250" s="47"/>
      <c r="E250" s="143"/>
      <c r="H250" s="29"/>
      <c r="I250" s="30"/>
      <c r="O250" s="53"/>
    </row>
    <row r="251" spans="4:15">
      <c r="D251" s="47"/>
      <c r="E251" s="143"/>
      <c r="H251" s="29"/>
      <c r="I251" s="30"/>
      <c r="O251" s="53"/>
    </row>
    <row r="252" spans="4:15">
      <c r="D252" s="47"/>
      <c r="E252" s="143"/>
      <c r="H252" s="29"/>
      <c r="I252" s="30"/>
      <c r="O252" s="53"/>
    </row>
    <row r="253" spans="4:15">
      <c r="D253" s="47"/>
      <c r="E253" s="143"/>
      <c r="H253" s="29"/>
      <c r="I253" s="30"/>
      <c r="O253" s="53"/>
    </row>
    <row r="254" spans="4:15">
      <c r="D254" s="47"/>
      <c r="E254" s="143"/>
      <c r="H254" s="29"/>
      <c r="I254" s="30"/>
      <c r="O254" s="53"/>
    </row>
    <row r="255" spans="4:15">
      <c r="D255" s="47"/>
      <c r="E255" s="143"/>
      <c r="H255" s="29"/>
      <c r="I255" s="30"/>
      <c r="O255" s="53"/>
    </row>
    <row r="256" spans="4:15">
      <c r="D256" s="47"/>
      <c r="E256" s="143"/>
      <c r="H256" s="29"/>
      <c r="I256" s="30"/>
      <c r="O256" s="53"/>
    </row>
    <row r="257" spans="4:15">
      <c r="D257" s="47"/>
      <c r="E257" s="143"/>
      <c r="H257" s="29"/>
      <c r="I257" s="30"/>
      <c r="O257" s="53"/>
    </row>
    <row r="258" spans="4:15">
      <c r="D258" s="47"/>
      <c r="E258" s="143"/>
      <c r="H258" s="29"/>
      <c r="I258" s="30"/>
      <c r="O258" s="53"/>
    </row>
    <row r="259" spans="4:15">
      <c r="D259" s="47"/>
      <c r="E259" s="143"/>
      <c r="H259" s="29"/>
      <c r="I259" s="30"/>
      <c r="O259" s="53"/>
    </row>
    <row r="260" spans="4:15">
      <c r="D260" s="47"/>
      <c r="E260" s="143"/>
      <c r="H260" s="29"/>
      <c r="I260" s="30"/>
      <c r="O260" s="53"/>
    </row>
    <row r="261" spans="4:15">
      <c r="D261" s="47"/>
      <c r="E261" s="143"/>
      <c r="H261" s="29"/>
      <c r="I261" s="30"/>
      <c r="O261" s="53"/>
    </row>
    <row r="262" spans="4:15">
      <c r="D262" s="47"/>
      <c r="E262" s="143"/>
      <c r="H262" s="29"/>
      <c r="I262" s="30"/>
      <c r="O262" s="53"/>
    </row>
    <row r="263" spans="4:15">
      <c r="D263" s="47"/>
      <c r="E263" s="143"/>
      <c r="H263" s="29"/>
      <c r="I263" s="30"/>
      <c r="O263" s="53"/>
    </row>
    <row r="264" spans="4:15">
      <c r="D264" s="47"/>
      <c r="E264" s="143"/>
      <c r="H264" s="29"/>
      <c r="I264" s="30"/>
      <c r="O264" s="53"/>
    </row>
    <row r="265" spans="4:15">
      <c r="D265" s="47"/>
      <c r="E265" s="143"/>
      <c r="H265" s="29"/>
      <c r="I265" s="30"/>
      <c r="O265" s="53"/>
    </row>
    <row r="266" spans="4:15">
      <c r="D266" s="47"/>
      <c r="E266" s="143"/>
      <c r="H266" s="29"/>
      <c r="I266" s="30"/>
      <c r="O266" s="53"/>
    </row>
    <row r="267" spans="4:15">
      <c r="D267" s="47"/>
      <c r="E267" s="143"/>
      <c r="H267" s="29"/>
      <c r="I267" s="30"/>
      <c r="O267" s="53"/>
    </row>
    <row r="268" spans="4:15">
      <c r="D268" s="47"/>
      <c r="E268" s="143"/>
      <c r="H268" s="29"/>
      <c r="I268" s="30"/>
      <c r="O268" s="53"/>
    </row>
    <row r="269" spans="4:15">
      <c r="D269" s="47"/>
      <c r="E269" s="143"/>
      <c r="H269" s="29"/>
      <c r="I269" s="30"/>
      <c r="O269" s="53"/>
    </row>
    <row r="270" spans="4:15">
      <c r="D270" s="47"/>
      <c r="E270" s="143"/>
      <c r="H270" s="29"/>
      <c r="I270" s="30"/>
      <c r="O270" s="53"/>
    </row>
    <row r="271" spans="4:15">
      <c r="D271" s="47"/>
      <c r="E271" s="143"/>
      <c r="H271" s="29"/>
      <c r="I271" s="30"/>
      <c r="O271" s="53"/>
    </row>
    <row r="272" spans="4:15">
      <c r="D272" s="47"/>
      <c r="E272" s="143"/>
      <c r="H272" s="29"/>
      <c r="I272" s="30"/>
      <c r="O272" s="53"/>
    </row>
    <row r="273" spans="4:15">
      <c r="D273" s="47"/>
      <c r="E273" s="143"/>
      <c r="H273" s="29"/>
      <c r="I273" s="30"/>
      <c r="O273" s="53"/>
    </row>
    <row r="274" spans="4:15">
      <c r="D274" s="47"/>
      <c r="E274" s="143"/>
      <c r="H274" s="29"/>
      <c r="I274" s="30"/>
      <c r="O274" s="53"/>
    </row>
    <row r="275" spans="4:15">
      <c r="D275" s="47"/>
      <c r="E275" s="143"/>
      <c r="H275" s="29"/>
      <c r="I275" s="30"/>
      <c r="O275" s="53"/>
    </row>
    <row r="276" spans="4:15">
      <c r="D276" s="47"/>
      <c r="E276" s="143"/>
      <c r="H276" s="29"/>
      <c r="I276" s="30"/>
      <c r="O276" s="53"/>
    </row>
    <row r="277" spans="4:15">
      <c r="D277" s="47"/>
      <c r="E277" s="143"/>
      <c r="H277" s="29"/>
      <c r="I277" s="30"/>
      <c r="O277" s="53"/>
    </row>
    <row r="278" spans="4:15">
      <c r="D278" s="47"/>
      <c r="E278" s="143"/>
      <c r="H278" s="29"/>
      <c r="I278" s="30"/>
      <c r="O278" s="53"/>
    </row>
    <row r="279" spans="4:15">
      <c r="D279" s="47"/>
      <c r="E279" s="143"/>
      <c r="H279" s="29"/>
      <c r="I279" s="30"/>
      <c r="O279" s="53"/>
    </row>
    <row r="280" spans="4:15">
      <c r="D280" s="47"/>
      <c r="E280" s="143"/>
      <c r="H280" s="29"/>
      <c r="I280" s="30"/>
      <c r="O280" s="53"/>
    </row>
    <row r="281" spans="4:15">
      <c r="D281" s="47"/>
      <c r="E281" s="143"/>
      <c r="H281" s="29"/>
      <c r="I281" s="30"/>
      <c r="O281" s="53"/>
    </row>
    <row r="282" spans="4:15">
      <c r="D282" s="47"/>
      <c r="E282" s="143"/>
      <c r="H282" s="29"/>
      <c r="I282" s="30"/>
      <c r="O282" s="53"/>
    </row>
    <row r="283" spans="4:15">
      <c r="D283" s="47"/>
      <c r="E283" s="143"/>
      <c r="H283" s="29"/>
      <c r="I283" s="30"/>
      <c r="O283" s="53"/>
    </row>
    <row r="284" spans="4:15">
      <c r="D284" s="47"/>
      <c r="E284" s="143"/>
      <c r="H284" s="29"/>
      <c r="I284" s="30"/>
      <c r="O284" s="53"/>
    </row>
    <row r="285" spans="4:15">
      <c r="D285" s="47"/>
      <c r="E285" s="143"/>
      <c r="H285" s="29"/>
      <c r="I285" s="30"/>
      <c r="O285" s="53"/>
    </row>
    <row r="286" spans="4:15">
      <c r="D286" s="47"/>
      <c r="E286" s="143"/>
      <c r="H286" s="29"/>
      <c r="I286" s="30"/>
      <c r="O286" s="53"/>
    </row>
    <row r="287" spans="4:15">
      <c r="D287" s="47"/>
      <c r="E287" s="143"/>
      <c r="H287" s="29"/>
      <c r="I287" s="30"/>
      <c r="O287" s="53"/>
    </row>
    <row r="288" spans="4:15">
      <c r="D288" s="47"/>
      <c r="E288" s="143"/>
      <c r="H288" s="29"/>
      <c r="I288" s="30"/>
      <c r="O288" s="53"/>
    </row>
    <row r="289" spans="4:15">
      <c r="D289" s="47"/>
      <c r="E289" s="143"/>
      <c r="H289" s="29"/>
      <c r="I289" s="30"/>
      <c r="O289" s="53"/>
    </row>
    <row r="290" spans="4:15">
      <c r="D290" s="47"/>
      <c r="E290" s="143"/>
      <c r="H290" s="29"/>
      <c r="I290" s="30"/>
      <c r="O290" s="53"/>
    </row>
    <row r="291" spans="4:15">
      <c r="D291" s="47"/>
      <c r="E291" s="143"/>
      <c r="H291" s="29"/>
      <c r="I291" s="30"/>
      <c r="O291" s="53"/>
    </row>
    <row r="292" spans="4:15">
      <c r="D292" s="47"/>
      <c r="E292" s="143"/>
      <c r="H292" s="29"/>
      <c r="I292" s="30"/>
      <c r="O292" s="53"/>
    </row>
    <row r="293" spans="4:15">
      <c r="D293" s="47"/>
      <c r="E293" s="143"/>
      <c r="H293" s="29"/>
      <c r="I293" s="30"/>
      <c r="O293" s="53"/>
    </row>
    <row r="294" spans="4:15">
      <c r="D294" s="47"/>
      <c r="E294" s="143"/>
      <c r="H294" s="29"/>
      <c r="I294" s="30"/>
      <c r="O294" s="53"/>
    </row>
    <row r="295" spans="4:15">
      <c r="D295" s="47"/>
      <c r="E295" s="143"/>
      <c r="H295" s="29"/>
      <c r="I295" s="30"/>
      <c r="O295" s="53"/>
    </row>
    <row r="296" spans="4:15">
      <c r="D296" s="47"/>
      <c r="E296" s="143"/>
      <c r="H296" s="29"/>
      <c r="I296" s="30"/>
      <c r="O296" s="53"/>
    </row>
    <row r="297" spans="4:15">
      <c r="D297" s="47"/>
      <c r="E297" s="143"/>
      <c r="H297" s="29"/>
      <c r="I297" s="30"/>
      <c r="O297" s="53"/>
    </row>
    <row r="298" spans="4:15">
      <c r="D298" s="47"/>
      <c r="E298" s="143"/>
      <c r="H298" s="29"/>
      <c r="I298" s="30"/>
      <c r="O298" s="53"/>
    </row>
    <row r="299" spans="4:15">
      <c r="D299" s="47"/>
      <c r="E299" s="143"/>
      <c r="H299" s="29"/>
      <c r="I299" s="30"/>
      <c r="O299" s="53"/>
    </row>
    <row r="300" spans="4:15">
      <c r="D300" s="47"/>
      <c r="E300" s="143"/>
      <c r="H300" s="29"/>
      <c r="I300" s="30"/>
      <c r="O300" s="53"/>
    </row>
    <row r="301" spans="4:15">
      <c r="D301" s="47"/>
      <c r="E301" s="143"/>
      <c r="H301" s="29"/>
      <c r="I301" s="30"/>
      <c r="O301" s="53"/>
    </row>
    <row r="302" spans="4:15">
      <c r="D302" s="47"/>
      <c r="E302" s="143"/>
      <c r="H302" s="29"/>
      <c r="I302" s="30"/>
      <c r="O302" s="53"/>
    </row>
    <row r="303" spans="4:15">
      <c r="D303" s="47"/>
      <c r="E303" s="143"/>
      <c r="H303" s="29"/>
      <c r="I303" s="30"/>
      <c r="O303" s="53"/>
    </row>
    <row r="304" spans="4:15">
      <c r="D304" s="47"/>
      <c r="E304" s="143"/>
      <c r="H304" s="29"/>
      <c r="I304" s="30"/>
      <c r="O304" s="53"/>
    </row>
    <row r="305" spans="4:15">
      <c r="D305" s="47"/>
      <c r="E305" s="143"/>
      <c r="H305" s="29"/>
      <c r="I305" s="30"/>
      <c r="O305" s="53"/>
    </row>
    <row r="306" spans="4:15">
      <c r="D306" s="47"/>
      <c r="E306" s="143"/>
      <c r="H306" s="29"/>
      <c r="I306" s="30"/>
      <c r="O306" s="53"/>
    </row>
    <row r="307" spans="4:15">
      <c r="D307" s="47"/>
      <c r="E307" s="143"/>
      <c r="H307" s="29"/>
      <c r="I307" s="30"/>
      <c r="O307" s="53"/>
    </row>
    <row r="308" spans="4:15">
      <c r="D308" s="47"/>
      <c r="E308" s="143"/>
      <c r="H308" s="29"/>
      <c r="I308" s="30"/>
      <c r="O308" s="53"/>
    </row>
    <row r="309" spans="4:15">
      <c r="D309" s="47"/>
      <c r="E309" s="143"/>
      <c r="H309" s="29"/>
      <c r="I309" s="30"/>
      <c r="O309" s="53"/>
    </row>
    <row r="310" spans="4:15">
      <c r="D310" s="47"/>
      <c r="E310" s="143"/>
      <c r="H310" s="29"/>
      <c r="I310" s="30"/>
      <c r="O310" s="53"/>
    </row>
    <row r="311" spans="4:15">
      <c r="D311" s="47"/>
      <c r="E311" s="143"/>
      <c r="H311" s="29"/>
      <c r="I311" s="30"/>
      <c r="O311" s="53"/>
    </row>
    <row r="312" spans="4:15">
      <c r="D312" s="47"/>
      <c r="E312" s="143"/>
      <c r="H312" s="29"/>
      <c r="I312" s="30"/>
      <c r="O312" s="53"/>
    </row>
    <row r="313" spans="4:15">
      <c r="D313" s="47"/>
      <c r="E313" s="143"/>
      <c r="H313" s="29"/>
      <c r="I313" s="30"/>
      <c r="O313" s="53"/>
    </row>
    <row r="314" spans="4:15">
      <c r="D314" s="47"/>
      <c r="E314" s="143"/>
      <c r="H314" s="29"/>
      <c r="I314" s="30"/>
      <c r="O314" s="53"/>
    </row>
    <row r="315" spans="4:15">
      <c r="D315" s="47"/>
      <c r="E315" s="143"/>
      <c r="H315" s="29"/>
      <c r="I315" s="30"/>
      <c r="O315" s="53"/>
    </row>
    <row r="316" spans="4:15">
      <c r="D316" s="47"/>
      <c r="E316" s="143"/>
      <c r="H316" s="29"/>
      <c r="I316" s="30"/>
      <c r="O316" s="53"/>
    </row>
    <row r="317" spans="4:15">
      <c r="D317" s="47"/>
      <c r="E317" s="143"/>
      <c r="H317" s="29"/>
      <c r="I317" s="30"/>
      <c r="O317" s="53"/>
    </row>
    <row r="318" spans="4:15">
      <c r="D318" s="47"/>
      <c r="E318" s="143"/>
      <c r="H318" s="29"/>
      <c r="I318" s="30"/>
      <c r="O318" s="53"/>
    </row>
    <row r="319" spans="4:15">
      <c r="D319" s="47"/>
      <c r="E319" s="143"/>
      <c r="H319" s="29"/>
      <c r="I319" s="30"/>
      <c r="O319" s="53"/>
    </row>
    <row r="320" spans="4:15">
      <c r="D320" s="47"/>
      <c r="E320" s="143"/>
      <c r="H320" s="29"/>
      <c r="I320" s="30"/>
      <c r="O320" s="53"/>
    </row>
    <row r="321" spans="4:15">
      <c r="D321" s="47"/>
      <c r="E321" s="143"/>
      <c r="H321" s="29"/>
      <c r="I321" s="30"/>
      <c r="O321" s="53"/>
    </row>
    <row r="322" spans="4:15">
      <c r="D322" s="47"/>
      <c r="E322" s="143"/>
      <c r="H322" s="29"/>
      <c r="I322" s="30"/>
      <c r="O322" s="53"/>
    </row>
    <row r="323" spans="4:15">
      <c r="D323" s="47"/>
      <c r="E323" s="143"/>
      <c r="H323" s="29"/>
      <c r="I323" s="30"/>
      <c r="O323" s="53"/>
    </row>
    <row r="324" spans="4:15">
      <c r="D324" s="47"/>
      <c r="E324" s="143"/>
      <c r="H324" s="29"/>
      <c r="I324" s="30"/>
      <c r="O324" s="53"/>
    </row>
    <row r="325" spans="4:15">
      <c r="D325" s="47"/>
      <c r="E325" s="143"/>
      <c r="H325" s="29"/>
      <c r="I325" s="30"/>
      <c r="O325" s="53"/>
    </row>
    <row r="326" spans="4:15">
      <c r="D326" s="47"/>
      <c r="E326" s="143"/>
      <c r="H326" s="29"/>
      <c r="I326" s="30"/>
      <c r="O326" s="53"/>
    </row>
    <row r="327" spans="4:15">
      <c r="D327" s="47"/>
      <c r="E327" s="143"/>
      <c r="H327" s="29"/>
      <c r="I327" s="30"/>
      <c r="O327" s="53"/>
    </row>
    <row r="328" spans="4:15">
      <c r="D328" s="47"/>
      <c r="E328" s="143"/>
      <c r="H328" s="29"/>
      <c r="I328" s="30"/>
      <c r="O328" s="53"/>
    </row>
    <row r="329" spans="4:15">
      <c r="D329" s="47"/>
      <c r="E329" s="143"/>
      <c r="H329" s="29"/>
      <c r="I329" s="30"/>
      <c r="O329" s="53"/>
    </row>
    <row r="330" spans="4:15">
      <c r="D330" s="47"/>
      <c r="E330" s="143"/>
      <c r="H330" s="29"/>
      <c r="I330" s="30"/>
      <c r="O330" s="53"/>
    </row>
    <row r="331" spans="4:15">
      <c r="D331" s="47"/>
      <c r="E331" s="143"/>
      <c r="H331" s="29"/>
      <c r="I331" s="30"/>
      <c r="O331" s="53"/>
    </row>
    <row r="332" spans="4:15">
      <c r="D332" s="47"/>
      <c r="E332" s="143"/>
      <c r="H332" s="29"/>
      <c r="I332" s="30"/>
      <c r="O332" s="53"/>
    </row>
    <row r="333" spans="4:15">
      <c r="D333" s="47"/>
      <c r="E333" s="143"/>
      <c r="H333" s="29"/>
      <c r="I333" s="30"/>
      <c r="O333" s="53"/>
    </row>
    <row r="334" spans="4:15">
      <c r="D334" s="47"/>
      <c r="E334" s="143"/>
      <c r="H334" s="29"/>
      <c r="I334" s="30"/>
      <c r="O334" s="53"/>
    </row>
    <row r="335" spans="4:15">
      <c r="D335" s="47"/>
      <c r="E335" s="143"/>
      <c r="H335" s="29"/>
      <c r="I335" s="30"/>
      <c r="O335" s="53"/>
    </row>
    <row r="336" spans="4:15">
      <c r="D336" s="47"/>
      <c r="E336" s="143"/>
      <c r="H336" s="29"/>
      <c r="I336" s="30"/>
      <c r="O336" s="53"/>
    </row>
    <row r="337" spans="4:15">
      <c r="D337" s="47"/>
      <c r="E337" s="143"/>
      <c r="H337" s="29"/>
      <c r="I337" s="30"/>
      <c r="O337" s="53"/>
    </row>
    <row r="338" spans="4:15">
      <c r="D338" s="47"/>
      <c r="E338" s="143"/>
      <c r="H338" s="29"/>
      <c r="I338" s="30"/>
      <c r="O338" s="53"/>
    </row>
    <row r="339" spans="4:15">
      <c r="D339" s="47"/>
      <c r="E339" s="143"/>
      <c r="H339" s="29"/>
      <c r="I339" s="30"/>
      <c r="O339" s="53"/>
    </row>
    <row r="340" spans="4:15">
      <c r="D340" s="47"/>
      <c r="E340" s="143"/>
      <c r="H340" s="29"/>
      <c r="I340" s="30"/>
      <c r="O340" s="53"/>
    </row>
    <row r="341" spans="4:15">
      <c r="D341" s="47"/>
      <c r="E341" s="143"/>
      <c r="H341" s="29"/>
      <c r="I341" s="30"/>
      <c r="O341" s="53"/>
    </row>
    <row r="342" spans="4:15">
      <c r="D342" s="47"/>
      <c r="E342" s="143"/>
      <c r="H342" s="29"/>
      <c r="I342" s="30"/>
      <c r="O342" s="53"/>
    </row>
    <row r="343" spans="4:15">
      <c r="D343" s="47"/>
      <c r="E343" s="143"/>
      <c r="H343" s="29"/>
      <c r="I343" s="30"/>
      <c r="O343" s="53"/>
    </row>
    <row r="344" spans="4:15">
      <c r="D344" s="47"/>
      <c r="E344" s="143"/>
      <c r="H344" s="29"/>
      <c r="I344" s="30"/>
      <c r="O344" s="53"/>
    </row>
    <row r="345" spans="4:15">
      <c r="D345" s="47"/>
      <c r="E345" s="143"/>
      <c r="H345" s="29"/>
      <c r="I345" s="30"/>
      <c r="O345" s="53"/>
    </row>
    <row r="346" spans="4:15">
      <c r="D346" s="47"/>
      <c r="E346" s="143"/>
      <c r="H346" s="29"/>
      <c r="I346" s="30"/>
      <c r="O346" s="53"/>
    </row>
    <row r="347" spans="4:15">
      <c r="D347" s="47"/>
      <c r="E347" s="143"/>
      <c r="H347" s="29"/>
      <c r="I347" s="30"/>
      <c r="O347" s="53"/>
    </row>
    <row r="348" spans="4:15">
      <c r="D348" s="47"/>
      <c r="E348" s="143"/>
      <c r="H348" s="29"/>
      <c r="I348" s="30"/>
      <c r="O348" s="53"/>
    </row>
    <row r="349" spans="4:15">
      <c r="D349" s="47"/>
      <c r="E349" s="143"/>
      <c r="H349" s="29"/>
      <c r="I349" s="30"/>
      <c r="O349" s="53"/>
    </row>
    <row r="350" spans="4:15">
      <c r="D350" s="47"/>
      <c r="E350" s="143"/>
      <c r="H350" s="29"/>
      <c r="I350" s="30"/>
      <c r="O350" s="53"/>
    </row>
    <row r="351" spans="4:15">
      <c r="D351" s="47"/>
      <c r="E351" s="143"/>
      <c r="H351" s="29"/>
      <c r="I351" s="30"/>
      <c r="O351" s="53"/>
    </row>
    <row r="352" spans="4:15">
      <c r="D352" s="47"/>
      <c r="E352" s="143"/>
      <c r="H352" s="29"/>
      <c r="I352" s="30"/>
      <c r="O352" s="53"/>
    </row>
    <row r="353" spans="4:15">
      <c r="D353" s="47"/>
      <c r="E353" s="143"/>
      <c r="H353" s="29"/>
      <c r="I353" s="30"/>
      <c r="O353" s="53"/>
    </row>
    <row r="354" spans="4:15">
      <c r="D354" s="47"/>
      <c r="E354" s="143"/>
      <c r="H354" s="29"/>
      <c r="I354" s="30"/>
      <c r="O354" s="53"/>
    </row>
    <row r="355" spans="4:15">
      <c r="D355" s="47"/>
      <c r="E355" s="143"/>
      <c r="H355" s="29"/>
      <c r="I355" s="30"/>
      <c r="O355" s="53"/>
    </row>
    <row r="356" spans="4:15">
      <c r="D356" s="47"/>
      <c r="E356" s="143"/>
      <c r="H356" s="29"/>
      <c r="I356" s="30"/>
      <c r="O356" s="53"/>
    </row>
    <row r="357" spans="4:15">
      <c r="D357" s="47"/>
      <c r="E357" s="143"/>
      <c r="H357" s="29"/>
      <c r="I357" s="30"/>
      <c r="O357" s="53"/>
    </row>
    <row r="358" spans="4:15">
      <c r="D358" s="47"/>
      <c r="E358" s="143"/>
      <c r="H358" s="29"/>
      <c r="I358" s="30"/>
      <c r="O358" s="53"/>
    </row>
    <row r="359" spans="4:15">
      <c r="D359" s="47"/>
      <c r="E359" s="143"/>
      <c r="H359" s="29"/>
      <c r="I359" s="30"/>
      <c r="O359" s="53"/>
    </row>
    <row r="360" spans="4:15">
      <c r="D360" s="47"/>
      <c r="E360" s="143"/>
      <c r="H360" s="29"/>
      <c r="I360" s="30"/>
      <c r="O360" s="53"/>
    </row>
    <row r="361" spans="4:15">
      <c r="D361" s="47"/>
      <c r="E361" s="143"/>
      <c r="H361" s="29"/>
      <c r="I361" s="30"/>
      <c r="O361" s="53"/>
    </row>
    <row r="362" spans="4:15">
      <c r="D362" s="47"/>
      <c r="E362" s="143"/>
      <c r="H362" s="29"/>
      <c r="I362" s="30"/>
      <c r="O362" s="53"/>
    </row>
    <row r="363" spans="4:15">
      <c r="D363" s="47"/>
      <c r="E363" s="143"/>
      <c r="H363" s="29"/>
      <c r="I363" s="30"/>
      <c r="O363" s="53"/>
    </row>
    <row r="364" spans="4:15">
      <c r="D364" s="47"/>
      <c r="E364" s="143"/>
      <c r="H364" s="29"/>
      <c r="I364" s="30"/>
      <c r="O364" s="53"/>
    </row>
    <row r="365" spans="4:15">
      <c r="D365" s="47"/>
      <c r="E365" s="143"/>
      <c r="H365" s="29"/>
      <c r="I365" s="30"/>
      <c r="O365" s="53"/>
    </row>
    <row r="366" spans="4:15">
      <c r="D366" s="47"/>
      <c r="E366" s="143"/>
      <c r="H366" s="29"/>
      <c r="I366" s="30"/>
      <c r="O366" s="53"/>
    </row>
    <row r="367" spans="4:15">
      <c r="D367" s="47"/>
      <c r="E367" s="143"/>
      <c r="H367" s="29"/>
      <c r="I367" s="30"/>
      <c r="O367" s="53"/>
    </row>
    <row r="368" spans="4:15">
      <c r="D368" s="47"/>
      <c r="E368" s="143"/>
      <c r="H368" s="29"/>
      <c r="I368" s="30"/>
      <c r="O368" s="53"/>
    </row>
    <row r="369" spans="4:15">
      <c r="D369" s="47"/>
      <c r="E369" s="143"/>
      <c r="H369" s="29"/>
      <c r="I369" s="30"/>
      <c r="O369" s="53"/>
    </row>
    <row r="370" spans="4:15">
      <c r="D370" s="47"/>
      <c r="E370" s="143"/>
      <c r="H370" s="29"/>
      <c r="I370" s="30"/>
      <c r="O370" s="53"/>
    </row>
    <row r="371" spans="4:15">
      <c r="D371" s="47"/>
      <c r="E371" s="143"/>
      <c r="H371" s="29"/>
      <c r="I371" s="30"/>
      <c r="O371" s="53"/>
    </row>
    <row r="372" spans="4:15">
      <c r="D372" s="47"/>
      <c r="E372" s="143"/>
      <c r="H372" s="29"/>
      <c r="I372" s="30"/>
      <c r="O372" s="53"/>
    </row>
    <row r="373" spans="4:15">
      <c r="D373" s="47"/>
      <c r="E373" s="143"/>
      <c r="H373" s="29"/>
      <c r="I373" s="30"/>
      <c r="O373" s="53"/>
    </row>
    <row r="374" spans="4:15">
      <c r="D374" s="47"/>
      <c r="E374" s="143"/>
      <c r="H374" s="29"/>
      <c r="I374" s="30"/>
      <c r="O374" s="53"/>
    </row>
    <row r="375" spans="4:15">
      <c r="D375" s="47"/>
      <c r="E375" s="143"/>
      <c r="H375" s="29"/>
      <c r="I375" s="30"/>
      <c r="O375" s="53"/>
    </row>
    <row r="376" spans="4:15">
      <c r="D376" s="47"/>
      <c r="E376" s="143"/>
      <c r="H376" s="29"/>
      <c r="I376" s="30"/>
      <c r="O376" s="53"/>
    </row>
    <row r="377" spans="4:15">
      <c r="D377" s="47"/>
      <c r="E377" s="143"/>
      <c r="H377" s="29"/>
      <c r="I377" s="30"/>
      <c r="O377" s="53"/>
    </row>
    <row r="378" spans="4:15">
      <c r="D378" s="47"/>
      <c r="E378" s="143"/>
      <c r="H378" s="29"/>
      <c r="I378" s="30"/>
      <c r="O378" s="53"/>
    </row>
    <row r="379" spans="4:15">
      <c r="D379" s="47"/>
      <c r="E379" s="143"/>
      <c r="H379" s="29"/>
      <c r="I379" s="30"/>
      <c r="O379" s="53"/>
    </row>
    <row r="380" spans="4:15">
      <c r="D380" s="47"/>
      <c r="E380" s="143"/>
      <c r="H380" s="29"/>
      <c r="I380" s="30"/>
      <c r="O380" s="53"/>
    </row>
    <row r="381" spans="4:15">
      <c r="D381" s="47"/>
      <c r="E381" s="143"/>
      <c r="H381" s="29"/>
      <c r="I381" s="30"/>
      <c r="O381" s="53"/>
    </row>
    <row r="382" spans="4:15">
      <c r="D382" s="47"/>
      <c r="E382" s="143"/>
      <c r="H382" s="29"/>
      <c r="I382" s="30"/>
      <c r="O382" s="53"/>
    </row>
    <row r="383" spans="4:15">
      <c r="D383" s="47"/>
      <c r="E383" s="143"/>
      <c r="H383" s="29"/>
      <c r="I383" s="30"/>
      <c r="O383" s="53"/>
    </row>
    <row r="384" spans="4:15">
      <c r="D384" s="47"/>
      <c r="E384" s="143"/>
      <c r="H384" s="29"/>
      <c r="I384" s="30"/>
      <c r="O384" s="53"/>
    </row>
    <row r="385" spans="4:15">
      <c r="D385" s="47"/>
      <c r="E385" s="143"/>
      <c r="H385" s="29"/>
      <c r="I385" s="30"/>
      <c r="O385" s="53"/>
    </row>
    <row r="386" spans="4:15">
      <c r="D386" s="47"/>
      <c r="E386" s="143"/>
      <c r="H386" s="29"/>
      <c r="I386" s="30"/>
      <c r="O386" s="53"/>
    </row>
    <row r="387" spans="4:15">
      <c r="D387" s="47"/>
      <c r="E387" s="143"/>
      <c r="H387" s="29"/>
      <c r="I387" s="30"/>
      <c r="O387" s="53"/>
    </row>
    <row r="388" spans="4:15">
      <c r="D388" s="47"/>
      <c r="E388" s="143"/>
      <c r="H388" s="29"/>
      <c r="I388" s="30"/>
      <c r="O388" s="53"/>
    </row>
    <row r="389" spans="4:15">
      <c r="D389" s="47"/>
      <c r="E389" s="143"/>
      <c r="H389" s="29"/>
      <c r="I389" s="30"/>
      <c r="O389" s="53"/>
    </row>
    <row r="390" spans="4:15">
      <c r="D390" s="47"/>
      <c r="E390" s="143"/>
      <c r="H390" s="29"/>
      <c r="I390" s="30"/>
      <c r="O390" s="53"/>
    </row>
    <row r="391" spans="4:15">
      <c r="D391" s="47"/>
      <c r="E391" s="143"/>
      <c r="H391" s="29"/>
      <c r="I391" s="30"/>
      <c r="O391" s="53"/>
    </row>
    <row r="392" spans="4:15">
      <c r="D392" s="47"/>
      <c r="E392" s="143"/>
      <c r="H392" s="29"/>
      <c r="I392" s="30"/>
      <c r="O392" s="53"/>
    </row>
    <row r="393" spans="4:15">
      <c r="D393" s="47"/>
      <c r="E393" s="143"/>
      <c r="H393" s="29"/>
      <c r="I393" s="30"/>
      <c r="O393" s="53"/>
    </row>
    <row r="394" spans="4:15">
      <c r="D394" s="47"/>
      <c r="E394" s="143"/>
      <c r="H394" s="29"/>
      <c r="I394" s="30"/>
      <c r="O394" s="53"/>
    </row>
    <row r="395" spans="4:15">
      <c r="D395" s="47"/>
      <c r="E395" s="143"/>
      <c r="H395" s="29"/>
      <c r="I395" s="30"/>
      <c r="O395" s="53"/>
    </row>
    <row r="396" spans="4:15">
      <c r="D396" s="47"/>
      <c r="E396" s="143"/>
      <c r="H396" s="29"/>
      <c r="I396" s="30"/>
      <c r="O396" s="53"/>
    </row>
    <row r="397" spans="4:15">
      <c r="D397" s="47"/>
      <c r="E397" s="143"/>
      <c r="H397" s="29"/>
      <c r="I397" s="30"/>
      <c r="O397" s="53"/>
    </row>
    <row r="398" spans="4:15">
      <c r="D398" s="47"/>
      <c r="E398" s="143"/>
      <c r="H398" s="29"/>
      <c r="I398" s="30"/>
      <c r="O398" s="53"/>
    </row>
    <row r="399" spans="4:15">
      <c r="D399" s="47"/>
      <c r="E399" s="143"/>
      <c r="H399" s="29"/>
      <c r="I399" s="30"/>
      <c r="O399" s="53"/>
    </row>
    <row r="400" spans="4:15">
      <c r="D400" s="47"/>
      <c r="E400" s="143"/>
      <c r="H400" s="29"/>
      <c r="I400" s="30"/>
      <c r="O400" s="53"/>
    </row>
    <row r="401" spans="4:15">
      <c r="D401" s="47"/>
      <c r="E401" s="143"/>
      <c r="H401" s="29"/>
      <c r="I401" s="30"/>
      <c r="O401" s="53"/>
    </row>
    <row r="402" spans="4:15">
      <c r="D402" s="47"/>
      <c r="E402" s="143"/>
      <c r="H402" s="29"/>
      <c r="I402" s="30"/>
      <c r="O402" s="53"/>
    </row>
    <row r="403" spans="4:15">
      <c r="D403" s="47"/>
      <c r="E403" s="143"/>
      <c r="H403" s="29"/>
      <c r="I403" s="30"/>
      <c r="O403" s="53"/>
    </row>
    <row r="404" spans="4:15">
      <c r="D404" s="47"/>
      <c r="E404" s="143"/>
      <c r="H404" s="29"/>
      <c r="I404" s="30"/>
      <c r="O404" s="53"/>
    </row>
    <row r="405" spans="4:15">
      <c r="D405" s="47"/>
      <c r="E405" s="143"/>
      <c r="H405" s="29"/>
      <c r="I405" s="30"/>
      <c r="O405" s="53"/>
    </row>
    <row r="406" spans="4:15">
      <c r="D406" s="47"/>
      <c r="E406" s="143"/>
      <c r="H406" s="29"/>
      <c r="I406" s="30"/>
      <c r="O406" s="53"/>
    </row>
    <row r="407" spans="4:15">
      <c r="D407" s="47"/>
      <c r="E407" s="143"/>
      <c r="H407" s="29"/>
      <c r="I407" s="30"/>
      <c r="O407" s="53"/>
    </row>
    <row r="408" spans="4:15">
      <c r="D408" s="47"/>
      <c r="E408" s="143"/>
      <c r="H408" s="29"/>
      <c r="I408" s="30"/>
      <c r="O408" s="53"/>
    </row>
    <row r="409" spans="4:15">
      <c r="D409" s="47"/>
      <c r="E409" s="143"/>
      <c r="H409" s="29"/>
      <c r="I409" s="30"/>
      <c r="O409" s="53"/>
    </row>
    <row r="410" spans="4:15">
      <c r="D410" s="47"/>
      <c r="E410" s="143"/>
      <c r="H410" s="29"/>
      <c r="I410" s="30"/>
      <c r="O410" s="53"/>
    </row>
    <row r="411" spans="4:15">
      <c r="D411" s="47"/>
      <c r="E411" s="143"/>
      <c r="H411" s="29"/>
      <c r="I411" s="30"/>
      <c r="O411" s="53"/>
    </row>
    <row r="412" spans="4:15">
      <c r="D412" s="47"/>
      <c r="E412" s="143"/>
      <c r="H412" s="29"/>
      <c r="I412" s="30"/>
      <c r="O412" s="53"/>
    </row>
    <row r="413" spans="4:15">
      <c r="D413" s="47"/>
      <c r="E413" s="143"/>
      <c r="H413" s="29"/>
      <c r="I413" s="30"/>
      <c r="O413" s="53"/>
    </row>
    <row r="414" spans="4:15">
      <c r="D414" s="47"/>
      <c r="E414" s="143"/>
      <c r="H414" s="29"/>
      <c r="I414" s="30"/>
      <c r="O414" s="53"/>
    </row>
    <row r="415" spans="4:15">
      <c r="D415" s="47"/>
      <c r="E415" s="143"/>
      <c r="H415" s="29"/>
      <c r="I415" s="30"/>
      <c r="O415" s="53"/>
    </row>
    <row r="416" spans="4:15">
      <c r="D416" s="47"/>
      <c r="E416" s="143"/>
      <c r="H416" s="29"/>
      <c r="I416" s="30"/>
      <c r="O416" s="53"/>
    </row>
    <row r="417" spans="4:15">
      <c r="D417" s="47"/>
      <c r="E417" s="143"/>
      <c r="H417" s="29"/>
      <c r="I417" s="30"/>
      <c r="O417" s="53"/>
    </row>
    <row r="418" spans="4:15">
      <c r="D418" s="47"/>
      <c r="E418" s="143"/>
      <c r="H418" s="29"/>
      <c r="I418" s="30"/>
      <c r="O418" s="53"/>
    </row>
    <row r="419" spans="4:15">
      <c r="D419" s="47"/>
      <c r="E419" s="143"/>
      <c r="H419" s="29"/>
      <c r="I419" s="30"/>
      <c r="O419" s="53"/>
    </row>
    <row r="420" spans="4:15">
      <c r="D420" s="47"/>
      <c r="E420" s="143"/>
      <c r="H420" s="29"/>
      <c r="I420" s="30"/>
      <c r="O420" s="53"/>
    </row>
    <row r="421" spans="4:15">
      <c r="D421" s="47"/>
      <c r="E421" s="143"/>
      <c r="H421" s="29"/>
      <c r="I421" s="30"/>
      <c r="O421" s="53"/>
    </row>
    <row r="422" spans="4:15">
      <c r="D422" s="47"/>
      <c r="E422" s="143"/>
      <c r="H422" s="29"/>
      <c r="I422" s="30"/>
      <c r="O422" s="53"/>
    </row>
    <row r="423" spans="4:15">
      <c r="D423" s="47"/>
      <c r="E423" s="143"/>
      <c r="H423" s="29"/>
      <c r="I423" s="30"/>
      <c r="O423" s="53"/>
    </row>
    <row r="424" spans="4:15">
      <c r="D424" s="47"/>
      <c r="E424" s="143"/>
      <c r="H424" s="29"/>
      <c r="I424" s="30"/>
      <c r="O424" s="53"/>
    </row>
    <row r="425" spans="4:15">
      <c r="D425" s="47"/>
      <c r="E425" s="143"/>
      <c r="H425" s="29"/>
      <c r="I425" s="30"/>
      <c r="O425" s="53"/>
    </row>
    <row r="426" spans="4:15">
      <c r="D426" s="47"/>
      <c r="E426" s="143"/>
      <c r="H426" s="29"/>
      <c r="I426" s="30"/>
      <c r="O426" s="53"/>
    </row>
    <row r="427" spans="4:15">
      <c r="D427" s="47"/>
      <c r="E427" s="143"/>
      <c r="H427" s="29"/>
      <c r="I427" s="30"/>
      <c r="O427" s="53"/>
    </row>
    <row r="428" spans="4:15">
      <c r="D428" s="47"/>
      <c r="E428" s="143"/>
      <c r="H428" s="29"/>
      <c r="I428" s="30"/>
      <c r="O428" s="53"/>
    </row>
    <row r="429" spans="4:15">
      <c r="D429" s="47"/>
      <c r="E429" s="143"/>
      <c r="H429" s="29"/>
      <c r="I429" s="30"/>
      <c r="O429" s="53"/>
    </row>
    <row r="430" spans="4:15">
      <c r="D430" s="47"/>
      <c r="E430" s="143"/>
      <c r="H430" s="29"/>
      <c r="I430" s="30"/>
      <c r="O430" s="53"/>
    </row>
    <row r="431" spans="4:15">
      <c r="D431" s="47"/>
      <c r="E431" s="143"/>
      <c r="H431" s="29"/>
      <c r="I431" s="30"/>
      <c r="O431" s="53"/>
    </row>
    <row r="432" spans="4:15">
      <c r="D432" s="47"/>
      <c r="E432" s="143"/>
      <c r="H432" s="29"/>
      <c r="I432" s="30"/>
      <c r="O432" s="53"/>
    </row>
    <row r="433" spans="4:15">
      <c r="D433" s="47"/>
      <c r="E433" s="143"/>
      <c r="H433" s="29"/>
      <c r="I433" s="30"/>
      <c r="O433" s="53"/>
    </row>
    <row r="434" spans="4:15">
      <c r="D434" s="47"/>
      <c r="E434" s="143"/>
      <c r="H434" s="29"/>
      <c r="I434" s="30"/>
      <c r="O434" s="53"/>
    </row>
    <row r="435" spans="4:15">
      <c r="D435" s="47"/>
      <c r="E435" s="143"/>
      <c r="H435" s="29"/>
      <c r="I435" s="30"/>
      <c r="O435" s="53"/>
    </row>
    <row r="436" spans="4:15">
      <c r="D436" s="47"/>
      <c r="E436" s="143"/>
      <c r="H436" s="29"/>
      <c r="I436" s="30"/>
      <c r="O436" s="53"/>
    </row>
    <row r="437" spans="4:15">
      <c r="D437" s="47"/>
      <c r="E437" s="143"/>
      <c r="H437" s="29"/>
      <c r="I437" s="30"/>
      <c r="O437" s="53"/>
    </row>
    <row r="438" spans="4:15">
      <c r="D438" s="47"/>
      <c r="E438" s="143"/>
      <c r="H438" s="29"/>
      <c r="I438" s="30"/>
      <c r="O438" s="53"/>
    </row>
    <row r="439" spans="4:15">
      <c r="D439" s="47"/>
      <c r="E439" s="143"/>
      <c r="H439" s="29"/>
      <c r="I439" s="30"/>
      <c r="O439" s="53"/>
    </row>
    <row r="440" spans="4:15">
      <c r="D440" s="47"/>
      <c r="E440" s="143"/>
      <c r="H440" s="29"/>
      <c r="I440" s="30"/>
      <c r="O440" s="53"/>
    </row>
    <row r="441" spans="4:15">
      <c r="D441" s="47"/>
      <c r="E441" s="143"/>
      <c r="H441" s="29"/>
      <c r="I441" s="30"/>
      <c r="O441" s="53"/>
    </row>
    <row r="442" spans="4:15">
      <c r="D442" s="47"/>
      <c r="E442" s="143"/>
      <c r="H442" s="29"/>
      <c r="I442" s="30"/>
      <c r="O442" s="53"/>
    </row>
    <row r="443" spans="4:15">
      <c r="D443" s="47"/>
      <c r="E443" s="143"/>
      <c r="H443" s="29"/>
      <c r="I443" s="30"/>
      <c r="O443" s="53"/>
    </row>
    <row r="444" spans="4:15">
      <c r="D444" s="47"/>
      <c r="E444" s="143"/>
      <c r="H444" s="29"/>
      <c r="I444" s="30"/>
      <c r="O444" s="53"/>
    </row>
    <row r="445" spans="4:15">
      <c r="D445" s="47"/>
      <c r="E445" s="143"/>
      <c r="H445" s="29"/>
      <c r="I445" s="30"/>
      <c r="O445" s="53"/>
    </row>
    <row r="446" spans="4:15">
      <c r="D446" s="47"/>
      <c r="E446" s="143"/>
      <c r="H446" s="29"/>
      <c r="I446" s="30"/>
      <c r="O446" s="53"/>
    </row>
    <row r="447" spans="4:15">
      <c r="D447" s="47"/>
      <c r="E447" s="143"/>
      <c r="H447" s="29"/>
      <c r="I447" s="30"/>
      <c r="O447" s="53"/>
    </row>
    <row r="448" spans="4:15">
      <c r="D448" s="47"/>
      <c r="E448" s="143"/>
      <c r="H448" s="29"/>
      <c r="I448" s="30"/>
      <c r="O448" s="53"/>
    </row>
    <row r="449" spans="4:15">
      <c r="D449" s="47"/>
      <c r="E449" s="143"/>
      <c r="H449" s="29"/>
      <c r="I449" s="30"/>
      <c r="O449" s="53"/>
    </row>
    <row r="450" spans="4:15">
      <c r="D450" s="47"/>
      <c r="E450" s="143"/>
      <c r="H450" s="29"/>
      <c r="I450" s="30"/>
      <c r="O450" s="53"/>
    </row>
    <row r="451" spans="4:15">
      <c r="D451" s="47"/>
      <c r="E451" s="143"/>
      <c r="H451" s="29"/>
      <c r="I451" s="30"/>
      <c r="O451" s="53"/>
    </row>
    <row r="452" spans="4:15">
      <c r="D452" s="47"/>
      <c r="E452" s="143"/>
      <c r="H452" s="29"/>
      <c r="I452" s="30"/>
      <c r="O452" s="53"/>
    </row>
    <row r="453" spans="4:15">
      <c r="D453" s="47"/>
      <c r="E453" s="143"/>
      <c r="H453" s="29"/>
      <c r="I453" s="30"/>
      <c r="O453" s="53"/>
    </row>
    <row r="454" spans="4:15">
      <c r="D454" s="47"/>
      <c r="E454" s="143"/>
      <c r="H454" s="29"/>
      <c r="I454" s="30"/>
      <c r="O454" s="53"/>
    </row>
    <row r="455" spans="4:15">
      <c r="D455" s="47"/>
      <c r="E455" s="143"/>
      <c r="H455" s="29"/>
      <c r="I455" s="30"/>
      <c r="O455" s="53"/>
    </row>
    <row r="456" spans="4:15">
      <c r="D456" s="47"/>
      <c r="E456" s="143"/>
      <c r="H456" s="29"/>
      <c r="I456" s="30"/>
      <c r="O456" s="53"/>
    </row>
    <row r="457" spans="4:15">
      <c r="D457" s="47"/>
      <c r="E457" s="143"/>
      <c r="H457" s="29"/>
      <c r="I457" s="30"/>
      <c r="O457" s="53"/>
    </row>
    <row r="458" spans="4:15">
      <c r="D458" s="47"/>
      <c r="E458" s="143"/>
      <c r="H458" s="29"/>
      <c r="I458" s="30"/>
      <c r="O458" s="53"/>
    </row>
    <row r="459" spans="4:15">
      <c r="D459" s="47"/>
      <c r="E459" s="143"/>
      <c r="H459" s="29"/>
      <c r="I459" s="30"/>
      <c r="O459" s="53"/>
    </row>
    <row r="460" spans="4:15">
      <c r="D460" s="47"/>
      <c r="E460" s="143"/>
      <c r="H460" s="29"/>
      <c r="I460" s="30"/>
      <c r="O460" s="53"/>
    </row>
    <row r="461" spans="4:15">
      <c r="D461" s="47"/>
      <c r="E461" s="143"/>
      <c r="H461" s="29"/>
      <c r="I461" s="30"/>
      <c r="O461" s="53"/>
    </row>
    <row r="462" spans="4:15">
      <c r="D462" s="47"/>
      <c r="E462" s="143"/>
      <c r="H462" s="29"/>
      <c r="I462" s="30"/>
      <c r="O462" s="53"/>
    </row>
    <row r="463" spans="4:15">
      <c r="D463" s="47"/>
      <c r="E463" s="143"/>
      <c r="H463" s="29"/>
      <c r="I463" s="30"/>
      <c r="O463" s="53"/>
    </row>
    <row r="464" spans="4:15">
      <c r="D464" s="47"/>
      <c r="E464" s="143"/>
      <c r="H464" s="29"/>
      <c r="I464" s="30"/>
      <c r="O464" s="53"/>
    </row>
    <row r="465" spans="4:15">
      <c r="D465" s="47"/>
      <c r="E465" s="143"/>
      <c r="H465" s="29"/>
      <c r="I465" s="30"/>
      <c r="O465" s="53"/>
    </row>
    <row r="466" spans="4:15">
      <c r="D466" s="47"/>
      <c r="E466" s="143"/>
      <c r="H466" s="29"/>
      <c r="I466" s="30"/>
      <c r="O466" s="53"/>
    </row>
    <row r="467" spans="4:15">
      <c r="D467" s="47"/>
      <c r="E467" s="143"/>
      <c r="H467" s="29"/>
      <c r="I467" s="30"/>
      <c r="O467" s="53"/>
    </row>
    <row r="468" spans="4:15">
      <c r="D468" s="47"/>
      <c r="E468" s="143"/>
      <c r="H468" s="29"/>
      <c r="I468" s="30"/>
      <c r="O468" s="53"/>
    </row>
    <row r="469" spans="4:15">
      <c r="D469" s="47"/>
      <c r="E469" s="143"/>
      <c r="H469" s="29"/>
      <c r="I469" s="30"/>
      <c r="O469" s="53"/>
    </row>
    <row r="470" spans="4:15">
      <c r="D470" s="47"/>
      <c r="E470" s="143"/>
      <c r="H470" s="29"/>
      <c r="I470" s="30"/>
      <c r="O470" s="53"/>
    </row>
    <row r="471" spans="4:15">
      <c r="D471" s="47"/>
      <c r="E471" s="143"/>
      <c r="H471" s="29"/>
      <c r="I471" s="30"/>
      <c r="O471" s="53"/>
    </row>
    <row r="472" spans="4:15">
      <c r="D472" s="47"/>
      <c r="E472" s="143"/>
      <c r="H472" s="29"/>
      <c r="I472" s="30"/>
      <c r="O472" s="53"/>
    </row>
    <row r="473" spans="4:15">
      <c r="D473" s="47"/>
      <c r="E473" s="143"/>
      <c r="H473" s="29"/>
      <c r="I473" s="30"/>
      <c r="O473" s="53"/>
    </row>
    <row r="474" spans="4:15">
      <c r="D474" s="47"/>
      <c r="E474" s="143"/>
      <c r="H474" s="29"/>
      <c r="I474" s="30"/>
      <c r="O474" s="53"/>
    </row>
    <row r="475" spans="4:15">
      <c r="D475" s="47"/>
      <c r="E475" s="143"/>
      <c r="H475" s="29"/>
      <c r="I475" s="30"/>
      <c r="O475" s="53"/>
    </row>
    <row r="476" spans="4:15">
      <c r="D476" s="47"/>
      <c r="E476" s="143"/>
      <c r="H476" s="29"/>
      <c r="I476" s="30"/>
      <c r="O476" s="53"/>
    </row>
    <row r="477" spans="4:15">
      <c r="D477" s="47"/>
      <c r="E477" s="143"/>
      <c r="H477" s="29"/>
      <c r="I477" s="30"/>
      <c r="O477" s="53"/>
    </row>
    <row r="478" spans="4:15">
      <c r="D478" s="47"/>
      <c r="E478" s="143"/>
      <c r="H478" s="29"/>
      <c r="I478" s="30"/>
      <c r="O478" s="53"/>
    </row>
    <row r="479" spans="4:15">
      <c r="D479" s="47"/>
      <c r="E479" s="143"/>
      <c r="H479" s="29"/>
      <c r="I479" s="30"/>
      <c r="O479" s="53"/>
    </row>
    <row r="480" spans="4:15">
      <c r="D480" s="47"/>
      <c r="E480" s="143"/>
      <c r="H480" s="29"/>
      <c r="I480" s="30"/>
      <c r="O480" s="53"/>
    </row>
    <row r="481" spans="4:15">
      <c r="D481" s="47"/>
      <c r="E481" s="143"/>
      <c r="H481" s="29"/>
      <c r="I481" s="30"/>
      <c r="O481" s="53"/>
    </row>
    <row r="482" spans="4:15">
      <c r="D482" s="47"/>
      <c r="E482" s="143"/>
      <c r="H482" s="29"/>
      <c r="I482" s="30"/>
      <c r="O482" s="53"/>
    </row>
    <row r="483" spans="4:15">
      <c r="D483" s="47"/>
      <c r="E483" s="143"/>
      <c r="H483" s="29"/>
      <c r="I483" s="30"/>
      <c r="O483" s="53"/>
    </row>
    <row r="484" spans="4:15">
      <c r="D484" s="47"/>
      <c r="E484" s="143"/>
      <c r="H484" s="29"/>
      <c r="I484" s="30"/>
      <c r="O484" s="53"/>
    </row>
    <row r="485" spans="4:15">
      <c r="D485" s="47"/>
      <c r="E485" s="143"/>
      <c r="H485" s="29"/>
      <c r="I485" s="30"/>
      <c r="O485" s="53"/>
    </row>
    <row r="486" spans="4:15">
      <c r="D486" s="47"/>
      <c r="E486" s="143"/>
      <c r="H486" s="29"/>
      <c r="I486" s="30"/>
      <c r="O486" s="53"/>
    </row>
    <row r="487" spans="4:15">
      <c r="D487" s="47"/>
      <c r="E487" s="143"/>
      <c r="H487" s="29"/>
      <c r="I487" s="30"/>
      <c r="O487" s="53"/>
    </row>
    <row r="488" spans="4:15">
      <c r="D488" s="47"/>
      <c r="E488" s="143"/>
      <c r="H488" s="29"/>
      <c r="I488" s="30"/>
      <c r="O488" s="53"/>
    </row>
    <row r="489" spans="4:15">
      <c r="D489" s="47"/>
      <c r="E489" s="143"/>
      <c r="H489" s="29"/>
      <c r="I489" s="30"/>
      <c r="O489" s="53"/>
    </row>
    <row r="490" spans="4:15">
      <c r="D490" s="47"/>
      <c r="E490" s="143"/>
      <c r="H490" s="29"/>
      <c r="I490" s="30"/>
      <c r="O490" s="53"/>
    </row>
    <row r="491" spans="4:15">
      <c r="D491" s="47"/>
      <c r="E491" s="143"/>
      <c r="H491" s="29"/>
      <c r="I491" s="30"/>
      <c r="O491" s="53"/>
    </row>
    <row r="492" spans="4:15">
      <c r="D492" s="47"/>
      <c r="E492" s="143"/>
      <c r="H492" s="29"/>
      <c r="I492" s="30"/>
      <c r="O492" s="53"/>
    </row>
    <row r="493" spans="4:15">
      <c r="D493" s="47"/>
      <c r="E493" s="143"/>
      <c r="H493" s="29"/>
      <c r="I493" s="30"/>
      <c r="O493" s="53"/>
    </row>
    <row r="494" spans="4:15">
      <c r="D494" s="47"/>
      <c r="E494" s="143"/>
      <c r="H494" s="29"/>
      <c r="I494" s="30"/>
      <c r="O494" s="53"/>
    </row>
    <row r="495" spans="4:15">
      <c r="D495" s="47"/>
      <c r="E495" s="143"/>
      <c r="H495" s="29"/>
      <c r="I495" s="30"/>
      <c r="O495" s="53"/>
    </row>
    <row r="496" spans="4:15">
      <c r="D496" s="47"/>
      <c r="E496" s="143"/>
      <c r="H496" s="29"/>
      <c r="I496" s="30"/>
      <c r="O496" s="53"/>
    </row>
    <row r="497" spans="4:15">
      <c r="D497" s="47"/>
      <c r="E497" s="143"/>
      <c r="H497" s="29"/>
      <c r="I497" s="30"/>
      <c r="O497" s="53"/>
    </row>
    <row r="498" spans="4:15">
      <c r="D498" s="47"/>
      <c r="E498" s="143"/>
      <c r="H498" s="29"/>
      <c r="I498" s="30"/>
      <c r="O498" s="53"/>
    </row>
    <row r="499" spans="4:15">
      <c r="D499" s="47"/>
      <c r="E499" s="143"/>
      <c r="H499" s="29"/>
      <c r="I499" s="30"/>
      <c r="O499" s="53"/>
    </row>
    <row r="500" spans="4:15">
      <c r="D500" s="47"/>
      <c r="E500" s="143"/>
      <c r="H500" s="29"/>
      <c r="I500" s="30"/>
      <c r="O500" s="53"/>
    </row>
    <row r="501" spans="4:15">
      <c r="D501" s="47"/>
      <c r="E501" s="143"/>
      <c r="H501" s="29"/>
      <c r="I501" s="30"/>
      <c r="O501" s="53"/>
    </row>
    <row r="502" spans="4:15">
      <c r="D502" s="47"/>
      <c r="E502" s="143"/>
      <c r="H502" s="29"/>
      <c r="I502" s="30"/>
      <c r="O502" s="53"/>
    </row>
    <row r="503" spans="4:15">
      <c r="D503" s="47"/>
      <c r="E503" s="143"/>
      <c r="H503" s="29"/>
      <c r="I503" s="30"/>
      <c r="O503" s="53"/>
    </row>
    <row r="504" spans="4:15">
      <c r="D504" s="47"/>
      <c r="E504" s="143"/>
      <c r="H504" s="29"/>
      <c r="I504" s="30"/>
      <c r="O504" s="53"/>
    </row>
    <row r="505" spans="4:15">
      <c r="D505" s="47"/>
      <c r="E505" s="143"/>
      <c r="H505" s="29"/>
      <c r="I505" s="30"/>
      <c r="O505" s="53"/>
    </row>
    <row r="506" spans="4:15">
      <c r="D506" s="47"/>
      <c r="E506" s="143"/>
      <c r="H506" s="29"/>
      <c r="I506" s="30"/>
      <c r="O506" s="53"/>
    </row>
    <row r="507" spans="4:15">
      <c r="D507" s="47"/>
      <c r="E507" s="143"/>
      <c r="H507" s="29"/>
      <c r="I507" s="30"/>
      <c r="O507" s="53"/>
    </row>
    <row r="508" spans="4:15">
      <c r="D508" s="47"/>
      <c r="E508" s="143"/>
      <c r="H508" s="29"/>
      <c r="I508" s="30"/>
      <c r="O508" s="53"/>
    </row>
    <row r="509" spans="4:15">
      <c r="D509" s="47"/>
      <c r="E509" s="143"/>
      <c r="H509" s="29"/>
      <c r="I509" s="30"/>
      <c r="O509" s="53"/>
    </row>
    <row r="510" spans="4:15">
      <c r="D510" s="47"/>
      <c r="E510" s="143"/>
      <c r="H510" s="29"/>
      <c r="I510" s="30"/>
      <c r="O510" s="53"/>
    </row>
    <row r="511" spans="4:15">
      <c r="D511" s="47"/>
      <c r="E511" s="143"/>
      <c r="H511" s="29"/>
      <c r="I511" s="30"/>
      <c r="O511" s="53"/>
    </row>
    <row r="512" spans="4:15">
      <c r="D512" s="47"/>
      <c r="E512" s="143"/>
      <c r="H512" s="29"/>
      <c r="I512" s="30"/>
      <c r="O512" s="53"/>
    </row>
    <row r="513" spans="4:15">
      <c r="D513" s="47"/>
      <c r="E513" s="143"/>
      <c r="H513" s="29"/>
      <c r="I513" s="30"/>
      <c r="O513" s="53"/>
    </row>
    <row r="514" spans="4:15">
      <c r="D514" s="47"/>
      <c r="E514" s="143"/>
      <c r="H514" s="29"/>
      <c r="I514" s="30"/>
      <c r="O514" s="53"/>
    </row>
    <row r="515" spans="4:15">
      <c r="D515" s="47"/>
      <c r="E515" s="143"/>
      <c r="H515" s="29"/>
      <c r="I515" s="30"/>
      <c r="O515" s="53"/>
    </row>
    <row r="516" spans="4:15">
      <c r="D516" s="47"/>
      <c r="E516" s="143"/>
      <c r="H516" s="29"/>
      <c r="I516" s="30"/>
      <c r="O516" s="53"/>
    </row>
    <row r="517" spans="4:15">
      <c r="D517" s="47"/>
      <c r="E517" s="143"/>
      <c r="H517" s="29"/>
      <c r="I517" s="30"/>
      <c r="O517" s="53"/>
    </row>
    <row r="518" spans="4:15">
      <c r="D518" s="47"/>
      <c r="E518" s="143"/>
      <c r="H518" s="29"/>
      <c r="I518" s="30"/>
      <c r="O518" s="53"/>
    </row>
    <row r="519" spans="4:15">
      <c r="D519" s="47"/>
      <c r="E519" s="143"/>
      <c r="H519" s="29"/>
      <c r="I519" s="30"/>
      <c r="O519" s="53"/>
    </row>
    <row r="520" spans="4:15">
      <c r="D520" s="47"/>
      <c r="E520" s="143"/>
      <c r="H520" s="29"/>
      <c r="I520" s="30"/>
      <c r="O520" s="53"/>
    </row>
    <row r="521" spans="4:15">
      <c r="D521" s="47"/>
      <c r="E521" s="143"/>
      <c r="H521" s="29"/>
      <c r="I521" s="30"/>
      <c r="O521" s="53"/>
    </row>
    <row r="522" spans="4:15">
      <c r="D522" s="47"/>
      <c r="E522" s="143"/>
      <c r="H522" s="29"/>
      <c r="I522" s="30"/>
      <c r="O522" s="53"/>
    </row>
    <row r="523" spans="4:15">
      <c r="D523" s="47"/>
      <c r="E523" s="143"/>
      <c r="H523" s="29"/>
      <c r="I523" s="30"/>
      <c r="O523" s="53"/>
    </row>
    <row r="524" spans="4:15">
      <c r="D524" s="47"/>
      <c r="E524" s="143"/>
      <c r="H524" s="29"/>
      <c r="I524" s="30"/>
      <c r="O524" s="53"/>
    </row>
    <row r="525" spans="4:15">
      <c r="D525" s="47"/>
      <c r="E525" s="143"/>
      <c r="H525" s="29"/>
      <c r="I525" s="30"/>
      <c r="O525" s="53"/>
    </row>
    <row r="526" spans="4:15">
      <c r="D526" s="47"/>
      <c r="E526" s="143"/>
      <c r="H526" s="29"/>
      <c r="I526" s="30"/>
      <c r="O526" s="53"/>
    </row>
    <row r="527" spans="4:15">
      <c r="D527" s="47"/>
      <c r="E527" s="143"/>
      <c r="H527" s="29"/>
      <c r="I527" s="30"/>
      <c r="O527" s="53"/>
    </row>
    <row r="528" spans="4:15">
      <c r="D528" s="47"/>
      <c r="E528" s="143"/>
      <c r="H528" s="29"/>
      <c r="I528" s="30"/>
      <c r="O528" s="53"/>
    </row>
    <row r="529" spans="4:15">
      <c r="D529" s="47"/>
      <c r="E529" s="143"/>
      <c r="H529" s="29"/>
      <c r="I529" s="30"/>
      <c r="O529" s="53"/>
    </row>
    <row r="530" spans="4:15">
      <c r="D530" s="47"/>
      <c r="E530" s="143"/>
      <c r="H530" s="29"/>
      <c r="I530" s="30"/>
      <c r="O530" s="53"/>
    </row>
    <row r="531" spans="4:15">
      <c r="D531" s="47"/>
      <c r="E531" s="143"/>
      <c r="H531" s="29"/>
      <c r="I531" s="30"/>
      <c r="O531" s="53"/>
    </row>
    <row r="532" spans="4:15">
      <c r="D532" s="47"/>
      <c r="E532" s="143"/>
      <c r="H532" s="29"/>
      <c r="I532" s="30"/>
      <c r="O532" s="53"/>
    </row>
    <row r="533" spans="4:15">
      <c r="D533" s="47"/>
      <c r="E533" s="143"/>
      <c r="H533" s="29"/>
      <c r="I533" s="30"/>
      <c r="O533" s="53"/>
    </row>
    <row r="534" spans="4:15">
      <c r="D534" s="47"/>
      <c r="E534" s="143"/>
      <c r="H534" s="29"/>
      <c r="I534" s="30"/>
      <c r="O534" s="53"/>
    </row>
    <row r="535" spans="4:15">
      <c r="D535" s="47"/>
      <c r="E535" s="143"/>
      <c r="H535" s="29"/>
      <c r="I535" s="30"/>
      <c r="O535" s="53"/>
    </row>
    <row r="536" spans="4:15">
      <c r="D536" s="47"/>
      <c r="E536" s="143"/>
      <c r="H536" s="29"/>
      <c r="I536" s="30"/>
      <c r="O536" s="53"/>
    </row>
    <row r="537" spans="4:15">
      <c r="D537" s="47"/>
      <c r="E537" s="143"/>
      <c r="H537" s="29"/>
      <c r="I537" s="30"/>
      <c r="O537" s="53"/>
    </row>
    <row r="538" spans="4:15">
      <c r="D538" s="47"/>
      <c r="E538" s="143"/>
      <c r="H538" s="29"/>
      <c r="I538" s="30"/>
      <c r="O538" s="53"/>
    </row>
    <row r="539" spans="4:15">
      <c r="D539" s="47"/>
      <c r="E539" s="143"/>
      <c r="H539" s="29"/>
      <c r="I539" s="30"/>
      <c r="O539" s="53"/>
    </row>
    <row r="540" spans="4:15">
      <c r="D540" s="47"/>
      <c r="E540" s="143"/>
      <c r="H540" s="29"/>
      <c r="I540" s="30"/>
      <c r="O540" s="53"/>
    </row>
    <row r="541" spans="4:15">
      <c r="D541" s="47"/>
      <c r="E541" s="143"/>
      <c r="H541" s="29"/>
      <c r="I541" s="30"/>
      <c r="O541" s="53"/>
    </row>
    <row r="542" spans="4:15">
      <c r="D542" s="47"/>
      <c r="E542" s="143"/>
      <c r="H542" s="29"/>
      <c r="I542" s="30"/>
      <c r="O542" s="53"/>
    </row>
    <row r="543" spans="4:15">
      <c r="D543" s="47"/>
      <c r="E543" s="143"/>
      <c r="H543" s="29"/>
      <c r="I543" s="30"/>
      <c r="O543" s="53"/>
    </row>
    <row r="544" spans="4:15">
      <c r="D544" s="47"/>
      <c r="E544" s="143"/>
      <c r="H544" s="29"/>
      <c r="I544" s="30"/>
      <c r="O544" s="53"/>
    </row>
    <row r="545" spans="4:15">
      <c r="D545" s="47"/>
      <c r="E545" s="143"/>
      <c r="H545" s="29"/>
      <c r="I545" s="30"/>
      <c r="O545" s="53"/>
    </row>
    <row r="546" spans="4:15">
      <c r="D546" s="47"/>
      <c r="E546" s="143"/>
      <c r="H546" s="29"/>
      <c r="I546" s="30"/>
      <c r="O546" s="53"/>
    </row>
    <row r="547" spans="4:15">
      <c r="D547" s="47"/>
      <c r="E547" s="143"/>
      <c r="H547" s="29"/>
      <c r="I547" s="30"/>
      <c r="O547" s="53"/>
    </row>
    <row r="548" spans="4:15">
      <c r="D548" s="47"/>
      <c r="E548" s="143"/>
      <c r="H548" s="29"/>
      <c r="I548" s="30"/>
      <c r="O548" s="53"/>
    </row>
    <row r="549" spans="4:15">
      <c r="D549" s="47"/>
      <c r="E549" s="143"/>
      <c r="H549" s="29"/>
      <c r="I549" s="30"/>
      <c r="O549" s="53"/>
    </row>
    <row r="550" spans="4:15">
      <c r="D550" s="47"/>
      <c r="E550" s="143"/>
      <c r="H550" s="29"/>
      <c r="I550" s="30"/>
      <c r="O550" s="53"/>
    </row>
    <row r="551" spans="4:15">
      <c r="D551" s="47"/>
      <c r="E551" s="143"/>
      <c r="H551" s="29"/>
      <c r="I551" s="30"/>
      <c r="O551" s="53"/>
    </row>
    <row r="552" spans="4:15">
      <c r="D552" s="47"/>
      <c r="E552" s="143"/>
      <c r="H552" s="29"/>
      <c r="I552" s="30"/>
      <c r="O552" s="53"/>
    </row>
    <row r="553" spans="4:15">
      <c r="D553" s="47"/>
      <c r="E553" s="143"/>
      <c r="H553" s="29"/>
      <c r="I553" s="30"/>
      <c r="O553" s="53"/>
    </row>
    <row r="554" spans="4:15">
      <c r="D554" s="47"/>
      <c r="E554" s="143"/>
      <c r="H554" s="29"/>
      <c r="I554" s="30"/>
      <c r="O554" s="53"/>
    </row>
    <row r="555" spans="4:15">
      <c r="D555" s="47"/>
      <c r="E555" s="143"/>
      <c r="H555" s="29"/>
      <c r="I555" s="30"/>
      <c r="O555" s="53"/>
    </row>
    <row r="556" spans="4:15">
      <c r="D556" s="47"/>
      <c r="E556" s="143"/>
      <c r="H556" s="29"/>
      <c r="I556" s="30"/>
      <c r="O556" s="53"/>
    </row>
    <row r="557" spans="4:15">
      <c r="D557" s="47"/>
      <c r="E557" s="143"/>
      <c r="H557" s="29"/>
      <c r="I557" s="30"/>
      <c r="O557" s="53"/>
    </row>
    <row r="558" spans="4:15">
      <c r="D558" s="47"/>
      <c r="E558" s="143"/>
      <c r="H558" s="29"/>
      <c r="I558" s="30"/>
      <c r="O558" s="53"/>
    </row>
    <row r="559" spans="4:15">
      <c r="D559" s="47"/>
      <c r="E559" s="143"/>
      <c r="H559" s="29"/>
      <c r="I559" s="30"/>
      <c r="O559" s="53"/>
    </row>
    <row r="560" spans="4:15">
      <c r="D560" s="47"/>
      <c r="E560" s="143"/>
      <c r="H560" s="29"/>
      <c r="I560" s="30"/>
      <c r="O560" s="53"/>
    </row>
    <row r="561" spans="4:15">
      <c r="D561" s="47"/>
      <c r="E561" s="143"/>
      <c r="H561" s="29"/>
      <c r="I561" s="30"/>
      <c r="O561" s="53"/>
    </row>
    <row r="562" spans="4:15">
      <c r="D562" s="47"/>
      <c r="E562" s="143"/>
      <c r="H562" s="29"/>
      <c r="I562" s="30"/>
      <c r="O562" s="53"/>
    </row>
    <row r="563" spans="4:15">
      <c r="D563" s="47"/>
      <c r="E563" s="143"/>
      <c r="H563" s="29"/>
      <c r="I563" s="30"/>
      <c r="O563" s="53"/>
    </row>
    <row r="564" spans="4:15">
      <c r="D564" s="47"/>
      <c r="E564" s="143"/>
      <c r="H564" s="29"/>
      <c r="I564" s="30"/>
      <c r="O564" s="53"/>
    </row>
    <row r="565" spans="4:15">
      <c r="D565" s="47"/>
      <c r="E565" s="143"/>
      <c r="H565" s="29"/>
      <c r="I565" s="30"/>
      <c r="O565" s="53"/>
    </row>
    <row r="566" spans="4:15">
      <c r="D566" s="47"/>
      <c r="E566" s="143"/>
      <c r="H566" s="29"/>
      <c r="I566" s="30"/>
      <c r="O566" s="53"/>
    </row>
    <row r="567" spans="4:15">
      <c r="D567" s="47"/>
      <c r="E567" s="143"/>
      <c r="H567" s="29"/>
      <c r="I567" s="30"/>
      <c r="O567" s="53"/>
    </row>
    <row r="568" spans="4:15">
      <c r="D568" s="47"/>
      <c r="E568" s="143"/>
      <c r="H568" s="29"/>
      <c r="I568" s="30"/>
      <c r="O568" s="53"/>
    </row>
    <row r="569" spans="4:15">
      <c r="D569" s="47"/>
      <c r="E569" s="143"/>
      <c r="H569" s="29"/>
      <c r="I569" s="30"/>
      <c r="O569" s="53"/>
    </row>
    <row r="570" spans="4:15">
      <c r="D570" s="47"/>
      <c r="E570" s="143"/>
      <c r="H570" s="29"/>
      <c r="I570" s="30"/>
      <c r="O570" s="53"/>
    </row>
    <row r="571" spans="4:15">
      <c r="D571" s="47"/>
      <c r="E571" s="143"/>
      <c r="H571" s="29"/>
      <c r="I571" s="30"/>
      <c r="O571" s="53"/>
    </row>
    <row r="572" spans="4:15">
      <c r="D572" s="47"/>
      <c r="E572" s="143"/>
      <c r="H572" s="29"/>
      <c r="I572" s="30"/>
      <c r="O572" s="53"/>
    </row>
    <row r="573" spans="4:15">
      <c r="D573" s="47"/>
      <c r="E573" s="143"/>
      <c r="H573" s="29"/>
      <c r="I573" s="30"/>
      <c r="O573" s="53"/>
    </row>
    <row r="574" spans="4:15">
      <c r="D574" s="47"/>
      <c r="E574" s="143"/>
      <c r="H574" s="29"/>
      <c r="I574" s="30"/>
      <c r="O574" s="53"/>
    </row>
    <row r="575" spans="4:15">
      <c r="D575" s="47"/>
      <c r="E575" s="143"/>
      <c r="H575" s="29"/>
      <c r="I575" s="30"/>
      <c r="O575" s="53"/>
    </row>
    <row r="576" spans="4:15">
      <c r="D576" s="47"/>
      <c r="E576" s="143"/>
      <c r="H576" s="29"/>
      <c r="I576" s="30"/>
      <c r="O576" s="53"/>
    </row>
    <row r="577" spans="4:15">
      <c r="D577" s="47"/>
      <c r="E577" s="143"/>
      <c r="H577" s="29"/>
      <c r="I577" s="30"/>
      <c r="O577" s="53"/>
    </row>
    <row r="578" spans="4:15">
      <c r="D578" s="47"/>
      <c r="E578" s="143"/>
      <c r="H578" s="29"/>
      <c r="I578" s="30"/>
      <c r="O578" s="53"/>
    </row>
    <row r="579" spans="4:15">
      <c r="D579" s="47"/>
      <c r="E579" s="143"/>
      <c r="H579" s="29"/>
      <c r="I579" s="30"/>
      <c r="O579" s="53"/>
    </row>
    <row r="580" spans="4:15">
      <c r="D580" s="47"/>
      <c r="E580" s="143"/>
      <c r="H580" s="29"/>
      <c r="I580" s="30"/>
      <c r="O580" s="53"/>
    </row>
    <row r="581" spans="4:15">
      <c r="D581" s="47"/>
      <c r="E581" s="143"/>
      <c r="H581" s="29"/>
      <c r="I581" s="30"/>
      <c r="O581" s="53"/>
    </row>
    <row r="582" spans="4:15">
      <c r="D582" s="47"/>
      <c r="E582" s="143"/>
      <c r="H582" s="29"/>
      <c r="I582" s="30"/>
      <c r="O582" s="53"/>
    </row>
    <row r="583" spans="4:15">
      <c r="D583" s="47"/>
      <c r="E583" s="143"/>
      <c r="H583" s="29"/>
      <c r="I583" s="30"/>
      <c r="O583" s="53"/>
    </row>
    <row r="584" spans="4:15">
      <c r="D584" s="47"/>
      <c r="E584" s="143"/>
      <c r="H584" s="29"/>
      <c r="I584" s="30"/>
      <c r="O584" s="53"/>
    </row>
    <row r="585" spans="4:15">
      <c r="D585" s="47"/>
      <c r="E585" s="143"/>
      <c r="H585" s="29"/>
      <c r="I585" s="30"/>
      <c r="O585" s="53"/>
    </row>
    <row r="586" spans="4:15">
      <c r="D586" s="47"/>
      <c r="E586" s="143"/>
      <c r="H586" s="29"/>
      <c r="I586" s="30"/>
      <c r="O586" s="53"/>
    </row>
    <row r="587" spans="4:15">
      <c r="D587" s="47"/>
      <c r="E587" s="143"/>
      <c r="H587" s="29"/>
      <c r="I587" s="30"/>
      <c r="O587" s="53"/>
    </row>
    <row r="588" spans="4:15">
      <c r="D588" s="47"/>
      <c r="E588" s="143"/>
      <c r="H588" s="29"/>
      <c r="I588" s="30"/>
      <c r="O588" s="53"/>
    </row>
    <row r="589" spans="4:15">
      <c r="D589" s="47"/>
      <c r="E589" s="143"/>
      <c r="H589" s="29"/>
      <c r="I589" s="30"/>
      <c r="O589" s="53"/>
    </row>
    <row r="590" spans="4:15">
      <c r="D590" s="47"/>
      <c r="E590" s="143"/>
      <c r="H590" s="29"/>
      <c r="I590" s="30"/>
      <c r="O590" s="53"/>
    </row>
    <row r="591" spans="4:15">
      <c r="D591" s="47"/>
      <c r="E591" s="143"/>
      <c r="H591" s="29"/>
      <c r="I591" s="30"/>
      <c r="O591" s="53"/>
    </row>
    <row r="592" spans="4:15">
      <c r="D592" s="47"/>
      <c r="E592" s="143"/>
      <c r="H592" s="29"/>
      <c r="I592" s="30"/>
      <c r="O592" s="53"/>
    </row>
    <row r="593" spans="4:15">
      <c r="D593" s="47"/>
      <c r="E593" s="143"/>
      <c r="H593" s="29"/>
      <c r="I593" s="30"/>
      <c r="O593" s="53"/>
    </row>
    <row r="594" spans="4:15">
      <c r="D594" s="47"/>
      <c r="E594" s="143"/>
      <c r="H594" s="29"/>
      <c r="I594" s="30"/>
      <c r="O594" s="53"/>
    </row>
    <row r="595" spans="4:15">
      <c r="D595" s="47"/>
      <c r="E595" s="143"/>
      <c r="H595" s="29"/>
      <c r="I595" s="30"/>
      <c r="O595" s="53"/>
    </row>
    <row r="596" spans="4:15">
      <c r="D596" s="47"/>
      <c r="E596" s="143"/>
      <c r="H596" s="29"/>
      <c r="I596" s="30"/>
      <c r="O596" s="53"/>
    </row>
    <row r="597" spans="4:15">
      <c r="D597" s="47"/>
      <c r="E597" s="143"/>
      <c r="H597" s="29"/>
      <c r="I597" s="30"/>
      <c r="O597" s="53"/>
    </row>
    <row r="598" spans="4:15">
      <c r="D598" s="47"/>
      <c r="E598" s="143"/>
      <c r="H598" s="29"/>
      <c r="I598" s="30"/>
      <c r="O598" s="53"/>
    </row>
    <row r="599" spans="4:15">
      <c r="D599" s="47"/>
      <c r="E599" s="143"/>
      <c r="H599" s="29"/>
      <c r="I599" s="30"/>
      <c r="O599" s="53"/>
    </row>
    <row r="600" spans="4:15">
      <c r="D600" s="47"/>
      <c r="E600" s="143"/>
      <c r="H600" s="29"/>
      <c r="I600" s="30"/>
      <c r="O600" s="53"/>
    </row>
    <row r="601" spans="4:15">
      <c r="D601" s="47"/>
      <c r="E601" s="143"/>
      <c r="H601" s="29"/>
      <c r="I601" s="30"/>
      <c r="O601" s="53"/>
    </row>
    <row r="602" spans="4:15">
      <c r="D602" s="47"/>
      <c r="E602" s="143"/>
      <c r="H602" s="29"/>
      <c r="I602" s="30"/>
      <c r="O602" s="53"/>
    </row>
    <row r="603" spans="4:15">
      <c r="D603" s="47"/>
      <c r="E603" s="143"/>
      <c r="H603" s="29"/>
      <c r="I603" s="30"/>
      <c r="O603" s="53"/>
    </row>
    <row r="604" spans="4:15">
      <c r="D604" s="47"/>
      <c r="E604" s="143"/>
      <c r="H604" s="29"/>
      <c r="I604" s="30"/>
      <c r="O604" s="53"/>
    </row>
    <row r="605" spans="4:15">
      <c r="D605" s="47"/>
      <c r="E605" s="143"/>
      <c r="H605" s="29"/>
      <c r="I605" s="30"/>
      <c r="O605" s="53"/>
    </row>
    <row r="606" spans="4:15">
      <c r="D606" s="47"/>
      <c r="E606" s="143"/>
      <c r="H606" s="29"/>
      <c r="I606" s="30"/>
      <c r="O606" s="53"/>
    </row>
    <row r="607" spans="4:15">
      <c r="D607" s="47"/>
      <c r="E607" s="143"/>
      <c r="H607" s="29"/>
      <c r="I607" s="30"/>
      <c r="O607" s="53"/>
    </row>
    <row r="608" spans="4:15">
      <c r="D608" s="47"/>
      <c r="E608" s="143"/>
      <c r="H608" s="29"/>
      <c r="I608" s="30"/>
      <c r="O608" s="53"/>
    </row>
    <row r="609" spans="4:15">
      <c r="D609" s="47"/>
      <c r="E609" s="143"/>
      <c r="H609" s="29"/>
      <c r="I609" s="30"/>
      <c r="O609" s="53"/>
    </row>
    <row r="610" spans="4:15">
      <c r="D610" s="47"/>
      <c r="E610" s="143"/>
      <c r="H610" s="29"/>
      <c r="I610" s="30"/>
      <c r="O610" s="53"/>
    </row>
    <row r="611" spans="4:15">
      <c r="D611" s="47"/>
      <c r="E611" s="143"/>
      <c r="H611" s="29"/>
      <c r="I611" s="30"/>
      <c r="O611" s="53"/>
    </row>
    <row r="612" spans="4:15">
      <c r="D612" s="47"/>
      <c r="E612" s="143"/>
      <c r="H612" s="29"/>
      <c r="I612" s="30"/>
      <c r="O612" s="53"/>
    </row>
    <row r="613" spans="4:15">
      <c r="D613" s="47"/>
      <c r="E613" s="143"/>
      <c r="H613" s="29"/>
      <c r="I613" s="30"/>
      <c r="O613" s="53"/>
    </row>
    <row r="614" spans="4:15">
      <c r="D614" s="47"/>
      <c r="E614" s="143"/>
      <c r="H614" s="29"/>
      <c r="I614" s="30"/>
      <c r="O614" s="53"/>
    </row>
    <row r="615" spans="4:15">
      <c r="D615" s="47"/>
      <c r="E615" s="143"/>
      <c r="H615" s="29"/>
      <c r="I615" s="30"/>
      <c r="O615" s="53"/>
    </row>
    <row r="616" spans="4:15">
      <c r="D616" s="47"/>
      <c r="E616" s="143"/>
      <c r="H616" s="29"/>
      <c r="I616" s="30"/>
      <c r="O616" s="53"/>
    </row>
    <row r="617" spans="4:15">
      <c r="D617" s="47"/>
      <c r="E617" s="143"/>
      <c r="H617" s="29"/>
      <c r="I617" s="30"/>
      <c r="O617" s="53"/>
    </row>
    <row r="618" spans="4:15">
      <c r="D618" s="47"/>
      <c r="E618" s="143"/>
      <c r="H618" s="29"/>
      <c r="I618" s="30"/>
      <c r="O618" s="53"/>
    </row>
    <row r="619" spans="4:15">
      <c r="D619" s="47"/>
      <c r="E619" s="143"/>
      <c r="H619" s="29"/>
      <c r="I619" s="30"/>
      <c r="O619" s="53"/>
    </row>
    <row r="620" spans="4:15">
      <c r="D620" s="47"/>
      <c r="E620" s="143"/>
      <c r="H620" s="29"/>
      <c r="I620" s="30"/>
      <c r="O620" s="53"/>
    </row>
    <row r="621" spans="4:15">
      <c r="D621" s="47"/>
      <c r="E621" s="143"/>
      <c r="H621" s="29"/>
      <c r="I621" s="30"/>
      <c r="O621" s="53"/>
    </row>
    <row r="622" spans="4:15">
      <c r="D622" s="47"/>
      <c r="E622" s="143"/>
      <c r="H622" s="29"/>
      <c r="I622" s="30"/>
      <c r="O622" s="53"/>
    </row>
    <row r="623" spans="4:15">
      <c r="D623" s="47"/>
      <c r="E623" s="143"/>
      <c r="H623" s="29"/>
      <c r="I623" s="30"/>
      <c r="O623" s="53"/>
    </row>
    <row r="624" spans="4:15">
      <c r="D624" s="47"/>
      <c r="E624" s="143"/>
      <c r="H624" s="29"/>
      <c r="I624" s="30"/>
      <c r="O624" s="53"/>
    </row>
    <row r="625" spans="4:15">
      <c r="D625" s="47"/>
      <c r="E625" s="143"/>
      <c r="H625" s="29"/>
      <c r="I625" s="30"/>
      <c r="O625" s="53"/>
    </row>
    <row r="626" spans="4:15">
      <c r="D626" s="47"/>
      <c r="E626" s="143"/>
      <c r="H626" s="29"/>
      <c r="I626" s="30"/>
      <c r="O626" s="53"/>
    </row>
    <row r="627" spans="4:15">
      <c r="D627" s="47"/>
      <c r="E627" s="143"/>
      <c r="H627" s="29"/>
      <c r="I627" s="30"/>
      <c r="O627" s="53"/>
    </row>
    <row r="628" spans="4:15">
      <c r="D628" s="47"/>
      <c r="E628" s="143"/>
      <c r="H628" s="29"/>
      <c r="I628" s="30"/>
      <c r="O628" s="53"/>
    </row>
    <row r="629" spans="4:15">
      <c r="D629" s="47"/>
      <c r="E629" s="143"/>
      <c r="H629" s="29"/>
      <c r="I629" s="30"/>
      <c r="O629" s="53"/>
    </row>
    <row r="630" spans="4:15">
      <c r="D630" s="47"/>
      <c r="E630" s="143"/>
      <c r="H630" s="29"/>
      <c r="I630" s="30"/>
      <c r="O630" s="53"/>
    </row>
    <row r="631" spans="4:15">
      <c r="D631" s="47"/>
      <c r="E631" s="143"/>
      <c r="H631" s="29"/>
      <c r="I631" s="30"/>
      <c r="O631" s="53"/>
    </row>
    <row r="632" spans="4:15">
      <c r="D632" s="47"/>
      <c r="E632" s="143"/>
      <c r="H632" s="29"/>
      <c r="I632" s="30"/>
      <c r="O632" s="53"/>
    </row>
    <row r="633" spans="4:15">
      <c r="D633" s="47"/>
      <c r="E633" s="143"/>
      <c r="H633" s="29"/>
      <c r="I633" s="30"/>
      <c r="O633" s="53"/>
    </row>
    <row r="634" spans="4:15">
      <c r="D634" s="47"/>
      <c r="E634" s="143"/>
      <c r="H634" s="29"/>
      <c r="I634" s="30"/>
      <c r="O634" s="53"/>
    </row>
    <row r="635" spans="4:15">
      <c r="D635" s="47"/>
      <c r="E635" s="143"/>
      <c r="H635" s="29"/>
      <c r="I635" s="30"/>
      <c r="O635" s="53"/>
    </row>
    <row r="636" spans="4:15">
      <c r="D636" s="47"/>
      <c r="E636" s="143"/>
      <c r="H636" s="29"/>
      <c r="I636" s="30"/>
      <c r="O636" s="53"/>
    </row>
    <row r="637" spans="4:15">
      <c r="D637" s="47"/>
      <c r="E637" s="143"/>
      <c r="H637" s="29"/>
      <c r="I637" s="30"/>
      <c r="O637" s="53"/>
    </row>
    <row r="638" spans="4:15">
      <c r="D638" s="47"/>
      <c r="E638" s="143"/>
      <c r="H638" s="29"/>
      <c r="I638" s="30"/>
      <c r="O638" s="53"/>
    </row>
    <row r="639" spans="4:15">
      <c r="D639" s="47"/>
      <c r="E639" s="143"/>
      <c r="H639" s="29"/>
      <c r="I639" s="30"/>
      <c r="O639" s="53"/>
    </row>
    <row r="640" spans="4:15">
      <c r="D640" s="47"/>
      <c r="E640" s="143"/>
      <c r="H640" s="29"/>
      <c r="I640" s="30"/>
      <c r="O640" s="53"/>
    </row>
    <row r="641" spans="4:15">
      <c r="D641" s="47"/>
      <c r="E641" s="143"/>
      <c r="H641" s="29"/>
      <c r="I641" s="30"/>
      <c r="O641" s="53"/>
    </row>
    <row r="642" spans="4:15">
      <c r="D642" s="47"/>
      <c r="E642" s="143"/>
      <c r="H642" s="29"/>
      <c r="I642" s="30"/>
      <c r="O642" s="53"/>
    </row>
    <row r="643" spans="4:15">
      <c r="D643" s="47"/>
      <c r="E643" s="143"/>
      <c r="H643" s="29"/>
      <c r="I643" s="30"/>
      <c r="O643" s="53"/>
    </row>
    <row r="644" spans="4:15">
      <c r="D644" s="47"/>
      <c r="E644" s="143"/>
      <c r="H644" s="29"/>
      <c r="I644" s="30"/>
      <c r="O644" s="53"/>
    </row>
    <row r="645" spans="4:15">
      <c r="D645" s="47"/>
      <c r="E645" s="143"/>
      <c r="H645" s="29"/>
      <c r="I645" s="30"/>
      <c r="O645" s="53"/>
    </row>
    <row r="646" spans="4:15">
      <c r="D646" s="47"/>
      <c r="E646" s="143"/>
      <c r="H646" s="29"/>
      <c r="I646" s="30"/>
      <c r="O646" s="53"/>
    </row>
    <row r="647" spans="4:15">
      <c r="D647" s="47"/>
      <c r="E647" s="143"/>
      <c r="H647" s="29"/>
      <c r="I647" s="30"/>
      <c r="O647" s="53"/>
    </row>
    <row r="648" spans="4:15">
      <c r="D648" s="47"/>
      <c r="E648" s="143"/>
      <c r="H648" s="29"/>
      <c r="I648" s="30"/>
      <c r="O648" s="53"/>
    </row>
    <row r="649" spans="4:15">
      <c r="D649" s="47"/>
      <c r="E649" s="143"/>
      <c r="H649" s="29"/>
      <c r="I649" s="30"/>
      <c r="O649" s="53"/>
    </row>
    <row r="650" spans="4:15">
      <c r="D650" s="47"/>
      <c r="E650" s="143"/>
      <c r="H650" s="29"/>
      <c r="I650" s="30"/>
      <c r="O650" s="53"/>
    </row>
    <row r="651" spans="4:15">
      <c r="D651" s="47"/>
      <c r="E651" s="143"/>
      <c r="H651" s="29"/>
      <c r="I651" s="30"/>
      <c r="O651" s="53"/>
    </row>
    <row r="652" spans="4:15">
      <c r="D652" s="47"/>
      <c r="E652" s="143"/>
      <c r="H652" s="29"/>
      <c r="I652" s="30"/>
      <c r="O652" s="53"/>
    </row>
    <row r="653" spans="4:15">
      <c r="D653" s="47"/>
      <c r="E653" s="143"/>
      <c r="H653" s="29"/>
      <c r="I653" s="30"/>
      <c r="O653" s="53"/>
    </row>
    <row r="654" spans="4:15">
      <c r="D654" s="47"/>
      <c r="E654" s="143"/>
      <c r="H654" s="29"/>
      <c r="I654" s="30"/>
      <c r="O654" s="53"/>
    </row>
    <row r="655" spans="4:15">
      <c r="D655" s="47"/>
      <c r="E655" s="143"/>
      <c r="H655" s="29"/>
      <c r="I655" s="30"/>
      <c r="O655" s="53"/>
    </row>
    <row r="656" spans="4:15">
      <c r="D656" s="47"/>
      <c r="E656" s="143"/>
      <c r="H656" s="29"/>
      <c r="I656" s="30"/>
      <c r="O656" s="53"/>
    </row>
    <row r="657" spans="4:15">
      <c r="D657" s="47"/>
      <c r="E657" s="143"/>
      <c r="H657" s="29"/>
      <c r="I657" s="30"/>
      <c r="O657" s="53"/>
    </row>
    <row r="658" spans="4:15">
      <c r="D658" s="47"/>
      <c r="E658" s="143"/>
      <c r="H658" s="29"/>
      <c r="I658" s="30"/>
      <c r="O658" s="53"/>
    </row>
    <row r="659" spans="4:15">
      <c r="D659" s="47"/>
      <c r="E659" s="143"/>
      <c r="H659" s="29"/>
      <c r="I659" s="30"/>
      <c r="O659" s="53"/>
    </row>
    <row r="660" spans="4:15">
      <c r="D660" s="47"/>
      <c r="E660" s="143"/>
      <c r="H660" s="29"/>
      <c r="I660" s="30"/>
      <c r="O660" s="53"/>
    </row>
    <row r="661" spans="4:15">
      <c r="D661" s="47"/>
      <c r="E661" s="143"/>
      <c r="H661" s="29"/>
      <c r="I661" s="30"/>
      <c r="O661" s="53"/>
    </row>
    <row r="662" spans="4:15">
      <c r="D662" s="47"/>
      <c r="E662" s="143"/>
      <c r="H662" s="29"/>
      <c r="I662" s="30"/>
      <c r="O662" s="53"/>
    </row>
    <row r="663" spans="4:15">
      <c r="D663" s="47"/>
      <c r="E663" s="143"/>
      <c r="H663" s="29"/>
      <c r="I663" s="30"/>
      <c r="O663" s="53"/>
    </row>
    <row r="664" spans="4:15">
      <c r="D664" s="47"/>
      <c r="E664" s="143"/>
      <c r="H664" s="29"/>
      <c r="I664" s="30"/>
      <c r="O664" s="53"/>
    </row>
    <row r="665" spans="4:15">
      <c r="D665" s="47"/>
      <c r="E665" s="143"/>
      <c r="H665" s="29"/>
      <c r="I665" s="30"/>
      <c r="O665" s="53"/>
    </row>
    <row r="666" spans="4:15">
      <c r="D666" s="47"/>
      <c r="E666" s="143"/>
      <c r="H666" s="29"/>
      <c r="I666" s="30"/>
      <c r="O666" s="53"/>
    </row>
    <row r="667" spans="4:15">
      <c r="D667" s="47"/>
      <c r="E667" s="143"/>
      <c r="H667" s="29"/>
      <c r="I667" s="30"/>
      <c r="O667" s="53"/>
    </row>
    <row r="668" spans="4:15">
      <c r="D668" s="47"/>
      <c r="E668" s="143"/>
      <c r="H668" s="29"/>
      <c r="I668" s="30"/>
      <c r="O668" s="53"/>
    </row>
    <row r="669" spans="4:15">
      <c r="D669" s="47"/>
      <c r="E669" s="143"/>
      <c r="H669" s="29"/>
      <c r="I669" s="30"/>
      <c r="O669" s="53"/>
    </row>
    <row r="670" spans="4:15">
      <c r="D670" s="47"/>
      <c r="E670" s="143"/>
      <c r="H670" s="29"/>
      <c r="I670" s="30"/>
      <c r="O670" s="53"/>
    </row>
    <row r="671" spans="4:15">
      <c r="D671" s="47"/>
      <c r="E671" s="143"/>
      <c r="H671" s="29"/>
      <c r="I671" s="30"/>
      <c r="O671" s="53"/>
    </row>
    <row r="672" spans="4:15">
      <c r="D672" s="47"/>
      <c r="E672" s="143"/>
      <c r="H672" s="29"/>
      <c r="I672" s="30"/>
      <c r="O672" s="53"/>
    </row>
    <row r="673" spans="4:15">
      <c r="D673" s="47"/>
      <c r="E673" s="143"/>
      <c r="H673" s="29"/>
      <c r="I673" s="30"/>
      <c r="O673" s="53"/>
    </row>
    <row r="674" spans="4:15">
      <c r="D674" s="47"/>
      <c r="E674" s="143"/>
      <c r="H674" s="29"/>
      <c r="I674" s="30"/>
      <c r="O674" s="53"/>
    </row>
    <row r="675" spans="4:15">
      <c r="D675" s="47"/>
      <c r="E675" s="143"/>
      <c r="H675" s="29"/>
      <c r="I675" s="30"/>
      <c r="O675" s="53"/>
    </row>
    <row r="676" spans="4:15">
      <c r="D676" s="47"/>
      <c r="E676" s="143"/>
      <c r="H676" s="29"/>
      <c r="I676" s="30"/>
      <c r="O676" s="53"/>
    </row>
    <row r="677" spans="4:15">
      <c r="D677" s="47"/>
      <c r="E677" s="143"/>
      <c r="H677" s="29"/>
      <c r="I677" s="30"/>
      <c r="O677" s="53"/>
    </row>
    <row r="678" spans="4:15">
      <c r="D678" s="47"/>
      <c r="E678" s="143"/>
      <c r="H678" s="29"/>
      <c r="I678" s="30"/>
      <c r="O678" s="53"/>
    </row>
    <row r="679" spans="4:15">
      <c r="D679" s="47"/>
      <c r="E679" s="143"/>
      <c r="H679" s="29"/>
      <c r="I679" s="30"/>
      <c r="O679" s="53"/>
    </row>
    <row r="680" spans="4:15">
      <c r="D680" s="47"/>
      <c r="E680" s="143"/>
      <c r="H680" s="29"/>
      <c r="I680" s="30"/>
      <c r="O680" s="53"/>
    </row>
    <row r="681" spans="4:15">
      <c r="D681" s="47"/>
      <c r="E681" s="143"/>
      <c r="H681" s="29"/>
      <c r="I681" s="30"/>
      <c r="O681" s="53"/>
    </row>
    <row r="682" spans="4:15">
      <c r="D682" s="47"/>
      <c r="E682" s="143"/>
      <c r="H682" s="29"/>
      <c r="I682" s="30"/>
      <c r="O682" s="53"/>
    </row>
    <row r="683" spans="4:15">
      <c r="D683" s="47"/>
      <c r="E683" s="143"/>
      <c r="H683" s="29"/>
      <c r="I683" s="30"/>
      <c r="O683" s="53"/>
    </row>
    <row r="684" spans="4:15">
      <c r="D684" s="47"/>
      <c r="E684" s="143"/>
      <c r="H684" s="29"/>
      <c r="I684" s="30"/>
      <c r="O684" s="53"/>
    </row>
    <row r="685" spans="4:15">
      <c r="D685" s="47"/>
      <c r="E685" s="143"/>
      <c r="H685" s="29"/>
      <c r="I685" s="30"/>
      <c r="O685" s="53"/>
    </row>
    <row r="686" spans="4:15">
      <c r="D686" s="47"/>
      <c r="E686" s="143"/>
      <c r="H686" s="29"/>
      <c r="I686" s="30"/>
      <c r="O686" s="53"/>
    </row>
    <row r="687" spans="4:15">
      <c r="D687" s="47"/>
      <c r="E687" s="143"/>
      <c r="H687" s="29"/>
      <c r="I687" s="30"/>
      <c r="O687" s="53"/>
    </row>
    <row r="688" spans="4:15">
      <c r="D688" s="47"/>
      <c r="E688" s="143"/>
      <c r="H688" s="29"/>
      <c r="I688" s="30"/>
      <c r="O688" s="53"/>
    </row>
    <row r="689" spans="4:15">
      <c r="D689" s="47"/>
      <c r="E689" s="143"/>
      <c r="H689" s="29"/>
      <c r="I689" s="30"/>
      <c r="O689" s="53"/>
    </row>
    <row r="690" spans="4:15">
      <c r="D690" s="47"/>
      <c r="E690" s="143"/>
      <c r="H690" s="29"/>
      <c r="I690" s="30"/>
      <c r="O690" s="53"/>
    </row>
    <row r="691" spans="4:15">
      <c r="D691" s="47"/>
      <c r="E691" s="143"/>
      <c r="H691" s="29"/>
      <c r="I691" s="30"/>
      <c r="O691" s="53"/>
    </row>
    <row r="692" spans="4:15">
      <c r="D692" s="47"/>
      <c r="E692" s="143"/>
      <c r="H692" s="29"/>
      <c r="I692" s="30"/>
      <c r="O692" s="53"/>
    </row>
    <row r="693" spans="4:15">
      <c r="D693" s="47"/>
      <c r="E693" s="143"/>
      <c r="H693" s="29"/>
      <c r="I693" s="30"/>
      <c r="O693" s="53"/>
    </row>
    <row r="694" spans="4:15">
      <c r="D694" s="47"/>
      <c r="E694" s="143"/>
      <c r="H694" s="29"/>
      <c r="I694" s="30"/>
      <c r="O694" s="53"/>
    </row>
    <row r="695" spans="4:15">
      <c r="D695" s="47"/>
      <c r="E695" s="143"/>
      <c r="H695" s="29"/>
      <c r="I695" s="30"/>
      <c r="O695" s="53"/>
    </row>
    <row r="696" spans="4:15">
      <c r="D696" s="47"/>
      <c r="E696" s="143"/>
      <c r="H696" s="29"/>
      <c r="I696" s="30"/>
      <c r="O696" s="53"/>
    </row>
    <row r="697" spans="4:15">
      <c r="D697" s="47"/>
      <c r="E697" s="143"/>
      <c r="H697" s="29"/>
      <c r="I697" s="30"/>
      <c r="O697" s="53"/>
    </row>
    <row r="698" spans="4:15">
      <c r="D698" s="47"/>
      <c r="E698" s="143"/>
      <c r="H698" s="29"/>
      <c r="I698" s="30"/>
      <c r="O698" s="53"/>
    </row>
    <row r="699" spans="4:15">
      <c r="D699" s="47"/>
      <c r="E699" s="143"/>
      <c r="H699" s="29"/>
      <c r="I699" s="30"/>
      <c r="O699" s="53"/>
    </row>
    <row r="700" spans="4:15">
      <c r="D700" s="47"/>
      <c r="E700" s="143"/>
      <c r="H700" s="29"/>
      <c r="I700" s="30"/>
      <c r="O700" s="53"/>
    </row>
    <row r="701" spans="4:15">
      <c r="D701" s="47"/>
      <c r="E701" s="143"/>
      <c r="H701" s="29"/>
      <c r="I701" s="30"/>
      <c r="O701" s="53"/>
    </row>
    <row r="702" spans="4:15">
      <c r="D702" s="47"/>
      <c r="E702" s="143"/>
      <c r="H702" s="29"/>
      <c r="I702" s="30"/>
      <c r="O702" s="53"/>
    </row>
    <row r="703" spans="4:15">
      <c r="D703" s="47"/>
      <c r="E703" s="143"/>
      <c r="H703" s="29"/>
      <c r="I703" s="30"/>
      <c r="O703" s="53"/>
    </row>
    <row r="704" spans="4:15">
      <c r="D704" s="47"/>
      <c r="E704" s="143"/>
      <c r="H704" s="29"/>
      <c r="I704" s="30"/>
      <c r="O704" s="53"/>
    </row>
    <row r="705" spans="4:15">
      <c r="D705" s="47"/>
      <c r="E705" s="143"/>
      <c r="H705" s="29"/>
      <c r="I705" s="30"/>
      <c r="O705" s="53"/>
    </row>
    <row r="706" spans="4:15">
      <c r="D706" s="47"/>
      <c r="E706" s="143"/>
      <c r="H706" s="29"/>
      <c r="I706" s="30"/>
      <c r="O706" s="53"/>
    </row>
    <row r="707" spans="4:15">
      <c r="D707" s="47"/>
      <c r="E707" s="143"/>
      <c r="H707" s="29"/>
      <c r="I707" s="30"/>
      <c r="O707" s="53"/>
    </row>
    <row r="708" spans="4:15">
      <c r="D708" s="47"/>
      <c r="E708" s="143"/>
      <c r="H708" s="29"/>
      <c r="I708" s="30"/>
      <c r="O708" s="53"/>
    </row>
    <row r="709" spans="4:15">
      <c r="D709" s="47"/>
      <c r="E709" s="143"/>
      <c r="H709" s="29"/>
      <c r="I709" s="30"/>
      <c r="O709" s="53"/>
    </row>
    <row r="710" spans="4:15">
      <c r="D710" s="47"/>
      <c r="E710" s="143"/>
      <c r="H710" s="29"/>
      <c r="I710" s="30"/>
      <c r="O710" s="53"/>
    </row>
    <row r="711" spans="4:15">
      <c r="D711" s="47"/>
      <c r="E711" s="143"/>
      <c r="H711" s="29"/>
      <c r="I711" s="30"/>
      <c r="O711" s="53"/>
    </row>
    <row r="712" spans="4:15">
      <c r="D712" s="47"/>
      <c r="E712" s="143"/>
      <c r="H712" s="29"/>
      <c r="I712" s="30"/>
      <c r="O712" s="53"/>
    </row>
    <row r="713" spans="4:15">
      <c r="D713" s="47"/>
      <c r="E713" s="143"/>
      <c r="H713" s="29"/>
      <c r="I713" s="30"/>
      <c r="O713" s="53"/>
    </row>
    <row r="714" spans="4:15">
      <c r="D714" s="47"/>
      <c r="E714" s="143"/>
      <c r="H714" s="29"/>
      <c r="I714" s="30"/>
      <c r="O714" s="53"/>
    </row>
    <row r="715" spans="4:15">
      <c r="D715" s="47"/>
      <c r="E715" s="143"/>
      <c r="H715" s="29"/>
      <c r="I715" s="30"/>
      <c r="O715" s="53"/>
    </row>
    <row r="716" spans="4:15">
      <c r="D716" s="47"/>
      <c r="E716" s="143"/>
      <c r="H716" s="29"/>
      <c r="I716" s="30"/>
      <c r="O716" s="53"/>
    </row>
    <row r="717" spans="4:15">
      <c r="D717" s="47"/>
      <c r="E717" s="143"/>
      <c r="H717" s="29"/>
      <c r="I717" s="30"/>
      <c r="O717" s="53"/>
    </row>
    <row r="718" spans="4:15">
      <c r="D718" s="47"/>
      <c r="E718" s="143"/>
      <c r="H718" s="29"/>
      <c r="I718" s="30"/>
      <c r="O718" s="53"/>
    </row>
    <row r="719" spans="4:15">
      <c r="D719" s="47"/>
      <c r="E719" s="143"/>
      <c r="H719" s="29"/>
      <c r="I719" s="30"/>
      <c r="O719" s="53"/>
    </row>
    <row r="720" spans="4:15">
      <c r="D720" s="47"/>
      <c r="E720" s="143"/>
      <c r="H720" s="29"/>
      <c r="I720" s="30"/>
      <c r="O720" s="53"/>
    </row>
    <row r="721" spans="4:15">
      <c r="D721" s="47"/>
      <c r="E721" s="143"/>
      <c r="H721" s="29"/>
      <c r="I721" s="30"/>
      <c r="O721" s="53"/>
    </row>
    <row r="722" spans="4:15">
      <c r="D722" s="47"/>
      <c r="E722" s="143"/>
      <c r="H722" s="29"/>
      <c r="I722" s="30"/>
      <c r="O722" s="53"/>
    </row>
    <row r="723" spans="4:15">
      <c r="D723" s="47"/>
      <c r="E723" s="143"/>
      <c r="H723" s="29"/>
      <c r="I723" s="30"/>
      <c r="O723" s="53"/>
    </row>
    <row r="724" spans="4:15">
      <c r="D724" s="47"/>
      <c r="E724" s="143"/>
      <c r="H724" s="29"/>
      <c r="I724" s="30"/>
      <c r="O724" s="53"/>
    </row>
    <row r="725" spans="4:15">
      <c r="D725" s="47"/>
      <c r="E725" s="143"/>
      <c r="H725" s="29"/>
      <c r="I725" s="30"/>
      <c r="O725" s="53"/>
    </row>
    <row r="726" spans="4:15">
      <c r="D726" s="47"/>
      <c r="E726" s="143"/>
      <c r="H726" s="29"/>
      <c r="I726" s="30"/>
      <c r="O726" s="53"/>
    </row>
    <row r="727" spans="4:15">
      <c r="D727" s="47"/>
      <c r="E727" s="143"/>
      <c r="H727" s="29"/>
      <c r="I727" s="30"/>
      <c r="O727" s="53"/>
    </row>
    <row r="728" spans="4:15">
      <c r="D728" s="47"/>
      <c r="E728" s="143"/>
      <c r="H728" s="29"/>
      <c r="I728" s="30"/>
      <c r="O728" s="53"/>
    </row>
    <row r="729" spans="4:15">
      <c r="D729" s="47"/>
      <c r="E729" s="143"/>
      <c r="H729" s="29"/>
      <c r="I729" s="30"/>
      <c r="O729" s="53"/>
    </row>
    <row r="730" spans="4:15">
      <c r="D730" s="47"/>
      <c r="E730" s="143"/>
      <c r="H730" s="29"/>
      <c r="I730" s="30"/>
      <c r="O730" s="53"/>
    </row>
    <row r="731" spans="4:15">
      <c r="D731" s="47"/>
      <c r="E731" s="143"/>
      <c r="H731" s="29"/>
      <c r="I731" s="30"/>
      <c r="O731" s="53"/>
    </row>
    <row r="732" spans="4:15">
      <c r="D732" s="47"/>
      <c r="E732" s="143"/>
      <c r="H732" s="29"/>
      <c r="I732" s="30"/>
      <c r="O732" s="53"/>
    </row>
    <row r="733" spans="4:15">
      <c r="D733" s="47"/>
      <c r="E733" s="143"/>
      <c r="H733" s="29"/>
      <c r="I733" s="30"/>
      <c r="O733" s="53"/>
    </row>
    <row r="734" spans="4:15">
      <c r="D734" s="47"/>
      <c r="E734" s="143"/>
      <c r="H734" s="29"/>
      <c r="I734" s="30"/>
      <c r="O734" s="53"/>
    </row>
    <row r="735" spans="4:15">
      <c r="D735" s="47"/>
      <c r="E735" s="143"/>
      <c r="H735" s="29"/>
      <c r="I735" s="30"/>
      <c r="O735" s="53"/>
    </row>
    <row r="736" spans="4:15">
      <c r="D736" s="47"/>
      <c r="E736" s="143"/>
      <c r="H736" s="29"/>
      <c r="I736" s="30"/>
      <c r="O736" s="53"/>
    </row>
    <row r="737" spans="4:15">
      <c r="D737" s="47"/>
      <c r="E737" s="143"/>
      <c r="H737" s="29"/>
      <c r="I737" s="30"/>
      <c r="O737" s="53"/>
    </row>
    <row r="738" spans="4:15">
      <c r="D738" s="47"/>
      <c r="E738" s="143"/>
      <c r="H738" s="29"/>
      <c r="I738" s="30"/>
      <c r="O738" s="53"/>
    </row>
    <row r="739" spans="4:15">
      <c r="D739" s="47"/>
      <c r="E739" s="143"/>
      <c r="H739" s="29"/>
      <c r="I739" s="30"/>
      <c r="O739" s="53"/>
    </row>
    <row r="740" spans="4:15">
      <c r="D740" s="47"/>
      <c r="E740" s="143"/>
      <c r="H740" s="29"/>
      <c r="I740" s="30"/>
      <c r="O740" s="53"/>
    </row>
    <row r="741" spans="4:15">
      <c r="D741" s="47"/>
      <c r="E741" s="143"/>
      <c r="H741" s="29"/>
      <c r="I741" s="30"/>
      <c r="O741" s="53"/>
    </row>
    <row r="742" spans="4:15">
      <c r="D742" s="47"/>
      <c r="E742" s="143"/>
      <c r="H742" s="29"/>
      <c r="I742" s="30"/>
      <c r="O742" s="53"/>
    </row>
    <row r="743" spans="4:15">
      <c r="D743" s="47"/>
      <c r="E743" s="143"/>
      <c r="H743" s="29"/>
      <c r="I743" s="30"/>
      <c r="O743" s="53"/>
    </row>
    <row r="744" spans="4:15">
      <c r="D744" s="47"/>
      <c r="E744" s="143"/>
      <c r="H744" s="29"/>
      <c r="I744" s="30"/>
      <c r="O744" s="53"/>
    </row>
    <row r="745" spans="4:15">
      <c r="D745" s="47"/>
      <c r="E745" s="143"/>
      <c r="H745" s="29"/>
      <c r="I745" s="30"/>
      <c r="O745" s="53"/>
    </row>
    <row r="746" spans="4:15">
      <c r="D746" s="47"/>
      <c r="E746" s="143"/>
      <c r="H746" s="29"/>
      <c r="I746" s="30"/>
      <c r="O746" s="53"/>
    </row>
    <row r="747" spans="4:15">
      <c r="D747" s="47"/>
      <c r="E747" s="143"/>
      <c r="H747" s="29"/>
      <c r="I747" s="30"/>
      <c r="O747" s="53"/>
    </row>
    <row r="748" spans="4:15">
      <c r="D748" s="47"/>
      <c r="E748" s="143"/>
      <c r="H748" s="29"/>
      <c r="I748" s="30"/>
      <c r="O748" s="53"/>
    </row>
    <row r="749" spans="4:15">
      <c r="D749" s="47"/>
      <c r="E749" s="143"/>
      <c r="H749" s="29"/>
      <c r="I749" s="30"/>
      <c r="O749" s="53"/>
    </row>
    <row r="750" spans="4:15">
      <c r="D750" s="47"/>
      <c r="E750" s="143"/>
      <c r="H750" s="29"/>
      <c r="I750" s="30"/>
      <c r="O750" s="53"/>
    </row>
    <row r="751" spans="4:15">
      <c r="D751" s="47"/>
      <c r="E751" s="143"/>
      <c r="H751" s="29"/>
      <c r="I751" s="30"/>
      <c r="O751" s="53"/>
    </row>
    <row r="752" spans="4:15">
      <c r="D752" s="47"/>
      <c r="E752" s="143"/>
      <c r="H752" s="29"/>
      <c r="I752" s="30"/>
      <c r="O752" s="53"/>
    </row>
    <row r="753" spans="4:15">
      <c r="D753" s="47"/>
      <c r="E753" s="143"/>
      <c r="H753" s="29"/>
      <c r="I753" s="30"/>
      <c r="O753" s="53"/>
    </row>
    <row r="754" spans="4:15">
      <c r="D754" s="47"/>
      <c r="E754" s="143"/>
      <c r="H754" s="29"/>
      <c r="I754" s="30"/>
      <c r="O754" s="53"/>
    </row>
    <row r="755" spans="4:15">
      <c r="D755" s="47"/>
      <c r="E755" s="143"/>
      <c r="H755" s="29"/>
      <c r="I755" s="30"/>
      <c r="O755" s="53"/>
    </row>
    <row r="756" spans="4:15">
      <c r="D756" s="47"/>
      <c r="E756" s="143"/>
      <c r="H756" s="29"/>
      <c r="I756" s="30"/>
      <c r="O756" s="53"/>
    </row>
    <row r="757" spans="4:15">
      <c r="D757" s="47"/>
      <c r="E757" s="143"/>
      <c r="H757" s="29"/>
      <c r="I757" s="30"/>
      <c r="O757" s="53"/>
    </row>
    <row r="758" spans="4:15">
      <c r="D758" s="47"/>
      <c r="E758" s="143"/>
      <c r="H758" s="29"/>
      <c r="I758" s="30"/>
      <c r="O758" s="53"/>
    </row>
    <row r="759" spans="4:15">
      <c r="D759" s="47"/>
      <c r="E759" s="143"/>
      <c r="H759" s="29"/>
      <c r="I759" s="30"/>
      <c r="O759" s="53"/>
    </row>
    <row r="760" spans="4:15">
      <c r="D760" s="47"/>
      <c r="E760" s="143"/>
      <c r="H760" s="29"/>
      <c r="I760" s="30"/>
      <c r="O760" s="53"/>
    </row>
    <row r="761" spans="4:15">
      <c r="D761" s="47"/>
      <c r="E761" s="143"/>
      <c r="H761" s="29"/>
      <c r="I761" s="30"/>
      <c r="O761" s="53"/>
    </row>
    <row r="762" spans="4:15">
      <c r="D762" s="47"/>
      <c r="E762" s="143"/>
      <c r="H762" s="29"/>
      <c r="I762" s="30"/>
      <c r="O762" s="53"/>
    </row>
    <row r="763" spans="4:15">
      <c r="D763" s="47"/>
      <c r="E763" s="143"/>
      <c r="H763" s="29"/>
      <c r="I763" s="30"/>
      <c r="O763" s="53"/>
    </row>
    <row r="764" spans="4:15">
      <c r="D764" s="47"/>
      <c r="E764" s="143"/>
      <c r="H764" s="29"/>
      <c r="I764" s="30"/>
      <c r="O764" s="53"/>
    </row>
    <row r="765" spans="4:15">
      <c r="D765" s="47"/>
      <c r="E765" s="143"/>
      <c r="H765" s="29"/>
      <c r="I765" s="30"/>
      <c r="O765" s="53"/>
    </row>
    <row r="766" spans="4:15">
      <c r="D766" s="47"/>
      <c r="E766" s="143"/>
      <c r="H766" s="29"/>
      <c r="I766" s="30"/>
      <c r="O766" s="53"/>
    </row>
    <row r="767" spans="4:15">
      <c r="D767" s="47"/>
      <c r="E767" s="143"/>
      <c r="H767" s="29"/>
      <c r="I767" s="30"/>
      <c r="O767" s="53"/>
    </row>
    <row r="768" spans="4:15">
      <c r="D768" s="47"/>
      <c r="E768" s="143"/>
      <c r="H768" s="29"/>
      <c r="I768" s="30"/>
      <c r="O768" s="53"/>
    </row>
    <row r="769" spans="4:15">
      <c r="D769" s="47"/>
      <c r="E769" s="143"/>
      <c r="H769" s="29"/>
      <c r="I769" s="30"/>
      <c r="O769" s="53"/>
    </row>
    <row r="770" spans="4:15">
      <c r="D770" s="47"/>
      <c r="E770" s="143"/>
      <c r="H770" s="29"/>
      <c r="I770" s="30"/>
      <c r="O770" s="53"/>
    </row>
    <row r="771" spans="4:15">
      <c r="D771" s="47"/>
      <c r="E771" s="143"/>
      <c r="H771" s="29"/>
      <c r="I771" s="30"/>
      <c r="O771" s="53"/>
    </row>
    <row r="772" spans="4:15">
      <c r="D772" s="47"/>
      <c r="E772" s="143"/>
      <c r="H772" s="29"/>
      <c r="I772" s="30"/>
      <c r="O772" s="53"/>
    </row>
    <row r="773" spans="4:15">
      <c r="D773" s="47"/>
      <c r="E773" s="143"/>
      <c r="H773" s="29"/>
      <c r="I773" s="30"/>
      <c r="O773" s="53"/>
    </row>
    <row r="774" spans="4:15">
      <c r="D774" s="47"/>
      <c r="E774" s="143"/>
      <c r="H774" s="29"/>
      <c r="I774" s="30"/>
      <c r="O774" s="53"/>
    </row>
    <row r="775" spans="4:15">
      <c r="D775" s="47"/>
      <c r="E775" s="143"/>
      <c r="H775" s="29"/>
      <c r="I775" s="30"/>
      <c r="O775" s="53"/>
    </row>
    <row r="776" spans="4:15">
      <c r="D776" s="47"/>
      <c r="E776" s="143"/>
      <c r="H776" s="29"/>
      <c r="I776" s="30"/>
      <c r="O776" s="53"/>
    </row>
    <row r="777" spans="4:15">
      <c r="D777" s="47"/>
      <c r="E777" s="143"/>
      <c r="H777" s="29"/>
      <c r="I777" s="30"/>
      <c r="O777" s="53"/>
    </row>
    <row r="778" spans="4:15">
      <c r="D778" s="47"/>
      <c r="E778" s="143"/>
      <c r="H778" s="29"/>
      <c r="I778" s="30"/>
      <c r="O778" s="53"/>
    </row>
    <row r="779" spans="4:15">
      <c r="D779" s="47"/>
      <c r="E779" s="143"/>
      <c r="H779" s="29"/>
      <c r="I779" s="30"/>
      <c r="O779" s="53"/>
    </row>
    <row r="780" spans="4:15">
      <c r="D780" s="47"/>
      <c r="E780" s="143"/>
      <c r="H780" s="29"/>
      <c r="I780" s="30"/>
      <c r="O780" s="53"/>
    </row>
    <row r="781" spans="4:15">
      <c r="D781" s="47"/>
      <c r="E781" s="143"/>
      <c r="H781" s="29"/>
      <c r="I781" s="30"/>
      <c r="O781" s="53"/>
    </row>
    <row r="782" spans="4:15">
      <c r="D782" s="47"/>
      <c r="E782" s="143"/>
      <c r="H782" s="29"/>
      <c r="I782" s="30"/>
      <c r="O782" s="53"/>
    </row>
    <row r="783" spans="4:15">
      <c r="D783" s="47"/>
      <c r="E783" s="143"/>
      <c r="H783" s="29"/>
      <c r="I783" s="30"/>
      <c r="O783" s="53"/>
    </row>
    <row r="784" spans="4:15">
      <c r="D784" s="47"/>
      <c r="E784" s="143"/>
      <c r="H784" s="29"/>
      <c r="I784" s="30"/>
      <c r="O784" s="53"/>
    </row>
    <row r="785" spans="4:15">
      <c r="D785" s="47"/>
      <c r="E785" s="143"/>
      <c r="H785" s="29"/>
      <c r="I785" s="30"/>
      <c r="O785" s="53"/>
    </row>
    <row r="786" spans="4:15">
      <c r="D786" s="47"/>
      <c r="E786" s="143"/>
      <c r="H786" s="29"/>
      <c r="I786" s="30"/>
      <c r="O786" s="53"/>
    </row>
    <row r="787" spans="4:15">
      <c r="D787" s="47"/>
      <c r="E787" s="143"/>
      <c r="H787" s="29"/>
      <c r="I787" s="30"/>
      <c r="O787" s="53"/>
    </row>
    <row r="788" spans="4:15">
      <c r="D788" s="47"/>
      <c r="E788" s="143"/>
      <c r="H788" s="29"/>
      <c r="I788" s="30"/>
      <c r="O788" s="53"/>
    </row>
    <row r="789" spans="4:15">
      <c r="D789" s="47"/>
      <c r="E789" s="143"/>
      <c r="H789" s="29"/>
      <c r="I789" s="30"/>
      <c r="O789" s="53"/>
    </row>
    <row r="790" spans="4:15">
      <c r="D790" s="47"/>
      <c r="E790" s="143"/>
      <c r="H790" s="29"/>
      <c r="I790" s="30"/>
      <c r="O790" s="53"/>
    </row>
    <row r="791" spans="4:15">
      <c r="D791" s="47"/>
      <c r="E791" s="143"/>
      <c r="H791" s="29"/>
      <c r="I791" s="30"/>
      <c r="O791" s="53"/>
    </row>
    <row r="792" spans="4:15">
      <c r="D792" s="47"/>
      <c r="E792" s="143"/>
      <c r="H792" s="29"/>
      <c r="I792" s="30"/>
      <c r="O792" s="53"/>
    </row>
    <row r="793" spans="4:15">
      <c r="D793" s="47"/>
      <c r="E793" s="143"/>
      <c r="H793" s="29"/>
      <c r="I793" s="30"/>
      <c r="O793" s="53"/>
    </row>
    <row r="794" spans="4:15">
      <c r="D794" s="47"/>
      <c r="E794" s="143"/>
      <c r="H794" s="29"/>
      <c r="I794" s="30"/>
      <c r="O794" s="53"/>
    </row>
    <row r="795" spans="4:15">
      <c r="D795" s="47"/>
      <c r="E795" s="143"/>
      <c r="H795" s="29"/>
      <c r="I795" s="30"/>
      <c r="O795" s="53"/>
    </row>
    <row r="796" spans="4:15">
      <c r="D796" s="47"/>
      <c r="E796" s="143"/>
      <c r="H796" s="29"/>
      <c r="I796" s="30"/>
      <c r="O796" s="53"/>
    </row>
    <row r="797" spans="4:15">
      <c r="D797" s="47"/>
      <c r="E797" s="143"/>
      <c r="H797" s="29"/>
      <c r="I797" s="30"/>
      <c r="O797" s="53"/>
    </row>
    <row r="798" spans="4:15">
      <c r="D798" s="47"/>
      <c r="E798" s="143"/>
      <c r="H798" s="29"/>
      <c r="I798" s="30"/>
      <c r="O798" s="53"/>
    </row>
    <row r="799" spans="4:15">
      <c r="D799" s="47"/>
      <c r="E799" s="143"/>
      <c r="H799" s="29"/>
      <c r="I799" s="30"/>
      <c r="O799" s="53"/>
    </row>
    <row r="800" spans="4:15">
      <c r="D800" s="47"/>
      <c r="E800" s="143"/>
      <c r="H800" s="29"/>
      <c r="I800" s="30"/>
      <c r="O800" s="53"/>
    </row>
    <row r="801" spans="4:15">
      <c r="D801" s="47"/>
      <c r="E801" s="143"/>
      <c r="H801" s="29"/>
      <c r="I801" s="30"/>
      <c r="O801" s="53"/>
    </row>
    <row r="802" spans="4:15">
      <c r="D802" s="47"/>
      <c r="E802" s="143"/>
      <c r="H802" s="29"/>
      <c r="I802" s="30"/>
      <c r="O802" s="53"/>
    </row>
    <row r="803" spans="4:15">
      <c r="D803" s="47"/>
      <c r="E803" s="143"/>
      <c r="H803" s="29"/>
      <c r="I803" s="30"/>
      <c r="O803" s="53"/>
    </row>
    <row r="804" spans="4:15">
      <c r="D804" s="47"/>
      <c r="E804" s="143"/>
      <c r="H804" s="29"/>
      <c r="I804" s="30"/>
      <c r="O804" s="53"/>
    </row>
    <row r="805" spans="4:15">
      <c r="D805" s="47"/>
      <c r="E805" s="143"/>
      <c r="H805" s="29"/>
      <c r="I805" s="30"/>
      <c r="O805" s="53"/>
    </row>
    <row r="806" spans="4:15">
      <c r="D806" s="47"/>
      <c r="E806" s="143"/>
      <c r="H806" s="29"/>
      <c r="I806" s="30"/>
      <c r="O806" s="53"/>
    </row>
    <row r="807" spans="4:15">
      <c r="D807" s="47"/>
      <c r="E807" s="143"/>
      <c r="H807" s="29"/>
      <c r="I807" s="30"/>
      <c r="O807" s="53"/>
    </row>
    <row r="808" spans="4:15">
      <c r="D808" s="47"/>
      <c r="E808" s="143"/>
      <c r="H808" s="29"/>
      <c r="I808" s="30"/>
      <c r="O808" s="53"/>
    </row>
    <row r="809" spans="4:15">
      <c r="D809" s="47"/>
      <c r="E809" s="143"/>
      <c r="H809" s="29"/>
      <c r="I809" s="30"/>
      <c r="O809" s="53"/>
    </row>
    <row r="810" spans="4:15">
      <c r="D810" s="47"/>
      <c r="E810" s="143"/>
      <c r="H810" s="29"/>
      <c r="I810" s="30"/>
      <c r="O810" s="53"/>
    </row>
    <row r="811" spans="4:15">
      <c r="D811" s="47"/>
      <c r="E811" s="143"/>
      <c r="H811" s="29"/>
      <c r="I811" s="30"/>
      <c r="O811" s="53"/>
    </row>
    <row r="812" spans="4:15">
      <c r="D812" s="47"/>
      <c r="E812" s="143"/>
      <c r="H812" s="29"/>
      <c r="I812" s="30"/>
      <c r="O812" s="53"/>
    </row>
    <row r="813" spans="4:15">
      <c r="D813" s="47"/>
      <c r="E813" s="143"/>
      <c r="H813" s="29"/>
      <c r="I813" s="30"/>
      <c r="O813" s="53"/>
    </row>
    <row r="814" spans="4:15">
      <c r="D814" s="47"/>
      <c r="E814" s="143"/>
      <c r="H814" s="29"/>
      <c r="I814" s="30"/>
      <c r="O814" s="53"/>
    </row>
    <row r="815" spans="4:15">
      <c r="D815" s="47"/>
      <c r="E815" s="143"/>
      <c r="H815" s="29"/>
      <c r="I815" s="30"/>
      <c r="O815" s="53"/>
    </row>
    <row r="816" spans="4:15">
      <c r="D816" s="47"/>
      <c r="E816" s="143"/>
      <c r="H816" s="29"/>
      <c r="I816" s="30"/>
      <c r="O816" s="53"/>
    </row>
    <row r="817" spans="4:15">
      <c r="D817" s="47"/>
      <c r="E817" s="143"/>
      <c r="H817" s="29"/>
      <c r="I817" s="30"/>
      <c r="O817" s="53"/>
    </row>
    <row r="818" spans="4:15">
      <c r="D818" s="47"/>
      <c r="E818" s="143"/>
      <c r="H818" s="29"/>
      <c r="I818" s="30"/>
      <c r="O818" s="53"/>
    </row>
    <row r="819" spans="4:15">
      <c r="D819" s="47"/>
      <c r="E819" s="143"/>
      <c r="H819" s="29"/>
      <c r="I819" s="30"/>
      <c r="O819" s="53"/>
    </row>
    <row r="820" spans="4:15">
      <c r="D820" s="47"/>
      <c r="E820" s="143"/>
      <c r="H820" s="29"/>
      <c r="I820" s="30"/>
      <c r="O820" s="53"/>
    </row>
    <row r="821" spans="4:15">
      <c r="D821" s="47"/>
      <c r="E821" s="143"/>
      <c r="H821" s="29"/>
      <c r="I821" s="30"/>
      <c r="O821" s="53"/>
    </row>
    <row r="822" spans="4:15">
      <c r="D822" s="47"/>
      <c r="E822" s="143"/>
      <c r="H822" s="29"/>
      <c r="I822" s="30"/>
      <c r="O822" s="53"/>
    </row>
    <row r="823" spans="4:15">
      <c r="D823" s="47"/>
      <c r="E823" s="143"/>
      <c r="H823" s="29"/>
      <c r="I823" s="30"/>
      <c r="O823" s="53"/>
    </row>
    <row r="824" spans="4:15">
      <c r="D824" s="47"/>
      <c r="E824" s="143"/>
      <c r="H824" s="29"/>
      <c r="I824" s="30"/>
      <c r="O824" s="53"/>
    </row>
    <row r="825" spans="4:15">
      <c r="D825" s="47"/>
      <c r="E825" s="143"/>
      <c r="H825" s="29"/>
      <c r="I825" s="30"/>
      <c r="O825" s="53"/>
    </row>
    <row r="826" spans="4:15">
      <c r="D826" s="47"/>
      <c r="E826" s="143"/>
      <c r="H826" s="29"/>
      <c r="I826" s="30"/>
      <c r="O826" s="53"/>
    </row>
    <row r="827" spans="4:15">
      <c r="D827" s="47"/>
      <c r="E827" s="143"/>
      <c r="H827" s="29"/>
      <c r="I827" s="30"/>
      <c r="O827" s="53"/>
    </row>
    <row r="828" spans="4:15">
      <c r="D828" s="47"/>
      <c r="E828" s="143"/>
      <c r="H828" s="29"/>
      <c r="I828" s="30"/>
      <c r="O828" s="53"/>
    </row>
    <row r="829" spans="4:15">
      <c r="D829" s="47"/>
      <c r="E829" s="143"/>
      <c r="H829" s="29"/>
      <c r="I829" s="30"/>
      <c r="O829" s="53"/>
    </row>
    <row r="830" spans="4:15">
      <c r="D830" s="47"/>
      <c r="E830" s="143"/>
      <c r="H830" s="29"/>
      <c r="I830" s="30"/>
      <c r="O830" s="53"/>
    </row>
    <row r="831" spans="4:15">
      <c r="D831" s="47"/>
      <c r="E831" s="143"/>
      <c r="H831" s="29"/>
      <c r="I831" s="30"/>
      <c r="O831" s="53"/>
    </row>
    <row r="832" spans="4:15">
      <c r="D832" s="47"/>
      <c r="E832" s="143"/>
      <c r="H832" s="29"/>
      <c r="I832" s="30"/>
      <c r="O832" s="53"/>
    </row>
    <row r="833" spans="4:15">
      <c r="D833" s="47"/>
      <c r="E833" s="143"/>
      <c r="H833" s="29"/>
      <c r="I833" s="30"/>
      <c r="O833" s="53"/>
    </row>
    <row r="834" spans="4:15">
      <c r="D834" s="47"/>
      <c r="E834" s="143"/>
      <c r="H834" s="29"/>
      <c r="I834" s="30"/>
      <c r="O834" s="53"/>
    </row>
    <row r="835" spans="4:15">
      <c r="D835" s="47"/>
      <c r="E835" s="143"/>
      <c r="H835" s="29"/>
      <c r="I835" s="30"/>
      <c r="O835" s="53"/>
    </row>
    <row r="836" spans="4:15">
      <c r="D836" s="47"/>
      <c r="E836" s="143"/>
      <c r="H836" s="29"/>
      <c r="I836" s="30"/>
      <c r="O836" s="53"/>
    </row>
    <row r="837" spans="4:15">
      <c r="D837" s="47"/>
      <c r="E837" s="143"/>
      <c r="H837" s="29"/>
      <c r="I837" s="30"/>
      <c r="O837" s="53"/>
    </row>
    <row r="838" spans="4:15">
      <c r="D838" s="47"/>
      <c r="E838" s="143"/>
      <c r="H838" s="29"/>
      <c r="I838" s="30"/>
      <c r="O838" s="53"/>
    </row>
    <row r="839" spans="4:15">
      <c r="D839" s="47"/>
      <c r="E839" s="143"/>
      <c r="H839" s="29"/>
      <c r="I839" s="30"/>
      <c r="O839" s="53"/>
    </row>
    <row r="840" spans="4:15">
      <c r="D840" s="47"/>
      <c r="E840" s="143"/>
      <c r="H840" s="29"/>
      <c r="I840" s="30"/>
      <c r="O840" s="53"/>
    </row>
    <row r="841" spans="4:15">
      <c r="D841" s="47"/>
      <c r="E841" s="143"/>
      <c r="H841" s="29"/>
      <c r="I841" s="30"/>
      <c r="O841" s="53"/>
    </row>
    <row r="842" spans="4:15">
      <c r="D842" s="47"/>
      <c r="E842" s="143"/>
      <c r="H842" s="29"/>
      <c r="I842" s="30"/>
      <c r="O842" s="53"/>
    </row>
    <row r="843" spans="4:15">
      <c r="D843" s="47"/>
      <c r="E843" s="143"/>
      <c r="H843" s="29"/>
      <c r="I843" s="30"/>
      <c r="O843" s="53"/>
    </row>
    <row r="844" spans="4:15">
      <c r="D844" s="47"/>
      <c r="E844" s="143"/>
      <c r="H844" s="29"/>
      <c r="I844" s="30"/>
      <c r="O844" s="53"/>
    </row>
    <row r="845" spans="4:15">
      <c r="D845" s="47"/>
      <c r="E845" s="143"/>
      <c r="H845" s="29"/>
      <c r="I845" s="30"/>
      <c r="O845" s="53"/>
    </row>
    <row r="846" spans="4:15">
      <c r="D846" s="47"/>
      <c r="E846" s="143"/>
      <c r="H846" s="29"/>
      <c r="I846" s="30"/>
      <c r="O846" s="53"/>
    </row>
    <row r="847" spans="4:15">
      <c r="D847" s="47"/>
      <c r="E847" s="143"/>
      <c r="H847" s="29"/>
      <c r="I847" s="30"/>
      <c r="O847" s="53"/>
    </row>
    <row r="848" spans="4:15">
      <c r="D848" s="47"/>
      <c r="E848" s="143"/>
      <c r="H848" s="29"/>
      <c r="I848" s="30"/>
      <c r="O848" s="53"/>
    </row>
    <row r="849" spans="4:15">
      <c r="D849" s="47"/>
      <c r="E849" s="143"/>
      <c r="H849" s="29"/>
      <c r="I849" s="30"/>
      <c r="O849" s="53"/>
    </row>
    <row r="850" spans="4:15">
      <c r="D850" s="47"/>
      <c r="E850" s="143"/>
      <c r="H850" s="29"/>
      <c r="I850" s="30"/>
      <c r="O850" s="53"/>
    </row>
    <row r="851" spans="4:15">
      <c r="D851" s="47"/>
      <c r="E851" s="143"/>
      <c r="H851" s="29"/>
      <c r="I851" s="30"/>
      <c r="O851" s="53"/>
    </row>
    <row r="852" spans="4:15">
      <c r="D852" s="47"/>
      <c r="E852" s="143"/>
      <c r="H852" s="29"/>
      <c r="I852" s="30"/>
      <c r="O852" s="53"/>
    </row>
    <row r="853" spans="4:15">
      <c r="D853" s="47"/>
      <c r="E853" s="143"/>
      <c r="H853" s="29"/>
      <c r="I853" s="30"/>
      <c r="O853" s="53"/>
    </row>
    <row r="854" spans="4:15">
      <c r="D854" s="47"/>
      <c r="E854" s="143"/>
      <c r="H854" s="29"/>
      <c r="I854" s="30"/>
      <c r="O854" s="53"/>
    </row>
    <row r="855" spans="4:15">
      <c r="D855" s="47"/>
      <c r="E855" s="143"/>
      <c r="H855" s="29"/>
      <c r="I855" s="30"/>
      <c r="O855" s="53"/>
    </row>
    <row r="856" spans="4:15">
      <c r="D856" s="47"/>
      <c r="E856" s="143"/>
      <c r="H856" s="29"/>
      <c r="I856" s="30"/>
      <c r="O856" s="53"/>
    </row>
    <row r="857" spans="4:15">
      <c r="D857" s="47"/>
      <c r="E857" s="143"/>
      <c r="H857" s="29"/>
      <c r="I857" s="30"/>
      <c r="O857" s="53"/>
    </row>
    <row r="858" spans="4:15">
      <c r="D858" s="47"/>
      <c r="E858" s="143"/>
      <c r="H858" s="29"/>
      <c r="I858" s="30"/>
      <c r="O858" s="53"/>
    </row>
    <row r="859" spans="4:15">
      <c r="D859" s="47"/>
      <c r="E859" s="143"/>
      <c r="H859" s="29"/>
      <c r="I859" s="30"/>
      <c r="O859" s="53"/>
    </row>
    <row r="860" spans="4:15">
      <c r="D860" s="47"/>
      <c r="E860" s="143"/>
      <c r="H860" s="29"/>
      <c r="I860" s="30"/>
      <c r="O860" s="53"/>
    </row>
    <row r="861" spans="4:15">
      <c r="D861" s="47"/>
      <c r="E861" s="143"/>
      <c r="H861" s="29"/>
      <c r="I861" s="30"/>
      <c r="O861" s="53"/>
    </row>
    <row r="862" spans="4:15">
      <c r="D862" s="47"/>
      <c r="E862" s="143"/>
      <c r="H862" s="29"/>
      <c r="I862" s="30"/>
      <c r="O862" s="53"/>
    </row>
    <row r="863" spans="4:15">
      <c r="D863" s="47"/>
      <c r="E863" s="143"/>
      <c r="H863" s="29"/>
      <c r="I863" s="30"/>
      <c r="O863" s="53"/>
    </row>
    <row r="864" spans="4:15">
      <c r="D864" s="47"/>
      <c r="E864" s="143"/>
      <c r="H864" s="29"/>
      <c r="I864" s="30"/>
      <c r="O864" s="53"/>
    </row>
    <row r="865" spans="4:15">
      <c r="D865" s="47"/>
      <c r="E865" s="143"/>
      <c r="H865" s="29"/>
      <c r="I865" s="30"/>
      <c r="O865" s="53"/>
    </row>
    <row r="866" spans="4:15">
      <c r="D866" s="47"/>
      <c r="E866" s="143"/>
      <c r="H866" s="29"/>
      <c r="I866" s="30"/>
      <c r="O866" s="53"/>
    </row>
    <row r="867" spans="4:15">
      <c r="D867" s="47"/>
      <c r="E867" s="143"/>
      <c r="H867" s="29"/>
      <c r="I867" s="30"/>
      <c r="O867" s="53"/>
    </row>
    <row r="868" spans="4:15">
      <c r="D868" s="47"/>
      <c r="E868" s="143"/>
      <c r="H868" s="29"/>
      <c r="I868" s="30"/>
      <c r="O868" s="53"/>
    </row>
    <row r="869" spans="4:15">
      <c r="D869" s="47"/>
      <c r="E869" s="143"/>
      <c r="H869" s="29"/>
      <c r="I869" s="30"/>
      <c r="O869" s="53"/>
    </row>
    <row r="870" spans="4:15">
      <c r="D870" s="47"/>
      <c r="E870" s="143"/>
      <c r="H870" s="29"/>
      <c r="I870" s="30"/>
      <c r="O870" s="53"/>
    </row>
    <row r="871" spans="4:15">
      <c r="D871" s="47"/>
      <c r="E871" s="143"/>
      <c r="H871" s="29"/>
      <c r="I871" s="30"/>
      <c r="O871" s="53"/>
    </row>
    <row r="872" spans="4:15">
      <c r="D872" s="47"/>
      <c r="E872" s="143"/>
      <c r="H872" s="29"/>
      <c r="I872" s="30"/>
      <c r="O872" s="53"/>
    </row>
    <row r="873" spans="4:15">
      <c r="D873" s="47"/>
      <c r="E873" s="143"/>
      <c r="H873" s="29"/>
      <c r="I873" s="30"/>
      <c r="O873" s="53"/>
    </row>
    <row r="874" spans="4:15">
      <c r="D874" s="47"/>
      <c r="E874" s="143"/>
      <c r="H874" s="29"/>
      <c r="I874" s="30"/>
      <c r="O874" s="53"/>
    </row>
    <row r="875" spans="4:15">
      <c r="D875" s="47"/>
      <c r="E875" s="143"/>
      <c r="H875" s="29"/>
      <c r="I875" s="30"/>
      <c r="O875" s="53"/>
    </row>
    <row r="876" spans="4:15">
      <c r="D876" s="47"/>
      <c r="E876" s="143"/>
      <c r="H876" s="29"/>
      <c r="I876" s="30"/>
      <c r="O876" s="53"/>
    </row>
    <row r="877" spans="4:15">
      <c r="D877" s="47"/>
      <c r="E877" s="143"/>
      <c r="H877" s="29"/>
      <c r="I877" s="30"/>
      <c r="O877" s="53"/>
    </row>
    <row r="878" spans="4:15">
      <c r="D878" s="47"/>
      <c r="E878" s="143"/>
      <c r="H878" s="29"/>
      <c r="I878" s="30"/>
      <c r="O878" s="53"/>
    </row>
    <row r="879" spans="4:15">
      <c r="D879" s="47"/>
      <c r="E879" s="143"/>
      <c r="H879" s="29"/>
      <c r="I879" s="30"/>
      <c r="O879" s="53"/>
    </row>
    <row r="880" spans="4:15">
      <c r="D880" s="47"/>
      <c r="E880" s="143"/>
      <c r="H880" s="29"/>
      <c r="I880" s="30"/>
      <c r="O880" s="53"/>
    </row>
    <row r="881" spans="4:15">
      <c r="D881" s="47"/>
      <c r="E881" s="143"/>
      <c r="H881" s="29"/>
      <c r="I881" s="30"/>
      <c r="O881" s="53"/>
    </row>
    <row r="882" spans="4:15">
      <c r="D882" s="47"/>
      <c r="E882" s="143"/>
      <c r="H882" s="29"/>
      <c r="I882" s="30"/>
      <c r="O882" s="53"/>
    </row>
    <row r="883" spans="4:15">
      <c r="D883" s="47"/>
      <c r="E883" s="143"/>
      <c r="H883" s="29"/>
      <c r="I883" s="30"/>
      <c r="O883" s="53"/>
    </row>
    <row r="884" spans="4:15">
      <c r="D884" s="47"/>
      <c r="E884" s="143"/>
      <c r="H884" s="29"/>
      <c r="I884" s="30"/>
      <c r="O884" s="53"/>
    </row>
    <row r="885" spans="4:15">
      <c r="D885" s="47"/>
      <c r="E885" s="143"/>
      <c r="H885" s="29"/>
      <c r="I885" s="30"/>
      <c r="O885" s="53"/>
    </row>
    <row r="886" spans="4:15">
      <c r="D886" s="47"/>
      <c r="E886" s="143"/>
      <c r="H886" s="29"/>
      <c r="I886" s="30"/>
      <c r="O886" s="53"/>
    </row>
    <row r="887" spans="4:15">
      <c r="D887" s="47"/>
      <c r="E887" s="143"/>
      <c r="H887" s="29"/>
      <c r="I887" s="30"/>
      <c r="O887" s="53"/>
    </row>
    <row r="888" spans="4:15">
      <c r="D888" s="47"/>
      <c r="E888" s="143"/>
      <c r="H888" s="29"/>
      <c r="I888" s="30"/>
      <c r="O888" s="53"/>
    </row>
    <row r="889" spans="4:15">
      <c r="D889" s="47"/>
      <c r="E889" s="143"/>
      <c r="H889" s="29"/>
      <c r="I889" s="30"/>
      <c r="O889" s="53"/>
    </row>
    <row r="890" spans="4:15">
      <c r="D890" s="47"/>
      <c r="E890" s="143"/>
      <c r="H890" s="29"/>
      <c r="I890" s="30"/>
      <c r="O890" s="53"/>
    </row>
    <row r="891" spans="4:15">
      <c r="D891" s="47"/>
      <c r="E891" s="143"/>
      <c r="H891" s="29"/>
      <c r="I891" s="30"/>
      <c r="O891" s="53"/>
    </row>
    <row r="892" spans="4:15">
      <c r="D892" s="47"/>
      <c r="E892" s="143"/>
      <c r="H892" s="29"/>
      <c r="I892" s="30"/>
      <c r="O892" s="53"/>
    </row>
    <row r="893" spans="4:15">
      <c r="D893" s="47"/>
      <c r="E893" s="143"/>
      <c r="H893" s="29"/>
      <c r="I893" s="30"/>
      <c r="O893" s="53"/>
    </row>
    <row r="894" spans="4:15">
      <c r="D894" s="47"/>
      <c r="E894" s="143"/>
      <c r="H894" s="29"/>
      <c r="I894" s="30"/>
      <c r="O894" s="53"/>
    </row>
    <row r="895" spans="4:15">
      <c r="D895" s="47"/>
      <c r="E895" s="143"/>
      <c r="H895" s="29"/>
      <c r="I895" s="30"/>
      <c r="O895" s="53"/>
    </row>
    <row r="896" spans="4:15">
      <c r="D896" s="47"/>
      <c r="E896" s="143"/>
      <c r="H896" s="29"/>
      <c r="I896" s="30"/>
      <c r="O896" s="53"/>
    </row>
    <row r="897" spans="4:15">
      <c r="D897" s="47"/>
      <c r="E897" s="143"/>
      <c r="H897" s="29"/>
      <c r="I897" s="30"/>
      <c r="O897" s="53"/>
    </row>
    <row r="898" spans="4:15">
      <c r="D898" s="47"/>
      <c r="E898" s="143"/>
      <c r="H898" s="29"/>
      <c r="I898" s="30"/>
      <c r="O898" s="53"/>
    </row>
    <row r="899" spans="4:15">
      <c r="D899" s="47"/>
      <c r="E899" s="143"/>
      <c r="H899" s="29"/>
      <c r="I899" s="30"/>
      <c r="O899" s="53"/>
    </row>
    <row r="900" spans="4:15">
      <c r="D900" s="47"/>
      <c r="E900" s="143"/>
      <c r="H900" s="29"/>
      <c r="I900" s="30"/>
      <c r="O900" s="53"/>
    </row>
    <row r="901" spans="4:15">
      <c r="D901" s="47"/>
      <c r="E901" s="143"/>
      <c r="H901" s="29"/>
      <c r="I901" s="30"/>
      <c r="O901" s="53"/>
    </row>
    <row r="902" spans="4:15">
      <c r="D902" s="47"/>
      <c r="E902" s="143"/>
      <c r="H902" s="29"/>
      <c r="I902" s="30"/>
      <c r="O902" s="53"/>
    </row>
    <row r="903" spans="4:15">
      <c r="D903" s="47"/>
      <c r="E903" s="143"/>
      <c r="H903" s="29"/>
      <c r="I903" s="30"/>
      <c r="O903" s="53"/>
    </row>
    <row r="904" spans="4:15">
      <c r="D904" s="47"/>
      <c r="E904" s="143"/>
      <c r="H904" s="29"/>
      <c r="I904" s="30"/>
      <c r="O904" s="53"/>
    </row>
    <row r="905" spans="4:15">
      <c r="D905" s="47"/>
      <c r="E905" s="143"/>
      <c r="H905" s="29"/>
      <c r="I905" s="30"/>
      <c r="O905" s="53"/>
    </row>
    <row r="906" spans="4:15">
      <c r="D906" s="47"/>
      <c r="E906" s="143"/>
      <c r="H906" s="29"/>
      <c r="I906" s="30"/>
      <c r="O906" s="53"/>
    </row>
    <row r="907" spans="4:15">
      <c r="D907" s="47"/>
      <c r="E907" s="143"/>
      <c r="H907" s="29"/>
      <c r="I907" s="30"/>
      <c r="O907" s="53"/>
    </row>
    <row r="908" spans="4:15">
      <c r="D908" s="47"/>
      <c r="E908" s="143"/>
      <c r="H908" s="29"/>
      <c r="I908" s="30"/>
      <c r="O908" s="53"/>
    </row>
    <row r="909" spans="4:15">
      <c r="D909" s="47"/>
      <c r="E909" s="143"/>
      <c r="H909" s="29"/>
      <c r="I909" s="30"/>
      <c r="O909" s="53"/>
    </row>
    <row r="910" spans="4:15">
      <c r="D910" s="47"/>
      <c r="E910" s="143"/>
      <c r="H910" s="29"/>
      <c r="I910" s="30"/>
      <c r="O910" s="53"/>
    </row>
    <row r="911" spans="4:15">
      <c r="D911" s="47"/>
      <c r="E911" s="143"/>
      <c r="H911" s="29"/>
      <c r="I911" s="30"/>
      <c r="O911" s="53"/>
    </row>
    <row r="912" spans="4:15">
      <c r="D912" s="47"/>
      <c r="E912" s="143"/>
      <c r="H912" s="29"/>
      <c r="I912" s="30"/>
      <c r="O912" s="53"/>
    </row>
    <row r="913" spans="4:15">
      <c r="D913" s="47"/>
      <c r="E913" s="143"/>
      <c r="H913" s="29"/>
      <c r="I913" s="30"/>
      <c r="O913" s="53"/>
    </row>
    <row r="914" spans="4:15">
      <c r="D914" s="47"/>
      <c r="E914" s="143"/>
      <c r="H914" s="29"/>
      <c r="I914" s="30"/>
      <c r="O914" s="53"/>
    </row>
    <row r="915" spans="4:15">
      <c r="D915" s="47"/>
      <c r="E915" s="143"/>
      <c r="H915" s="29"/>
      <c r="I915" s="30"/>
      <c r="O915" s="53"/>
    </row>
    <row r="916" spans="4:15">
      <c r="D916" s="47"/>
      <c r="E916" s="143"/>
      <c r="H916" s="29"/>
      <c r="I916" s="30"/>
      <c r="O916" s="53"/>
    </row>
    <row r="917" spans="4:15">
      <c r="D917" s="47"/>
      <c r="E917" s="143"/>
      <c r="H917" s="29"/>
      <c r="I917" s="30"/>
      <c r="O917" s="53"/>
    </row>
    <row r="918" spans="4:15">
      <c r="D918" s="47"/>
      <c r="E918" s="143"/>
      <c r="H918" s="29"/>
      <c r="I918" s="30"/>
      <c r="O918" s="53"/>
    </row>
    <row r="919" spans="4:15">
      <c r="D919" s="47"/>
      <c r="E919" s="143"/>
      <c r="H919" s="29"/>
      <c r="I919" s="30"/>
      <c r="O919" s="53"/>
    </row>
    <row r="920" spans="4:15">
      <c r="D920" s="47"/>
      <c r="E920" s="143"/>
      <c r="H920" s="29"/>
      <c r="I920" s="30"/>
      <c r="O920" s="53"/>
    </row>
    <row r="921" spans="4:15">
      <c r="D921" s="47"/>
      <c r="E921" s="143"/>
      <c r="H921" s="29"/>
      <c r="I921" s="30"/>
      <c r="O921" s="53"/>
    </row>
    <row r="922" spans="4:15">
      <c r="D922" s="47"/>
      <c r="E922" s="143"/>
      <c r="H922" s="29"/>
      <c r="I922" s="30"/>
      <c r="O922" s="53"/>
    </row>
    <row r="923" spans="4:15">
      <c r="D923" s="47"/>
      <c r="E923" s="143"/>
      <c r="H923" s="29"/>
      <c r="I923" s="30"/>
      <c r="O923" s="53"/>
    </row>
    <row r="924" spans="4:15">
      <c r="D924" s="47"/>
      <c r="E924" s="143"/>
      <c r="H924" s="29"/>
      <c r="I924" s="30"/>
      <c r="O924" s="53"/>
    </row>
    <row r="925" spans="4:15">
      <c r="D925" s="47"/>
      <c r="E925" s="143"/>
      <c r="H925" s="29"/>
      <c r="I925" s="30"/>
      <c r="O925" s="53"/>
    </row>
    <row r="926" spans="4:15">
      <c r="D926" s="47"/>
      <c r="E926" s="143"/>
      <c r="H926" s="29"/>
      <c r="I926" s="30"/>
      <c r="O926" s="53"/>
    </row>
    <row r="927" spans="4:15">
      <c r="D927" s="47"/>
      <c r="E927" s="143"/>
      <c r="H927" s="29"/>
      <c r="I927" s="30"/>
      <c r="O927" s="53"/>
    </row>
    <row r="928" spans="4:15">
      <c r="D928" s="47"/>
      <c r="E928" s="143"/>
      <c r="H928" s="29"/>
      <c r="I928" s="30"/>
      <c r="O928" s="53"/>
    </row>
    <row r="929" spans="4:15">
      <c r="D929" s="47"/>
      <c r="E929" s="143"/>
      <c r="H929" s="29"/>
      <c r="I929" s="30"/>
      <c r="O929" s="53"/>
    </row>
    <row r="930" spans="4:15">
      <c r="D930" s="47"/>
      <c r="E930" s="143"/>
      <c r="H930" s="29"/>
      <c r="I930" s="30"/>
      <c r="O930" s="53"/>
    </row>
    <row r="931" spans="4:15">
      <c r="D931" s="47"/>
      <c r="E931" s="143"/>
      <c r="H931" s="29"/>
      <c r="I931" s="30"/>
      <c r="O931" s="53"/>
    </row>
    <row r="932" spans="4:15">
      <c r="D932" s="47"/>
      <c r="E932" s="143"/>
      <c r="H932" s="29"/>
      <c r="I932" s="30"/>
      <c r="O932" s="53"/>
    </row>
    <row r="933" spans="4:15">
      <c r="D933" s="47"/>
      <c r="E933" s="143"/>
      <c r="H933" s="29"/>
      <c r="I933" s="30"/>
      <c r="O933" s="53"/>
    </row>
    <row r="934" spans="4:15">
      <c r="D934" s="47"/>
      <c r="E934" s="143"/>
      <c r="H934" s="29"/>
      <c r="I934" s="30"/>
      <c r="O934" s="53"/>
    </row>
    <row r="935" spans="4:15">
      <c r="D935" s="47"/>
      <c r="E935" s="143"/>
      <c r="H935" s="29"/>
      <c r="I935" s="30"/>
      <c r="O935" s="53"/>
    </row>
    <row r="936" spans="4:15">
      <c r="D936" s="47"/>
      <c r="E936" s="143"/>
      <c r="H936" s="29"/>
      <c r="I936" s="30"/>
      <c r="O936" s="53"/>
    </row>
    <row r="937" spans="4:15">
      <c r="D937" s="47"/>
      <c r="E937" s="143"/>
      <c r="H937" s="29"/>
      <c r="I937" s="30"/>
      <c r="O937" s="53"/>
    </row>
    <row r="938" spans="4:15">
      <c r="D938" s="47"/>
      <c r="E938" s="143"/>
      <c r="H938" s="29"/>
      <c r="I938" s="30"/>
      <c r="O938" s="53"/>
    </row>
    <row r="939" spans="4:15">
      <c r="D939" s="47"/>
      <c r="E939" s="143"/>
      <c r="H939" s="29"/>
      <c r="I939" s="30"/>
      <c r="O939" s="53"/>
    </row>
    <row r="940" spans="4:15">
      <c r="D940" s="47"/>
      <c r="E940" s="143"/>
      <c r="H940" s="29"/>
      <c r="I940" s="30"/>
      <c r="O940" s="53"/>
    </row>
    <row r="941" spans="4:15">
      <c r="D941" s="47"/>
      <c r="E941" s="143"/>
      <c r="H941" s="29"/>
      <c r="I941" s="30"/>
      <c r="O941" s="53"/>
    </row>
    <row r="942" spans="4:15">
      <c r="D942" s="47"/>
      <c r="E942" s="143"/>
      <c r="H942" s="29"/>
      <c r="I942" s="30"/>
      <c r="O942" s="53"/>
    </row>
    <row r="943" spans="4:15">
      <c r="D943" s="47"/>
      <c r="E943" s="143"/>
      <c r="H943" s="29"/>
      <c r="I943" s="30"/>
      <c r="O943" s="53"/>
    </row>
    <row r="944" spans="4:15">
      <c r="D944" s="47"/>
      <c r="E944" s="143"/>
      <c r="H944" s="29"/>
      <c r="I944" s="30"/>
      <c r="O944" s="53"/>
    </row>
    <row r="945" spans="4:15">
      <c r="D945" s="47"/>
      <c r="E945" s="143"/>
      <c r="H945" s="29"/>
      <c r="I945" s="30"/>
      <c r="O945" s="53"/>
    </row>
    <row r="946" spans="4:15">
      <c r="D946" s="47"/>
      <c r="E946" s="143"/>
      <c r="H946" s="29"/>
      <c r="I946" s="30"/>
      <c r="O946" s="53"/>
    </row>
    <row r="947" spans="4:15">
      <c r="D947" s="47"/>
      <c r="E947" s="143"/>
      <c r="H947" s="29"/>
      <c r="I947" s="30"/>
      <c r="O947" s="53"/>
    </row>
    <row r="948" spans="4:15">
      <c r="D948" s="47"/>
      <c r="E948" s="143"/>
      <c r="H948" s="29"/>
      <c r="I948" s="30"/>
      <c r="O948" s="53"/>
    </row>
    <row r="949" spans="4:15">
      <c r="D949" s="47"/>
      <c r="E949" s="143"/>
      <c r="H949" s="29"/>
      <c r="I949" s="30"/>
      <c r="O949" s="53"/>
    </row>
    <row r="950" spans="4:15">
      <c r="D950" s="47"/>
      <c r="E950" s="143"/>
      <c r="H950" s="29"/>
      <c r="I950" s="30"/>
      <c r="O950" s="53"/>
    </row>
    <row r="951" spans="4:15">
      <c r="D951" s="47"/>
      <c r="E951" s="143"/>
      <c r="H951" s="29"/>
      <c r="I951" s="30"/>
      <c r="O951" s="53"/>
    </row>
    <row r="952" spans="4:15">
      <c r="D952" s="47"/>
      <c r="E952" s="143"/>
      <c r="H952" s="29"/>
      <c r="I952" s="30"/>
      <c r="O952" s="53"/>
    </row>
    <row r="953" spans="4:15">
      <c r="D953" s="47"/>
      <c r="E953" s="143"/>
      <c r="H953" s="29"/>
      <c r="I953" s="30"/>
      <c r="O953" s="53"/>
    </row>
    <row r="954" spans="4:15">
      <c r="D954" s="47"/>
      <c r="E954" s="143"/>
      <c r="H954" s="29"/>
      <c r="I954" s="30"/>
      <c r="O954" s="53"/>
    </row>
    <row r="955" spans="4:15">
      <c r="D955" s="47"/>
      <c r="E955" s="143"/>
      <c r="H955" s="29"/>
      <c r="I955" s="30"/>
      <c r="O955" s="53"/>
    </row>
    <row r="956" spans="4:15">
      <c r="D956" s="47"/>
      <c r="E956" s="143"/>
      <c r="H956" s="29"/>
      <c r="I956" s="30"/>
      <c r="O956" s="53"/>
    </row>
    <row r="957" spans="4:15">
      <c r="D957" s="47"/>
      <c r="E957" s="143"/>
      <c r="H957" s="29"/>
      <c r="I957" s="30"/>
      <c r="O957" s="53"/>
    </row>
    <row r="958" spans="4:15">
      <c r="D958" s="47"/>
      <c r="E958" s="143"/>
      <c r="H958" s="29"/>
      <c r="I958" s="30"/>
      <c r="O958" s="53"/>
    </row>
    <row r="959" spans="4:15">
      <c r="D959" s="47"/>
      <c r="E959" s="143"/>
      <c r="H959" s="29"/>
      <c r="I959" s="30"/>
      <c r="O959" s="53"/>
    </row>
    <row r="960" spans="4:15">
      <c r="D960" s="47"/>
      <c r="E960" s="143"/>
      <c r="H960" s="29"/>
      <c r="I960" s="30"/>
      <c r="O960" s="53"/>
    </row>
    <row r="961" spans="4:15">
      <c r="D961" s="47"/>
      <c r="E961" s="143"/>
      <c r="H961" s="29"/>
      <c r="I961" s="30"/>
      <c r="O961" s="53"/>
    </row>
    <row r="962" spans="4:15">
      <c r="D962" s="47"/>
      <c r="E962" s="143"/>
      <c r="H962" s="29"/>
      <c r="I962" s="30"/>
      <c r="O962" s="53"/>
    </row>
    <row r="963" spans="4:15">
      <c r="D963" s="47"/>
      <c r="E963" s="143"/>
      <c r="H963" s="29"/>
      <c r="I963" s="30"/>
      <c r="O963" s="53"/>
    </row>
    <row r="964" spans="4:15">
      <c r="D964" s="47"/>
      <c r="E964" s="143"/>
      <c r="H964" s="29"/>
      <c r="I964" s="30"/>
      <c r="O964" s="53"/>
    </row>
    <row r="965" spans="4:15">
      <c r="D965" s="47"/>
      <c r="E965" s="143"/>
      <c r="H965" s="29"/>
      <c r="I965" s="30"/>
      <c r="O965" s="53"/>
    </row>
    <row r="966" spans="4:15">
      <c r="D966" s="47"/>
      <c r="E966" s="143"/>
      <c r="H966" s="29"/>
      <c r="I966" s="30"/>
      <c r="O966" s="53"/>
    </row>
    <row r="967" spans="4:15">
      <c r="D967" s="47"/>
      <c r="E967" s="143"/>
      <c r="H967" s="29"/>
      <c r="I967" s="30"/>
      <c r="O967" s="53"/>
    </row>
    <row r="968" spans="4:15">
      <c r="D968" s="47"/>
      <c r="E968" s="143"/>
      <c r="H968" s="29"/>
      <c r="I968" s="30"/>
      <c r="O968" s="53"/>
    </row>
    <row r="969" spans="4:15">
      <c r="D969" s="47"/>
      <c r="E969" s="143"/>
      <c r="H969" s="29"/>
      <c r="I969" s="30"/>
      <c r="O969" s="53"/>
    </row>
    <row r="970" spans="4:15">
      <c r="D970" s="47"/>
      <c r="E970" s="143"/>
      <c r="H970" s="29"/>
      <c r="I970" s="30"/>
      <c r="O970" s="53"/>
    </row>
    <row r="971" spans="4:15">
      <c r="D971" s="47"/>
      <c r="E971" s="143"/>
      <c r="H971" s="29"/>
      <c r="I971" s="30"/>
      <c r="O971" s="53"/>
    </row>
    <row r="972" spans="4:15">
      <c r="D972" s="47"/>
      <c r="E972" s="143"/>
      <c r="H972" s="29"/>
      <c r="I972" s="30"/>
      <c r="O972" s="53"/>
    </row>
    <row r="973" spans="4:15">
      <c r="D973" s="47"/>
      <c r="E973" s="143"/>
      <c r="H973" s="29"/>
      <c r="I973" s="30"/>
      <c r="O973" s="53"/>
    </row>
    <row r="974" spans="4:15">
      <c r="D974" s="47"/>
      <c r="E974" s="143"/>
      <c r="H974" s="29"/>
      <c r="I974" s="30"/>
      <c r="O974" s="53"/>
    </row>
    <row r="975" spans="4:15">
      <c r="D975" s="47"/>
      <c r="E975" s="143"/>
      <c r="H975" s="29"/>
      <c r="I975" s="30"/>
      <c r="O975" s="53"/>
    </row>
    <row r="976" spans="4:15">
      <c r="D976" s="47"/>
      <c r="E976" s="143"/>
      <c r="H976" s="29"/>
      <c r="I976" s="30"/>
      <c r="O976" s="53"/>
    </row>
    <row r="977" spans="4:15">
      <c r="D977" s="47"/>
      <c r="E977" s="143"/>
      <c r="H977" s="29"/>
      <c r="I977" s="30"/>
      <c r="O977" s="53"/>
    </row>
    <row r="978" spans="4:15">
      <c r="D978" s="47"/>
      <c r="E978" s="143"/>
      <c r="H978" s="29"/>
      <c r="I978" s="30"/>
      <c r="O978" s="53"/>
    </row>
    <row r="979" spans="4:15">
      <c r="D979" s="47"/>
      <c r="E979" s="143"/>
      <c r="H979" s="29"/>
      <c r="I979" s="30"/>
      <c r="O979" s="53"/>
    </row>
    <row r="980" spans="4:15">
      <c r="D980" s="47"/>
      <c r="E980" s="143"/>
      <c r="H980" s="29"/>
      <c r="I980" s="30"/>
      <c r="O980" s="53"/>
    </row>
    <row r="981" spans="4:15">
      <c r="D981" s="47"/>
      <c r="E981" s="143"/>
      <c r="H981" s="29"/>
      <c r="I981" s="30"/>
      <c r="O981" s="53"/>
    </row>
    <row r="982" spans="4:15">
      <c r="D982" s="47"/>
      <c r="E982" s="143"/>
      <c r="H982" s="29"/>
      <c r="I982" s="30"/>
      <c r="O982" s="53"/>
    </row>
    <row r="983" spans="4:15">
      <c r="D983" s="47"/>
      <c r="E983" s="143"/>
      <c r="H983" s="29"/>
      <c r="I983" s="30"/>
      <c r="O983" s="53"/>
    </row>
    <row r="984" spans="4:15">
      <c r="D984" s="47"/>
      <c r="E984" s="143"/>
      <c r="H984" s="29"/>
      <c r="I984" s="30"/>
      <c r="O984" s="53"/>
    </row>
    <row r="985" spans="4:15">
      <c r="D985" s="47"/>
      <c r="E985" s="143"/>
      <c r="H985" s="29"/>
      <c r="I985" s="30"/>
      <c r="O985" s="53"/>
    </row>
    <row r="986" spans="4:15">
      <c r="D986" s="47"/>
      <c r="E986" s="143"/>
      <c r="H986" s="29"/>
      <c r="I986" s="30"/>
      <c r="O986" s="53"/>
    </row>
    <row r="987" spans="4:15">
      <c r="D987" s="47"/>
      <c r="E987" s="143"/>
      <c r="H987" s="29"/>
      <c r="I987" s="30"/>
      <c r="O987" s="53"/>
    </row>
    <row r="988" spans="4:15">
      <c r="D988" s="47"/>
      <c r="E988" s="143"/>
      <c r="H988" s="29"/>
      <c r="I988" s="30"/>
      <c r="O988" s="53"/>
    </row>
    <row r="989" spans="4:15">
      <c r="D989" s="47"/>
      <c r="E989" s="143"/>
      <c r="H989" s="29"/>
      <c r="I989" s="30"/>
      <c r="O989" s="53"/>
    </row>
    <row r="990" spans="4:15">
      <c r="D990" s="47"/>
      <c r="E990" s="143"/>
      <c r="H990" s="29"/>
      <c r="I990" s="30"/>
      <c r="O990" s="53"/>
    </row>
    <row r="991" spans="4:15">
      <c r="D991" s="47"/>
      <c r="E991" s="143"/>
      <c r="H991" s="29"/>
      <c r="I991" s="30"/>
      <c r="O991" s="53"/>
    </row>
    <row r="992" spans="4:15">
      <c r="D992" s="47"/>
      <c r="E992" s="143"/>
      <c r="H992" s="29"/>
      <c r="I992" s="30"/>
      <c r="O992" s="53"/>
    </row>
    <row r="993" spans="4:21">
      <c r="D993" s="47"/>
      <c r="E993" s="143"/>
      <c r="H993" s="29"/>
      <c r="I993" s="30"/>
      <c r="O993" s="53"/>
    </row>
    <row r="994" spans="4:21">
      <c r="J994" s="47"/>
      <c r="K994" s="143"/>
      <c r="N994" s="29"/>
      <c r="O994" s="30"/>
      <c r="U994" s="53"/>
    </row>
    <row r="995" spans="4:21">
      <c r="J995" s="47"/>
      <c r="K995" s="143"/>
      <c r="N995" s="29"/>
      <c r="O995" s="30"/>
      <c r="U995" s="53"/>
    </row>
    <row r="996" spans="4:21">
      <c r="J996" s="47"/>
      <c r="K996" s="143"/>
      <c r="N996" s="29"/>
      <c r="O996" s="30"/>
      <c r="U996" s="53"/>
    </row>
    <row r="997" spans="4:21">
      <c r="J997" s="47"/>
      <c r="K997" s="143"/>
      <c r="N997" s="29"/>
      <c r="O997" s="30"/>
      <c r="U997" s="53"/>
    </row>
    <row r="998" spans="4:21">
      <c r="J998" s="47"/>
      <c r="K998" s="143"/>
      <c r="N998" s="29"/>
      <c r="O998" s="30"/>
      <c r="U998" s="53"/>
    </row>
    <row r="999" spans="4:21">
      <c r="J999" s="47"/>
      <c r="K999" s="143"/>
      <c r="N999" s="29"/>
      <c r="O999" s="30"/>
      <c r="U999" s="53"/>
    </row>
    <row r="1000" spans="4:21">
      <c r="J1000" s="47"/>
      <c r="K1000" s="143"/>
      <c r="N1000" s="29"/>
      <c r="O1000" s="30"/>
      <c r="U1000" s="53"/>
    </row>
    <row r="1001" spans="4:21">
      <c r="J1001" s="47"/>
      <c r="K1001" s="143"/>
      <c r="N1001" s="29"/>
      <c r="O1001" s="30"/>
      <c r="U1001" s="53"/>
    </row>
    <row r="1002" spans="4:21">
      <c r="J1002" s="47"/>
      <c r="K1002" s="143"/>
      <c r="N1002" s="29"/>
      <c r="O1002" s="30"/>
      <c r="U1002" s="53"/>
    </row>
    <row r="1003" spans="4:21">
      <c r="J1003" s="47"/>
      <c r="K1003" s="143"/>
      <c r="N1003" s="29"/>
      <c r="O1003" s="30"/>
      <c r="U1003" s="53"/>
    </row>
    <row r="1004" spans="4:21">
      <c r="J1004" s="47"/>
      <c r="K1004" s="143"/>
      <c r="N1004" s="29"/>
      <c r="O1004" s="30"/>
      <c r="U1004" s="53"/>
    </row>
    <row r="1005" spans="4:21">
      <c r="J1005" s="47"/>
      <c r="K1005" s="143"/>
      <c r="N1005" s="29"/>
      <c r="O1005" s="30"/>
      <c r="U1005" s="53"/>
    </row>
    <row r="1006" spans="4:21">
      <c r="J1006" s="47"/>
      <c r="K1006" s="143"/>
      <c r="N1006" s="29"/>
      <c r="O1006" s="30"/>
      <c r="U1006" s="53"/>
    </row>
    <row r="1007" spans="4:21">
      <c r="J1007" s="47"/>
      <c r="K1007" s="143"/>
      <c r="N1007" s="29"/>
      <c r="O1007" s="30"/>
      <c r="U1007" s="53"/>
    </row>
    <row r="1008" spans="4:21">
      <c r="J1008" s="47"/>
      <c r="K1008" s="143"/>
      <c r="N1008" s="29"/>
      <c r="O1008" s="30"/>
      <c r="U1008" s="53"/>
    </row>
    <row r="1009" spans="10:21">
      <c r="J1009" s="47"/>
      <c r="K1009" s="143"/>
      <c r="N1009" s="29"/>
      <c r="O1009" s="30"/>
      <c r="U1009" s="53"/>
    </row>
    <row r="1010" spans="10:21">
      <c r="J1010" s="47"/>
      <c r="K1010" s="143"/>
      <c r="N1010" s="29"/>
      <c r="O1010" s="30"/>
      <c r="U1010" s="53"/>
    </row>
    <row r="1011" spans="10:21">
      <c r="J1011" s="47"/>
      <c r="K1011" s="143"/>
      <c r="N1011" s="29"/>
      <c r="O1011" s="30"/>
      <c r="U1011" s="53"/>
    </row>
    <row r="1012" spans="10:21">
      <c r="J1012" s="47"/>
      <c r="K1012" s="143"/>
      <c r="N1012" s="29"/>
      <c r="O1012" s="30"/>
      <c r="U1012" s="53"/>
    </row>
    <row r="1013" spans="10:21">
      <c r="J1013" s="47"/>
      <c r="K1013" s="143"/>
      <c r="N1013" s="29"/>
      <c r="O1013" s="30"/>
      <c r="U1013" s="53"/>
    </row>
    <row r="1014" spans="10:21">
      <c r="J1014" s="47"/>
      <c r="K1014" s="143"/>
      <c r="N1014" s="29"/>
      <c r="O1014" s="30"/>
      <c r="U1014" s="53"/>
    </row>
    <row r="1015" spans="10:21">
      <c r="J1015" s="47"/>
      <c r="K1015" s="143"/>
      <c r="N1015" s="29"/>
      <c r="O1015" s="30"/>
      <c r="U1015" s="53"/>
    </row>
  </sheetData>
  <dataValidations count="1">
    <dataValidation type="list" allowBlank="1" showErrorMessage="1" sqref="AC25:AC30 W3:W8" xr:uid="{7EBAE91D-8036-4BAC-9362-198A37B9C49D}">
      <formula1>"Open,Inprogress,Closed"</formula1>
    </dataValidation>
  </dataValidations>
  <hyperlinks>
    <hyperlink ref="M3" r:id="rId1" xr:uid="{6063E129-1A16-4A76-AF46-A25C68FB564C}"/>
    <hyperlink ref="M4" r:id="rId2" xr:uid="{748B00AC-97B6-4CD8-AC28-A1ED513A4E9E}"/>
    <hyperlink ref="M5" r:id="rId3" xr:uid="{A708EDAA-6200-4EFB-A60B-3831231E6899}"/>
  </hyperlinks>
  <pageMargins left="0.7" right="0.7" top="0.75" bottom="0.75" header="0.3" footer="0.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08646-16AC-4AFB-A565-BD02909216F2}">
  <dimension ref="A1"/>
  <sheetViews>
    <sheetView workbookViewId="0"/>
  </sheetViews>
  <sheetFormatPr defaultRowHeight="12.75"/>
  <sheetData/>
  <pageMargins left="0.7" right="0.7" top="0.75" bottom="0.75"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49683-8A56-4299-9D15-4336B2C2F57A}">
  <dimension ref="A1:Z3"/>
  <sheetViews>
    <sheetView workbookViewId="0">
      <selection activeCell="F2" sqref="F2"/>
    </sheetView>
  </sheetViews>
  <sheetFormatPr defaultRowHeight="12.75"/>
  <cols>
    <col min="2" max="2" width="20.7109375" customWidth="1"/>
    <col min="3" max="3" width="21.140625" customWidth="1"/>
    <col min="4" max="4" width="17.85546875" customWidth="1"/>
    <col min="5" max="5" width="23.42578125" customWidth="1"/>
    <col min="6" max="6" width="26.140625" customWidth="1"/>
    <col min="7" max="7" width="22.85546875" customWidth="1"/>
    <col min="10" max="10" width="18.28515625" customWidth="1"/>
    <col min="11" max="11" width="23.5703125" customWidth="1"/>
  </cols>
  <sheetData>
    <row r="1" spans="1:26" ht="40.5">
      <c r="A1" s="1" t="s">
        <v>254</v>
      </c>
      <c r="B1" s="31" t="s">
        <v>11</v>
      </c>
      <c r="C1" s="32" t="s">
        <v>322</v>
      </c>
      <c r="D1" s="154" t="s">
        <v>256</v>
      </c>
      <c r="E1" s="155" t="s">
        <v>324</v>
      </c>
      <c r="F1" s="155" t="s">
        <v>325</v>
      </c>
      <c r="G1" s="154" t="s">
        <v>326</v>
      </c>
      <c r="H1" s="154" t="s">
        <v>328</v>
      </c>
      <c r="I1" s="154" t="s">
        <v>259</v>
      </c>
      <c r="J1" s="156" t="s">
        <v>329</v>
      </c>
      <c r="K1" s="157" t="s">
        <v>280</v>
      </c>
      <c r="L1" s="35"/>
      <c r="M1" s="35"/>
      <c r="N1" s="35"/>
      <c r="O1" s="35"/>
      <c r="P1" s="35"/>
      <c r="Q1" s="35"/>
      <c r="R1" s="35"/>
      <c r="S1" s="35"/>
      <c r="T1" s="35"/>
      <c r="U1" s="35"/>
      <c r="V1" s="35"/>
      <c r="W1" s="35"/>
      <c r="X1" s="35"/>
      <c r="Y1" s="35"/>
      <c r="Z1" s="35"/>
    </row>
    <row r="2" spans="1:26">
      <c r="A2" s="571"/>
      <c r="B2" s="571"/>
      <c r="C2" s="571"/>
      <c r="D2" s="35"/>
      <c r="E2" s="35"/>
      <c r="F2" s="28"/>
      <c r="G2" s="35"/>
      <c r="H2" s="35"/>
      <c r="I2" s="35"/>
      <c r="J2" s="35"/>
      <c r="K2" s="35"/>
      <c r="L2" s="35"/>
      <c r="M2" s="35"/>
      <c r="N2" s="35"/>
      <c r="O2" s="35"/>
      <c r="P2" s="35"/>
      <c r="Q2" s="35"/>
      <c r="R2" s="35"/>
      <c r="S2" s="35"/>
      <c r="T2" s="35"/>
      <c r="U2" s="35"/>
      <c r="V2" s="35"/>
    </row>
    <row r="3" spans="1:26" ht="15">
      <c r="B3" s="153" t="s">
        <v>1918</v>
      </c>
    </row>
  </sheetData>
  <mergeCells count="1">
    <mergeCell ref="A2:C2"/>
  </mergeCells>
  <dataValidations count="4">
    <dataValidation type="list" allowBlank="1" showErrorMessage="1" sqref="G2" xr:uid="{AA434DE9-6BAA-4733-A18B-8A2F27280EAB}">
      <formula1>"Minor,Significant,Major"</formula1>
    </dataValidation>
    <dataValidation type="list" allowBlank="1" showErrorMessage="1" sqref="I2" xr:uid="{BED4C80B-CCB6-410D-9A06-72DC8BF603B3}">
      <formula1>"Open,Inprogress,Closed"</formula1>
    </dataValidation>
    <dataValidation type="list" allowBlank="1" showErrorMessage="1" sqref="E2" xr:uid="{5BAC317C-597B-4338-8C74-820C501FFB05}">
      <formula1>"Bounceback,Defect,None"</formula1>
    </dataValidation>
    <dataValidation type="list" allowBlank="1" showErrorMessage="1" sqref="H2" xr:uid="{1E4103FD-A463-4887-967A-5E3F69FCE4C1}">
      <formula1>"Internal,External"</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A9BD255B-864C-44ED-B6E9-C82E7350E729}">
          <x14:formula1>
            <xm:f>Details!$A$2:$A$10</xm:f>
          </x14:formula1>
          <xm:sqref>J2</xm:sqref>
        </x14:dataValidation>
      </x14:dataValidations>
    </ext>
  </extLst>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25363-4BD7-4227-B0B7-B4F6CB41991F}">
  <dimension ref="A1:AD1015"/>
  <sheetViews>
    <sheetView topLeftCell="R2" workbookViewId="0">
      <selection activeCell="R5" sqref="R5"/>
    </sheetView>
  </sheetViews>
  <sheetFormatPr defaultRowHeight="12.75"/>
  <cols>
    <col min="2" max="2" width="15.140625" customWidth="1"/>
    <col min="3" max="3" width="23.42578125" customWidth="1"/>
    <col min="5" max="5" width="18.42578125" customWidth="1"/>
    <col min="13" max="13" width="19.140625" customWidth="1"/>
    <col min="17" max="17" width="13.28515625" customWidth="1"/>
    <col min="20" max="20" width="14.7109375" customWidth="1"/>
    <col min="21" max="21" width="15.28515625" customWidth="1"/>
    <col min="22" max="22" width="18.5703125" customWidth="1"/>
    <col min="23" max="23" width="15.28515625" customWidth="1"/>
    <col min="24" max="24" width="38.7109375" customWidth="1"/>
  </cols>
  <sheetData>
    <row r="1" spans="1:24">
      <c r="A1" s="4"/>
      <c r="B1" s="4"/>
      <c r="C1" s="4"/>
      <c r="D1" s="5"/>
      <c r="E1" s="4"/>
      <c r="F1" s="4"/>
      <c r="G1" s="4"/>
      <c r="H1" s="5"/>
      <c r="I1" s="1"/>
      <c r="J1" s="4"/>
      <c r="K1" s="4"/>
      <c r="L1" s="4"/>
      <c r="M1" s="4"/>
      <c r="N1" s="4"/>
      <c r="O1" s="48"/>
      <c r="P1" s="4"/>
      <c r="Q1" s="4"/>
      <c r="R1" s="4"/>
      <c r="S1" s="4"/>
      <c r="T1" s="4"/>
      <c r="U1" s="4"/>
      <c r="V1" s="4"/>
      <c r="W1" s="4"/>
      <c r="X1" s="6"/>
    </row>
    <row r="2" spans="1:24" ht="60">
      <c r="A2" s="1" t="s">
        <v>254</v>
      </c>
      <c r="B2" s="59" t="s">
        <v>255</v>
      </c>
      <c r="C2" s="59" t="s">
        <v>256</v>
      </c>
      <c r="D2" s="68" t="s">
        <v>257</v>
      </c>
      <c r="E2" s="70" t="s">
        <v>258</v>
      </c>
      <c r="F2" s="70" t="s">
        <v>260</v>
      </c>
      <c r="G2" s="70" t="s">
        <v>261</v>
      </c>
      <c r="H2" s="68" t="s">
        <v>265</v>
      </c>
      <c r="I2" s="70" t="s">
        <v>266</v>
      </c>
      <c r="J2" s="70" t="s">
        <v>267</v>
      </c>
      <c r="K2" s="70" t="s">
        <v>268</v>
      </c>
      <c r="L2" s="70" t="s">
        <v>269</v>
      </c>
      <c r="M2" s="70" t="s">
        <v>270</v>
      </c>
      <c r="N2" s="70" t="s">
        <v>271</v>
      </c>
      <c r="O2" s="71" t="s">
        <v>272</v>
      </c>
      <c r="P2" s="70" t="s">
        <v>1708</v>
      </c>
      <c r="Q2" s="70" t="s">
        <v>274</v>
      </c>
      <c r="R2" s="70" t="s">
        <v>1709</v>
      </c>
      <c r="S2" s="70" t="s">
        <v>276</v>
      </c>
      <c r="T2" s="70" t="s">
        <v>274</v>
      </c>
      <c r="U2" s="70" t="s">
        <v>278</v>
      </c>
      <c r="V2" s="70" t="s">
        <v>279</v>
      </c>
      <c r="W2" s="70" t="s">
        <v>259</v>
      </c>
      <c r="X2" s="72" t="s">
        <v>280</v>
      </c>
    </row>
    <row r="3" spans="1:24" ht="48" customHeight="1">
      <c r="A3" s="158">
        <v>1</v>
      </c>
      <c r="B3" s="159" t="s">
        <v>1919</v>
      </c>
      <c r="C3" s="160" t="s">
        <v>292</v>
      </c>
      <c r="D3" s="87" t="s">
        <v>1920</v>
      </c>
      <c r="E3" s="161" t="s">
        <v>1921</v>
      </c>
      <c r="F3" s="161">
        <v>2</v>
      </c>
      <c r="G3" s="161">
        <v>2</v>
      </c>
      <c r="H3" s="87" t="s">
        <v>290</v>
      </c>
      <c r="I3" s="87" t="s">
        <v>1714</v>
      </c>
      <c r="J3" s="87" t="s">
        <v>1560</v>
      </c>
      <c r="K3" s="87" t="s">
        <v>862</v>
      </c>
      <c r="L3" s="168" t="s">
        <v>1694</v>
      </c>
      <c r="M3" s="129" t="s">
        <v>1922</v>
      </c>
      <c r="N3" s="162">
        <v>45387</v>
      </c>
      <c r="O3" s="162">
        <v>45387</v>
      </c>
      <c r="P3" s="87" t="s">
        <v>294</v>
      </c>
      <c r="Q3" s="87" t="s">
        <v>1694</v>
      </c>
      <c r="R3" s="130" t="s">
        <v>1860</v>
      </c>
      <c r="S3" s="163">
        <v>45390</v>
      </c>
      <c r="T3" s="164" t="s">
        <v>1694</v>
      </c>
      <c r="U3" s="164" t="s">
        <v>1694</v>
      </c>
      <c r="V3" s="164" t="s">
        <v>1694</v>
      </c>
      <c r="W3" s="165" t="s">
        <v>384</v>
      </c>
      <c r="X3" s="87"/>
    </row>
    <row r="4" spans="1:24" ht="54" customHeight="1">
      <c r="A4" s="158">
        <v>2</v>
      </c>
      <c r="B4" s="159" t="s">
        <v>1919</v>
      </c>
      <c r="C4" s="166" t="s">
        <v>1714</v>
      </c>
      <c r="D4" s="87" t="s">
        <v>1923</v>
      </c>
      <c r="E4" s="161" t="s">
        <v>1924</v>
      </c>
      <c r="F4" s="161">
        <v>3</v>
      </c>
      <c r="G4" s="161">
        <v>3</v>
      </c>
      <c r="H4" s="87" t="s">
        <v>290</v>
      </c>
      <c r="I4" s="87" t="s">
        <v>292</v>
      </c>
      <c r="J4" s="87" t="s">
        <v>1560</v>
      </c>
      <c r="K4" s="87" t="s">
        <v>862</v>
      </c>
      <c r="L4" s="168" t="s">
        <v>1694</v>
      </c>
      <c r="M4" s="129" t="s">
        <v>1925</v>
      </c>
      <c r="N4" s="167">
        <v>45387</v>
      </c>
      <c r="O4" s="167">
        <v>45387</v>
      </c>
      <c r="P4" s="130" t="s">
        <v>294</v>
      </c>
      <c r="Q4" s="168" t="s">
        <v>1694</v>
      </c>
      <c r="R4" s="130" t="s">
        <v>1860</v>
      </c>
      <c r="S4" s="169">
        <v>45390</v>
      </c>
      <c r="T4" s="168" t="s">
        <v>1694</v>
      </c>
      <c r="U4" s="164" t="s">
        <v>1694</v>
      </c>
      <c r="V4" s="164" t="s">
        <v>1694</v>
      </c>
      <c r="W4" s="165" t="s">
        <v>384</v>
      </c>
      <c r="X4" s="170"/>
    </row>
    <row r="5" spans="1:24" ht="48" customHeight="1">
      <c r="A5" s="171">
        <v>3</v>
      </c>
      <c r="B5" s="159" t="s">
        <v>1919</v>
      </c>
      <c r="C5" s="166" t="s">
        <v>1714</v>
      </c>
      <c r="D5" s="146" t="s">
        <v>1926</v>
      </c>
      <c r="E5" s="130" t="s">
        <v>1927</v>
      </c>
      <c r="F5" s="130">
        <v>3</v>
      </c>
      <c r="G5" s="96">
        <v>2</v>
      </c>
      <c r="H5" s="87" t="s">
        <v>290</v>
      </c>
      <c r="I5" s="87" t="s">
        <v>292</v>
      </c>
      <c r="J5" s="87" t="s">
        <v>1560</v>
      </c>
      <c r="K5" s="87" t="s">
        <v>862</v>
      </c>
      <c r="L5" s="168" t="s">
        <v>1694</v>
      </c>
      <c r="M5" s="172" t="s">
        <v>1925</v>
      </c>
      <c r="N5" s="167">
        <v>45387</v>
      </c>
      <c r="O5" s="167">
        <v>45388</v>
      </c>
      <c r="P5" s="130" t="s">
        <v>294</v>
      </c>
      <c r="Q5" s="168" t="s">
        <v>1694</v>
      </c>
      <c r="R5" s="130" t="s">
        <v>1860</v>
      </c>
      <c r="S5" s="169">
        <v>45390</v>
      </c>
      <c r="T5" s="168" t="s">
        <v>1694</v>
      </c>
      <c r="U5" s="164" t="s">
        <v>1694</v>
      </c>
      <c r="V5" s="164" t="s">
        <v>1694</v>
      </c>
      <c r="W5" s="173" t="s">
        <v>384</v>
      </c>
      <c r="X5" s="174" t="s">
        <v>1928</v>
      </c>
    </row>
    <row r="6" spans="1:24" ht="36">
      <c r="A6" s="171">
        <v>4</v>
      </c>
      <c r="B6" s="175" t="s">
        <v>1929</v>
      </c>
      <c r="C6" s="166" t="s">
        <v>1930</v>
      </c>
      <c r="D6" s="87" t="s">
        <v>1931</v>
      </c>
      <c r="E6" s="130" t="s">
        <v>1932</v>
      </c>
      <c r="F6" s="130">
        <v>5</v>
      </c>
      <c r="G6" s="96">
        <v>3</v>
      </c>
      <c r="H6" s="87"/>
      <c r="I6" s="87"/>
      <c r="J6" s="87"/>
      <c r="K6" s="87"/>
      <c r="L6" s="87"/>
      <c r="M6" s="176"/>
      <c r="N6" s="87"/>
      <c r="O6" s="87"/>
      <c r="P6" s="87"/>
      <c r="Q6" s="87"/>
      <c r="R6" s="87"/>
      <c r="S6" s="87"/>
      <c r="T6" s="87"/>
      <c r="U6" s="87"/>
      <c r="V6" s="87"/>
      <c r="W6" s="73" t="s">
        <v>500</v>
      </c>
      <c r="X6" s="177" t="s">
        <v>1933</v>
      </c>
    </row>
    <row r="7" spans="1:24">
      <c r="A7" s="98"/>
      <c r="B7" s="97"/>
      <c r="C7" s="101"/>
      <c r="D7" s="87"/>
      <c r="E7" s="136"/>
      <c r="F7" s="84"/>
      <c r="G7" s="80"/>
      <c r="H7" s="77"/>
      <c r="I7" s="78"/>
      <c r="J7" s="78"/>
      <c r="K7" s="78"/>
      <c r="L7" s="138"/>
      <c r="M7" s="40"/>
      <c r="N7" s="134"/>
      <c r="O7" s="134"/>
      <c r="P7" s="88"/>
      <c r="Q7" s="73"/>
      <c r="R7" s="81"/>
      <c r="S7" s="135"/>
      <c r="T7" s="73"/>
      <c r="U7" s="81"/>
      <c r="V7" s="81"/>
      <c r="W7" s="30"/>
    </row>
    <row r="8" spans="1:24" ht="14.25">
      <c r="A8" s="98"/>
      <c r="B8" s="97"/>
      <c r="C8" s="100"/>
      <c r="D8" s="87"/>
      <c r="E8" s="136"/>
      <c r="F8" s="84"/>
      <c r="G8" s="80"/>
      <c r="H8" s="77"/>
      <c r="I8" s="78"/>
      <c r="J8" s="78"/>
      <c r="K8" s="78"/>
      <c r="L8" s="89"/>
      <c r="M8" s="40"/>
      <c r="N8" s="94"/>
      <c r="O8" s="85"/>
      <c r="P8" s="80"/>
      <c r="Q8" s="78"/>
      <c r="R8" s="81"/>
      <c r="S8" s="95"/>
      <c r="T8" s="78"/>
      <c r="U8" s="81"/>
      <c r="V8" s="81"/>
      <c r="W8" s="30"/>
      <c r="X8" s="30"/>
    </row>
    <row r="9" spans="1:24" ht="16.5">
      <c r="A9" s="99"/>
      <c r="B9" s="97"/>
      <c r="C9" s="102"/>
      <c r="D9" s="46"/>
      <c r="E9" s="18"/>
      <c r="F9" s="18"/>
      <c r="G9" s="18"/>
      <c r="H9" s="12"/>
      <c r="I9" s="14"/>
      <c r="J9" s="14"/>
      <c r="K9" s="14"/>
      <c r="L9" s="67"/>
      <c r="M9" s="40"/>
      <c r="N9" s="65"/>
      <c r="O9" s="66"/>
      <c r="P9" s="14"/>
      <c r="Q9" s="14"/>
      <c r="R9" s="19"/>
      <c r="S9" s="65"/>
      <c r="T9" s="14"/>
      <c r="U9" s="19"/>
      <c r="V9" s="19"/>
      <c r="W9" s="64"/>
      <c r="X9" s="19"/>
    </row>
    <row r="10" spans="1:24">
      <c r="A10" s="99"/>
      <c r="B10" s="97"/>
      <c r="C10" s="103"/>
      <c r="D10" s="46"/>
      <c r="E10" s="18"/>
      <c r="F10" s="18"/>
      <c r="G10" s="18"/>
      <c r="H10" s="12"/>
      <c r="I10" s="14"/>
      <c r="J10" s="14"/>
      <c r="K10" s="14"/>
      <c r="L10" s="58"/>
      <c r="M10" s="14"/>
      <c r="N10" s="14"/>
      <c r="O10" s="9"/>
      <c r="P10" s="14"/>
      <c r="Q10" s="19"/>
      <c r="R10" s="19"/>
      <c r="S10" s="19"/>
      <c r="T10" s="19"/>
      <c r="U10" s="19"/>
      <c r="V10" s="19"/>
      <c r="W10" s="64"/>
      <c r="X10" s="19"/>
    </row>
    <row r="11" spans="1:24">
      <c r="A11" s="99"/>
      <c r="B11" s="97"/>
      <c r="C11" s="103"/>
      <c r="D11" s="62"/>
      <c r="E11" s="18"/>
      <c r="F11" s="18"/>
      <c r="G11" s="18"/>
      <c r="H11" s="12"/>
      <c r="I11" s="10"/>
      <c r="J11" s="14"/>
      <c r="K11" s="14"/>
      <c r="L11" s="19"/>
      <c r="M11" s="14"/>
      <c r="N11" s="14"/>
      <c r="O11" s="9"/>
      <c r="P11" s="14"/>
      <c r="Q11" s="18"/>
      <c r="R11" s="19"/>
      <c r="S11" s="19"/>
      <c r="T11" s="19"/>
      <c r="U11" s="19"/>
      <c r="V11" s="19"/>
      <c r="W11" s="64"/>
      <c r="X11" s="19"/>
    </row>
    <row r="12" spans="1:24">
      <c r="A12" s="99"/>
      <c r="B12" s="97"/>
      <c r="C12" s="102"/>
      <c r="D12" s="62"/>
      <c r="E12" s="45"/>
      <c r="F12" s="18"/>
      <c r="G12" s="18"/>
      <c r="H12" s="12"/>
      <c r="I12" s="14"/>
      <c r="J12" s="19"/>
      <c r="K12" s="14"/>
      <c r="L12" s="19"/>
      <c r="M12" s="14"/>
      <c r="N12" s="14"/>
      <c r="O12" s="9"/>
      <c r="P12" s="14"/>
      <c r="Q12" s="19"/>
      <c r="R12" s="19"/>
      <c r="S12" s="19"/>
      <c r="T12" s="19"/>
      <c r="U12" s="19"/>
      <c r="V12" s="19"/>
      <c r="W12" s="64"/>
      <c r="X12" s="19"/>
    </row>
    <row r="13" spans="1:24">
      <c r="A13" s="19"/>
      <c r="B13" s="104"/>
      <c r="C13" s="14"/>
      <c r="D13" s="12"/>
      <c r="E13" s="18"/>
      <c r="F13" s="18"/>
      <c r="G13" s="18"/>
      <c r="H13" s="12"/>
      <c r="I13" s="14"/>
      <c r="J13" s="19"/>
      <c r="K13" s="14"/>
      <c r="L13" s="19"/>
      <c r="M13" s="14"/>
      <c r="N13" s="14"/>
      <c r="O13" s="9"/>
      <c r="P13" s="14"/>
      <c r="Q13" s="19"/>
      <c r="R13" s="19"/>
      <c r="S13" s="19"/>
      <c r="T13" s="19"/>
      <c r="U13" s="19"/>
      <c r="V13" s="19"/>
      <c r="W13" s="19"/>
      <c r="X13" s="19"/>
    </row>
    <row r="14" spans="1:24">
      <c r="A14" s="19"/>
      <c r="B14" s="60"/>
      <c r="C14" s="14"/>
      <c r="D14" s="12"/>
      <c r="E14" s="18"/>
      <c r="F14" s="18"/>
      <c r="G14" s="18"/>
      <c r="H14" s="12"/>
      <c r="I14" s="14"/>
      <c r="J14" s="19"/>
      <c r="K14" s="14"/>
      <c r="L14" s="19"/>
      <c r="M14" s="14"/>
      <c r="N14" s="14"/>
      <c r="O14" s="9"/>
      <c r="P14" s="14"/>
      <c r="Q14" s="19"/>
      <c r="R14" s="19"/>
      <c r="S14" s="19"/>
      <c r="T14" s="19"/>
      <c r="U14" s="19"/>
      <c r="V14" s="19"/>
      <c r="W14" s="19"/>
      <c r="X14" s="19"/>
    </row>
    <row r="15" spans="1:24">
      <c r="A15" s="19"/>
      <c r="B15" s="60"/>
      <c r="C15" s="14"/>
      <c r="D15" s="12"/>
      <c r="E15" s="18"/>
      <c r="F15" s="18"/>
      <c r="G15" s="18"/>
      <c r="H15" s="12"/>
      <c r="I15" s="14"/>
      <c r="J15" s="19"/>
      <c r="K15" s="14"/>
      <c r="L15" s="19"/>
      <c r="M15" s="14"/>
      <c r="N15" s="14"/>
      <c r="O15" s="9"/>
      <c r="P15" s="14"/>
      <c r="Q15" s="19"/>
      <c r="R15" s="19"/>
      <c r="S15" s="19"/>
      <c r="T15" s="19"/>
      <c r="U15" s="19"/>
      <c r="V15" s="19"/>
      <c r="W15" s="19"/>
      <c r="X15" s="19"/>
    </row>
    <row r="16" spans="1:24">
      <c r="A16" s="19"/>
      <c r="B16" s="60"/>
      <c r="C16" s="14"/>
      <c r="D16" s="12"/>
      <c r="E16" s="18"/>
      <c r="F16" s="18"/>
      <c r="G16" s="18"/>
      <c r="H16" s="12"/>
      <c r="I16" s="14"/>
      <c r="J16" s="19"/>
      <c r="K16" s="14"/>
      <c r="L16" s="19"/>
      <c r="M16" s="14"/>
      <c r="N16" s="14"/>
      <c r="O16" s="9"/>
      <c r="P16" s="14"/>
      <c r="Q16" s="19"/>
      <c r="R16" s="19"/>
      <c r="S16" s="19"/>
      <c r="T16" s="19"/>
      <c r="U16" s="19"/>
      <c r="V16" s="19"/>
      <c r="W16" s="19"/>
      <c r="X16" s="19"/>
    </row>
    <row r="17" spans="1:30">
      <c r="A17" s="19"/>
      <c r="B17" s="60"/>
      <c r="C17" s="14"/>
      <c r="D17" s="12"/>
      <c r="E17" s="18"/>
      <c r="F17" s="18"/>
      <c r="G17" s="18"/>
      <c r="H17" s="12"/>
      <c r="I17" s="14"/>
      <c r="J17" s="19"/>
      <c r="K17" s="14"/>
      <c r="L17" s="19"/>
      <c r="M17" s="14"/>
      <c r="N17" s="14"/>
      <c r="O17" s="9"/>
      <c r="P17" s="14"/>
      <c r="Q17" s="19"/>
      <c r="R17" s="19"/>
      <c r="S17" s="19"/>
      <c r="T17" s="19"/>
      <c r="U17" s="19"/>
      <c r="V17" s="19"/>
      <c r="W17" s="19"/>
      <c r="X17" s="19"/>
    </row>
    <row r="18" spans="1:30">
      <c r="B18" s="28"/>
      <c r="C18" s="3"/>
      <c r="D18" s="47"/>
      <c r="E18" s="28"/>
      <c r="F18" s="28"/>
      <c r="G18" s="28"/>
      <c r="H18" s="29"/>
      <c r="I18" s="63"/>
      <c r="K18" s="3"/>
      <c r="M18" s="3"/>
      <c r="N18" s="3"/>
      <c r="O18" s="52"/>
      <c r="P18" s="3"/>
    </row>
    <row r="19" spans="1:30">
      <c r="B19" s="28"/>
      <c r="C19" s="3"/>
      <c r="D19" s="47"/>
      <c r="E19" s="28"/>
      <c r="F19" s="28"/>
      <c r="G19" s="28"/>
      <c r="H19" s="29"/>
      <c r="I19" s="14"/>
      <c r="K19" s="3"/>
      <c r="M19" s="3"/>
      <c r="N19" s="3"/>
      <c r="O19" s="52"/>
      <c r="P19" s="3"/>
    </row>
    <row r="20" spans="1:30">
      <c r="B20" s="28"/>
      <c r="C20" s="3"/>
      <c r="D20" s="47"/>
      <c r="E20" s="28"/>
      <c r="F20" s="28"/>
      <c r="G20" s="28"/>
      <c r="H20" s="29"/>
      <c r="I20" s="14"/>
      <c r="K20" s="3"/>
      <c r="M20" s="3"/>
      <c r="N20" s="3"/>
      <c r="O20" s="52"/>
      <c r="P20" s="3"/>
    </row>
    <row r="21" spans="1:30">
      <c r="B21" s="28"/>
      <c r="C21" s="3"/>
      <c r="D21" s="47"/>
      <c r="E21" s="28"/>
      <c r="F21" s="28"/>
      <c r="G21" s="28"/>
      <c r="H21" s="29"/>
      <c r="I21" s="14"/>
      <c r="K21" s="3"/>
      <c r="M21" s="3"/>
      <c r="N21" s="3"/>
      <c r="O21" s="52"/>
      <c r="P21" s="3"/>
    </row>
    <row r="22" spans="1:30">
      <c r="B22" s="28"/>
      <c r="C22" s="3"/>
      <c r="D22" s="47"/>
      <c r="E22" s="28"/>
      <c r="F22" s="28"/>
      <c r="G22" s="28"/>
      <c r="H22" s="29"/>
      <c r="I22" s="14"/>
      <c r="K22" s="3"/>
      <c r="M22" s="3"/>
      <c r="N22" s="3"/>
      <c r="O22" s="52"/>
      <c r="P22" s="3"/>
    </row>
    <row r="23" spans="1:30">
      <c r="B23" s="28"/>
      <c r="C23" s="3"/>
      <c r="D23" s="47"/>
      <c r="E23" s="28"/>
      <c r="F23" s="28"/>
      <c r="G23" s="28"/>
      <c r="H23" s="29"/>
      <c r="I23" s="14"/>
      <c r="K23" s="3"/>
      <c r="M23" s="3"/>
      <c r="N23" s="3"/>
      <c r="O23" s="52"/>
      <c r="P23" s="3"/>
      <c r="Y23" s="4"/>
      <c r="Z23" s="4"/>
      <c r="AA23" s="4"/>
      <c r="AB23" s="4"/>
      <c r="AC23" s="4"/>
      <c r="AD23" s="6"/>
    </row>
    <row r="24" spans="1:30" ht="48">
      <c r="B24" s="28"/>
      <c r="C24" s="3"/>
      <c r="D24" s="47"/>
      <c r="E24" s="28"/>
      <c r="F24" s="28"/>
      <c r="G24" s="28"/>
      <c r="H24" s="29"/>
      <c r="I24" s="14"/>
      <c r="K24" s="3"/>
      <c r="M24" s="3"/>
      <c r="N24" s="3"/>
      <c r="O24" s="52"/>
      <c r="P24" s="3"/>
      <c r="Y24" s="70" t="s">
        <v>276</v>
      </c>
      <c r="Z24" s="70" t="s">
        <v>274</v>
      </c>
      <c r="AA24" s="70" t="s">
        <v>278</v>
      </c>
      <c r="AB24" s="70" t="s">
        <v>279</v>
      </c>
      <c r="AC24" s="70" t="s">
        <v>259</v>
      </c>
      <c r="AD24" s="72" t="s">
        <v>280</v>
      </c>
    </row>
    <row r="25" spans="1:30">
      <c r="B25" s="28"/>
      <c r="C25" s="3"/>
      <c r="D25" s="47"/>
      <c r="E25" s="28"/>
      <c r="F25" s="28"/>
      <c r="G25" s="28"/>
      <c r="H25" s="29"/>
      <c r="I25" s="14"/>
      <c r="K25" s="3"/>
      <c r="M25" s="3"/>
      <c r="N25" s="3"/>
      <c r="O25" s="52"/>
      <c r="P25" s="3"/>
      <c r="Y25" s="140"/>
      <c r="Z25" s="77"/>
      <c r="AA25" s="77"/>
      <c r="AB25" s="77"/>
      <c r="AC25" s="139"/>
      <c r="AD25" s="83"/>
    </row>
    <row r="26" spans="1:30">
      <c r="B26" s="28"/>
      <c r="C26" s="3"/>
      <c r="D26" s="47"/>
      <c r="E26" s="28"/>
      <c r="F26" s="28"/>
      <c r="G26" s="28"/>
      <c r="H26" s="29"/>
      <c r="I26" s="14"/>
      <c r="K26" s="3"/>
      <c r="M26" s="3"/>
      <c r="N26" s="3"/>
      <c r="O26" s="52"/>
      <c r="P26" s="3"/>
      <c r="Y26" s="135"/>
      <c r="Z26" s="77"/>
      <c r="AA26" s="84"/>
      <c r="AB26" s="150"/>
      <c r="AC26" s="83"/>
      <c r="AD26" s="83"/>
    </row>
    <row r="27" spans="1:30">
      <c r="B27" s="28"/>
      <c r="C27" s="3"/>
      <c r="D27" s="47"/>
      <c r="E27" s="28"/>
      <c r="F27" s="28"/>
      <c r="G27" s="28"/>
      <c r="H27" s="29"/>
      <c r="I27" s="14"/>
      <c r="K27" s="3"/>
      <c r="M27" s="3"/>
      <c r="N27" s="3"/>
      <c r="O27" s="52"/>
      <c r="P27" s="3"/>
      <c r="Y27" s="77"/>
      <c r="Z27" s="77"/>
      <c r="AA27" s="77"/>
      <c r="AB27" s="77"/>
      <c r="AC27" s="30"/>
      <c r="AD27" s="30"/>
    </row>
    <row r="28" spans="1:30">
      <c r="B28" s="28"/>
      <c r="C28" s="3"/>
      <c r="D28" s="47"/>
      <c r="E28" s="28"/>
      <c r="F28" s="28"/>
      <c r="G28" s="28"/>
      <c r="H28" s="29"/>
      <c r="I28" s="14"/>
      <c r="K28" s="3"/>
      <c r="M28" s="3"/>
      <c r="N28" s="3"/>
      <c r="O28" s="52"/>
      <c r="P28" s="3"/>
      <c r="Y28" s="77"/>
      <c r="Z28" s="77"/>
      <c r="AA28" s="77"/>
      <c r="AB28" s="77"/>
      <c r="AC28" s="30"/>
      <c r="AD28" s="30"/>
    </row>
    <row r="29" spans="1:30">
      <c r="B29" s="28"/>
      <c r="C29" s="3"/>
      <c r="D29" s="47"/>
      <c r="E29" s="28"/>
      <c r="F29" s="28"/>
      <c r="G29" s="28"/>
      <c r="H29" s="29"/>
      <c r="I29" s="14"/>
      <c r="K29" s="3"/>
      <c r="M29" s="3"/>
      <c r="N29" s="3"/>
      <c r="O29" s="52"/>
      <c r="P29" s="3"/>
      <c r="Y29" s="135"/>
      <c r="Z29" s="73"/>
      <c r="AA29" s="81"/>
      <c r="AB29" s="81"/>
      <c r="AC29" s="30"/>
      <c r="AD29" s="81"/>
    </row>
    <row r="30" spans="1:30">
      <c r="B30" s="28"/>
      <c r="C30" s="3"/>
      <c r="D30" s="47"/>
      <c r="E30" s="28"/>
      <c r="F30" s="28"/>
      <c r="G30" s="28"/>
      <c r="H30" s="29"/>
      <c r="I30" s="14"/>
      <c r="K30" s="3"/>
      <c r="M30" s="3"/>
      <c r="N30" s="3"/>
      <c r="O30" s="52"/>
      <c r="P30" s="3"/>
      <c r="Y30" s="95"/>
      <c r="Z30" s="78"/>
      <c r="AA30" s="81"/>
      <c r="AB30" s="81"/>
      <c r="AC30" s="30"/>
      <c r="AD30" s="30"/>
    </row>
    <row r="31" spans="1:30">
      <c r="B31" s="28"/>
      <c r="C31" s="3"/>
      <c r="D31" s="47"/>
      <c r="E31" s="28"/>
      <c r="F31" s="28"/>
      <c r="G31" s="28"/>
      <c r="H31" s="29"/>
      <c r="I31" s="14"/>
      <c r="K31" s="3"/>
      <c r="M31" s="3"/>
      <c r="N31" s="3"/>
      <c r="O31" s="52"/>
      <c r="P31" s="3"/>
      <c r="Y31" s="65"/>
      <c r="Z31" s="14"/>
      <c r="AA31" s="19"/>
      <c r="AB31" s="19"/>
      <c r="AC31" s="64"/>
      <c r="AD31" s="19"/>
    </row>
    <row r="32" spans="1:30">
      <c r="B32" s="28"/>
      <c r="C32" s="3"/>
      <c r="D32" s="47"/>
      <c r="E32" s="28"/>
      <c r="F32" s="28"/>
      <c r="G32" s="28"/>
      <c r="H32" s="29"/>
      <c r="I32" s="14"/>
      <c r="K32" s="3"/>
      <c r="M32" s="3"/>
      <c r="N32" s="3"/>
      <c r="O32" s="52"/>
      <c r="P32" s="3"/>
      <c r="Y32" s="19"/>
      <c r="Z32" s="19"/>
      <c r="AA32" s="19"/>
      <c r="AB32" s="19"/>
      <c r="AC32" s="64"/>
      <c r="AD32" s="19"/>
    </row>
    <row r="33" spans="2:30">
      <c r="B33" s="28"/>
      <c r="C33" s="3"/>
      <c r="D33" s="47"/>
      <c r="E33" s="28"/>
      <c r="F33" s="28"/>
      <c r="G33" s="28"/>
      <c r="H33" s="29"/>
      <c r="I33" s="14"/>
      <c r="K33" s="3"/>
      <c r="M33" s="3"/>
      <c r="N33" s="3"/>
      <c r="O33" s="52"/>
      <c r="P33" s="3"/>
      <c r="Y33" s="19"/>
      <c r="Z33" s="19"/>
      <c r="AA33" s="19"/>
      <c r="AB33" s="19"/>
      <c r="AC33" s="64"/>
      <c r="AD33" s="19"/>
    </row>
    <row r="34" spans="2:30">
      <c r="B34" s="28"/>
      <c r="C34" s="3"/>
      <c r="D34" s="47"/>
      <c r="E34" s="28"/>
      <c r="F34" s="28"/>
      <c r="G34" s="28"/>
      <c r="H34" s="29"/>
      <c r="I34" s="14"/>
      <c r="K34" s="3"/>
      <c r="M34" s="3"/>
      <c r="N34" s="3"/>
      <c r="O34" s="52"/>
      <c r="P34" s="3"/>
      <c r="Y34" s="19"/>
      <c r="Z34" s="19"/>
      <c r="AA34" s="19"/>
      <c r="AB34" s="19"/>
      <c r="AC34" s="64"/>
      <c r="AD34" s="19"/>
    </row>
    <row r="35" spans="2:30">
      <c r="B35" s="28"/>
      <c r="C35" s="3"/>
      <c r="D35" s="47"/>
      <c r="E35" s="28"/>
      <c r="F35" s="28"/>
      <c r="G35" s="28"/>
      <c r="H35" s="29"/>
      <c r="I35" s="14"/>
      <c r="K35" s="3"/>
      <c r="M35" s="3"/>
      <c r="N35" s="3"/>
      <c r="O35" s="52"/>
      <c r="P35" s="3"/>
      <c r="Y35" s="19"/>
      <c r="Z35" s="19"/>
      <c r="AA35" s="19"/>
      <c r="AB35" s="19"/>
      <c r="AC35" s="19"/>
      <c r="AD35" s="19"/>
    </row>
    <row r="36" spans="2:30">
      <c r="B36" s="28"/>
      <c r="C36" s="3"/>
      <c r="D36" s="47"/>
      <c r="E36" s="28"/>
      <c r="F36" s="28"/>
      <c r="G36" s="28"/>
      <c r="H36" s="29"/>
      <c r="I36" s="14"/>
      <c r="K36" s="3"/>
      <c r="M36" s="3"/>
      <c r="N36" s="3"/>
      <c r="O36" s="52"/>
      <c r="P36" s="3"/>
      <c r="Y36" s="19"/>
      <c r="Z36" s="19"/>
      <c r="AA36" s="19"/>
      <c r="AB36" s="19"/>
      <c r="AC36" s="19"/>
      <c r="AD36" s="19"/>
    </row>
    <row r="37" spans="2:30">
      <c r="B37" s="28"/>
      <c r="C37" s="3"/>
      <c r="D37" s="47"/>
      <c r="E37" s="28"/>
      <c r="F37" s="28"/>
      <c r="G37" s="28"/>
      <c r="H37" s="29"/>
      <c r="I37" s="14"/>
      <c r="K37" s="3"/>
      <c r="M37" s="3"/>
      <c r="N37" s="3"/>
      <c r="O37" s="52"/>
      <c r="P37" s="3"/>
      <c r="Y37" s="19"/>
      <c r="Z37" s="19"/>
      <c r="AA37" s="19"/>
      <c r="AB37" s="19"/>
      <c r="AC37" s="19"/>
      <c r="AD37" s="19"/>
    </row>
    <row r="38" spans="2:30">
      <c r="B38" s="28"/>
      <c r="C38" s="3"/>
      <c r="D38" s="47"/>
      <c r="E38" s="28"/>
      <c r="F38" s="28"/>
      <c r="G38" s="28"/>
      <c r="H38" s="29"/>
      <c r="I38" s="14"/>
      <c r="K38" s="3"/>
      <c r="M38" s="3"/>
      <c r="N38" s="3"/>
      <c r="O38" s="52"/>
      <c r="P38" s="3"/>
      <c r="Y38" s="19"/>
      <c r="Z38" s="19"/>
      <c r="AA38" s="19"/>
      <c r="AB38" s="19"/>
      <c r="AC38" s="19"/>
      <c r="AD38" s="19"/>
    </row>
    <row r="39" spans="2:30">
      <c r="B39" s="28"/>
      <c r="C39" s="3"/>
      <c r="D39" s="47"/>
      <c r="E39" s="28"/>
      <c r="F39" s="28"/>
      <c r="G39" s="28"/>
      <c r="H39" s="29"/>
      <c r="I39" s="14"/>
      <c r="K39" s="3"/>
      <c r="M39" s="3"/>
      <c r="N39" s="3"/>
      <c r="O39" s="52"/>
      <c r="P39" s="3"/>
      <c r="Y39" s="19"/>
      <c r="Z39" s="19"/>
      <c r="AA39" s="19"/>
      <c r="AB39" s="19"/>
      <c r="AC39" s="19"/>
      <c r="AD39" s="19"/>
    </row>
    <row r="40" spans="2:30">
      <c r="B40" s="28"/>
      <c r="C40" s="3"/>
      <c r="D40" s="47"/>
      <c r="E40" s="28"/>
      <c r="F40" s="28"/>
      <c r="G40" s="28"/>
      <c r="H40" s="29"/>
      <c r="I40" s="14"/>
      <c r="K40" s="3"/>
      <c r="M40" s="3"/>
      <c r="N40" s="3"/>
      <c r="O40" s="52"/>
      <c r="P40" s="3"/>
    </row>
    <row r="41" spans="2:30">
      <c r="B41" s="28"/>
      <c r="C41" s="3"/>
      <c r="D41" s="47"/>
      <c r="E41" s="28"/>
      <c r="F41" s="28"/>
      <c r="G41" s="28"/>
      <c r="H41" s="29"/>
      <c r="I41" s="14"/>
      <c r="K41" s="3"/>
      <c r="M41" s="3"/>
      <c r="N41" s="3"/>
      <c r="O41" s="52"/>
      <c r="P41" s="3"/>
    </row>
    <row r="42" spans="2:30">
      <c r="B42" s="28"/>
      <c r="C42" s="3"/>
      <c r="D42" s="47"/>
      <c r="E42" s="28"/>
      <c r="F42" s="28"/>
      <c r="G42" s="28"/>
      <c r="H42" s="29"/>
      <c r="I42" s="14"/>
      <c r="K42" s="3"/>
      <c r="M42" s="3"/>
      <c r="N42" s="3"/>
      <c r="O42" s="52"/>
      <c r="P42" s="3"/>
    </row>
    <row r="43" spans="2:30">
      <c r="B43" s="28"/>
      <c r="C43" s="3"/>
      <c r="D43" s="47"/>
      <c r="E43" s="28"/>
      <c r="F43" s="28"/>
      <c r="G43" s="28"/>
      <c r="H43" s="29"/>
      <c r="I43" s="14"/>
      <c r="K43" s="3"/>
      <c r="M43" s="3"/>
      <c r="N43" s="3"/>
      <c r="O43" s="52"/>
      <c r="P43" s="3"/>
    </row>
    <row r="44" spans="2:30">
      <c r="B44" s="28"/>
      <c r="C44" s="3"/>
      <c r="D44" s="47"/>
      <c r="E44" s="28"/>
      <c r="F44" s="28"/>
      <c r="G44" s="28"/>
      <c r="H44" s="29"/>
      <c r="I44" s="14"/>
      <c r="K44" s="3"/>
      <c r="M44" s="3"/>
      <c r="N44" s="3"/>
      <c r="O44" s="52"/>
      <c r="P44" s="3"/>
    </row>
    <row r="45" spans="2:30">
      <c r="B45" s="28"/>
      <c r="C45" s="3"/>
      <c r="D45" s="47"/>
      <c r="E45" s="28"/>
      <c r="F45" s="28"/>
      <c r="G45" s="28"/>
      <c r="H45" s="29"/>
      <c r="I45" s="14"/>
      <c r="K45" s="3"/>
      <c r="M45" s="3"/>
      <c r="N45" s="3"/>
      <c r="O45" s="52"/>
      <c r="P45" s="3"/>
    </row>
    <row r="46" spans="2:30">
      <c r="B46" s="28"/>
      <c r="C46" s="3"/>
      <c r="D46" s="47"/>
      <c r="E46" s="28"/>
      <c r="F46" s="28"/>
      <c r="G46" s="28"/>
      <c r="H46" s="29"/>
      <c r="I46" s="14"/>
      <c r="K46" s="3"/>
      <c r="M46" s="3"/>
      <c r="N46" s="3"/>
      <c r="O46" s="52"/>
      <c r="P46" s="3"/>
    </row>
    <row r="47" spans="2:30">
      <c r="B47" s="28"/>
      <c r="C47" s="3"/>
      <c r="D47" s="47"/>
      <c r="E47" s="28"/>
      <c r="F47" s="28"/>
      <c r="G47" s="28"/>
      <c r="H47" s="29"/>
      <c r="I47" s="14"/>
      <c r="K47" s="3"/>
      <c r="M47" s="3"/>
      <c r="N47" s="3"/>
      <c r="O47" s="52"/>
      <c r="P47" s="3"/>
    </row>
    <row r="48" spans="2:30">
      <c r="B48" s="28"/>
      <c r="C48" s="3"/>
      <c r="D48" s="47"/>
      <c r="E48" s="28"/>
      <c r="F48" s="28"/>
      <c r="G48" s="28"/>
      <c r="H48" s="29"/>
      <c r="I48" s="14"/>
      <c r="K48" s="3"/>
      <c r="M48" s="3"/>
      <c r="N48" s="3"/>
      <c r="O48" s="52"/>
      <c r="P48" s="3"/>
    </row>
    <row r="49" spans="2:16">
      <c r="B49" s="28"/>
      <c r="C49" s="3"/>
      <c r="D49" s="47"/>
      <c r="E49" s="28"/>
      <c r="F49" s="28"/>
      <c r="G49" s="28"/>
      <c r="H49" s="29"/>
      <c r="I49" s="14"/>
      <c r="K49" s="3"/>
      <c r="M49" s="3"/>
      <c r="N49" s="3"/>
      <c r="O49" s="52"/>
      <c r="P49" s="3"/>
    </row>
    <row r="50" spans="2:16">
      <c r="B50" s="28"/>
      <c r="C50" s="3"/>
      <c r="D50" s="47"/>
      <c r="E50" s="28"/>
      <c r="F50" s="28"/>
      <c r="G50" s="28"/>
      <c r="H50" s="29"/>
      <c r="I50" s="14"/>
      <c r="K50" s="3"/>
      <c r="M50" s="3"/>
      <c r="N50" s="3"/>
      <c r="O50" s="52"/>
      <c r="P50" s="3"/>
    </row>
    <row r="51" spans="2:16">
      <c r="B51" s="28"/>
      <c r="C51" s="3"/>
      <c r="D51" s="47"/>
      <c r="E51" s="28"/>
      <c r="F51" s="28"/>
      <c r="G51" s="28"/>
      <c r="H51" s="29"/>
      <c r="I51" s="14"/>
      <c r="K51" s="3"/>
      <c r="M51" s="3"/>
      <c r="N51" s="3"/>
      <c r="O51" s="52"/>
      <c r="P51" s="3"/>
    </row>
    <row r="52" spans="2:16">
      <c r="B52" s="28"/>
      <c r="C52" s="3"/>
      <c r="D52" s="47"/>
      <c r="E52" s="28"/>
      <c r="F52" s="28"/>
      <c r="G52" s="28"/>
      <c r="H52" s="29"/>
      <c r="I52" s="14"/>
      <c r="K52" s="3"/>
      <c r="M52" s="3"/>
      <c r="N52" s="3"/>
      <c r="O52" s="52"/>
      <c r="P52" s="3"/>
    </row>
    <row r="53" spans="2:16">
      <c r="B53" s="28"/>
      <c r="C53" s="3"/>
      <c r="D53" s="47"/>
      <c r="E53" s="28"/>
      <c r="F53" s="28"/>
      <c r="G53" s="28"/>
      <c r="H53" s="29"/>
      <c r="I53" s="14"/>
      <c r="K53" s="3"/>
      <c r="M53" s="3"/>
      <c r="N53" s="3"/>
      <c r="O53" s="52"/>
      <c r="P53" s="3"/>
    </row>
    <row r="54" spans="2:16">
      <c r="B54" s="28"/>
      <c r="C54" s="3"/>
      <c r="D54" s="47"/>
      <c r="E54" s="28"/>
      <c r="F54" s="28"/>
      <c r="G54" s="28"/>
      <c r="H54" s="29"/>
      <c r="I54" s="14"/>
      <c r="K54" s="3"/>
      <c r="M54" s="3"/>
      <c r="N54" s="3"/>
      <c r="O54" s="52"/>
      <c r="P54" s="3"/>
    </row>
    <row r="55" spans="2:16">
      <c r="B55" s="28"/>
      <c r="C55" s="3"/>
      <c r="D55" s="47"/>
      <c r="E55" s="28"/>
      <c r="F55" s="28"/>
      <c r="G55" s="28"/>
      <c r="H55" s="29"/>
      <c r="I55" s="14"/>
      <c r="K55" s="3"/>
      <c r="M55" s="3"/>
      <c r="N55" s="3"/>
      <c r="O55" s="52"/>
      <c r="P55" s="3"/>
    </row>
    <row r="56" spans="2:16">
      <c r="B56" s="28"/>
      <c r="C56" s="3"/>
      <c r="D56" s="47"/>
      <c r="E56" s="28"/>
      <c r="F56" s="28"/>
      <c r="G56" s="28"/>
      <c r="H56" s="29"/>
      <c r="I56" s="14"/>
      <c r="K56" s="3"/>
      <c r="M56" s="3"/>
      <c r="N56" s="3"/>
      <c r="O56" s="52"/>
      <c r="P56" s="3"/>
    </row>
    <row r="57" spans="2:16">
      <c r="B57" s="28"/>
      <c r="C57" s="3"/>
      <c r="D57" s="47"/>
      <c r="E57" s="28"/>
      <c r="F57" s="28"/>
      <c r="G57" s="28"/>
      <c r="H57" s="29"/>
      <c r="I57" s="14"/>
      <c r="K57" s="3"/>
      <c r="M57" s="3"/>
      <c r="N57" s="3"/>
      <c r="O57" s="52"/>
      <c r="P57" s="3"/>
    </row>
    <row r="58" spans="2:16">
      <c r="B58" s="28"/>
      <c r="C58" s="3"/>
      <c r="D58" s="47"/>
      <c r="E58" s="28"/>
      <c r="F58" s="28"/>
      <c r="G58" s="28"/>
      <c r="H58" s="29"/>
      <c r="I58" s="14"/>
      <c r="K58" s="3"/>
      <c r="M58" s="3"/>
      <c r="N58" s="3"/>
      <c r="O58" s="52"/>
      <c r="P58" s="3"/>
    </row>
    <row r="59" spans="2:16">
      <c r="B59" s="28"/>
      <c r="C59" s="3"/>
      <c r="D59" s="47"/>
      <c r="E59" s="28"/>
      <c r="F59" s="28"/>
      <c r="G59" s="28"/>
      <c r="H59" s="29"/>
      <c r="I59" s="14"/>
      <c r="K59" s="3"/>
      <c r="M59" s="3"/>
      <c r="N59" s="3"/>
      <c r="O59" s="52"/>
      <c r="P59" s="3"/>
    </row>
    <row r="60" spans="2:16">
      <c r="B60" s="28"/>
      <c r="C60" s="3"/>
      <c r="D60" s="47"/>
      <c r="E60" s="28"/>
      <c r="F60" s="28"/>
      <c r="G60" s="28"/>
      <c r="H60" s="29"/>
      <c r="I60" s="14"/>
      <c r="K60" s="3"/>
      <c r="M60" s="3"/>
      <c r="N60" s="3"/>
      <c r="O60" s="52"/>
      <c r="P60" s="3"/>
    </row>
    <row r="61" spans="2:16">
      <c r="B61" s="28"/>
      <c r="C61" s="3"/>
      <c r="D61" s="47"/>
      <c r="E61" s="28"/>
      <c r="F61" s="28"/>
      <c r="G61" s="28"/>
      <c r="H61" s="29"/>
      <c r="I61" s="14"/>
      <c r="K61" s="3"/>
      <c r="M61" s="3"/>
      <c r="N61" s="3"/>
      <c r="O61" s="52"/>
      <c r="P61" s="3"/>
    </row>
    <row r="62" spans="2:16">
      <c r="B62" s="28"/>
      <c r="C62" s="3"/>
      <c r="D62" s="47"/>
      <c r="E62" s="28"/>
      <c r="F62" s="28"/>
      <c r="G62" s="28"/>
      <c r="H62" s="29"/>
      <c r="I62" s="14"/>
      <c r="K62" s="3"/>
      <c r="M62" s="3"/>
      <c r="N62" s="3"/>
      <c r="O62" s="52"/>
      <c r="P62" s="3"/>
    </row>
    <row r="63" spans="2:16">
      <c r="B63" s="28"/>
      <c r="C63" s="3"/>
      <c r="D63" s="47"/>
      <c r="E63" s="28"/>
      <c r="F63" s="28"/>
      <c r="G63" s="28"/>
      <c r="H63" s="29"/>
      <c r="I63" s="14"/>
      <c r="K63" s="3"/>
      <c r="M63" s="3"/>
      <c r="N63" s="3"/>
      <c r="O63" s="52"/>
      <c r="P63" s="3"/>
    </row>
    <row r="64" spans="2:16">
      <c r="B64" s="28"/>
      <c r="C64" s="3"/>
      <c r="D64" s="47"/>
      <c r="E64" s="28"/>
      <c r="F64" s="28"/>
      <c r="G64" s="28"/>
      <c r="H64" s="29"/>
      <c r="I64" s="14"/>
      <c r="K64" s="3"/>
      <c r="M64" s="3"/>
      <c r="N64" s="3"/>
      <c r="O64" s="52"/>
      <c r="P64" s="3"/>
    </row>
    <row r="65" spans="2:16">
      <c r="B65" s="28"/>
      <c r="C65" s="3"/>
      <c r="D65" s="47"/>
      <c r="E65" s="28"/>
      <c r="F65" s="28"/>
      <c r="G65" s="28"/>
      <c r="H65" s="29"/>
      <c r="I65" s="14"/>
      <c r="K65" s="3"/>
      <c r="M65" s="3"/>
      <c r="N65" s="3"/>
      <c r="O65" s="52"/>
      <c r="P65" s="3"/>
    </row>
    <row r="66" spans="2:16">
      <c r="B66" s="28"/>
      <c r="C66" s="3"/>
      <c r="D66" s="47"/>
      <c r="E66" s="28"/>
      <c r="F66" s="28"/>
      <c r="G66" s="28"/>
      <c r="H66" s="29"/>
      <c r="I66" s="14"/>
      <c r="K66" s="3"/>
      <c r="M66" s="3"/>
      <c r="N66" s="3"/>
      <c r="O66" s="52"/>
      <c r="P66" s="3"/>
    </row>
    <row r="67" spans="2:16">
      <c r="B67" s="28"/>
      <c r="C67" s="3"/>
      <c r="D67" s="47"/>
      <c r="E67" s="28"/>
      <c r="F67" s="28"/>
      <c r="G67" s="28"/>
      <c r="H67" s="29"/>
      <c r="I67" s="14"/>
      <c r="K67" s="3"/>
      <c r="M67" s="3"/>
      <c r="N67" s="3"/>
      <c r="O67" s="52"/>
      <c r="P67" s="3"/>
    </row>
    <row r="68" spans="2:16">
      <c r="B68" s="28"/>
      <c r="C68" s="3"/>
      <c r="D68" s="47"/>
      <c r="E68" s="28"/>
      <c r="F68" s="28"/>
      <c r="G68" s="28"/>
      <c r="H68" s="29"/>
      <c r="I68" s="14"/>
      <c r="K68" s="3"/>
      <c r="M68" s="3"/>
      <c r="N68" s="3"/>
      <c r="O68" s="52"/>
      <c r="P68" s="3"/>
    </row>
    <row r="69" spans="2:16">
      <c r="B69" s="28"/>
      <c r="C69" s="3"/>
      <c r="D69" s="47"/>
      <c r="E69" s="28"/>
      <c r="F69" s="28"/>
      <c r="G69" s="28"/>
      <c r="H69" s="29"/>
      <c r="I69" s="14"/>
      <c r="K69" s="3"/>
      <c r="M69" s="3"/>
      <c r="N69" s="3"/>
      <c r="O69" s="52"/>
      <c r="P69" s="3"/>
    </row>
    <row r="70" spans="2:16">
      <c r="B70" s="28"/>
      <c r="C70" s="3"/>
      <c r="D70" s="47"/>
      <c r="E70" s="28"/>
      <c r="F70" s="28"/>
      <c r="G70" s="28"/>
      <c r="H70" s="29"/>
      <c r="I70" s="14"/>
      <c r="K70" s="3"/>
      <c r="M70" s="3"/>
      <c r="N70" s="3"/>
      <c r="O70" s="52"/>
      <c r="P70" s="3"/>
    </row>
    <row r="71" spans="2:16">
      <c r="B71" s="28"/>
      <c r="C71" s="3"/>
      <c r="D71" s="47"/>
      <c r="E71" s="28"/>
      <c r="F71" s="28"/>
      <c r="G71" s="28"/>
      <c r="H71" s="29"/>
      <c r="I71" s="14"/>
      <c r="K71" s="3"/>
      <c r="M71" s="3"/>
      <c r="N71" s="3"/>
      <c r="O71" s="52"/>
      <c r="P71" s="3"/>
    </row>
    <row r="72" spans="2:16">
      <c r="B72" s="28"/>
      <c r="C72" s="3"/>
      <c r="D72" s="47"/>
      <c r="E72" s="28"/>
      <c r="F72" s="28"/>
      <c r="G72" s="28"/>
      <c r="H72" s="29"/>
      <c r="I72" s="14"/>
      <c r="K72" s="3"/>
      <c r="M72" s="3"/>
      <c r="N72" s="3"/>
      <c r="O72" s="52"/>
      <c r="P72" s="3"/>
    </row>
    <row r="73" spans="2:16">
      <c r="B73" s="28"/>
      <c r="C73" s="3"/>
      <c r="D73" s="47"/>
      <c r="E73" s="28"/>
      <c r="F73" s="28"/>
      <c r="G73" s="28"/>
      <c r="H73" s="29"/>
      <c r="I73" s="14"/>
      <c r="K73" s="3"/>
      <c r="M73" s="3"/>
      <c r="N73" s="3"/>
      <c r="O73" s="52"/>
      <c r="P73" s="3"/>
    </row>
    <row r="74" spans="2:16">
      <c r="B74" s="28"/>
      <c r="C74" s="3"/>
      <c r="D74" s="47"/>
      <c r="E74" s="28"/>
      <c r="F74" s="28"/>
      <c r="G74" s="28"/>
      <c r="H74" s="29"/>
      <c r="I74" s="14"/>
      <c r="K74" s="3"/>
      <c r="M74" s="3"/>
      <c r="N74" s="3"/>
      <c r="O74" s="52"/>
      <c r="P74" s="3"/>
    </row>
    <row r="75" spans="2:16">
      <c r="B75" s="28"/>
      <c r="C75" s="3"/>
      <c r="D75" s="47"/>
      <c r="E75" s="28"/>
      <c r="F75" s="28"/>
      <c r="G75" s="28"/>
      <c r="H75" s="29"/>
      <c r="I75" s="14"/>
      <c r="K75" s="3"/>
      <c r="M75" s="3"/>
      <c r="N75" s="3"/>
      <c r="O75" s="52"/>
      <c r="P75" s="3"/>
    </row>
    <row r="76" spans="2:16">
      <c r="B76" s="28"/>
      <c r="C76" s="3"/>
      <c r="D76" s="47"/>
      <c r="E76" s="28"/>
      <c r="F76" s="28"/>
      <c r="G76" s="28"/>
      <c r="H76" s="29"/>
      <c r="I76" s="14"/>
      <c r="K76" s="3"/>
      <c r="M76" s="3"/>
      <c r="N76" s="3"/>
      <c r="O76" s="52"/>
      <c r="P76" s="3"/>
    </row>
    <row r="77" spans="2:16">
      <c r="B77" s="28"/>
      <c r="C77" s="3"/>
      <c r="D77" s="47"/>
      <c r="E77" s="28"/>
      <c r="F77" s="28"/>
      <c r="G77" s="28"/>
      <c r="H77" s="29"/>
      <c r="I77" s="14"/>
      <c r="K77" s="3"/>
      <c r="M77" s="3"/>
      <c r="N77" s="3"/>
      <c r="O77" s="52"/>
      <c r="P77" s="3"/>
    </row>
    <row r="78" spans="2:16">
      <c r="B78" s="28"/>
      <c r="C78" s="3"/>
      <c r="D78" s="47"/>
      <c r="E78" s="28"/>
      <c r="F78" s="28"/>
      <c r="G78" s="28"/>
      <c r="H78" s="29"/>
      <c r="I78" s="14"/>
      <c r="K78" s="3"/>
      <c r="M78" s="3"/>
      <c r="N78" s="3"/>
      <c r="O78" s="52"/>
      <c r="P78" s="3"/>
    </row>
    <row r="79" spans="2:16">
      <c r="B79" s="28"/>
      <c r="C79" s="3"/>
      <c r="D79" s="47"/>
      <c r="E79" s="28"/>
      <c r="F79" s="28"/>
      <c r="G79" s="28"/>
      <c r="H79" s="29"/>
      <c r="I79" s="14"/>
      <c r="K79" s="3"/>
      <c r="M79" s="3"/>
      <c r="N79" s="3"/>
      <c r="O79" s="52"/>
      <c r="P79" s="3"/>
    </row>
    <row r="80" spans="2:16">
      <c r="B80" s="28"/>
      <c r="C80" s="3"/>
      <c r="D80" s="47"/>
      <c r="E80" s="28"/>
      <c r="F80" s="28"/>
      <c r="G80" s="28"/>
      <c r="H80" s="29"/>
      <c r="I80" s="14"/>
      <c r="K80" s="3"/>
      <c r="M80" s="3"/>
      <c r="N80" s="3"/>
      <c r="O80" s="52"/>
      <c r="P80" s="3"/>
    </row>
    <row r="81" spans="2:16">
      <c r="B81" s="28"/>
      <c r="C81" s="3"/>
      <c r="D81" s="47"/>
      <c r="E81" s="28"/>
      <c r="F81" s="28"/>
      <c r="G81" s="28"/>
      <c r="H81" s="29"/>
      <c r="I81" s="14"/>
      <c r="K81" s="3"/>
      <c r="M81" s="3"/>
      <c r="N81" s="3"/>
      <c r="O81" s="52"/>
      <c r="P81" s="3"/>
    </row>
    <row r="82" spans="2:16">
      <c r="B82" s="28"/>
      <c r="C82" s="3"/>
      <c r="D82" s="47"/>
      <c r="E82" s="28"/>
      <c r="F82" s="28"/>
      <c r="G82" s="28"/>
      <c r="H82" s="29"/>
      <c r="I82" s="14"/>
      <c r="K82" s="3"/>
      <c r="M82" s="3"/>
      <c r="N82" s="3"/>
      <c r="O82" s="52"/>
      <c r="P82" s="3"/>
    </row>
    <row r="83" spans="2:16">
      <c r="B83" s="28"/>
      <c r="C83" s="3"/>
      <c r="D83" s="47"/>
      <c r="E83" s="28"/>
      <c r="F83" s="28"/>
      <c r="G83" s="28"/>
      <c r="H83" s="29"/>
      <c r="I83" s="14"/>
      <c r="K83" s="3"/>
      <c r="M83" s="3"/>
      <c r="N83" s="3"/>
      <c r="O83" s="52"/>
      <c r="P83" s="3"/>
    </row>
    <row r="84" spans="2:16">
      <c r="B84" s="28"/>
      <c r="C84" s="3"/>
      <c r="D84" s="47"/>
      <c r="E84" s="28"/>
      <c r="F84" s="28"/>
      <c r="G84" s="28"/>
      <c r="H84" s="29"/>
      <c r="I84" s="14"/>
      <c r="K84" s="3"/>
      <c r="M84" s="3"/>
      <c r="N84" s="3"/>
      <c r="O84" s="52"/>
      <c r="P84" s="3"/>
    </row>
    <row r="85" spans="2:16">
      <c r="B85" s="28"/>
      <c r="C85" s="3"/>
      <c r="D85" s="47"/>
      <c r="E85" s="28"/>
      <c r="F85" s="28"/>
      <c r="G85" s="28"/>
      <c r="H85" s="29"/>
      <c r="I85" s="14"/>
      <c r="K85" s="3"/>
      <c r="M85" s="3"/>
      <c r="N85" s="3"/>
      <c r="O85" s="52"/>
      <c r="P85" s="3"/>
    </row>
    <row r="86" spans="2:16">
      <c r="B86" s="28"/>
      <c r="C86" s="3"/>
      <c r="D86" s="47"/>
      <c r="E86" s="28"/>
      <c r="F86" s="28"/>
      <c r="G86" s="28"/>
      <c r="H86" s="29"/>
      <c r="I86" s="14"/>
      <c r="K86" s="3"/>
      <c r="M86" s="3"/>
      <c r="N86" s="3"/>
      <c r="O86" s="52"/>
      <c r="P86" s="3"/>
    </row>
    <row r="87" spans="2:16">
      <c r="B87" s="28"/>
      <c r="C87" s="3"/>
      <c r="D87" s="47"/>
      <c r="E87" s="28"/>
      <c r="F87" s="28"/>
      <c r="G87" s="28"/>
      <c r="H87" s="29"/>
      <c r="I87" s="14"/>
      <c r="K87" s="3"/>
      <c r="M87" s="3"/>
      <c r="N87" s="3"/>
      <c r="O87" s="52"/>
      <c r="P87" s="3"/>
    </row>
    <row r="88" spans="2:16">
      <c r="B88" s="28"/>
      <c r="C88" s="3"/>
      <c r="D88" s="47"/>
      <c r="E88" s="28"/>
      <c r="F88" s="28"/>
      <c r="G88" s="28"/>
      <c r="H88" s="29"/>
      <c r="I88" s="14"/>
      <c r="K88" s="3"/>
      <c r="M88" s="3"/>
      <c r="N88" s="3"/>
      <c r="O88" s="52"/>
      <c r="P88" s="3"/>
    </row>
    <row r="89" spans="2:16">
      <c r="B89" s="28"/>
      <c r="C89" s="3"/>
      <c r="D89" s="47"/>
      <c r="E89" s="28"/>
      <c r="F89" s="28"/>
      <c r="G89" s="28"/>
      <c r="H89" s="29"/>
      <c r="I89" s="14"/>
      <c r="K89" s="3"/>
      <c r="M89" s="3"/>
      <c r="N89" s="3"/>
      <c r="O89" s="52"/>
      <c r="P89" s="3"/>
    </row>
    <row r="90" spans="2:16">
      <c r="B90" s="28"/>
      <c r="C90" s="3"/>
      <c r="D90" s="47"/>
      <c r="E90" s="28"/>
      <c r="F90" s="28"/>
      <c r="G90" s="28"/>
      <c r="H90" s="29"/>
      <c r="I90" s="14"/>
      <c r="K90" s="3"/>
      <c r="M90" s="3"/>
      <c r="N90" s="3"/>
      <c r="O90" s="52"/>
      <c r="P90" s="3"/>
    </row>
    <row r="91" spans="2:16">
      <c r="B91" s="28"/>
      <c r="C91" s="3"/>
      <c r="D91" s="47"/>
      <c r="E91" s="28"/>
      <c r="F91" s="28"/>
      <c r="G91" s="28"/>
      <c r="H91" s="29"/>
      <c r="I91" s="14"/>
      <c r="K91" s="3"/>
      <c r="M91" s="3"/>
      <c r="N91" s="3"/>
      <c r="O91" s="52"/>
      <c r="P91" s="3"/>
    </row>
    <row r="92" spans="2:16">
      <c r="B92" s="28"/>
      <c r="C92" s="3"/>
      <c r="D92" s="47"/>
      <c r="E92" s="28"/>
      <c r="F92" s="28"/>
      <c r="G92" s="28"/>
      <c r="H92" s="29"/>
      <c r="I92" s="14"/>
      <c r="K92" s="3"/>
      <c r="M92" s="3"/>
      <c r="N92" s="3"/>
      <c r="O92" s="52"/>
      <c r="P92" s="3"/>
    </row>
    <row r="93" spans="2:16">
      <c r="B93" s="28"/>
      <c r="C93" s="3"/>
      <c r="D93" s="47"/>
      <c r="E93" s="28"/>
      <c r="F93" s="28"/>
      <c r="G93" s="28"/>
      <c r="H93" s="29"/>
      <c r="I93" s="14"/>
      <c r="K93" s="3"/>
      <c r="M93" s="3"/>
      <c r="N93" s="3"/>
      <c r="O93" s="52"/>
      <c r="P93" s="3"/>
    </row>
    <row r="94" spans="2:16">
      <c r="B94" s="28"/>
      <c r="C94" s="3"/>
      <c r="D94" s="47"/>
      <c r="E94" s="28"/>
      <c r="F94" s="28"/>
      <c r="G94" s="28"/>
      <c r="H94" s="29"/>
      <c r="I94" s="14"/>
      <c r="K94" s="3"/>
      <c r="M94" s="3"/>
      <c r="N94" s="3"/>
      <c r="O94" s="52"/>
      <c r="P94" s="3"/>
    </row>
    <row r="95" spans="2:16">
      <c r="B95" s="28"/>
      <c r="C95" s="3"/>
      <c r="D95" s="47"/>
      <c r="E95" s="28"/>
      <c r="F95" s="28"/>
      <c r="G95" s="28"/>
      <c r="H95" s="29"/>
      <c r="I95" s="14"/>
      <c r="K95" s="3"/>
      <c r="M95" s="3"/>
      <c r="N95" s="3"/>
      <c r="O95" s="52"/>
      <c r="P95" s="3"/>
    </row>
    <row r="96" spans="2:16">
      <c r="B96" s="28"/>
      <c r="C96" s="3"/>
      <c r="D96" s="47"/>
      <c r="E96" s="28"/>
      <c r="F96" s="28"/>
      <c r="G96" s="28"/>
      <c r="H96" s="29"/>
      <c r="I96" s="14"/>
      <c r="K96" s="3"/>
      <c r="M96" s="3"/>
      <c r="N96" s="3"/>
      <c r="O96" s="52"/>
      <c r="P96" s="3"/>
    </row>
    <row r="97" spans="2:16">
      <c r="B97" s="28"/>
      <c r="C97" s="3"/>
      <c r="D97" s="47"/>
      <c r="E97" s="28"/>
      <c r="F97" s="28"/>
      <c r="G97" s="28"/>
      <c r="H97" s="29"/>
      <c r="I97" s="14"/>
      <c r="K97" s="3"/>
      <c r="M97" s="3"/>
      <c r="N97" s="3"/>
      <c r="O97" s="52"/>
      <c r="P97" s="3"/>
    </row>
    <row r="98" spans="2:16">
      <c r="B98" s="28"/>
      <c r="C98" s="3"/>
      <c r="D98" s="47"/>
      <c r="E98" s="28"/>
      <c r="F98" s="28"/>
      <c r="G98" s="28"/>
      <c r="H98" s="29"/>
      <c r="I98" s="14"/>
      <c r="K98" s="3"/>
      <c r="M98" s="3"/>
      <c r="N98" s="3"/>
      <c r="O98" s="52"/>
      <c r="P98" s="3"/>
    </row>
    <row r="99" spans="2:16">
      <c r="B99" s="28"/>
      <c r="C99" s="3"/>
      <c r="D99" s="47"/>
      <c r="E99" s="28"/>
      <c r="F99" s="28"/>
      <c r="G99" s="28"/>
      <c r="H99" s="29"/>
      <c r="I99" s="14"/>
      <c r="K99" s="3"/>
      <c r="M99" s="3"/>
      <c r="N99" s="3"/>
      <c r="O99" s="52"/>
      <c r="P99" s="3"/>
    </row>
    <row r="100" spans="2:16">
      <c r="B100" s="28"/>
      <c r="C100" s="3"/>
      <c r="D100" s="47"/>
      <c r="E100" s="28"/>
      <c r="F100" s="28"/>
      <c r="G100" s="28"/>
      <c r="H100" s="29"/>
      <c r="I100" s="14"/>
      <c r="K100" s="3"/>
      <c r="M100" s="3"/>
      <c r="N100" s="3"/>
      <c r="O100" s="52"/>
      <c r="P100" s="3"/>
    </row>
    <row r="101" spans="2:16">
      <c r="B101" s="28"/>
      <c r="C101" s="3"/>
      <c r="D101" s="47"/>
      <c r="E101" s="28"/>
      <c r="F101" s="28"/>
      <c r="G101" s="28"/>
      <c r="H101" s="29"/>
      <c r="I101" s="14"/>
      <c r="K101" s="3"/>
      <c r="M101" s="3"/>
      <c r="N101" s="3"/>
      <c r="O101" s="52"/>
      <c r="P101" s="3"/>
    </row>
    <row r="102" spans="2:16">
      <c r="B102" s="28"/>
      <c r="C102" s="3"/>
      <c r="D102" s="47"/>
      <c r="E102" s="28"/>
      <c r="F102" s="28"/>
      <c r="G102" s="28"/>
      <c r="H102" s="29"/>
      <c r="I102" s="14"/>
      <c r="K102" s="3"/>
      <c r="M102" s="3"/>
      <c r="N102" s="3"/>
      <c r="O102" s="52"/>
      <c r="P102" s="3"/>
    </row>
    <row r="103" spans="2:16">
      <c r="B103" s="28"/>
      <c r="C103" s="3"/>
      <c r="D103" s="47"/>
      <c r="E103" s="28"/>
      <c r="F103" s="28"/>
      <c r="G103" s="28"/>
      <c r="H103" s="29"/>
      <c r="I103" s="14"/>
      <c r="K103" s="3"/>
      <c r="M103" s="3"/>
      <c r="N103" s="3"/>
      <c r="O103" s="52"/>
      <c r="P103" s="3"/>
    </row>
    <row r="104" spans="2:16">
      <c r="B104" s="28"/>
      <c r="C104" s="3"/>
      <c r="D104" s="47"/>
      <c r="E104" s="28"/>
      <c r="F104" s="28"/>
      <c r="G104" s="28"/>
      <c r="H104" s="29"/>
      <c r="I104" s="14"/>
      <c r="K104" s="3"/>
      <c r="M104" s="3"/>
      <c r="N104" s="3"/>
      <c r="O104" s="52"/>
      <c r="P104" s="3"/>
    </row>
    <row r="105" spans="2:16">
      <c r="B105" s="28"/>
      <c r="C105" s="3"/>
      <c r="D105" s="47"/>
      <c r="E105" s="28"/>
      <c r="F105" s="28"/>
      <c r="G105" s="28"/>
      <c r="H105" s="29"/>
      <c r="I105" s="14"/>
      <c r="K105" s="3"/>
      <c r="M105" s="3"/>
      <c r="N105" s="3"/>
      <c r="O105" s="52"/>
      <c r="P105" s="3"/>
    </row>
    <row r="106" spans="2:16">
      <c r="B106" s="28"/>
      <c r="C106" s="3"/>
      <c r="D106" s="47"/>
      <c r="E106" s="28"/>
      <c r="F106" s="28"/>
      <c r="G106" s="28"/>
      <c r="H106" s="29"/>
      <c r="I106" s="14"/>
      <c r="K106" s="3"/>
      <c r="M106" s="3"/>
      <c r="N106" s="3"/>
      <c r="O106" s="52"/>
      <c r="P106" s="3"/>
    </row>
    <row r="107" spans="2:16">
      <c r="B107" s="28"/>
      <c r="C107" s="3"/>
      <c r="D107" s="47"/>
      <c r="E107" s="28"/>
      <c r="F107" s="28"/>
      <c r="G107" s="28"/>
      <c r="H107" s="29"/>
      <c r="I107" s="14"/>
      <c r="K107" s="3"/>
      <c r="M107" s="3"/>
      <c r="N107" s="3"/>
      <c r="O107" s="52"/>
      <c r="P107" s="3"/>
    </row>
    <row r="108" spans="2:16">
      <c r="B108" s="28"/>
      <c r="C108" s="3"/>
      <c r="D108" s="47"/>
      <c r="E108" s="28"/>
      <c r="F108" s="28"/>
      <c r="G108" s="28"/>
      <c r="H108" s="29"/>
      <c r="I108" s="14"/>
      <c r="K108" s="3"/>
      <c r="M108" s="3"/>
      <c r="N108" s="3"/>
      <c r="O108" s="52"/>
      <c r="P108" s="3"/>
    </row>
    <row r="109" spans="2:16">
      <c r="B109" s="28"/>
      <c r="C109" s="3"/>
      <c r="D109" s="47"/>
      <c r="E109" s="28"/>
      <c r="F109" s="28"/>
      <c r="G109" s="28"/>
      <c r="H109" s="29"/>
      <c r="I109" s="14"/>
      <c r="K109" s="3"/>
      <c r="M109" s="3"/>
      <c r="N109" s="3"/>
      <c r="O109" s="52"/>
      <c r="P109" s="3"/>
    </row>
    <row r="110" spans="2:16">
      <c r="B110" s="28"/>
      <c r="C110" s="3"/>
      <c r="D110" s="47"/>
      <c r="E110" s="28"/>
      <c r="F110" s="28"/>
      <c r="G110" s="28"/>
      <c r="H110" s="29"/>
      <c r="I110" s="14"/>
      <c r="K110" s="3"/>
      <c r="M110" s="3"/>
      <c r="N110" s="3"/>
      <c r="O110" s="52"/>
      <c r="P110" s="3"/>
    </row>
    <row r="111" spans="2:16">
      <c r="B111" s="28"/>
      <c r="C111" s="3"/>
      <c r="D111" s="47"/>
      <c r="E111" s="28"/>
      <c r="F111" s="28"/>
      <c r="G111" s="28"/>
      <c r="H111" s="29"/>
      <c r="I111" s="14"/>
      <c r="K111" s="3"/>
      <c r="M111" s="3"/>
      <c r="N111" s="3"/>
      <c r="O111" s="52"/>
      <c r="P111" s="3"/>
    </row>
    <row r="112" spans="2:16">
      <c r="B112" s="28"/>
      <c r="C112" s="3"/>
      <c r="D112" s="47"/>
      <c r="E112" s="28"/>
      <c r="F112" s="28"/>
      <c r="G112" s="28"/>
      <c r="H112" s="29"/>
      <c r="I112" s="14"/>
      <c r="K112" s="3"/>
      <c r="M112" s="3"/>
      <c r="N112" s="3"/>
      <c r="O112" s="52"/>
      <c r="P112" s="3"/>
    </row>
    <row r="113" spans="2:16">
      <c r="B113" s="28"/>
      <c r="C113" s="3"/>
      <c r="D113" s="47"/>
      <c r="E113" s="28"/>
      <c r="F113" s="28"/>
      <c r="G113" s="28"/>
      <c r="H113" s="29"/>
      <c r="I113" s="14"/>
      <c r="K113" s="3"/>
      <c r="M113" s="3"/>
      <c r="N113" s="3"/>
      <c r="O113" s="52"/>
      <c r="P113" s="3"/>
    </row>
    <row r="114" spans="2:16">
      <c r="B114" s="28"/>
      <c r="C114" s="3"/>
      <c r="D114" s="47"/>
      <c r="E114" s="28"/>
      <c r="F114" s="28"/>
      <c r="G114" s="28"/>
      <c r="H114" s="29"/>
      <c r="I114" s="14"/>
      <c r="K114" s="3"/>
      <c r="M114" s="3"/>
      <c r="N114" s="3"/>
      <c r="O114" s="52"/>
      <c r="P114" s="3"/>
    </row>
    <row r="115" spans="2:16">
      <c r="B115" s="28"/>
      <c r="C115" s="3"/>
      <c r="D115" s="47"/>
      <c r="E115" s="28"/>
      <c r="F115" s="28"/>
      <c r="G115" s="28"/>
      <c r="H115" s="29"/>
      <c r="I115" s="14"/>
      <c r="K115" s="3"/>
      <c r="M115" s="3"/>
      <c r="N115" s="3"/>
      <c r="O115" s="52"/>
      <c r="P115" s="3"/>
    </row>
    <row r="116" spans="2:16">
      <c r="B116" s="28"/>
      <c r="C116" s="3"/>
      <c r="D116" s="47"/>
      <c r="E116" s="28"/>
      <c r="F116" s="28"/>
      <c r="G116" s="28"/>
      <c r="H116" s="29"/>
      <c r="I116" s="14"/>
      <c r="K116" s="3"/>
      <c r="M116" s="3"/>
      <c r="N116" s="3"/>
      <c r="O116" s="52"/>
      <c r="P116" s="3"/>
    </row>
    <row r="117" spans="2:16">
      <c r="B117" s="28"/>
      <c r="C117" s="3"/>
      <c r="D117" s="47"/>
      <c r="E117" s="28"/>
      <c r="F117" s="28"/>
      <c r="G117" s="28"/>
      <c r="H117" s="29"/>
      <c r="I117" s="14"/>
      <c r="K117" s="3"/>
      <c r="M117" s="3"/>
      <c r="N117" s="3"/>
      <c r="O117" s="52"/>
      <c r="P117" s="3"/>
    </row>
    <row r="118" spans="2:16">
      <c r="B118" s="28"/>
      <c r="C118" s="3"/>
      <c r="D118" s="47"/>
      <c r="E118" s="28"/>
      <c r="F118" s="28"/>
      <c r="G118" s="28"/>
      <c r="H118" s="29"/>
      <c r="I118" s="14"/>
      <c r="K118" s="3"/>
      <c r="M118" s="3"/>
      <c r="N118" s="3"/>
      <c r="O118" s="52"/>
      <c r="P118" s="3"/>
    </row>
    <row r="119" spans="2:16">
      <c r="B119" s="28"/>
      <c r="C119" s="3"/>
      <c r="D119" s="47"/>
      <c r="E119" s="28"/>
      <c r="F119" s="28"/>
      <c r="G119" s="28"/>
      <c r="H119" s="29"/>
      <c r="I119" s="14"/>
      <c r="K119" s="3"/>
      <c r="M119" s="3"/>
      <c r="N119" s="3"/>
      <c r="O119" s="52"/>
      <c r="P119" s="3"/>
    </row>
    <row r="120" spans="2:16">
      <c r="B120" s="28"/>
      <c r="C120" s="3"/>
      <c r="D120" s="47"/>
      <c r="E120" s="28"/>
      <c r="F120" s="28"/>
      <c r="G120" s="28"/>
      <c r="H120" s="29"/>
      <c r="I120" s="14"/>
      <c r="K120" s="3"/>
      <c r="M120" s="3"/>
      <c r="N120" s="3"/>
      <c r="O120" s="52"/>
      <c r="P120" s="3"/>
    </row>
    <row r="121" spans="2:16">
      <c r="B121" s="28"/>
      <c r="C121" s="3"/>
      <c r="D121" s="47"/>
      <c r="E121" s="28"/>
      <c r="F121" s="28"/>
      <c r="G121" s="28"/>
      <c r="H121" s="29"/>
      <c r="I121" s="14"/>
      <c r="K121" s="3"/>
      <c r="M121" s="3"/>
      <c r="N121" s="3"/>
      <c r="O121" s="52"/>
      <c r="P121" s="3"/>
    </row>
    <row r="122" spans="2:16">
      <c r="B122" s="28"/>
      <c r="C122" s="3"/>
      <c r="D122" s="47"/>
      <c r="E122" s="28"/>
      <c r="F122" s="28"/>
      <c r="G122" s="28"/>
      <c r="H122" s="29"/>
      <c r="I122" s="14"/>
      <c r="K122" s="3"/>
      <c r="M122" s="3"/>
      <c r="N122" s="3"/>
      <c r="O122" s="52"/>
      <c r="P122" s="3"/>
    </row>
    <row r="123" spans="2:16">
      <c r="B123" s="28"/>
      <c r="C123" s="3"/>
      <c r="D123" s="47"/>
      <c r="E123" s="28"/>
      <c r="F123" s="28"/>
      <c r="G123" s="28"/>
      <c r="H123" s="29"/>
      <c r="I123" s="14"/>
      <c r="K123" s="3"/>
      <c r="M123" s="3"/>
      <c r="N123" s="3"/>
      <c r="O123" s="52"/>
      <c r="P123" s="3"/>
    </row>
    <row r="124" spans="2:16">
      <c r="B124" s="28"/>
      <c r="C124" s="3"/>
      <c r="D124" s="47"/>
      <c r="E124" s="28"/>
      <c r="F124" s="28"/>
      <c r="G124" s="28"/>
      <c r="H124" s="29"/>
      <c r="I124" s="14"/>
      <c r="K124" s="3"/>
      <c r="M124" s="3"/>
      <c r="N124" s="3"/>
      <c r="O124" s="52"/>
      <c r="P124" s="3"/>
    </row>
    <row r="125" spans="2:16">
      <c r="B125" s="28"/>
      <c r="C125" s="3"/>
      <c r="D125" s="47"/>
      <c r="E125" s="28"/>
      <c r="F125" s="28"/>
      <c r="G125" s="28"/>
      <c r="H125" s="29"/>
      <c r="I125" s="14"/>
      <c r="K125" s="3"/>
      <c r="M125" s="3"/>
      <c r="N125" s="3"/>
      <c r="O125" s="52"/>
      <c r="P125" s="3"/>
    </row>
    <row r="126" spans="2:16">
      <c r="B126" s="28"/>
      <c r="C126" s="3"/>
      <c r="D126" s="47"/>
      <c r="E126" s="28"/>
      <c r="F126" s="28"/>
      <c r="G126" s="28"/>
      <c r="H126" s="29"/>
      <c r="I126" s="14"/>
      <c r="K126" s="3"/>
      <c r="M126" s="3"/>
      <c r="N126" s="3"/>
      <c r="O126" s="52"/>
      <c r="P126" s="3"/>
    </row>
    <row r="127" spans="2:16">
      <c r="B127" s="28"/>
      <c r="C127" s="3"/>
      <c r="D127" s="47"/>
      <c r="E127" s="28"/>
      <c r="F127" s="28"/>
      <c r="G127" s="28"/>
      <c r="H127" s="29"/>
      <c r="I127" s="14"/>
      <c r="K127" s="3"/>
      <c r="M127" s="3"/>
      <c r="N127" s="3"/>
      <c r="O127" s="52"/>
      <c r="P127" s="3"/>
    </row>
    <row r="128" spans="2:16">
      <c r="B128" s="28"/>
      <c r="C128" s="3"/>
      <c r="D128" s="47"/>
      <c r="E128" s="28"/>
      <c r="F128" s="28"/>
      <c r="G128" s="28"/>
      <c r="H128" s="29"/>
      <c r="I128" s="14"/>
      <c r="K128" s="3"/>
      <c r="M128" s="3"/>
      <c r="N128" s="3"/>
      <c r="O128" s="52"/>
      <c r="P128" s="3"/>
    </row>
    <row r="129" spans="2:16">
      <c r="B129" s="28"/>
      <c r="C129" s="3"/>
      <c r="D129" s="47"/>
      <c r="E129" s="28"/>
      <c r="F129" s="28"/>
      <c r="G129" s="28"/>
      <c r="H129" s="29"/>
      <c r="I129" s="14"/>
      <c r="K129" s="3"/>
      <c r="M129" s="3"/>
      <c r="N129" s="3"/>
      <c r="O129" s="52"/>
      <c r="P129" s="3"/>
    </row>
    <row r="130" spans="2:16">
      <c r="B130" s="28"/>
      <c r="C130" s="3"/>
      <c r="D130" s="47"/>
      <c r="E130" s="28"/>
      <c r="F130" s="28"/>
      <c r="G130" s="28"/>
      <c r="H130" s="29"/>
      <c r="I130" s="14"/>
      <c r="K130" s="3"/>
      <c r="M130" s="3"/>
      <c r="N130" s="3"/>
      <c r="O130" s="52"/>
      <c r="P130" s="3"/>
    </row>
    <row r="131" spans="2:16">
      <c r="B131" s="28"/>
      <c r="C131" s="3"/>
      <c r="D131" s="47"/>
      <c r="E131" s="28"/>
      <c r="F131" s="28"/>
      <c r="G131" s="28"/>
      <c r="H131" s="29"/>
      <c r="I131" s="14"/>
      <c r="K131" s="3"/>
      <c r="M131" s="3"/>
      <c r="N131" s="3"/>
      <c r="O131" s="52"/>
      <c r="P131" s="3"/>
    </row>
    <row r="132" spans="2:16">
      <c r="B132" s="28"/>
      <c r="C132" s="3"/>
      <c r="D132" s="47"/>
      <c r="E132" s="28"/>
      <c r="F132" s="28"/>
      <c r="G132" s="28"/>
      <c r="H132" s="29"/>
      <c r="I132" s="14"/>
      <c r="K132" s="3"/>
      <c r="M132" s="3"/>
      <c r="N132" s="3"/>
      <c r="O132" s="52"/>
      <c r="P132" s="3"/>
    </row>
    <row r="133" spans="2:16">
      <c r="B133" s="28"/>
      <c r="C133" s="3"/>
      <c r="D133" s="47"/>
      <c r="E133" s="28"/>
      <c r="F133" s="28"/>
      <c r="G133" s="28"/>
      <c r="H133" s="29"/>
      <c r="I133" s="14"/>
      <c r="K133" s="3"/>
      <c r="M133" s="3"/>
      <c r="N133" s="3"/>
      <c r="O133" s="52"/>
      <c r="P133" s="3"/>
    </row>
    <row r="134" spans="2:16">
      <c r="B134" s="28"/>
      <c r="C134" s="3"/>
      <c r="D134" s="47"/>
      <c r="E134" s="28"/>
      <c r="F134" s="28"/>
      <c r="G134" s="28"/>
      <c r="H134" s="29"/>
      <c r="I134" s="14"/>
      <c r="K134" s="3"/>
      <c r="M134" s="3"/>
      <c r="N134" s="3"/>
      <c r="O134" s="52"/>
      <c r="P134" s="3"/>
    </row>
    <row r="135" spans="2:16">
      <c r="B135" s="28"/>
      <c r="C135" s="3"/>
      <c r="D135" s="47"/>
      <c r="E135" s="28"/>
      <c r="F135" s="28"/>
      <c r="G135" s="28"/>
      <c r="H135" s="29"/>
      <c r="I135" s="14"/>
      <c r="K135" s="3"/>
      <c r="M135" s="3"/>
      <c r="N135" s="3"/>
      <c r="O135" s="52"/>
      <c r="P135" s="3"/>
    </row>
    <row r="136" spans="2:16">
      <c r="B136" s="28"/>
      <c r="C136" s="3"/>
      <c r="D136" s="47"/>
      <c r="E136" s="28"/>
      <c r="F136" s="28"/>
      <c r="G136" s="28"/>
      <c r="H136" s="29"/>
      <c r="I136" s="14"/>
      <c r="K136" s="3"/>
      <c r="M136" s="3"/>
      <c r="N136" s="3"/>
      <c r="O136" s="52"/>
      <c r="P136" s="3"/>
    </row>
    <row r="137" spans="2:16">
      <c r="B137" s="28"/>
      <c r="C137" s="3"/>
      <c r="D137" s="47"/>
      <c r="E137" s="28"/>
      <c r="F137" s="28"/>
      <c r="G137" s="28"/>
      <c r="H137" s="29"/>
      <c r="I137" s="14"/>
      <c r="K137" s="3"/>
      <c r="M137" s="3"/>
      <c r="N137" s="3"/>
      <c r="O137" s="52"/>
      <c r="P137" s="3"/>
    </row>
    <row r="138" spans="2:16">
      <c r="B138" s="28"/>
      <c r="C138" s="3"/>
      <c r="D138" s="47"/>
      <c r="E138" s="28"/>
      <c r="F138" s="28"/>
      <c r="G138" s="28"/>
      <c r="H138" s="29"/>
      <c r="I138" s="14"/>
      <c r="K138" s="3"/>
      <c r="M138" s="3"/>
      <c r="N138" s="3"/>
      <c r="O138" s="52"/>
      <c r="P138" s="3"/>
    </row>
    <row r="139" spans="2:16">
      <c r="B139" s="28"/>
      <c r="C139" s="3"/>
      <c r="D139" s="47"/>
      <c r="E139" s="28"/>
      <c r="F139" s="28"/>
      <c r="G139" s="28"/>
      <c r="H139" s="29"/>
      <c r="I139" s="14"/>
      <c r="K139" s="3"/>
      <c r="M139" s="3"/>
      <c r="N139" s="3"/>
      <c r="O139" s="52"/>
      <c r="P139" s="3"/>
    </row>
    <row r="140" spans="2:16">
      <c r="B140" s="28"/>
      <c r="C140" s="3"/>
      <c r="D140" s="47"/>
      <c r="E140" s="28"/>
      <c r="F140" s="28"/>
      <c r="G140" s="28"/>
      <c r="H140" s="29"/>
      <c r="I140" s="14"/>
      <c r="K140" s="3"/>
      <c r="M140" s="3"/>
      <c r="N140" s="3"/>
      <c r="O140" s="52"/>
      <c r="P140" s="3"/>
    </row>
    <row r="141" spans="2:16">
      <c r="B141" s="28"/>
      <c r="C141" s="3"/>
      <c r="D141" s="47"/>
      <c r="E141" s="28"/>
      <c r="F141" s="28"/>
      <c r="G141" s="28"/>
      <c r="H141" s="29"/>
      <c r="I141" s="14"/>
      <c r="K141" s="3"/>
      <c r="M141" s="3"/>
      <c r="N141" s="3"/>
      <c r="O141" s="52"/>
      <c r="P141" s="3"/>
    </row>
    <row r="142" spans="2:16">
      <c r="B142" s="28"/>
      <c r="C142" s="3"/>
      <c r="D142" s="47"/>
      <c r="E142" s="28"/>
      <c r="F142" s="28"/>
      <c r="G142" s="28"/>
      <c r="H142" s="29"/>
      <c r="I142" s="14"/>
      <c r="K142" s="3"/>
      <c r="M142" s="3"/>
      <c r="N142" s="3"/>
      <c r="O142" s="52"/>
      <c r="P142" s="3"/>
    </row>
    <row r="143" spans="2:16">
      <c r="B143" s="28"/>
      <c r="C143" s="3"/>
      <c r="D143" s="47"/>
      <c r="E143" s="28"/>
      <c r="F143" s="28"/>
      <c r="G143" s="28"/>
      <c r="H143" s="29"/>
      <c r="I143" s="14"/>
      <c r="K143" s="3"/>
      <c r="M143" s="3"/>
      <c r="N143" s="3"/>
      <c r="O143" s="52"/>
      <c r="P143" s="3"/>
    </row>
    <row r="144" spans="2:16">
      <c r="B144" s="28"/>
      <c r="C144" s="3"/>
      <c r="D144" s="47"/>
      <c r="E144" s="28"/>
      <c r="F144" s="28"/>
      <c r="G144" s="28"/>
      <c r="H144" s="29"/>
      <c r="I144" s="14"/>
      <c r="K144" s="3"/>
      <c r="M144" s="3"/>
      <c r="N144" s="3"/>
      <c r="O144" s="52"/>
      <c r="P144" s="3"/>
    </row>
    <row r="145" spans="2:16">
      <c r="B145" s="28"/>
      <c r="C145" s="3"/>
      <c r="D145" s="47"/>
      <c r="E145" s="28"/>
      <c r="F145" s="28"/>
      <c r="G145" s="28"/>
      <c r="H145" s="29"/>
      <c r="I145" s="14"/>
      <c r="K145" s="3"/>
      <c r="M145" s="3"/>
      <c r="N145" s="3"/>
      <c r="O145" s="52"/>
      <c r="P145" s="3"/>
    </row>
    <row r="146" spans="2:16">
      <c r="B146" s="28"/>
      <c r="C146" s="3"/>
      <c r="D146" s="47"/>
      <c r="E146" s="28"/>
      <c r="F146" s="28"/>
      <c r="G146" s="28"/>
      <c r="H146" s="29"/>
      <c r="I146" s="14"/>
      <c r="K146" s="3"/>
      <c r="M146" s="3"/>
      <c r="N146" s="3"/>
      <c r="O146" s="52"/>
      <c r="P146" s="3"/>
    </row>
    <row r="147" spans="2:16">
      <c r="B147" s="28"/>
      <c r="C147" s="3"/>
      <c r="D147" s="47"/>
      <c r="E147" s="28"/>
      <c r="F147" s="28"/>
      <c r="G147" s="28"/>
      <c r="H147" s="29"/>
      <c r="I147" s="14"/>
      <c r="K147" s="3"/>
      <c r="M147" s="3"/>
      <c r="N147" s="3"/>
      <c r="O147" s="52"/>
      <c r="P147" s="3"/>
    </row>
    <row r="148" spans="2:16">
      <c r="B148" s="28"/>
      <c r="C148" s="3"/>
      <c r="D148" s="47"/>
      <c r="E148" s="28"/>
      <c r="F148" s="28"/>
      <c r="G148" s="28"/>
      <c r="H148" s="29"/>
      <c r="I148" s="14"/>
      <c r="K148" s="3"/>
      <c r="M148" s="3"/>
      <c r="N148" s="3"/>
      <c r="O148" s="52"/>
      <c r="P148" s="3"/>
    </row>
    <row r="149" spans="2:16">
      <c r="B149" s="28"/>
      <c r="C149" s="3"/>
      <c r="D149" s="47"/>
      <c r="E149" s="28"/>
      <c r="F149" s="28"/>
      <c r="G149" s="28"/>
      <c r="H149" s="29"/>
      <c r="I149" s="14"/>
      <c r="K149" s="3"/>
      <c r="M149" s="3"/>
      <c r="N149" s="3"/>
      <c r="O149" s="52"/>
      <c r="P149" s="3"/>
    </row>
    <row r="150" spans="2:16">
      <c r="B150" s="28"/>
      <c r="C150" s="3"/>
      <c r="D150" s="47"/>
      <c r="E150" s="28"/>
      <c r="F150" s="28"/>
      <c r="G150" s="28"/>
      <c r="H150" s="29"/>
      <c r="I150" s="14"/>
      <c r="K150" s="3"/>
      <c r="M150" s="3"/>
      <c r="N150" s="3"/>
      <c r="O150" s="52"/>
      <c r="P150" s="3"/>
    </row>
    <row r="151" spans="2:16">
      <c r="B151" s="28"/>
      <c r="C151" s="3"/>
      <c r="D151" s="47"/>
      <c r="E151" s="28"/>
      <c r="F151" s="28"/>
      <c r="G151" s="28"/>
      <c r="H151" s="29"/>
      <c r="I151" s="14"/>
      <c r="K151" s="3"/>
      <c r="M151" s="3"/>
      <c r="N151" s="3"/>
      <c r="O151" s="52"/>
      <c r="P151" s="3"/>
    </row>
    <row r="152" spans="2:16">
      <c r="B152" s="28"/>
      <c r="C152" s="3"/>
      <c r="D152" s="47"/>
      <c r="E152" s="28"/>
      <c r="F152" s="28"/>
      <c r="G152" s="28"/>
      <c r="H152" s="29"/>
      <c r="I152" s="14"/>
      <c r="K152" s="3"/>
      <c r="M152" s="3"/>
      <c r="N152" s="3"/>
      <c r="O152" s="52"/>
      <c r="P152" s="3"/>
    </row>
    <row r="153" spans="2:16">
      <c r="B153" s="28"/>
      <c r="C153" s="3"/>
      <c r="D153" s="47"/>
      <c r="E153" s="28"/>
      <c r="F153" s="28"/>
      <c r="G153" s="28"/>
      <c r="H153" s="29"/>
      <c r="I153" s="14"/>
      <c r="K153" s="3"/>
      <c r="M153" s="3"/>
      <c r="N153" s="3"/>
      <c r="O153" s="52"/>
      <c r="P153" s="3"/>
    </row>
    <row r="154" spans="2:16">
      <c r="B154" s="28"/>
      <c r="C154" s="3"/>
      <c r="D154" s="47"/>
      <c r="E154" s="28"/>
      <c r="F154" s="28"/>
      <c r="G154" s="28"/>
      <c r="H154" s="29"/>
      <c r="I154" s="14"/>
      <c r="K154" s="3"/>
      <c r="M154" s="3"/>
      <c r="N154" s="3"/>
      <c r="O154" s="52"/>
      <c r="P154" s="3"/>
    </row>
    <row r="155" spans="2:16">
      <c r="B155" s="28"/>
      <c r="C155" s="3"/>
      <c r="D155" s="47"/>
      <c r="E155" s="28"/>
      <c r="F155" s="28"/>
      <c r="G155" s="28"/>
      <c r="H155" s="29"/>
      <c r="I155" s="14"/>
      <c r="K155" s="3"/>
      <c r="M155" s="3"/>
      <c r="N155" s="3"/>
      <c r="O155" s="52"/>
      <c r="P155" s="3"/>
    </row>
    <row r="156" spans="2:16">
      <c r="B156" s="28"/>
      <c r="C156" s="3"/>
      <c r="D156" s="47"/>
      <c r="E156" s="28"/>
      <c r="F156" s="28"/>
      <c r="G156" s="28"/>
      <c r="H156" s="29"/>
      <c r="I156" s="14"/>
      <c r="K156" s="3"/>
      <c r="M156" s="3"/>
      <c r="N156" s="3"/>
      <c r="O156" s="52"/>
      <c r="P156" s="3"/>
    </row>
    <row r="157" spans="2:16">
      <c r="B157" s="28"/>
      <c r="C157" s="3"/>
      <c r="D157" s="47"/>
      <c r="E157" s="28"/>
      <c r="F157" s="28"/>
      <c r="G157" s="28"/>
      <c r="H157" s="29"/>
      <c r="I157" s="14"/>
      <c r="K157" s="3"/>
      <c r="M157" s="3"/>
      <c r="N157" s="3"/>
      <c r="O157" s="52"/>
      <c r="P157" s="3"/>
    </row>
    <row r="158" spans="2:16">
      <c r="B158" s="28"/>
      <c r="C158" s="3"/>
      <c r="D158" s="47"/>
      <c r="E158" s="28"/>
      <c r="F158" s="28"/>
      <c r="G158" s="28"/>
      <c r="H158" s="29"/>
      <c r="I158" s="14"/>
      <c r="K158" s="3"/>
      <c r="M158" s="3"/>
      <c r="N158" s="3"/>
      <c r="O158" s="52"/>
      <c r="P158" s="3"/>
    </row>
    <row r="159" spans="2:16">
      <c r="B159" s="28"/>
      <c r="C159" s="3"/>
      <c r="D159" s="47"/>
      <c r="E159" s="28"/>
      <c r="F159" s="28"/>
      <c r="G159" s="28"/>
      <c r="H159" s="29"/>
      <c r="I159" s="14"/>
      <c r="K159" s="3"/>
      <c r="M159" s="3"/>
      <c r="N159" s="3"/>
      <c r="O159" s="52"/>
      <c r="P159" s="3"/>
    </row>
    <row r="160" spans="2:16">
      <c r="B160" s="28"/>
      <c r="C160" s="3"/>
      <c r="D160" s="47"/>
      <c r="E160" s="28"/>
      <c r="F160" s="28"/>
      <c r="G160" s="28"/>
      <c r="H160" s="29"/>
      <c r="I160" s="14"/>
      <c r="K160" s="3"/>
      <c r="M160" s="3"/>
      <c r="N160" s="3"/>
      <c r="O160" s="52"/>
      <c r="P160" s="3"/>
    </row>
    <row r="161" spans="2:16">
      <c r="B161" s="28"/>
      <c r="C161" s="3"/>
      <c r="D161" s="47"/>
      <c r="E161" s="28"/>
      <c r="F161" s="28"/>
      <c r="G161" s="28"/>
      <c r="H161" s="29"/>
      <c r="I161" s="14"/>
      <c r="K161" s="3"/>
      <c r="M161" s="3"/>
      <c r="N161" s="3"/>
      <c r="O161" s="52"/>
      <c r="P161" s="3"/>
    </row>
    <row r="162" spans="2:16">
      <c r="B162" s="28"/>
      <c r="C162" s="3"/>
      <c r="D162" s="47"/>
      <c r="E162" s="28"/>
      <c r="F162" s="28"/>
      <c r="G162" s="28"/>
      <c r="H162" s="29"/>
      <c r="I162" s="14"/>
      <c r="K162" s="3"/>
      <c r="M162" s="3"/>
      <c r="N162" s="3"/>
      <c r="O162" s="52"/>
      <c r="P162" s="3"/>
    </row>
    <row r="163" spans="2:16">
      <c r="B163" s="28"/>
      <c r="C163" s="3"/>
      <c r="D163" s="47"/>
      <c r="E163" s="28"/>
      <c r="F163" s="28"/>
      <c r="G163" s="28"/>
      <c r="H163" s="29"/>
      <c r="I163" s="14"/>
      <c r="K163" s="3"/>
      <c r="M163" s="3"/>
      <c r="N163" s="3"/>
      <c r="O163" s="52"/>
      <c r="P163" s="3"/>
    </row>
    <row r="164" spans="2:16">
      <c r="B164" s="28"/>
      <c r="C164" s="3"/>
      <c r="D164" s="47"/>
      <c r="E164" s="28"/>
      <c r="F164" s="28"/>
      <c r="G164" s="28"/>
      <c r="H164" s="29"/>
      <c r="I164" s="14"/>
      <c r="K164" s="3"/>
      <c r="M164" s="3"/>
      <c r="N164" s="3"/>
      <c r="O164" s="52"/>
      <c r="P164" s="3"/>
    </row>
    <row r="165" spans="2:16">
      <c r="B165" s="28"/>
      <c r="C165" s="3"/>
      <c r="D165" s="47"/>
      <c r="E165" s="28"/>
      <c r="F165" s="28"/>
      <c r="G165" s="28"/>
      <c r="H165" s="29"/>
      <c r="I165" s="14"/>
      <c r="K165" s="3"/>
      <c r="M165" s="3"/>
      <c r="N165" s="3"/>
      <c r="O165" s="52"/>
      <c r="P165" s="3"/>
    </row>
    <row r="166" spans="2:16">
      <c r="B166" s="28"/>
      <c r="C166" s="3"/>
      <c r="D166" s="47"/>
      <c r="E166" s="28"/>
      <c r="F166" s="28"/>
      <c r="G166" s="28"/>
      <c r="H166" s="29"/>
      <c r="I166" s="14"/>
      <c r="K166" s="3"/>
      <c r="M166" s="3"/>
      <c r="N166" s="3"/>
      <c r="O166" s="52"/>
      <c r="P166" s="3"/>
    </row>
    <row r="167" spans="2:16">
      <c r="B167" s="28"/>
      <c r="C167" s="3"/>
      <c r="D167" s="47"/>
      <c r="E167" s="28"/>
      <c r="F167" s="28"/>
      <c r="G167" s="28"/>
      <c r="H167" s="29"/>
      <c r="I167" s="14"/>
      <c r="K167" s="3"/>
      <c r="M167" s="3"/>
      <c r="N167" s="3"/>
      <c r="O167" s="52"/>
      <c r="P167" s="3"/>
    </row>
    <row r="168" spans="2:16">
      <c r="B168" s="28"/>
      <c r="C168" s="3"/>
      <c r="D168" s="47"/>
      <c r="E168" s="28"/>
      <c r="F168" s="28"/>
      <c r="G168" s="28"/>
      <c r="H168" s="29"/>
      <c r="I168" s="14"/>
      <c r="K168" s="3"/>
      <c r="M168" s="3"/>
      <c r="N168" s="3"/>
      <c r="O168" s="52"/>
      <c r="P168" s="3"/>
    </row>
    <row r="169" spans="2:16">
      <c r="B169" s="28"/>
      <c r="C169" s="3"/>
      <c r="D169" s="47"/>
      <c r="E169" s="28"/>
      <c r="F169" s="28"/>
      <c r="G169" s="28"/>
      <c r="H169" s="29"/>
      <c r="I169" s="14"/>
      <c r="K169" s="3"/>
      <c r="M169" s="3"/>
      <c r="N169" s="3"/>
      <c r="O169" s="52"/>
      <c r="P169" s="3"/>
    </row>
    <row r="170" spans="2:16">
      <c r="B170" s="28"/>
      <c r="C170" s="3"/>
      <c r="D170" s="47"/>
      <c r="E170" s="28"/>
      <c r="F170" s="28"/>
      <c r="G170" s="28"/>
      <c r="H170" s="29"/>
      <c r="I170" s="14"/>
      <c r="K170" s="3"/>
      <c r="M170" s="3"/>
      <c r="N170" s="3"/>
      <c r="O170" s="52"/>
      <c r="P170" s="3"/>
    </row>
    <row r="171" spans="2:16">
      <c r="B171" s="28"/>
      <c r="C171" s="3"/>
      <c r="D171" s="47"/>
      <c r="E171" s="28"/>
      <c r="F171" s="28"/>
      <c r="G171" s="28"/>
      <c r="H171" s="29"/>
      <c r="I171" s="14"/>
      <c r="K171" s="3"/>
      <c r="M171" s="3"/>
      <c r="N171" s="3"/>
      <c r="O171" s="52"/>
      <c r="P171" s="3"/>
    </row>
    <row r="172" spans="2:16">
      <c r="B172" s="28"/>
      <c r="C172" s="3"/>
      <c r="D172" s="47"/>
      <c r="E172" s="28"/>
      <c r="F172" s="28"/>
      <c r="G172" s="28"/>
      <c r="H172" s="29"/>
      <c r="I172" s="14"/>
      <c r="K172" s="3"/>
      <c r="M172" s="3"/>
      <c r="N172" s="3"/>
      <c r="O172" s="52"/>
      <c r="P172" s="3"/>
    </row>
    <row r="173" spans="2:16">
      <c r="B173" s="28"/>
      <c r="C173" s="3"/>
      <c r="D173" s="47"/>
      <c r="E173" s="28"/>
      <c r="F173" s="28"/>
      <c r="G173" s="28"/>
      <c r="H173" s="29"/>
      <c r="I173" s="14"/>
      <c r="K173" s="3"/>
      <c r="M173" s="3"/>
      <c r="N173" s="3"/>
      <c r="O173" s="52"/>
      <c r="P173" s="3"/>
    </row>
    <row r="174" spans="2:16">
      <c r="B174" s="28"/>
      <c r="C174" s="3"/>
      <c r="D174" s="47"/>
      <c r="E174" s="28"/>
      <c r="F174" s="28"/>
      <c r="G174" s="28"/>
      <c r="H174" s="29"/>
      <c r="I174" s="14"/>
      <c r="K174" s="3"/>
      <c r="M174" s="3"/>
      <c r="N174" s="3"/>
      <c r="O174" s="52"/>
      <c r="P174" s="3"/>
    </row>
    <row r="175" spans="2:16">
      <c r="B175" s="28"/>
      <c r="C175" s="3"/>
      <c r="D175" s="47"/>
      <c r="E175" s="28"/>
      <c r="F175" s="28"/>
      <c r="G175" s="28"/>
      <c r="H175" s="29"/>
      <c r="I175" s="14"/>
      <c r="K175" s="3"/>
      <c r="M175" s="3"/>
      <c r="N175" s="3"/>
      <c r="O175" s="52"/>
      <c r="P175" s="3"/>
    </row>
    <row r="176" spans="2:16">
      <c r="B176" s="28"/>
      <c r="C176" s="3"/>
      <c r="D176" s="47"/>
      <c r="E176" s="28"/>
      <c r="F176" s="28"/>
      <c r="G176" s="28"/>
      <c r="H176" s="29"/>
      <c r="I176" s="14"/>
      <c r="K176" s="3"/>
      <c r="M176" s="3"/>
      <c r="N176" s="3"/>
      <c r="O176" s="52"/>
      <c r="P176" s="3"/>
    </row>
    <row r="177" spans="2:16">
      <c r="B177" s="28"/>
      <c r="C177" s="3"/>
      <c r="D177" s="47"/>
      <c r="E177" s="28"/>
      <c r="F177" s="28"/>
      <c r="G177" s="28"/>
      <c r="H177" s="29"/>
      <c r="I177" s="14"/>
      <c r="K177" s="3"/>
      <c r="M177" s="3"/>
      <c r="N177" s="3"/>
      <c r="O177" s="52"/>
      <c r="P177" s="3"/>
    </row>
    <row r="178" spans="2:16">
      <c r="B178" s="28"/>
      <c r="C178" s="3"/>
      <c r="D178" s="47"/>
      <c r="E178" s="28"/>
      <c r="F178" s="28"/>
      <c r="G178" s="28"/>
      <c r="H178" s="29"/>
      <c r="I178" s="14"/>
      <c r="K178" s="3"/>
      <c r="M178" s="3"/>
      <c r="N178" s="3"/>
      <c r="O178" s="52"/>
      <c r="P178" s="3"/>
    </row>
    <row r="179" spans="2:16">
      <c r="B179" s="28"/>
      <c r="C179" s="3"/>
      <c r="D179" s="47"/>
      <c r="E179" s="28"/>
      <c r="F179" s="28"/>
      <c r="G179" s="28"/>
      <c r="H179" s="29"/>
      <c r="I179" s="14"/>
      <c r="K179" s="3"/>
      <c r="M179" s="3"/>
      <c r="N179" s="3"/>
      <c r="O179" s="52"/>
      <c r="P179" s="3"/>
    </row>
    <row r="180" spans="2:16">
      <c r="B180" s="28"/>
      <c r="C180" s="3"/>
      <c r="D180" s="47"/>
      <c r="E180" s="28"/>
      <c r="F180" s="28"/>
      <c r="G180" s="28"/>
      <c r="H180" s="29"/>
      <c r="I180" s="14"/>
      <c r="K180" s="3"/>
      <c r="M180" s="3"/>
      <c r="N180" s="3"/>
      <c r="O180" s="52"/>
      <c r="P180" s="3"/>
    </row>
    <row r="181" spans="2:16">
      <c r="B181" s="28"/>
      <c r="C181" s="3"/>
      <c r="D181" s="47"/>
      <c r="E181" s="28"/>
      <c r="F181" s="28"/>
      <c r="G181" s="28"/>
      <c r="H181" s="29"/>
      <c r="I181" s="14"/>
      <c r="K181" s="3"/>
      <c r="M181" s="3"/>
      <c r="N181" s="3"/>
      <c r="O181" s="52"/>
      <c r="P181" s="3"/>
    </row>
    <row r="182" spans="2:16">
      <c r="B182" s="28"/>
      <c r="C182" s="3"/>
      <c r="D182" s="47"/>
      <c r="E182" s="28"/>
      <c r="F182" s="28"/>
      <c r="G182" s="28"/>
      <c r="H182" s="29"/>
      <c r="I182" s="14"/>
      <c r="K182" s="3"/>
      <c r="M182" s="3"/>
      <c r="N182" s="3"/>
      <c r="O182" s="52"/>
      <c r="P182" s="3"/>
    </row>
    <row r="183" spans="2:16">
      <c r="B183" s="28"/>
      <c r="C183" s="3"/>
      <c r="D183" s="47"/>
      <c r="E183" s="28"/>
      <c r="F183" s="28"/>
      <c r="G183" s="28"/>
      <c r="H183" s="29"/>
      <c r="I183" s="14"/>
      <c r="K183" s="3"/>
      <c r="M183" s="3"/>
      <c r="N183" s="3"/>
      <c r="O183" s="52"/>
      <c r="P183" s="3"/>
    </row>
    <row r="184" spans="2:16">
      <c r="B184" s="28"/>
      <c r="C184" s="3"/>
      <c r="D184" s="47"/>
      <c r="E184" s="28"/>
      <c r="F184" s="28"/>
      <c r="G184" s="28"/>
      <c r="H184" s="29"/>
      <c r="I184" s="14"/>
      <c r="K184" s="3"/>
      <c r="M184" s="3"/>
      <c r="N184" s="3"/>
      <c r="O184" s="52"/>
      <c r="P184" s="3"/>
    </row>
    <row r="185" spans="2:16">
      <c r="B185" s="28"/>
      <c r="C185" s="3"/>
      <c r="D185" s="47"/>
      <c r="E185" s="28"/>
      <c r="F185" s="28"/>
      <c r="G185" s="28"/>
      <c r="H185" s="29"/>
      <c r="I185" s="14"/>
      <c r="K185" s="3"/>
      <c r="M185" s="3"/>
      <c r="N185" s="3"/>
      <c r="O185" s="52"/>
      <c r="P185" s="3"/>
    </row>
    <row r="186" spans="2:16">
      <c r="B186" s="28"/>
      <c r="C186" s="3"/>
      <c r="D186" s="47"/>
      <c r="E186" s="28"/>
      <c r="F186" s="28"/>
      <c r="G186" s="28"/>
      <c r="H186" s="29"/>
      <c r="I186" s="14"/>
      <c r="K186" s="3"/>
      <c r="M186" s="3"/>
      <c r="N186" s="3"/>
      <c r="O186" s="52"/>
      <c r="P186" s="3"/>
    </row>
    <row r="187" spans="2:16">
      <c r="B187" s="28"/>
      <c r="C187" s="3"/>
      <c r="D187" s="47"/>
      <c r="E187" s="28"/>
      <c r="F187" s="28"/>
      <c r="G187" s="28"/>
      <c r="H187" s="29"/>
      <c r="I187" s="14"/>
      <c r="K187" s="3"/>
      <c r="M187" s="3"/>
      <c r="N187" s="3"/>
      <c r="O187" s="52"/>
      <c r="P187" s="3"/>
    </row>
    <row r="188" spans="2:16">
      <c r="B188" s="28"/>
      <c r="C188" s="3"/>
      <c r="D188" s="47"/>
      <c r="E188" s="28"/>
      <c r="F188" s="28"/>
      <c r="G188" s="28"/>
      <c r="H188" s="29"/>
      <c r="I188" s="14"/>
      <c r="K188" s="3"/>
      <c r="M188" s="3"/>
      <c r="N188" s="3"/>
      <c r="O188" s="52"/>
      <c r="P188" s="3"/>
    </row>
    <row r="189" spans="2:16">
      <c r="B189" s="28"/>
      <c r="C189" s="3"/>
      <c r="D189" s="47"/>
      <c r="E189" s="28"/>
      <c r="F189" s="28"/>
      <c r="G189" s="28"/>
      <c r="H189" s="29"/>
      <c r="I189" s="14"/>
      <c r="K189" s="3"/>
      <c r="M189" s="3"/>
      <c r="N189" s="3"/>
      <c r="O189" s="52"/>
      <c r="P189" s="3"/>
    </row>
    <row r="190" spans="2:16">
      <c r="B190" s="28"/>
      <c r="C190" s="3"/>
      <c r="D190" s="47"/>
      <c r="E190" s="28"/>
      <c r="F190" s="28"/>
      <c r="G190" s="28"/>
      <c r="H190" s="29"/>
      <c r="I190" s="14"/>
      <c r="K190" s="3"/>
      <c r="M190" s="3"/>
      <c r="N190" s="3"/>
      <c r="O190" s="52"/>
      <c r="P190" s="3"/>
    </row>
    <row r="191" spans="2:16">
      <c r="B191" s="28"/>
      <c r="C191" s="3"/>
      <c r="D191" s="47"/>
      <c r="E191" s="28"/>
      <c r="F191" s="28"/>
      <c r="G191" s="28"/>
      <c r="H191" s="29"/>
      <c r="I191" s="14"/>
      <c r="K191" s="3"/>
      <c r="M191" s="3"/>
      <c r="N191" s="3"/>
      <c r="O191" s="52"/>
      <c r="P191" s="3"/>
    </row>
    <row r="192" spans="2:16">
      <c r="B192" s="28"/>
      <c r="C192" s="3"/>
      <c r="D192" s="47"/>
      <c r="E192" s="28"/>
      <c r="F192" s="28"/>
      <c r="G192" s="28"/>
      <c r="H192" s="29"/>
      <c r="I192" s="14"/>
      <c r="K192" s="3"/>
      <c r="M192" s="3"/>
      <c r="N192" s="3"/>
      <c r="O192" s="52"/>
      <c r="P192" s="3"/>
    </row>
    <row r="193" spans="2:16">
      <c r="B193" s="28"/>
      <c r="C193" s="3"/>
      <c r="D193" s="47"/>
      <c r="E193" s="28"/>
      <c r="F193" s="28"/>
      <c r="G193" s="28"/>
      <c r="H193" s="29"/>
      <c r="I193" s="14"/>
      <c r="K193" s="3"/>
      <c r="M193" s="3"/>
      <c r="N193" s="3"/>
      <c r="O193" s="52"/>
      <c r="P193" s="3"/>
    </row>
    <row r="194" spans="2:16">
      <c r="B194" s="28"/>
      <c r="C194" s="3"/>
      <c r="D194" s="47"/>
      <c r="E194" s="28"/>
      <c r="F194" s="28"/>
      <c r="G194" s="28"/>
      <c r="H194" s="29"/>
      <c r="I194" s="14"/>
      <c r="K194" s="3"/>
      <c r="M194" s="3"/>
      <c r="N194" s="3"/>
      <c r="O194" s="52"/>
      <c r="P194" s="3"/>
    </row>
    <row r="195" spans="2:16">
      <c r="B195" s="28"/>
      <c r="C195" s="3"/>
      <c r="D195" s="47"/>
      <c r="E195" s="28"/>
      <c r="F195" s="28"/>
      <c r="G195" s="28"/>
      <c r="H195" s="29"/>
      <c r="I195" s="14"/>
      <c r="K195" s="3"/>
      <c r="M195" s="3"/>
      <c r="N195" s="3"/>
      <c r="O195" s="52"/>
      <c r="P195" s="3"/>
    </row>
    <row r="196" spans="2:16">
      <c r="B196" s="28"/>
      <c r="C196" s="3"/>
      <c r="D196" s="47"/>
      <c r="E196" s="28"/>
      <c r="F196" s="28"/>
      <c r="G196" s="28"/>
      <c r="H196" s="29"/>
      <c r="I196" s="14"/>
      <c r="K196" s="3"/>
      <c r="M196" s="3"/>
      <c r="N196" s="3"/>
      <c r="O196" s="52"/>
      <c r="P196" s="3"/>
    </row>
    <row r="197" spans="2:16">
      <c r="B197" s="28"/>
      <c r="C197" s="3"/>
      <c r="D197" s="47"/>
      <c r="E197" s="28"/>
      <c r="F197" s="28"/>
      <c r="G197" s="28"/>
      <c r="H197" s="29"/>
      <c r="I197" s="14"/>
      <c r="K197" s="3"/>
      <c r="M197" s="3"/>
      <c r="N197" s="3"/>
      <c r="O197" s="52"/>
      <c r="P197" s="3"/>
    </row>
    <row r="198" spans="2:16">
      <c r="B198" s="28"/>
      <c r="C198" s="3"/>
      <c r="D198" s="47"/>
      <c r="E198" s="28"/>
      <c r="F198" s="28"/>
      <c r="G198" s="28"/>
      <c r="H198" s="29"/>
      <c r="I198" s="14"/>
      <c r="K198" s="3"/>
      <c r="M198" s="3"/>
      <c r="N198" s="3"/>
      <c r="O198" s="52"/>
      <c r="P198" s="3"/>
    </row>
    <row r="199" spans="2:16">
      <c r="B199" s="28"/>
      <c r="C199" s="3"/>
      <c r="D199" s="47"/>
      <c r="E199" s="28"/>
      <c r="F199" s="28"/>
      <c r="G199" s="28"/>
      <c r="H199" s="29"/>
      <c r="I199" s="14"/>
      <c r="K199" s="3"/>
      <c r="M199" s="3"/>
      <c r="N199" s="3"/>
      <c r="O199" s="52"/>
      <c r="P199" s="3"/>
    </row>
    <row r="200" spans="2:16">
      <c r="B200" s="28"/>
      <c r="C200" s="3"/>
      <c r="D200" s="47"/>
      <c r="E200" s="28"/>
      <c r="F200" s="28"/>
      <c r="G200" s="28"/>
      <c r="H200" s="29"/>
      <c r="I200" s="14"/>
      <c r="K200" s="3"/>
      <c r="M200" s="3"/>
      <c r="N200" s="3"/>
      <c r="O200" s="52"/>
      <c r="P200" s="3"/>
    </row>
    <row r="201" spans="2:16">
      <c r="B201" s="28"/>
      <c r="C201" s="3"/>
      <c r="D201" s="47"/>
      <c r="E201" s="28"/>
      <c r="F201" s="28"/>
      <c r="G201" s="28"/>
      <c r="H201" s="29"/>
      <c r="I201" s="14"/>
      <c r="K201" s="3"/>
      <c r="M201" s="3"/>
      <c r="N201" s="3"/>
      <c r="O201" s="52"/>
      <c r="P201" s="3"/>
    </row>
    <row r="202" spans="2:16">
      <c r="B202" s="28"/>
      <c r="C202" s="3"/>
      <c r="D202" s="47"/>
      <c r="E202" s="28"/>
      <c r="F202" s="28"/>
      <c r="G202" s="28"/>
      <c r="H202" s="29"/>
      <c r="I202" s="14"/>
      <c r="K202" s="3"/>
      <c r="M202" s="3"/>
      <c r="N202" s="3"/>
      <c r="O202" s="52"/>
      <c r="P202" s="3"/>
    </row>
    <row r="203" spans="2:16">
      <c r="B203" s="28"/>
      <c r="C203" s="3"/>
      <c r="D203" s="47"/>
      <c r="E203" s="28"/>
      <c r="F203" s="28"/>
      <c r="G203" s="28"/>
      <c r="H203" s="29"/>
      <c r="I203" s="14"/>
      <c r="K203" s="3"/>
      <c r="M203" s="3"/>
      <c r="N203" s="3"/>
      <c r="O203" s="52"/>
      <c r="P203" s="3"/>
    </row>
    <row r="204" spans="2:16">
      <c r="B204" s="28"/>
      <c r="C204" s="3"/>
      <c r="D204" s="47"/>
      <c r="E204" s="28"/>
      <c r="F204" s="28"/>
      <c r="G204" s="28"/>
      <c r="H204" s="29"/>
      <c r="I204" s="14"/>
      <c r="K204" s="3"/>
      <c r="M204" s="3"/>
      <c r="N204" s="3"/>
      <c r="O204" s="52"/>
      <c r="P204" s="3"/>
    </row>
    <row r="205" spans="2:16">
      <c r="B205" s="28"/>
      <c r="C205" s="3"/>
      <c r="D205" s="47"/>
      <c r="E205" s="28"/>
      <c r="F205" s="28"/>
      <c r="G205" s="28"/>
      <c r="H205" s="29"/>
      <c r="I205" s="14"/>
      <c r="K205" s="3"/>
      <c r="M205" s="3"/>
      <c r="N205" s="3"/>
      <c r="O205" s="52"/>
      <c r="P205" s="3"/>
    </row>
    <row r="206" spans="2:16">
      <c r="B206" s="28"/>
      <c r="C206" s="3"/>
      <c r="D206" s="47"/>
      <c r="E206" s="28"/>
      <c r="F206" s="28"/>
      <c r="G206" s="28"/>
      <c r="H206" s="29"/>
      <c r="I206" s="14"/>
      <c r="K206" s="3"/>
      <c r="M206" s="3"/>
      <c r="N206" s="3"/>
      <c r="O206" s="52"/>
      <c r="P206" s="3"/>
    </row>
    <row r="207" spans="2:16">
      <c r="B207" s="28"/>
      <c r="C207" s="3"/>
      <c r="D207" s="47"/>
      <c r="E207" s="28"/>
      <c r="F207" s="28"/>
      <c r="G207" s="28"/>
      <c r="H207" s="29"/>
      <c r="I207" s="14"/>
      <c r="K207" s="3"/>
      <c r="M207" s="3"/>
      <c r="N207" s="3"/>
      <c r="O207" s="52"/>
      <c r="P207" s="3"/>
    </row>
    <row r="208" spans="2:16">
      <c r="B208" s="28"/>
      <c r="C208" s="3"/>
      <c r="D208" s="47"/>
      <c r="E208" s="28"/>
      <c r="F208" s="28"/>
      <c r="G208" s="28"/>
      <c r="H208" s="29"/>
      <c r="I208" s="14"/>
      <c r="K208" s="3"/>
      <c r="M208" s="3"/>
      <c r="N208" s="3"/>
      <c r="O208" s="52"/>
      <c r="P208" s="3"/>
    </row>
    <row r="209" spans="2:16">
      <c r="B209" s="28"/>
      <c r="C209" s="3"/>
      <c r="D209" s="47"/>
      <c r="E209" s="28"/>
      <c r="F209" s="28"/>
      <c r="G209" s="28"/>
      <c r="H209" s="29"/>
      <c r="I209" s="14"/>
      <c r="K209" s="3"/>
      <c r="M209" s="3"/>
      <c r="N209" s="3"/>
      <c r="O209" s="52"/>
      <c r="P209" s="3"/>
    </row>
    <row r="210" spans="2:16">
      <c r="B210" s="28"/>
      <c r="C210" s="3"/>
      <c r="D210" s="47"/>
      <c r="E210" s="28"/>
      <c r="F210" s="28"/>
      <c r="G210" s="28"/>
      <c r="H210" s="29"/>
      <c r="I210" s="14"/>
      <c r="K210" s="3"/>
      <c r="M210" s="3"/>
      <c r="N210" s="3"/>
      <c r="O210" s="52"/>
      <c r="P210" s="3"/>
    </row>
    <row r="211" spans="2:16">
      <c r="B211" s="28"/>
      <c r="C211" s="3"/>
      <c r="D211" s="47"/>
      <c r="E211" s="28"/>
      <c r="F211" s="28"/>
      <c r="G211" s="28"/>
      <c r="H211" s="29"/>
      <c r="I211" s="14"/>
      <c r="K211" s="3"/>
      <c r="M211" s="3"/>
      <c r="N211" s="3"/>
      <c r="O211" s="52"/>
      <c r="P211" s="3"/>
    </row>
    <row r="212" spans="2:16">
      <c r="B212" s="28"/>
      <c r="C212" s="3"/>
      <c r="D212" s="47"/>
      <c r="E212" s="28"/>
      <c r="F212" s="28"/>
      <c r="G212" s="28"/>
      <c r="H212" s="29"/>
      <c r="I212" s="14"/>
      <c r="K212" s="3"/>
      <c r="M212" s="3"/>
      <c r="N212" s="3"/>
      <c r="O212" s="52"/>
      <c r="P212" s="3"/>
    </row>
    <row r="213" spans="2:16">
      <c r="B213" s="28"/>
      <c r="C213" s="3"/>
      <c r="D213" s="47"/>
      <c r="E213" s="28"/>
      <c r="F213" s="28"/>
      <c r="G213" s="28"/>
      <c r="H213" s="29"/>
      <c r="I213" s="14"/>
      <c r="K213" s="3"/>
      <c r="M213" s="3"/>
      <c r="N213" s="3"/>
      <c r="O213" s="52"/>
      <c r="P213" s="3"/>
    </row>
    <row r="214" spans="2:16">
      <c r="D214" s="47"/>
      <c r="E214" s="143"/>
      <c r="H214" s="29"/>
      <c r="I214" s="30"/>
      <c r="O214" s="53"/>
    </row>
    <row r="215" spans="2:16">
      <c r="D215" s="47"/>
      <c r="E215" s="143"/>
      <c r="H215" s="29"/>
      <c r="I215" s="30"/>
      <c r="O215" s="53"/>
    </row>
    <row r="216" spans="2:16">
      <c r="D216" s="47"/>
      <c r="E216" s="143"/>
      <c r="H216" s="29"/>
      <c r="I216" s="30"/>
      <c r="O216" s="53"/>
    </row>
    <row r="217" spans="2:16">
      <c r="D217" s="47"/>
      <c r="E217" s="143"/>
      <c r="H217" s="29"/>
      <c r="I217" s="30"/>
      <c r="O217" s="53"/>
    </row>
    <row r="218" spans="2:16">
      <c r="D218" s="47"/>
      <c r="E218" s="143"/>
      <c r="H218" s="29"/>
      <c r="I218" s="30"/>
      <c r="O218" s="53"/>
    </row>
    <row r="219" spans="2:16">
      <c r="D219" s="47"/>
      <c r="E219" s="143"/>
      <c r="H219" s="29"/>
      <c r="I219" s="30"/>
      <c r="O219" s="53"/>
    </row>
    <row r="220" spans="2:16">
      <c r="D220" s="47"/>
      <c r="E220" s="143"/>
      <c r="H220" s="29"/>
      <c r="I220" s="30"/>
      <c r="O220" s="53"/>
    </row>
    <row r="221" spans="2:16">
      <c r="D221" s="47"/>
      <c r="E221" s="143"/>
      <c r="H221" s="29"/>
      <c r="I221" s="30"/>
      <c r="O221" s="53"/>
    </row>
    <row r="222" spans="2:16">
      <c r="D222" s="47"/>
      <c r="E222" s="143"/>
      <c r="H222" s="29"/>
      <c r="I222" s="30"/>
      <c r="O222" s="53"/>
    </row>
    <row r="223" spans="2:16">
      <c r="D223" s="47"/>
      <c r="E223" s="143"/>
      <c r="H223" s="29"/>
      <c r="I223" s="30"/>
      <c r="O223" s="53"/>
    </row>
    <row r="224" spans="2:16">
      <c r="D224" s="47"/>
      <c r="E224" s="143"/>
      <c r="H224" s="29"/>
      <c r="I224" s="30"/>
      <c r="O224" s="53"/>
    </row>
    <row r="225" spans="4:15">
      <c r="D225" s="47"/>
      <c r="E225" s="143"/>
      <c r="H225" s="29"/>
      <c r="I225" s="30"/>
      <c r="O225" s="53"/>
    </row>
    <row r="226" spans="4:15">
      <c r="D226" s="47"/>
      <c r="E226" s="143"/>
      <c r="H226" s="29"/>
      <c r="I226" s="30"/>
      <c r="O226" s="53"/>
    </row>
    <row r="227" spans="4:15">
      <c r="D227" s="47"/>
      <c r="E227" s="143"/>
      <c r="H227" s="29"/>
      <c r="I227" s="30"/>
      <c r="O227" s="53"/>
    </row>
    <row r="228" spans="4:15">
      <c r="D228" s="47"/>
      <c r="E228" s="143"/>
      <c r="H228" s="29"/>
      <c r="I228" s="30"/>
      <c r="O228" s="53"/>
    </row>
    <row r="229" spans="4:15">
      <c r="D229" s="47"/>
      <c r="E229" s="143"/>
      <c r="H229" s="29"/>
      <c r="I229" s="30"/>
      <c r="O229" s="53"/>
    </row>
    <row r="230" spans="4:15">
      <c r="D230" s="47"/>
      <c r="E230" s="143"/>
      <c r="H230" s="29"/>
      <c r="I230" s="30"/>
      <c r="O230" s="53"/>
    </row>
    <row r="231" spans="4:15">
      <c r="D231" s="47"/>
      <c r="E231" s="143"/>
      <c r="H231" s="29"/>
      <c r="I231" s="30"/>
      <c r="O231" s="53"/>
    </row>
    <row r="232" spans="4:15">
      <c r="D232" s="47"/>
      <c r="E232" s="143"/>
      <c r="H232" s="29"/>
      <c r="I232" s="30"/>
      <c r="O232" s="53"/>
    </row>
    <row r="233" spans="4:15">
      <c r="D233" s="47"/>
      <c r="E233" s="143"/>
      <c r="H233" s="29"/>
      <c r="I233" s="30"/>
      <c r="O233" s="53"/>
    </row>
    <row r="234" spans="4:15">
      <c r="D234" s="47"/>
      <c r="E234" s="143"/>
      <c r="H234" s="29"/>
      <c r="I234" s="30"/>
      <c r="O234" s="53"/>
    </row>
    <row r="235" spans="4:15">
      <c r="D235" s="47"/>
      <c r="E235" s="143"/>
      <c r="H235" s="29"/>
      <c r="I235" s="30"/>
      <c r="O235" s="53"/>
    </row>
    <row r="236" spans="4:15">
      <c r="D236" s="47"/>
      <c r="E236" s="143"/>
      <c r="H236" s="29"/>
      <c r="I236" s="30"/>
      <c r="O236" s="53"/>
    </row>
    <row r="237" spans="4:15">
      <c r="D237" s="47"/>
      <c r="E237" s="143"/>
      <c r="H237" s="29"/>
      <c r="I237" s="30"/>
      <c r="O237" s="53"/>
    </row>
    <row r="238" spans="4:15">
      <c r="D238" s="47"/>
      <c r="E238" s="143"/>
      <c r="H238" s="29"/>
      <c r="I238" s="30"/>
      <c r="O238" s="53"/>
    </row>
    <row r="239" spans="4:15">
      <c r="D239" s="47"/>
      <c r="E239" s="143"/>
      <c r="H239" s="29"/>
      <c r="I239" s="30"/>
      <c r="O239" s="53"/>
    </row>
    <row r="240" spans="4:15">
      <c r="D240" s="47"/>
      <c r="E240" s="143"/>
      <c r="H240" s="29"/>
      <c r="I240" s="30"/>
      <c r="O240" s="53"/>
    </row>
    <row r="241" spans="4:15">
      <c r="D241" s="47"/>
      <c r="E241" s="143"/>
      <c r="H241" s="29"/>
      <c r="I241" s="30"/>
      <c r="O241" s="53"/>
    </row>
    <row r="242" spans="4:15">
      <c r="D242" s="47"/>
      <c r="E242" s="143"/>
      <c r="H242" s="29"/>
      <c r="I242" s="30"/>
      <c r="O242" s="53"/>
    </row>
    <row r="243" spans="4:15">
      <c r="D243" s="47"/>
      <c r="E243" s="143"/>
      <c r="H243" s="29"/>
      <c r="I243" s="30"/>
      <c r="O243" s="53"/>
    </row>
    <row r="244" spans="4:15">
      <c r="D244" s="47"/>
      <c r="E244" s="143"/>
      <c r="H244" s="29"/>
      <c r="I244" s="30"/>
      <c r="O244" s="53"/>
    </row>
    <row r="245" spans="4:15">
      <c r="D245" s="47"/>
      <c r="E245" s="143"/>
      <c r="H245" s="29"/>
      <c r="I245" s="30"/>
      <c r="O245" s="53"/>
    </row>
    <row r="246" spans="4:15">
      <c r="D246" s="47"/>
      <c r="E246" s="143"/>
      <c r="H246" s="29"/>
      <c r="I246" s="30"/>
      <c r="O246" s="53"/>
    </row>
    <row r="247" spans="4:15">
      <c r="D247" s="47"/>
      <c r="E247" s="143"/>
      <c r="H247" s="29"/>
      <c r="I247" s="30"/>
      <c r="O247" s="53"/>
    </row>
    <row r="248" spans="4:15">
      <c r="D248" s="47"/>
      <c r="E248" s="143"/>
      <c r="H248" s="29"/>
      <c r="I248" s="30"/>
      <c r="O248" s="53"/>
    </row>
    <row r="249" spans="4:15">
      <c r="D249" s="47"/>
      <c r="E249" s="143"/>
      <c r="H249" s="29"/>
      <c r="I249" s="30"/>
      <c r="O249" s="53"/>
    </row>
    <row r="250" spans="4:15">
      <c r="D250" s="47"/>
      <c r="E250" s="143"/>
      <c r="H250" s="29"/>
      <c r="I250" s="30"/>
      <c r="O250" s="53"/>
    </row>
    <row r="251" spans="4:15">
      <c r="D251" s="47"/>
      <c r="E251" s="143"/>
      <c r="H251" s="29"/>
      <c r="I251" s="30"/>
      <c r="O251" s="53"/>
    </row>
    <row r="252" spans="4:15">
      <c r="D252" s="47"/>
      <c r="E252" s="143"/>
      <c r="H252" s="29"/>
      <c r="I252" s="30"/>
      <c r="O252" s="53"/>
    </row>
    <row r="253" spans="4:15">
      <c r="D253" s="47"/>
      <c r="E253" s="143"/>
      <c r="H253" s="29"/>
      <c r="I253" s="30"/>
      <c r="O253" s="53"/>
    </row>
    <row r="254" spans="4:15">
      <c r="D254" s="47"/>
      <c r="E254" s="143"/>
      <c r="H254" s="29"/>
      <c r="I254" s="30"/>
      <c r="O254" s="53"/>
    </row>
    <row r="255" spans="4:15">
      <c r="D255" s="47"/>
      <c r="E255" s="143"/>
      <c r="H255" s="29"/>
      <c r="I255" s="30"/>
      <c r="O255" s="53"/>
    </row>
    <row r="256" spans="4:15">
      <c r="D256" s="47"/>
      <c r="E256" s="143"/>
      <c r="H256" s="29"/>
      <c r="I256" s="30"/>
      <c r="O256" s="53"/>
    </row>
    <row r="257" spans="4:15">
      <c r="D257" s="47"/>
      <c r="E257" s="143"/>
      <c r="H257" s="29"/>
      <c r="I257" s="30"/>
      <c r="O257" s="53"/>
    </row>
    <row r="258" spans="4:15">
      <c r="D258" s="47"/>
      <c r="E258" s="143"/>
      <c r="H258" s="29"/>
      <c r="I258" s="30"/>
      <c r="O258" s="53"/>
    </row>
    <row r="259" spans="4:15">
      <c r="D259" s="47"/>
      <c r="E259" s="143"/>
      <c r="H259" s="29"/>
      <c r="I259" s="30"/>
      <c r="O259" s="53"/>
    </row>
    <row r="260" spans="4:15">
      <c r="D260" s="47"/>
      <c r="E260" s="143"/>
      <c r="H260" s="29"/>
      <c r="I260" s="30"/>
      <c r="O260" s="53"/>
    </row>
    <row r="261" spans="4:15">
      <c r="D261" s="47"/>
      <c r="E261" s="143"/>
      <c r="H261" s="29"/>
      <c r="I261" s="30"/>
      <c r="O261" s="53"/>
    </row>
    <row r="262" spans="4:15">
      <c r="D262" s="47"/>
      <c r="E262" s="143"/>
      <c r="H262" s="29"/>
      <c r="I262" s="30"/>
      <c r="O262" s="53"/>
    </row>
    <row r="263" spans="4:15">
      <c r="D263" s="47"/>
      <c r="E263" s="143"/>
      <c r="H263" s="29"/>
      <c r="I263" s="30"/>
      <c r="O263" s="53"/>
    </row>
    <row r="264" spans="4:15">
      <c r="D264" s="47"/>
      <c r="E264" s="143"/>
      <c r="H264" s="29"/>
      <c r="I264" s="30"/>
      <c r="O264" s="53"/>
    </row>
    <row r="265" spans="4:15">
      <c r="D265" s="47"/>
      <c r="E265" s="143"/>
      <c r="H265" s="29"/>
      <c r="I265" s="30"/>
      <c r="O265" s="53"/>
    </row>
    <row r="266" spans="4:15">
      <c r="D266" s="47"/>
      <c r="E266" s="143"/>
      <c r="H266" s="29"/>
      <c r="I266" s="30"/>
      <c r="O266" s="53"/>
    </row>
    <row r="267" spans="4:15">
      <c r="D267" s="47"/>
      <c r="E267" s="143"/>
      <c r="H267" s="29"/>
      <c r="I267" s="30"/>
      <c r="O267" s="53"/>
    </row>
    <row r="268" spans="4:15">
      <c r="D268" s="47"/>
      <c r="E268" s="143"/>
      <c r="H268" s="29"/>
      <c r="I268" s="30"/>
      <c r="O268" s="53"/>
    </row>
    <row r="269" spans="4:15">
      <c r="D269" s="47"/>
      <c r="E269" s="143"/>
      <c r="H269" s="29"/>
      <c r="I269" s="30"/>
      <c r="O269" s="53"/>
    </row>
    <row r="270" spans="4:15">
      <c r="D270" s="47"/>
      <c r="E270" s="143"/>
      <c r="H270" s="29"/>
      <c r="I270" s="30"/>
      <c r="O270" s="53"/>
    </row>
    <row r="271" spans="4:15">
      <c r="D271" s="47"/>
      <c r="E271" s="143"/>
      <c r="H271" s="29"/>
      <c r="I271" s="30"/>
      <c r="O271" s="53"/>
    </row>
    <row r="272" spans="4:15">
      <c r="D272" s="47"/>
      <c r="E272" s="143"/>
      <c r="H272" s="29"/>
      <c r="I272" s="30"/>
      <c r="O272" s="53"/>
    </row>
    <row r="273" spans="4:15">
      <c r="D273" s="47"/>
      <c r="E273" s="143"/>
      <c r="H273" s="29"/>
      <c r="I273" s="30"/>
      <c r="O273" s="53"/>
    </row>
    <row r="274" spans="4:15">
      <c r="D274" s="47"/>
      <c r="E274" s="143"/>
      <c r="H274" s="29"/>
      <c r="I274" s="30"/>
      <c r="O274" s="53"/>
    </row>
    <row r="275" spans="4:15">
      <c r="D275" s="47"/>
      <c r="E275" s="143"/>
      <c r="H275" s="29"/>
      <c r="I275" s="30"/>
      <c r="O275" s="53"/>
    </row>
    <row r="276" spans="4:15">
      <c r="D276" s="47"/>
      <c r="E276" s="143"/>
      <c r="H276" s="29"/>
      <c r="I276" s="30"/>
      <c r="O276" s="53"/>
    </row>
    <row r="277" spans="4:15">
      <c r="D277" s="47"/>
      <c r="E277" s="143"/>
      <c r="H277" s="29"/>
      <c r="I277" s="30"/>
      <c r="O277" s="53"/>
    </row>
    <row r="278" spans="4:15">
      <c r="D278" s="47"/>
      <c r="E278" s="143"/>
      <c r="H278" s="29"/>
      <c r="I278" s="30"/>
      <c r="O278" s="53"/>
    </row>
    <row r="279" spans="4:15">
      <c r="D279" s="47"/>
      <c r="E279" s="143"/>
      <c r="H279" s="29"/>
      <c r="I279" s="30"/>
      <c r="O279" s="53"/>
    </row>
    <row r="280" spans="4:15">
      <c r="D280" s="47"/>
      <c r="E280" s="143"/>
      <c r="H280" s="29"/>
      <c r="I280" s="30"/>
      <c r="O280" s="53"/>
    </row>
    <row r="281" spans="4:15">
      <c r="D281" s="47"/>
      <c r="E281" s="143"/>
      <c r="H281" s="29"/>
      <c r="I281" s="30"/>
      <c r="O281" s="53"/>
    </row>
    <row r="282" spans="4:15">
      <c r="D282" s="47"/>
      <c r="E282" s="143"/>
      <c r="H282" s="29"/>
      <c r="I282" s="30"/>
      <c r="O282" s="53"/>
    </row>
    <row r="283" spans="4:15">
      <c r="D283" s="47"/>
      <c r="E283" s="143"/>
      <c r="H283" s="29"/>
      <c r="I283" s="30"/>
      <c r="O283" s="53"/>
    </row>
    <row r="284" spans="4:15">
      <c r="D284" s="47"/>
      <c r="E284" s="143"/>
      <c r="H284" s="29"/>
      <c r="I284" s="30"/>
      <c r="O284" s="53"/>
    </row>
    <row r="285" spans="4:15">
      <c r="D285" s="47"/>
      <c r="E285" s="143"/>
      <c r="H285" s="29"/>
      <c r="I285" s="30"/>
      <c r="O285" s="53"/>
    </row>
    <row r="286" spans="4:15">
      <c r="D286" s="47"/>
      <c r="E286" s="143"/>
      <c r="H286" s="29"/>
      <c r="I286" s="30"/>
      <c r="O286" s="53"/>
    </row>
    <row r="287" spans="4:15">
      <c r="D287" s="47"/>
      <c r="E287" s="143"/>
      <c r="H287" s="29"/>
      <c r="I287" s="30"/>
      <c r="O287" s="53"/>
    </row>
    <row r="288" spans="4:15">
      <c r="D288" s="47"/>
      <c r="E288" s="143"/>
      <c r="H288" s="29"/>
      <c r="I288" s="30"/>
      <c r="O288" s="53"/>
    </row>
    <row r="289" spans="4:15">
      <c r="D289" s="47"/>
      <c r="E289" s="143"/>
      <c r="H289" s="29"/>
      <c r="I289" s="30"/>
      <c r="O289" s="53"/>
    </row>
    <row r="290" spans="4:15">
      <c r="D290" s="47"/>
      <c r="E290" s="143"/>
      <c r="H290" s="29"/>
      <c r="I290" s="30"/>
      <c r="O290" s="53"/>
    </row>
    <row r="291" spans="4:15">
      <c r="D291" s="47"/>
      <c r="E291" s="143"/>
      <c r="H291" s="29"/>
      <c r="I291" s="30"/>
      <c r="O291" s="53"/>
    </row>
    <row r="292" spans="4:15">
      <c r="D292" s="47"/>
      <c r="E292" s="143"/>
      <c r="H292" s="29"/>
      <c r="I292" s="30"/>
      <c r="O292" s="53"/>
    </row>
    <row r="293" spans="4:15">
      <c r="D293" s="47"/>
      <c r="E293" s="143"/>
      <c r="H293" s="29"/>
      <c r="I293" s="30"/>
      <c r="O293" s="53"/>
    </row>
    <row r="294" spans="4:15">
      <c r="D294" s="47"/>
      <c r="E294" s="143"/>
      <c r="H294" s="29"/>
      <c r="I294" s="30"/>
      <c r="O294" s="53"/>
    </row>
    <row r="295" spans="4:15">
      <c r="D295" s="47"/>
      <c r="E295" s="143"/>
      <c r="H295" s="29"/>
      <c r="I295" s="30"/>
      <c r="O295" s="53"/>
    </row>
    <row r="296" spans="4:15">
      <c r="D296" s="47"/>
      <c r="E296" s="143"/>
      <c r="H296" s="29"/>
      <c r="I296" s="30"/>
      <c r="O296" s="53"/>
    </row>
    <row r="297" spans="4:15">
      <c r="D297" s="47"/>
      <c r="E297" s="143"/>
      <c r="H297" s="29"/>
      <c r="I297" s="30"/>
      <c r="O297" s="53"/>
    </row>
    <row r="298" spans="4:15">
      <c r="D298" s="47"/>
      <c r="E298" s="143"/>
      <c r="H298" s="29"/>
      <c r="I298" s="30"/>
      <c r="O298" s="53"/>
    </row>
    <row r="299" spans="4:15">
      <c r="D299" s="47"/>
      <c r="E299" s="143"/>
      <c r="H299" s="29"/>
      <c r="I299" s="30"/>
      <c r="O299" s="53"/>
    </row>
    <row r="300" spans="4:15">
      <c r="D300" s="47"/>
      <c r="E300" s="143"/>
      <c r="H300" s="29"/>
      <c r="I300" s="30"/>
      <c r="O300" s="53"/>
    </row>
    <row r="301" spans="4:15">
      <c r="D301" s="47"/>
      <c r="E301" s="143"/>
      <c r="H301" s="29"/>
      <c r="I301" s="30"/>
      <c r="O301" s="53"/>
    </row>
    <row r="302" spans="4:15">
      <c r="D302" s="47"/>
      <c r="E302" s="143"/>
      <c r="H302" s="29"/>
      <c r="I302" s="30"/>
      <c r="O302" s="53"/>
    </row>
    <row r="303" spans="4:15">
      <c r="D303" s="47"/>
      <c r="E303" s="143"/>
      <c r="H303" s="29"/>
      <c r="I303" s="30"/>
      <c r="O303" s="53"/>
    </row>
    <row r="304" spans="4:15">
      <c r="D304" s="47"/>
      <c r="E304" s="143"/>
      <c r="H304" s="29"/>
      <c r="I304" s="30"/>
      <c r="O304" s="53"/>
    </row>
    <row r="305" spans="4:15">
      <c r="D305" s="47"/>
      <c r="E305" s="143"/>
      <c r="H305" s="29"/>
      <c r="I305" s="30"/>
      <c r="O305" s="53"/>
    </row>
    <row r="306" spans="4:15">
      <c r="D306" s="47"/>
      <c r="E306" s="143"/>
      <c r="H306" s="29"/>
      <c r="I306" s="30"/>
      <c r="O306" s="53"/>
    </row>
    <row r="307" spans="4:15">
      <c r="D307" s="47"/>
      <c r="E307" s="143"/>
      <c r="H307" s="29"/>
      <c r="I307" s="30"/>
      <c r="O307" s="53"/>
    </row>
    <row r="308" spans="4:15">
      <c r="D308" s="47"/>
      <c r="E308" s="143"/>
      <c r="H308" s="29"/>
      <c r="I308" s="30"/>
      <c r="O308" s="53"/>
    </row>
    <row r="309" spans="4:15">
      <c r="D309" s="47"/>
      <c r="E309" s="143"/>
      <c r="H309" s="29"/>
      <c r="I309" s="30"/>
      <c r="O309" s="53"/>
    </row>
    <row r="310" spans="4:15">
      <c r="D310" s="47"/>
      <c r="E310" s="143"/>
      <c r="H310" s="29"/>
      <c r="I310" s="30"/>
      <c r="O310" s="53"/>
    </row>
    <row r="311" spans="4:15">
      <c r="D311" s="47"/>
      <c r="E311" s="143"/>
      <c r="H311" s="29"/>
      <c r="I311" s="30"/>
      <c r="O311" s="53"/>
    </row>
    <row r="312" spans="4:15">
      <c r="D312" s="47"/>
      <c r="E312" s="143"/>
      <c r="H312" s="29"/>
      <c r="I312" s="30"/>
      <c r="O312" s="53"/>
    </row>
    <row r="313" spans="4:15">
      <c r="D313" s="47"/>
      <c r="E313" s="143"/>
      <c r="H313" s="29"/>
      <c r="I313" s="30"/>
      <c r="O313" s="53"/>
    </row>
    <row r="314" spans="4:15">
      <c r="D314" s="47"/>
      <c r="E314" s="143"/>
      <c r="H314" s="29"/>
      <c r="I314" s="30"/>
      <c r="O314" s="53"/>
    </row>
    <row r="315" spans="4:15">
      <c r="D315" s="47"/>
      <c r="E315" s="143"/>
      <c r="H315" s="29"/>
      <c r="I315" s="30"/>
      <c r="O315" s="53"/>
    </row>
    <row r="316" spans="4:15">
      <c r="D316" s="47"/>
      <c r="E316" s="143"/>
      <c r="H316" s="29"/>
      <c r="I316" s="30"/>
      <c r="O316" s="53"/>
    </row>
    <row r="317" spans="4:15">
      <c r="D317" s="47"/>
      <c r="E317" s="143"/>
      <c r="H317" s="29"/>
      <c r="I317" s="30"/>
      <c r="O317" s="53"/>
    </row>
    <row r="318" spans="4:15">
      <c r="D318" s="47"/>
      <c r="E318" s="143"/>
      <c r="H318" s="29"/>
      <c r="I318" s="30"/>
      <c r="O318" s="53"/>
    </row>
    <row r="319" spans="4:15">
      <c r="D319" s="47"/>
      <c r="E319" s="143"/>
      <c r="H319" s="29"/>
      <c r="I319" s="30"/>
      <c r="O319" s="53"/>
    </row>
    <row r="320" spans="4:15">
      <c r="D320" s="47"/>
      <c r="E320" s="143"/>
      <c r="H320" s="29"/>
      <c r="I320" s="30"/>
      <c r="O320" s="53"/>
    </row>
    <row r="321" spans="4:15">
      <c r="D321" s="47"/>
      <c r="E321" s="143"/>
      <c r="H321" s="29"/>
      <c r="I321" s="30"/>
      <c r="O321" s="53"/>
    </row>
    <row r="322" spans="4:15">
      <c r="D322" s="47"/>
      <c r="E322" s="143"/>
      <c r="H322" s="29"/>
      <c r="I322" s="30"/>
      <c r="O322" s="53"/>
    </row>
    <row r="323" spans="4:15">
      <c r="D323" s="47"/>
      <c r="E323" s="143"/>
      <c r="H323" s="29"/>
      <c r="I323" s="30"/>
      <c r="O323" s="53"/>
    </row>
    <row r="324" spans="4:15">
      <c r="D324" s="47"/>
      <c r="E324" s="143"/>
      <c r="H324" s="29"/>
      <c r="I324" s="30"/>
      <c r="O324" s="53"/>
    </row>
    <row r="325" spans="4:15">
      <c r="D325" s="47"/>
      <c r="E325" s="143"/>
      <c r="H325" s="29"/>
      <c r="I325" s="30"/>
      <c r="O325" s="53"/>
    </row>
    <row r="326" spans="4:15">
      <c r="D326" s="47"/>
      <c r="E326" s="143"/>
      <c r="H326" s="29"/>
      <c r="I326" s="30"/>
      <c r="O326" s="53"/>
    </row>
    <row r="327" spans="4:15">
      <c r="D327" s="47"/>
      <c r="E327" s="143"/>
      <c r="H327" s="29"/>
      <c r="I327" s="30"/>
      <c r="O327" s="53"/>
    </row>
    <row r="328" spans="4:15">
      <c r="D328" s="47"/>
      <c r="E328" s="143"/>
      <c r="H328" s="29"/>
      <c r="I328" s="30"/>
      <c r="O328" s="53"/>
    </row>
    <row r="329" spans="4:15">
      <c r="D329" s="47"/>
      <c r="E329" s="143"/>
      <c r="H329" s="29"/>
      <c r="I329" s="30"/>
      <c r="O329" s="53"/>
    </row>
    <row r="330" spans="4:15">
      <c r="D330" s="47"/>
      <c r="E330" s="143"/>
      <c r="H330" s="29"/>
      <c r="I330" s="30"/>
      <c r="O330" s="53"/>
    </row>
    <row r="331" spans="4:15">
      <c r="D331" s="47"/>
      <c r="E331" s="143"/>
      <c r="H331" s="29"/>
      <c r="I331" s="30"/>
      <c r="O331" s="53"/>
    </row>
    <row r="332" spans="4:15">
      <c r="D332" s="47"/>
      <c r="E332" s="143"/>
      <c r="H332" s="29"/>
      <c r="I332" s="30"/>
      <c r="O332" s="53"/>
    </row>
    <row r="333" spans="4:15">
      <c r="D333" s="47"/>
      <c r="E333" s="143"/>
      <c r="H333" s="29"/>
      <c r="I333" s="30"/>
      <c r="O333" s="53"/>
    </row>
    <row r="334" spans="4:15">
      <c r="D334" s="47"/>
      <c r="E334" s="143"/>
      <c r="H334" s="29"/>
      <c r="I334" s="30"/>
      <c r="O334" s="53"/>
    </row>
    <row r="335" spans="4:15">
      <c r="D335" s="47"/>
      <c r="E335" s="143"/>
      <c r="H335" s="29"/>
      <c r="I335" s="30"/>
      <c r="O335" s="53"/>
    </row>
    <row r="336" spans="4:15">
      <c r="D336" s="47"/>
      <c r="E336" s="143"/>
      <c r="H336" s="29"/>
      <c r="I336" s="30"/>
      <c r="O336" s="53"/>
    </row>
    <row r="337" spans="4:15">
      <c r="D337" s="47"/>
      <c r="E337" s="143"/>
      <c r="H337" s="29"/>
      <c r="I337" s="30"/>
      <c r="O337" s="53"/>
    </row>
    <row r="338" spans="4:15">
      <c r="D338" s="47"/>
      <c r="E338" s="143"/>
      <c r="H338" s="29"/>
      <c r="I338" s="30"/>
      <c r="O338" s="53"/>
    </row>
    <row r="339" spans="4:15">
      <c r="D339" s="47"/>
      <c r="E339" s="143"/>
      <c r="H339" s="29"/>
      <c r="I339" s="30"/>
      <c r="O339" s="53"/>
    </row>
    <row r="340" spans="4:15">
      <c r="D340" s="47"/>
      <c r="E340" s="143"/>
      <c r="H340" s="29"/>
      <c r="I340" s="30"/>
      <c r="O340" s="53"/>
    </row>
    <row r="341" spans="4:15">
      <c r="D341" s="47"/>
      <c r="E341" s="143"/>
      <c r="H341" s="29"/>
      <c r="I341" s="30"/>
      <c r="O341" s="53"/>
    </row>
    <row r="342" spans="4:15">
      <c r="D342" s="47"/>
      <c r="E342" s="143"/>
      <c r="H342" s="29"/>
      <c r="I342" s="30"/>
      <c r="O342" s="53"/>
    </row>
    <row r="343" spans="4:15">
      <c r="D343" s="47"/>
      <c r="E343" s="143"/>
      <c r="H343" s="29"/>
      <c r="I343" s="30"/>
      <c r="O343" s="53"/>
    </row>
    <row r="344" spans="4:15">
      <c r="D344" s="47"/>
      <c r="E344" s="143"/>
      <c r="H344" s="29"/>
      <c r="I344" s="30"/>
      <c r="O344" s="53"/>
    </row>
    <row r="345" spans="4:15">
      <c r="D345" s="47"/>
      <c r="E345" s="143"/>
      <c r="H345" s="29"/>
      <c r="I345" s="30"/>
      <c r="O345" s="53"/>
    </row>
    <row r="346" spans="4:15">
      <c r="D346" s="47"/>
      <c r="E346" s="143"/>
      <c r="H346" s="29"/>
      <c r="I346" s="30"/>
      <c r="O346" s="53"/>
    </row>
    <row r="347" spans="4:15">
      <c r="D347" s="47"/>
      <c r="E347" s="143"/>
      <c r="H347" s="29"/>
      <c r="I347" s="30"/>
      <c r="O347" s="53"/>
    </row>
    <row r="348" spans="4:15">
      <c r="D348" s="47"/>
      <c r="E348" s="143"/>
      <c r="H348" s="29"/>
      <c r="I348" s="30"/>
      <c r="O348" s="53"/>
    </row>
    <row r="349" spans="4:15">
      <c r="D349" s="47"/>
      <c r="E349" s="143"/>
      <c r="H349" s="29"/>
      <c r="I349" s="30"/>
      <c r="O349" s="53"/>
    </row>
    <row r="350" spans="4:15">
      <c r="D350" s="47"/>
      <c r="E350" s="143"/>
      <c r="H350" s="29"/>
      <c r="I350" s="30"/>
      <c r="O350" s="53"/>
    </row>
    <row r="351" spans="4:15">
      <c r="D351" s="47"/>
      <c r="E351" s="143"/>
      <c r="H351" s="29"/>
      <c r="I351" s="30"/>
      <c r="O351" s="53"/>
    </row>
    <row r="352" spans="4:15">
      <c r="D352" s="47"/>
      <c r="E352" s="143"/>
      <c r="H352" s="29"/>
      <c r="I352" s="30"/>
      <c r="O352" s="53"/>
    </row>
    <row r="353" spans="4:15">
      <c r="D353" s="47"/>
      <c r="E353" s="143"/>
      <c r="H353" s="29"/>
      <c r="I353" s="30"/>
      <c r="O353" s="53"/>
    </row>
    <row r="354" spans="4:15">
      <c r="D354" s="47"/>
      <c r="E354" s="143"/>
      <c r="H354" s="29"/>
      <c r="I354" s="30"/>
      <c r="O354" s="53"/>
    </row>
    <row r="355" spans="4:15">
      <c r="D355" s="47"/>
      <c r="E355" s="143"/>
      <c r="H355" s="29"/>
      <c r="I355" s="30"/>
      <c r="O355" s="53"/>
    </row>
    <row r="356" spans="4:15">
      <c r="D356" s="47"/>
      <c r="E356" s="143"/>
      <c r="H356" s="29"/>
      <c r="I356" s="30"/>
      <c r="O356" s="53"/>
    </row>
    <row r="357" spans="4:15">
      <c r="D357" s="47"/>
      <c r="E357" s="143"/>
      <c r="H357" s="29"/>
      <c r="I357" s="30"/>
      <c r="O357" s="53"/>
    </row>
    <row r="358" spans="4:15">
      <c r="D358" s="47"/>
      <c r="E358" s="143"/>
      <c r="H358" s="29"/>
      <c r="I358" s="30"/>
      <c r="O358" s="53"/>
    </row>
    <row r="359" spans="4:15">
      <c r="D359" s="47"/>
      <c r="E359" s="143"/>
      <c r="H359" s="29"/>
      <c r="I359" s="30"/>
      <c r="O359" s="53"/>
    </row>
    <row r="360" spans="4:15">
      <c r="D360" s="47"/>
      <c r="E360" s="143"/>
      <c r="H360" s="29"/>
      <c r="I360" s="30"/>
      <c r="O360" s="53"/>
    </row>
    <row r="361" spans="4:15">
      <c r="D361" s="47"/>
      <c r="E361" s="143"/>
      <c r="H361" s="29"/>
      <c r="I361" s="30"/>
      <c r="O361" s="53"/>
    </row>
    <row r="362" spans="4:15">
      <c r="D362" s="47"/>
      <c r="E362" s="143"/>
      <c r="H362" s="29"/>
      <c r="I362" s="30"/>
      <c r="O362" s="53"/>
    </row>
    <row r="363" spans="4:15">
      <c r="D363" s="47"/>
      <c r="E363" s="143"/>
      <c r="H363" s="29"/>
      <c r="I363" s="30"/>
      <c r="O363" s="53"/>
    </row>
    <row r="364" spans="4:15">
      <c r="D364" s="47"/>
      <c r="E364" s="143"/>
      <c r="H364" s="29"/>
      <c r="I364" s="30"/>
      <c r="O364" s="53"/>
    </row>
    <row r="365" spans="4:15">
      <c r="D365" s="47"/>
      <c r="E365" s="143"/>
      <c r="H365" s="29"/>
      <c r="I365" s="30"/>
      <c r="O365" s="53"/>
    </row>
    <row r="366" spans="4:15">
      <c r="D366" s="47"/>
      <c r="E366" s="143"/>
      <c r="H366" s="29"/>
      <c r="I366" s="30"/>
      <c r="O366" s="53"/>
    </row>
    <row r="367" spans="4:15">
      <c r="D367" s="47"/>
      <c r="E367" s="143"/>
      <c r="H367" s="29"/>
      <c r="I367" s="30"/>
      <c r="O367" s="53"/>
    </row>
    <row r="368" spans="4:15">
      <c r="D368" s="47"/>
      <c r="E368" s="143"/>
      <c r="H368" s="29"/>
      <c r="I368" s="30"/>
      <c r="O368" s="53"/>
    </row>
    <row r="369" spans="4:15">
      <c r="D369" s="47"/>
      <c r="E369" s="143"/>
      <c r="H369" s="29"/>
      <c r="I369" s="30"/>
      <c r="O369" s="53"/>
    </row>
    <row r="370" spans="4:15">
      <c r="D370" s="47"/>
      <c r="E370" s="143"/>
      <c r="H370" s="29"/>
      <c r="I370" s="30"/>
      <c r="O370" s="53"/>
    </row>
    <row r="371" spans="4:15">
      <c r="D371" s="47"/>
      <c r="E371" s="143"/>
      <c r="H371" s="29"/>
      <c r="I371" s="30"/>
      <c r="O371" s="53"/>
    </row>
    <row r="372" spans="4:15">
      <c r="D372" s="47"/>
      <c r="E372" s="143"/>
      <c r="H372" s="29"/>
      <c r="I372" s="30"/>
      <c r="O372" s="53"/>
    </row>
    <row r="373" spans="4:15">
      <c r="D373" s="47"/>
      <c r="E373" s="143"/>
      <c r="H373" s="29"/>
      <c r="I373" s="30"/>
      <c r="O373" s="53"/>
    </row>
    <row r="374" spans="4:15">
      <c r="D374" s="47"/>
      <c r="E374" s="143"/>
      <c r="H374" s="29"/>
      <c r="I374" s="30"/>
      <c r="O374" s="53"/>
    </row>
    <row r="375" spans="4:15">
      <c r="D375" s="47"/>
      <c r="E375" s="143"/>
      <c r="H375" s="29"/>
      <c r="I375" s="30"/>
      <c r="O375" s="53"/>
    </row>
    <row r="376" spans="4:15">
      <c r="D376" s="47"/>
      <c r="E376" s="143"/>
      <c r="H376" s="29"/>
      <c r="I376" s="30"/>
      <c r="O376" s="53"/>
    </row>
    <row r="377" spans="4:15">
      <c r="D377" s="47"/>
      <c r="E377" s="143"/>
      <c r="H377" s="29"/>
      <c r="I377" s="30"/>
      <c r="O377" s="53"/>
    </row>
    <row r="378" spans="4:15">
      <c r="D378" s="47"/>
      <c r="E378" s="143"/>
      <c r="H378" s="29"/>
      <c r="I378" s="30"/>
      <c r="O378" s="53"/>
    </row>
    <row r="379" spans="4:15">
      <c r="D379" s="47"/>
      <c r="E379" s="143"/>
      <c r="H379" s="29"/>
      <c r="I379" s="30"/>
      <c r="O379" s="53"/>
    </row>
    <row r="380" spans="4:15">
      <c r="D380" s="47"/>
      <c r="E380" s="143"/>
      <c r="H380" s="29"/>
      <c r="I380" s="30"/>
      <c r="O380" s="53"/>
    </row>
    <row r="381" spans="4:15">
      <c r="D381" s="47"/>
      <c r="E381" s="143"/>
      <c r="H381" s="29"/>
      <c r="I381" s="30"/>
      <c r="O381" s="53"/>
    </row>
    <row r="382" spans="4:15">
      <c r="D382" s="47"/>
      <c r="E382" s="143"/>
      <c r="H382" s="29"/>
      <c r="I382" s="30"/>
      <c r="O382" s="53"/>
    </row>
    <row r="383" spans="4:15">
      <c r="D383" s="47"/>
      <c r="E383" s="143"/>
      <c r="H383" s="29"/>
      <c r="I383" s="30"/>
      <c r="O383" s="53"/>
    </row>
    <row r="384" spans="4:15">
      <c r="D384" s="47"/>
      <c r="E384" s="143"/>
      <c r="H384" s="29"/>
      <c r="I384" s="30"/>
      <c r="O384" s="53"/>
    </row>
    <row r="385" spans="4:15">
      <c r="D385" s="47"/>
      <c r="E385" s="143"/>
      <c r="H385" s="29"/>
      <c r="I385" s="30"/>
      <c r="O385" s="53"/>
    </row>
    <row r="386" spans="4:15">
      <c r="D386" s="47"/>
      <c r="E386" s="143"/>
      <c r="H386" s="29"/>
      <c r="I386" s="30"/>
      <c r="O386" s="53"/>
    </row>
    <row r="387" spans="4:15">
      <c r="D387" s="47"/>
      <c r="E387" s="143"/>
      <c r="H387" s="29"/>
      <c r="I387" s="30"/>
      <c r="O387" s="53"/>
    </row>
    <row r="388" spans="4:15">
      <c r="D388" s="47"/>
      <c r="E388" s="143"/>
      <c r="H388" s="29"/>
      <c r="I388" s="30"/>
      <c r="O388" s="53"/>
    </row>
    <row r="389" spans="4:15">
      <c r="D389" s="47"/>
      <c r="E389" s="143"/>
      <c r="H389" s="29"/>
      <c r="I389" s="30"/>
      <c r="O389" s="53"/>
    </row>
    <row r="390" spans="4:15">
      <c r="D390" s="47"/>
      <c r="E390" s="143"/>
      <c r="H390" s="29"/>
      <c r="I390" s="30"/>
      <c r="O390" s="53"/>
    </row>
    <row r="391" spans="4:15">
      <c r="D391" s="47"/>
      <c r="E391" s="143"/>
      <c r="H391" s="29"/>
      <c r="I391" s="30"/>
      <c r="O391" s="53"/>
    </row>
    <row r="392" spans="4:15">
      <c r="D392" s="47"/>
      <c r="E392" s="143"/>
      <c r="H392" s="29"/>
      <c r="I392" s="30"/>
      <c r="O392" s="53"/>
    </row>
    <row r="393" spans="4:15">
      <c r="D393" s="47"/>
      <c r="E393" s="143"/>
      <c r="H393" s="29"/>
      <c r="I393" s="30"/>
      <c r="O393" s="53"/>
    </row>
    <row r="394" spans="4:15">
      <c r="D394" s="47"/>
      <c r="E394" s="143"/>
      <c r="H394" s="29"/>
      <c r="I394" s="30"/>
      <c r="O394" s="53"/>
    </row>
    <row r="395" spans="4:15">
      <c r="D395" s="47"/>
      <c r="E395" s="143"/>
      <c r="H395" s="29"/>
      <c r="I395" s="30"/>
      <c r="O395" s="53"/>
    </row>
    <row r="396" spans="4:15">
      <c r="D396" s="47"/>
      <c r="E396" s="143"/>
      <c r="H396" s="29"/>
      <c r="I396" s="30"/>
      <c r="O396" s="53"/>
    </row>
    <row r="397" spans="4:15">
      <c r="D397" s="47"/>
      <c r="E397" s="143"/>
      <c r="H397" s="29"/>
      <c r="I397" s="30"/>
      <c r="O397" s="53"/>
    </row>
    <row r="398" spans="4:15">
      <c r="D398" s="47"/>
      <c r="E398" s="143"/>
      <c r="H398" s="29"/>
      <c r="I398" s="30"/>
      <c r="O398" s="53"/>
    </row>
    <row r="399" spans="4:15">
      <c r="D399" s="47"/>
      <c r="E399" s="143"/>
      <c r="H399" s="29"/>
      <c r="I399" s="30"/>
      <c r="O399" s="53"/>
    </row>
    <row r="400" spans="4:15">
      <c r="D400" s="47"/>
      <c r="E400" s="143"/>
      <c r="H400" s="29"/>
      <c r="I400" s="30"/>
      <c r="O400" s="53"/>
    </row>
    <row r="401" spans="4:15">
      <c r="D401" s="47"/>
      <c r="E401" s="143"/>
      <c r="H401" s="29"/>
      <c r="I401" s="30"/>
      <c r="O401" s="53"/>
    </row>
    <row r="402" spans="4:15">
      <c r="D402" s="47"/>
      <c r="E402" s="143"/>
      <c r="H402" s="29"/>
      <c r="I402" s="30"/>
      <c r="O402" s="53"/>
    </row>
    <row r="403" spans="4:15">
      <c r="D403" s="47"/>
      <c r="E403" s="143"/>
      <c r="H403" s="29"/>
      <c r="I403" s="30"/>
      <c r="O403" s="53"/>
    </row>
    <row r="404" spans="4:15">
      <c r="D404" s="47"/>
      <c r="E404" s="143"/>
      <c r="H404" s="29"/>
      <c r="I404" s="30"/>
      <c r="O404" s="53"/>
    </row>
    <row r="405" spans="4:15">
      <c r="D405" s="47"/>
      <c r="E405" s="143"/>
      <c r="H405" s="29"/>
      <c r="I405" s="30"/>
      <c r="O405" s="53"/>
    </row>
    <row r="406" spans="4:15">
      <c r="D406" s="47"/>
      <c r="E406" s="143"/>
      <c r="H406" s="29"/>
      <c r="I406" s="30"/>
      <c r="O406" s="53"/>
    </row>
    <row r="407" spans="4:15">
      <c r="D407" s="47"/>
      <c r="E407" s="143"/>
      <c r="H407" s="29"/>
      <c r="I407" s="30"/>
      <c r="O407" s="53"/>
    </row>
    <row r="408" spans="4:15">
      <c r="D408" s="47"/>
      <c r="E408" s="143"/>
      <c r="H408" s="29"/>
      <c r="I408" s="30"/>
      <c r="O408" s="53"/>
    </row>
    <row r="409" spans="4:15">
      <c r="D409" s="47"/>
      <c r="E409" s="143"/>
      <c r="H409" s="29"/>
      <c r="I409" s="30"/>
      <c r="O409" s="53"/>
    </row>
    <row r="410" spans="4:15">
      <c r="D410" s="47"/>
      <c r="E410" s="143"/>
      <c r="H410" s="29"/>
      <c r="I410" s="30"/>
      <c r="O410" s="53"/>
    </row>
    <row r="411" spans="4:15">
      <c r="D411" s="47"/>
      <c r="E411" s="143"/>
      <c r="H411" s="29"/>
      <c r="I411" s="30"/>
      <c r="O411" s="53"/>
    </row>
    <row r="412" spans="4:15">
      <c r="D412" s="47"/>
      <c r="E412" s="143"/>
      <c r="H412" s="29"/>
      <c r="I412" s="30"/>
      <c r="O412" s="53"/>
    </row>
    <row r="413" spans="4:15">
      <c r="D413" s="47"/>
      <c r="E413" s="143"/>
      <c r="H413" s="29"/>
      <c r="I413" s="30"/>
      <c r="O413" s="53"/>
    </row>
    <row r="414" spans="4:15">
      <c r="D414" s="47"/>
      <c r="E414" s="143"/>
      <c r="H414" s="29"/>
      <c r="I414" s="30"/>
      <c r="O414" s="53"/>
    </row>
    <row r="415" spans="4:15">
      <c r="D415" s="47"/>
      <c r="E415" s="143"/>
      <c r="H415" s="29"/>
      <c r="I415" s="30"/>
      <c r="O415" s="53"/>
    </row>
    <row r="416" spans="4:15">
      <c r="D416" s="47"/>
      <c r="E416" s="143"/>
      <c r="H416" s="29"/>
      <c r="I416" s="30"/>
      <c r="O416" s="53"/>
    </row>
    <row r="417" spans="4:15">
      <c r="D417" s="47"/>
      <c r="E417" s="143"/>
      <c r="H417" s="29"/>
      <c r="I417" s="30"/>
      <c r="O417" s="53"/>
    </row>
    <row r="418" spans="4:15">
      <c r="D418" s="47"/>
      <c r="E418" s="143"/>
      <c r="H418" s="29"/>
      <c r="I418" s="30"/>
      <c r="O418" s="53"/>
    </row>
    <row r="419" spans="4:15">
      <c r="D419" s="47"/>
      <c r="E419" s="143"/>
      <c r="H419" s="29"/>
      <c r="I419" s="30"/>
      <c r="O419" s="53"/>
    </row>
    <row r="420" spans="4:15">
      <c r="D420" s="47"/>
      <c r="E420" s="143"/>
      <c r="H420" s="29"/>
      <c r="I420" s="30"/>
      <c r="O420" s="53"/>
    </row>
    <row r="421" spans="4:15">
      <c r="D421" s="47"/>
      <c r="E421" s="143"/>
      <c r="H421" s="29"/>
      <c r="I421" s="30"/>
      <c r="O421" s="53"/>
    </row>
    <row r="422" spans="4:15">
      <c r="D422" s="47"/>
      <c r="E422" s="143"/>
      <c r="H422" s="29"/>
      <c r="I422" s="30"/>
      <c r="O422" s="53"/>
    </row>
    <row r="423" spans="4:15">
      <c r="D423" s="47"/>
      <c r="E423" s="143"/>
      <c r="H423" s="29"/>
      <c r="I423" s="30"/>
      <c r="O423" s="53"/>
    </row>
    <row r="424" spans="4:15">
      <c r="D424" s="47"/>
      <c r="E424" s="143"/>
      <c r="H424" s="29"/>
      <c r="I424" s="30"/>
      <c r="O424" s="53"/>
    </row>
    <row r="425" spans="4:15">
      <c r="D425" s="47"/>
      <c r="E425" s="143"/>
      <c r="H425" s="29"/>
      <c r="I425" s="30"/>
      <c r="O425" s="53"/>
    </row>
    <row r="426" spans="4:15">
      <c r="D426" s="47"/>
      <c r="E426" s="143"/>
      <c r="H426" s="29"/>
      <c r="I426" s="30"/>
      <c r="O426" s="53"/>
    </row>
    <row r="427" spans="4:15">
      <c r="D427" s="47"/>
      <c r="E427" s="143"/>
      <c r="H427" s="29"/>
      <c r="I427" s="30"/>
      <c r="O427" s="53"/>
    </row>
    <row r="428" spans="4:15">
      <c r="D428" s="47"/>
      <c r="E428" s="143"/>
      <c r="H428" s="29"/>
      <c r="I428" s="30"/>
      <c r="O428" s="53"/>
    </row>
    <row r="429" spans="4:15">
      <c r="D429" s="47"/>
      <c r="E429" s="143"/>
      <c r="H429" s="29"/>
      <c r="I429" s="30"/>
      <c r="O429" s="53"/>
    </row>
    <row r="430" spans="4:15">
      <c r="D430" s="47"/>
      <c r="E430" s="143"/>
      <c r="H430" s="29"/>
      <c r="I430" s="30"/>
      <c r="O430" s="53"/>
    </row>
    <row r="431" spans="4:15">
      <c r="D431" s="47"/>
      <c r="E431" s="143"/>
      <c r="H431" s="29"/>
      <c r="I431" s="30"/>
      <c r="O431" s="53"/>
    </row>
    <row r="432" spans="4:15">
      <c r="D432" s="47"/>
      <c r="E432" s="143"/>
      <c r="H432" s="29"/>
      <c r="I432" s="30"/>
      <c r="O432" s="53"/>
    </row>
    <row r="433" spans="4:15">
      <c r="D433" s="47"/>
      <c r="E433" s="143"/>
      <c r="H433" s="29"/>
      <c r="I433" s="30"/>
      <c r="O433" s="53"/>
    </row>
    <row r="434" spans="4:15">
      <c r="D434" s="47"/>
      <c r="E434" s="143"/>
      <c r="H434" s="29"/>
      <c r="I434" s="30"/>
      <c r="O434" s="53"/>
    </row>
    <row r="435" spans="4:15">
      <c r="D435" s="47"/>
      <c r="E435" s="143"/>
      <c r="H435" s="29"/>
      <c r="I435" s="30"/>
      <c r="O435" s="53"/>
    </row>
    <row r="436" spans="4:15">
      <c r="D436" s="47"/>
      <c r="E436" s="143"/>
      <c r="H436" s="29"/>
      <c r="I436" s="30"/>
      <c r="O436" s="53"/>
    </row>
    <row r="437" spans="4:15">
      <c r="D437" s="47"/>
      <c r="E437" s="143"/>
      <c r="H437" s="29"/>
      <c r="I437" s="30"/>
      <c r="O437" s="53"/>
    </row>
    <row r="438" spans="4:15">
      <c r="D438" s="47"/>
      <c r="E438" s="143"/>
      <c r="H438" s="29"/>
      <c r="I438" s="30"/>
      <c r="O438" s="53"/>
    </row>
    <row r="439" spans="4:15">
      <c r="D439" s="47"/>
      <c r="E439" s="143"/>
      <c r="H439" s="29"/>
      <c r="I439" s="30"/>
      <c r="O439" s="53"/>
    </row>
    <row r="440" spans="4:15">
      <c r="D440" s="47"/>
      <c r="E440" s="143"/>
      <c r="H440" s="29"/>
      <c r="I440" s="30"/>
      <c r="O440" s="53"/>
    </row>
    <row r="441" spans="4:15">
      <c r="D441" s="47"/>
      <c r="E441" s="143"/>
      <c r="H441" s="29"/>
      <c r="I441" s="30"/>
      <c r="O441" s="53"/>
    </row>
    <row r="442" spans="4:15">
      <c r="D442" s="47"/>
      <c r="E442" s="143"/>
      <c r="H442" s="29"/>
      <c r="I442" s="30"/>
      <c r="O442" s="53"/>
    </row>
    <row r="443" spans="4:15">
      <c r="D443" s="47"/>
      <c r="E443" s="143"/>
      <c r="H443" s="29"/>
      <c r="I443" s="30"/>
      <c r="O443" s="53"/>
    </row>
    <row r="444" spans="4:15">
      <c r="D444" s="47"/>
      <c r="E444" s="143"/>
      <c r="H444" s="29"/>
      <c r="I444" s="30"/>
      <c r="O444" s="53"/>
    </row>
    <row r="445" spans="4:15">
      <c r="D445" s="47"/>
      <c r="E445" s="143"/>
      <c r="H445" s="29"/>
      <c r="I445" s="30"/>
      <c r="O445" s="53"/>
    </row>
    <row r="446" spans="4:15">
      <c r="D446" s="47"/>
      <c r="E446" s="143"/>
      <c r="H446" s="29"/>
      <c r="I446" s="30"/>
      <c r="O446" s="53"/>
    </row>
    <row r="447" spans="4:15">
      <c r="D447" s="47"/>
      <c r="E447" s="143"/>
      <c r="H447" s="29"/>
      <c r="I447" s="30"/>
      <c r="O447" s="53"/>
    </row>
    <row r="448" spans="4:15">
      <c r="D448" s="47"/>
      <c r="E448" s="143"/>
      <c r="H448" s="29"/>
      <c r="I448" s="30"/>
      <c r="O448" s="53"/>
    </row>
    <row r="449" spans="4:15">
      <c r="D449" s="47"/>
      <c r="E449" s="143"/>
      <c r="H449" s="29"/>
      <c r="I449" s="30"/>
      <c r="O449" s="53"/>
    </row>
    <row r="450" spans="4:15">
      <c r="D450" s="47"/>
      <c r="E450" s="143"/>
      <c r="H450" s="29"/>
      <c r="I450" s="30"/>
      <c r="O450" s="53"/>
    </row>
    <row r="451" spans="4:15">
      <c r="D451" s="47"/>
      <c r="E451" s="143"/>
      <c r="H451" s="29"/>
      <c r="I451" s="30"/>
      <c r="O451" s="53"/>
    </row>
    <row r="452" spans="4:15">
      <c r="D452" s="47"/>
      <c r="E452" s="143"/>
      <c r="H452" s="29"/>
      <c r="I452" s="30"/>
      <c r="O452" s="53"/>
    </row>
    <row r="453" spans="4:15">
      <c r="D453" s="47"/>
      <c r="E453" s="143"/>
      <c r="H453" s="29"/>
      <c r="I453" s="30"/>
      <c r="O453" s="53"/>
    </row>
    <row r="454" spans="4:15">
      <c r="D454" s="47"/>
      <c r="E454" s="143"/>
      <c r="H454" s="29"/>
      <c r="I454" s="30"/>
      <c r="O454" s="53"/>
    </row>
    <row r="455" spans="4:15">
      <c r="D455" s="47"/>
      <c r="E455" s="143"/>
      <c r="H455" s="29"/>
      <c r="I455" s="30"/>
      <c r="O455" s="53"/>
    </row>
    <row r="456" spans="4:15">
      <c r="D456" s="47"/>
      <c r="E456" s="143"/>
      <c r="H456" s="29"/>
      <c r="I456" s="30"/>
      <c r="O456" s="53"/>
    </row>
    <row r="457" spans="4:15">
      <c r="D457" s="47"/>
      <c r="E457" s="143"/>
      <c r="H457" s="29"/>
      <c r="I457" s="30"/>
      <c r="O457" s="53"/>
    </row>
    <row r="458" spans="4:15">
      <c r="D458" s="47"/>
      <c r="E458" s="143"/>
      <c r="H458" s="29"/>
      <c r="I458" s="30"/>
      <c r="O458" s="53"/>
    </row>
    <row r="459" spans="4:15">
      <c r="D459" s="47"/>
      <c r="E459" s="143"/>
      <c r="H459" s="29"/>
      <c r="I459" s="30"/>
      <c r="O459" s="53"/>
    </row>
    <row r="460" spans="4:15">
      <c r="D460" s="47"/>
      <c r="E460" s="143"/>
      <c r="H460" s="29"/>
      <c r="I460" s="30"/>
      <c r="O460" s="53"/>
    </row>
    <row r="461" spans="4:15">
      <c r="D461" s="47"/>
      <c r="E461" s="143"/>
      <c r="H461" s="29"/>
      <c r="I461" s="30"/>
      <c r="O461" s="53"/>
    </row>
    <row r="462" spans="4:15">
      <c r="D462" s="47"/>
      <c r="E462" s="143"/>
      <c r="H462" s="29"/>
      <c r="I462" s="30"/>
      <c r="O462" s="53"/>
    </row>
    <row r="463" spans="4:15">
      <c r="D463" s="47"/>
      <c r="E463" s="143"/>
      <c r="H463" s="29"/>
      <c r="I463" s="30"/>
      <c r="O463" s="53"/>
    </row>
    <row r="464" spans="4:15">
      <c r="D464" s="47"/>
      <c r="E464" s="143"/>
      <c r="H464" s="29"/>
      <c r="I464" s="30"/>
      <c r="O464" s="53"/>
    </row>
    <row r="465" spans="4:15">
      <c r="D465" s="47"/>
      <c r="E465" s="143"/>
      <c r="H465" s="29"/>
      <c r="I465" s="30"/>
      <c r="O465" s="53"/>
    </row>
    <row r="466" spans="4:15">
      <c r="D466" s="47"/>
      <c r="E466" s="143"/>
      <c r="H466" s="29"/>
      <c r="I466" s="30"/>
      <c r="O466" s="53"/>
    </row>
    <row r="467" spans="4:15">
      <c r="D467" s="47"/>
      <c r="E467" s="143"/>
      <c r="H467" s="29"/>
      <c r="I467" s="30"/>
      <c r="O467" s="53"/>
    </row>
    <row r="468" spans="4:15">
      <c r="D468" s="47"/>
      <c r="E468" s="143"/>
      <c r="H468" s="29"/>
      <c r="I468" s="30"/>
      <c r="O468" s="53"/>
    </row>
    <row r="469" spans="4:15">
      <c r="D469" s="47"/>
      <c r="E469" s="143"/>
      <c r="H469" s="29"/>
      <c r="I469" s="30"/>
      <c r="O469" s="53"/>
    </row>
    <row r="470" spans="4:15">
      <c r="D470" s="47"/>
      <c r="E470" s="143"/>
      <c r="H470" s="29"/>
      <c r="I470" s="30"/>
      <c r="O470" s="53"/>
    </row>
    <row r="471" spans="4:15">
      <c r="D471" s="47"/>
      <c r="E471" s="143"/>
      <c r="H471" s="29"/>
      <c r="I471" s="30"/>
      <c r="O471" s="53"/>
    </row>
    <row r="472" spans="4:15">
      <c r="D472" s="47"/>
      <c r="E472" s="143"/>
      <c r="H472" s="29"/>
      <c r="I472" s="30"/>
      <c r="O472" s="53"/>
    </row>
    <row r="473" spans="4:15">
      <c r="D473" s="47"/>
      <c r="E473" s="143"/>
      <c r="H473" s="29"/>
      <c r="I473" s="30"/>
      <c r="O473" s="53"/>
    </row>
    <row r="474" spans="4:15">
      <c r="D474" s="47"/>
      <c r="E474" s="143"/>
      <c r="H474" s="29"/>
      <c r="I474" s="30"/>
      <c r="O474" s="53"/>
    </row>
    <row r="475" spans="4:15">
      <c r="D475" s="47"/>
      <c r="E475" s="143"/>
      <c r="H475" s="29"/>
      <c r="I475" s="30"/>
      <c r="O475" s="53"/>
    </row>
    <row r="476" spans="4:15">
      <c r="D476" s="47"/>
      <c r="E476" s="143"/>
      <c r="H476" s="29"/>
      <c r="I476" s="30"/>
      <c r="O476" s="53"/>
    </row>
    <row r="477" spans="4:15">
      <c r="D477" s="47"/>
      <c r="E477" s="143"/>
      <c r="H477" s="29"/>
      <c r="I477" s="30"/>
      <c r="O477" s="53"/>
    </row>
    <row r="478" spans="4:15">
      <c r="D478" s="47"/>
      <c r="E478" s="143"/>
      <c r="H478" s="29"/>
      <c r="I478" s="30"/>
      <c r="O478" s="53"/>
    </row>
    <row r="479" spans="4:15">
      <c r="D479" s="47"/>
      <c r="E479" s="143"/>
      <c r="H479" s="29"/>
      <c r="I479" s="30"/>
      <c r="O479" s="53"/>
    </row>
    <row r="480" spans="4:15">
      <c r="D480" s="47"/>
      <c r="E480" s="143"/>
      <c r="H480" s="29"/>
      <c r="I480" s="30"/>
      <c r="O480" s="53"/>
    </row>
    <row r="481" spans="4:15">
      <c r="D481" s="47"/>
      <c r="E481" s="143"/>
      <c r="H481" s="29"/>
      <c r="I481" s="30"/>
      <c r="O481" s="53"/>
    </row>
    <row r="482" spans="4:15">
      <c r="D482" s="47"/>
      <c r="E482" s="143"/>
      <c r="H482" s="29"/>
      <c r="I482" s="30"/>
      <c r="O482" s="53"/>
    </row>
    <row r="483" spans="4:15">
      <c r="D483" s="47"/>
      <c r="E483" s="143"/>
      <c r="H483" s="29"/>
      <c r="I483" s="30"/>
      <c r="O483" s="53"/>
    </row>
    <row r="484" spans="4:15">
      <c r="D484" s="47"/>
      <c r="E484" s="143"/>
      <c r="H484" s="29"/>
      <c r="I484" s="30"/>
      <c r="O484" s="53"/>
    </row>
    <row r="485" spans="4:15">
      <c r="D485" s="47"/>
      <c r="E485" s="143"/>
      <c r="H485" s="29"/>
      <c r="I485" s="30"/>
      <c r="O485" s="53"/>
    </row>
    <row r="486" spans="4:15">
      <c r="D486" s="47"/>
      <c r="E486" s="143"/>
      <c r="H486" s="29"/>
      <c r="I486" s="30"/>
      <c r="O486" s="53"/>
    </row>
    <row r="487" spans="4:15">
      <c r="D487" s="47"/>
      <c r="E487" s="143"/>
      <c r="H487" s="29"/>
      <c r="I487" s="30"/>
      <c r="O487" s="53"/>
    </row>
    <row r="488" spans="4:15">
      <c r="D488" s="47"/>
      <c r="E488" s="143"/>
      <c r="H488" s="29"/>
      <c r="I488" s="30"/>
      <c r="O488" s="53"/>
    </row>
    <row r="489" spans="4:15">
      <c r="D489" s="47"/>
      <c r="E489" s="143"/>
      <c r="H489" s="29"/>
      <c r="I489" s="30"/>
      <c r="O489" s="53"/>
    </row>
    <row r="490" spans="4:15">
      <c r="D490" s="47"/>
      <c r="E490" s="143"/>
      <c r="H490" s="29"/>
      <c r="I490" s="30"/>
      <c r="O490" s="53"/>
    </row>
    <row r="491" spans="4:15">
      <c r="D491" s="47"/>
      <c r="E491" s="143"/>
      <c r="H491" s="29"/>
      <c r="I491" s="30"/>
      <c r="O491" s="53"/>
    </row>
    <row r="492" spans="4:15">
      <c r="D492" s="47"/>
      <c r="E492" s="143"/>
      <c r="H492" s="29"/>
      <c r="I492" s="30"/>
      <c r="O492" s="53"/>
    </row>
    <row r="493" spans="4:15">
      <c r="D493" s="47"/>
      <c r="E493" s="143"/>
      <c r="H493" s="29"/>
      <c r="I493" s="30"/>
      <c r="O493" s="53"/>
    </row>
    <row r="494" spans="4:15">
      <c r="D494" s="47"/>
      <c r="E494" s="143"/>
      <c r="H494" s="29"/>
      <c r="I494" s="30"/>
      <c r="O494" s="53"/>
    </row>
    <row r="495" spans="4:15">
      <c r="D495" s="47"/>
      <c r="E495" s="143"/>
      <c r="H495" s="29"/>
      <c r="I495" s="30"/>
      <c r="O495" s="53"/>
    </row>
    <row r="496" spans="4:15">
      <c r="D496" s="47"/>
      <c r="E496" s="143"/>
      <c r="H496" s="29"/>
      <c r="I496" s="30"/>
      <c r="O496" s="53"/>
    </row>
    <row r="497" spans="4:15">
      <c r="D497" s="47"/>
      <c r="E497" s="143"/>
      <c r="H497" s="29"/>
      <c r="I497" s="30"/>
      <c r="O497" s="53"/>
    </row>
    <row r="498" spans="4:15">
      <c r="D498" s="47"/>
      <c r="E498" s="143"/>
      <c r="H498" s="29"/>
      <c r="I498" s="30"/>
      <c r="O498" s="53"/>
    </row>
    <row r="499" spans="4:15">
      <c r="D499" s="47"/>
      <c r="E499" s="143"/>
      <c r="H499" s="29"/>
      <c r="I499" s="30"/>
      <c r="O499" s="53"/>
    </row>
    <row r="500" spans="4:15">
      <c r="D500" s="47"/>
      <c r="E500" s="143"/>
      <c r="H500" s="29"/>
      <c r="I500" s="30"/>
      <c r="O500" s="53"/>
    </row>
    <row r="501" spans="4:15">
      <c r="D501" s="47"/>
      <c r="E501" s="143"/>
      <c r="H501" s="29"/>
      <c r="I501" s="30"/>
      <c r="O501" s="53"/>
    </row>
    <row r="502" spans="4:15">
      <c r="D502" s="47"/>
      <c r="E502" s="143"/>
      <c r="H502" s="29"/>
      <c r="I502" s="30"/>
      <c r="O502" s="53"/>
    </row>
    <row r="503" spans="4:15">
      <c r="D503" s="47"/>
      <c r="E503" s="143"/>
      <c r="H503" s="29"/>
      <c r="I503" s="30"/>
      <c r="O503" s="53"/>
    </row>
    <row r="504" spans="4:15">
      <c r="D504" s="47"/>
      <c r="E504" s="143"/>
      <c r="H504" s="29"/>
      <c r="I504" s="30"/>
      <c r="O504" s="53"/>
    </row>
    <row r="505" spans="4:15">
      <c r="D505" s="47"/>
      <c r="E505" s="143"/>
      <c r="H505" s="29"/>
      <c r="I505" s="30"/>
      <c r="O505" s="53"/>
    </row>
    <row r="506" spans="4:15">
      <c r="D506" s="47"/>
      <c r="E506" s="143"/>
      <c r="H506" s="29"/>
      <c r="I506" s="30"/>
      <c r="O506" s="53"/>
    </row>
    <row r="507" spans="4:15">
      <c r="D507" s="47"/>
      <c r="E507" s="143"/>
      <c r="H507" s="29"/>
      <c r="I507" s="30"/>
      <c r="O507" s="53"/>
    </row>
    <row r="508" spans="4:15">
      <c r="D508" s="47"/>
      <c r="E508" s="143"/>
      <c r="H508" s="29"/>
      <c r="I508" s="30"/>
      <c r="O508" s="53"/>
    </row>
    <row r="509" spans="4:15">
      <c r="D509" s="47"/>
      <c r="E509" s="143"/>
      <c r="H509" s="29"/>
      <c r="I509" s="30"/>
      <c r="O509" s="53"/>
    </row>
    <row r="510" spans="4:15">
      <c r="D510" s="47"/>
      <c r="E510" s="143"/>
      <c r="H510" s="29"/>
      <c r="I510" s="30"/>
      <c r="O510" s="53"/>
    </row>
    <row r="511" spans="4:15">
      <c r="D511" s="47"/>
      <c r="E511" s="143"/>
      <c r="H511" s="29"/>
      <c r="I511" s="30"/>
      <c r="O511" s="53"/>
    </row>
    <row r="512" spans="4:15">
      <c r="D512" s="47"/>
      <c r="E512" s="143"/>
      <c r="H512" s="29"/>
      <c r="I512" s="30"/>
      <c r="O512" s="53"/>
    </row>
    <row r="513" spans="4:15">
      <c r="D513" s="47"/>
      <c r="E513" s="143"/>
      <c r="H513" s="29"/>
      <c r="I513" s="30"/>
      <c r="O513" s="53"/>
    </row>
    <row r="514" spans="4:15">
      <c r="D514" s="47"/>
      <c r="E514" s="143"/>
      <c r="H514" s="29"/>
      <c r="I514" s="30"/>
      <c r="O514" s="53"/>
    </row>
    <row r="515" spans="4:15">
      <c r="D515" s="47"/>
      <c r="E515" s="143"/>
      <c r="H515" s="29"/>
      <c r="I515" s="30"/>
      <c r="O515" s="53"/>
    </row>
    <row r="516" spans="4:15">
      <c r="D516" s="47"/>
      <c r="E516" s="143"/>
      <c r="H516" s="29"/>
      <c r="I516" s="30"/>
      <c r="O516" s="53"/>
    </row>
    <row r="517" spans="4:15">
      <c r="D517" s="47"/>
      <c r="E517" s="143"/>
      <c r="H517" s="29"/>
      <c r="I517" s="30"/>
      <c r="O517" s="53"/>
    </row>
    <row r="518" spans="4:15">
      <c r="D518" s="47"/>
      <c r="E518" s="143"/>
      <c r="H518" s="29"/>
      <c r="I518" s="30"/>
      <c r="O518" s="53"/>
    </row>
    <row r="519" spans="4:15">
      <c r="D519" s="47"/>
      <c r="E519" s="143"/>
      <c r="H519" s="29"/>
      <c r="I519" s="30"/>
      <c r="O519" s="53"/>
    </row>
    <row r="520" spans="4:15">
      <c r="D520" s="47"/>
      <c r="E520" s="143"/>
      <c r="H520" s="29"/>
      <c r="I520" s="30"/>
      <c r="O520" s="53"/>
    </row>
    <row r="521" spans="4:15">
      <c r="D521" s="47"/>
      <c r="E521" s="143"/>
      <c r="H521" s="29"/>
      <c r="I521" s="30"/>
      <c r="O521" s="53"/>
    </row>
    <row r="522" spans="4:15">
      <c r="D522" s="47"/>
      <c r="E522" s="143"/>
      <c r="H522" s="29"/>
      <c r="I522" s="30"/>
      <c r="O522" s="53"/>
    </row>
    <row r="523" spans="4:15">
      <c r="D523" s="47"/>
      <c r="E523" s="143"/>
      <c r="H523" s="29"/>
      <c r="I523" s="30"/>
      <c r="O523" s="53"/>
    </row>
    <row r="524" spans="4:15">
      <c r="D524" s="47"/>
      <c r="E524" s="143"/>
      <c r="H524" s="29"/>
      <c r="I524" s="30"/>
      <c r="O524" s="53"/>
    </row>
    <row r="525" spans="4:15">
      <c r="D525" s="47"/>
      <c r="E525" s="143"/>
      <c r="H525" s="29"/>
      <c r="I525" s="30"/>
      <c r="O525" s="53"/>
    </row>
    <row r="526" spans="4:15">
      <c r="D526" s="47"/>
      <c r="E526" s="143"/>
      <c r="H526" s="29"/>
      <c r="I526" s="30"/>
      <c r="O526" s="53"/>
    </row>
    <row r="527" spans="4:15">
      <c r="D527" s="47"/>
      <c r="E527" s="143"/>
      <c r="H527" s="29"/>
      <c r="I527" s="30"/>
      <c r="O527" s="53"/>
    </row>
    <row r="528" spans="4:15">
      <c r="D528" s="47"/>
      <c r="E528" s="143"/>
      <c r="H528" s="29"/>
      <c r="I528" s="30"/>
      <c r="O528" s="53"/>
    </row>
    <row r="529" spans="4:15">
      <c r="D529" s="47"/>
      <c r="E529" s="143"/>
      <c r="H529" s="29"/>
      <c r="I529" s="30"/>
      <c r="O529" s="53"/>
    </row>
    <row r="530" spans="4:15">
      <c r="D530" s="47"/>
      <c r="E530" s="143"/>
      <c r="H530" s="29"/>
      <c r="I530" s="30"/>
      <c r="O530" s="53"/>
    </row>
    <row r="531" spans="4:15">
      <c r="D531" s="47"/>
      <c r="E531" s="143"/>
      <c r="H531" s="29"/>
      <c r="I531" s="30"/>
      <c r="O531" s="53"/>
    </row>
    <row r="532" spans="4:15">
      <c r="D532" s="47"/>
      <c r="E532" s="143"/>
      <c r="H532" s="29"/>
      <c r="I532" s="30"/>
      <c r="O532" s="53"/>
    </row>
    <row r="533" spans="4:15">
      <c r="D533" s="47"/>
      <c r="E533" s="143"/>
      <c r="H533" s="29"/>
      <c r="I533" s="30"/>
      <c r="O533" s="53"/>
    </row>
    <row r="534" spans="4:15">
      <c r="D534" s="47"/>
      <c r="E534" s="143"/>
      <c r="H534" s="29"/>
      <c r="I534" s="30"/>
      <c r="O534" s="53"/>
    </row>
    <row r="535" spans="4:15">
      <c r="D535" s="47"/>
      <c r="E535" s="143"/>
      <c r="H535" s="29"/>
      <c r="I535" s="30"/>
      <c r="O535" s="53"/>
    </row>
    <row r="536" spans="4:15">
      <c r="D536" s="47"/>
      <c r="E536" s="143"/>
      <c r="H536" s="29"/>
      <c r="I536" s="30"/>
      <c r="O536" s="53"/>
    </row>
    <row r="537" spans="4:15">
      <c r="D537" s="47"/>
      <c r="E537" s="143"/>
      <c r="H537" s="29"/>
      <c r="I537" s="30"/>
      <c r="O537" s="53"/>
    </row>
    <row r="538" spans="4:15">
      <c r="D538" s="47"/>
      <c r="E538" s="143"/>
      <c r="H538" s="29"/>
      <c r="I538" s="30"/>
      <c r="O538" s="53"/>
    </row>
    <row r="539" spans="4:15">
      <c r="D539" s="47"/>
      <c r="E539" s="143"/>
      <c r="H539" s="29"/>
      <c r="I539" s="30"/>
      <c r="O539" s="53"/>
    </row>
    <row r="540" spans="4:15">
      <c r="D540" s="47"/>
      <c r="E540" s="143"/>
      <c r="H540" s="29"/>
      <c r="I540" s="30"/>
      <c r="O540" s="53"/>
    </row>
    <row r="541" spans="4:15">
      <c r="D541" s="47"/>
      <c r="E541" s="143"/>
      <c r="H541" s="29"/>
      <c r="I541" s="30"/>
      <c r="O541" s="53"/>
    </row>
    <row r="542" spans="4:15">
      <c r="D542" s="47"/>
      <c r="E542" s="143"/>
      <c r="H542" s="29"/>
      <c r="I542" s="30"/>
      <c r="O542" s="53"/>
    </row>
    <row r="543" spans="4:15">
      <c r="D543" s="47"/>
      <c r="E543" s="143"/>
      <c r="H543" s="29"/>
      <c r="I543" s="30"/>
      <c r="O543" s="53"/>
    </row>
    <row r="544" spans="4:15">
      <c r="D544" s="47"/>
      <c r="E544" s="143"/>
      <c r="H544" s="29"/>
      <c r="I544" s="30"/>
      <c r="O544" s="53"/>
    </row>
    <row r="545" spans="4:15">
      <c r="D545" s="47"/>
      <c r="E545" s="143"/>
      <c r="H545" s="29"/>
      <c r="I545" s="30"/>
      <c r="O545" s="53"/>
    </row>
    <row r="546" spans="4:15">
      <c r="D546" s="47"/>
      <c r="E546" s="143"/>
      <c r="H546" s="29"/>
      <c r="I546" s="30"/>
      <c r="O546" s="53"/>
    </row>
    <row r="547" spans="4:15">
      <c r="D547" s="47"/>
      <c r="E547" s="143"/>
      <c r="H547" s="29"/>
      <c r="I547" s="30"/>
      <c r="O547" s="53"/>
    </row>
    <row r="548" spans="4:15">
      <c r="D548" s="47"/>
      <c r="E548" s="143"/>
      <c r="H548" s="29"/>
      <c r="I548" s="30"/>
      <c r="O548" s="53"/>
    </row>
    <row r="549" spans="4:15">
      <c r="D549" s="47"/>
      <c r="E549" s="143"/>
      <c r="H549" s="29"/>
      <c r="I549" s="30"/>
      <c r="O549" s="53"/>
    </row>
    <row r="550" spans="4:15">
      <c r="D550" s="47"/>
      <c r="E550" s="143"/>
      <c r="H550" s="29"/>
      <c r="I550" s="30"/>
      <c r="O550" s="53"/>
    </row>
    <row r="551" spans="4:15">
      <c r="D551" s="47"/>
      <c r="E551" s="143"/>
      <c r="H551" s="29"/>
      <c r="I551" s="30"/>
      <c r="O551" s="53"/>
    </row>
    <row r="552" spans="4:15">
      <c r="D552" s="47"/>
      <c r="E552" s="143"/>
      <c r="H552" s="29"/>
      <c r="I552" s="30"/>
      <c r="O552" s="53"/>
    </row>
    <row r="553" spans="4:15">
      <c r="D553" s="47"/>
      <c r="E553" s="143"/>
      <c r="H553" s="29"/>
      <c r="I553" s="30"/>
      <c r="O553" s="53"/>
    </row>
    <row r="554" spans="4:15">
      <c r="D554" s="47"/>
      <c r="E554" s="143"/>
      <c r="H554" s="29"/>
      <c r="I554" s="30"/>
      <c r="O554" s="53"/>
    </row>
    <row r="555" spans="4:15">
      <c r="D555" s="47"/>
      <c r="E555" s="143"/>
      <c r="H555" s="29"/>
      <c r="I555" s="30"/>
      <c r="O555" s="53"/>
    </row>
    <row r="556" spans="4:15">
      <c r="D556" s="47"/>
      <c r="E556" s="143"/>
      <c r="H556" s="29"/>
      <c r="I556" s="30"/>
      <c r="O556" s="53"/>
    </row>
    <row r="557" spans="4:15">
      <c r="D557" s="47"/>
      <c r="E557" s="143"/>
      <c r="H557" s="29"/>
      <c r="I557" s="30"/>
      <c r="O557" s="53"/>
    </row>
    <row r="558" spans="4:15">
      <c r="D558" s="47"/>
      <c r="E558" s="143"/>
      <c r="H558" s="29"/>
      <c r="I558" s="30"/>
      <c r="O558" s="53"/>
    </row>
    <row r="559" spans="4:15">
      <c r="D559" s="47"/>
      <c r="E559" s="143"/>
      <c r="H559" s="29"/>
      <c r="I559" s="30"/>
      <c r="O559" s="53"/>
    </row>
    <row r="560" spans="4:15">
      <c r="D560" s="47"/>
      <c r="E560" s="143"/>
      <c r="H560" s="29"/>
      <c r="I560" s="30"/>
      <c r="O560" s="53"/>
    </row>
    <row r="561" spans="4:15">
      <c r="D561" s="47"/>
      <c r="E561" s="143"/>
      <c r="H561" s="29"/>
      <c r="I561" s="30"/>
      <c r="O561" s="53"/>
    </row>
    <row r="562" spans="4:15">
      <c r="D562" s="47"/>
      <c r="E562" s="143"/>
      <c r="H562" s="29"/>
      <c r="I562" s="30"/>
      <c r="O562" s="53"/>
    </row>
    <row r="563" spans="4:15">
      <c r="D563" s="47"/>
      <c r="E563" s="143"/>
      <c r="H563" s="29"/>
      <c r="I563" s="30"/>
      <c r="O563" s="53"/>
    </row>
    <row r="564" spans="4:15">
      <c r="D564" s="47"/>
      <c r="E564" s="143"/>
      <c r="H564" s="29"/>
      <c r="I564" s="30"/>
      <c r="O564" s="53"/>
    </row>
    <row r="565" spans="4:15">
      <c r="D565" s="47"/>
      <c r="E565" s="143"/>
      <c r="H565" s="29"/>
      <c r="I565" s="30"/>
      <c r="O565" s="53"/>
    </row>
    <row r="566" spans="4:15">
      <c r="D566" s="47"/>
      <c r="E566" s="143"/>
      <c r="H566" s="29"/>
      <c r="I566" s="30"/>
      <c r="O566" s="53"/>
    </row>
    <row r="567" spans="4:15">
      <c r="D567" s="47"/>
      <c r="E567" s="143"/>
      <c r="H567" s="29"/>
      <c r="I567" s="30"/>
      <c r="O567" s="53"/>
    </row>
    <row r="568" spans="4:15">
      <c r="D568" s="47"/>
      <c r="E568" s="143"/>
      <c r="H568" s="29"/>
      <c r="I568" s="30"/>
      <c r="O568" s="53"/>
    </row>
    <row r="569" spans="4:15">
      <c r="D569" s="47"/>
      <c r="E569" s="143"/>
      <c r="H569" s="29"/>
      <c r="I569" s="30"/>
      <c r="O569" s="53"/>
    </row>
    <row r="570" spans="4:15">
      <c r="D570" s="47"/>
      <c r="E570" s="143"/>
      <c r="H570" s="29"/>
      <c r="I570" s="30"/>
      <c r="O570" s="53"/>
    </row>
    <row r="571" spans="4:15">
      <c r="D571" s="47"/>
      <c r="E571" s="143"/>
      <c r="H571" s="29"/>
      <c r="I571" s="30"/>
      <c r="O571" s="53"/>
    </row>
    <row r="572" spans="4:15">
      <c r="D572" s="47"/>
      <c r="E572" s="143"/>
      <c r="H572" s="29"/>
      <c r="I572" s="30"/>
      <c r="O572" s="53"/>
    </row>
    <row r="573" spans="4:15">
      <c r="D573" s="47"/>
      <c r="E573" s="143"/>
      <c r="H573" s="29"/>
      <c r="I573" s="30"/>
      <c r="O573" s="53"/>
    </row>
    <row r="574" spans="4:15">
      <c r="D574" s="47"/>
      <c r="E574" s="143"/>
      <c r="H574" s="29"/>
      <c r="I574" s="30"/>
      <c r="O574" s="53"/>
    </row>
    <row r="575" spans="4:15">
      <c r="D575" s="47"/>
      <c r="E575" s="143"/>
      <c r="H575" s="29"/>
      <c r="I575" s="30"/>
      <c r="O575" s="53"/>
    </row>
    <row r="576" spans="4:15">
      <c r="D576" s="47"/>
      <c r="E576" s="143"/>
      <c r="H576" s="29"/>
      <c r="I576" s="30"/>
      <c r="O576" s="53"/>
    </row>
    <row r="577" spans="4:15">
      <c r="D577" s="47"/>
      <c r="E577" s="143"/>
      <c r="H577" s="29"/>
      <c r="I577" s="30"/>
      <c r="O577" s="53"/>
    </row>
    <row r="578" spans="4:15">
      <c r="D578" s="47"/>
      <c r="E578" s="143"/>
      <c r="H578" s="29"/>
      <c r="I578" s="30"/>
      <c r="O578" s="53"/>
    </row>
    <row r="579" spans="4:15">
      <c r="D579" s="47"/>
      <c r="E579" s="143"/>
      <c r="H579" s="29"/>
      <c r="I579" s="30"/>
      <c r="O579" s="53"/>
    </row>
    <row r="580" spans="4:15">
      <c r="D580" s="47"/>
      <c r="E580" s="143"/>
      <c r="H580" s="29"/>
      <c r="I580" s="30"/>
      <c r="O580" s="53"/>
    </row>
    <row r="581" spans="4:15">
      <c r="D581" s="47"/>
      <c r="E581" s="143"/>
      <c r="H581" s="29"/>
      <c r="I581" s="30"/>
      <c r="O581" s="53"/>
    </row>
    <row r="582" spans="4:15">
      <c r="D582" s="47"/>
      <c r="E582" s="143"/>
      <c r="H582" s="29"/>
      <c r="I582" s="30"/>
      <c r="O582" s="53"/>
    </row>
    <row r="583" spans="4:15">
      <c r="D583" s="47"/>
      <c r="E583" s="143"/>
      <c r="H583" s="29"/>
      <c r="I583" s="30"/>
      <c r="O583" s="53"/>
    </row>
    <row r="584" spans="4:15">
      <c r="D584" s="47"/>
      <c r="E584" s="143"/>
      <c r="H584" s="29"/>
      <c r="I584" s="30"/>
      <c r="O584" s="53"/>
    </row>
    <row r="585" spans="4:15">
      <c r="D585" s="47"/>
      <c r="E585" s="143"/>
      <c r="H585" s="29"/>
      <c r="I585" s="30"/>
      <c r="O585" s="53"/>
    </row>
    <row r="586" spans="4:15">
      <c r="D586" s="47"/>
      <c r="E586" s="143"/>
      <c r="H586" s="29"/>
      <c r="I586" s="30"/>
      <c r="O586" s="53"/>
    </row>
    <row r="587" spans="4:15">
      <c r="D587" s="47"/>
      <c r="E587" s="143"/>
      <c r="H587" s="29"/>
      <c r="I587" s="30"/>
      <c r="O587" s="53"/>
    </row>
    <row r="588" spans="4:15">
      <c r="D588" s="47"/>
      <c r="E588" s="143"/>
      <c r="H588" s="29"/>
      <c r="I588" s="30"/>
      <c r="O588" s="53"/>
    </row>
    <row r="589" spans="4:15">
      <c r="D589" s="47"/>
      <c r="E589" s="143"/>
      <c r="H589" s="29"/>
      <c r="I589" s="30"/>
      <c r="O589" s="53"/>
    </row>
    <row r="590" spans="4:15">
      <c r="D590" s="47"/>
      <c r="E590" s="143"/>
      <c r="H590" s="29"/>
      <c r="I590" s="30"/>
      <c r="O590" s="53"/>
    </row>
    <row r="591" spans="4:15">
      <c r="D591" s="47"/>
      <c r="E591" s="143"/>
      <c r="H591" s="29"/>
      <c r="I591" s="30"/>
      <c r="O591" s="53"/>
    </row>
    <row r="592" spans="4:15">
      <c r="D592" s="47"/>
      <c r="E592" s="143"/>
      <c r="H592" s="29"/>
      <c r="I592" s="30"/>
      <c r="O592" s="53"/>
    </row>
    <row r="593" spans="4:15">
      <c r="D593" s="47"/>
      <c r="E593" s="143"/>
      <c r="H593" s="29"/>
      <c r="I593" s="30"/>
      <c r="O593" s="53"/>
    </row>
    <row r="594" spans="4:15">
      <c r="D594" s="47"/>
      <c r="E594" s="143"/>
      <c r="H594" s="29"/>
      <c r="I594" s="30"/>
      <c r="O594" s="53"/>
    </row>
    <row r="595" spans="4:15">
      <c r="D595" s="47"/>
      <c r="E595" s="143"/>
      <c r="H595" s="29"/>
      <c r="I595" s="30"/>
      <c r="O595" s="53"/>
    </row>
    <row r="596" spans="4:15">
      <c r="D596" s="47"/>
      <c r="E596" s="143"/>
      <c r="H596" s="29"/>
      <c r="I596" s="30"/>
      <c r="O596" s="53"/>
    </row>
    <row r="597" spans="4:15">
      <c r="D597" s="47"/>
      <c r="E597" s="143"/>
      <c r="H597" s="29"/>
      <c r="I597" s="30"/>
      <c r="O597" s="53"/>
    </row>
    <row r="598" spans="4:15">
      <c r="D598" s="47"/>
      <c r="E598" s="143"/>
      <c r="H598" s="29"/>
      <c r="I598" s="30"/>
      <c r="O598" s="53"/>
    </row>
    <row r="599" spans="4:15">
      <c r="D599" s="47"/>
      <c r="E599" s="143"/>
      <c r="H599" s="29"/>
      <c r="I599" s="30"/>
      <c r="O599" s="53"/>
    </row>
    <row r="600" spans="4:15">
      <c r="D600" s="47"/>
      <c r="E600" s="143"/>
      <c r="H600" s="29"/>
      <c r="I600" s="30"/>
      <c r="O600" s="53"/>
    </row>
    <row r="601" spans="4:15">
      <c r="D601" s="47"/>
      <c r="E601" s="143"/>
      <c r="H601" s="29"/>
      <c r="I601" s="30"/>
      <c r="O601" s="53"/>
    </row>
    <row r="602" spans="4:15">
      <c r="D602" s="47"/>
      <c r="E602" s="143"/>
      <c r="H602" s="29"/>
      <c r="I602" s="30"/>
      <c r="O602" s="53"/>
    </row>
    <row r="603" spans="4:15">
      <c r="D603" s="47"/>
      <c r="E603" s="143"/>
      <c r="H603" s="29"/>
      <c r="I603" s="30"/>
      <c r="O603" s="53"/>
    </row>
    <row r="604" spans="4:15">
      <c r="D604" s="47"/>
      <c r="E604" s="143"/>
      <c r="H604" s="29"/>
      <c r="I604" s="30"/>
      <c r="O604" s="53"/>
    </row>
    <row r="605" spans="4:15">
      <c r="D605" s="47"/>
      <c r="E605" s="143"/>
      <c r="H605" s="29"/>
      <c r="I605" s="30"/>
      <c r="O605" s="53"/>
    </row>
    <row r="606" spans="4:15">
      <c r="D606" s="47"/>
      <c r="E606" s="143"/>
      <c r="H606" s="29"/>
      <c r="I606" s="30"/>
      <c r="O606" s="53"/>
    </row>
    <row r="607" spans="4:15">
      <c r="D607" s="47"/>
      <c r="E607" s="143"/>
      <c r="H607" s="29"/>
      <c r="I607" s="30"/>
      <c r="O607" s="53"/>
    </row>
    <row r="608" spans="4:15">
      <c r="D608" s="47"/>
      <c r="E608" s="143"/>
      <c r="H608" s="29"/>
      <c r="I608" s="30"/>
      <c r="O608" s="53"/>
    </row>
    <row r="609" spans="4:15">
      <c r="D609" s="47"/>
      <c r="E609" s="143"/>
      <c r="H609" s="29"/>
      <c r="I609" s="30"/>
      <c r="O609" s="53"/>
    </row>
    <row r="610" spans="4:15">
      <c r="D610" s="47"/>
      <c r="E610" s="143"/>
      <c r="H610" s="29"/>
      <c r="I610" s="30"/>
      <c r="O610" s="53"/>
    </row>
    <row r="611" spans="4:15">
      <c r="D611" s="47"/>
      <c r="E611" s="143"/>
      <c r="H611" s="29"/>
      <c r="I611" s="30"/>
      <c r="O611" s="53"/>
    </row>
    <row r="612" spans="4:15">
      <c r="D612" s="47"/>
      <c r="E612" s="143"/>
      <c r="H612" s="29"/>
      <c r="I612" s="30"/>
      <c r="O612" s="53"/>
    </row>
    <row r="613" spans="4:15">
      <c r="D613" s="47"/>
      <c r="E613" s="143"/>
      <c r="H613" s="29"/>
      <c r="I613" s="30"/>
      <c r="O613" s="53"/>
    </row>
    <row r="614" spans="4:15">
      <c r="D614" s="47"/>
      <c r="E614" s="143"/>
      <c r="H614" s="29"/>
      <c r="I614" s="30"/>
      <c r="O614" s="53"/>
    </row>
    <row r="615" spans="4:15">
      <c r="D615" s="47"/>
      <c r="E615" s="143"/>
      <c r="H615" s="29"/>
      <c r="I615" s="30"/>
      <c r="O615" s="53"/>
    </row>
    <row r="616" spans="4:15">
      <c r="D616" s="47"/>
      <c r="E616" s="143"/>
      <c r="H616" s="29"/>
      <c r="I616" s="30"/>
      <c r="O616" s="53"/>
    </row>
    <row r="617" spans="4:15">
      <c r="D617" s="47"/>
      <c r="E617" s="143"/>
      <c r="H617" s="29"/>
      <c r="I617" s="30"/>
      <c r="O617" s="53"/>
    </row>
    <row r="618" spans="4:15">
      <c r="D618" s="47"/>
      <c r="E618" s="143"/>
      <c r="H618" s="29"/>
      <c r="I618" s="30"/>
      <c r="O618" s="53"/>
    </row>
    <row r="619" spans="4:15">
      <c r="D619" s="47"/>
      <c r="E619" s="143"/>
      <c r="H619" s="29"/>
      <c r="I619" s="30"/>
      <c r="O619" s="53"/>
    </row>
    <row r="620" spans="4:15">
      <c r="D620" s="47"/>
      <c r="E620" s="143"/>
      <c r="H620" s="29"/>
      <c r="I620" s="30"/>
      <c r="O620" s="53"/>
    </row>
    <row r="621" spans="4:15">
      <c r="D621" s="47"/>
      <c r="E621" s="143"/>
      <c r="H621" s="29"/>
      <c r="I621" s="30"/>
      <c r="O621" s="53"/>
    </row>
    <row r="622" spans="4:15">
      <c r="D622" s="47"/>
      <c r="E622" s="143"/>
      <c r="H622" s="29"/>
      <c r="I622" s="30"/>
      <c r="O622" s="53"/>
    </row>
    <row r="623" spans="4:15">
      <c r="D623" s="47"/>
      <c r="E623" s="143"/>
      <c r="H623" s="29"/>
      <c r="I623" s="30"/>
      <c r="O623" s="53"/>
    </row>
    <row r="624" spans="4:15">
      <c r="D624" s="47"/>
      <c r="E624" s="143"/>
      <c r="H624" s="29"/>
      <c r="I624" s="30"/>
      <c r="O624" s="53"/>
    </row>
    <row r="625" spans="4:15">
      <c r="D625" s="47"/>
      <c r="E625" s="143"/>
      <c r="H625" s="29"/>
      <c r="I625" s="30"/>
      <c r="O625" s="53"/>
    </row>
    <row r="626" spans="4:15">
      <c r="D626" s="47"/>
      <c r="E626" s="143"/>
      <c r="H626" s="29"/>
      <c r="I626" s="30"/>
      <c r="O626" s="53"/>
    </row>
    <row r="627" spans="4:15">
      <c r="D627" s="47"/>
      <c r="E627" s="143"/>
      <c r="H627" s="29"/>
      <c r="I627" s="30"/>
      <c r="O627" s="53"/>
    </row>
    <row r="628" spans="4:15">
      <c r="D628" s="47"/>
      <c r="E628" s="143"/>
      <c r="H628" s="29"/>
      <c r="I628" s="30"/>
      <c r="O628" s="53"/>
    </row>
    <row r="629" spans="4:15">
      <c r="D629" s="47"/>
      <c r="E629" s="143"/>
      <c r="H629" s="29"/>
      <c r="I629" s="30"/>
      <c r="O629" s="53"/>
    </row>
    <row r="630" spans="4:15">
      <c r="D630" s="47"/>
      <c r="E630" s="143"/>
      <c r="H630" s="29"/>
      <c r="I630" s="30"/>
      <c r="O630" s="53"/>
    </row>
    <row r="631" spans="4:15">
      <c r="D631" s="47"/>
      <c r="E631" s="143"/>
      <c r="H631" s="29"/>
      <c r="I631" s="30"/>
      <c r="O631" s="53"/>
    </row>
    <row r="632" spans="4:15">
      <c r="D632" s="47"/>
      <c r="E632" s="143"/>
      <c r="H632" s="29"/>
      <c r="I632" s="30"/>
      <c r="O632" s="53"/>
    </row>
    <row r="633" spans="4:15">
      <c r="D633" s="47"/>
      <c r="E633" s="143"/>
      <c r="H633" s="29"/>
      <c r="I633" s="30"/>
      <c r="O633" s="53"/>
    </row>
    <row r="634" spans="4:15">
      <c r="D634" s="47"/>
      <c r="E634" s="143"/>
      <c r="H634" s="29"/>
      <c r="I634" s="30"/>
      <c r="O634" s="53"/>
    </row>
    <row r="635" spans="4:15">
      <c r="D635" s="47"/>
      <c r="E635" s="143"/>
      <c r="H635" s="29"/>
      <c r="I635" s="30"/>
      <c r="O635" s="53"/>
    </row>
    <row r="636" spans="4:15">
      <c r="D636" s="47"/>
      <c r="E636" s="143"/>
      <c r="H636" s="29"/>
      <c r="I636" s="30"/>
      <c r="O636" s="53"/>
    </row>
    <row r="637" spans="4:15">
      <c r="D637" s="47"/>
      <c r="E637" s="143"/>
      <c r="H637" s="29"/>
      <c r="I637" s="30"/>
      <c r="O637" s="53"/>
    </row>
    <row r="638" spans="4:15">
      <c r="D638" s="47"/>
      <c r="E638" s="143"/>
      <c r="H638" s="29"/>
      <c r="I638" s="30"/>
      <c r="O638" s="53"/>
    </row>
    <row r="639" spans="4:15">
      <c r="D639" s="47"/>
      <c r="E639" s="143"/>
      <c r="H639" s="29"/>
      <c r="I639" s="30"/>
      <c r="O639" s="53"/>
    </row>
    <row r="640" spans="4:15">
      <c r="D640" s="47"/>
      <c r="E640" s="143"/>
      <c r="H640" s="29"/>
      <c r="I640" s="30"/>
      <c r="O640" s="53"/>
    </row>
    <row r="641" spans="4:15">
      <c r="D641" s="47"/>
      <c r="E641" s="143"/>
      <c r="H641" s="29"/>
      <c r="I641" s="30"/>
      <c r="O641" s="53"/>
    </row>
    <row r="642" spans="4:15">
      <c r="D642" s="47"/>
      <c r="E642" s="143"/>
      <c r="H642" s="29"/>
      <c r="I642" s="30"/>
      <c r="O642" s="53"/>
    </row>
    <row r="643" spans="4:15">
      <c r="D643" s="47"/>
      <c r="E643" s="143"/>
      <c r="H643" s="29"/>
      <c r="I643" s="30"/>
      <c r="O643" s="53"/>
    </row>
    <row r="644" spans="4:15">
      <c r="D644" s="47"/>
      <c r="E644" s="143"/>
      <c r="H644" s="29"/>
      <c r="I644" s="30"/>
      <c r="O644" s="53"/>
    </row>
    <row r="645" spans="4:15">
      <c r="D645" s="47"/>
      <c r="E645" s="143"/>
      <c r="H645" s="29"/>
      <c r="I645" s="30"/>
      <c r="O645" s="53"/>
    </row>
    <row r="646" spans="4:15">
      <c r="D646" s="47"/>
      <c r="E646" s="143"/>
      <c r="H646" s="29"/>
      <c r="I646" s="30"/>
      <c r="O646" s="53"/>
    </row>
    <row r="647" spans="4:15">
      <c r="D647" s="47"/>
      <c r="E647" s="143"/>
      <c r="H647" s="29"/>
      <c r="I647" s="30"/>
      <c r="O647" s="53"/>
    </row>
    <row r="648" spans="4:15">
      <c r="D648" s="47"/>
      <c r="E648" s="143"/>
      <c r="H648" s="29"/>
      <c r="I648" s="30"/>
      <c r="O648" s="53"/>
    </row>
    <row r="649" spans="4:15">
      <c r="D649" s="47"/>
      <c r="E649" s="143"/>
      <c r="H649" s="29"/>
      <c r="I649" s="30"/>
      <c r="O649" s="53"/>
    </row>
    <row r="650" spans="4:15">
      <c r="D650" s="47"/>
      <c r="E650" s="143"/>
      <c r="H650" s="29"/>
      <c r="I650" s="30"/>
      <c r="O650" s="53"/>
    </row>
    <row r="651" spans="4:15">
      <c r="D651" s="47"/>
      <c r="E651" s="143"/>
      <c r="H651" s="29"/>
      <c r="I651" s="30"/>
      <c r="O651" s="53"/>
    </row>
    <row r="652" spans="4:15">
      <c r="D652" s="47"/>
      <c r="E652" s="143"/>
      <c r="H652" s="29"/>
      <c r="I652" s="30"/>
      <c r="O652" s="53"/>
    </row>
    <row r="653" spans="4:15">
      <c r="D653" s="47"/>
      <c r="E653" s="143"/>
      <c r="H653" s="29"/>
      <c r="I653" s="30"/>
      <c r="O653" s="53"/>
    </row>
    <row r="654" spans="4:15">
      <c r="D654" s="47"/>
      <c r="E654" s="143"/>
      <c r="H654" s="29"/>
      <c r="I654" s="30"/>
      <c r="O654" s="53"/>
    </row>
    <row r="655" spans="4:15">
      <c r="D655" s="47"/>
      <c r="E655" s="143"/>
      <c r="H655" s="29"/>
      <c r="I655" s="30"/>
      <c r="O655" s="53"/>
    </row>
    <row r="656" spans="4:15">
      <c r="D656" s="47"/>
      <c r="E656" s="143"/>
      <c r="H656" s="29"/>
      <c r="I656" s="30"/>
      <c r="O656" s="53"/>
    </row>
    <row r="657" spans="4:15">
      <c r="D657" s="47"/>
      <c r="E657" s="143"/>
      <c r="H657" s="29"/>
      <c r="I657" s="30"/>
      <c r="O657" s="53"/>
    </row>
    <row r="658" spans="4:15">
      <c r="D658" s="47"/>
      <c r="E658" s="143"/>
      <c r="H658" s="29"/>
      <c r="I658" s="30"/>
      <c r="O658" s="53"/>
    </row>
    <row r="659" spans="4:15">
      <c r="D659" s="47"/>
      <c r="E659" s="143"/>
      <c r="H659" s="29"/>
      <c r="I659" s="30"/>
      <c r="O659" s="53"/>
    </row>
    <row r="660" spans="4:15">
      <c r="D660" s="47"/>
      <c r="E660" s="143"/>
      <c r="H660" s="29"/>
      <c r="I660" s="30"/>
      <c r="O660" s="53"/>
    </row>
    <row r="661" spans="4:15">
      <c r="D661" s="47"/>
      <c r="E661" s="143"/>
      <c r="H661" s="29"/>
      <c r="I661" s="30"/>
      <c r="O661" s="53"/>
    </row>
    <row r="662" spans="4:15">
      <c r="D662" s="47"/>
      <c r="E662" s="143"/>
      <c r="H662" s="29"/>
      <c r="I662" s="30"/>
      <c r="O662" s="53"/>
    </row>
    <row r="663" spans="4:15">
      <c r="D663" s="47"/>
      <c r="E663" s="143"/>
      <c r="H663" s="29"/>
      <c r="I663" s="30"/>
      <c r="O663" s="53"/>
    </row>
    <row r="664" spans="4:15">
      <c r="D664" s="47"/>
      <c r="E664" s="143"/>
      <c r="H664" s="29"/>
      <c r="I664" s="30"/>
      <c r="O664" s="53"/>
    </row>
    <row r="665" spans="4:15">
      <c r="D665" s="47"/>
      <c r="E665" s="143"/>
      <c r="H665" s="29"/>
      <c r="I665" s="30"/>
      <c r="O665" s="53"/>
    </row>
    <row r="666" spans="4:15">
      <c r="D666" s="47"/>
      <c r="E666" s="143"/>
      <c r="H666" s="29"/>
      <c r="I666" s="30"/>
      <c r="O666" s="53"/>
    </row>
    <row r="667" spans="4:15">
      <c r="D667" s="47"/>
      <c r="E667" s="143"/>
      <c r="H667" s="29"/>
      <c r="I667" s="30"/>
      <c r="O667" s="53"/>
    </row>
    <row r="668" spans="4:15">
      <c r="D668" s="47"/>
      <c r="E668" s="143"/>
      <c r="H668" s="29"/>
      <c r="I668" s="30"/>
      <c r="O668" s="53"/>
    </row>
    <row r="669" spans="4:15">
      <c r="D669" s="47"/>
      <c r="E669" s="143"/>
      <c r="H669" s="29"/>
      <c r="I669" s="30"/>
      <c r="O669" s="53"/>
    </row>
    <row r="670" spans="4:15">
      <c r="D670" s="47"/>
      <c r="E670" s="143"/>
      <c r="H670" s="29"/>
      <c r="I670" s="30"/>
      <c r="O670" s="53"/>
    </row>
    <row r="671" spans="4:15">
      <c r="D671" s="47"/>
      <c r="E671" s="143"/>
      <c r="H671" s="29"/>
      <c r="I671" s="30"/>
      <c r="O671" s="53"/>
    </row>
    <row r="672" spans="4:15">
      <c r="D672" s="47"/>
      <c r="E672" s="143"/>
      <c r="H672" s="29"/>
      <c r="I672" s="30"/>
      <c r="O672" s="53"/>
    </row>
    <row r="673" spans="4:15">
      <c r="D673" s="47"/>
      <c r="E673" s="143"/>
      <c r="H673" s="29"/>
      <c r="I673" s="30"/>
      <c r="O673" s="53"/>
    </row>
    <row r="674" spans="4:15">
      <c r="D674" s="47"/>
      <c r="E674" s="143"/>
      <c r="H674" s="29"/>
      <c r="I674" s="30"/>
      <c r="O674" s="53"/>
    </row>
    <row r="675" spans="4:15">
      <c r="D675" s="47"/>
      <c r="E675" s="143"/>
      <c r="H675" s="29"/>
      <c r="I675" s="30"/>
      <c r="O675" s="53"/>
    </row>
    <row r="676" spans="4:15">
      <c r="D676" s="47"/>
      <c r="E676" s="143"/>
      <c r="H676" s="29"/>
      <c r="I676" s="30"/>
      <c r="O676" s="53"/>
    </row>
    <row r="677" spans="4:15">
      <c r="D677" s="47"/>
      <c r="E677" s="143"/>
      <c r="H677" s="29"/>
      <c r="I677" s="30"/>
      <c r="O677" s="53"/>
    </row>
    <row r="678" spans="4:15">
      <c r="D678" s="47"/>
      <c r="E678" s="143"/>
      <c r="H678" s="29"/>
      <c r="I678" s="30"/>
      <c r="O678" s="53"/>
    </row>
    <row r="679" spans="4:15">
      <c r="D679" s="47"/>
      <c r="E679" s="143"/>
      <c r="H679" s="29"/>
      <c r="I679" s="30"/>
      <c r="O679" s="53"/>
    </row>
    <row r="680" spans="4:15">
      <c r="D680" s="47"/>
      <c r="E680" s="143"/>
      <c r="H680" s="29"/>
      <c r="I680" s="30"/>
      <c r="O680" s="53"/>
    </row>
    <row r="681" spans="4:15">
      <c r="D681" s="47"/>
      <c r="E681" s="143"/>
      <c r="H681" s="29"/>
      <c r="I681" s="30"/>
      <c r="O681" s="53"/>
    </row>
    <row r="682" spans="4:15">
      <c r="D682" s="47"/>
      <c r="E682" s="143"/>
      <c r="H682" s="29"/>
      <c r="I682" s="30"/>
      <c r="O682" s="53"/>
    </row>
    <row r="683" spans="4:15">
      <c r="D683" s="47"/>
      <c r="E683" s="143"/>
      <c r="H683" s="29"/>
      <c r="I683" s="30"/>
      <c r="O683" s="53"/>
    </row>
    <row r="684" spans="4:15">
      <c r="D684" s="47"/>
      <c r="E684" s="143"/>
      <c r="H684" s="29"/>
      <c r="I684" s="30"/>
      <c r="O684" s="53"/>
    </row>
    <row r="685" spans="4:15">
      <c r="D685" s="47"/>
      <c r="E685" s="143"/>
      <c r="H685" s="29"/>
      <c r="I685" s="30"/>
      <c r="O685" s="53"/>
    </row>
    <row r="686" spans="4:15">
      <c r="D686" s="47"/>
      <c r="E686" s="143"/>
      <c r="H686" s="29"/>
      <c r="I686" s="30"/>
      <c r="O686" s="53"/>
    </row>
    <row r="687" spans="4:15">
      <c r="D687" s="47"/>
      <c r="E687" s="143"/>
      <c r="H687" s="29"/>
      <c r="I687" s="30"/>
      <c r="O687" s="53"/>
    </row>
    <row r="688" spans="4:15">
      <c r="D688" s="47"/>
      <c r="E688" s="143"/>
      <c r="H688" s="29"/>
      <c r="I688" s="30"/>
      <c r="O688" s="53"/>
    </row>
    <row r="689" spans="4:15">
      <c r="D689" s="47"/>
      <c r="E689" s="143"/>
      <c r="H689" s="29"/>
      <c r="I689" s="30"/>
      <c r="O689" s="53"/>
    </row>
    <row r="690" spans="4:15">
      <c r="D690" s="47"/>
      <c r="E690" s="143"/>
      <c r="H690" s="29"/>
      <c r="I690" s="30"/>
      <c r="O690" s="53"/>
    </row>
    <row r="691" spans="4:15">
      <c r="D691" s="47"/>
      <c r="E691" s="143"/>
      <c r="H691" s="29"/>
      <c r="I691" s="30"/>
      <c r="O691" s="53"/>
    </row>
    <row r="692" spans="4:15">
      <c r="D692" s="47"/>
      <c r="E692" s="143"/>
      <c r="H692" s="29"/>
      <c r="I692" s="30"/>
      <c r="O692" s="53"/>
    </row>
    <row r="693" spans="4:15">
      <c r="D693" s="47"/>
      <c r="E693" s="143"/>
      <c r="H693" s="29"/>
      <c r="I693" s="30"/>
      <c r="O693" s="53"/>
    </row>
    <row r="694" spans="4:15">
      <c r="D694" s="47"/>
      <c r="E694" s="143"/>
      <c r="H694" s="29"/>
      <c r="I694" s="30"/>
      <c r="O694" s="53"/>
    </row>
    <row r="695" spans="4:15">
      <c r="D695" s="47"/>
      <c r="E695" s="143"/>
      <c r="H695" s="29"/>
      <c r="I695" s="30"/>
      <c r="O695" s="53"/>
    </row>
    <row r="696" spans="4:15">
      <c r="D696" s="47"/>
      <c r="E696" s="143"/>
      <c r="H696" s="29"/>
      <c r="I696" s="30"/>
      <c r="O696" s="53"/>
    </row>
    <row r="697" spans="4:15">
      <c r="D697" s="47"/>
      <c r="E697" s="143"/>
      <c r="H697" s="29"/>
      <c r="I697" s="30"/>
      <c r="O697" s="53"/>
    </row>
    <row r="698" spans="4:15">
      <c r="D698" s="47"/>
      <c r="E698" s="143"/>
      <c r="H698" s="29"/>
      <c r="I698" s="30"/>
      <c r="O698" s="53"/>
    </row>
    <row r="699" spans="4:15">
      <c r="D699" s="47"/>
      <c r="E699" s="143"/>
      <c r="H699" s="29"/>
      <c r="I699" s="30"/>
      <c r="O699" s="53"/>
    </row>
    <row r="700" spans="4:15">
      <c r="D700" s="47"/>
      <c r="E700" s="143"/>
      <c r="H700" s="29"/>
      <c r="I700" s="30"/>
      <c r="O700" s="53"/>
    </row>
    <row r="701" spans="4:15">
      <c r="D701" s="47"/>
      <c r="E701" s="143"/>
      <c r="H701" s="29"/>
      <c r="I701" s="30"/>
      <c r="O701" s="53"/>
    </row>
    <row r="702" spans="4:15">
      <c r="D702" s="47"/>
      <c r="E702" s="143"/>
      <c r="H702" s="29"/>
      <c r="I702" s="30"/>
      <c r="O702" s="53"/>
    </row>
    <row r="703" spans="4:15">
      <c r="D703" s="47"/>
      <c r="E703" s="143"/>
      <c r="H703" s="29"/>
      <c r="I703" s="30"/>
      <c r="O703" s="53"/>
    </row>
    <row r="704" spans="4:15">
      <c r="D704" s="47"/>
      <c r="E704" s="143"/>
      <c r="H704" s="29"/>
      <c r="I704" s="30"/>
      <c r="O704" s="53"/>
    </row>
    <row r="705" spans="4:15">
      <c r="D705" s="47"/>
      <c r="E705" s="143"/>
      <c r="H705" s="29"/>
      <c r="I705" s="30"/>
      <c r="O705" s="53"/>
    </row>
    <row r="706" spans="4:15">
      <c r="D706" s="47"/>
      <c r="E706" s="143"/>
      <c r="H706" s="29"/>
      <c r="I706" s="30"/>
      <c r="O706" s="53"/>
    </row>
    <row r="707" spans="4:15">
      <c r="D707" s="47"/>
      <c r="E707" s="143"/>
      <c r="H707" s="29"/>
      <c r="I707" s="30"/>
      <c r="O707" s="53"/>
    </row>
    <row r="708" spans="4:15">
      <c r="D708" s="47"/>
      <c r="E708" s="143"/>
      <c r="H708" s="29"/>
      <c r="I708" s="30"/>
      <c r="O708" s="53"/>
    </row>
    <row r="709" spans="4:15">
      <c r="D709" s="47"/>
      <c r="E709" s="143"/>
      <c r="H709" s="29"/>
      <c r="I709" s="30"/>
      <c r="O709" s="53"/>
    </row>
    <row r="710" spans="4:15">
      <c r="D710" s="47"/>
      <c r="E710" s="143"/>
      <c r="H710" s="29"/>
      <c r="I710" s="30"/>
      <c r="O710" s="53"/>
    </row>
    <row r="711" spans="4:15">
      <c r="D711" s="47"/>
      <c r="E711" s="143"/>
      <c r="H711" s="29"/>
      <c r="I711" s="30"/>
      <c r="O711" s="53"/>
    </row>
    <row r="712" spans="4:15">
      <c r="D712" s="47"/>
      <c r="E712" s="143"/>
      <c r="H712" s="29"/>
      <c r="I712" s="30"/>
      <c r="O712" s="53"/>
    </row>
    <row r="713" spans="4:15">
      <c r="D713" s="47"/>
      <c r="E713" s="143"/>
      <c r="H713" s="29"/>
      <c r="I713" s="30"/>
      <c r="O713" s="53"/>
    </row>
    <row r="714" spans="4:15">
      <c r="D714" s="47"/>
      <c r="E714" s="143"/>
      <c r="H714" s="29"/>
      <c r="I714" s="30"/>
      <c r="O714" s="53"/>
    </row>
    <row r="715" spans="4:15">
      <c r="D715" s="47"/>
      <c r="E715" s="143"/>
      <c r="H715" s="29"/>
      <c r="I715" s="30"/>
      <c r="O715" s="53"/>
    </row>
    <row r="716" spans="4:15">
      <c r="D716" s="47"/>
      <c r="E716" s="143"/>
      <c r="H716" s="29"/>
      <c r="I716" s="30"/>
      <c r="O716" s="53"/>
    </row>
    <row r="717" spans="4:15">
      <c r="D717" s="47"/>
      <c r="E717" s="143"/>
      <c r="H717" s="29"/>
      <c r="I717" s="30"/>
      <c r="O717" s="53"/>
    </row>
    <row r="718" spans="4:15">
      <c r="D718" s="47"/>
      <c r="E718" s="143"/>
      <c r="H718" s="29"/>
      <c r="I718" s="30"/>
      <c r="O718" s="53"/>
    </row>
    <row r="719" spans="4:15">
      <c r="D719" s="47"/>
      <c r="E719" s="143"/>
      <c r="H719" s="29"/>
      <c r="I719" s="30"/>
      <c r="O719" s="53"/>
    </row>
    <row r="720" spans="4:15">
      <c r="D720" s="47"/>
      <c r="E720" s="143"/>
      <c r="H720" s="29"/>
      <c r="I720" s="30"/>
      <c r="O720" s="53"/>
    </row>
    <row r="721" spans="4:15">
      <c r="D721" s="47"/>
      <c r="E721" s="143"/>
      <c r="H721" s="29"/>
      <c r="I721" s="30"/>
      <c r="O721" s="53"/>
    </row>
    <row r="722" spans="4:15">
      <c r="D722" s="47"/>
      <c r="E722" s="143"/>
      <c r="H722" s="29"/>
      <c r="I722" s="30"/>
      <c r="O722" s="53"/>
    </row>
    <row r="723" spans="4:15">
      <c r="D723" s="47"/>
      <c r="E723" s="143"/>
      <c r="H723" s="29"/>
      <c r="I723" s="30"/>
      <c r="O723" s="53"/>
    </row>
    <row r="724" spans="4:15">
      <c r="D724" s="47"/>
      <c r="E724" s="143"/>
      <c r="H724" s="29"/>
      <c r="I724" s="30"/>
      <c r="O724" s="53"/>
    </row>
    <row r="725" spans="4:15">
      <c r="D725" s="47"/>
      <c r="E725" s="143"/>
      <c r="H725" s="29"/>
      <c r="I725" s="30"/>
      <c r="O725" s="53"/>
    </row>
    <row r="726" spans="4:15">
      <c r="D726" s="47"/>
      <c r="E726" s="143"/>
      <c r="H726" s="29"/>
      <c r="I726" s="30"/>
      <c r="O726" s="53"/>
    </row>
    <row r="727" spans="4:15">
      <c r="D727" s="47"/>
      <c r="E727" s="143"/>
      <c r="H727" s="29"/>
      <c r="I727" s="30"/>
      <c r="O727" s="53"/>
    </row>
    <row r="728" spans="4:15">
      <c r="D728" s="47"/>
      <c r="E728" s="143"/>
      <c r="H728" s="29"/>
      <c r="I728" s="30"/>
      <c r="O728" s="53"/>
    </row>
    <row r="729" spans="4:15">
      <c r="D729" s="47"/>
      <c r="E729" s="143"/>
      <c r="H729" s="29"/>
      <c r="I729" s="30"/>
      <c r="O729" s="53"/>
    </row>
    <row r="730" spans="4:15">
      <c r="D730" s="47"/>
      <c r="E730" s="143"/>
      <c r="H730" s="29"/>
      <c r="I730" s="30"/>
      <c r="O730" s="53"/>
    </row>
    <row r="731" spans="4:15">
      <c r="D731" s="47"/>
      <c r="E731" s="143"/>
      <c r="H731" s="29"/>
      <c r="I731" s="30"/>
      <c r="O731" s="53"/>
    </row>
    <row r="732" spans="4:15">
      <c r="D732" s="47"/>
      <c r="E732" s="143"/>
      <c r="H732" s="29"/>
      <c r="I732" s="30"/>
      <c r="O732" s="53"/>
    </row>
    <row r="733" spans="4:15">
      <c r="D733" s="47"/>
      <c r="E733" s="143"/>
      <c r="H733" s="29"/>
      <c r="I733" s="30"/>
      <c r="O733" s="53"/>
    </row>
    <row r="734" spans="4:15">
      <c r="D734" s="47"/>
      <c r="E734" s="143"/>
      <c r="H734" s="29"/>
      <c r="I734" s="30"/>
      <c r="O734" s="53"/>
    </row>
    <row r="735" spans="4:15">
      <c r="D735" s="47"/>
      <c r="E735" s="143"/>
      <c r="H735" s="29"/>
      <c r="I735" s="30"/>
      <c r="O735" s="53"/>
    </row>
    <row r="736" spans="4:15">
      <c r="D736" s="47"/>
      <c r="E736" s="143"/>
      <c r="H736" s="29"/>
      <c r="I736" s="30"/>
      <c r="O736" s="53"/>
    </row>
    <row r="737" spans="4:15">
      <c r="D737" s="47"/>
      <c r="E737" s="143"/>
      <c r="H737" s="29"/>
      <c r="I737" s="30"/>
      <c r="O737" s="53"/>
    </row>
    <row r="738" spans="4:15">
      <c r="D738" s="47"/>
      <c r="E738" s="143"/>
      <c r="H738" s="29"/>
      <c r="I738" s="30"/>
      <c r="O738" s="53"/>
    </row>
    <row r="739" spans="4:15">
      <c r="D739" s="47"/>
      <c r="E739" s="143"/>
      <c r="H739" s="29"/>
      <c r="I739" s="30"/>
      <c r="O739" s="53"/>
    </row>
    <row r="740" spans="4:15">
      <c r="D740" s="47"/>
      <c r="E740" s="143"/>
      <c r="H740" s="29"/>
      <c r="I740" s="30"/>
      <c r="O740" s="53"/>
    </row>
    <row r="741" spans="4:15">
      <c r="D741" s="47"/>
      <c r="E741" s="143"/>
      <c r="H741" s="29"/>
      <c r="I741" s="30"/>
      <c r="O741" s="53"/>
    </row>
    <row r="742" spans="4:15">
      <c r="D742" s="47"/>
      <c r="E742" s="143"/>
      <c r="H742" s="29"/>
      <c r="I742" s="30"/>
      <c r="O742" s="53"/>
    </row>
    <row r="743" spans="4:15">
      <c r="D743" s="47"/>
      <c r="E743" s="143"/>
      <c r="H743" s="29"/>
      <c r="I743" s="30"/>
      <c r="O743" s="53"/>
    </row>
    <row r="744" spans="4:15">
      <c r="D744" s="47"/>
      <c r="E744" s="143"/>
      <c r="H744" s="29"/>
      <c r="I744" s="30"/>
      <c r="O744" s="53"/>
    </row>
    <row r="745" spans="4:15">
      <c r="D745" s="47"/>
      <c r="E745" s="143"/>
      <c r="H745" s="29"/>
      <c r="I745" s="30"/>
      <c r="O745" s="53"/>
    </row>
    <row r="746" spans="4:15">
      <c r="D746" s="47"/>
      <c r="E746" s="143"/>
      <c r="H746" s="29"/>
      <c r="I746" s="30"/>
      <c r="O746" s="53"/>
    </row>
    <row r="747" spans="4:15">
      <c r="D747" s="47"/>
      <c r="E747" s="143"/>
      <c r="H747" s="29"/>
      <c r="I747" s="30"/>
      <c r="O747" s="53"/>
    </row>
    <row r="748" spans="4:15">
      <c r="D748" s="47"/>
      <c r="E748" s="143"/>
      <c r="H748" s="29"/>
      <c r="I748" s="30"/>
      <c r="O748" s="53"/>
    </row>
    <row r="749" spans="4:15">
      <c r="D749" s="47"/>
      <c r="E749" s="143"/>
      <c r="H749" s="29"/>
      <c r="I749" s="30"/>
      <c r="O749" s="53"/>
    </row>
    <row r="750" spans="4:15">
      <c r="D750" s="47"/>
      <c r="E750" s="143"/>
      <c r="H750" s="29"/>
      <c r="I750" s="30"/>
      <c r="O750" s="53"/>
    </row>
    <row r="751" spans="4:15">
      <c r="D751" s="47"/>
      <c r="E751" s="143"/>
      <c r="H751" s="29"/>
      <c r="I751" s="30"/>
      <c r="O751" s="53"/>
    </row>
    <row r="752" spans="4:15">
      <c r="D752" s="47"/>
      <c r="E752" s="143"/>
      <c r="H752" s="29"/>
      <c r="I752" s="30"/>
      <c r="O752" s="53"/>
    </row>
    <row r="753" spans="4:15">
      <c r="D753" s="47"/>
      <c r="E753" s="143"/>
      <c r="H753" s="29"/>
      <c r="I753" s="30"/>
      <c r="O753" s="53"/>
    </row>
    <row r="754" spans="4:15">
      <c r="D754" s="47"/>
      <c r="E754" s="143"/>
      <c r="H754" s="29"/>
      <c r="I754" s="30"/>
      <c r="O754" s="53"/>
    </row>
    <row r="755" spans="4:15">
      <c r="D755" s="47"/>
      <c r="E755" s="143"/>
      <c r="H755" s="29"/>
      <c r="I755" s="30"/>
      <c r="O755" s="53"/>
    </row>
    <row r="756" spans="4:15">
      <c r="D756" s="47"/>
      <c r="E756" s="143"/>
      <c r="H756" s="29"/>
      <c r="I756" s="30"/>
      <c r="O756" s="53"/>
    </row>
    <row r="757" spans="4:15">
      <c r="D757" s="47"/>
      <c r="E757" s="143"/>
      <c r="H757" s="29"/>
      <c r="I757" s="30"/>
      <c r="O757" s="53"/>
    </row>
    <row r="758" spans="4:15">
      <c r="D758" s="47"/>
      <c r="E758" s="143"/>
      <c r="H758" s="29"/>
      <c r="I758" s="30"/>
      <c r="O758" s="53"/>
    </row>
    <row r="759" spans="4:15">
      <c r="D759" s="47"/>
      <c r="E759" s="143"/>
      <c r="H759" s="29"/>
      <c r="I759" s="30"/>
      <c r="O759" s="53"/>
    </row>
    <row r="760" spans="4:15">
      <c r="D760" s="47"/>
      <c r="E760" s="143"/>
      <c r="H760" s="29"/>
      <c r="I760" s="30"/>
      <c r="O760" s="53"/>
    </row>
    <row r="761" spans="4:15">
      <c r="D761" s="47"/>
      <c r="E761" s="143"/>
      <c r="H761" s="29"/>
      <c r="I761" s="30"/>
      <c r="O761" s="53"/>
    </row>
    <row r="762" spans="4:15">
      <c r="D762" s="47"/>
      <c r="E762" s="143"/>
      <c r="H762" s="29"/>
      <c r="I762" s="30"/>
      <c r="O762" s="53"/>
    </row>
    <row r="763" spans="4:15">
      <c r="D763" s="47"/>
      <c r="E763" s="143"/>
      <c r="H763" s="29"/>
      <c r="I763" s="30"/>
      <c r="O763" s="53"/>
    </row>
    <row r="764" spans="4:15">
      <c r="D764" s="47"/>
      <c r="E764" s="143"/>
      <c r="H764" s="29"/>
      <c r="I764" s="30"/>
      <c r="O764" s="53"/>
    </row>
    <row r="765" spans="4:15">
      <c r="D765" s="47"/>
      <c r="E765" s="143"/>
      <c r="H765" s="29"/>
      <c r="I765" s="30"/>
      <c r="O765" s="53"/>
    </row>
    <row r="766" spans="4:15">
      <c r="D766" s="47"/>
      <c r="E766" s="143"/>
      <c r="H766" s="29"/>
      <c r="I766" s="30"/>
      <c r="O766" s="53"/>
    </row>
    <row r="767" spans="4:15">
      <c r="D767" s="47"/>
      <c r="E767" s="143"/>
      <c r="H767" s="29"/>
      <c r="I767" s="30"/>
      <c r="O767" s="53"/>
    </row>
    <row r="768" spans="4:15">
      <c r="D768" s="47"/>
      <c r="E768" s="143"/>
      <c r="H768" s="29"/>
      <c r="I768" s="30"/>
      <c r="O768" s="53"/>
    </row>
    <row r="769" spans="4:15">
      <c r="D769" s="47"/>
      <c r="E769" s="143"/>
      <c r="H769" s="29"/>
      <c r="I769" s="30"/>
      <c r="O769" s="53"/>
    </row>
    <row r="770" spans="4:15">
      <c r="D770" s="47"/>
      <c r="E770" s="143"/>
      <c r="H770" s="29"/>
      <c r="I770" s="30"/>
      <c r="O770" s="53"/>
    </row>
    <row r="771" spans="4:15">
      <c r="D771" s="47"/>
      <c r="E771" s="143"/>
      <c r="H771" s="29"/>
      <c r="I771" s="30"/>
      <c r="O771" s="53"/>
    </row>
    <row r="772" spans="4:15">
      <c r="D772" s="47"/>
      <c r="E772" s="143"/>
      <c r="H772" s="29"/>
      <c r="I772" s="30"/>
      <c r="O772" s="53"/>
    </row>
    <row r="773" spans="4:15">
      <c r="D773" s="47"/>
      <c r="E773" s="143"/>
      <c r="H773" s="29"/>
      <c r="I773" s="30"/>
      <c r="O773" s="53"/>
    </row>
    <row r="774" spans="4:15">
      <c r="D774" s="47"/>
      <c r="E774" s="143"/>
      <c r="H774" s="29"/>
      <c r="I774" s="30"/>
      <c r="O774" s="53"/>
    </row>
    <row r="775" spans="4:15">
      <c r="D775" s="47"/>
      <c r="E775" s="143"/>
      <c r="H775" s="29"/>
      <c r="I775" s="30"/>
      <c r="O775" s="53"/>
    </row>
    <row r="776" spans="4:15">
      <c r="D776" s="47"/>
      <c r="E776" s="143"/>
      <c r="H776" s="29"/>
      <c r="I776" s="30"/>
      <c r="O776" s="53"/>
    </row>
    <row r="777" spans="4:15">
      <c r="D777" s="47"/>
      <c r="E777" s="143"/>
      <c r="H777" s="29"/>
      <c r="I777" s="30"/>
      <c r="O777" s="53"/>
    </row>
    <row r="778" spans="4:15">
      <c r="D778" s="47"/>
      <c r="E778" s="143"/>
      <c r="H778" s="29"/>
      <c r="I778" s="30"/>
      <c r="O778" s="53"/>
    </row>
    <row r="779" spans="4:15">
      <c r="D779" s="47"/>
      <c r="E779" s="143"/>
      <c r="H779" s="29"/>
      <c r="I779" s="30"/>
      <c r="O779" s="53"/>
    </row>
    <row r="780" spans="4:15">
      <c r="D780" s="47"/>
      <c r="E780" s="143"/>
      <c r="H780" s="29"/>
      <c r="I780" s="30"/>
      <c r="O780" s="53"/>
    </row>
    <row r="781" spans="4:15">
      <c r="D781" s="47"/>
      <c r="E781" s="143"/>
      <c r="H781" s="29"/>
      <c r="I781" s="30"/>
      <c r="O781" s="53"/>
    </row>
    <row r="782" spans="4:15">
      <c r="D782" s="47"/>
      <c r="E782" s="143"/>
      <c r="H782" s="29"/>
      <c r="I782" s="30"/>
      <c r="O782" s="53"/>
    </row>
    <row r="783" spans="4:15">
      <c r="D783" s="47"/>
      <c r="E783" s="143"/>
      <c r="H783" s="29"/>
      <c r="I783" s="30"/>
      <c r="O783" s="53"/>
    </row>
    <row r="784" spans="4:15">
      <c r="D784" s="47"/>
      <c r="E784" s="143"/>
      <c r="H784" s="29"/>
      <c r="I784" s="30"/>
      <c r="O784" s="53"/>
    </row>
    <row r="785" spans="4:15">
      <c r="D785" s="47"/>
      <c r="E785" s="143"/>
      <c r="H785" s="29"/>
      <c r="I785" s="30"/>
      <c r="O785" s="53"/>
    </row>
    <row r="786" spans="4:15">
      <c r="D786" s="47"/>
      <c r="E786" s="143"/>
      <c r="H786" s="29"/>
      <c r="I786" s="30"/>
      <c r="O786" s="53"/>
    </row>
    <row r="787" spans="4:15">
      <c r="D787" s="47"/>
      <c r="E787" s="143"/>
      <c r="H787" s="29"/>
      <c r="I787" s="30"/>
      <c r="O787" s="53"/>
    </row>
    <row r="788" spans="4:15">
      <c r="D788" s="47"/>
      <c r="E788" s="143"/>
      <c r="H788" s="29"/>
      <c r="I788" s="30"/>
      <c r="O788" s="53"/>
    </row>
    <row r="789" spans="4:15">
      <c r="D789" s="47"/>
      <c r="E789" s="143"/>
      <c r="H789" s="29"/>
      <c r="I789" s="30"/>
      <c r="O789" s="53"/>
    </row>
    <row r="790" spans="4:15">
      <c r="D790" s="47"/>
      <c r="E790" s="143"/>
      <c r="H790" s="29"/>
      <c r="I790" s="30"/>
      <c r="O790" s="53"/>
    </row>
    <row r="791" spans="4:15">
      <c r="D791" s="47"/>
      <c r="E791" s="143"/>
      <c r="H791" s="29"/>
      <c r="I791" s="30"/>
      <c r="O791" s="53"/>
    </row>
    <row r="792" spans="4:15">
      <c r="D792" s="47"/>
      <c r="E792" s="143"/>
      <c r="H792" s="29"/>
      <c r="I792" s="30"/>
      <c r="O792" s="53"/>
    </row>
    <row r="793" spans="4:15">
      <c r="D793" s="47"/>
      <c r="E793" s="143"/>
      <c r="H793" s="29"/>
      <c r="I793" s="30"/>
      <c r="O793" s="53"/>
    </row>
    <row r="794" spans="4:15">
      <c r="D794" s="47"/>
      <c r="E794" s="143"/>
      <c r="H794" s="29"/>
      <c r="I794" s="30"/>
      <c r="O794" s="53"/>
    </row>
    <row r="795" spans="4:15">
      <c r="D795" s="47"/>
      <c r="E795" s="143"/>
      <c r="H795" s="29"/>
      <c r="I795" s="30"/>
      <c r="O795" s="53"/>
    </row>
    <row r="796" spans="4:15">
      <c r="D796" s="47"/>
      <c r="E796" s="143"/>
      <c r="H796" s="29"/>
      <c r="I796" s="30"/>
      <c r="O796" s="53"/>
    </row>
    <row r="797" spans="4:15">
      <c r="D797" s="47"/>
      <c r="E797" s="143"/>
      <c r="H797" s="29"/>
      <c r="I797" s="30"/>
      <c r="O797" s="53"/>
    </row>
    <row r="798" spans="4:15">
      <c r="D798" s="47"/>
      <c r="E798" s="143"/>
      <c r="H798" s="29"/>
      <c r="I798" s="30"/>
      <c r="O798" s="53"/>
    </row>
    <row r="799" spans="4:15">
      <c r="D799" s="47"/>
      <c r="E799" s="143"/>
      <c r="H799" s="29"/>
      <c r="I799" s="30"/>
      <c r="O799" s="53"/>
    </row>
    <row r="800" spans="4:15">
      <c r="D800" s="47"/>
      <c r="E800" s="143"/>
      <c r="H800" s="29"/>
      <c r="I800" s="30"/>
      <c r="O800" s="53"/>
    </row>
    <row r="801" spans="4:15">
      <c r="D801" s="47"/>
      <c r="E801" s="143"/>
      <c r="H801" s="29"/>
      <c r="I801" s="30"/>
      <c r="O801" s="53"/>
    </row>
    <row r="802" spans="4:15">
      <c r="D802" s="47"/>
      <c r="E802" s="143"/>
      <c r="H802" s="29"/>
      <c r="I802" s="30"/>
      <c r="O802" s="53"/>
    </row>
    <row r="803" spans="4:15">
      <c r="D803" s="47"/>
      <c r="E803" s="143"/>
      <c r="H803" s="29"/>
      <c r="I803" s="30"/>
      <c r="O803" s="53"/>
    </row>
    <row r="804" spans="4:15">
      <c r="D804" s="47"/>
      <c r="E804" s="143"/>
      <c r="H804" s="29"/>
      <c r="I804" s="30"/>
      <c r="O804" s="53"/>
    </row>
    <row r="805" spans="4:15">
      <c r="D805" s="47"/>
      <c r="E805" s="143"/>
      <c r="H805" s="29"/>
      <c r="I805" s="30"/>
      <c r="O805" s="53"/>
    </row>
    <row r="806" spans="4:15">
      <c r="D806" s="47"/>
      <c r="E806" s="143"/>
      <c r="H806" s="29"/>
      <c r="I806" s="30"/>
      <c r="O806" s="53"/>
    </row>
    <row r="807" spans="4:15">
      <c r="D807" s="47"/>
      <c r="E807" s="143"/>
      <c r="H807" s="29"/>
      <c r="I807" s="30"/>
      <c r="O807" s="53"/>
    </row>
    <row r="808" spans="4:15">
      <c r="D808" s="47"/>
      <c r="E808" s="143"/>
      <c r="H808" s="29"/>
      <c r="I808" s="30"/>
      <c r="O808" s="53"/>
    </row>
    <row r="809" spans="4:15">
      <c r="D809" s="47"/>
      <c r="E809" s="143"/>
      <c r="H809" s="29"/>
      <c r="I809" s="30"/>
      <c r="O809" s="53"/>
    </row>
    <row r="810" spans="4:15">
      <c r="D810" s="47"/>
      <c r="E810" s="143"/>
      <c r="H810" s="29"/>
      <c r="I810" s="30"/>
      <c r="O810" s="53"/>
    </row>
    <row r="811" spans="4:15">
      <c r="D811" s="47"/>
      <c r="E811" s="143"/>
      <c r="H811" s="29"/>
      <c r="I811" s="30"/>
      <c r="O811" s="53"/>
    </row>
    <row r="812" spans="4:15">
      <c r="D812" s="47"/>
      <c r="E812" s="143"/>
      <c r="H812" s="29"/>
      <c r="I812" s="30"/>
      <c r="O812" s="53"/>
    </row>
    <row r="813" spans="4:15">
      <c r="D813" s="47"/>
      <c r="E813" s="143"/>
      <c r="H813" s="29"/>
      <c r="I813" s="30"/>
      <c r="O813" s="53"/>
    </row>
    <row r="814" spans="4:15">
      <c r="D814" s="47"/>
      <c r="E814" s="143"/>
      <c r="H814" s="29"/>
      <c r="I814" s="30"/>
      <c r="O814" s="53"/>
    </row>
    <row r="815" spans="4:15">
      <c r="D815" s="47"/>
      <c r="E815" s="143"/>
      <c r="H815" s="29"/>
      <c r="I815" s="30"/>
      <c r="O815" s="53"/>
    </row>
    <row r="816" spans="4:15">
      <c r="D816" s="47"/>
      <c r="E816" s="143"/>
      <c r="H816" s="29"/>
      <c r="I816" s="30"/>
      <c r="O816" s="53"/>
    </row>
    <row r="817" spans="4:15">
      <c r="D817" s="47"/>
      <c r="E817" s="143"/>
      <c r="H817" s="29"/>
      <c r="I817" s="30"/>
      <c r="O817" s="53"/>
    </row>
    <row r="818" spans="4:15">
      <c r="D818" s="47"/>
      <c r="E818" s="143"/>
      <c r="H818" s="29"/>
      <c r="I818" s="30"/>
      <c r="O818" s="53"/>
    </row>
    <row r="819" spans="4:15">
      <c r="D819" s="47"/>
      <c r="E819" s="143"/>
      <c r="H819" s="29"/>
      <c r="I819" s="30"/>
      <c r="O819" s="53"/>
    </row>
    <row r="820" spans="4:15">
      <c r="D820" s="47"/>
      <c r="E820" s="143"/>
      <c r="H820" s="29"/>
      <c r="I820" s="30"/>
      <c r="O820" s="53"/>
    </row>
    <row r="821" spans="4:15">
      <c r="D821" s="47"/>
      <c r="E821" s="143"/>
      <c r="H821" s="29"/>
      <c r="I821" s="30"/>
      <c r="O821" s="53"/>
    </row>
    <row r="822" spans="4:15">
      <c r="D822" s="47"/>
      <c r="E822" s="143"/>
      <c r="H822" s="29"/>
      <c r="I822" s="30"/>
      <c r="O822" s="53"/>
    </row>
    <row r="823" spans="4:15">
      <c r="D823" s="47"/>
      <c r="E823" s="143"/>
      <c r="H823" s="29"/>
      <c r="I823" s="30"/>
      <c r="O823" s="53"/>
    </row>
    <row r="824" spans="4:15">
      <c r="D824" s="47"/>
      <c r="E824" s="143"/>
      <c r="H824" s="29"/>
      <c r="I824" s="30"/>
      <c r="O824" s="53"/>
    </row>
    <row r="825" spans="4:15">
      <c r="D825" s="47"/>
      <c r="E825" s="143"/>
      <c r="H825" s="29"/>
      <c r="I825" s="30"/>
      <c r="O825" s="53"/>
    </row>
    <row r="826" spans="4:15">
      <c r="D826" s="47"/>
      <c r="E826" s="143"/>
      <c r="H826" s="29"/>
      <c r="I826" s="30"/>
      <c r="O826" s="53"/>
    </row>
    <row r="827" spans="4:15">
      <c r="D827" s="47"/>
      <c r="E827" s="143"/>
      <c r="H827" s="29"/>
      <c r="I827" s="30"/>
      <c r="O827" s="53"/>
    </row>
    <row r="828" spans="4:15">
      <c r="D828" s="47"/>
      <c r="E828" s="143"/>
      <c r="H828" s="29"/>
      <c r="I828" s="30"/>
      <c r="O828" s="53"/>
    </row>
    <row r="829" spans="4:15">
      <c r="D829" s="47"/>
      <c r="E829" s="143"/>
      <c r="H829" s="29"/>
      <c r="I829" s="30"/>
      <c r="O829" s="53"/>
    </row>
    <row r="830" spans="4:15">
      <c r="D830" s="47"/>
      <c r="E830" s="143"/>
      <c r="H830" s="29"/>
      <c r="I830" s="30"/>
      <c r="O830" s="53"/>
    </row>
    <row r="831" spans="4:15">
      <c r="D831" s="47"/>
      <c r="E831" s="143"/>
      <c r="H831" s="29"/>
      <c r="I831" s="30"/>
      <c r="O831" s="53"/>
    </row>
    <row r="832" spans="4:15">
      <c r="D832" s="47"/>
      <c r="E832" s="143"/>
      <c r="H832" s="29"/>
      <c r="I832" s="30"/>
      <c r="O832" s="53"/>
    </row>
    <row r="833" spans="4:15">
      <c r="D833" s="47"/>
      <c r="E833" s="143"/>
      <c r="H833" s="29"/>
      <c r="I833" s="30"/>
      <c r="O833" s="53"/>
    </row>
    <row r="834" spans="4:15">
      <c r="D834" s="47"/>
      <c r="E834" s="143"/>
      <c r="H834" s="29"/>
      <c r="I834" s="30"/>
      <c r="O834" s="53"/>
    </row>
    <row r="835" spans="4:15">
      <c r="D835" s="47"/>
      <c r="E835" s="143"/>
      <c r="H835" s="29"/>
      <c r="I835" s="30"/>
      <c r="O835" s="53"/>
    </row>
    <row r="836" spans="4:15">
      <c r="D836" s="47"/>
      <c r="E836" s="143"/>
      <c r="H836" s="29"/>
      <c r="I836" s="30"/>
      <c r="O836" s="53"/>
    </row>
    <row r="837" spans="4:15">
      <c r="D837" s="47"/>
      <c r="E837" s="143"/>
      <c r="H837" s="29"/>
      <c r="I837" s="30"/>
      <c r="O837" s="53"/>
    </row>
    <row r="838" spans="4:15">
      <c r="D838" s="47"/>
      <c r="E838" s="143"/>
      <c r="H838" s="29"/>
      <c r="I838" s="30"/>
      <c r="O838" s="53"/>
    </row>
    <row r="839" spans="4:15">
      <c r="D839" s="47"/>
      <c r="E839" s="143"/>
      <c r="H839" s="29"/>
      <c r="I839" s="30"/>
      <c r="O839" s="53"/>
    </row>
    <row r="840" spans="4:15">
      <c r="D840" s="47"/>
      <c r="E840" s="143"/>
      <c r="H840" s="29"/>
      <c r="I840" s="30"/>
      <c r="O840" s="53"/>
    </row>
    <row r="841" spans="4:15">
      <c r="D841" s="47"/>
      <c r="E841" s="143"/>
      <c r="H841" s="29"/>
      <c r="I841" s="30"/>
      <c r="O841" s="53"/>
    </row>
    <row r="842" spans="4:15">
      <c r="D842" s="47"/>
      <c r="E842" s="143"/>
      <c r="H842" s="29"/>
      <c r="I842" s="30"/>
      <c r="O842" s="53"/>
    </row>
    <row r="843" spans="4:15">
      <c r="D843" s="47"/>
      <c r="E843" s="143"/>
      <c r="H843" s="29"/>
      <c r="I843" s="30"/>
      <c r="O843" s="53"/>
    </row>
    <row r="844" spans="4:15">
      <c r="D844" s="47"/>
      <c r="E844" s="143"/>
      <c r="H844" s="29"/>
      <c r="I844" s="30"/>
      <c r="O844" s="53"/>
    </row>
    <row r="845" spans="4:15">
      <c r="D845" s="47"/>
      <c r="E845" s="143"/>
      <c r="H845" s="29"/>
      <c r="I845" s="30"/>
      <c r="O845" s="53"/>
    </row>
    <row r="846" spans="4:15">
      <c r="D846" s="47"/>
      <c r="E846" s="143"/>
      <c r="H846" s="29"/>
      <c r="I846" s="30"/>
      <c r="O846" s="53"/>
    </row>
    <row r="847" spans="4:15">
      <c r="D847" s="47"/>
      <c r="E847" s="143"/>
      <c r="H847" s="29"/>
      <c r="I847" s="30"/>
      <c r="O847" s="53"/>
    </row>
    <row r="848" spans="4:15">
      <c r="D848" s="47"/>
      <c r="E848" s="143"/>
      <c r="H848" s="29"/>
      <c r="I848" s="30"/>
      <c r="O848" s="53"/>
    </row>
    <row r="849" spans="4:15">
      <c r="D849" s="47"/>
      <c r="E849" s="143"/>
      <c r="H849" s="29"/>
      <c r="I849" s="30"/>
      <c r="O849" s="53"/>
    </row>
    <row r="850" spans="4:15">
      <c r="D850" s="47"/>
      <c r="E850" s="143"/>
      <c r="H850" s="29"/>
      <c r="I850" s="30"/>
      <c r="O850" s="53"/>
    </row>
    <row r="851" spans="4:15">
      <c r="D851" s="47"/>
      <c r="E851" s="143"/>
      <c r="H851" s="29"/>
      <c r="I851" s="30"/>
      <c r="O851" s="53"/>
    </row>
    <row r="852" spans="4:15">
      <c r="D852" s="47"/>
      <c r="E852" s="143"/>
      <c r="H852" s="29"/>
      <c r="I852" s="30"/>
      <c r="O852" s="53"/>
    </row>
    <row r="853" spans="4:15">
      <c r="D853" s="47"/>
      <c r="E853" s="143"/>
      <c r="H853" s="29"/>
      <c r="I853" s="30"/>
      <c r="O853" s="53"/>
    </row>
    <row r="854" spans="4:15">
      <c r="D854" s="47"/>
      <c r="E854" s="143"/>
      <c r="H854" s="29"/>
      <c r="I854" s="30"/>
      <c r="O854" s="53"/>
    </row>
    <row r="855" spans="4:15">
      <c r="D855" s="47"/>
      <c r="E855" s="143"/>
      <c r="H855" s="29"/>
      <c r="I855" s="30"/>
      <c r="O855" s="53"/>
    </row>
    <row r="856" spans="4:15">
      <c r="D856" s="47"/>
      <c r="E856" s="143"/>
      <c r="H856" s="29"/>
      <c r="I856" s="30"/>
      <c r="O856" s="53"/>
    </row>
    <row r="857" spans="4:15">
      <c r="D857" s="47"/>
      <c r="E857" s="143"/>
      <c r="H857" s="29"/>
      <c r="I857" s="30"/>
      <c r="O857" s="53"/>
    </row>
    <row r="858" spans="4:15">
      <c r="D858" s="47"/>
      <c r="E858" s="143"/>
      <c r="H858" s="29"/>
      <c r="I858" s="30"/>
      <c r="O858" s="53"/>
    </row>
    <row r="859" spans="4:15">
      <c r="D859" s="47"/>
      <c r="E859" s="143"/>
      <c r="H859" s="29"/>
      <c r="I859" s="30"/>
      <c r="O859" s="53"/>
    </row>
    <row r="860" spans="4:15">
      <c r="D860" s="47"/>
      <c r="E860" s="143"/>
      <c r="H860" s="29"/>
      <c r="I860" s="30"/>
      <c r="O860" s="53"/>
    </row>
    <row r="861" spans="4:15">
      <c r="D861" s="47"/>
      <c r="E861" s="143"/>
      <c r="H861" s="29"/>
      <c r="I861" s="30"/>
      <c r="O861" s="53"/>
    </row>
    <row r="862" spans="4:15">
      <c r="D862" s="47"/>
      <c r="E862" s="143"/>
      <c r="H862" s="29"/>
      <c r="I862" s="30"/>
      <c r="O862" s="53"/>
    </row>
    <row r="863" spans="4:15">
      <c r="D863" s="47"/>
      <c r="E863" s="143"/>
      <c r="H863" s="29"/>
      <c r="I863" s="30"/>
      <c r="O863" s="53"/>
    </row>
    <row r="864" spans="4:15">
      <c r="D864" s="47"/>
      <c r="E864" s="143"/>
      <c r="H864" s="29"/>
      <c r="I864" s="30"/>
      <c r="O864" s="53"/>
    </row>
    <row r="865" spans="4:15">
      <c r="D865" s="47"/>
      <c r="E865" s="143"/>
      <c r="H865" s="29"/>
      <c r="I865" s="30"/>
      <c r="O865" s="53"/>
    </row>
    <row r="866" spans="4:15">
      <c r="D866" s="47"/>
      <c r="E866" s="143"/>
      <c r="H866" s="29"/>
      <c r="I866" s="30"/>
      <c r="O866" s="53"/>
    </row>
    <row r="867" spans="4:15">
      <c r="D867" s="47"/>
      <c r="E867" s="143"/>
      <c r="H867" s="29"/>
      <c r="I867" s="30"/>
      <c r="O867" s="53"/>
    </row>
    <row r="868" spans="4:15">
      <c r="D868" s="47"/>
      <c r="E868" s="143"/>
      <c r="H868" s="29"/>
      <c r="I868" s="30"/>
      <c r="O868" s="53"/>
    </row>
    <row r="869" spans="4:15">
      <c r="D869" s="47"/>
      <c r="E869" s="143"/>
      <c r="H869" s="29"/>
      <c r="I869" s="30"/>
      <c r="O869" s="53"/>
    </row>
    <row r="870" spans="4:15">
      <c r="D870" s="47"/>
      <c r="E870" s="143"/>
      <c r="H870" s="29"/>
      <c r="I870" s="30"/>
      <c r="O870" s="53"/>
    </row>
    <row r="871" spans="4:15">
      <c r="D871" s="47"/>
      <c r="E871" s="143"/>
      <c r="H871" s="29"/>
      <c r="I871" s="30"/>
      <c r="O871" s="53"/>
    </row>
    <row r="872" spans="4:15">
      <c r="D872" s="47"/>
      <c r="E872" s="143"/>
      <c r="H872" s="29"/>
      <c r="I872" s="30"/>
      <c r="O872" s="53"/>
    </row>
    <row r="873" spans="4:15">
      <c r="D873" s="47"/>
      <c r="E873" s="143"/>
      <c r="H873" s="29"/>
      <c r="I873" s="30"/>
      <c r="O873" s="53"/>
    </row>
    <row r="874" spans="4:15">
      <c r="D874" s="47"/>
      <c r="E874" s="143"/>
      <c r="H874" s="29"/>
      <c r="I874" s="30"/>
      <c r="O874" s="53"/>
    </row>
    <row r="875" spans="4:15">
      <c r="D875" s="47"/>
      <c r="E875" s="143"/>
      <c r="H875" s="29"/>
      <c r="I875" s="30"/>
      <c r="O875" s="53"/>
    </row>
    <row r="876" spans="4:15">
      <c r="D876" s="47"/>
      <c r="E876" s="143"/>
      <c r="H876" s="29"/>
      <c r="I876" s="30"/>
      <c r="O876" s="53"/>
    </row>
    <row r="877" spans="4:15">
      <c r="D877" s="47"/>
      <c r="E877" s="143"/>
      <c r="H877" s="29"/>
      <c r="I877" s="30"/>
      <c r="O877" s="53"/>
    </row>
    <row r="878" spans="4:15">
      <c r="D878" s="47"/>
      <c r="E878" s="143"/>
      <c r="H878" s="29"/>
      <c r="I878" s="30"/>
      <c r="O878" s="53"/>
    </row>
    <row r="879" spans="4:15">
      <c r="D879" s="47"/>
      <c r="E879" s="143"/>
      <c r="H879" s="29"/>
      <c r="I879" s="30"/>
      <c r="O879" s="53"/>
    </row>
    <row r="880" spans="4:15">
      <c r="D880" s="47"/>
      <c r="E880" s="143"/>
      <c r="H880" s="29"/>
      <c r="I880" s="30"/>
      <c r="O880" s="53"/>
    </row>
    <row r="881" spans="4:15">
      <c r="D881" s="47"/>
      <c r="E881" s="143"/>
      <c r="H881" s="29"/>
      <c r="I881" s="30"/>
      <c r="O881" s="53"/>
    </row>
    <row r="882" spans="4:15">
      <c r="D882" s="47"/>
      <c r="E882" s="143"/>
      <c r="H882" s="29"/>
      <c r="I882" s="30"/>
      <c r="O882" s="53"/>
    </row>
    <row r="883" spans="4:15">
      <c r="D883" s="47"/>
      <c r="E883" s="143"/>
      <c r="H883" s="29"/>
      <c r="I883" s="30"/>
      <c r="O883" s="53"/>
    </row>
    <row r="884" spans="4:15">
      <c r="D884" s="47"/>
      <c r="E884" s="143"/>
      <c r="H884" s="29"/>
      <c r="I884" s="30"/>
      <c r="O884" s="53"/>
    </row>
    <row r="885" spans="4:15">
      <c r="D885" s="47"/>
      <c r="E885" s="143"/>
      <c r="H885" s="29"/>
      <c r="I885" s="30"/>
      <c r="O885" s="53"/>
    </row>
    <row r="886" spans="4:15">
      <c r="D886" s="47"/>
      <c r="E886" s="143"/>
      <c r="H886" s="29"/>
      <c r="I886" s="30"/>
      <c r="O886" s="53"/>
    </row>
    <row r="887" spans="4:15">
      <c r="D887" s="47"/>
      <c r="E887" s="143"/>
      <c r="H887" s="29"/>
      <c r="I887" s="30"/>
      <c r="O887" s="53"/>
    </row>
    <row r="888" spans="4:15">
      <c r="D888" s="47"/>
      <c r="E888" s="143"/>
      <c r="H888" s="29"/>
      <c r="I888" s="30"/>
      <c r="O888" s="53"/>
    </row>
    <row r="889" spans="4:15">
      <c r="D889" s="47"/>
      <c r="E889" s="143"/>
      <c r="H889" s="29"/>
      <c r="I889" s="30"/>
      <c r="O889" s="53"/>
    </row>
    <row r="890" spans="4:15">
      <c r="D890" s="47"/>
      <c r="E890" s="143"/>
      <c r="H890" s="29"/>
      <c r="I890" s="30"/>
      <c r="O890" s="53"/>
    </row>
    <row r="891" spans="4:15">
      <c r="D891" s="47"/>
      <c r="E891" s="143"/>
      <c r="H891" s="29"/>
      <c r="I891" s="30"/>
      <c r="O891" s="53"/>
    </row>
    <row r="892" spans="4:15">
      <c r="D892" s="47"/>
      <c r="E892" s="143"/>
      <c r="H892" s="29"/>
      <c r="I892" s="30"/>
      <c r="O892" s="53"/>
    </row>
    <row r="893" spans="4:15">
      <c r="D893" s="47"/>
      <c r="E893" s="143"/>
      <c r="H893" s="29"/>
      <c r="I893" s="30"/>
      <c r="O893" s="53"/>
    </row>
    <row r="894" spans="4:15">
      <c r="D894" s="47"/>
      <c r="E894" s="143"/>
      <c r="H894" s="29"/>
      <c r="I894" s="30"/>
      <c r="O894" s="53"/>
    </row>
    <row r="895" spans="4:15">
      <c r="D895" s="47"/>
      <c r="E895" s="143"/>
      <c r="H895" s="29"/>
      <c r="I895" s="30"/>
      <c r="O895" s="53"/>
    </row>
    <row r="896" spans="4:15">
      <c r="D896" s="47"/>
      <c r="E896" s="143"/>
      <c r="H896" s="29"/>
      <c r="I896" s="30"/>
      <c r="O896" s="53"/>
    </row>
    <row r="897" spans="4:15">
      <c r="D897" s="47"/>
      <c r="E897" s="143"/>
      <c r="H897" s="29"/>
      <c r="I897" s="30"/>
      <c r="O897" s="53"/>
    </row>
    <row r="898" spans="4:15">
      <c r="D898" s="47"/>
      <c r="E898" s="143"/>
      <c r="H898" s="29"/>
      <c r="I898" s="30"/>
      <c r="O898" s="53"/>
    </row>
    <row r="899" spans="4:15">
      <c r="D899" s="47"/>
      <c r="E899" s="143"/>
      <c r="H899" s="29"/>
      <c r="I899" s="30"/>
      <c r="O899" s="53"/>
    </row>
    <row r="900" spans="4:15">
      <c r="D900" s="47"/>
      <c r="E900" s="143"/>
      <c r="H900" s="29"/>
      <c r="I900" s="30"/>
      <c r="O900" s="53"/>
    </row>
    <row r="901" spans="4:15">
      <c r="D901" s="47"/>
      <c r="E901" s="143"/>
      <c r="H901" s="29"/>
      <c r="I901" s="30"/>
      <c r="O901" s="53"/>
    </row>
    <row r="902" spans="4:15">
      <c r="D902" s="47"/>
      <c r="E902" s="143"/>
      <c r="H902" s="29"/>
      <c r="I902" s="30"/>
      <c r="O902" s="53"/>
    </row>
    <row r="903" spans="4:15">
      <c r="D903" s="47"/>
      <c r="E903" s="143"/>
      <c r="H903" s="29"/>
      <c r="I903" s="30"/>
      <c r="O903" s="53"/>
    </row>
    <row r="904" spans="4:15">
      <c r="D904" s="47"/>
      <c r="E904" s="143"/>
      <c r="H904" s="29"/>
      <c r="I904" s="30"/>
      <c r="O904" s="53"/>
    </row>
    <row r="905" spans="4:15">
      <c r="D905" s="47"/>
      <c r="E905" s="143"/>
      <c r="H905" s="29"/>
      <c r="I905" s="30"/>
      <c r="O905" s="53"/>
    </row>
    <row r="906" spans="4:15">
      <c r="D906" s="47"/>
      <c r="E906" s="143"/>
      <c r="H906" s="29"/>
      <c r="I906" s="30"/>
      <c r="O906" s="53"/>
    </row>
    <row r="907" spans="4:15">
      <c r="D907" s="47"/>
      <c r="E907" s="143"/>
      <c r="H907" s="29"/>
      <c r="I907" s="30"/>
      <c r="O907" s="53"/>
    </row>
    <row r="908" spans="4:15">
      <c r="D908" s="47"/>
      <c r="E908" s="143"/>
      <c r="H908" s="29"/>
      <c r="I908" s="30"/>
      <c r="O908" s="53"/>
    </row>
    <row r="909" spans="4:15">
      <c r="D909" s="47"/>
      <c r="E909" s="143"/>
      <c r="H909" s="29"/>
      <c r="I909" s="30"/>
      <c r="O909" s="53"/>
    </row>
    <row r="910" spans="4:15">
      <c r="D910" s="47"/>
      <c r="E910" s="143"/>
      <c r="H910" s="29"/>
      <c r="I910" s="30"/>
      <c r="O910" s="53"/>
    </row>
    <row r="911" spans="4:15">
      <c r="D911" s="47"/>
      <c r="E911" s="143"/>
      <c r="H911" s="29"/>
      <c r="I911" s="30"/>
      <c r="O911" s="53"/>
    </row>
    <row r="912" spans="4:15">
      <c r="D912" s="47"/>
      <c r="E912" s="143"/>
      <c r="H912" s="29"/>
      <c r="I912" s="30"/>
      <c r="O912" s="53"/>
    </row>
    <row r="913" spans="4:15">
      <c r="D913" s="47"/>
      <c r="E913" s="143"/>
      <c r="H913" s="29"/>
      <c r="I913" s="30"/>
      <c r="O913" s="53"/>
    </row>
    <row r="914" spans="4:15">
      <c r="D914" s="47"/>
      <c r="E914" s="143"/>
      <c r="H914" s="29"/>
      <c r="I914" s="30"/>
      <c r="O914" s="53"/>
    </row>
    <row r="915" spans="4:15">
      <c r="D915" s="47"/>
      <c r="E915" s="143"/>
      <c r="H915" s="29"/>
      <c r="I915" s="30"/>
      <c r="O915" s="53"/>
    </row>
    <row r="916" spans="4:15">
      <c r="D916" s="47"/>
      <c r="E916" s="143"/>
      <c r="H916" s="29"/>
      <c r="I916" s="30"/>
      <c r="O916" s="53"/>
    </row>
    <row r="917" spans="4:15">
      <c r="D917" s="47"/>
      <c r="E917" s="143"/>
      <c r="H917" s="29"/>
      <c r="I917" s="30"/>
      <c r="O917" s="53"/>
    </row>
    <row r="918" spans="4:15">
      <c r="D918" s="47"/>
      <c r="E918" s="143"/>
      <c r="H918" s="29"/>
      <c r="I918" s="30"/>
      <c r="O918" s="53"/>
    </row>
    <row r="919" spans="4:15">
      <c r="D919" s="47"/>
      <c r="E919" s="143"/>
      <c r="H919" s="29"/>
      <c r="I919" s="30"/>
      <c r="O919" s="53"/>
    </row>
    <row r="920" spans="4:15">
      <c r="D920" s="47"/>
      <c r="E920" s="143"/>
      <c r="H920" s="29"/>
      <c r="I920" s="30"/>
      <c r="O920" s="53"/>
    </row>
    <row r="921" spans="4:15">
      <c r="D921" s="47"/>
      <c r="E921" s="143"/>
      <c r="H921" s="29"/>
      <c r="I921" s="30"/>
      <c r="O921" s="53"/>
    </row>
    <row r="922" spans="4:15">
      <c r="D922" s="47"/>
      <c r="E922" s="143"/>
      <c r="H922" s="29"/>
      <c r="I922" s="30"/>
      <c r="O922" s="53"/>
    </row>
    <row r="923" spans="4:15">
      <c r="D923" s="47"/>
      <c r="E923" s="143"/>
      <c r="H923" s="29"/>
      <c r="I923" s="30"/>
      <c r="O923" s="53"/>
    </row>
    <row r="924" spans="4:15">
      <c r="D924" s="47"/>
      <c r="E924" s="143"/>
      <c r="H924" s="29"/>
      <c r="I924" s="30"/>
      <c r="O924" s="53"/>
    </row>
    <row r="925" spans="4:15">
      <c r="D925" s="47"/>
      <c r="E925" s="143"/>
      <c r="H925" s="29"/>
      <c r="I925" s="30"/>
      <c r="O925" s="53"/>
    </row>
    <row r="926" spans="4:15">
      <c r="D926" s="47"/>
      <c r="E926" s="143"/>
      <c r="H926" s="29"/>
      <c r="I926" s="30"/>
      <c r="O926" s="53"/>
    </row>
    <row r="927" spans="4:15">
      <c r="D927" s="47"/>
      <c r="E927" s="143"/>
      <c r="H927" s="29"/>
      <c r="I927" s="30"/>
      <c r="O927" s="53"/>
    </row>
    <row r="928" spans="4:15">
      <c r="D928" s="47"/>
      <c r="E928" s="143"/>
      <c r="H928" s="29"/>
      <c r="I928" s="30"/>
      <c r="O928" s="53"/>
    </row>
    <row r="929" spans="4:15">
      <c r="D929" s="47"/>
      <c r="E929" s="143"/>
      <c r="H929" s="29"/>
      <c r="I929" s="30"/>
      <c r="O929" s="53"/>
    </row>
    <row r="930" spans="4:15">
      <c r="D930" s="47"/>
      <c r="E930" s="143"/>
      <c r="H930" s="29"/>
      <c r="I930" s="30"/>
      <c r="O930" s="53"/>
    </row>
    <row r="931" spans="4:15">
      <c r="D931" s="47"/>
      <c r="E931" s="143"/>
      <c r="H931" s="29"/>
      <c r="I931" s="30"/>
      <c r="O931" s="53"/>
    </row>
    <row r="932" spans="4:15">
      <c r="D932" s="47"/>
      <c r="E932" s="143"/>
      <c r="H932" s="29"/>
      <c r="I932" s="30"/>
      <c r="O932" s="53"/>
    </row>
    <row r="933" spans="4:15">
      <c r="D933" s="47"/>
      <c r="E933" s="143"/>
      <c r="H933" s="29"/>
      <c r="I933" s="30"/>
      <c r="O933" s="53"/>
    </row>
    <row r="934" spans="4:15">
      <c r="D934" s="47"/>
      <c r="E934" s="143"/>
      <c r="H934" s="29"/>
      <c r="I934" s="30"/>
      <c r="O934" s="53"/>
    </row>
    <row r="935" spans="4:15">
      <c r="D935" s="47"/>
      <c r="E935" s="143"/>
      <c r="H935" s="29"/>
      <c r="I935" s="30"/>
      <c r="O935" s="53"/>
    </row>
    <row r="936" spans="4:15">
      <c r="D936" s="47"/>
      <c r="E936" s="143"/>
      <c r="H936" s="29"/>
      <c r="I936" s="30"/>
      <c r="O936" s="53"/>
    </row>
    <row r="937" spans="4:15">
      <c r="D937" s="47"/>
      <c r="E937" s="143"/>
      <c r="H937" s="29"/>
      <c r="I937" s="30"/>
      <c r="O937" s="53"/>
    </row>
    <row r="938" spans="4:15">
      <c r="D938" s="47"/>
      <c r="E938" s="143"/>
      <c r="H938" s="29"/>
      <c r="I938" s="30"/>
      <c r="O938" s="53"/>
    </row>
    <row r="939" spans="4:15">
      <c r="D939" s="47"/>
      <c r="E939" s="143"/>
      <c r="H939" s="29"/>
      <c r="I939" s="30"/>
      <c r="O939" s="53"/>
    </row>
    <row r="940" spans="4:15">
      <c r="D940" s="47"/>
      <c r="E940" s="143"/>
      <c r="H940" s="29"/>
      <c r="I940" s="30"/>
      <c r="O940" s="53"/>
    </row>
    <row r="941" spans="4:15">
      <c r="D941" s="47"/>
      <c r="E941" s="143"/>
      <c r="H941" s="29"/>
      <c r="I941" s="30"/>
      <c r="O941" s="53"/>
    </row>
    <row r="942" spans="4:15">
      <c r="D942" s="47"/>
      <c r="E942" s="143"/>
      <c r="H942" s="29"/>
      <c r="I942" s="30"/>
      <c r="O942" s="53"/>
    </row>
    <row r="943" spans="4:15">
      <c r="D943" s="47"/>
      <c r="E943" s="143"/>
      <c r="H943" s="29"/>
      <c r="I943" s="30"/>
      <c r="O943" s="53"/>
    </row>
    <row r="944" spans="4:15">
      <c r="D944" s="47"/>
      <c r="E944" s="143"/>
      <c r="H944" s="29"/>
      <c r="I944" s="30"/>
      <c r="O944" s="53"/>
    </row>
    <row r="945" spans="4:15">
      <c r="D945" s="47"/>
      <c r="E945" s="143"/>
      <c r="H945" s="29"/>
      <c r="I945" s="30"/>
      <c r="O945" s="53"/>
    </row>
    <row r="946" spans="4:15">
      <c r="D946" s="47"/>
      <c r="E946" s="143"/>
      <c r="H946" s="29"/>
      <c r="I946" s="30"/>
      <c r="O946" s="53"/>
    </row>
    <row r="947" spans="4:15">
      <c r="D947" s="47"/>
      <c r="E947" s="143"/>
      <c r="H947" s="29"/>
      <c r="I947" s="30"/>
      <c r="O947" s="53"/>
    </row>
    <row r="948" spans="4:15">
      <c r="D948" s="47"/>
      <c r="E948" s="143"/>
      <c r="H948" s="29"/>
      <c r="I948" s="30"/>
      <c r="O948" s="53"/>
    </row>
    <row r="949" spans="4:15">
      <c r="D949" s="47"/>
      <c r="E949" s="143"/>
      <c r="H949" s="29"/>
      <c r="I949" s="30"/>
      <c r="O949" s="53"/>
    </row>
    <row r="950" spans="4:15">
      <c r="D950" s="47"/>
      <c r="E950" s="143"/>
      <c r="H950" s="29"/>
      <c r="I950" s="30"/>
      <c r="O950" s="53"/>
    </row>
    <row r="951" spans="4:15">
      <c r="D951" s="47"/>
      <c r="E951" s="143"/>
      <c r="H951" s="29"/>
      <c r="I951" s="30"/>
      <c r="O951" s="53"/>
    </row>
    <row r="952" spans="4:15">
      <c r="D952" s="47"/>
      <c r="E952" s="143"/>
      <c r="H952" s="29"/>
      <c r="I952" s="30"/>
      <c r="O952" s="53"/>
    </row>
    <row r="953" spans="4:15">
      <c r="D953" s="47"/>
      <c r="E953" s="143"/>
      <c r="H953" s="29"/>
      <c r="I953" s="30"/>
      <c r="O953" s="53"/>
    </row>
    <row r="954" spans="4:15">
      <c r="D954" s="47"/>
      <c r="E954" s="143"/>
      <c r="H954" s="29"/>
      <c r="I954" s="30"/>
      <c r="O954" s="53"/>
    </row>
    <row r="955" spans="4:15">
      <c r="D955" s="47"/>
      <c r="E955" s="143"/>
      <c r="H955" s="29"/>
      <c r="I955" s="30"/>
      <c r="O955" s="53"/>
    </row>
    <row r="956" spans="4:15">
      <c r="D956" s="47"/>
      <c r="E956" s="143"/>
      <c r="H956" s="29"/>
      <c r="I956" s="30"/>
      <c r="O956" s="53"/>
    </row>
    <row r="957" spans="4:15">
      <c r="D957" s="47"/>
      <c r="E957" s="143"/>
      <c r="H957" s="29"/>
      <c r="I957" s="30"/>
      <c r="O957" s="53"/>
    </row>
    <row r="958" spans="4:15">
      <c r="D958" s="47"/>
      <c r="E958" s="143"/>
      <c r="H958" s="29"/>
      <c r="I958" s="30"/>
      <c r="O958" s="53"/>
    </row>
    <row r="959" spans="4:15">
      <c r="D959" s="47"/>
      <c r="E959" s="143"/>
      <c r="H959" s="29"/>
      <c r="I959" s="30"/>
      <c r="O959" s="53"/>
    </row>
    <row r="960" spans="4:15">
      <c r="D960" s="47"/>
      <c r="E960" s="143"/>
      <c r="H960" s="29"/>
      <c r="I960" s="30"/>
      <c r="O960" s="53"/>
    </row>
    <row r="961" spans="4:15">
      <c r="D961" s="47"/>
      <c r="E961" s="143"/>
      <c r="H961" s="29"/>
      <c r="I961" s="30"/>
      <c r="O961" s="53"/>
    </row>
    <row r="962" spans="4:15">
      <c r="D962" s="47"/>
      <c r="E962" s="143"/>
      <c r="H962" s="29"/>
      <c r="I962" s="30"/>
      <c r="O962" s="53"/>
    </row>
    <row r="963" spans="4:15">
      <c r="D963" s="47"/>
      <c r="E963" s="143"/>
      <c r="H963" s="29"/>
      <c r="I963" s="30"/>
      <c r="O963" s="53"/>
    </row>
    <row r="964" spans="4:15">
      <c r="D964" s="47"/>
      <c r="E964" s="143"/>
      <c r="H964" s="29"/>
      <c r="I964" s="30"/>
      <c r="O964" s="53"/>
    </row>
    <row r="965" spans="4:15">
      <c r="D965" s="47"/>
      <c r="E965" s="143"/>
      <c r="H965" s="29"/>
      <c r="I965" s="30"/>
      <c r="O965" s="53"/>
    </row>
    <row r="966" spans="4:15">
      <c r="D966" s="47"/>
      <c r="E966" s="143"/>
      <c r="H966" s="29"/>
      <c r="I966" s="30"/>
      <c r="O966" s="53"/>
    </row>
    <row r="967" spans="4:15">
      <c r="D967" s="47"/>
      <c r="E967" s="143"/>
      <c r="H967" s="29"/>
      <c r="I967" s="30"/>
      <c r="O967" s="53"/>
    </row>
    <row r="968" spans="4:15">
      <c r="D968" s="47"/>
      <c r="E968" s="143"/>
      <c r="H968" s="29"/>
      <c r="I968" s="30"/>
      <c r="O968" s="53"/>
    </row>
    <row r="969" spans="4:15">
      <c r="D969" s="47"/>
      <c r="E969" s="143"/>
      <c r="H969" s="29"/>
      <c r="I969" s="30"/>
      <c r="O969" s="53"/>
    </row>
    <row r="970" spans="4:15">
      <c r="D970" s="47"/>
      <c r="E970" s="143"/>
      <c r="H970" s="29"/>
      <c r="I970" s="30"/>
      <c r="O970" s="53"/>
    </row>
    <row r="971" spans="4:15">
      <c r="D971" s="47"/>
      <c r="E971" s="143"/>
      <c r="H971" s="29"/>
      <c r="I971" s="30"/>
      <c r="O971" s="53"/>
    </row>
    <row r="972" spans="4:15">
      <c r="D972" s="47"/>
      <c r="E972" s="143"/>
      <c r="H972" s="29"/>
      <c r="I972" s="30"/>
      <c r="O972" s="53"/>
    </row>
    <row r="973" spans="4:15">
      <c r="D973" s="47"/>
      <c r="E973" s="143"/>
      <c r="H973" s="29"/>
      <c r="I973" s="30"/>
      <c r="O973" s="53"/>
    </row>
    <row r="974" spans="4:15">
      <c r="D974" s="47"/>
      <c r="E974" s="143"/>
      <c r="H974" s="29"/>
      <c r="I974" s="30"/>
      <c r="O974" s="53"/>
    </row>
    <row r="975" spans="4:15">
      <c r="D975" s="47"/>
      <c r="E975" s="143"/>
      <c r="H975" s="29"/>
      <c r="I975" s="30"/>
      <c r="O975" s="53"/>
    </row>
    <row r="976" spans="4:15">
      <c r="D976" s="47"/>
      <c r="E976" s="143"/>
      <c r="H976" s="29"/>
      <c r="I976" s="30"/>
      <c r="O976" s="53"/>
    </row>
    <row r="977" spans="4:15">
      <c r="D977" s="47"/>
      <c r="E977" s="143"/>
      <c r="H977" s="29"/>
      <c r="I977" s="30"/>
      <c r="O977" s="53"/>
    </row>
    <row r="978" spans="4:15">
      <c r="D978" s="47"/>
      <c r="E978" s="143"/>
      <c r="H978" s="29"/>
      <c r="I978" s="30"/>
      <c r="O978" s="53"/>
    </row>
    <row r="979" spans="4:15">
      <c r="D979" s="47"/>
      <c r="E979" s="143"/>
      <c r="H979" s="29"/>
      <c r="I979" s="30"/>
      <c r="O979" s="53"/>
    </row>
    <row r="980" spans="4:15">
      <c r="D980" s="47"/>
      <c r="E980" s="143"/>
      <c r="H980" s="29"/>
      <c r="I980" s="30"/>
      <c r="O980" s="53"/>
    </row>
    <row r="981" spans="4:15">
      <c r="D981" s="47"/>
      <c r="E981" s="143"/>
      <c r="H981" s="29"/>
      <c r="I981" s="30"/>
      <c r="O981" s="53"/>
    </row>
    <row r="982" spans="4:15">
      <c r="D982" s="47"/>
      <c r="E982" s="143"/>
      <c r="H982" s="29"/>
      <c r="I982" s="30"/>
      <c r="O982" s="53"/>
    </row>
    <row r="983" spans="4:15">
      <c r="D983" s="47"/>
      <c r="E983" s="143"/>
      <c r="H983" s="29"/>
      <c r="I983" s="30"/>
      <c r="O983" s="53"/>
    </row>
    <row r="984" spans="4:15">
      <c r="D984" s="47"/>
      <c r="E984" s="143"/>
      <c r="H984" s="29"/>
      <c r="I984" s="30"/>
      <c r="O984" s="53"/>
    </row>
    <row r="985" spans="4:15">
      <c r="D985" s="47"/>
      <c r="E985" s="143"/>
      <c r="H985" s="29"/>
      <c r="I985" s="30"/>
      <c r="O985" s="53"/>
    </row>
    <row r="986" spans="4:15">
      <c r="D986" s="47"/>
      <c r="E986" s="143"/>
      <c r="H986" s="29"/>
      <c r="I986" s="30"/>
      <c r="O986" s="53"/>
    </row>
    <row r="987" spans="4:15">
      <c r="D987" s="47"/>
      <c r="E987" s="143"/>
      <c r="H987" s="29"/>
      <c r="I987" s="30"/>
      <c r="O987" s="53"/>
    </row>
    <row r="988" spans="4:15">
      <c r="D988" s="47"/>
      <c r="E988" s="143"/>
      <c r="H988" s="29"/>
      <c r="I988" s="30"/>
      <c r="O988" s="53"/>
    </row>
    <row r="989" spans="4:15">
      <c r="D989" s="47"/>
      <c r="E989" s="143"/>
      <c r="H989" s="29"/>
      <c r="I989" s="30"/>
      <c r="O989" s="53"/>
    </row>
    <row r="990" spans="4:15">
      <c r="D990" s="47"/>
      <c r="E990" s="143"/>
      <c r="H990" s="29"/>
      <c r="I990" s="30"/>
      <c r="O990" s="53"/>
    </row>
    <row r="991" spans="4:15">
      <c r="D991" s="47"/>
      <c r="E991" s="143"/>
      <c r="H991" s="29"/>
      <c r="I991" s="30"/>
      <c r="O991" s="53"/>
    </row>
    <row r="992" spans="4:15">
      <c r="D992" s="47"/>
      <c r="E992" s="143"/>
      <c r="H992" s="29"/>
      <c r="I992" s="30"/>
      <c r="O992" s="53"/>
    </row>
    <row r="993" spans="4:21">
      <c r="D993" s="47"/>
      <c r="E993" s="143"/>
      <c r="H993" s="29"/>
      <c r="I993" s="30"/>
      <c r="O993" s="53"/>
    </row>
    <row r="994" spans="4:21">
      <c r="J994" s="47"/>
      <c r="K994" s="143"/>
      <c r="N994" s="29"/>
      <c r="O994" s="30"/>
      <c r="U994" s="53"/>
    </row>
    <row r="995" spans="4:21">
      <c r="J995" s="47"/>
      <c r="K995" s="143"/>
      <c r="N995" s="29"/>
      <c r="O995" s="30"/>
      <c r="U995" s="53"/>
    </row>
    <row r="996" spans="4:21">
      <c r="J996" s="47"/>
      <c r="K996" s="143"/>
      <c r="N996" s="29"/>
      <c r="O996" s="30"/>
      <c r="U996" s="53"/>
    </row>
    <row r="997" spans="4:21">
      <c r="J997" s="47"/>
      <c r="K997" s="143"/>
      <c r="N997" s="29"/>
      <c r="O997" s="30"/>
      <c r="U997" s="53"/>
    </row>
    <row r="998" spans="4:21">
      <c r="J998" s="47"/>
      <c r="K998" s="143"/>
      <c r="N998" s="29"/>
      <c r="O998" s="30"/>
      <c r="U998" s="53"/>
    </row>
    <row r="999" spans="4:21">
      <c r="J999" s="47"/>
      <c r="K999" s="143"/>
      <c r="N999" s="29"/>
      <c r="O999" s="30"/>
      <c r="U999" s="53"/>
    </row>
    <row r="1000" spans="4:21">
      <c r="J1000" s="47"/>
      <c r="K1000" s="143"/>
      <c r="N1000" s="29"/>
      <c r="O1000" s="30"/>
      <c r="U1000" s="53"/>
    </row>
    <row r="1001" spans="4:21">
      <c r="J1001" s="47"/>
      <c r="K1001" s="143"/>
      <c r="N1001" s="29"/>
      <c r="O1001" s="30"/>
      <c r="U1001" s="53"/>
    </row>
    <row r="1002" spans="4:21">
      <c r="J1002" s="47"/>
      <c r="K1002" s="143"/>
      <c r="N1002" s="29"/>
      <c r="O1002" s="30"/>
      <c r="U1002" s="53"/>
    </row>
    <row r="1003" spans="4:21">
      <c r="J1003" s="47"/>
      <c r="K1003" s="143"/>
      <c r="N1003" s="29"/>
      <c r="O1003" s="30"/>
      <c r="U1003" s="53"/>
    </row>
    <row r="1004" spans="4:21">
      <c r="J1004" s="47"/>
      <c r="K1004" s="143"/>
      <c r="N1004" s="29"/>
      <c r="O1004" s="30"/>
      <c r="U1004" s="53"/>
    </row>
    <row r="1005" spans="4:21">
      <c r="J1005" s="47"/>
      <c r="K1005" s="143"/>
      <c r="N1005" s="29"/>
      <c r="O1005" s="30"/>
      <c r="U1005" s="53"/>
    </row>
    <row r="1006" spans="4:21">
      <c r="J1006" s="47"/>
      <c r="K1006" s="143"/>
      <c r="N1006" s="29"/>
      <c r="O1006" s="30"/>
      <c r="U1006" s="53"/>
    </row>
    <row r="1007" spans="4:21">
      <c r="J1007" s="47"/>
      <c r="K1007" s="143"/>
      <c r="N1007" s="29"/>
      <c r="O1007" s="30"/>
      <c r="U1007" s="53"/>
    </row>
    <row r="1008" spans="4:21">
      <c r="J1008" s="47"/>
      <c r="K1008" s="143"/>
      <c r="N1008" s="29"/>
      <c r="O1008" s="30"/>
      <c r="U1008" s="53"/>
    </row>
    <row r="1009" spans="10:21">
      <c r="J1009" s="47"/>
      <c r="K1009" s="143"/>
      <c r="N1009" s="29"/>
      <c r="O1009" s="30"/>
      <c r="U1009" s="53"/>
    </row>
    <row r="1010" spans="10:21">
      <c r="J1010" s="47"/>
      <c r="K1010" s="143"/>
      <c r="N1010" s="29"/>
      <c r="O1010" s="30"/>
      <c r="U1010" s="53"/>
    </row>
    <row r="1011" spans="10:21">
      <c r="J1011" s="47"/>
      <c r="K1011" s="143"/>
      <c r="N1011" s="29"/>
      <c r="O1011" s="30"/>
      <c r="U1011" s="53"/>
    </row>
    <row r="1012" spans="10:21">
      <c r="J1012" s="47"/>
      <c r="K1012" s="143"/>
      <c r="N1012" s="29"/>
      <c r="O1012" s="30"/>
      <c r="U1012" s="53"/>
    </row>
    <row r="1013" spans="10:21">
      <c r="J1013" s="47"/>
      <c r="K1013" s="143"/>
      <c r="N1013" s="29"/>
      <c r="O1013" s="30"/>
      <c r="U1013" s="53"/>
    </row>
    <row r="1014" spans="10:21">
      <c r="J1014" s="47"/>
      <c r="K1014" s="143"/>
      <c r="N1014" s="29"/>
      <c r="O1014" s="30"/>
      <c r="U1014" s="53"/>
    </row>
    <row r="1015" spans="10:21">
      <c r="J1015" s="47"/>
      <c r="K1015" s="143"/>
      <c r="N1015" s="29"/>
      <c r="O1015" s="30"/>
      <c r="U1015" s="53"/>
    </row>
  </sheetData>
  <dataValidations count="1">
    <dataValidation type="list" allowBlank="1" showErrorMessage="1" sqref="AC25:AC30 W3:W8" xr:uid="{38494E26-9559-4105-AAEE-237246E14C9F}">
      <formula1>"Open,Inprogress,Closed"</formula1>
    </dataValidation>
  </dataValidations>
  <hyperlinks>
    <hyperlink ref="M4" r:id="rId1" xr:uid="{D49E715F-7119-42F6-8CC5-054E7F24C719}"/>
    <hyperlink ref="M3" r:id="rId2" xr:uid="{A381BF0C-167B-4006-91E9-A24782499EC4}"/>
    <hyperlink ref="M5" r:id="rId3" xr:uid="{1D5E6EA2-56A5-45A9-A66F-6951AD61F5D9}"/>
  </hyperlinks>
  <pageMargins left="0.7" right="0.7" top="0.75" bottom="0.75" header="0.3" footer="0.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BACF1-F08D-4805-A25A-A5D4C4DEE0A6}">
  <dimension ref="A1:Z3"/>
  <sheetViews>
    <sheetView workbookViewId="0">
      <selection activeCell="C13" sqref="C13"/>
    </sheetView>
  </sheetViews>
  <sheetFormatPr defaultRowHeight="12.75"/>
  <cols>
    <col min="2" max="2" width="20.7109375" customWidth="1"/>
    <col min="3" max="3" width="21.140625" customWidth="1"/>
    <col min="4" max="4" width="17.85546875" customWidth="1"/>
    <col min="5" max="5" width="23.42578125" customWidth="1"/>
    <col min="6" max="6" width="26.140625" customWidth="1"/>
    <col min="7" max="7" width="22.85546875" customWidth="1"/>
    <col min="10" max="10" width="18.28515625" customWidth="1"/>
    <col min="11" max="11" width="23.5703125" customWidth="1"/>
  </cols>
  <sheetData>
    <row r="1" spans="1:26" ht="40.5">
      <c r="A1" s="1" t="s">
        <v>254</v>
      </c>
      <c r="B1" s="31" t="s">
        <v>11</v>
      </c>
      <c r="C1" s="32" t="s">
        <v>322</v>
      </c>
      <c r="D1" s="154" t="s">
        <v>256</v>
      </c>
      <c r="E1" s="155" t="s">
        <v>324</v>
      </c>
      <c r="F1" s="155" t="s">
        <v>325</v>
      </c>
      <c r="G1" s="154" t="s">
        <v>326</v>
      </c>
      <c r="H1" s="154" t="s">
        <v>328</v>
      </c>
      <c r="I1" s="154" t="s">
        <v>259</v>
      </c>
      <c r="J1" s="156" t="s">
        <v>329</v>
      </c>
      <c r="K1" s="157" t="s">
        <v>280</v>
      </c>
      <c r="L1" s="35"/>
      <c r="M1" s="35"/>
      <c r="N1" s="35"/>
      <c r="O1" s="35"/>
      <c r="P1" s="35"/>
      <c r="Q1" s="35"/>
      <c r="R1" s="35"/>
      <c r="S1" s="35"/>
      <c r="T1" s="35"/>
      <c r="U1" s="35"/>
      <c r="V1" s="35"/>
      <c r="W1" s="35"/>
      <c r="X1" s="35"/>
      <c r="Y1" s="35"/>
      <c r="Z1" s="35"/>
    </row>
    <row r="2" spans="1:26">
      <c r="A2" s="571"/>
      <c r="B2" s="571"/>
      <c r="C2" s="571"/>
      <c r="D2" s="35"/>
      <c r="E2" s="35"/>
      <c r="F2" s="28"/>
      <c r="G2" s="35"/>
      <c r="H2" s="35"/>
      <c r="I2" s="35"/>
      <c r="J2" s="35"/>
      <c r="K2" s="35"/>
      <c r="L2" s="35"/>
      <c r="M2" s="35"/>
      <c r="N2" s="35"/>
      <c r="O2" s="35"/>
      <c r="P2" s="35"/>
      <c r="Q2" s="35"/>
      <c r="R2" s="35"/>
      <c r="S2" s="35"/>
      <c r="T2" s="35"/>
      <c r="U2" s="35"/>
      <c r="V2" s="35"/>
    </row>
    <row r="3" spans="1:26" ht="15">
      <c r="B3" s="153" t="s">
        <v>1918</v>
      </c>
    </row>
  </sheetData>
  <mergeCells count="1">
    <mergeCell ref="A2:C2"/>
  </mergeCells>
  <dataValidations count="4">
    <dataValidation type="list" allowBlank="1" showErrorMessage="1" sqref="H2" xr:uid="{20433854-49FD-430B-A196-049F56EF19FE}">
      <formula1>"Internal,External"</formula1>
    </dataValidation>
    <dataValidation type="list" allowBlank="1" showErrorMessage="1" sqref="E2" xr:uid="{CB958DEE-06C8-43F9-BD99-5E124340C942}">
      <formula1>"Bounceback,Defect,None"</formula1>
    </dataValidation>
    <dataValidation type="list" allowBlank="1" showErrorMessage="1" sqref="I2" xr:uid="{FEBCE430-4945-4D25-9927-AA47A234CF6B}">
      <formula1>"Open,Inprogress,Closed"</formula1>
    </dataValidation>
    <dataValidation type="list" allowBlank="1" showErrorMessage="1" sqref="G2" xr:uid="{E535AE12-16E9-44A4-BB2A-14298737D924}">
      <formula1>"Minor,Significant,Major"</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10D8B23B-1842-4687-A445-6558A6844CA7}">
          <x14:formula1>
            <xm:f>Details!$A$2:$A$10</xm:f>
          </x14:formula1>
          <xm:sqref>J2</xm:sqref>
        </x14:dataValidation>
      </x14:dataValidations>
    </ext>
  </extLst>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F56D0-C539-4554-B59A-2B78BE1B2AB6}">
  <sheetPr>
    <outlinePr summaryBelow="0" summaryRight="0"/>
  </sheetPr>
  <dimension ref="A1:X993"/>
  <sheetViews>
    <sheetView showGridLines="0" workbookViewId="0">
      <pane xSplit="5" ySplit="2" topLeftCell="AB3" activePane="bottomRight" state="frozen"/>
      <selection pane="bottomRight" activeCell="Q6" sqref="Q6"/>
      <selection pane="bottomLeft" activeCell="A3" sqref="A3"/>
      <selection pane="topRight" activeCell="F1" sqref="F1"/>
    </sheetView>
  </sheetViews>
  <sheetFormatPr defaultColWidth="12.5703125" defaultRowHeight="15" customHeight="1"/>
  <cols>
    <col min="1" max="1" width="4.28515625" customWidth="1"/>
    <col min="2" max="2" width="17.85546875" customWidth="1"/>
    <col min="3" max="3" width="23.28515625" customWidth="1"/>
    <col min="4" max="4" width="12.42578125" style="47" customWidth="1"/>
    <col min="5" max="5" width="37.42578125" style="144" customWidth="1"/>
    <col min="6" max="7" width="23.140625" customWidth="1"/>
    <col min="8" max="8" width="11.42578125" customWidth="1"/>
    <col min="9" max="9" width="21" customWidth="1"/>
    <col min="10" max="10" width="40.140625" customWidth="1"/>
    <col min="11" max="11" width="12.5703125" customWidth="1"/>
    <col min="12" max="12" width="40" customWidth="1"/>
    <col min="13" max="14" width="12.5703125" customWidth="1"/>
    <col min="15" max="15" width="12.5703125" style="53" customWidth="1"/>
    <col min="16" max="16" width="17" customWidth="1"/>
    <col min="17" max="17" width="46.28515625" customWidth="1"/>
    <col min="18" max="18" width="12.7109375" customWidth="1"/>
    <col min="19" max="19" width="10.140625" customWidth="1"/>
    <col min="20" max="20" width="29.42578125" customWidth="1"/>
    <col min="21" max="22" width="41.28515625" customWidth="1"/>
    <col min="23" max="23" width="21.42578125" customWidth="1"/>
    <col min="24" max="24" width="53" customWidth="1"/>
  </cols>
  <sheetData>
    <row r="1" spans="1:24" ht="15.75" customHeight="1">
      <c r="A1" s="4"/>
      <c r="B1" s="4"/>
      <c r="C1" s="4"/>
      <c r="D1" s="5"/>
      <c r="E1" s="4"/>
      <c r="F1" s="4"/>
      <c r="G1" s="4"/>
      <c r="H1" s="5"/>
      <c r="I1" s="1"/>
      <c r="J1" s="4"/>
      <c r="K1" s="4"/>
      <c r="L1" s="4"/>
      <c r="M1" s="4"/>
      <c r="N1" s="4"/>
      <c r="O1" s="48"/>
      <c r="P1" s="4"/>
      <c r="Q1" s="4"/>
      <c r="R1" s="4"/>
      <c r="S1" s="4"/>
      <c r="T1" s="4"/>
      <c r="U1" s="4"/>
      <c r="V1" s="4"/>
      <c r="W1" s="4"/>
      <c r="X1" s="6"/>
    </row>
    <row r="2" spans="1:24" ht="25.5" customHeight="1">
      <c r="A2" s="1" t="s">
        <v>254</v>
      </c>
      <c r="B2" s="59" t="s">
        <v>255</v>
      </c>
      <c r="C2" s="59" t="s">
        <v>256</v>
      </c>
      <c r="D2" s="68" t="s">
        <v>257</v>
      </c>
      <c r="E2" s="70" t="s">
        <v>258</v>
      </c>
      <c r="F2" s="70" t="s">
        <v>260</v>
      </c>
      <c r="G2" s="70" t="s">
        <v>261</v>
      </c>
      <c r="H2" s="68" t="s">
        <v>265</v>
      </c>
      <c r="I2" s="70" t="s">
        <v>266</v>
      </c>
      <c r="J2" s="70" t="s">
        <v>267</v>
      </c>
      <c r="K2" s="70" t="s">
        <v>268</v>
      </c>
      <c r="L2" s="70" t="s">
        <v>269</v>
      </c>
      <c r="M2" s="70" t="s">
        <v>270</v>
      </c>
      <c r="N2" s="70" t="s">
        <v>271</v>
      </c>
      <c r="O2" s="71" t="s">
        <v>272</v>
      </c>
      <c r="P2" s="70" t="s">
        <v>1708</v>
      </c>
      <c r="Q2" s="70" t="s">
        <v>274</v>
      </c>
      <c r="R2" s="70" t="s">
        <v>1709</v>
      </c>
      <c r="S2" s="70" t="s">
        <v>276</v>
      </c>
      <c r="T2" s="70" t="s">
        <v>274</v>
      </c>
      <c r="U2" s="70" t="s">
        <v>278</v>
      </c>
      <c r="V2" s="70" t="s">
        <v>279</v>
      </c>
      <c r="W2" s="70" t="s">
        <v>259</v>
      </c>
      <c r="X2" s="72" t="s">
        <v>280</v>
      </c>
    </row>
    <row r="3" spans="1:24" s="137" customFormat="1" ht="15.75" customHeight="1">
      <c r="A3" s="131">
        <v>1</v>
      </c>
      <c r="B3" s="127" t="s">
        <v>1934</v>
      </c>
      <c r="C3" s="133" t="s">
        <v>292</v>
      </c>
      <c r="D3" s="87" t="s">
        <v>1935</v>
      </c>
      <c r="E3" s="142" t="s">
        <v>1936</v>
      </c>
      <c r="F3" s="75">
        <v>2</v>
      </c>
      <c r="G3" s="75">
        <v>2</v>
      </c>
      <c r="H3" s="77" t="s">
        <v>290</v>
      </c>
      <c r="I3" s="77" t="s">
        <v>1776</v>
      </c>
      <c r="J3" s="77" t="s">
        <v>1560</v>
      </c>
      <c r="K3" s="77" t="s">
        <v>862</v>
      </c>
      <c r="L3" s="77" t="s">
        <v>1694</v>
      </c>
      <c r="M3" s="40" t="s">
        <v>1937</v>
      </c>
      <c r="N3" s="140">
        <v>45369</v>
      </c>
      <c r="O3" s="140">
        <v>45369</v>
      </c>
      <c r="P3" s="77" t="s">
        <v>294</v>
      </c>
      <c r="Q3" s="77" t="s">
        <v>1694</v>
      </c>
      <c r="R3" s="84" t="s">
        <v>1860</v>
      </c>
      <c r="S3" s="140">
        <v>45369</v>
      </c>
      <c r="T3" s="77" t="s">
        <v>1694</v>
      </c>
      <c r="U3" s="77" t="s">
        <v>1694</v>
      </c>
      <c r="V3" s="77" t="s">
        <v>1694</v>
      </c>
      <c r="W3" s="139" t="s">
        <v>384</v>
      </c>
      <c r="X3" s="83"/>
    </row>
    <row r="4" spans="1:24" s="137" customFormat="1" ht="32.25" customHeight="1">
      <c r="A4" s="131">
        <v>2</v>
      </c>
      <c r="B4" s="149" t="s">
        <v>1934</v>
      </c>
      <c r="C4" s="147" t="s">
        <v>292</v>
      </c>
      <c r="D4" s="87" t="s">
        <v>1938</v>
      </c>
      <c r="E4" s="142" t="s">
        <v>1939</v>
      </c>
      <c r="F4" s="75">
        <v>2</v>
      </c>
      <c r="G4" s="75">
        <v>2</v>
      </c>
      <c r="H4" s="77" t="s">
        <v>290</v>
      </c>
      <c r="I4" s="77" t="s">
        <v>1776</v>
      </c>
      <c r="J4" s="77" t="s">
        <v>1560</v>
      </c>
      <c r="K4" s="77" t="s">
        <v>862</v>
      </c>
      <c r="L4" s="77" t="s">
        <v>1694</v>
      </c>
      <c r="M4" s="129" t="s">
        <v>1940</v>
      </c>
      <c r="N4" s="141">
        <v>45370</v>
      </c>
      <c r="O4" s="141">
        <v>45370</v>
      </c>
      <c r="P4" s="84" t="s">
        <v>294</v>
      </c>
      <c r="Q4" s="77" t="s">
        <v>1694</v>
      </c>
      <c r="R4" s="84" t="s">
        <v>1860</v>
      </c>
      <c r="S4" s="135">
        <v>45370</v>
      </c>
      <c r="T4" s="77" t="s">
        <v>1694</v>
      </c>
      <c r="U4" s="84" t="s">
        <v>1694</v>
      </c>
      <c r="V4" s="150" t="s">
        <v>1694</v>
      </c>
      <c r="W4" s="83" t="s">
        <v>384</v>
      </c>
      <c r="X4" s="83"/>
    </row>
    <row r="5" spans="1:24" ht="15.75" customHeight="1">
      <c r="A5" s="98">
        <v>3</v>
      </c>
      <c r="B5" s="148" t="s">
        <v>1934</v>
      </c>
      <c r="C5" s="100" t="s">
        <v>1941</v>
      </c>
      <c r="D5" s="146" t="s">
        <v>1942</v>
      </c>
      <c r="E5" s="136" t="s">
        <v>1943</v>
      </c>
      <c r="F5" s="84">
        <v>5</v>
      </c>
      <c r="G5" s="80">
        <v>5</v>
      </c>
      <c r="H5" s="77" t="s">
        <v>290</v>
      </c>
      <c r="I5" s="138" t="s">
        <v>1944</v>
      </c>
      <c r="J5" s="77" t="s">
        <v>1560</v>
      </c>
      <c r="K5" s="77" t="s">
        <v>1728</v>
      </c>
      <c r="L5" s="77" t="s">
        <v>1728</v>
      </c>
      <c r="M5" s="77" t="s">
        <v>1728</v>
      </c>
      <c r="N5" s="77" t="s">
        <v>1728</v>
      </c>
      <c r="O5" s="77" t="s">
        <v>1728</v>
      </c>
      <c r="P5" s="77" t="s">
        <v>1728</v>
      </c>
      <c r="Q5" s="77" t="s">
        <v>1728</v>
      </c>
      <c r="R5" s="77" t="s">
        <v>1728</v>
      </c>
      <c r="S5" s="77" t="s">
        <v>1728</v>
      </c>
      <c r="T5" s="77" t="s">
        <v>1728</v>
      </c>
      <c r="U5" s="77" t="s">
        <v>1728</v>
      </c>
      <c r="V5" s="77" t="s">
        <v>1728</v>
      </c>
      <c r="W5" s="30" t="s">
        <v>384</v>
      </c>
      <c r="X5" s="30" t="s">
        <v>1945</v>
      </c>
    </row>
    <row r="6" spans="1:24" ht="33" customHeight="1">
      <c r="A6" s="98">
        <v>4</v>
      </c>
      <c r="B6" s="148" t="s">
        <v>1934</v>
      </c>
      <c r="C6" s="145" t="s">
        <v>1946</v>
      </c>
      <c r="D6" s="87" t="s">
        <v>1911</v>
      </c>
      <c r="E6" s="136" t="s">
        <v>1912</v>
      </c>
      <c r="F6" s="84">
        <v>2</v>
      </c>
      <c r="G6" s="80">
        <v>2</v>
      </c>
      <c r="H6" s="77" t="s">
        <v>290</v>
      </c>
      <c r="I6" s="77" t="s">
        <v>292</v>
      </c>
      <c r="J6" s="77" t="s">
        <v>1560</v>
      </c>
      <c r="K6" s="77" t="s">
        <v>1728</v>
      </c>
      <c r="L6" s="77" t="s">
        <v>1728</v>
      </c>
      <c r="M6" s="152" t="s">
        <v>1913</v>
      </c>
      <c r="N6" s="77" t="s">
        <v>1728</v>
      </c>
      <c r="O6" s="77" t="s">
        <v>1728</v>
      </c>
      <c r="P6" s="77" t="s">
        <v>1728</v>
      </c>
      <c r="Q6" s="77" t="s">
        <v>1728</v>
      </c>
      <c r="R6" s="77" t="s">
        <v>1728</v>
      </c>
      <c r="S6" s="77" t="s">
        <v>1728</v>
      </c>
      <c r="T6" s="77" t="s">
        <v>1728</v>
      </c>
      <c r="U6" s="77" t="s">
        <v>1728</v>
      </c>
      <c r="V6" s="77" t="s">
        <v>1728</v>
      </c>
      <c r="W6" s="30" t="s">
        <v>384</v>
      </c>
      <c r="X6" s="30" t="s">
        <v>1947</v>
      </c>
    </row>
    <row r="7" spans="1:24" ht="15.75" customHeight="1">
      <c r="A7" s="98"/>
      <c r="B7" s="97"/>
      <c r="C7" s="101"/>
      <c r="D7" s="87"/>
      <c r="E7" s="136"/>
      <c r="F7" s="84"/>
      <c r="G7" s="80"/>
      <c r="H7" s="77"/>
      <c r="I7" s="78"/>
      <c r="J7" s="78"/>
      <c r="K7" s="78"/>
      <c r="L7" s="138"/>
      <c r="M7" s="40"/>
      <c r="N7" s="134"/>
      <c r="O7" s="134"/>
      <c r="P7" s="88"/>
      <c r="Q7" s="73"/>
      <c r="R7" s="81"/>
      <c r="S7" s="135"/>
      <c r="T7" s="73"/>
      <c r="U7" s="81"/>
      <c r="V7" s="81"/>
      <c r="W7" s="30"/>
      <c r="X7" s="81"/>
    </row>
    <row r="8" spans="1:24" ht="15.75" customHeight="1">
      <c r="A8" s="98"/>
      <c r="B8" s="97"/>
      <c r="C8" s="100"/>
      <c r="D8" s="87"/>
      <c r="E8" s="136"/>
      <c r="F8" s="84"/>
      <c r="G8" s="80"/>
      <c r="H8" s="77"/>
      <c r="I8" s="78"/>
      <c r="J8" s="78"/>
      <c r="K8" s="78"/>
      <c r="L8" s="89"/>
      <c r="M8" s="40"/>
      <c r="N8" s="94"/>
      <c r="O8" s="85"/>
      <c r="P8" s="80"/>
      <c r="Q8" s="78"/>
      <c r="R8" s="81"/>
      <c r="S8" s="95"/>
      <c r="T8" s="78"/>
      <c r="U8" s="81"/>
      <c r="V8" s="81"/>
      <c r="W8" s="30"/>
      <c r="X8" s="30"/>
    </row>
    <row r="9" spans="1:24" ht="15.75" customHeight="1">
      <c r="A9" s="99"/>
      <c r="B9" s="97"/>
      <c r="C9" s="102"/>
      <c r="D9" s="46"/>
      <c r="E9" s="18"/>
      <c r="F9" s="18"/>
      <c r="G9" s="18"/>
      <c r="H9" s="12"/>
      <c r="I9" s="14"/>
      <c r="J9" s="14"/>
      <c r="K9" s="14"/>
      <c r="L9" s="67"/>
      <c r="M9" s="40"/>
      <c r="N9" s="65"/>
      <c r="O9" s="66"/>
      <c r="P9" s="14"/>
      <c r="Q9" s="14"/>
      <c r="R9" s="19"/>
      <c r="S9" s="65"/>
      <c r="T9" s="14"/>
      <c r="U9" s="19"/>
      <c r="V9" s="19"/>
      <c r="W9" s="64"/>
      <c r="X9" s="19"/>
    </row>
    <row r="10" spans="1:24" ht="15.75" customHeight="1">
      <c r="A10" s="99"/>
      <c r="B10" s="97"/>
      <c r="C10" s="103"/>
      <c r="D10" s="46"/>
      <c r="E10" s="18"/>
      <c r="F10" s="18"/>
      <c r="G10" s="18"/>
      <c r="H10" s="12"/>
      <c r="I10" s="14"/>
      <c r="J10" s="14"/>
      <c r="K10" s="14"/>
      <c r="L10" s="58"/>
      <c r="M10" s="14"/>
      <c r="N10" s="14"/>
      <c r="O10" s="9"/>
      <c r="P10" s="14"/>
      <c r="Q10" s="19"/>
      <c r="R10" s="19"/>
      <c r="S10" s="19"/>
      <c r="T10" s="19"/>
      <c r="U10" s="19"/>
      <c r="V10" s="19"/>
      <c r="W10" s="64"/>
      <c r="X10" s="19"/>
    </row>
    <row r="11" spans="1:24" ht="15.75" customHeight="1">
      <c r="A11" s="99"/>
      <c r="B11" s="97"/>
      <c r="C11" s="103"/>
      <c r="D11" s="62"/>
      <c r="E11" s="18"/>
      <c r="F11" s="18"/>
      <c r="G11" s="18"/>
      <c r="H11" s="12"/>
      <c r="I11" s="10"/>
      <c r="J11" s="14"/>
      <c r="K11" s="14"/>
      <c r="L11" s="19"/>
      <c r="M11" s="14"/>
      <c r="N11" s="14"/>
      <c r="O11" s="9"/>
      <c r="P11" s="14"/>
      <c r="Q11" s="18"/>
      <c r="R11" s="19"/>
      <c r="S11" s="19"/>
      <c r="T11" s="19"/>
      <c r="U11" s="19"/>
      <c r="V11" s="19"/>
      <c r="W11" s="64"/>
      <c r="X11" s="19"/>
    </row>
    <row r="12" spans="1:24" ht="15.75" customHeight="1">
      <c r="A12" s="99"/>
      <c r="B12" s="97"/>
      <c r="C12" s="102"/>
      <c r="D12" s="62"/>
      <c r="E12" s="45"/>
      <c r="F12" s="18"/>
      <c r="G12" s="18"/>
      <c r="H12" s="12"/>
      <c r="I12" s="14"/>
      <c r="J12" s="19"/>
      <c r="K12" s="14"/>
      <c r="L12" s="19"/>
      <c r="M12" s="14"/>
      <c r="N12" s="14"/>
      <c r="O12" s="9"/>
      <c r="P12" s="14"/>
      <c r="Q12" s="19"/>
      <c r="R12" s="19"/>
      <c r="S12" s="19"/>
      <c r="T12" s="19"/>
      <c r="U12" s="19"/>
      <c r="V12" s="19"/>
      <c r="W12" s="64"/>
      <c r="X12" s="19"/>
    </row>
    <row r="13" spans="1:24" ht="15.75" customHeight="1">
      <c r="A13" s="19"/>
      <c r="B13" s="104"/>
      <c r="C13" s="14"/>
      <c r="D13" s="12"/>
      <c r="E13" s="18"/>
      <c r="F13" s="18"/>
      <c r="G13" s="18"/>
      <c r="H13" s="12"/>
      <c r="I13" s="14"/>
      <c r="J13" s="19"/>
      <c r="K13" s="14"/>
      <c r="L13" s="19"/>
      <c r="M13" s="14"/>
      <c r="N13" s="14"/>
      <c r="O13" s="9"/>
      <c r="P13" s="14"/>
      <c r="Q13" s="19"/>
      <c r="R13" s="19"/>
      <c r="S13" s="19"/>
      <c r="T13" s="19"/>
      <c r="U13" s="19"/>
      <c r="V13" s="19"/>
      <c r="W13" s="19"/>
      <c r="X13" s="19"/>
    </row>
    <row r="14" spans="1:24" ht="15.75" customHeight="1">
      <c r="A14" s="19"/>
      <c r="B14" s="60"/>
      <c r="C14" s="14"/>
      <c r="D14" s="12"/>
      <c r="E14" s="18"/>
      <c r="F14" s="18"/>
      <c r="G14" s="18"/>
      <c r="H14" s="12"/>
      <c r="I14" s="14"/>
      <c r="J14" s="19"/>
      <c r="K14" s="14"/>
      <c r="L14" s="19"/>
      <c r="M14" s="14"/>
      <c r="N14" s="14"/>
      <c r="O14" s="9"/>
      <c r="P14" s="14"/>
      <c r="Q14" s="19"/>
      <c r="R14" s="19"/>
      <c r="S14" s="19"/>
      <c r="T14" s="19"/>
      <c r="U14" s="19"/>
      <c r="V14" s="19"/>
      <c r="W14" s="19"/>
      <c r="X14" s="19"/>
    </row>
    <row r="15" spans="1:24" ht="15.75" customHeight="1">
      <c r="A15" s="19"/>
      <c r="B15" s="60"/>
      <c r="C15" s="14"/>
      <c r="D15" s="12"/>
      <c r="E15" s="18"/>
      <c r="F15" s="18"/>
      <c r="G15" s="18"/>
      <c r="H15" s="12"/>
      <c r="I15" s="14"/>
      <c r="J15" s="19"/>
      <c r="K15" s="14"/>
      <c r="L15" s="19"/>
      <c r="M15" s="14"/>
      <c r="N15" s="14"/>
      <c r="O15" s="9"/>
      <c r="P15" s="14"/>
      <c r="Q15" s="19"/>
      <c r="R15" s="19"/>
      <c r="S15" s="19"/>
      <c r="T15" s="19"/>
      <c r="U15" s="19"/>
      <c r="V15" s="19"/>
      <c r="W15" s="19"/>
      <c r="X15" s="19"/>
    </row>
    <row r="16" spans="1:24" ht="15.75" customHeight="1">
      <c r="A16" s="19"/>
      <c r="B16" s="60"/>
      <c r="C16" s="14"/>
      <c r="D16" s="12"/>
      <c r="E16" s="18"/>
      <c r="F16" s="18"/>
      <c r="G16" s="18"/>
      <c r="H16" s="12"/>
      <c r="I16" s="14"/>
      <c r="J16" s="19"/>
      <c r="K16" s="14"/>
      <c r="L16" s="19"/>
      <c r="M16" s="14"/>
      <c r="N16" s="14"/>
      <c r="O16" s="9"/>
      <c r="P16" s="14"/>
      <c r="Q16" s="19"/>
      <c r="R16" s="19"/>
      <c r="S16" s="19"/>
      <c r="T16" s="19"/>
      <c r="U16" s="19"/>
      <c r="V16" s="19"/>
      <c r="W16" s="19"/>
      <c r="X16" s="19"/>
    </row>
    <row r="17" spans="1:24" ht="15.75" customHeight="1">
      <c r="A17" s="19"/>
      <c r="B17" s="60"/>
      <c r="C17" s="14"/>
      <c r="D17" s="12"/>
      <c r="E17" s="18"/>
      <c r="F17" s="18"/>
      <c r="G17" s="18"/>
      <c r="H17" s="12"/>
      <c r="I17" s="14"/>
      <c r="J17" s="19"/>
      <c r="K17" s="14"/>
      <c r="L17" s="19"/>
      <c r="M17" s="14"/>
      <c r="N17" s="14"/>
      <c r="O17" s="9"/>
      <c r="P17" s="14"/>
      <c r="Q17" s="19"/>
      <c r="R17" s="19"/>
      <c r="S17" s="19"/>
      <c r="T17" s="19"/>
      <c r="U17" s="19"/>
      <c r="V17" s="19"/>
      <c r="W17" s="19"/>
      <c r="X17" s="19"/>
    </row>
    <row r="18" spans="1:24" ht="15.75" customHeight="1">
      <c r="B18" s="28"/>
      <c r="C18" s="3"/>
      <c r="E18" s="28"/>
      <c r="F18" s="28"/>
      <c r="G18" s="28"/>
      <c r="H18" s="29"/>
      <c r="I18" s="63"/>
      <c r="K18" s="3"/>
      <c r="M18" s="3"/>
      <c r="N18" s="3"/>
      <c r="O18" s="52"/>
      <c r="P18" s="3"/>
    </row>
    <row r="19" spans="1:24" ht="15.75" customHeight="1">
      <c r="B19" s="28"/>
      <c r="C19" s="3"/>
      <c r="E19" s="28"/>
      <c r="F19" s="28"/>
      <c r="G19" s="28"/>
      <c r="H19" s="29"/>
      <c r="I19" s="14"/>
      <c r="K19" s="3"/>
      <c r="M19" s="3"/>
      <c r="N19" s="3"/>
      <c r="O19" s="52"/>
      <c r="P19" s="3"/>
    </row>
    <row r="20" spans="1:24" ht="15.75" customHeight="1">
      <c r="B20" s="28"/>
      <c r="C20" s="3"/>
      <c r="E20" s="28"/>
      <c r="F20" s="28"/>
      <c r="G20" s="28"/>
      <c r="H20" s="29"/>
      <c r="I20" s="14"/>
      <c r="K20" s="3"/>
      <c r="M20" s="3"/>
      <c r="N20" s="3"/>
      <c r="O20" s="52"/>
      <c r="P20" s="3"/>
    </row>
    <row r="21" spans="1:24" ht="15.75" customHeight="1">
      <c r="B21" s="28"/>
      <c r="C21" s="3"/>
      <c r="E21" s="28"/>
      <c r="F21" s="28"/>
      <c r="G21" s="28"/>
      <c r="H21" s="29"/>
      <c r="I21" s="14"/>
      <c r="K21" s="3"/>
      <c r="M21" s="3"/>
      <c r="N21" s="3"/>
      <c r="O21" s="52"/>
      <c r="P21" s="3"/>
    </row>
    <row r="22" spans="1:24" ht="15.75" customHeight="1">
      <c r="B22" s="28"/>
      <c r="C22" s="3"/>
      <c r="E22" s="28"/>
      <c r="F22" s="28"/>
      <c r="G22" s="28"/>
      <c r="H22" s="29"/>
      <c r="I22" s="14"/>
      <c r="K22" s="3"/>
      <c r="M22" s="3"/>
      <c r="N22" s="3"/>
      <c r="O22" s="52"/>
      <c r="P22" s="3"/>
    </row>
    <row r="23" spans="1:24" ht="15.75" customHeight="1">
      <c r="B23" s="28"/>
      <c r="C23" s="3"/>
      <c r="E23" s="28"/>
      <c r="F23" s="28"/>
      <c r="G23" s="28"/>
      <c r="H23" s="29"/>
      <c r="I23" s="14"/>
      <c r="K23" s="3"/>
      <c r="M23" s="3"/>
      <c r="N23" s="3"/>
      <c r="O23" s="52"/>
      <c r="P23" s="3"/>
    </row>
    <row r="24" spans="1:24" ht="15.75" customHeight="1">
      <c r="B24" s="28"/>
      <c r="C24" s="3"/>
      <c r="E24" s="28"/>
      <c r="F24" s="28"/>
      <c r="G24" s="28"/>
      <c r="H24" s="29"/>
      <c r="I24" s="14"/>
      <c r="K24" s="3"/>
      <c r="M24" s="3"/>
      <c r="N24" s="3"/>
      <c r="O24" s="52"/>
      <c r="P24" s="3"/>
    </row>
    <row r="25" spans="1:24" ht="15.75" customHeight="1">
      <c r="B25" s="28"/>
      <c r="C25" s="3"/>
      <c r="E25" s="28"/>
      <c r="F25" s="28"/>
      <c r="G25" s="28"/>
      <c r="H25" s="29"/>
      <c r="I25" s="14"/>
      <c r="K25" s="3"/>
      <c r="M25" s="3"/>
      <c r="N25" s="3"/>
      <c r="O25" s="52"/>
      <c r="P25" s="3"/>
    </row>
    <row r="26" spans="1:24" ht="15.75" customHeight="1">
      <c r="B26" s="28"/>
      <c r="C26" s="3"/>
      <c r="E26" s="28"/>
      <c r="F26" s="28"/>
      <c r="G26" s="28"/>
      <c r="H26" s="29"/>
      <c r="I26" s="14"/>
      <c r="K26" s="3"/>
      <c r="M26" s="3"/>
      <c r="N26" s="3"/>
      <c r="O26" s="52"/>
      <c r="P26" s="3"/>
    </row>
    <row r="27" spans="1:24" ht="15.75" customHeight="1">
      <c r="B27" s="28"/>
      <c r="C27" s="3"/>
      <c r="E27" s="28"/>
      <c r="F27" s="28"/>
      <c r="G27" s="28"/>
      <c r="H27" s="29"/>
      <c r="I27" s="14"/>
      <c r="K27" s="3"/>
      <c r="M27" s="3"/>
      <c r="N27" s="3"/>
      <c r="O27" s="52"/>
      <c r="P27" s="3"/>
    </row>
    <row r="28" spans="1:24" ht="15.75" customHeight="1">
      <c r="B28" s="28"/>
      <c r="C28" s="3"/>
      <c r="E28" s="28"/>
      <c r="F28" s="28"/>
      <c r="G28" s="28"/>
      <c r="H28" s="29"/>
      <c r="I28" s="14"/>
      <c r="K28" s="3"/>
      <c r="M28" s="3"/>
      <c r="N28" s="3"/>
      <c r="O28" s="52"/>
      <c r="P28" s="3"/>
    </row>
    <row r="29" spans="1:24" ht="15.75" customHeight="1">
      <c r="B29" s="28"/>
      <c r="C29" s="3"/>
      <c r="E29" s="28"/>
      <c r="F29" s="28"/>
      <c r="G29" s="28"/>
      <c r="H29" s="29"/>
      <c r="I29" s="14"/>
      <c r="K29" s="3"/>
      <c r="M29" s="3"/>
      <c r="N29" s="3"/>
      <c r="O29" s="52"/>
      <c r="P29" s="3"/>
    </row>
    <row r="30" spans="1:24" ht="15.75" customHeight="1">
      <c r="B30" s="28"/>
      <c r="C30" s="3"/>
      <c r="E30" s="28"/>
      <c r="F30" s="28"/>
      <c r="G30" s="28"/>
      <c r="H30" s="29"/>
      <c r="I30" s="14"/>
      <c r="K30" s="3"/>
      <c r="M30" s="3"/>
      <c r="N30" s="3"/>
      <c r="O30" s="52"/>
      <c r="P30" s="3"/>
    </row>
    <row r="31" spans="1:24" ht="15.75" customHeight="1">
      <c r="B31" s="28"/>
      <c r="C31" s="3"/>
      <c r="E31" s="28"/>
      <c r="F31" s="28"/>
      <c r="G31" s="28"/>
      <c r="H31" s="29"/>
      <c r="I31" s="14"/>
      <c r="K31" s="3"/>
      <c r="M31" s="3"/>
      <c r="N31" s="3"/>
      <c r="O31" s="52"/>
      <c r="P31" s="3"/>
    </row>
    <row r="32" spans="1:24" ht="15.75" customHeight="1">
      <c r="B32" s="28"/>
      <c r="C32" s="3"/>
      <c r="E32" s="28"/>
      <c r="F32" s="28"/>
      <c r="G32" s="28"/>
      <c r="H32" s="29"/>
      <c r="I32" s="14"/>
      <c r="K32" s="3"/>
      <c r="M32" s="3"/>
      <c r="N32" s="3"/>
      <c r="O32" s="52"/>
      <c r="P32" s="3"/>
    </row>
    <row r="33" spans="2:16" ht="15.75" customHeight="1">
      <c r="B33" s="28"/>
      <c r="C33" s="3"/>
      <c r="E33" s="28"/>
      <c r="F33" s="28"/>
      <c r="G33" s="28"/>
      <c r="H33" s="29"/>
      <c r="I33" s="14"/>
      <c r="K33" s="3"/>
      <c r="M33" s="3"/>
      <c r="N33" s="3"/>
      <c r="O33" s="52"/>
      <c r="P33" s="3"/>
    </row>
    <row r="34" spans="2:16" ht="15.75" customHeight="1">
      <c r="B34" s="28"/>
      <c r="C34" s="3"/>
      <c r="E34" s="28"/>
      <c r="F34" s="28"/>
      <c r="G34" s="28"/>
      <c r="H34" s="29"/>
      <c r="I34" s="14"/>
      <c r="K34" s="3"/>
      <c r="M34" s="3"/>
      <c r="N34" s="3"/>
      <c r="O34" s="52"/>
      <c r="P34" s="3"/>
    </row>
    <row r="35" spans="2:16" ht="15.75" customHeight="1">
      <c r="B35" s="28"/>
      <c r="C35" s="3"/>
      <c r="E35" s="28"/>
      <c r="F35" s="28"/>
      <c r="G35" s="28"/>
      <c r="H35" s="29"/>
      <c r="I35" s="14"/>
      <c r="K35" s="3"/>
      <c r="M35" s="3"/>
      <c r="N35" s="3"/>
      <c r="O35" s="52"/>
      <c r="P35" s="3"/>
    </row>
    <row r="36" spans="2:16" ht="15.75" customHeight="1">
      <c r="B36" s="28"/>
      <c r="C36" s="3"/>
      <c r="E36" s="28"/>
      <c r="F36" s="28"/>
      <c r="G36" s="28"/>
      <c r="H36" s="29"/>
      <c r="I36" s="14"/>
      <c r="K36" s="3"/>
      <c r="M36" s="3"/>
      <c r="N36" s="3"/>
      <c r="O36" s="52"/>
      <c r="P36" s="3"/>
    </row>
    <row r="37" spans="2:16" ht="15.75" customHeight="1">
      <c r="B37" s="28"/>
      <c r="C37" s="3"/>
      <c r="E37" s="28"/>
      <c r="F37" s="28"/>
      <c r="G37" s="28"/>
      <c r="H37" s="29"/>
      <c r="I37" s="14"/>
      <c r="K37" s="3"/>
      <c r="M37" s="3"/>
      <c r="N37" s="3"/>
      <c r="O37" s="52"/>
      <c r="P37" s="3"/>
    </row>
    <row r="38" spans="2:16" ht="15.75" customHeight="1">
      <c r="B38" s="28"/>
      <c r="C38" s="3"/>
      <c r="E38" s="28"/>
      <c r="F38" s="28"/>
      <c r="G38" s="28"/>
      <c r="H38" s="29"/>
      <c r="I38" s="14"/>
      <c r="K38" s="3"/>
      <c r="M38" s="3"/>
      <c r="N38" s="3"/>
      <c r="O38" s="52"/>
      <c r="P38" s="3"/>
    </row>
    <row r="39" spans="2:16" ht="15.75" customHeight="1">
      <c r="B39" s="28"/>
      <c r="C39" s="3"/>
      <c r="E39" s="28"/>
      <c r="F39" s="28"/>
      <c r="G39" s="28"/>
      <c r="H39" s="29"/>
      <c r="I39" s="14"/>
      <c r="K39" s="3"/>
      <c r="M39" s="3"/>
      <c r="N39" s="3"/>
      <c r="O39" s="52"/>
      <c r="P39" s="3"/>
    </row>
    <row r="40" spans="2:16" ht="15.75" customHeight="1">
      <c r="B40" s="28"/>
      <c r="C40" s="3"/>
      <c r="E40" s="28"/>
      <c r="F40" s="28"/>
      <c r="G40" s="28"/>
      <c r="H40" s="29"/>
      <c r="I40" s="14"/>
      <c r="K40" s="3"/>
      <c r="M40" s="3"/>
      <c r="N40" s="3"/>
      <c r="O40" s="52"/>
      <c r="P40" s="3"/>
    </row>
    <row r="41" spans="2:16" ht="15.75" customHeight="1">
      <c r="B41" s="28"/>
      <c r="C41" s="3"/>
      <c r="E41" s="28"/>
      <c r="F41" s="28"/>
      <c r="G41" s="28"/>
      <c r="H41" s="29"/>
      <c r="I41" s="14"/>
      <c r="K41" s="3"/>
      <c r="M41" s="3"/>
      <c r="N41" s="3"/>
      <c r="O41" s="52"/>
      <c r="P41" s="3"/>
    </row>
    <row r="42" spans="2:16" ht="15.75" customHeight="1">
      <c r="B42" s="28"/>
      <c r="C42" s="3"/>
      <c r="E42" s="28"/>
      <c r="F42" s="28"/>
      <c r="G42" s="28"/>
      <c r="H42" s="29"/>
      <c r="I42" s="14"/>
      <c r="K42" s="3"/>
      <c r="M42" s="3"/>
      <c r="N42" s="3"/>
      <c r="O42" s="52"/>
      <c r="P42" s="3"/>
    </row>
    <row r="43" spans="2:16" ht="15.75" customHeight="1">
      <c r="B43" s="28"/>
      <c r="C43" s="3"/>
      <c r="E43" s="28"/>
      <c r="F43" s="28"/>
      <c r="G43" s="28"/>
      <c r="H43" s="29"/>
      <c r="I43" s="14"/>
      <c r="K43" s="3"/>
      <c r="M43" s="3"/>
      <c r="N43" s="3"/>
      <c r="O43" s="52"/>
      <c r="P43" s="3"/>
    </row>
    <row r="44" spans="2:16" ht="15.75" customHeight="1">
      <c r="B44" s="28"/>
      <c r="C44" s="3"/>
      <c r="E44" s="28"/>
      <c r="F44" s="28"/>
      <c r="G44" s="28"/>
      <c r="H44" s="29"/>
      <c r="I44" s="14"/>
      <c r="K44" s="3"/>
      <c r="M44" s="3"/>
      <c r="N44" s="3"/>
      <c r="O44" s="52"/>
      <c r="P44" s="3"/>
    </row>
    <row r="45" spans="2:16" ht="15.75" customHeight="1">
      <c r="B45" s="28"/>
      <c r="C45" s="3"/>
      <c r="E45" s="28"/>
      <c r="F45" s="28"/>
      <c r="G45" s="28"/>
      <c r="H45" s="29"/>
      <c r="I45" s="14"/>
      <c r="K45" s="3"/>
      <c r="M45" s="3"/>
      <c r="N45" s="3"/>
      <c r="O45" s="52"/>
      <c r="P45" s="3"/>
    </row>
    <row r="46" spans="2:16" ht="15.75" customHeight="1">
      <c r="B46" s="28"/>
      <c r="C46" s="3"/>
      <c r="E46" s="28"/>
      <c r="F46" s="28"/>
      <c r="G46" s="28"/>
      <c r="H46" s="29"/>
      <c r="I46" s="14"/>
      <c r="K46" s="3"/>
      <c r="M46" s="3"/>
      <c r="N46" s="3"/>
      <c r="O46" s="52"/>
      <c r="P46" s="3"/>
    </row>
    <row r="47" spans="2:16" ht="15.75" customHeight="1">
      <c r="B47" s="28"/>
      <c r="C47" s="3"/>
      <c r="E47" s="28"/>
      <c r="F47" s="28"/>
      <c r="G47" s="28"/>
      <c r="H47" s="29"/>
      <c r="I47" s="14"/>
      <c r="K47" s="3"/>
      <c r="M47" s="3"/>
      <c r="N47" s="3"/>
      <c r="O47" s="52"/>
      <c r="P47" s="3"/>
    </row>
    <row r="48" spans="2:16" ht="15.75" customHeight="1">
      <c r="B48" s="28"/>
      <c r="C48" s="3"/>
      <c r="E48" s="28"/>
      <c r="F48" s="28"/>
      <c r="G48" s="28"/>
      <c r="H48" s="29"/>
      <c r="I48" s="14"/>
      <c r="K48" s="3"/>
      <c r="M48" s="3"/>
      <c r="N48" s="3"/>
      <c r="O48" s="52"/>
      <c r="P48" s="3"/>
    </row>
    <row r="49" spans="2:16" ht="15.75" customHeight="1">
      <c r="B49" s="28"/>
      <c r="C49" s="3"/>
      <c r="E49" s="28"/>
      <c r="F49" s="28"/>
      <c r="G49" s="28"/>
      <c r="H49" s="29"/>
      <c r="I49" s="14"/>
      <c r="K49" s="3"/>
      <c r="M49" s="3"/>
      <c r="N49" s="3"/>
      <c r="O49" s="52"/>
      <c r="P49" s="3"/>
    </row>
    <row r="50" spans="2:16" ht="15.75" customHeight="1">
      <c r="B50" s="28"/>
      <c r="C50" s="3"/>
      <c r="E50" s="28"/>
      <c r="F50" s="28"/>
      <c r="G50" s="28"/>
      <c r="H50" s="29"/>
      <c r="I50" s="14"/>
      <c r="K50" s="3"/>
      <c r="M50" s="3"/>
      <c r="N50" s="3"/>
      <c r="O50" s="52"/>
      <c r="P50" s="3"/>
    </row>
    <row r="51" spans="2:16" ht="15.75" customHeight="1">
      <c r="B51" s="28"/>
      <c r="C51" s="3"/>
      <c r="E51" s="28"/>
      <c r="F51" s="28"/>
      <c r="G51" s="28"/>
      <c r="H51" s="29"/>
      <c r="I51" s="14"/>
      <c r="K51" s="3"/>
      <c r="M51" s="3"/>
      <c r="N51" s="3"/>
      <c r="O51" s="52"/>
      <c r="P51" s="3"/>
    </row>
    <row r="52" spans="2:16" ht="15.75" customHeight="1">
      <c r="B52" s="28"/>
      <c r="C52" s="3"/>
      <c r="E52" s="28"/>
      <c r="F52" s="28"/>
      <c r="G52" s="28"/>
      <c r="H52" s="29"/>
      <c r="I52" s="14"/>
      <c r="K52" s="3"/>
      <c r="M52" s="3"/>
      <c r="N52" s="3"/>
      <c r="O52" s="52"/>
      <c r="P52" s="3"/>
    </row>
    <row r="53" spans="2:16" ht="15.75" customHeight="1">
      <c r="B53" s="28"/>
      <c r="C53" s="3"/>
      <c r="E53" s="28"/>
      <c r="F53" s="28"/>
      <c r="G53" s="28"/>
      <c r="H53" s="29"/>
      <c r="I53" s="14"/>
      <c r="K53" s="3"/>
      <c r="M53" s="3"/>
      <c r="N53" s="3"/>
      <c r="O53" s="52"/>
      <c r="P53" s="3"/>
    </row>
    <row r="54" spans="2:16" ht="15.75" customHeight="1">
      <c r="B54" s="28"/>
      <c r="C54" s="3"/>
      <c r="E54" s="28"/>
      <c r="F54" s="28"/>
      <c r="G54" s="28"/>
      <c r="H54" s="29"/>
      <c r="I54" s="14"/>
      <c r="K54" s="3"/>
      <c r="M54" s="3"/>
      <c r="N54" s="3"/>
      <c r="O54" s="52"/>
      <c r="P54" s="3"/>
    </row>
    <row r="55" spans="2:16" ht="15.75" customHeight="1">
      <c r="B55" s="28"/>
      <c r="C55" s="3"/>
      <c r="E55" s="28"/>
      <c r="F55" s="28"/>
      <c r="G55" s="28"/>
      <c r="H55" s="29"/>
      <c r="I55" s="14"/>
      <c r="K55" s="3"/>
      <c r="M55" s="3"/>
      <c r="N55" s="3"/>
      <c r="O55" s="52"/>
      <c r="P55" s="3"/>
    </row>
    <row r="56" spans="2:16" ht="15.75" customHeight="1">
      <c r="B56" s="28"/>
      <c r="C56" s="3"/>
      <c r="E56" s="28"/>
      <c r="F56" s="28"/>
      <c r="G56" s="28"/>
      <c r="H56" s="29"/>
      <c r="I56" s="14"/>
      <c r="K56" s="3"/>
      <c r="M56" s="3"/>
      <c r="N56" s="3"/>
      <c r="O56" s="52"/>
      <c r="P56" s="3"/>
    </row>
    <row r="57" spans="2:16" ht="15.75" customHeight="1">
      <c r="B57" s="28"/>
      <c r="C57" s="3"/>
      <c r="E57" s="28"/>
      <c r="F57" s="28"/>
      <c r="G57" s="28"/>
      <c r="H57" s="29"/>
      <c r="I57" s="14"/>
      <c r="K57" s="3"/>
      <c r="M57" s="3"/>
      <c r="N57" s="3"/>
      <c r="O57" s="52"/>
      <c r="P57" s="3"/>
    </row>
    <row r="58" spans="2:16" ht="15.75" customHeight="1">
      <c r="B58" s="28"/>
      <c r="C58" s="3"/>
      <c r="E58" s="28"/>
      <c r="F58" s="28"/>
      <c r="G58" s="28"/>
      <c r="H58" s="29"/>
      <c r="I58" s="14"/>
      <c r="K58" s="3"/>
      <c r="M58" s="3"/>
      <c r="N58" s="3"/>
      <c r="O58" s="52"/>
      <c r="P58" s="3"/>
    </row>
    <row r="59" spans="2:16" ht="15.75" customHeight="1">
      <c r="B59" s="28"/>
      <c r="C59" s="3"/>
      <c r="E59" s="28"/>
      <c r="F59" s="28"/>
      <c r="G59" s="28"/>
      <c r="H59" s="29"/>
      <c r="I59" s="14"/>
      <c r="K59" s="3"/>
      <c r="M59" s="3"/>
      <c r="N59" s="3"/>
      <c r="O59" s="52"/>
      <c r="P59" s="3"/>
    </row>
    <row r="60" spans="2:16" ht="15.75" customHeight="1">
      <c r="B60" s="28"/>
      <c r="C60" s="3"/>
      <c r="E60" s="28"/>
      <c r="F60" s="28"/>
      <c r="G60" s="28"/>
      <c r="H60" s="29"/>
      <c r="I60" s="14"/>
      <c r="K60" s="3"/>
      <c r="M60" s="3"/>
      <c r="N60" s="3"/>
      <c r="O60" s="52"/>
      <c r="P60" s="3"/>
    </row>
    <row r="61" spans="2:16" ht="15.75" customHeight="1">
      <c r="B61" s="28"/>
      <c r="C61" s="3"/>
      <c r="E61" s="28"/>
      <c r="F61" s="28"/>
      <c r="G61" s="28"/>
      <c r="H61" s="29"/>
      <c r="I61" s="14"/>
      <c r="K61" s="3"/>
      <c r="M61" s="3"/>
      <c r="N61" s="3"/>
      <c r="O61" s="52"/>
      <c r="P61" s="3"/>
    </row>
    <row r="62" spans="2:16" ht="15.75" customHeight="1">
      <c r="B62" s="28"/>
      <c r="C62" s="3"/>
      <c r="E62" s="28"/>
      <c r="F62" s="28"/>
      <c r="G62" s="28"/>
      <c r="H62" s="29"/>
      <c r="I62" s="14"/>
      <c r="K62" s="3"/>
      <c r="M62" s="3"/>
      <c r="N62" s="3"/>
      <c r="O62" s="52"/>
      <c r="P62" s="3"/>
    </row>
    <row r="63" spans="2:16" ht="15.75" customHeight="1">
      <c r="B63" s="28"/>
      <c r="C63" s="3"/>
      <c r="E63" s="28"/>
      <c r="F63" s="28"/>
      <c r="G63" s="28"/>
      <c r="H63" s="29"/>
      <c r="I63" s="14"/>
      <c r="K63" s="3"/>
      <c r="M63" s="3"/>
      <c r="N63" s="3"/>
      <c r="O63" s="52"/>
      <c r="P63" s="3"/>
    </row>
    <row r="64" spans="2:16" ht="15.75" customHeight="1">
      <c r="B64" s="28"/>
      <c r="C64" s="3"/>
      <c r="E64" s="28"/>
      <c r="F64" s="28"/>
      <c r="G64" s="28"/>
      <c r="H64" s="29"/>
      <c r="I64" s="14"/>
      <c r="K64" s="3"/>
      <c r="M64" s="3"/>
      <c r="N64" s="3"/>
      <c r="O64" s="52"/>
      <c r="P64" s="3"/>
    </row>
    <row r="65" spans="2:16" ht="15.75" customHeight="1">
      <c r="B65" s="28"/>
      <c r="C65" s="3"/>
      <c r="E65" s="28"/>
      <c r="F65" s="28"/>
      <c r="G65" s="28"/>
      <c r="H65" s="29"/>
      <c r="I65" s="14"/>
      <c r="K65" s="3"/>
      <c r="M65" s="3"/>
      <c r="N65" s="3"/>
      <c r="O65" s="52"/>
      <c r="P65" s="3"/>
    </row>
    <row r="66" spans="2:16" ht="15.75" customHeight="1">
      <c r="B66" s="28"/>
      <c r="C66" s="3"/>
      <c r="E66" s="28"/>
      <c r="F66" s="28"/>
      <c r="G66" s="28"/>
      <c r="H66" s="29"/>
      <c r="I66" s="14"/>
      <c r="K66" s="3"/>
      <c r="M66" s="3"/>
      <c r="N66" s="3"/>
      <c r="O66" s="52"/>
      <c r="P66" s="3"/>
    </row>
    <row r="67" spans="2:16" ht="15.75" customHeight="1">
      <c r="B67" s="28"/>
      <c r="C67" s="3"/>
      <c r="E67" s="28"/>
      <c r="F67" s="28"/>
      <c r="G67" s="28"/>
      <c r="H67" s="29"/>
      <c r="I67" s="14"/>
      <c r="K67" s="3"/>
      <c r="M67" s="3"/>
      <c r="N67" s="3"/>
      <c r="O67" s="52"/>
      <c r="P67" s="3"/>
    </row>
    <row r="68" spans="2:16" ht="15.75" customHeight="1">
      <c r="B68" s="28"/>
      <c r="C68" s="3"/>
      <c r="E68" s="28"/>
      <c r="F68" s="28"/>
      <c r="G68" s="28"/>
      <c r="H68" s="29"/>
      <c r="I68" s="14"/>
      <c r="K68" s="3"/>
      <c r="M68" s="3"/>
      <c r="N68" s="3"/>
      <c r="O68" s="52"/>
      <c r="P68" s="3"/>
    </row>
    <row r="69" spans="2:16" ht="15.75" customHeight="1">
      <c r="B69" s="28"/>
      <c r="C69" s="3"/>
      <c r="E69" s="28"/>
      <c r="F69" s="28"/>
      <c r="G69" s="28"/>
      <c r="H69" s="29"/>
      <c r="I69" s="14"/>
      <c r="K69" s="3"/>
      <c r="M69" s="3"/>
      <c r="N69" s="3"/>
      <c r="O69" s="52"/>
      <c r="P69" s="3"/>
    </row>
    <row r="70" spans="2:16" ht="15.75" customHeight="1">
      <c r="B70" s="28"/>
      <c r="C70" s="3"/>
      <c r="E70" s="28"/>
      <c r="F70" s="28"/>
      <c r="G70" s="28"/>
      <c r="H70" s="29"/>
      <c r="I70" s="14"/>
      <c r="K70" s="3"/>
      <c r="M70" s="3"/>
      <c r="N70" s="3"/>
      <c r="O70" s="52"/>
      <c r="P70" s="3"/>
    </row>
    <row r="71" spans="2:16" ht="15.75" customHeight="1">
      <c r="B71" s="28"/>
      <c r="C71" s="3"/>
      <c r="E71" s="28"/>
      <c r="F71" s="28"/>
      <c r="G71" s="28"/>
      <c r="H71" s="29"/>
      <c r="I71" s="14"/>
      <c r="K71" s="3"/>
      <c r="M71" s="3"/>
      <c r="N71" s="3"/>
      <c r="O71" s="52"/>
      <c r="P71" s="3"/>
    </row>
    <row r="72" spans="2:16" ht="15.75" customHeight="1">
      <c r="B72" s="28"/>
      <c r="C72" s="3"/>
      <c r="E72" s="28"/>
      <c r="F72" s="28"/>
      <c r="G72" s="28"/>
      <c r="H72" s="29"/>
      <c r="I72" s="14"/>
      <c r="K72" s="3"/>
      <c r="M72" s="3"/>
      <c r="N72" s="3"/>
      <c r="O72" s="52"/>
      <c r="P72" s="3"/>
    </row>
    <row r="73" spans="2:16" ht="15.75" customHeight="1">
      <c r="B73" s="28"/>
      <c r="C73" s="3"/>
      <c r="E73" s="28"/>
      <c r="F73" s="28"/>
      <c r="G73" s="28"/>
      <c r="H73" s="29"/>
      <c r="I73" s="14"/>
      <c r="K73" s="3"/>
      <c r="M73" s="3"/>
      <c r="N73" s="3"/>
      <c r="O73" s="52"/>
      <c r="P73" s="3"/>
    </row>
    <row r="74" spans="2:16" ht="15.75" customHeight="1">
      <c r="B74" s="28"/>
      <c r="C74" s="3"/>
      <c r="E74" s="28"/>
      <c r="F74" s="28"/>
      <c r="G74" s="28"/>
      <c r="H74" s="29"/>
      <c r="I74" s="14"/>
      <c r="K74" s="3"/>
      <c r="M74" s="3"/>
      <c r="N74" s="3"/>
      <c r="O74" s="52"/>
      <c r="P74" s="3"/>
    </row>
    <row r="75" spans="2:16" ht="15.75" customHeight="1">
      <c r="B75" s="28"/>
      <c r="C75" s="3"/>
      <c r="E75" s="28"/>
      <c r="F75" s="28"/>
      <c r="G75" s="28"/>
      <c r="H75" s="29"/>
      <c r="I75" s="14"/>
      <c r="K75" s="3"/>
      <c r="M75" s="3"/>
      <c r="N75" s="3"/>
      <c r="O75" s="52"/>
      <c r="P75" s="3"/>
    </row>
    <row r="76" spans="2:16" ht="15.75" customHeight="1">
      <c r="B76" s="28"/>
      <c r="C76" s="3"/>
      <c r="E76" s="28"/>
      <c r="F76" s="28"/>
      <c r="G76" s="28"/>
      <c r="H76" s="29"/>
      <c r="I76" s="14"/>
      <c r="K76" s="3"/>
      <c r="M76" s="3"/>
      <c r="N76" s="3"/>
      <c r="O76" s="52"/>
      <c r="P76" s="3"/>
    </row>
    <row r="77" spans="2:16" ht="15.75" customHeight="1">
      <c r="B77" s="28"/>
      <c r="C77" s="3"/>
      <c r="E77" s="28"/>
      <c r="F77" s="28"/>
      <c r="G77" s="28"/>
      <c r="H77" s="29"/>
      <c r="I77" s="14"/>
      <c r="K77" s="3"/>
      <c r="M77" s="3"/>
      <c r="N77" s="3"/>
      <c r="O77" s="52"/>
      <c r="P77" s="3"/>
    </row>
    <row r="78" spans="2:16" ht="15.75" customHeight="1">
      <c r="B78" s="28"/>
      <c r="C78" s="3"/>
      <c r="E78" s="28"/>
      <c r="F78" s="28"/>
      <c r="G78" s="28"/>
      <c r="H78" s="29"/>
      <c r="I78" s="14"/>
      <c r="K78" s="3"/>
      <c r="M78" s="3"/>
      <c r="N78" s="3"/>
      <c r="O78" s="52"/>
      <c r="P78" s="3"/>
    </row>
    <row r="79" spans="2:16" ht="15.75" customHeight="1">
      <c r="B79" s="28"/>
      <c r="C79" s="3"/>
      <c r="E79" s="28"/>
      <c r="F79" s="28"/>
      <c r="G79" s="28"/>
      <c r="H79" s="29"/>
      <c r="I79" s="14"/>
      <c r="K79" s="3"/>
      <c r="M79" s="3"/>
      <c r="N79" s="3"/>
      <c r="O79" s="52"/>
      <c r="P79" s="3"/>
    </row>
    <row r="80" spans="2:16" ht="15.75" customHeight="1">
      <c r="B80" s="28"/>
      <c r="C80" s="3"/>
      <c r="E80" s="28"/>
      <c r="F80" s="28"/>
      <c r="G80" s="28"/>
      <c r="H80" s="29"/>
      <c r="I80" s="14"/>
      <c r="K80" s="3"/>
      <c r="M80" s="3"/>
      <c r="N80" s="3"/>
      <c r="O80" s="52"/>
      <c r="P80" s="3"/>
    </row>
    <row r="81" spans="2:16" ht="15.75" customHeight="1">
      <c r="B81" s="28"/>
      <c r="C81" s="3"/>
      <c r="E81" s="28"/>
      <c r="F81" s="28"/>
      <c r="G81" s="28"/>
      <c r="H81" s="29"/>
      <c r="I81" s="14"/>
      <c r="K81" s="3"/>
      <c r="M81" s="3"/>
      <c r="N81" s="3"/>
      <c r="O81" s="52"/>
      <c r="P81" s="3"/>
    </row>
    <row r="82" spans="2:16" ht="15.75" customHeight="1">
      <c r="B82" s="28"/>
      <c r="C82" s="3"/>
      <c r="E82" s="28"/>
      <c r="F82" s="28"/>
      <c r="G82" s="28"/>
      <c r="H82" s="29"/>
      <c r="I82" s="14"/>
      <c r="K82" s="3"/>
      <c r="M82" s="3"/>
      <c r="N82" s="3"/>
      <c r="O82" s="52"/>
      <c r="P82" s="3"/>
    </row>
    <row r="83" spans="2:16" ht="15.75" customHeight="1">
      <c r="B83" s="28"/>
      <c r="C83" s="3"/>
      <c r="E83" s="28"/>
      <c r="F83" s="28"/>
      <c r="G83" s="28"/>
      <c r="H83" s="29"/>
      <c r="I83" s="14"/>
      <c r="K83" s="3"/>
      <c r="M83" s="3"/>
      <c r="N83" s="3"/>
      <c r="O83" s="52"/>
      <c r="P83" s="3"/>
    </row>
    <row r="84" spans="2:16" ht="15.75" customHeight="1">
      <c r="B84" s="28"/>
      <c r="C84" s="3"/>
      <c r="E84" s="28"/>
      <c r="F84" s="28"/>
      <c r="G84" s="28"/>
      <c r="H84" s="29"/>
      <c r="I84" s="14"/>
      <c r="K84" s="3"/>
      <c r="M84" s="3"/>
      <c r="N84" s="3"/>
      <c r="O84" s="52"/>
      <c r="P84" s="3"/>
    </row>
    <row r="85" spans="2:16" ht="15.75" customHeight="1">
      <c r="B85" s="28"/>
      <c r="C85" s="3"/>
      <c r="E85" s="28"/>
      <c r="F85" s="28"/>
      <c r="G85" s="28"/>
      <c r="H85" s="29"/>
      <c r="I85" s="14"/>
      <c r="K85" s="3"/>
      <c r="M85" s="3"/>
      <c r="N85" s="3"/>
      <c r="O85" s="52"/>
      <c r="P85" s="3"/>
    </row>
    <row r="86" spans="2:16" ht="15.75" customHeight="1">
      <c r="B86" s="28"/>
      <c r="C86" s="3"/>
      <c r="E86" s="28"/>
      <c r="F86" s="28"/>
      <c r="G86" s="28"/>
      <c r="H86" s="29"/>
      <c r="I86" s="14"/>
      <c r="K86" s="3"/>
      <c r="M86" s="3"/>
      <c r="N86" s="3"/>
      <c r="O86" s="52"/>
      <c r="P86" s="3"/>
    </row>
    <row r="87" spans="2:16" ht="15.75" customHeight="1">
      <c r="B87" s="28"/>
      <c r="C87" s="3"/>
      <c r="E87" s="28"/>
      <c r="F87" s="28"/>
      <c r="G87" s="28"/>
      <c r="H87" s="29"/>
      <c r="I87" s="14"/>
      <c r="K87" s="3"/>
      <c r="M87" s="3"/>
      <c r="N87" s="3"/>
      <c r="O87" s="52"/>
      <c r="P87" s="3"/>
    </row>
    <row r="88" spans="2:16" ht="15.75" customHeight="1">
      <c r="B88" s="28"/>
      <c r="C88" s="3"/>
      <c r="E88" s="28"/>
      <c r="F88" s="28"/>
      <c r="G88" s="28"/>
      <c r="H88" s="29"/>
      <c r="I88" s="14"/>
      <c r="K88" s="3"/>
      <c r="M88" s="3"/>
      <c r="N88" s="3"/>
      <c r="O88" s="52"/>
      <c r="P88" s="3"/>
    </row>
    <row r="89" spans="2:16" ht="15.75" customHeight="1">
      <c r="B89" s="28"/>
      <c r="C89" s="3"/>
      <c r="E89" s="28"/>
      <c r="F89" s="28"/>
      <c r="G89" s="28"/>
      <c r="H89" s="29"/>
      <c r="I89" s="14"/>
      <c r="K89" s="3"/>
      <c r="M89" s="3"/>
      <c r="N89" s="3"/>
      <c r="O89" s="52"/>
      <c r="P89" s="3"/>
    </row>
    <row r="90" spans="2:16" ht="15.75" customHeight="1">
      <c r="B90" s="28"/>
      <c r="C90" s="3"/>
      <c r="E90" s="28"/>
      <c r="F90" s="28"/>
      <c r="G90" s="28"/>
      <c r="H90" s="29"/>
      <c r="I90" s="14"/>
      <c r="K90" s="3"/>
      <c r="M90" s="3"/>
      <c r="N90" s="3"/>
      <c r="O90" s="52"/>
      <c r="P90" s="3"/>
    </row>
    <row r="91" spans="2:16" ht="15.75" customHeight="1">
      <c r="B91" s="28"/>
      <c r="C91" s="3"/>
      <c r="E91" s="28"/>
      <c r="F91" s="28"/>
      <c r="G91" s="28"/>
      <c r="H91" s="29"/>
      <c r="I91" s="14"/>
      <c r="K91" s="3"/>
      <c r="M91" s="3"/>
      <c r="N91" s="3"/>
      <c r="O91" s="52"/>
      <c r="P91" s="3"/>
    </row>
    <row r="92" spans="2:16" ht="15.75" customHeight="1">
      <c r="B92" s="28"/>
      <c r="C92" s="3"/>
      <c r="E92" s="28"/>
      <c r="F92" s="28"/>
      <c r="G92" s="28"/>
      <c r="H92" s="29"/>
      <c r="I92" s="14"/>
      <c r="K92" s="3"/>
      <c r="M92" s="3"/>
      <c r="N92" s="3"/>
      <c r="O92" s="52"/>
      <c r="P92" s="3"/>
    </row>
    <row r="93" spans="2:16" ht="15.75" customHeight="1">
      <c r="B93" s="28"/>
      <c r="C93" s="3"/>
      <c r="E93" s="28"/>
      <c r="F93" s="28"/>
      <c r="G93" s="28"/>
      <c r="H93" s="29"/>
      <c r="I93" s="14"/>
      <c r="K93" s="3"/>
      <c r="M93" s="3"/>
      <c r="N93" s="3"/>
      <c r="O93" s="52"/>
      <c r="P93" s="3"/>
    </row>
    <row r="94" spans="2:16" ht="15.75" customHeight="1">
      <c r="B94" s="28"/>
      <c r="C94" s="3"/>
      <c r="E94" s="28"/>
      <c r="F94" s="28"/>
      <c r="G94" s="28"/>
      <c r="H94" s="29"/>
      <c r="I94" s="14"/>
      <c r="K94" s="3"/>
      <c r="M94" s="3"/>
      <c r="N94" s="3"/>
      <c r="O94" s="52"/>
      <c r="P94" s="3"/>
    </row>
    <row r="95" spans="2:16" ht="15.75" customHeight="1">
      <c r="B95" s="28"/>
      <c r="C95" s="3"/>
      <c r="E95" s="28"/>
      <c r="F95" s="28"/>
      <c r="G95" s="28"/>
      <c r="H95" s="29"/>
      <c r="I95" s="14"/>
      <c r="K95" s="3"/>
      <c r="M95" s="3"/>
      <c r="N95" s="3"/>
      <c r="O95" s="52"/>
      <c r="P95" s="3"/>
    </row>
    <row r="96" spans="2:16" ht="15.75" customHeight="1">
      <c r="B96" s="28"/>
      <c r="C96" s="3"/>
      <c r="E96" s="28"/>
      <c r="F96" s="28"/>
      <c r="G96" s="28"/>
      <c r="H96" s="29"/>
      <c r="I96" s="14"/>
      <c r="K96" s="3"/>
      <c r="M96" s="3"/>
      <c r="N96" s="3"/>
      <c r="O96" s="52"/>
      <c r="P96" s="3"/>
    </row>
    <row r="97" spans="2:16" ht="15.75" customHeight="1">
      <c r="B97" s="28"/>
      <c r="C97" s="3"/>
      <c r="E97" s="28"/>
      <c r="F97" s="28"/>
      <c r="G97" s="28"/>
      <c r="H97" s="29"/>
      <c r="I97" s="14"/>
      <c r="K97" s="3"/>
      <c r="M97" s="3"/>
      <c r="N97" s="3"/>
      <c r="O97" s="52"/>
      <c r="P97" s="3"/>
    </row>
    <row r="98" spans="2:16" ht="15.75" customHeight="1">
      <c r="B98" s="28"/>
      <c r="C98" s="3"/>
      <c r="E98" s="28"/>
      <c r="F98" s="28"/>
      <c r="G98" s="28"/>
      <c r="H98" s="29"/>
      <c r="I98" s="14"/>
      <c r="K98" s="3"/>
      <c r="M98" s="3"/>
      <c r="N98" s="3"/>
      <c r="O98" s="52"/>
      <c r="P98" s="3"/>
    </row>
    <row r="99" spans="2:16" ht="15.75" customHeight="1">
      <c r="B99" s="28"/>
      <c r="C99" s="3"/>
      <c r="E99" s="28"/>
      <c r="F99" s="28"/>
      <c r="G99" s="28"/>
      <c r="H99" s="29"/>
      <c r="I99" s="14"/>
      <c r="K99" s="3"/>
      <c r="M99" s="3"/>
      <c r="N99" s="3"/>
      <c r="O99" s="52"/>
      <c r="P99" s="3"/>
    </row>
    <row r="100" spans="2:16" ht="15.75" customHeight="1">
      <c r="B100" s="28"/>
      <c r="C100" s="3"/>
      <c r="E100" s="28"/>
      <c r="F100" s="28"/>
      <c r="G100" s="28"/>
      <c r="H100" s="29"/>
      <c r="I100" s="14"/>
      <c r="K100" s="3"/>
      <c r="M100" s="3"/>
      <c r="N100" s="3"/>
      <c r="O100" s="52"/>
      <c r="P100" s="3"/>
    </row>
    <row r="101" spans="2:16" ht="15.75" customHeight="1">
      <c r="B101" s="28"/>
      <c r="C101" s="3"/>
      <c r="E101" s="28"/>
      <c r="F101" s="28"/>
      <c r="G101" s="28"/>
      <c r="H101" s="29"/>
      <c r="I101" s="14"/>
      <c r="K101" s="3"/>
      <c r="M101" s="3"/>
      <c r="N101" s="3"/>
      <c r="O101" s="52"/>
      <c r="P101" s="3"/>
    </row>
    <row r="102" spans="2:16" ht="15.75" customHeight="1">
      <c r="B102" s="28"/>
      <c r="C102" s="3"/>
      <c r="E102" s="28"/>
      <c r="F102" s="28"/>
      <c r="G102" s="28"/>
      <c r="H102" s="29"/>
      <c r="I102" s="14"/>
      <c r="K102" s="3"/>
      <c r="M102" s="3"/>
      <c r="N102" s="3"/>
      <c r="O102" s="52"/>
      <c r="P102" s="3"/>
    </row>
    <row r="103" spans="2:16" ht="15.75" customHeight="1">
      <c r="B103" s="28"/>
      <c r="C103" s="3"/>
      <c r="E103" s="28"/>
      <c r="F103" s="28"/>
      <c r="G103" s="28"/>
      <c r="H103" s="29"/>
      <c r="I103" s="14"/>
      <c r="K103" s="3"/>
      <c r="M103" s="3"/>
      <c r="N103" s="3"/>
      <c r="O103" s="52"/>
      <c r="P103" s="3"/>
    </row>
    <row r="104" spans="2:16" ht="15.75" customHeight="1">
      <c r="B104" s="28"/>
      <c r="C104" s="3"/>
      <c r="E104" s="28"/>
      <c r="F104" s="28"/>
      <c r="G104" s="28"/>
      <c r="H104" s="29"/>
      <c r="I104" s="14"/>
      <c r="K104" s="3"/>
      <c r="M104" s="3"/>
      <c r="N104" s="3"/>
      <c r="O104" s="52"/>
      <c r="P104" s="3"/>
    </row>
    <row r="105" spans="2:16" ht="15.75" customHeight="1">
      <c r="B105" s="28"/>
      <c r="C105" s="3"/>
      <c r="E105" s="28"/>
      <c r="F105" s="28"/>
      <c r="G105" s="28"/>
      <c r="H105" s="29"/>
      <c r="I105" s="14"/>
      <c r="K105" s="3"/>
      <c r="M105" s="3"/>
      <c r="N105" s="3"/>
      <c r="O105" s="52"/>
      <c r="P105" s="3"/>
    </row>
    <row r="106" spans="2:16" ht="15.75" customHeight="1">
      <c r="B106" s="28"/>
      <c r="C106" s="3"/>
      <c r="E106" s="28"/>
      <c r="F106" s="28"/>
      <c r="G106" s="28"/>
      <c r="H106" s="29"/>
      <c r="I106" s="14"/>
      <c r="K106" s="3"/>
      <c r="M106" s="3"/>
      <c r="N106" s="3"/>
      <c r="O106" s="52"/>
      <c r="P106" s="3"/>
    </row>
    <row r="107" spans="2:16" ht="15.75" customHeight="1">
      <c r="B107" s="28"/>
      <c r="C107" s="3"/>
      <c r="E107" s="28"/>
      <c r="F107" s="28"/>
      <c r="G107" s="28"/>
      <c r="H107" s="29"/>
      <c r="I107" s="14"/>
      <c r="K107" s="3"/>
      <c r="M107" s="3"/>
      <c r="N107" s="3"/>
      <c r="O107" s="52"/>
      <c r="P107" s="3"/>
    </row>
    <row r="108" spans="2:16" ht="15.75" customHeight="1">
      <c r="B108" s="28"/>
      <c r="C108" s="3"/>
      <c r="E108" s="28"/>
      <c r="F108" s="28"/>
      <c r="G108" s="28"/>
      <c r="H108" s="29"/>
      <c r="I108" s="14"/>
      <c r="K108" s="3"/>
      <c r="M108" s="3"/>
      <c r="N108" s="3"/>
      <c r="O108" s="52"/>
      <c r="P108" s="3"/>
    </row>
    <row r="109" spans="2:16" ht="15.75" customHeight="1">
      <c r="B109" s="28"/>
      <c r="C109" s="3"/>
      <c r="E109" s="28"/>
      <c r="F109" s="28"/>
      <c r="G109" s="28"/>
      <c r="H109" s="29"/>
      <c r="I109" s="14"/>
      <c r="K109" s="3"/>
      <c r="M109" s="3"/>
      <c r="N109" s="3"/>
      <c r="O109" s="52"/>
      <c r="P109" s="3"/>
    </row>
    <row r="110" spans="2:16" ht="15.75" customHeight="1">
      <c r="B110" s="28"/>
      <c r="C110" s="3"/>
      <c r="E110" s="28"/>
      <c r="F110" s="28"/>
      <c r="G110" s="28"/>
      <c r="H110" s="29"/>
      <c r="I110" s="14"/>
      <c r="K110" s="3"/>
      <c r="M110" s="3"/>
      <c r="N110" s="3"/>
      <c r="O110" s="52"/>
      <c r="P110" s="3"/>
    </row>
    <row r="111" spans="2:16" ht="15.75" customHeight="1">
      <c r="B111" s="28"/>
      <c r="C111" s="3"/>
      <c r="E111" s="28"/>
      <c r="F111" s="28"/>
      <c r="G111" s="28"/>
      <c r="H111" s="29"/>
      <c r="I111" s="14"/>
      <c r="K111" s="3"/>
      <c r="M111" s="3"/>
      <c r="N111" s="3"/>
      <c r="O111" s="52"/>
      <c r="P111" s="3"/>
    </row>
    <row r="112" spans="2:16" ht="15.75" customHeight="1">
      <c r="B112" s="28"/>
      <c r="C112" s="3"/>
      <c r="E112" s="28"/>
      <c r="F112" s="28"/>
      <c r="G112" s="28"/>
      <c r="H112" s="29"/>
      <c r="I112" s="14"/>
      <c r="K112" s="3"/>
      <c r="M112" s="3"/>
      <c r="N112" s="3"/>
      <c r="O112" s="52"/>
      <c r="P112" s="3"/>
    </row>
    <row r="113" spans="2:16" ht="15.75" customHeight="1">
      <c r="B113" s="28"/>
      <c r="C113" s="3"/>
      <c r="E113" s="28"/>
      <c r="F113" s="28"/>
      <c r="G113" s="28"/>
      <c r="H113" s="29"/>
      <c r="I113" s="14"/>
      <c r="K113" s="3"/>
      <c r="M113" s="3"/>
      <c r="N113" s="3"/>
      <c r="O113" s="52"/>
      <c r="P113" s="3"/>
    </row>
    <row r="114" spans="2:16" ht="15.75" customHeight="1">
      <c r="B114" s="28"/>
      <c r="C114" s="3"/>
      <c r="E114" s="28"/>
      <c r="F114" s="28"/>
      <c r="G114" s="28"/>
      <c r="H114" s="29"/>
      <c r="I114" s="14"/>
      <c r="K114" s="3"/>
      <c r="M114" s="3"/>
      <c r="N114" s="3"/>
      <c r="O114" s="52"/>
      <c r="P114" s="3"/>
    </row>
    <row r="115" spans="2:16" ht="15.75" customHeight="1">
      <c r="B115" s="28"/>
      <c r="C115" s="3"/>
      <c r="E115" s="28"/>
      <c r="F115" s="28"/>
      <c r="G115" s="28"/>
      <c r="H115" s="29"/>
      <c r="I115" s="14"/>
      <c r="K115" s="3"/>
      <c r="M115" s="3"/>
      <c r="N115" s="3"/>
      <c r="O115" s="52"/>
      <c r="P115" s="3"/>
    </row>
    <row r="116" spans="2:16" ht="15.75" customHeight="1">
      <c r="B116" s="28"/>
      <c r="C116" s="3"/>
      <c r="E116" s="28"/>
      <c r="F116" s="28"/>
      <c r="G116" s="28"/>
      <c r="H116" s="29"/>
      <c r="I116" s="14"/>
      <c r="K116" s="3"/>
      <c r="M116" s="3"/>
      <c r="N116" s="3"/>
      <c r="O116" s="52"/>
      <c r="P116" s="3"/>
    </row>
    <row r="117" spans="2:16" ht="15.75" customHeight="1">
      <c r="B117" s="28"/>
      <c r="C117" s="3"/>
      <c r="E117" s="28"/>
      <c r="F117" s="28"/>
      <c r="G117" s="28"/>
      <c r="H117" s="29"/>
      <c r="I117" s="14"/>
      <c r="K117" s="3"/>
      <c r="M117" s="3"/>
      <c r="N117" s="3"/>
      <c r="O117" s="52"/>
      <c r="P117" s="3"/>
    </row>
    <row r="118" spans="2:16" ht="15.75" customHeight="1">
      <c r="B118" s="28"/>
      <c r="C118" s="3"/>
      <c r="E118" s="28"/>
      <c r="F118" s="28"/>
      <c r="G118" s="28"/>
      <c r="H118" s="29"/>
      <c r="I118" s="14"/>
      <c r="K118" s="3"/>
      <c r="M118" s="3"/>
      <c r="N118" s="3"/>
      <c r="O118" s="52"/>
      <c r="P118" s="3"/>
    </row>
    <row r="119" spans="2:16" ht="15.75" customHeight="1">
      <c r="B119" s="28"/>
      <c r="C119" s="3"/>
      <c r="E119" s="28"/>
      <c r="F119" s="28"/>
      <c r="G119" s="28"/>
      <c r="H119" s="29"/>
      <c r="I119" s="14"/>
      <c r="K119" s="3"/>
      <c r="M119" s="3"/>
      <c r="N119" s="3"/>
      <c r="O119" s="52"/>
      <c r="P119" s="3"/>
    </row>
    <row r="120" spans="2:16" ht="15.75" customHeight="1">
      <c r="B120" s="28"/>
      <c r="C120" s="3"/>
      <c r="E120" s="28"/>
      <c r="F120" s="28"/>
      <c r="G120" s="28"/>
      <c r="H120" s="29"/>
      <c r="I120" s="14"/>
      <c r="K120" s="3"/>
      <c r="M120" s="3"/>
      <c r="N120" s="3"/>
      <c r="O120" s="52"/>
      <c r="P120" s="3"/>
    </row>
    <row r="121" spans="2:16" ht="15.75" customHeight="1">
      <c r="B121" s="28"/>
      <c r="C121" s="3"/>
      <c r="E121" s="28"/>
      <c r="F121" s="28"/>
      <c r="G121" s="28"/>
      <c r="H121" s="29"/>
      <c r="I121" s="14"/>
      <c r="K121" s="3"/>
      <c r="M121" s="3"/>
      <c r="N121" s="3"/>
      <c r="O121" s="52"/>
      <c r="P121" s="3"/>
    </row>
    <row r="122" spans="2:16" ht="15.75" customHeight="1">
      <c r="B122" s="28"/>
      <c r="C122" s="3"/>
      <c r="E122" s="28"/>
      <c r="F122" s="28"/>
      <c r="G122" s="28"/>
      <c r="H122" s="29"/>
      <c r="I122" s="14"/>
      <c r="K122" s="3"/>
      <c r="M122" s="3"/>
      <c r="N122" s="3"/>
      <c r="O122" s="52"/>
      <c r="P122" s="3"/>
    </row>
    <row r="123" spans="2:16" ht="15.75" customHeight="1">
      <c r="B123" s="28"/>
      <c r="C123" s="3"/>
      <c r="E123" s="28"/>
      <c r="F123" s="28"/>
      <c r="G123" s="28"/>
      <c r="H123" s="29"/>
      <c r="I123" s="14"/>
      <c r="K123" s="3"/>
      <c r="M123" s="3"/>
      <c r="N123" s="3"/>
      <c r="O123" s="52"/>
      <c r="P123" s="3"/>
    </row>
    <row r="124" spans="2:16" ht="15.75" customHeight="1">
      <c r="B124" s="28"/>
      <c r="C124" s="3"/>
      <c r="E124" s="28"/>
      <c r="F124" s="28"/>
      <c r="G124" s="28"/>
      <c r="H124" s="29"/>
      <c r="I124" s="14"/>
      <c r="K124" s="3"/>
      <c r="M124" s="3"/>
      <c r="N124" s="3"/>
      <c r="O124" s="52"/>
      <c r="P124" s="3"/>
    </row>
    <row r="125" spans="2:16" ht="15.75" customHeight="1">
      <c r="B125" s="28"/>
      <c r="C125" s="3"/>
      <c r="E125" s="28"/>
      <c r="F125" s="28"/>
      <c r="G125" s="28"/>
      <c r="H125" s="29"/>
      <c r="I125" s="14"/>
      <c r="K125" s="3"/>
      <c r="M125" s="3"/>
      <c r="N125" s="3"/>
      <c r="O125" s="52"/>
      <c r="P125" s="3"/>
    </row>
    <row r="126" spans="2:16" ht="15.75" customHeight="1">
      <c r="B126" s="28"/>
      <c r="C126" s="3"/>
      <c r="E126" s="28"/>
      <c r="F126" s="28"/>
      <c r="G126" s="28"/>
      <c r="H126" s="29"/>
      <c r="I126" s="14"/>
      <c r="K126" s="3"/>
      <c r="M126" s="3"/>
      <c r="N126" s="3"/>
      <c r="O126" s="52"/>
      <c r="P126" s="3"/>
    </row>
    <row r="127" spans="2:16" ht="15.75" customHeight="1">
      <c r="B127" s="28"/>
      <c r="C127" s="3"/>
      <c r="E127" s="28"/>
      <c r="F127" s="28"/>
      <c r="G127" s="28"/>
      <c r="H127" s="29"/>
      <c r="I127" s="14"/>
      <c r="K127" s="3"/>
      <c r="M127" s="3"/>
      <c r="N127" s="3"/>
      <c r="O127" s="52"/>
      <c r="P127" s="3"/>
    </row>
    <row r="128" spans="2:16" ht="15.75" customHeight="1">
      <c r="B128" s="28"/>
      <c r="C128" s="3"/>
      <c r="E128" s="28"/>
      <c r="F128" s="28"/>
      <c r="G128" s="28"/>
      <c r="H128" s="29"/>
      <c r="I128" s="14"/>
      <c r="K128" s="3"/>
      <c r="M128" s="3"/>
      <c r="N128" s="3"/>
      <c r="O128" s="52"/>
      <c r="P128" s="3"/>
    </row>
    <row r="129" spans="2:16" ht="15.75" customHeight="1">
      <c r="B129" s="28"/>
      <c r="C129" s="3"/>
      <c r="E129" s="28"/>
      <c r="F129" s="28"/>
      <c r="G129" s="28"/>
      <c r="H129" s="29"/>
      <c r="I129" s="14"/>
      <c r="K129" s="3"/>
      <c r="M129" s="3"/>
      <c r="N129" s="3"/>
      <c r="O129" s="52"/>
      <c r="P129" s="3"/>
    </row>
    <row r="130" spans="2:16" ht="15.75" customHeight="1">
      <c r="B130" s="28"/>
      <c r="C130" s="3"/>
      <c r="E130" s="28"/>
      <c r="F130" s="28"/>
      <c r="G130" s="28"/>
      <c r="H130" s="29"/>
      <c r="I130" s="14"/>
      <c r="K130" s="3"/>
      <c r="M130" s="3"/>
      <c r="N130" s="3"/>
      <c r="O130" s="52"/>
      <c r="P130" s="3"/>
    </row>
    <row r="131" spans="2:16" ht="15.75" customHeight="1">
      <c r="B131" s="28"/>
      <c r="C131" s="3"/>
      <c r="E131" s="28"/>
      <c r="F131" s="28"/>
      <c r="G131" s="28"/>
      <c r="H131" s="29"/>
      <c r="I131" s="14"/>
      <c r="K131" s="3"/>
      <c r="M131" s="3"/>
      <c r="N131" s="3"/>
      <c r="O131" s="52"/>
      <c r="P131" s="3"/>
    </row>
    <row r="132" spans="2:16" ht="15.75" customHeight="1">
      <c r="B132" s="28"/>
      <c r="C132" s="3"/>
      <c r="E132" s="28"/>
      <c r="F132" s="28"/>
      <c r="G132" s="28"/>
      <c r="H132" s="29"/>
      <c r="I132" s="14"/>
      <c r="K132" s="3"/>
      <c r="M132" s="3"/>
      <c r="N132" s="3"/>
      <c r="O132" s="52"/>
      <c r="P132" s="3"/>
    </row>
    <row r="133" spans="2:16" ht="15.75" customHeight="1">
      <c r="B133" s="28"/>
      <c r="C133" s="3"/>
      <c r="E133" s="28"/>
      <c r="F133" s="28"/>
      <c r="G133" s="28"/>
      <c r="H133" s="29"/>
      <c r="I133" s="14"/>
      <c r="K133" s="3"/>
      <c r="M133" s="3"/>
      <c r="N133" s="3"/>
      <c r="O133" s="52"/>
      <c r="P133" s="3"/>
    </row>
    <row r="134" spans="2:16" ht="15.75" customHeight="1">
      <c r="B134" s="28"/>
      <c r="C134" s="3"/>
      <c r="E134" s="28"/>
      <c r="F134" s="28"/>
      <c r="G134" s="28"/>
      <c r="H134" s="29"/>
      <c r="I134" s="14"/>
      <c r="K134" s="3"/>
      <c r="M134" s="3"/>
      <c r="N134" s="3"/>
      <c r="O134" s="52"/>
      <c r="P134" s="3"/>
    </row>
    <row r="135" spans="2:16" ht="15.75" customHeight="1">
      <c r="B135" s="28"/>
      <c r="C135" s="3"/>
      <c r="E135" s="28"/>
      <c r="F135" s="28"/>
      <c r="G135" s="28"/>
      <c r="H135" s="29"/>
      <c r="I135" s="14"/>
      <c r="K135" s="3"/>
      <c r="M135" s="3"/>
      <c r="N135" s="3"/>
      <c r="O135" s="52"/>
      <c r="P135" s="3"/>
    </row>
    <row r="136" spans="2:16" ht="15.75" customHeight="1">
      <c r="B136" s="28"/>
      <c r="C136" s="3"/>
      <c r="E136" s="28"/>
      <c r="F136" s="28"/>
      <c r="G136" s="28"/>
      <c r="H136" s="29"/>
      <c r="I136" s="14"/>
      <c r="K136" s="3"/>
      <c r="M136" s="3"/>
      <c r="N136" s="3"/>
      <c r="O136" s="52"/>
      <c r="P136" s="3"/>
    </row>
    <row r="137" spans="2:16" ht="15.75" customHeight="1">
      <c r="B137" s="28"/>
      <c r="C137" s="3"/>
      <c r="E137" s="28"/>
      <c r="F137" s="28"/>
      <c r="G137" s="28"/>
      <c r="H137" s="29"/>
      <c r="I137" s="14"/>
      <c r="K137" s="3"/>
      <c r="M137" s="3"/>
      <c r="N137" s="3"/>
      <c r="O137" s="52"/>
      <c r="P137" s="3"/>
    </row>
    <row r="138" spans="2:16" ht="15.75" customHeight="1">
      <c r="B138" s="28"/>
      <c r="C138" s="3"/>
      <c r="E138" s="28"/>
      <c r="F138" s="28"/>
      <c r="G138" s="28"/>
      <c r="H138" s="29"/>
      <c r="I138" s="14"/>
      <c r="K138" s="3"/>
      <c r="M138" s="3"/>
      <c r="N138" s="3"/>
      <c r="O138" s="52"/>
      <c r="P138" s="3"/>
    </row>
    <row r="139" spans="2:16" ht="15.75" customHeight="1">
      <c r="B139" s="28"/>
      <c r="C139" s="3"/>
      <c r="E139" s="28"/>
      <c r="F139" s="28"/>
      <c r="G139" s="28"/>
      <c r="H139" s="29"/>
      <c r="I139" s="14"/>
      <c r="K139" s="3"/>
      <c r="M139" s="3"/>
      <c r="N139" s="3"/>
      <c r="O139" s="52"/>
      <c r="P139" s="3"/>
    </row>
    <row r="140" spans="2:16" ht="15.75" customHeight="1">
      <c r="B140" s="28"/>
      <c r="C140" s="3"/>
      <c r="E140" s="28"/>
      <c r="F140" s="28"/>
      <c r="G140" s="28"/>
      <c r="H140" s="29"/>
      <c r="I140" s="14"/>
      <c r="K140" s="3"/>
      <c r="M140" s="3"/>
      <c r="N140" s="3"/>
      <c r="O140" s="52"/>
      <c r="P140" s="3"/>
    </row>
    <row r="141" spans="2:16" ht="15.75" customHeight="1">
      <c r="B141" s="28"/>
      <c r="C141" s="3"/>
      <c r="E141" s="28"/>
      <c r="F141" s="28"/>
      <c r="G141" s="28"/>
      <c r="H141" s="29"/>
      <c r="I141" s="14"/>
      <c r="K141" s="3"/>
      <c r="M141" s="3"/>
      <c r="N141" s="3"/>
      <c r="O141" s="52"/>
      <c r="P141" s="3"/>
    </row>
    <row r="142" spans="2:16" ht="15.75" customHeight="1">
      <c r="B142" s="28"/>
      <c r="C142" s="3"/>
      <c r="E142" s="28"/>
      <c r="F142" s="28"/>
      <c r="G142" s="28"/>
      <c r="H142" s="29"/>
      <c r="I142" s="14"/>
      <c r="K142" s="3"/>
      <c r="M142" s="3"/>
      <c r="N142" s="3"/>
      <c r="O142" s="52"/>
      <c r="P142" s="3"/>
    </row>
    <row r="143" spans="2:16" ht="15.75" customHeight="1">
      <c r="B143" s="28"/>
      <c r="C143" s="3"/>
      <c r="E143" s="28"/>
      <c r="F143" s="28"/>
      <c r="G143" s="28"/>
      <c r="H143" s="29"/>
      <c r="I143" s="14"/>
      <c r="K143" s="3"/>
      <c r="M143" s="3"/>
      <c r="N143" s="3"/>
      <c r="O143" s="52"/>
      <c r="P143" s="3"/>
    </row>
    <row r="144" spans="2:16" ht="15.75" customHeight="1">
      <c r="B144" s="28"/>
      <c r="C144" s="3"/>
      <c r="E144" s="28"/>
      <c r="F144" s="28"/>
      <c r="G144" s="28"/>
      <c r="H144" s="29"/>
      <c r="I144" s="14"/>
      <c r="K144" s="3"/>
      <c r="M144" s="3"/>
      <c r="N144" s="3"/>
      <c r="O144" s="52"/>
      <c r="P144" s="3"/>
    </row>
    <row r="145" spans="2:16" ht="15.75" customHeight="1">
      <c r="B145" s="28"/>
      <c r="C145" s="3"/>
      <c r="E145" s="28"/>
      <c r="F145" s="28"/>
      <c r="G145" s="28"/>
      <c r="H145" s="29"/>
      <c r="I145" s="14"/>
      <c r="K145" s="3"/>
      <c r="M145" s="3"/>
      <c r="N145" s="3"/>
      <c r="O145" s="52"/>
      <c r="P145" s="3"/>
    </row>
    <row r="146" spans="2:16" ht="15.75" customHeight="1">
      <c r="B146" s="28"/>
      <c r="C146" s="3"/>
      <c r="E146" s="28"/>
      <c r="F146" s="28"/>
      <c r="G146" s="28"/>
      <c r="H146" s="29"/>
      <c r="I146" s="14"/>
      <c r="K146" s="3"/>
      <c r="M146" s="3"/>
      <c r="N146" s="3"/>
      <c r="O146" s="52"/>
      <c r="P146" s="3"/>
    </row>
    <row r="147" spans="2:16" ht="15.75" customHeight="1">
      <c r="B147" s="28"/>
      <c r="C147" s="3"/>
      <c r="E147" s="28"/>
      <c r="F147" s="28"/>
      <c r="G147" s="28"/>
      <c r="H147" s="29"/>
      <c r="I147" s="14"/>
      <c r="K147" s="3"/>
      <c r="M147" s="3"/>
      <c r="N147" s="3"/>
      <c r="O147" s="52"/>
      <c r="P147" s="3"/>
    </row>
    <row r="148" spans="2:16" ht="15.75" customHeight="1">
      <c r="B148" s="28"/>
      <c r="C148" s="3"/>
      <c r="E148" s="28"/>
      <c r="F148" s="28"/>
      <c r="G148" s="28"/>
      <c r="H148" s="29"/>
      <c r="I148" s="14"/>
      <c r="K148" s="3"/>
      <c r="M148" s="3"/>
      <c r="N148" s="3"/>
      <c r="O148" s="52"/>
      <c r="P148" s="3"/>
    </row>
    <row r="149" spans="2:16" ht="15.75" customHeight="1">
      <c r="B149" s="28"/>
      <c r="C149" s="3"/>
      <c r="E149" s="28"/>
      <c r="F149" s="28"/>
      <c r="G149" s="28"/>
      <c r="H149" s="29"/>
      <c r="I149" s="14"/>
      <c r="K149" s="3"/>
      <c r="M149" s="3"/>
      <c r="N149" s="3"/>
      <c r="O149" s="52"/>
      <c r="P149" s="3"/>
    </row>
    <row r="150" spans="2:16" ht="15.75" customHeight="1">
      <c r="B150" s="28"/>
      <c r="C150" s="3"/>
      <c r="E150" s="28"/>
      <c r="F150" s="28"/>
      <c r="G150" s="28"/>
      <c r="H150" s="29"/>
      <c r="I150" s="14"/>
      <c r="K150" s="3"/>
      <c r="M150" s="3"/>
      <c r="N150" s="3"/>
      <c r="O150" s="52"/>
      <c r="P150" s="3"/>
    </row>
    <row r="151" spans="2:16" ht="15.75" customHeight="1">
      <c r="B151" s="28"/>
      <c r="C151" s="3"/>
      <c r="E151" s="28"/>
      <c r="F151" s="28"/>
      <c r="G151" s="28"/>
      <c r="H151" s="29"/>
      <c r="I151" s="14"/>
      <c r="K151" s="3"/>
      <c r="M151" s="3"/>
      <c r="N151" s="3"/>
      <c r="O151" s="52"/>
      <c r="P151" s="3"/>
    </row>
    <row r="152" spans="2:16" ht="15.75" customHeight="1">
      <c r="B152" s="28"/>
      <c r="C152" s="3"/>
      <c r="E152" s="28"/>
      <c r="F152" s="28"/>
      <c r="G152" s="28"/>
      <c r="H152" s="29"/>
      <c r="I152" s="14"/>
      <c r="K152" s="3"/>
      <c r="M152" s="3"/>
      <c r="N152" s="3"/>
      <c r="O152" s="52"/>
      <c r="P152" s="3"/>
    </row>
    <row r="153" spans="2:16" ht="15.75" customHeight="1">
      <c r="B153" s="28"/>
      <c r="C153" s="3"/>
      <c r="E153" s="28"/>
      <c r="F153" s="28"/>
      <c r="G153" s="28"/>
      <c r="H153" s="29"/>
      <c r="I153" s="14"/>
      <c r="K153" s="3"/>
      <c r="M153" s="3"/>
      <c r="N153" s="3"/>
      <c r="O153" s="52"/>
      <c r="P153" s="3"/>
    </row>
    <row r="154" spans="2:16" ht="15.75" customHeight="1">
      <c r="B154" s="28"/>
      <c r="C154" s="3"/>
      <c r="E154" s="28"/>
      <c r="F154" s="28"/>
      <c r="G154" s="28"/>
      <c r="H154" s="29"/>
      <c r="I154" s="14"/>
      <c r="K154" s="3"/>
      <c r="M154" s="3"/>
      <c r="N154" s="3"/>
      <c r="O154" s="52"/>
      <c r="P154" s="3"/>
    </row>
    <row r="155" spans="2:16" ht="15.75" customHeight="1">
      <c r="B155" s="28"/>
      <c r="C155" s="3"/>
      <c r="E155" s="28"/>
      <c r="F155" s="28"/>
      <c r="G155" s="28"/>
      <c r="H155" s="29"/>
      <c r="I155" s="14"/>
      <c r="K155" s="3"/>
      <c r="M155" s="3"/>
      <c r="N155" s="3"/>
      <c r="O155" s="52"/>
      <c r="P155" s="3"/>
    </row>
    <row r="156" spans="2:16" ht="15.75" customHeight="1">
      <c r="B156" s="28"/>
      <c r="C156" s="3"/>
      <c r="E156" s="28"/>
      <c r="F156" s="28"/>
      <c r="G156" s="28"/>
      <c r="H156" s="29"/>
      <c r="I156" s="14"/>
      <c r="K156" s="3"/>
      <c r="M156" s="3"/>
      <c r="N156" s="3"/>
      <c r="O156" s="52"/>
      <c r="P156" s="3"/>
    </row>
    <row r="157" spans="2:16" ht="15.75" customHeight="1">
      <c r="B157" s="28"/>
      <c r="C157" s="3"/>
      <c r="E157" s="28"/>
      <c r="F157" s="28"/>
      <c r="G157" s="28"/>
      <c r="H157" s="29"/>
      <c r="I157" s="14"/>
      <c r="K157" s="3"/>
      <c r="M157" s="3"/>
      <c r="N157" s="3"/>
      <c r="O157" s="52"/>
      <c r="P157" s="3"/>
    </row>
    <row r="158" spans="2:16" ht="15.75" customHeight="1">
      <c r="B158" s="28"/>
      <c r="C158" s="3"/>
      <c r="E158" s="28"/>
      <c r="F158" s="28"/>
      <c r="G158" s="28"/>
      <c r="H158" s="29"/>
      <c r="I158" s="14"/>
      <c r="K158" s="3"/>
      <c r="M158" s="3"/>
      <c r="N158" s="3"/>
      <c r="O158" s="52"/>
      <c r="P158" s="3"/>
    </row>
    <row r="159" spans="2:16" ht="15.75" customHeight="1">
      <c r="B159" s="28"/>
      <c r="C159" s="3"/>
      <c r="E159" s="28"/>
      <c r="F159" s="28"/>
      <c r="G159" s="28"/>
      <c r="H159" s="29"/>
      <c r="I159" s="14"/>
      <c r="K159" s="3"/>
      <c r="M159" s="3"/>
      <c r="N159" s="3"/>
      <c r="O159" s="52"/>
      <c r="P159" s="3"/>
    </row>
    <row r="160" spans="2:16" ht="15.75" customHeight="1">
      <c r="B160" s="28"/>
      <c r="C160" s="3"/>
      <c r="E160" s="28"/>
      <c r="F160" s="28"/>
      <c r="G160" s="28"/>
      <c r="H160" s="29"/>
      <c r="I160" s="14"/>
      <c r="K160" s="3"/>
      <c r="M160" s="3"/>
      <c r="N160" s="3"/>
      <c r="O160" s="52"/>
      <c r="P160" s="3"/>
    </row>
    <row r="161" spans="2:16" ht="15.75" customHeight="1">
      <c r="B161" s="28"/>
      <c r="C161" s="3"/>
      <c r="E161" s="28"/>
      <c r="F161" s="28"/>
      <c r="G161" s="28"/>
      <c r="H161" s="29"/>
      <c r="I161" s="14"/>
      <c r="K161" s="3"/>
      <c r="M161" s="3"/>
      <c r="N161" s="3"/>
      <c r="O161" s="52"/>
      <c r="P161" s="3"/>
    </row>
    <row r="162" spans="2:16" ht="15.75" customHeight="1">
      <c r="B162" s="28"/>
      <c r="C162" s="3"/>
      <c r="E162" s="28"/>
      <c r="F162" s="28"/>
      <c r="G162" s="28"/>
      <c r="H162" s="29"/>
      <c r="I162" s="14"/>
      <c r="K162" s="3"/>
      <c r="M162" s="3"/>
      <c r="N162" s="3"/>
      <c r="O162" s="52"/>
      <c r="P162" s="3"/>
    </row>
    <row r="163" spans="2:16" ht="15.75" customHeight="1">
      <c r="B163" s="28"/>
      <c r="C163" s="3"/>
      <c r="E163" s="28"/>
      <c r="F163" s="28"/>
      <c r="G163" s="28"/>
      <c r="H163" s="29"/>
      <c r="I163" s="14"/>
      <c r="K163" s="3"/>
      <c r="M163" s="3"/>
      <c r="N163" s="3"/>
      <c r="O163" s="52"/>
      <c r="P163" s="3"/>
    </row>
    <row r="164" spans="2:16" ht="15.75" customHeight="1">
      <c r="B164" s="28"/>
      <c r="C164" s="3"/>
      <c r="E164" s="28"/>
      <c r="F164" s="28"/>
      <c r="G164" s="28"/>
      <c r="H164" s="29"/>
      <c r="I164" s="14"/>
      <c r="K164" s="3"/>
      <c r="M164" s="3"/>
      <c r="N164" s="3"/>
      <c r="O164" s="52"/>
      <c r="P164" s="3"/>
    </row>
    <row r="165" spans="2:16" ht="15.75" customHeight="1">
      <c r="B165" s="28"/>
      <c r="C165" s="3"/>
      <c r="E165" s="28"/>
      <c r="F165" s="28"/>
      <c r="G165" s="28"/>
      <c r="H165" s="29"/>
      <c r="I165" s="14"/>
      <c r="K165" s="3"/>
      <c r="M165" s="3"/>
      <c r="N165" s="3"/>
      <c r="O165" s="52"/>
      <c r="P165" s="3"/>
    </row>
    <row r="166" spans="2:16" ht="15.75" customHeight="1">
      <c r="B166" s="28"/>
      <c r="C166" s="3"/>
      <c r="E166" s="28"/>
      <c r="F166" s="28"/>
      <c r="G166" s="28"/>
      <c r="H166" s="29"/>
      <c r="I166" s="14"/>
      <c r="K166" s="3"/>
      <c r="M166" s="3"/>
      <c r="N166" s="3"/>
      <c r="O166" s="52"/>
      <c r="P166" s="3"/>
    </row>
    <row r="167" spans="2:16" ht="15.75" customHeight="1">
      <c r="B167" s="28"/>
      <c r="C167" s="3"/>
      <c r="E167" s="28"/>
      <c r="F167" s="28"/>
      <c r="G167" s="28"/>
      <c r="H167" s="29"/>
      <c r="I167" s="14"/>
      <c r="K167" s="3"/>
      <c r="M167" s="3"/>
      <c r="N167" s="3"/>
      <c r="O167" s="52"/>
      <c r="P167" s="3"/>
    </row>
    <row r="168" spans="2:16" ht="15.75" customHeight="1">
      <c r="B168" s="28"/>
      <c r="C168" s="3"/>
      <c r="E168" s="28"/>
      <c r="F168" s="28"/>
      <c r="G168" s="28"/>
      <c r="H168" s="29"/>
      <c r="I168" s="14"/>
      <c r="K168" s="3"/>
      <c r="M168" s="3"/>
      <c r="N168" s="3"/>
      <c r="O168" s="52"/>
      <c r="P168" s="3"/>
    </row>
    <row r="169" spans="2:16" ht="15.75" customHeight="1">
      <c r="B169" s="28"/>
      <c r="C169" s="3"/>
      <c r="E169" s="28"/>
      <c r="F169" s="28"/>
      <c r="G169" s="28"/>
      <c r="H169" s="29"/>
      <c r="I169" s="14"/>
      <c r="K169" s="3"/>
      <c r="M169" s="3"/>
      <c r="N169" s="3"/>
      <c r="O169" s="52"/>
      <c r="P169" s="3"/>
    </row>
    <row r="170" spans="2:16" ht="15.75" customHeight="1">
      <c r="B170" s="28"/>
      <c r="C170" s="3"/>
      <c r="E170" s="28"/>
      <c r="F170" s="28"/>
      <c r="G170" s="28"/>
      <c r="H170" s="29"/>
      <c r="I170" s="14"/>
      <c r="K170" s="3"/>
      <c r="M170" s="3"/>
      <c r="N170" s="3"/>
      <c r="O170" s="52"/>
      <c r="P170" s="3"/>
    </row>
    <row r="171" spans="2:16" ht="15.75" customHeight="1">
      <c r="B171" s="28"/>
      <c r="C171" s="3"/>
      <c r="E171" s="28"/>
      <c r="F171" s="28"/>
      <c r="G171" s="28"/>
      <c r="H171" s="29"/>
      <c r="I171" s="14"/>
      <c r="K171" s="3"/>
      <c r="M171" s="3"/>
      <c r="N171" s="3"/>
      <c r="O171" s="52"/>
      <c r="P171" s="3"/>
    </row>
    <row r="172" spans="2:16" ht="15.75" customHeight="1">
      <c r="B172" s="28"/>
      <c r="C172" s="3"/>
      <c r="E172" s="28"/>
      <c r="F172" s="28"/>
      <c r="G172" s="28"/>
      <c r="H172" s="29"/>
      <c r="I172" s="14"/>
      <c r="K172" s="3"/>
      <c r="M172" s="3"/>
      <c r="N172" s="3"/>
      <c r="O172" s="52"/>
      <c r="P172" s="3"/>
    </row>
    <row r="173" spans="2:16" ht="15.75" customHeight="1">
      <c r="B173" s="28"/>
      <c r="C173" s="3"/>
      <c r="E173" s="28"/>
      <c r="F173" s="28"/>
      <c r="G173" s="28"/>
      <c r="H173" s="29"/>
      <c r="I173" s="14"/>
      <c r="K173" s="3"/>
      <c r="M173" s="3"/>
      <c r="N173" s="3"/>
      <c r="O173" s="52"/>
      <c r="P173" s="3"/>
    </row>
    <row r="174" spans="2:16" ht="15.75" customHeight="1">
      <c r="B174" s="28"/>
      <c r="C174" s="3"/>
      <c r="E174" s="28"/>
      <c r="F174" s="28"/>
      <c r="G174" s="28"/>
      <c r="H174" s="29"/>
      <c r="I174" s="14"/>
      <c r="K174" s="3"/>
      <c r="M174" s="3"/>
      <c r="N174" s="3"/>
      <c r="O174" s="52"/>
      <c r="P174" s="3"/>
    </row>
    <row r="175" spans="2:16" ht="15.75" customHeight="1">
      <c r="B175" s="28"/>
      <c r="C175" s="3"/>
      <c r="E175" s="28"/>
      <c r="F175" s="28"/>
      <c r="G175" s="28"/>
      <c r="H175" s="29"/>
      <c r="I175" s="14"/>
      <c r="K175" s="3"/>
      <c r="M175" s="3"/>
      <c r="N175" s="3"/>
      <c r="O175" s="52"/>
      <c r="P175" s="3"/>
    </row>
    <row r="176" spans="2:16" ht="15.75" customHeight="1">
      <c r="B176" s="28"/>
      <c r="C176" s="3"/>
      <c r="E176" s="28"/>
      <c r="F176" s="28"/>
      <c r="G176" s="28"/>
      <c r="H176" s="29"/>
      <c r="I176" s="14"/>
      <c r="K176" s="3"/>
      <c r="M176" s="3"/>
      <c r="N176" s="3"/>
      <c r="O176" s="52"/>
      <c r="P176" s="3"/>
    </row>
    <row r="177" spans="2:16" ht="15.75" customHeight="1">
      <c r="B177" s="28"/>
      <c r="C177" s="3"/>
      <c r="E177" s="28"/>
      <c r="F177" s="28"/>
      <c r="G177" s="28"/>
      <c r="H177" s="29"/>
      <c r="I177" s="14"/>
      <c r="K177" s="3"/>
      <c r="M177" s="3"/>
      <c r="N177" s="3"/>
      <c r="O177" s="52"/>
      <c r="P177" s="3"/>
    </row>
    <row r="178" spans="2:16" ht="15.75" customHeight="1">
      <c r="B178" s="28"/>
      <c r="C178" s="3"/>
      <c r="E178" s="28"/>
      <c r="F178" s="28"/>
      <c r="G178" s="28"/>
      <c r="H178" s="29"/>
      <c r="I178" s="14"/>
      <c r="K178" s="3"/>
      <c r="M178" s="3"/>
      <c r="N178" s="3"/>
      <c r="O178" s="52"/>
      <c r="P178" s="3"/>
    </row>
    <row r="179" spans="2:16" ht="15.75" customHeight="1">
      <c r="B179" s="28"/>
      <c r="C179" s="3"/>
      <c r="E179" s="28"/>
      <c r="F179" s="28"/>
      <c r="G179" s="28"/>
      <c r="H179" s="29"/>
      <c r="I179" s="14"/>
      <c r="K179" s="3"/>
      <c r="M179" s="3"/>
      <c r="N179" s="3"/>
      <c r="O179" s="52"/>
      <c r="P179" s="3"/>
    </row>
    <row r="180" spans="2:16" ht="15.75" customHeight="1">
      <c r="B180" s="28"/>
      <c r="C180" s="3"/>
      <c r="E180" s="28"/>
      <c r="F180" s="28"/>
      <c r="G180" s="28"/>
      <c r="H180" s="29"/>
      <c r="I180" s="14"/>
      <c r="K180" s="3"/>
      <c r="M180" s="3"/>
      <c r="N180" s="3"/>
      <c r="O180" s="52"/>
      <c r="P180" s="3"/>
    </row>
    <row r="181" spans="2:16" ht="15.75" customHeight="1">
      <c r="B181" s="28"/>
      <c r="C181" s="3"/>
      <c r="E181" s="28"/>
      <c r="F181" s="28"/>
      <c r="G181" s="28"/>
      <c r="H181" s="29"/>
      <c r="I181" s="14"/>
      <c r="K181" s="3"/>
      <c r="M181" s="3"/>
      <c r="N181" s="3"/>
      <c r="O181" s="52"/>
      <c r="P181" s="3"/>
    </row>
    <row r="182" spans="2:16" ht="15.75" customHeight="1">
      <c r="B182" s="28"/>
      <c r="C182" s="3"/>
      <c r="E182" s="28"/>
      <c r="F182" s="28"/>
      <c r="G182" s="28"/>
      <c r="H182" s="29"/>
      <c r="I182" s="14"/>
      <c r="K182" s="3"/>
      <c r="M182" s="3"/>
      <c r="N182" s="3"/>
      <c r="O182" s="52"/>
      <c r="P182" s="3"/>
    </row>
    <row r="183" spans="2:16" ht="15.75" customHeight="1">
      <c r="B183" s="28"/>
      <c r="C183" s="3"/>
      <c r="E183" s="28"/>
      <c r="F183" s="28"/>
      <c r="G183" s="28"/>
      <c r="H183" s="29"/>
      <c r="I183" s="14"/>
      <c r="K183" s="3"/>
      <c r="M183" s="3"/>
      <c r="N183" s="3"/>
      <c r="O183" s="52"/>
      <c r="P183" s="3"/>
    </row>
    <row r="184" spans="2:16" ht="15.75" customHeight="1">
      <c r="B184" s="28"/>
      <c r="C184" s="3"/>
      <c r="E184" s="28"/>
      <c r="F184" s="28"/>
      <c r="G184" s="28"/>
      <c r="H184" s="29"/>
      <c r="I184" s="14"/>
      <c r="K184" s="3"/>
      <c r="M184" s="3"/>
      <c r="N184" s="3"/>
      <c r="O184" s="52"/>
      <c r="P184" s="3"/>
    </row>
    <row r="185" spans="2:16" ht="15.75" customHeight="1">
      <c r="B185" s="28"/>
      <c r="C185" s="3"/>
      <c r="E185" s="28"/>
      <c r="F185" s="28"/>
      <c r="G185" s="28"/>
      <c r="H185" s="29"/>
      <c r="I185" s="14"/>
      <c r="K185" s="3"/>
      <c r="M185" s="3"/>
      <c r="N185" s="3"/>
      <c r="O185" s="52"/>
      <c r="P185" s="3"/>
    </row>
    <row r="186" spans="2:16" ht="15.75" customHeight="1">
      <c r="B186" s="28"/>
      <c r="C186" s="3"/>
      <c r="E186" s="28"/>
      <c r="F186" s="28"/>
      <c r="G186" s="28"/>
      <c r="H186" s="29"/>
      <c r="I186" s="14"/>
      <c r="K186" s="3"/>
      <c r="M186" s="3"/>
      <c r="N186" s="3"/>
      <c r="O186" s="52"/>
      <c r="P186" s="3"/>
    </row>
    <row r="187" spans="2:16" ht="15.75" customHeight="1">
      <c r="B187" s="28"/>
      <c r="C187" s="3"/>
      <c r="E187" s="28"/>
      <c r="F187" s="28"/>
      <c r="G187" s="28"/>
      <c r="H187" s="29"/>
      <c r="I187" s="14"/>
      <c r="K187" s="3"/>
      <c r="M187" s="3"/>
      <c r="N187" s="3"/>
      <c r="O187" s="52"/>
      <c r="P187" s="3"/>
    </row>
    <row r="188" spans="2:16" ht="15.75" customHeight="1">
      <c r="B188" s="28"/>
      <c r="C188" s="3"/>
      <c r="E188" s="28"/>
      <c r="F188" s="28"/>
      <c r="G188" s="28"/>
      <c r="H188" s="29"/>
      <c r="I188" s="14"/>
      <c r="K188" s="3"/>
      <c r="M188" s="3"/>
      <c r="N188" s="3"/>
      <c r="O188" s="52"/>
      <c r="P188" s="3"/>
    </row>
    <row r="189" spans="2:16" ht="15.75" customHeight="1">
      <c r="B189" s="28"/>
      <c r="C189" s="3"/>
      <c r="E189" s="28"/>
      <c r="F189" s="28"/>
      <c r="G189" s="28"/>
      <c r="H189" s="29"/>
      <c r="I189" s="14"/>
      <c r="K189" s="3"/>
      <c r="M189" s="3"/>
      <c r="N189" s="3"/>
      <c r="O189" s="52"/>
      <c r="P189" s="3"/>
    </row>
    <row r="190" spans="2:16" ht="15.75" customHeight="1">
      <c r="B190" s="28"/>
      <c r="C190" s="3"/>
      <c r="E190" s="28"/>
      <c r="F190" s="28"/>
      <c r="G190" s="28"/>
      <c r="H190" s="29"/>
      <c r="I190" s="14"/>
      <c r="K190" s="3"/>
      <c r="M190" s="3"/>
      <c r="N190" s="3"/>
      <c r="O190" s="52"/>
      <c r="P190" s="3"/>
    </row>
    <row r="191" spans="2:16" ht="15.75" customHeight="1">
      <c r="B191" s="28"/>
      <c r="C191" s="3"/>
      <c r="E191" s="28"/>
      <c r="F191" s="28"/>
      <c r="G191" s="28"/>
      <c r="H191" s="29"/>
      <c r="I191" s="14"/>
      <c r="K191" s="3"/>
      <c r="M191" s="3"/>
      <c r="N191" s="3"/>
      <c r="O191" s="52"/>
      <c r="P191" s="3"/>
    </row>
    <row r="192" spans="2:16" ht="15.75" customHeight="1">
      <c r="B192" s="28"/>
      <c r="C192" s="3"/>
      <c r="E192" s="28"/>
      <c r="F192" s="28"/>
      <c r="G192" s="28"/>
      <c r="H192" s="29"/>
      <c r="I192" s="14"/>
      <c r="K192" s="3"/>
      <c r="M192" s="3"/>
      <c r="N192" s="3"/>
      <c r="O192" s="52"/>
      <c r="P192" s="3"/>
    </row>
    <row r="193" spans="2:16" ht="15.75" customHeight="1">
      <c r="B193" s="28"/>
      <c r="C193" s="3"/>
      <c r="E193" s="28"/>
      <c r="F193" s="28"/>
      <c r="G193" s="28"/>
      <c r="H193" s="29"/>
      <c r="I193" s="14"/>
      <c r="K193" s="3"/>
      <c r="M193" s="3"/>
      <c r="N193" s="3"/>
      <c r="O193" s="52"/>
      <c r="P193" s="3"/>
    </row>
    <row r="194" spans="2:16" ht="15.75" customHeight="1">
      <c r="B194" s="28"/>
      <c r="C194" s="3"/>
      <c r="E194" s="28"/>
      <c r="F194" s="28"/>
      <c r="G194" s="28"/>
      <c r="H194" s="29"/>
      <c r="I194" s="14"/>
      <c r="K194" s="3"/>
      <c r="M194" s="3"/>
      <c r="N194" s="3"/>
      <c r="O194" s="52"/>
      <c r="P194" s="3"/>
    </row>
    <row r="195" spans="2:16" ht="15.75" customHeight="1">
      <c r="B195" s="28"/>
      <c r="C195" s="3"/>
      <c r="E195" s="28"/>
      <c r="F195" s="28"/>
      <c r="G195" s="28"/>
      <c r="H195" s="29"/>
      <c r="I195" s="14"/>
      <c r="K195" s="3"/>
      <c r="M195" s="3"/>
      <c r="N195" s="3"/>
      <c r="O195" s="52"/>
      <c r="P195" s="3"/>
    </row>
    <row r="196" spans="2:16" ht="15.75" customHeight="1">
      <c r="B196" s="28"/>
      <c r="C196" s="3"/>
      <c r="E196" s="28"/>
      <c r="F196" s="28"/>
      <c r="G196" s="28"/>
      <c r="H196" s="29"/>
      <c r="I196" s="14"/>
      <c r="K196" s="3"/>
      <c r="M196" s="3"/>
      <c r="N196" s="3"/>
      <c r="O196" s="52"/>
      <c r="P196" s="3"/>
    </row>
    <row r="197" spans="2:16" ht="15.75" customHeight="1">
      <c r="B197" s="28"/>
      <c r="C197" s="3"/>
      <c r="E197" s="28"/>
      <c r="F197" s="28"/>
      <c r="G197" s="28"/>
      <c r="H197" s="29"/>
      <c r="I197" s="14"/>
      <c r="K197" s="3"/>
      <c r="M197" s="3"/>
      <c r="N197" s="3"/>
      <c r="O197" s="52"/>
      <c r="P197" s="3"/>
    </row>
    <row r="198" spans="2:16" ht="15.75" customHeight="1">
      <c r="B198" s="28"/>
      <c r="C198" s="3"/>
      <c r="E198" s="28"/>
      <c r="F198" s="28"/>
      <c r="G198" s="28"/>
      <c r="H198" s="29"/>
      <c r="I198" s="14"/>
      <c r="K198" s="3"/>
      <c r="M198" s="3"/>
      <c r="N198" s="3"/>
      <c r="O198" s="52"/>
      <c r="P198" s="3"/>
    </row>
    <row r="199" spans="2:16" ht="15.75" customHeight="1">
      <c r="B199" s="28"/>
      <c r="C199" s="3"/>
      <c r="E199" s="28"/>
      <c r="F199" s="28"/>
      <c r="G199" s="28"/>
      <c r="H199" s="29"/>
      <c r="I199" s="14"/>
      <c r="K199" s="3"/>
      <c r="M199" s="3"/>
      <c r="N199" s="3"/>
      <c r="O199" s="52"/>
      <c r="P199" s="3"/>
    </row>
    <row r="200" spans="2:16" ht="15.75" customHeight="1">
      <c r="B200" s="28"/>
      <c r="C200" s="3"/>
      <c r="E200" s="28"/>
      <c r="F200" s="28"/>
      <c r="G200" s="28"/>
      <c r="H200" s="29"/>
      <c r="I200" s="14"/>
      <c r="K200" s="3"/>
      <c r="M200" s="3"/>
      <c r="N200" s="3"/>
      <c r="O200" s="52"/>
      <c r="P200" s="3"/>
    </row>
    <row r="201" spans="2:16" ht="15.75" customHeight="1">
      <c r="B201" s="28"/>
      <c r="C201" s="3"/>
      <c r="E201" s="28"/>
      <c r="F201" s="28"/>
      <c r="G201" s="28"/>
      <c r="H201" s="29"/>
      <c r="I201" s="14"/>
      <c r="K201" s="3"/>
      <c r="M201" s="3"/>
      <c r="N201" s="3"/>
      <c r="O201" s="52"/>
      <c r="P201" s="3"/>
    </row>
    <row r="202" spans="2:16" ht="15.75" customHeight="1">
      <c r="B202" s="28"/>
      <c r="C202" s="3"/>
      <c r="E202" s="28"/>
      <c r="F202" s="28"/>
      <c r="G202" s="28"/>
      <c r="H202" s="29"/>
      <c r="I202" s="14"/>
      <c r="K202" s="3"/>
      <c r="M202" s="3"/>
      <c r="N202" s="3"/>
      <c r="O202" s="52"/>
      <c r="P202" s="3"/>
    </row>
    <row r="203" spans="2:16" ht="15.75" customHeight="1">
      <c r="B203" s="28"/>
      <c r="C203" s="3"/>
      <c r="E203" s="28"/>
      <c r="F203" s="28"/>
      <c r="G203" s="28"/>
      <c r="H203" s="29"/>
      <c r="I203" s="14"/>
      <c r="K203" s="3"/>
      <c r="M203" s="3"/>
      <c r="N203" s="3"/>
      <c r="O203" s="52"/>
      <c r="P203" s="3"/>
    </row>
    <row r="204" spans="2:16" ht="15.75" customHeight="1">
      <c r="B204" s="28"/>
      <c r="C204" s="3"/>
      <c r="E204" s="28"/>
      <c r="F204" s="28"/>
      <c r="G204" s="28"/>
      <c r="H204" s="29"/>
      <c r="I204" s="14"/>
      <c r="K204" s="3"/>
      <c r="M204" s="3"/>
      <c r="N204" s="3"/>
      <c r="O204" s="52"/>
      <c r="P204" s="3"/>
    </row>
    <row r="205" spans="2:16" ht="15.75" customHeight="1">
      <c r="B205" s="28"/>
      <c r="C205" s="3"/>
      <c r="E205" s="28"/>
      <c r="F205" s="28"/>
      <c r="G205" s="28"/>
      <c r="H205" s="29"/>
      <c r="I205" s="14"/>
      <c r="K205" s="3"/>
      <c r="M205" s="3"/>
      <c r="N205" s="3"/>
      <c r="O205" s="52"/>
      <c r="P205" s="3"/>
    </row>
    <row r="206" spans="2:16" ht="15.75" customHeight="1">
      <c r="B206" s="28"/>
      <c r="C206" s="3"/>
      <c r="E206" s="28"/>
      <c r="F206" s="28"/>
      <c r="G206" s="28"/>
      <c r="H206" s="29"/>
      <c r="I206" s="14"/>
      <c r="K206" s="3"/>
      <c r="M206" s="3"/>
      <c r="N206" s="3"/>
      <c r="O206" s="52"/>
      <c r="P206" s="3"/>
    </row>
    <row r="207" spans="2:16" ht="15.75" customHeight="1">
      <c r="B207" s="28"/>
      <c r="C207" s="3"/>
      <c r="E207" s="28"/>
      <c r="F207" s="28"/>
      <c r="G207" s="28"/>
      <c r="H207" s="29"/>
      <c r="I207" s="14"/>
      <c r="K207" s="3"/>
      <c r="M207" s="3"/>
      <c r="N207" s="3"/>
      <c r="O207" s="52"/>
      <c r="P207" s="3"/>
    </row>
    <row r="208" spans="2:16" ht="15.75" customHeight="1">
      <c r="B208" s="28"/>
      <c r="C208" s="3"/>
      <c r="E208" s="28"/>
      <c r="F208" s="28"/>
      <c r="G208" s="28"/>
      <c r="H208" s="29"/>
      <c r="I208" s="14"/>
      <c r="K208" s="3"/>
      <c r="M208" s="3"/>
      <c r="N208" s="3"/>
      <c r="O208" s="52"/>
      <c r="P208" s="3"/>
    </row>
    <row r="209" spans="2:16" ht="15.75" customHeight="1">
      <c r="B209" s="28"/>
      <c r="C209" s="3"/>
      <c r="E209" s="28"/>
      <c r="F209" s="28"/>
      <c r="G209" s="28"/>
      <c r="H209" s="29"/>
      <c r="I209" s="14"/>
      <c r="K209" s="3"/>
      <c r="M209" s="3"/>
      <c r="N209" s="3"/>
      <c r="O209" s="52"/>
      <c r="P209" s="3"/>
    </row>
    <row r="210" spans="2:16" ht="15.75" customHeight="1">
      <c r="B210" s="28"/>
      <c r="C210" s="3"/>
      <c r="E210" s="28"/>
      <c r="F210" s="28"/>
      <c r="G210" s="28"/>
      <c r="H210" s="29"/>
      <c r="I210" s="14"/>
      <c r="K210" s="3"/>
      <c r="M210" s="3"/>
      <c r="N210" s="3"/>
      <c r="O210" s="52"/>
      <c r="P210" s="3"/>
    </row>
    <row r="211" spans="2:16" ht="15.75" customHeight="1">
      <c r="B211" s="28"/>
      <c r="C211" s="3"/>
      <c r="E211" s="28"/>
      <c r="F211" s="28"/>
      <c r="G211" s="28"/>
      <c r="H211" s="29"/>
      <c r="I211" s="14"/>
      <c r="K211" s="3"/>
      <c r="M211" s="3"/>
      <c r="N211" s="3"/>
      <c r="O211" s="52"/>
      <c r="P211" s="3"/>
    </row>
    <row r="212" spans="2:16" ht="15.75" customHeight="1">
      <c r="B212" s="28"/>
      <c r="C212" s="3"/>
      <c r="E212" s="28"/>
      <c r="F212" s="28"/>
      <c r="G212" s="28"/>
      <c r="H212" s="29"/>
      <c r="I212" s="14"/>
      <c r="K212" s="3"/>
      <c r="M212" s="3"/>
      <c r="N212" s="3"/>
      <c r="O212" s="52"/>
      <c r="P212" s="3"/>
    </row>
    <row r="213" spans="2:16" ht="15.75" customHeight="1">
      <c r="B213" s="28"/>
      <c r="C213" s="3"/>
      <c r="E213" s="28"/>
      <c r="F213" s="28"/>
      <c r="G213" s="28"/>
      <c r="H213" s="29"/>
      <c r="I213" s="14"/>
      <c r="K213" s="3"/>
      <c r="M213" s="3"/>
      <c r="N213" s="3"/>
      <c r="O213" s="52"/>
      <c r="P213" s="3"/>
    </row>
    <row r="214" spans="2:16" ht="15.75" customHeight="1">
      <c r="E214" s="143"/>
      <c r="H214" s="29"/>
      <c r="I214" s="30"/>
    </row>
    <row r="215" spans="2:16" ht="15.75" customHeight="1">
      <c r="E215" s="143"/>
      <c r="H215" s="29"/>
      <c r="I215" s="30"/>
    </row>
    <row r="216" spans="2:16" ht="15.75" customHeight="1">
      <c r="E216" s="143"/>
      <c r="H216" s="29"/>
      <c r="I216" s="30"/>
    </row>
    <row r="217" spans="2:16" ht="15.75" customHeight="1">
      <c r="E217" s="143"/>
      <c r="H217" s="29"/>
      <c r="I217" s="30"/>
    </row>
    <row r="218" spans="2:16" ht="15.75" customHeight="1">
      <c r="E218" s="143"/>
      <c r="H218" s="29"/>
      <c r="I218" s="30"/>
    </row>
    <row r="219" spans="2:16" ht="15.75" customHeight="1">
      <c r="E219" s="143"/>
      <c r="H219" s="29"/>
      <c r="I219" s="30"/>
    </row>
    <row r="220" spans="2:16" ht="15.75" customHeight="1">
      <c r="E220" s="143"/>
      <c r="H220" s="29"/>
      <c r="I220" s="30"/>
    </row>
    <row r="221" spans="2:16" ht="15.75" customHeight="1">
      <c r="E221" s="143"/>
      <c r="H221" s="29"/>
      <c r="I221" s="30"/>
    </row>
    <row r="222" spans="2:16" ht="15.75" customHeight="1">
      <c r="E222" s="143"/>
      <c r="H222" s="29"/>
      <c r="I222" s="30"/>
    </row>
    <row r="223" spans="2:16" ht="15.75" customHeight="1">
      <c r="E223" s="143"/>
      <c r="H223" s="29"/>
      <c r="I223" s="30"/>
    </row>
    <row r="224" spans="2:16" ht="15.75" customHeight="1">
      <c r="E224" s="143"/>
      <c r="H224" s="29"/>
      <c r="I224" s="30"/>
    </row>
    <row r="225" spans="5:9" ht="15.75" customHeight="1">
      <c r="E225" s="143"/>
      <c r="H225" s="29"/>
      <c r="I225" s="30"/>
    </row>
    <row r="226" spans="5:9" ht="15.75" customHeight="1">
      <c r="E226" s="143"/>
      <c r="H226" s="29"/>
      <c r="I226" s="30"/>
    </row>
    <row r="227" spans="5:9" ht="15.75" customHeight="1">
      <c r="E227" s="143"/>
      <c r="H227" s="29"/>
      <c r="I227" s="30"/>
    </row>
    <row r="228" spans="5:9" ht="15.75" customHeight="1">
      <c r="E228" s="143"/>
      <c r="H228" s="29"/>
      <c r="I228" s="30"/>
    </row>
    <row r="229" spans="5:9" ht="15.75" customHeight="1">
      <c r="E229" s="143"/>
      <c r="H229" s="29"/>
      <c r="I229" s="30"/>
    </row>
    <row r="230" spans="5:9" ht="15.75" customHeight="1">
      <c r="E230" s="143"/>
      <c r="H230" s="29"/>
      <c r="I230" s="30"/>
    </row>
    <row r="231" spans="5:9" ht="15.75" customHeight="1">
      <c r="E231" s="143"/>
      <c r="H231" s="29"/>
      <c r="I231" s="30"/>
    </row>
    <row r="232" spans="5:9" ht="15.75" customHeight="1">
      <c r="E232" s="143"/>
      <c r="H232" s="29"/>
      <c r="I232" s="30"/>
    </row>
    <row r="233" spans="5:9" ht="15.75" customHeight="1">
      <c r="E233" s="143"/>
      <c r="H233" s="29"/>
      <c r="I233" s="30"/>
    </row>
    <row r="234" spans="5:9" ht="15.75" customHeight="1">
      <c r="E234" s="143"/>
      <c r="H234" s="29"/>
      <c r="I234" s="30"/>
    </row>
    <row r="235" spans="5:9" ht="15.75" customHeight="1">
      <c r="E235" s="143"/>
      <c r="H235" s="29"/>
      <c r="I235" s="30"/>
    </row>
    <row r="236" spans="5:9" ht="15.75" customHeight="1">
      <c r="E236" s="143"/>
      <c r="H236" s="29"/>
      <c r="I236" s="30"/>
    </row>
    <row r="237" spans="5:9" ht="15.75" customHeight="1">
      <c r="E237" s="143"/>
      <c r="H237" s="29"/>
      <c r="I237" s="30"/>
    </row>
    <row r="238" spans="5:9" ht="15.75" customHeight="1">
      <c r="E238" s="143"/>
      <c r="H238" s="29"/>
      <c r="I238" s="30"/>
    </row>
    <row r="239" spans="5:9" ht="15.75" customHeight="1">
      <c r="E239" s="143"/>
      <c r="H239" s="29"/>
      <c r="I239" s="30"/>
    </row>
    <row r="240" spans="5:9" ht="15.75" customHeight="1">
      <c r="E240" s="143"/>
      <c r="H240" s="29"/>
      <c r="I240" s="30"/>
    </row>
    <row r="241" spans="5:9" ht="15.75" customHeight="1">
      <c r="E241" s="143"/>
      <c r="H241" s="29"/>
      <c r="I241" s="30"/>
    </row>
    <row r="242" spans="5:9" ht="15.75" customHeight="1">
      <c r="E242" s="143"/>
      <c r="H242" s="29"/>
      <c r="I242" s="30"/>
    </row>
    <row r="243" spans="5:9" ht="15.75" customHeight="1">
      <c r="E243" s="143"/>
      <c r="H243" s="29"/>
      <c r="I243" s="30"/>
    </row>
    <row r="244" spans="5:9" ht="15.75" customHeight="1">
      <c r="E244" s="143"/>
      <c r="H244" s="29"/>
      <c r="I244" s="30"/>
    </row>
    <row r="245" spans="5:9" ht="15.75" customHeight="1">
      <c r="E245" s="143"/>
      <c r="H245" s="29"/>
      <c r="I245" s="30"/>
    </row>
    <row r="246" spans="5:9" ht="15.75" customHeight="1">
      <c r="E246" s="143"/>
      <c r="H246" s="29"/>
      <c r="I246" s="30"/>
    </row>
    <row r="247" spans="5:9" ht="15.75" customHeight="1">
      <c r="E247" s="143"/>
      <c r="H247" s="29"/>
      <c r="I247" s="30"/>
    </row>
    <row r="248" spans="5:9" ht="15.75" customHeight="1">
      <c r="E248" s="143"/>
      <c r="H248" s="29"/>
      <c r="I248" s="30"/>
    </row>
    <row r="249" spans="5:9" ht="15.75" customHeight="1">
      <c r="E249" s="143"/>
      <c r="H249" s="29"/>
      <c r="I249" s="30"/>
    </row>
    <row r="250" spans="5:9" ht="15.75" customHeight="1">
      <c r="E250" s="143"/>
      <c r="H250" s="29"/>
      <c r="I250" s="30"/>
    </row>
    <row r="251" spans="5:9" ht="15.75" customHeight="1">
      <c r="E251" s="143"/>
      <c r="H251" s="29"/>
      <c r="I251" s="30"/>
    </row>
    <row r="252" spans="5:9" ht="15.75" customHeight="1">
      <c r="E252" s="143"/>
      <c r="H252" s="29"/>
      <c r="I252" s="30"/>
    </row>
    <row r="253" spans="5:9" ht="15.75" customHeight="1">
      <c r="E253" s="143"/>
      <c r="H253" s="29"/>
      <c r="I253" s="30"/>
    </row>
    <row r="254" spans="5:9" ht="15.75" customHeight="1">
      <c r="E254" s="143"/>
      <c r="H254" s="29"/>
      <c r="I254" s="30"/>
    </row>
    <row r="255" spans="5:9" ht="15.75" customHeight="1">
      <c r="E255" s="143"/>
      <c r="H255" s="29"/>
      <c r="I255" s="30"/>
    </row>
    <row r="256" spans="5:9" ht="15.75" customHeight="1">
      <c r="E256" s="143"/>
      <c r="H256" s="29"/>
      <c r="I256" s="30"/>
    </row>
    <row r="257" spans="5:9" ht="15.75" customHeight="1">
      <c r="E257" s="143"/>
      <c r="H257" s="29"/>
      <c r="I257" s="30"/>
    </row>
    <row r="258" spans="5:9" ht="15.75" customHeight="1">
      <c r="E258" s="143"/>
      <c r="H258" s="29"/>
      <c r="I258" s="30"/>
    </row>
    <row r="259" spans="5:9" ht="15.75" customHeight="1">
      <c r="E259" s="143"/>
      <c r="H259" s="29"/>
      <c r="I259" s="30"/>
    </row>
    <row r="260" spans="5:9" ht="15.75" customHeight="1">
      <c r="E260" s="143"/>
      <c r="H260" s="29"/>
      <c r="I260" s="30"/>
    </row>
    <row r="261" spans="5:9" ht="15.75" customHeight="1">
      <c r="E261" s="143"/>
      <c r="H261" s="29"/>
      <c r="I261" s="30"/>
    </row>
    <row r="262" spans="5:9" ht="15.75" customHeight="1">
      <c r="E262" s="143"/>
      <c r="H262" s="29"/>
      <c r="I262" s="30"/>
    </row>
    <row r="263" spans="5:9" ht="15.75" customHeight="1">
      <c r="E263" s="143"/>
      <c r="H263" s="29"/>
      <c r="I263" s="30"/>
    </row>
    <row r="264" spans="5:9" ht="15.75" customHeight="1">
      <c r="E264" s="143"/>
      <c r="H264" s="29"/>
      <c r="I264" s="30"/>
    </row>
    <row r="265" spans="5:9" ht="15.75" customHeight="1">
      <c r="E265" s="143"/>
      <c r="H265" s="29"/>
      <c r="I265" s="30"/>
    </row>
    <row r="266" spans="5:9" ht="15.75" customHeight="1">
      <c r="E266" s="143"/>
      <c r="H266" s="29"/>
      <c r="I266" s="30"/>
    </row>
    <row r="267" spans="5:9" ht="15.75" customHeight="1">
      <c r="E267" s="143"/>
      <c r="H267" s="29"/>
      <c r="I267" s="30"/>
    </row>
    <row r="268" spans="5:9" ht="15.75" customHeight="1">
      <c r="E268" s="143"/>
      <c r="H268" s="29"/>
      <c r="I268" s="30"/>
    </row>
    <row r="269" spans="5:9" ht="15.75" customHeight="1">
      <c r="E269" s="143"/>
      <c r="H269" s="29"/>
      <c r="I269" s="30"/>
    </row>
    <row r="270" spans="5:9" ht="15.75" customHeight="1">
      <c r="E270" s="143"/>
      <c r="H270" s="29"/>
      <c r="I270" s="30"/>
    </row>
    <row r="271" spans="5:9" ht="15.75" customHeight="1">
      <c r="E271" s="143"/>
      <c r="H271" s="29"/>
      <c r="I271" s="30"/>
    </row>
    <row r="272" spans="5:9" ht="15.75" customHeight="1">
      <c r="E272" s="143"/>
      <c r="H272" s="29"/>
      <c r="I272" s="30"/>
    </row>
    <row r="273" spans="5:9" ht="15.75" customHeight="1">
      <c r="E273" s="143"/>
      <c r="H273" s="29"/>
      <c r="I273" s="30"/>
    </row>
    <row r="274" spans="5:9" ht="15.75" customHeight="1">
      <c r="E274" s="143"/>
      <c r="H274" s="29"/>
      <c r="I274" s="30"/>
    </row>
    <row r="275" spans="5:9" ht="15.75" customHeight="1">
      <c r="E275" s="143"/>
      <c r="H275" s="29"/>
      <c r="I275" s="30"/>
    </row>
    <row r="276" spans="5:9" ht="15.75" customHeight="1">
      <c r="E276" s="143"/>
      <c r="H276" s="29"/>
      <c r="I276" s="30"/>
    </row>
    <row r="277" spans="5:9" ht="15.75" customHeight="1">
      <c r="E277" s="143"/>
      <c r="H277" s="29"/>
      <c r="I277" s="30"/>
    </row>
    <row r="278" spans="5:9" ht="15.75" customHeight="1">
      <c r="E278" s="143"/>
      <c r="H278" s="29"/>
      <c r="I278" s="30"/>
    </row>
    <row r="279" spans="5:9" ht="15.75" customHeight="1">
      <c r="E279" s="143"/>
      <c r="H279" s="29"/>
      <c r="I279" s="30"/>
    </row>
    <row r="280" spans="5:9" ht="15.75" customHeight="1">
      <c r="E280" s="143"/>
      <c r="H280" s="29"/>
      <c r="I280" s="30"/>
    </row>
    <row r="281" spans="5:9" ht="15.75" customHeight="1">
      <c r="E281" s="143"/>
      <c r="H281" s="29"/>
      <c r="I281" s="30"/>
    </row>
    <row r="282" spans="5:9" ht="15.75" customHeight="1">
      <c r="E282" s="143"/>
      <c r="H282" s="29"/>
      <c r="I282" s="30"/>
    </row>
    <row r="283" spans="5:9" ht="15.75" customHeight="1">
      <c r="E283" s="143"/>
      <c r="H283" s="29"/>
      <c r="I283" s="30"/>
    </row>
    <row r="284" spans="5:9" ht="15.75" customHeight="1">
      <c r="E284" s="143"/>
      <c r="H284" s="29"/>
      <c r="I284" s="30"/>
    </row>
    <row r="285" spans="5:9" ht="15.75" customHeight="1">
      <c r="E285" s="143"/>
      <c r="H285" s="29"/>
      <c r="I285" s="30"/>
    </row>
    <row r="286" spans="5:9" ht="15.75" customHeight="1">
      <c r="E286" s="143"/>
      <c r="H286" s="29"/>
      <c r="I286" s="30"/>
    </row>
    <row r="287" spans="5:9" ht="15.75" customHeight="1">
      <c r="E287" s="143"/>
      <c r="H287" s="29"/>
      <c r="I287" s="30"/>
    </row>
    <row r="288" spans="5:9" ht="15.75" customHeight="1">
      <c r="E288" s="143"/>
      <c r="H288" s="29"/>
      <c r="I288" s="30"/>
    </row>
    <row r="289" spans="5:9" ht="15.75" customHeight="1">
      <c r="E289" s="143"/>
      <c r="H289" s="29"/>
      <c r="I289" s="30"/>
    </row>
    <row r="290" spans="5:9" ht="15.75" customHeight="1">
      <c r="E290" s="143"/>
      <c r="H290" s="29"/>
      <c r="I290" s="30"/>
    </row>
    <row r="291" spans="5:9" ht="15.75" customHeight="1">
      <c r="E291" s="143"/>
      <c r="H291" s="29"/>
      <c r="I291" s="30"/>
    </row>
    <row r="292" spans="5:9" ht="15.75" customHeight="1">
      <c r="E292" s="143"/>
      <c r="H292" s="29"/>
      <c r="I292" s="30"/>
    </row>
    <row r="293" spans="5:9" ht="15.75" customHeight="1">
      <c r="E293" s="143"/>
      <c r="H293" s="29"/>
      <c r="I293" s="30"/>
    </row>
    <row r="294" spans="5:9" ht="15.75" customHeight="1">
      <c r="E294" s="143"/>
      <c r="H294" s="29"/>
      <c r="I294" s="30"/>
    </row>
    <row r="295" spans="5:9" ht="15.75" customHeight="1">
      <c r="E295" s="143"/>
      <c r="H295" s="29"/>
      <c r="I295" s="30"/>
    </row>
    <row r="296" spans="5:9" ht="15.75" customHeight="1">
      <c r="E296" s="143"/>
      <c r="H296" s="29"/>
      <c r="I296" s="30"/>
    </row>
    <row r="297" spans="5:9" ht="15.75" customHeight="1">
      <c r="E297" s="143"/>
      <c r="H297" s="29"/>
      <c r="I297" s="30"/>
    </row>
    <row r="298" spans="5:9" ht="15.75" customHeight="1">
      <c r="E298" s="143"/>
      <c r="H298" s="29"/>
      <c r="I298" s="30"/>
    </row>
    <row r="299" spans="5:9" ht="15.75" customHeight="1">
      <c r="E299" s="143"/>
      <c r="H299" s="29"/>
      <c r="I299" s="30"/>
    </row>
    <row r="300" spans="5:9" ht="15.75" customHeight="1">
      <c r="E300" s="143"/>
      <c r="H300" s="29"/>
      <c r="I300" s="30"/>
    </row>
    <row r="301" spans="5:9" ht="15.75" customHeight="1">
      <c r="E301" s="143"/>
      <c r="H301" s="29"/>
      <c r="I301" s="30"/>
    </row>
    <row r="302" spans="5:9" ht="15.75" customHeight="1">
      <c r="E302" s="143"/>
      <c r="H302" s="29"/>
      <c r="I302" s="30"/>
    </row>
    <row r="303" spans="5:9" ht="15.75" customHeight="1">
      <c r="E303" s="143"/>
      <c r="H303" s="29"/>
      <c r="I303" s="30"/>
    </row>
    <row r="304" spans="5:9" ht="15.75" customHeight="1">
      <c r="E304" s="143"/>
      <c r="H304" s="29"/>
      <c r="I304" s="30"/>
    </row>
    <row r="305" spans="5:9" ht="15.75" customHeight="1">
      <c r="E305" s="143"/>
      <c r="H305" s="29"/>
      <c r="I305" s="30"/>
    </row>
    <row r="306" spans="5:9" ht="15.75" customHeight="1">
      <c r="E306" s="143"/>
      <c r="H306" s="29"/>
      <c r="I306" s="30"/>
    </row>
    <row r="307" spans="5:9" ht="15.75" customHeight="1">
      <c r="E307" s="143"/>
      <c r="H307" s="29"/>
      <c r="I307" s="30"/>
    </row>
    <row r="308" spans="5:9" ht="15.75" customHeight="1">
      <c r="E308" s="143"/>
      <c r="H308" s="29"/>
      <c r="I308" s="30"/>
    </row>
    <row r="309" spans="5:9" ht="15.75" customHeight="1">
      <c r="E309" s="143"/>
      <c r="H309" s="29"/>
      <c r="I309" s="30"/>
    </row>
    <row r="310" spans="5:9" ht="15.75" customHeight="1">
      <c r="E310" s="143"/>
      <c r="H310" s="29"/>
      <c r="I310" s="30"/>
    </row>
    <row r="311" spans="5:9" ht="15.75" customHeight="1">
      <c r="E311" s="143"/>
      <c r="H311" s="29"/>
      <c r="I311" s="30"/>
    </row>
    <row r="312" spans="5:9" ht="15.75" customHeight="1">
      <c r="E312" s="143"/>
      <c r="H312" s="29"/>
      <c r="I312" s="30"/>
    </row>
    <row r="313" spans="5:9" ht="15.75" customHeight="1">
      <c r="E313" s="143"/>
      <c r="H313" s="29"/>
      <c r="I313" s="30"/>
    </row>
    <row r="314" spans="5:9" ht="15.75" customHeight="1">
      <c r="E314" s="143"/>
      <c r="H314" s="29"/>
      <c r="I314" s="30"/>
    </row>
    <row r="315" spans="5:9" ht="15.75" customHeight="1">
      <c r="E315" s="143"/>
      <c r="H315" s="29"/>
      <c r="I315" s="30"/>
    </row>
    <row r="316" spans="5:9" ht="15.75" customHeight="1">
      <c r="E316" s="143"/>
      <c r="H316" s="29"/>
      <c r="I316" s="30"/>
    </row>
    <row r="317" spans="5:9" ht="15.75" customHeight="1">
      <c r="E317" s="143"/>
      <c r="H317" s="29"/>
      <c r="I317" s="30"/>
    </row>
    <row r="318" spans="5:9" ht="15.75" customHeight="1">
      <c r="E318" s="143"/>
      <c r="H318" s="29"/>
      <c r="I318" s="30"/>
    </row>
    <row r="319" spans="5:9" ht="15.75" customHeight="1">
      <c r="E319" s="143"/>
      <c r="H319" s="29"/>
      <c r="I319" s="30"/>
    </row>
    <row r="320" spans="5:9" ht="15.75" customHeight="1">
      <c r="E320" s="143"/>
      <c r="H320" s="29"/>
      <c r="I320" s="30"/>
    </row>
    <row r="321" spans="5:9" ht="15.75" customHeight="1">
      <c r="E321" s="143"/>
      <c r="H321" s="29"/>
      <c r="I321" s="30"/>
    </row>
    <row r="322" spans="5:9" ht="15.75" customHeight="1">
      <c r="E322" s="143"/>
      <c r="H322" s="29"/>
      <c r="I322" s="30"/>
    </row>
    <row r="323" spans="5:9" ht="15.75" customHeight="1">
      <c r="E323" s="143"/>
      <c r="H323" s="29"/>
      <c r="I323" s="30"/>
    </row>
    <row r="324" spans="5:9" ht="15.75" customHeight="1">
      <c r="E324" s="143"/>
      <c r="H324" s="29"/>
      <c r="I324" s="30"/>
    </row>
    <row r="325" spans="5:9" ht="15.75" customHeight="1">
      <c r="E325" s="143"/>
      <c r="H325" s="29"/>
      <c r="I325" s="30"/>
    </row>
    <row r="326" spans="5:9" ht="15.75" customHeight="1">
      <c r="E326" s="143"/>
      <c r="H326" s="29"/>
      <c r="I326" s="30"/>
    </row>
    <row r="327" spans="5:9" ht="15.75" customHeight="1">
      <c r="E327" s="143"/>
      <c r="H327" s="29"/>
      <c r="I327" s="30"/>
    </row>
    <row r="328" spans="5:9" ht="15.75" customHeight="1">
      <c r="E328" s="143"/>
      <c r="H328" s="29"/>
      <c r="I328" s="30"/>
    </row>
    <row r="329" spans="5:9" ht="15.75" customHeight="1">
      <c r="E329" s="143"/>
      <c r="H329" s="29"/>
      <c r="I329" s="30"/>
    </row>
    <row r="330" spans="5:9" ht="15.75" customHeight="1">
      <c r="E330" s="143"/>
      <c r="H330" s="29"/>
      <c r="I330" s="30"/>
    </row>
    <row r="331" spans="5:9" ht="15.75" customHeight="1">
      <c r="E331" s="143"/>
      <c r="H331" s="29"/>
      <c r="I331" s="30"/>
    </row>
    <row r="332" spans="5:9" ht="15.75" customHeight="1">
      <c r="E332" s="143"/>
      <c r="H332" s="29"/>
      <c r="I332" s="30"/>
    </row>
    <row r="333" spans="5:9" ht="15.75" customHeight="1">
      <c r="E333" s="143"/>
      <c r="H333" s="29"/>
      <c r="I333" s="30"/>
    </row>
    <row r="334" spans="5:9" ht="15.75" customHeight="1">
      <c r="E334" s="143"/>
      <c r="H334" s="29"/>
      <c r="I334" s="30"/>
    </row>
    <row r="335" spans="5:9" ht="15.75" customHeight="1">
      <c r="E335" s="143"/>
      <c r="H335" s="29"/>
      <c r="I335" s="30"/>
    </row>
    <row r="336" spans="5:9" ht="15.75" customHeight="1">
      <c r="E336" s="143"/>
      <c r="H336" s="29"/>
      <c r="I336" s="30"/>
    </row>
    <row r="337" spans="5:9" ht="15.75" customHeight="1">
      <c r="E337" s="143"/>
      <c r="H337" s="29"/>
      <c r="I337" s="30"/>
    </row>
    <row r="338" spans="5:9" ht="15.75" customHeight="1">
      <c r="E338" s="143"/>
      <c r="H338" s="29"/>
      <c r="I338" s="30"/>
    </row>
    <row r="339" spans="5:9" ht="15.75" customHeight="1">
      <c r="E339" s="143"/>
      <c r="H339" s="29"/>
      <c r="I339" s="30"/>
    </row>
    <row r="340" spans="5:9" ht="15.75" customHeight="1">
      <c r="E340" s="143"/>
      <c r="H340" s="29"/>
      <c r="I340" s="30"/>
    </row>
    <row r="341" spans="5:9" ht="15.75" customHeight="1">
      <c r="E341" s="143"/>
      <c r="H341" s="29"/>
      <c r="I341" s="30"/>
    </row>
    <row r="342" spans="5:9" ht="15.75" customHeight="1">
      <c r="E342" s="143"/>
      <c r="H342" s="29"/>
      <c r="I342" s="30"/>
    </row>
    <row r="343" spans="5:9" ht="15.75" customHeight="1">
      <c r="E343" s="143"/>
      <c r="H343" s="29"/>
      <c r="I343" s="30"/>
    </row>
    <row r="344" spans="5:9" ht="15.75" customHeight="1">
      <c r="E344" s="143"/>
      <c r="H344" s="29"/>
      <c r="I344" s="30"/>
    </row>
    <row r="345" spans="5:9" ht="15.75" customHeight="1">
      <c r="E345" s="143"/>
      <c r="H345" s="29"/>
      <c r="I345" s="30"/>
    </row>
    <row r="346" spans="5:9" ht="15.75" customHeight="1">
      <c r="E346" s="143"/>
      <c r="H346" s="29"/>
      <c r="I346" s="30"/>
    </row>
    <row r="347" spans="5:9" ht="15.75" customHeight="1">
      <c r="E347" s="143"/>
      <c r="H347" s="29"/>
      <c r="I347" s="30"/>
    </row>
    <row r="348" spans="5:9" ht="15.75" customHeight="1">
      <c r="E348" s="143"/>
      <c r="H348" s="29"/>
      <c r="I348" s="30"/>
    </row>
    <row r="349" spans="5:9" ht="15.75" customHeight="1">
      <c r="E349" s="143"/>
      <c r="H349" s="29"/>
      <c r="I349" s="30"/>
    </row>
    <row r="350" spans="5:9" ht="15.75" customHeight="1">
      <c r="E350" s="143"/>
      <c r="H350" s="29"/>
      <c r="I350" s="30"/>
    </row>
    <row r="351" spans="5:9" ht="15.75" customHeight="1">
      <c r="E351" s="143"/>
      <c r="H351" s="29"/>
      <c r="I351" s="30"/>
    </row>
    <row r="352" spans="5:9" ht="15.75" customHeight="1">
      <c r="E352" s="143"/>
      <c r="H352" s="29"/>
      <c r="I352" s="30"/>
    </row>
    <row r="353" spans="5:9" ht="15.75" customHeight="1">
      <c r="E353" s="143"/>
      <c r="H353" s="29"/>
      <c r="I353" s="30"/>
    </row>
    <row r="354" spans="5:9" ht="15.75" customHeight="1">
      <c r="E354" s="143"/>
      <c r="H354" s="29"/>
      <c r="I354" s="30"/>
    </row>
    <row r="355" spans="5:9" ht="15.75" customHeight="1">
      <c r="E355" s="143"/>
      <c r="H355" s="29"/>
      <c r="I355" s="30"/>
    </row>
    <row r="356" spans="5:9" ht="15.75" customHeight="1">
      <c r="E356" s="143"/>
      <c r="H356" s="29"/>
      <c r="I356" s="30"/>
    </row>
    <row r="357" spans="5:9" ht="15.75" customHeight="1">
      <c r="E357" s="143"/>
      <c r="H357" s="29"/>
      <c r="I357" s="30"/>
    </row>
    <row r="358" spans="5:9" ht="15.75" customHeight="1">
      <c r="E358" s="143"/>
      <c r="H358" s="29"/>
      <c r="I358" s="30"/>
    </row>
    <row r="359" spans="5:9" ht="15.75" customHeight="1">
      <c r="E359" s="143"/>
      <c r="H359" s="29"/>
      <c r="I359" s="30"/>
    </row>
    <row r="360" spans="5:9" ht="15.75" customHeight="1">
      <c r="E360" s="143"/>
      <c r="H360" s="29"/>
      <c r="I360" s="30"/>
    </row>
    <row r="361" spans="5:9" ht="15.75" customHeight="1">
      <c r="E361" s="143"/>
      <c r="H361" s="29"/>
      <c r="I361" s="30"/>
    </row>
    <row r="362" spans="5:9" ht="15.75" customHeight="1">
      <c r="E362" s="143"/>
      <c r="H362" s="29"/>
      <c r="I362" s="30"/>
    </row>
    <row r="363" spans="5:9" ht="15.75" customHeight="1">
      <c r="E363" s="143"/>
      <c r="H363" s="29"/>
      <c r="I363" s="30"/>
    </row>
    <row r="364" spans="5:9" ht="15.75" customHeight="1">
      <c r="E364" s="143"/>
      <c r="H364" s="29"/>
      <c r="I364" s="30"/>
    </row>
    <row r="365" spans="5:9" ht="15.75" customHeight="1">
      <c r="E365" s="143"/>
      <c r="H365" s="29"/>
      <c r="I365" s="30"/>
    </row>
    <row r="366" spans="5:9" ht="15.75" customHeight="1">
      <c r="E366" s="143"/>
      <c r="H366" s="29"/>
      <c r="I366" s="30"/>
    </row>
    <row r="367" spans="5:9" ht="15.75" customHeight="1">
      <c r="E367" s="143"/>
      <c r="H367" s="29"/>
      <c r="I367" s="30"/>
    </row>
    <row r="368" spans="5:9" ht="15.75" customHeight="1">
      <c r="E368" s="143"/>
      <c r="H368" s="29"/>
      <c r="I368" s="30"/>
    </row>
    <row r="369" spans="5:9" ht="15.75" customHeight="1">
      <c r="E369" s="143"/>
      <c r="H369" s="29"/>
      <c r="I369" s="30"/>
    </row>
    <row r="370" spans="5:9" ht="15.75" customHeight="1">
      <c r="E370" s="143"/>
      <c r="H370" s="29"/>
      <c r="I370" s="30"/>
    </row>
    <row r="371" spans="5:9" ht="15.75" customHeight="1">
      <c r="E371" s="143"/>
      <c r="H371" s="29"/>
      <c r="I371" s="30"/>
    </row>
    <row r="372" spans="5:9" ht="15.75" customHeight="1">
      <c r="E372" s="143"/>
      <c r="H372" s="29"/>
      <c r="I372" s="30"/>
    </row>
    <row r="373" spans="5:9" ht="15.75" customHeight="1">
      <c r="E373" s="143"/>
      <c r="H373" s="29"/>
      <c r="I373" s="30"/>
    </row>
    <row r="374" spans="5:9" ht="15.75" customHeight="1">
      <c r="E374" s="143"/>
      <c r="H374" s="29"/>
      <c r="I374" s="30"/>
    </row>
    <row r="375" spans="5:9" ht="15.75" customHeight="1">
      <c r="E375" s="143"/>
      <c r="H375" s="29"/>
      <c r="I375" s="30"/>
    </row>
    <row r="376" spans="5:9" ht="15.75" customHeight="1">
      <c r="E376" s="143"/>
      <c r="H376" s="29"/>
      <c r="I376" s="30"/>
    </row>
    <row r="377" spans="5:9" ht="15.75" customHeight="1">
      <c r="E377" s="143"/>
      <c r="H377" s="29"/>
      <c r="I377" s="30"/>
    </row>
    <row r="378" spans="5:9" ht="15.75" customHeight="1">
      <c r="E378" s="143"/>
      <c r="H378" s="29"/>
      <c r="I378" s="30"/>
    </row>
    <row r="379" spans="5:9" ht="15.75" customHeight="1">
      <c r="E379" s="143"/>
      <c r="H379" s="29"/>
      <c r="I379" s="30"/>
    </row>
    <row r="380" spans="5:9" ht="15.75" customHeight="1">
      <c r="E380" s="143"/>
      <c r="H380" s="29"/>
      <c r="I380" s="30"/>
    </row>
    <row r="381" spans="5:9" ht="15.75" customHeight="1">
      <c r="E381" s="143"/>
      <c r="H381" s="29"/>
      <c r="I381" s="30"/>
    </row>
    <row r="382" spans="5:9" ht="15.75" customHeight="1">
      <c r="E382" s="143"/>
      <c r="H382" s="29"/>
      <c r="I382" s="30"/>
    </row>
    <row r="383" spans="5:9" ht="15.75" customHeight="1">
      <c r="E383" s="143"/>
      <c r="H383" s="29"/>
      <c r="I383" s="30"/>
    </row>
    <row r="384" spans="5:9" ht="15.75" customHeight="1">
      <c r="E384" s="143"/>
      <c r="H384" s="29"/>
      <c r="I384" s="30"/>
    </row>
    <row r="385" spans="5:9" ht="15.75" customHeight="1">
      <c r="E385" s="143"/>
      <c r="H385" s="29"/>
      <c r="I385" s="30"/>
    </row>
    <row r="386" spans="5:9" ht="15.75" customHeight="1">
      <c r="E386" s="143"/>
      <c r="H386" s="29"/>
      <c r="I386" s="30"/>
    </row>
    <row r="387" spans="5:9" ht="15.75" customHeight="1">
      <c r="E387" s="143"/>
      <c r="H387" s="29"/>
      <c r="I387" s="30"/>
    </row>
    <row r="388" spans="5:9" ht="15.75" customHeight="1">
      <c r="E388" s="143"/>
      <c r="H388" s="29"/>
      <c r="I388" s="30"/>
    </row>
    <row r="389" spans="5:9" ht="15.75" customHeight="1">
      <c r="E389" s="143"/>
      <c r="H389" s="29"/>
      <c r="I389" s="30"/>
    </row>
    <row r="390" spans="5:9" ht="15.75" customHeight="1">
      <c r="E390" s="143"/>
      <c r="H390" s="29"/>
      <c r="I390" s="30"/>
    </row>
    <row r="391" spans="5:9" ht="15.75" customHeight="1">
      <c r="E391" s="143"/>
      <c r="H391" s="29"/>
      <c r="I391" s="30"/>
    </row>
    <row r="392" spans="5:9" ht="15.75" customHeight="1">
      <c r="E392" s="143"/>
      <c r="H392" s="29"/>
      <c r="I392" s="30"/>
    </row>
    <row r="393" spans="5:9" ht="15.75" customHeight="1">
      <c r="E393" s="143"/>
      <c r="H393" s="29"/>
      <c r="I393" s="30"/>
    </row>
    <row r="394" spans="5:9" ht="15.75" customHeight="1">
      <c r="E394" s="143"/>
      <c r="H394" s="29"/>
      <c r="I394" s="30"/>
    </row>
    <row r="395" spans="5:9" ht="15.75" customHeight="1">
      <c r="E395" s="143"/>
      <c r="H395" s="29"/>
      <c r="I395" s="30"/>
    </row>
    <row r="396" spans="5:9" ht="15.75" customHeight="1">
      <c r="E396" s="143"/>
      <c r="H396" s="29"/>
      <c r="I396" s="30"/>
    </row>
    <row r="397" spans="5:9" ht="15.75" customHeight="1">
      <c r="E397" s="143"/>
      <c r="H397" s="29"/>
      <c r="I397" s="30"/>
    </row>
    <row r="398" spans="5:9" ht="15.75" customHeight="1">
      <c r="E398" s="143"/>
      <c r="H398" s="29"/>
      <c r="I398" s="30"/>
    </row>
    <row r="399" spans="5:9" ht="15.75" customHeight="1">
      <c r="E399" s="143"/>
      <c r="H399" s="29"/>
      <c r="I399" s="30"/>
    </row>
    <row r="400" spans="5:9" ht="15.75" customHeight="1">
      <c r="E400" s="143"/>
      <c r="H400" s="29"/>
      <c r="I400" s="30"/>
    </row>
    <row r="401" spans="5:9" ht="15.75" customHeight="1">
      <c r="E401" s="143"/>
      <c r="H401" s="29"/>
      <c r="I401" s="30"/>
    </row>
    <row r="402" spans="5:9" ht="15.75" customHeight="1">
      <c r="E402" s="143"/>
      <c r="H402" s="29"/>
      <c r="I402" s="30"/>
    </row>
    <row r="403" spans="5:9" ht="15.75" customHeight="1">
      <c r="E403" s="143"/>
      <c r="H403" s="29"/>
      <c r="I403" s="30"/>
    </row>
    <row r="404" spans="5:9" ht="15.75" customHeight="1">
      <c r="E404" s="143"/>
      <c r="H404" s="29"/>
      <c r="I404" s="30"/>
    </row>
    <row r="405" spans="5:9" ht="15.75" customHeight="1">
      <c r="E405" s="143"/>
      <c r="H405" s="29"/>
      <c r="I405" s="30"/>
    </row>
    <row r="406" spans="5:9" ht="15.75" customHeight="1">
      <c r="E406" s="143"/>
      <c r="H406" s="29"/>
      <c r="I406" s="30"/>
    </row>
    <row r="407" spans="5:9" ht="15.75" customHeight="1">
      <c r="E407" s="143"/>
      <c r="H407" s="29"/>
      <c r="I407" s="30"/>
    </row>
    <row r="408" spans="5:9" ht="15.75" customHeight="1">
      <c r="E408" s="143"/>
      <c r="H408" s="29"/>
      <c r="I408" s="30"/>
    </row>
    <row r="409" spans="5:9" ht="15.75" customHeight="1">
      <c r="E409" s="143"/>
      <c r="H409" s="29"/>
      <c r="I409" s="30"/>
    </row>
    <row r="410" spans="5:9" ht="15.75" customHeight="1">
      <c r="E410" s="143"/>
      <c r="H410" s="29"/>
      <c r="I410" s="30"/>
    </row>
    <row r="411" spans="5:9" ht="15.75" customHeight="1">
      <c r="E411" s="143"/>
      <c r="H411" s="29"/>
      <c r="I411" s="30"/>
    </row>
    <row r="412" spans="5:9" ht="15.75" customHeight="1">
      <c r="E412" s="143"/>
      <c r="H412" s="29"/>
      <c r="I412" s="30"/>
    </row>
    <row r="413" spans="5:9" ht="15.75" customHeight="1">
      <c r="E413" s="143"/>
      <c r="H413" s="29"/>
      <c r="I413" s="30"/>
    </row>
    <row r="414" spans="5:9" ht="15.75" customHeight="1">
      <c r="E414" s="143"/>
      <c r="H414" s="29"/>
      <c r="I414" s="30"/>
    </row>
    <row r="415" spans="5:9" ht="15.75" customHeight="1">
      <c r="E415" s="143"/>
      <c r="H415" s="29"/>
      <c r="I415" s="30"/>
    </row>
    <row r="416" spans="5:9" ht="15.75" customHeight="1">
      <c r="E416" s="143"/>
      <c r="H416" s="29"/>
      <c r="I416" s="30"/>
    </row>
    <row r="417" spans="5:9" ht="15.75" customHeight="1">
      <c r="E417" s="143"/>
      <c r="H417" s="29"/>
      <c r="I417" s="30"/>
    </row>
    <row r="418" spans="5:9" ht="15.75" customHeight="1">
      <c r="E418" s="143"/>
      <c r="H418" s="29"/>
      <c r="I418" s="30"/>
    </row>
    <row r="419" spans="5:9" ht="15.75" customHeight="1">
      <c r="E419" s="143"/>
      <c r="H419" s="29"/>
      <c r="I419" s="30"/>
    </row>
    <row r="420" spans="5:9" ht="15.75" customHeight="1">
      <c r="E420" s="143"/>
      <c r="H420" s="29"/>
      <c r="I420" s="30"/>
    </row>
    <row r="421" spans="5:9" ht="15.75" customHeight="1">
      <c r="E421" s="143"/>
      <c r="H421" s="29"/>
      <c r="I421" s="30"/>
    </row>
    <row r="422" spans="5:9" ht="15.75" customHeight="1">
      <c r="E422" s="143"/>
      <c r="H422" s="29"/>
      <c r="I422" s="30"/>
    </row>
    <row r="423" spans="5:9" ht="15.75" customHeight="1">
      <c r="E423" s="143"/>
      <c r="H423" s="29"/>
      <c r="I423" s="30"/>
    </row>
    <row r="424" spans="5:9" ht="15.75" customHeight="1">
      <c r="E424" s="143"/>
      <c r="H424" s="29"/>
      <c r="I424" s="30"/>
    </row>
    <row r="425" spans="5:9" ht="15.75" customHeight="1">
      <c r="E425" s="143"/>
      <c r="H425" s="29"/>
      <c r="I425" s="30"/>
    </row>
    <row r="426" spans="5:9" ht="15.75" customHeight="1">
      <c r="E426" s="143"/>
      <c r="H426" s="29"/>
      <c r="I426" s="30"/>
    </row>
    <row r="427" spans="5:9" ht="15.75" customHeight="1">
      <c r="E427" s="143"/>
      <c r="H427" s="29"/>
      <c r="I427" s="30"/>
    </row>
    <row r="428" spans="5:9" ht="15.75" customHeight="1">
      <c r="E428" s="143"/>
      <c r="H428" s="29"/>
      <c r="I428" s="30"/>
    </row>
    <row r="429" spans="5:9" ht="15.75" customHeight="1">
      <c r="E429" s="143"/>
      <c r="H429" s="29"/>
      <c r="I429" s="30"/>
    </row>
    <row r="430" spans="5:9" ht="15.75" customHeight="1">
      <c r="E430" s="143"/>
      <c r="H430" s="29"/>
      <c r="I430" s="30"/>
    </row>
    <row r="431" spans="5:9" ht="15.75" customHeight="1">
      <c r="E431" s="143"/>
      <c r="H431" s="29"/>
      <c r="I431" s="30"/>
    </row>
    <row r="432" spans="5:9" ht="15.75" customHeight="1">
      <c r="E432" s="143"/>
      <c r="H432" s="29"/>
      <c r="I432" s="30"/>
    </row>
    <row r="433" spans="5:9" ht="15.75" customHeight="1">
      <c r="E433" s="143"/>
      <c r="H433" s="29"/>
      <c r="I433" s="30"/>
    </row>
    <row r="434" spans="5:9" ht="15.75" customHeight="1">
      <c r="E434" s="143"/>
      <c r="H434" s="29"/>
      <c r="I434" s="30"/>
    </row>
    <row r="435" spans="5:9" ht="15.75" customHeight="1">
      <c r="E435" s="143"/>
      <c r="H435" s="29"/>
      <c r="I435" s="30"/>
    </row>
    <row r="436" spans="5:9" ht="15.75" customHeight="1">
      <c r="E436" s="143"/>
      <c r="H436" s="29"/>
      <c r="I436" s="30"/>
    </row>
    <row r="437" spans="5:9" ht="15.75" customHeight="1">
      <c r="E437" s="143"/>
      <c r="H437" s="29"/>
      <c r="I437" s="30"/>
    </row>
    <row r="438" spans="5:9" ht="15.75" customHeight="1">
      <c r="E438" s="143"/>
      <c r="H438" s="29"/>
      <c r="I438" s="30"/>
    </row>
    <row r="439" spans="5:9" ht="15.75" customHeight="1">
      <c r="E439" s="143"/>
      <c r="H439" s="29"/>
      <c r="I439" s="30"/>
    </row>
    <row r="440" spans="5:9" ht="15.75" customHeight="1">
      <c r="E440" s="143"/>
      <c r="H440" s="29"/>
      <c r="I440" s="30"/>
    </row>
    <row r="441" spans="5:9" ht="15.75" customHeight="1">
      <c r="E441" s="143"/>
      <c r="H441" s="29"/>
      <c r="I441" s="30"/>
    </row>
    <row r="442" spans="5:9" ht="15.75" customHeight="1">
      <c r="E442" s="143"/>
      <c r="H442" s="29"/>
      <c r="I442" s="30"/>
    </row>
    <row r="443" spans="5:9" ht="15.75" customHeight="1">
      <c r="E443" s="143"/>
      <c r="H443" s="29"/>
      <c r="I443" s="30"/>
    </row>
    <row r="444" spans="5:9" ht="15.75" customHeight="1">
      <c r="E444" s="143"/>
      <c r="H444" s="29"/>
      <c r="I444" s="30"/>
    </row>
    <row r="445" spans="5:9" ht="15.75" customHeight="1">
      <c r="E445" s="143"/>
      <c r="H445" s="29"/>
      <c r="I445" s="30"/>
    </row>
    <row r="446" spans="5:9" ht="15.75" customHeight="1">
      <c r="E446" s="143"/>
      <c r="H446" s="29"/>
      <c r="I446" s="30"/>
    </row>
    <row r="447" spans="5:9" ht="15.75" customHeight="1">
      <c r="E447" s="143"/>
      <c r="H447" s="29"/>
      <c r="I447" s="30"/>
    </row>
    <row r="448" spans="5:9" ht="15.75" customHeight="1">
      <c r="E448" s="143"/>
      <c r="H448" s="29"/>
      <c r="I448" s="30"/>
    </row>
    <row r="449" spans="5:9" ht="15.75" customHeight="1">
      <c r="E449" s="143"/>
      <c r="H449" s="29"/>
      <c r="I449" s="30"/>
    </row>
    <row r="450" spans="5:9" ht="15.75" customHeight="1">
      <c r="E450" s="143"/>
      <c r="H450" s="29"/>
      <c r="I450" s="30"/>
    </row>
    <row r="451" spans="5:9" ht="15.75" customHeight="1">
      <c r="E451" s="143"/>
      <c r="H451" s="29"/>
      <c r="I451" s="30"/>
    </row>
    <row r="452" spans="5:9" ht="15.75" customHeight="1">
      <c r="E452" s="143"/>
      <c r="H452" s="29"/>
      <c r="I452" s="30"/>
    </row>
    <row r="453" spans="5:9" ht="15.75" customHeight="1">
      <c r="E453" s="143"/>
      <c r="H453" s="29"/>
      <c r="I453" s="30"/>
    </row>
    <row r="454" spans="5:9" ht="15.75" customHeight="1">
      <c r="E454" s="143"/>
      <c r="H454" s="29"/>
      <c r="I454" s="30"/>
    </row>
    <row r="455" spans="5:9" ht="15.75" customHeight="1">
      <c r="E455" s="143"/>
      <c r="H455" s="29"/>
      <c r="I455" s="30"/>
    </row>
    <row r="456" spans="5:9" ht="15.75" customHeight="1">
      <c r="E456" s="143"/>
      <c r="H456" s="29"/>
      <c r="I456" s="30"/>
    </row>
    <row r="457" spans="5:9" ht="15.75" customHeight="1">
      <c r="E457" s="143"/>
      <c r="H457" s="29"/>
      <c r="I457" s="30"/>
    </row>
    <row r="458" spans="5:9" ht="15.75" customHeight="1">
      <c r="E458" s="143"/>
      <c r="H458" s="29"/>
      <c r="I458" s="30"/>
    </row>
    <row r="459" spans="5:9" ht="15.75" customHeight="1">
      <c r="E459" s="143"/>
      <c r="H459" s="29"/>
      <c r="I459" s="30"/>
    </row>
    <row r="460" spans="5:9" ht="15.75" customHeight="1">
      <c r="E460" s="143"/>
      <c r="H460" s="29"/>
      <c r="I460" s="30"/>
    </row>
    <row r="461" spans="5:9" ht="15.75" customHeight="1">
      <c r="E461" s="143"/>
      <c r="H461" s="29"/>
      <c r="I461" s="30"/>
    </row>
    <row r="462" spans="5:9" ht="15.75" customHeight="1">
      <c r="E462" s="143"/>
      <c r="H462" s="29"/>
      <c r="I462" s="30"/>
    </row>
    <row r="463" spans="5:9" ht="15.75" customHeight="1">
      <c r="E463" s="143"/>
      <c r="H463" s="29"/>
      <c r="I463" s="30"/>
    </row>
    <row r="464" spans="5:9" ht="15.75" customHeight="1">
      <c r="E464" s="143"/>
      <c r="H464" s="29"/>
      <c r="I464" s="30"/>
    </row>
    <row r="465" spans="5:9" ht="15.75" customHeight="1">
      <c r="E465" s="143"/>
      <c r="H465" s="29"/>
      <c r="I465" s="30"/>
    </row>
    <row r="466" spans="5:9" ht="15.75" customHeight="1">
      <c r="E466" s="143"/>
      <c r="H466" s="29"/>
      <c r="I466" s="30"/>
    </row>
    <row r="467" spans="5:9" ht="15.75" customHeight="1">
      <c r="E467" s="143"/>
      <c r="H467" s="29"/>
      <c r="I467" s="30"/>
    </row>
    <row r="468" spans="5:9" ht="15.75" customHeight="1">
      <c r="E468" s="143"/>
      <c r="H468" s="29"/>
      <c r="I468" s="30"/>
    </row>
    <row r="469" spans="5:9" ht="15.75" customHeight="1">
      <c r="E469" s="143"/>
      <c r="H469" s="29"/>
      <c r="I469" s="30"/>
    </row>
    <row r="470" spans="5:9" ht="15.75" customHeight="1">
      <c r="E470" s="143"/>
      <c r="H470" s="29"/>
      <c r="I470" s="30"/>
    </row>
    <row r="471" spans="5:9" ht="15.75" customHeight="1">
      <c r="E471" s="143"/>
      <c r="H471" s="29"/>
      <c r="I471" s="30"/>
    </row>
    <row r="472" spans="5:9" ht="15.75" customHeight="1">
      <c r="E472" s="143"/>
      <c r="H472" s="29"/>
      <c r="I472" s="30"/>
    </row>
    <row r="473" spans="5:9" ht="15.75" customHeight="1">
      <c r="E473" s="143"/>
      <c r="H473" s="29"/>
      <c r="I473" s="30"/>
    </row>
    <row r="474" spans="5:9" ht="15.75" customHeight="1">
      <c r="E474" s="143"/>
      <c r="H474" s="29"/>
      <c r="I474" s="30"/>
    </row>
    <row r="475" spans="5:9" ht="15.75" customHeight="1">
      <c r="E475" s="143"/>
      <c r="H475" s="29"/>
      <c r="I475" s="30"/>
    </row>
    <row r="476" spans="5:9" ht="15.75" customHeight="1">
      <c r="E476" s="143"/>
      <c r="H476" s="29"/>
      <c r="I476" s="30"/>
    </row>
    <row r="477" spans="5:9" ht="15.75" customHeight="1">
      <c r="E477" s="143"/>
      <c r="H477" s="29"/>
      <c r="I477" s="30"/>
    </row>
    <row r="478" spans="5:9" ht="15.75" customHeight="1">
      <c r="E478" s="143"/>
      <c r="H478" s="29"/>
      <c r="I478" s="30"/>
    </row>
    <row r="479" spans="5:9" ht="15.75" customHeight="1">
      <c r="E479" s="143"/>
      <c r="H479" s="29"/>
      <c r="I479" s="30"/>
    </row>
    <row r="480" spans="5:9" ht="15.75" customHeight="1">
      <c r="E480" s="143"/>
      <c r="H480" s="29"/>
      <c r="I480" s="30"/>
    </row>
    <row r="481" spans="5:9" ht="15.75" customHeight="1">
      <c r="E481" s="143"/>
      <c r="H481" s="29"/>
      <c r="I481" s="30"/>
    </row>
    <row r="482" spans="5:9" ht="15.75" customHeight="1">
      <c r="E482" s="143"/>
      <c r="H482" s="29"/>
      <c r="I482" s="30"/>
    </row>
    <row r="483" spans="5:9" ht="15.75" customHeight="1">
      <c r="E483" s="143"/>
      <c r="H483" s="29"/>
      <c r="I483" s="30"/>
    </row>
    <row r="484" spans="5:9" ht="15.75" customHeight="1">
      <c r="E484" s="143"/>
      <c r="H484" s="29"/>
      <c r="I484" s="30"/>
    </row>
    <row r="485" spans="5:9" ht="15.75" customHeight="1">
      <c r="E485" s="143"/>
      <c r="H485" s="29"/>
      <c r="I485" s="30"/>
    </row>
    <row r="486" spans="5:9" ht="15.75" customHeight="1">
      <c r="E486" s="143"/>
      <c r="H486" s="29"/>
      <c r="I486" s="30"/>
    </row>
    <row r="487" spans="5:9" ht="15.75" customHeight="1">
      <c r="E487" s="143"/>
      <c r="H487" s="29"/>
      <c r="I487" s="30"/>
    </row>
    <row r="488" spans="5:9" ht="15.75" customHeight="1">
      <c r="E488" s="143"/>
      <c r="H488" s="29"/>
      <c r="I488" s="30"/>
    </row>
    <row r="489" spans="5:9" ht="15.75" customHeight="1">
      <c r="E489" s="143"/>
      <c r="H489" s="29"/>
      <c r="I489" s="30"/>
    </row>
    <row r="490" spans="5:9" ht="15.75" customHeight="1">
      <c r="E490" s="143"/>
      <c r="H490" s="29"/>
      <c r="I490" s="30"/>
    </row>
    <row r="491" spans="5:9" ht="15.75" customHeight="1">
      <c r="E491" s="143"/>
      <c r="H491" s="29"/>
      <c r="I491" s="30"/>
    </row>
    <row r="492" spans="5:9" ht="15.75" customHeight="1">
      <c r="E492" s="143"/>
      <c r="H492" s="29"/>
      <c r="I492" s="30"/>
    </row>
    <row r="493" spans="5:9" ht="15.75" customHeight="1">
      <c r="E493" s="143"/>
      <c r="H493" s="29"/>
      <c r="I493" s="30"/>
    </row>
    <row r="494" spans="5:9" ht="15.75" customHeight="1">
      <c r="E494" s="143"/>
      <c r="H494" s="29"/>
      <c r="I494" s="30"/>
    </row>
    <row r="495" spans="5:9" ht="15.75" customHeight="1">
      <c r="E495" s="143"/>
      <c r="H495" s="29"/>
      <c r="I495" s="30"/>
    </row>
    <row r="496" spans="5:9" ht="15.75" customHeight="1">
      <c r="E496" s="143"/>
      <c r="H496" s="29"/>
      <c r="I496" s="30"/>
    </row>
    <row r="497" spans="5:9" ht="15.75" customHeight="1">
      <c r="E497" s="143"/>
      <c r="H497" s="29"/>
      <c r="I497" s="30"/>
    </row>
    <row r="498" spans="5:9" ht="15.75" customHeight="1">
      <c r="E498" s="143"/>
      <c r="H498" s="29"/>
      <c r="I498" s="30"/>
    </row>
    <row r="499" spans="5:9" ht="15.75" customHeight="1">
      <c r="E499" s="143"/>
      <c r="H499" s="29"/>
      <c r="I499" s="30"/>
    </row>
    <row r="500" spans="5:9" ht="15.75" customHeight="1">
      <c r="E500" s="143"/>
      <c r="H500" s="29"/>
      <c r="I500" s="30"/>
    </row>
    <row r="501" spans="5:9" ht="15.75" customHeight="1">
      <c r="E501" s="143"/>
      <c r="H501" s="29"/>
      <c r="I501" s="30"/>
    </row>
    <row r="502" spans="5:9" ht="15.75" customHeight="1">
      <c r="E502" s="143"/>
      <c r="H502" s="29"/>
      <c r="I502" s="30"/>
    </row>
    <row r="503" spans="5:9" ht="15.75" customHeight="1">
      <c r="E503" s="143"/>
      <c r="H503" s="29"/>
      <c r="I503" s="30"/>
    </row>
    <row r="504" spans="5:9" ht="15.75" customHeight="1">
      <c r="E504" s="143"/>
      <c r="H504" s="29"/>
      <c r="I504" s="30"/>
    </row>
    <row r="505" spans="5:9" ht="15.75" customHeight="1">
      <c r="E505" s="143"/>
      <c r="H505" s="29"/>
      <c r="I505" s="30"/>
    </row>
    <row r="506" spans="5:9" ht="15.75" customHeight="1">
      <c r="E506" s="143"/>
      <c r="H506" s="29"/>
      <c r="I506" s="30"/>
    </row>
    <row r="507" spans="5:9" ht="15.75" customHeight="1">
      <c r="E507" s="143"/>
      <c r="H507" s="29"/>
      <c r="I507" s="30"/>
    </row>
    <row r="508" spans="5:9" ht="15.75" customHeight="1">
      <c r="E508" s="143"/>
      <c r="H508" s="29"/>
      <c r="I508" s="30"/>
    </row>
    <row r="509" spans="5:9" ht="15.75" customHeight="1">
      <c r="E509" s="143"/>
      <c r="H509" s="29"/>
      <c r="I509" s="30"/>
    </row>
    <row r="510" spans="5:9" ht="15.75" customHeight="1">
      <c r="E510" s="143"/>
      <c r="H510" s="29"/>
      <c r="I510" s="30"/>
    </row>
    <row r="511" spans="5:9" ht="15.75" customHeight="1">
      <c r="E511" s="143"/>
      <c r="H511" s="29"/>
      <c r="I511" s="30"/>
    </row>
    <row r="512" spans="5:9" ht="15.75" customHeight="1">
      <c r="E512" s="143"/>
      <c r="H512" s="29"/>
      <c r="I512" s="30"/>
    </row>
    <row r="513" spans="5:9" ht="15.75" customHeight="1">
      <c r="E513" s="143"/>
      <c r="H513" s="29"/>
      <c r="I513" s="30"/>
    </row>
    <row r="514" spans="5:9" ht="15.75" customHeight="1">
      <c r="E514" s="143"/>
      <c r="H514" s="29"/>
      <c r="I514" s="30"/>
    </row>
    <row r="515" spans="5:9" ht="15.75" customHeight="1">
      <c r="E515" s="143"/>
      <c r="H515" s="29"/>
      <c r="I515" s="30"/>
    </row>
    <row r="516" spans="5:9" ht="15.75" customHeight="1">
      <c r="E516" s="143"/>
      <c r="H516" s="29"/>
      <c r="I516" s="30"/>
    </row>
    <row r="517" spans="5:9" ht="15.75" customHeight="1">
      <c r="E517" s="143"/>
      <c r="H517" s="29"/>
      <c r="I517" s="30"/>
    </row>
    <row r="518" spans="5:9" ht="15.75" customHeight="1">
      <c r="E518" s="143"/>
      <c r="H518" s="29"/>
      <c r="I518" s="30"/>
    </row>
    <row r="519" spans="5:9" ht="15.75" customHeight="1">
      <c r="E519" s="143"/>
      <c r="H519" s="29"/>
      <c r="I519" s="30"/>
    </row>
    <row r="520" spans="5:9" ht="15.75" customHeight="1">
      <c r="E520" s="143"/>
      <c r="H520" s="29"/>
      <c r="I520" s="30"/>
    </row>
    <row r="521" spans="5:9" ht="15.75" customHeight="1">
      <c r="E521" s="143"/>
      <c r="H521" s="29"/>
      <c r="I521" s="30"/>
    </row>
    <row r="522" spans="5:9" ht="15.75" customHeight="1">
      <c r="E522" s="143"/>
      <c r="H522" s="29"/>
      <c r="I522" s="30"/>
    </row>
    <row r="523" spans="5:9" ht="15.75" customHeight="1">
      <c r="E523" s="143"/>
      <c r="H523" s="29"/>
      <c r="I523" s="30"/>
    </row>
    <row r="524" spans="5:9" ht="15.75" customHeight="1">
      <c r="E524" s="143"/>
      <c r="H524" s="29"/>
      <c r="I524" s="30"/>
    </row>
    <row r="525" spans="5:9" ht="15.75" customHeight="1">
      <c r="E525" s="143"/>
      <c r="H525" s="29"/>
      <c r="I525" s="30"/>
    </row>
    <row r="526" spans="5:9" ht="15.75" customHeight="1">
      <c r="E526" s="143"/>
      <c r="H526" s="29"/>
      <c r="I526" s="30"/>
    </row>
    <row r="527" spans="5:9" ht="15.75" customHeight="1">
      <c r="E527" s="143"/>
      <c r="H527" s="29"/>
      <c r="I527" s="30"/>
    </row>
    <row r="528" spans="5:9" ht="15.75" customHeight="1">
      <c r="E528" s="143"/>
      <c r="H528" s="29"/>
      <c r="I528" s="30"/>
    </row>
    <row r="529" spans="5:9" ht="15.75" customHeight="1">
      <c r="E529" s="143"/>
      <c r="H529" s="29"/>
      <c r="I529" s="30"/>
    </row>
    <row r="530" spans="5:9" ht="15.75" customHeight="1">
      <c r="E530" s="143"/>
      <c r="H530" s="29"/>
      <c r="I530" s="30"/>
    </row>
    <row r="531" spans="5:9" ht="15.75" customHeight="1">
      <c r="E531" s="143"/>
      <c r="H531" s="29"/>
      <c r="I531" s="30"/>
    </row>
    <row r="532" spans="5:9" ht="15.75" customHeight="1">
      <c r="E532" s="143"/>
      <c r="H532" s="29"/>
      <c r="I532" s="30"/>
    </row>
    <row r="533" spans="5:9" ht="15.75" customHeight="1">
      <c r="E533" s="143"/>
      <c r="H533" s="29"/>
      <c r="I533" s="30"/>
    </row>
    <row r="534" spans="5:9" ht="15.75" customHeight="1">
      <c r="E534" s="143"/>
      <c r="H534" s="29"/>
      <c r="I534" s="30"/>
    </row>
    <row r="535" spans="5:9" ht="15.75" customHeight="1">
      <c r="E535" s="143"/>
      <c r="H535" s="29"/>
      <c r="I535" s="30"/>
    </row>
    <row r="536" spans="5:9" ht="15.75" customHeight="1">
      <c r="E536" s="143"/>
      <c r="H536" s="29"/>
      <c r="I536" s="30"/>
    </row>
    <row r="537" spans="5:9" ht="15.75" customHeight="1">
      <c r="E537" s="143"/>
      <c r="H537" s="29"/>
      <c r="I537" s="30"/>
    </row>
    <row r="538" spans="5:9" ht="15.75" customHeight="1">
      <c r="E538" s="143"/>
      <c r="H538" s="29"/>
      <c r="I538" s="30"/>
    </row>
    <row r="539" spans="5:9" ht="15.75" customHeight="1">
      <c r="E539" s="143"/>
      <c r="H539" s="29"/>
      <c r="I539" s="30"/>
    </row>
    <row r="540" spans="5:9" ht="15.75" customHeight="1">
      <c r="E540" s="143"/>
      <c r="H540" s="29"/>
      <c r="I540" s="30"/>
    </row>
    <row r="541" spans="5:9" ht="15.75" customHeight="1">
      <c r="E541" s="143"/>
      <c r="H541" s="29"/>
      <c r="I541" s="30"/>
    </row>
    <row r="542" spans="5:9" ht="15.75" customHeight="1">
      <c r="E542" s="143"/>
      <c r="H542" s="29"/>
      <c r="I542" s="30"/>
    </row>
    <row r="543" spans="5:9" ht="15.75" customHeight="1">
      <c r="E543" s="143"/>
      <c r="H543" s="29"/>
      <c r="I543" s="30"/>
    </row>
    <row r="544" spans="5:9" ht="15.75" customHeight="1">
      <c r="E544" s="143"/>
      <c r="H544" s="29"/>
      <c r="I544" s="30"/>
    </row>
    <row r="545" spans="5:9" ht="15.75" customHeight="1">
      <c r="E545" s="143"/>
      <c r="H545" s="29"/>
      <c r="I545" s="30"/>
    </row>
    <row r="546" spans="5:9" ht="15.75" customHeight="1">
      <c r="E546" s="143"/>
      <c r="H546" s="29"/>
      <c r="I546" s="30"/>
    </row>
    <row r="547" spans="5:9" ht="15.75" customHeight="1">
      <c r="E547" s="143"/>
      <c r="H547" s="29"/>
      <c r="I547" s="30"/>
    </row>
    <row r="548" spans="5:9" ht="15.75" customHeight="1">
      <c r="E548" s="143"/>
      <c r="H548" s="29"/>
      <c r="I548" s="30"/>
    </row>
    <row r="549" spans="5:9" ht="15.75" customHeight="1">
      <c r="E549" s="143"/>
      <c r="H549" s="29"/>
      <c r="I549" s="30"/>
    </row>
    <row r="550" spans="5:9" ht="15.75" customHeight="1">
      <c r="E550" s="143"/>
      <c r="H550" s="29"/>
      <c r="I550" s="30"/>
    </row>
    <row r="551" spans="5:9" ht="15.75" customHeight="1">
      <c r="E551" s="143"/>
      <c r="H551" s="29"/>
      <c r="I551" s="30"/>
    </row>
    <row r="552" spans="5:9" ht="15.75" customHeight="1">
      <c r="E552" s="143"/>
      <c r="H552" s="29"/>
      <c r="I552" s="30"/>
    </row>
    <row r="553" spans="5:9" ht="15.75" customHeight="1">
      <c r="E553" s="143"/>
      <c r="H553" s="29"/>
      <c r="I553" s="30"/>
    </row>
    <row r="554" spans="5:9" ht="15.75" customHeight="1">
      <c r="E554" s="143"/>
      <c r="H554" s="29"/>
      <c r="I554" s="30"/>
    </row>
    <row r="555" spans="5:9" ht="15.75" customHeight="1">
      <c r="E555" s="143"/>
      <c r="H555" s="29"/>
      <c r="I555" s="30"/>
    </row>
    <row r="556" spans="5:9" ht="15.75" customHeight="1">
      <c r="E556" s="143"/>
      <c r="H556" s="29"/>
      <c r="I556" s="30"/>
    </row>
    <row r="557" spans="5:9" ht="15.75" customHeight="1">
      <c r="E557" s="143"/>
      <c r="H557" s="29"/>
      <c r="I557" s="30"/>
    </row>
    <row r="558" spans="5:9" ht="15.75" customHeight="1">
      <c r="E558" s="143"/>
      <c r="H558" s="29"/>
      <c r="I558" s="30"/>
    </row>
    <row r="559" spans="5:9" ht="15.75" customHeight="1">
      <c r="E559" s="143"/>
      <c r="H559" s="29"/>
      <c r="I559" s="30"/>
    </row>
    <row r="560" spans="5:9" ht="15.75" customHeight="1">
      <c r="E560" s="143"/>
      <c r="H560" s="29"/>
      <c r="I560" s="30"/>
    </row>
    <row r="561" spans="5:9" ht="15.75" customHeight="1">
      <c r="E561" s="143"/>
      <c r="H561" s="29"/>
      <c r="I561" s="30"/>
    </row>
    <row r="562" spans="5:9" ht="15.75" customHeight="1">
      <c r="E562" s="143"/>
      <c r="H562" s="29"/>
      <c r="I562" s="30"/>
    </row>
    <row r="563" spans="5:9" ht="15.75" customHeight="1">
      <c r="E563" s="143"/>
      <c r="H563" s="29"/>
      <c r="I563" s="30"/>
    </row>
    <row r="564" spans="5:9" ht="15.75" customHeight="1">
      <c r="E564" s="143"/>
      <c r="H564" s="29"/>
      <c r="I564" s="30"/>
    </row>
    <row r="565" spans="5:9" ht="15.75" customHeight="1">
      <c r="E565" s="143"/>
      <c r="H565" s="29"/>
      <c r="I565" s="30"/>
    </row>
    <row r="566" spans="5:9" ht="15.75" customHeight="1">
      <c r="E566" s="143"/>
      <c r="H566" s="29"/>
      <c r="I566" s="30"/>
    </row>
    <row r="567" spans="5:9" ht="15.75" customHeight="1">
      <c r="E567" s="143"/>
      <c r="H567" s="29"/>
      <c r="I567" s="30"/>
    </row>
    <row r="568" spans="5:9" ht="15.75" customHeight="1">
      <c r="E568" s="143"/>
      <c r="H568" s="29"/>
      <c r="I568" s="30"/>
    </row>
    <row r="569" spans="5:9" ht="15.75" customHeight="1">
      <c r="E569" s="143"/>
      <c r="H569" s="29"/>
      <c r="I569" s="30"/>
    </row>
    <row r="570" spans="5:9" ht="15.75" customHeight="1">
      <c r="E570" s="143"/>
      <c r="H570" s="29"/>
      <c r="I570" s="30"/>
    </row>
    <row r="571" spans="5:9" ht="15.75" customHeight="1">
      <c r="E571" s="143"/>
      <c r="H571" s="29"/>
      <c r="I571" s="30"/>
    </row>
    <row r="572" spans="5:9" ht="15.75" customHeight="1">
      <c r="E572" s="143"/>
      <c r="H572" s="29"/>
      <c r="I572" s="30"/>
    </row>
    <row r="573" spans="5:9" ht="15.75" customHeight="1">
      <c r="E573" s="143"/>
      <c r="H573" s="29"/>
      <c r="I573" s="30"/>
    </row>
    <row r="574" spans="5:9" ht="15.75" customHeight="1">
      <c r="E574" s="143"/>
      <c r="H574" s="29"/>
      <c r="I574" s="30"/>
    </row>
    <row r="575" spans="5:9" ht="15.75" customHeight="1">
      <c r="E575" s="143"/>
      <c r="H575" s="29"/>
      <c r="I575" s="30"/>
    </row>
    <row r="576" spans="5:9" ht="15.75" customHeight="1">
      <c r="E576" s="143"/>
      <c r="H576" s="29"/>
      <c r="I576" s="30"/>
    </row>
    <row r="577" spans="5:9" ht="15.75" customHeight="1">
      <c r="E577" s="143"/>
      <c r="H577" s="29"/>
      <c r="I577" s="30"/>
    </row>
    <row r="578" spans="5:9" ht="15.75" customHeight="1">
      <c r="E578" s="143"/>
      <c r="H578" s="29"/>
      <c r="I578" s="30"/>
    </row>
    <row r="579" spans="5:9" ht="15.75" customHeight="1">
      <c r="E579" s="143"/>
      <c r="H579" s="29"/>
      <c r="I579" s="30"/>
    </row>
    <row r="580" spans="5:9" ht="15.75" customHeight="1">
      <c r="E580" s="143"/>
      <c r="H580" s="29"/>
      <c r="I580" s="30"/>
    </row>
    <row r="581" spans="5:9" ht="15.75" customHeight="1">
      <c r="E581" s="143"/>
      <c r="H581" s="29"/>
      <c r="I581" s="30"/>
    </row>
    <row r="582" spans="5:9" ht="15.75" customHeight="1">
      <c r="E582" s="143"/>
      <c r="H582" s="29"/>
      <c r="I582" s="30"/>
    </row>
    <row r="583" spans="5:9" ht="15.75" customHeight="1">
      <c r="E583" s="143"/>
      <c r="H583" s="29"/>
      <c r="I583" s="30"/>
    </row>
    <row r="584" spans="5:9" ht="15.75" customHeight="1">
      <c r="E584" s="143"/>
      <c r="H584" s="29"/>
      <c r="I584" s="30"/>
    </row>
    <row r="585" spans="5:9" ht="15.75" customHeight="1">
      <c r="E585" s="143"/>
      <c r="H585" s="29"/>
      <c r="I585" s="30"/>
    </row>
    <row r="586" spans="5:9" ht="15.75" customHeight="1">
      <c r="E586" s="143"/>
      <c r="H586" s="29"/>
      <c r="I586" s="30"/>
    </row>
    <row r="587" spans="5:9" ht="15.75" customHeight="1">
      <c r="E587" s="143"/>
      <c r="H587" s="29"/>
      <c r="I587" s="30"/>
    </row>
    <row r="588" spans="5:9" ht="15.75" customHeight="1">
      <c r="E588" s="143"/>
      <c r="H588" s="29"/>
      <c r="I588" s="30"/>
    </row>
    <row r="589" spans="5:9" ht="15.75" customHeight="1">
      <c r="E589" s="143"/>
      <c r="H589" s="29"/>
      <c r="I589" s="30"/>
    </row>
    <row r="590" spans="5:9" ht="15.75" customHeight="1">
      <c r="E590" s="143"/>
      <c r="H590" s="29"/>
      <c r="I590" s="30"/>
    </row>
    <row r="591" spans="5:9" ht="15.75" customHeight="1">
      <c r="E591" s="143"/>
      <c r="H591" s="29"/>
      <c r="I591" s="30"/>
    </row>
    <row r="592" spans="5:9" ht="15.75" customHeight="1">
      <c r="E592" s="143"/>
      <c r="H592" s="29"/>
      <c r="I592" s="30"/>
    </row>
    <row r="593" spans="5:9" ht="15.75" customHeight="1">
      <c r="E593" s="143"/>
      <c r="H593" s="29"/>
      <c r="I593" s="30"/>
    </row>
    <row r="594" spans="5:9" ht="15.75" customHeight="1">
      <c r="E594" s="143"/>
      <c r="H594" s="29"/>
      <c r="I594" s="30"/>
    </row>
    <row r="595" spans="5:9" ht="15.75" customHeight="1">
      <c r="E595" s="143"/>
      <c r="H595" s="29"/>
      <c r="I595" s="30"/>
    </row>
    <row r="596" spans="5:9" ht="15.75" customHeight="1">
      <c r="E596" s="143"/>
      <c r="H596" s="29"/>
      <c r="I596" s="30"/>
    </row>
    <row r="597" spans="5:9" ht="15.75" customHeight="1">
      <c r="E597" s="143"/>
      <c r="H597" s="29"/>
      <c r="I597" s="30"/>
    </row>
    <row r="598" spans="5:9" ht="15.75" customHeight="1">
      <c r="E598" s="143"/>
      <c r="H598" s="29"/>
      <c r="I598" s="30"/>
    </row>
    <row r="599" spans="5:9" ht="15.75" customHeight="1">
      <c r="E599" s="143"/>
      <c r="H599" s="29"/>
      <c r="I599" s="30"/>
    </row>
    <row r="600" spans="5:9" ht="15.75" customHeight="1">
      <c r="E600" s="143"/>
      <c r="H600" s="29"/>
      <c r="I600" s="30"/>
    </row>
    <row r="601" spans="5:9" ht="15.75" customHeight="1">
      <c r="E601" s="143"/>
      <c r="H601" s="29"/>
      <c r="I601" s="30"/>
    </row>
    <row r="602" spans="5:9" ht="15.75" customHeight="1">
      <c r="E602" s="143"/>
      <c r="H602" s="29"/>
      <c r="I602" s="30"/>
    </row>
    <row r="603" spans="5:9" ht="15.75" customHeight="1">
      <c r="E603" s="143"/>
      <c r="H603" s="29"/>
      <c r="I603" s="30"/>
    </row>
    <row r="604" spans="5:9" ht="15.75" customHeight="1">
      <c r="E604" s="143"/>
      <c r="H604" s="29"/>
      <c r="I604" s="30"/>
    </row>
    <row r="605" spans="5:9" ht="15.75" customHeight="1">
      <c r="E605" s="143"/>
      <c r="H605" s="29"/>
      <c r="I605" s="30"/>
    </row>
    <row r="606" spans="5:9" ht="15.75" customHeight="1">
      <c r="E606" s="143"/>
      <c r="H606" s="29"/>
      <c r="I606" s="30"/>
    </row>
    <row r="607" spans="5:9" ht="15.75" customHeight="1">
      <c r="E607" s="143"/>
      <c r="H607" s="29"/>
      <c r="I607" s="30"/>
    </row>
    <row r="608" spans="5:9" ht="15.75" customHeight="1">
      <c r="E608" s="143"/>
      <c r="H608" s="29"/>
      <c r="I608" s="30"/>
    </row>
    <row r="609" spans="5:9" ht="15.75" customHeight="1">
      <c r="E609" s="143"/>
      <c r="H609" s="29"/>
      <c r="I609" s="30"/>
    </row>
    <row r="610" spans="5:9" ht="15.75" customHeight="1">
      <c r="E610" s="143"/>
      <c r="H610" s="29"/>
      <c r="I610" s="30"/>
    </row>
    <row r="611" spans="5:9" ht="15.75" customHeight="1">
      <c r="E611" s="143"/>
      <c r="H611" s="29"/>
      <c r="I611" s="30"/>
    </row>
    <row r="612" spans="5:9" ht="15.75" customHeight="1">
      <c r="E612" s="143"/>
      <c r="H612" s="29"/>
      <c r="I612" s="30"/>
    </row>
    <row r="613" spans="5:9" ht="15.75" customHeight="1">
      <c r="E613" s="143"/>
      <c r="H613" s="29"/>
      <c r="I613" s="30"/>
    </row>
    <row r="614" spans="5:9" ht="15.75" customHeight="1">
      <c r="E614" s="143"/>
      <c r="H614" s="29"/>
      <c r="I614" s="30"/>
    </row>
    <row r="615" spans="5:9" ht="15.75" customHeight="1">
      <c r="E615" s="143"/>
      <c r="H615" s="29"/>
      <c r="I615" s="30"/>
    </row>
    <row r="616" spans="5:9" ht="15.75" customHeight="1">
      <c r="E616" s="143"/>
      <c r="H616" s="29"/>
      <c r="I616" s="30"/>
    </row>
    <row r="617" spans="5:9" ht="15.75" customHeight="1">
      <c r="E617" s="143"/>
      <c r="H617" s="29"/>
      <c r="I617" s="30"/>
    </row>
    <row r="618" spans="5:9" ht="15.75" customHeight="1">
      <c r="E618" s="143"/>
      <c r="H618" s="29"/>
      <c r="I618" s="30"/>
    </row>
    <row r="619" spans="5:9" ht="15.75" customHeight="1">
      <c r="E619" s="143"/>
      <c r="H619" s="29"/>
      <c r="I619" s="30"/>
    </row>
    <row r="620" spans="5:9" ht="15.75" customHeight="1">
      <c r="E620" s="143"/>
      <c r="H620" s="29"/>
      <c r="I620" s="30"/>
    </row>
    <row r="621" spans="5:9" ht="15.75" customHeight="1">
      <c r="E621" s="143"/>
      <c r="H621" s="29"/>
      <c r="I621" s="30"/>
    </row>
    <row r="622" spans="5:9" ht="15.75" customHeight="1">
      <c r="E622" s="143"/>
      <c r="H622" s="29"/>
      <c r="I622" s="30"/>
    </row>
    <row r="623" spans="5:9" ht="15.75" customHeight="1">
      <c r="E623" s="143"/>
      <c r="H623" s="29"/>
      <c r="I623" s="30"/>
    </row>
    <row r="624" spans="5:9" ht="15.75" customHeight="1">
      <c r="E624" s="143"/>
      <c r="H624" s="29"/>
      <c r="I624" s="30"/>
    </row>
    <row r="625" spans="5:9" ht="15.75" customHeight="1">
      <c r="E625" s="143"/>
      <c r="H625" s="29"/>
      <c r="I625" s="30"/>
    </row>
    <row r="626" spans="5:9" ht="15.75" customHeight="1">
      <c r="E626" s="143"/>
      <c r="H626" s="29"/>
      <c r="I626" s="30"/>
    </row>
    <row r="627" spans="5:9" ht="15.75" customHeight="1">
      <c r="E627" s="143"/>
      <c r="H627" s="29"/>
      <c r="I627" s="30"/>
    </row>
    <row r="628" spans="5:9" ht="15.75" customHeight="1">
      <c r="E628" s="143"/>
      <c r="H628" s="29"/>
      <c r="I628" s="30"/>
    </row>
    <row r="629" spans="5:9" ht="15.75" customHeight="1">
      <c r="E629" s="143"/>
      <c r="H629" s="29"/>
      <c r="I629" s="30"/>
    </row>
    <row r="630" spans="5:9" ht="15.75" customHeight="1">
      <c r="E630" s="143"/>
      <c r="H630" s="29"/>
      <c r="I630" s="30"/>
    </row>
    <row r="631" spans="5:9" ht="15.75" customHeight="1">
      <c r="E631" s="143"/>
      <c r="H631" s="29"/>
      <c r="I631" s="30"/>
    </row>
    <row r="632" spans="5:9" ht="15.75" customHeight="1">
      <c r="E632" s="143"/>
      <c r="H632" s="29"/>
      <c r="I632" s="30"/>
    </row>
    <row r="633" spans="5:9" ht="15.75" customHeight="1">
      <c r="E633" s="143"/>
      <c r="H633" s="29"/>
      <c r="I633" s="30"/>
    </row>
    <row r="634" spans="5:9" ht="15.75" customHeight="1">
      <c r="E634" s="143"/>
      <c r="H634" s="29"/>
      <c r="I634" s="30"/>
    </row>
    <row r="635" spans="5:9" ht="15.75" customHeight="1">
      <c r="E635" s="143"/>
      <c r="H635" s="29"/>
      <c r="I635" s="30"/>
    </row>
    <row r="636" spans="5:9" ht="15.75" customHeight="1">
      <c r="E636" s="143"/>
      <c r="H636" s="29"/>
      <c r="I636" s="30"/>
    </row>
    <row r="637" spans="5:9" ht="15.75" customHeight="1">
      <c r="E637" s="143"/>
      <c r="H637" s="29"/>
      <c r="I637" s="30"/>
    </row>
    <row r="638" spans="5:9" ht="15.75" customHeight="1">
      <c r="E638" s="143"/>
      <c r="H638" s="29"/>
      <c r="I638" s="30"/>
    </row>
    <row r="639" spans="5:9" ht="15.75" customHeight="1">
      <c r="E639" s="143"/>
      <c r="H639" s="29"/>
      <c r="I639" s="30"/>
    </row>
    <row r="640" spans="5:9" ht="15.75" customHeight="1">
      <c r="E640" s="143"/>
      <c r="H640" s="29"/>
      <c r="I640" s="30"/>
    </row>
    <row r="641" spans="5:9" ht="15.75" customHeight="1">
      <c r="E641" s="143"/>
      <c r="H641" s="29"/>
      <c r="I641" s="30"/>
    </row>
    <row r="642" spans="5:9" ht="15.75" customHeight="1">
      <c r="E642" s="143"/>
      <c r="H642" s="29"/>
      <c r="I642" s="30"/>
    </row>
    <row r="643" spans="5:9" ht="15.75" customHeight="1">
      <c r="E643" s="143"/>
      <c r="H643" s="29"/>
      <c r="I643" s="30"/>
    </row>
    <row r="644" spans="5:9" ht="15.75" customHeight="1">
      <c r="E644" s="143"/>
      <c r="H644" s="29"/>
      <c r="I644" s="30"/>
    </row>
    <row r="645" spans="5:9" ht="15.75" customHeight="1">
      <c r="E645" s="143"/>
      <c r="H645" s="29"/>
      <c r="I645" s="30"/>
    </row>
    <row r="646" spans="5:9" ht="15.75" customHeight="1">
      <c r="E646" s="143"/>
      <c r="H646" s="29"/>
      <c r="I646" s="30"/>
    </row>
    <row r="647" spans="5:9" ht="15.75" customHeight="1">
      <c r="E647" s="143"/>
      <c r="H647" s="29"/>
      <c r="I647" s="30"/>
    </row>
    <row r="648" spans="5:9" ht="15.75" customHeight="1">
      <c r="E648" s="143"/>
      <c r="H648" s="29"/>
      <c r="I648" s="30"/>
    </row>
    <row r="649" spans="5:9" ht="15.75" customHeight="1">
      <c r="E649" s="143"/>
      <c r="H649" s="29"/>
      <c r="I649" s="30"/>
    </row>
    <row r="650" spans="5:9" ht="15.75" customHeight="1">
      <c r="E650" s="143"/>
      <c r="H650" s="29"/>
      <c r="I650" s="30"/>
    </row>
    <row r="651" spans="5:9" ht="15.75" customHeight="1">
      <c r="E651" s="143"/>
      <c r="H651" s="29"/>
      <c r="I651" s="30"/>
    </row>
    <row r="652" spans="5:9" ht="15.75" customHeight="1">
      <c r="E652" s="143"/>
      <c r="H652" s="29"/>
      <c r="I652" s="30"/>
    </row>
    <row r="653" spans="5:9" ht="15.75" customHeight="1">
      <c r="E653" s="143"/>
      <c r="H653" s="29"/>
      <c r="I653" s="30"/>
    </row>
    <row r="654" spans="5:9" ht="15.75" customHeight="1">
      <c r="E654" s="143"/>
      <c r="H654" s="29"/>
      <c r="I654" s="30"/>
    </row>
    <row r="655" spans="5:9" ht="15.75" customHeight="1">
      <c r="E655" s="143"/>
      <c r="H655" s="29"/>
      <c r="I655" s="30"/>
    </row>
    <row r="656" spans="5:9" ht="15.75" customHeight="1">
      <c r="E656" s="143"/>
      <c r="H656" s="29"/>
      <c r="I656" s="30"/>
    </row>
    <row r="657" spans="5:9" ht="15.75" customHeight="1">
      <c r="E657" s="143"/>
      <c r="H657" s="29"/>
      <c r="I657" s="30"/>
    </row>
    <row r="658" spans="5:9" ht="15.75" customHeight="1">
      <c r="E658" s="143"/>
      <c r="H658" s="29"/>
      <c r="I658" s="30"/>
    </row>
    <row r="659" spans="5:9" ht="15.75" customHeight="1">
      <c r="E659" s="143"/>
      <c r="H659" s="29"/>
      <c r="I659" s="30"/>
    </row>
    <row r="660" spans="5:9" ht="15.75" customHeight="1">
      <c r="E660" s="143"/>
      <c r="H660" s="29"/>
      <c r="I660" s="30"/>
    </row>
    <row r="661" spans="5:9" ht="15.75" customHeight="1">
      <c r="E661" s="143"/>
      <c r="H661" s="29"/>
      <c r="I661" s="30"/>
    </row>
    <row r="662" spans="5:9" ht="15.75" customHeight="1">
      <c r="E662" s="143"/>
      <c r="H662" s="29"/>
      <c r="I662" s="30"/>
    </row>
    <row r="663" spans="5:9" ht="15.75" customHeight="1">
      <c r="E663" s="143"/>
      <c r="H663" s="29"/>
      <c r="I663" s="30"/>
    </row>
    <row r="664" spans="5:9" ht="15.75" customHeight="1">
      <c r="E664" s="143"/>
      <c r="H664" s="29"/>
      <c r="I664" s="30"/>
    </row>
    <row r="665" spans="5:9" ht="15.75" customHeight="1">
      <c r="E665" s="143"/>
      <c r="H665" s="29"/>
      <c r="I665" s="30"/>
    </row>
    <row r="666" spans="5:9" ht="15.75" customHeight="1">
      <c r="E666" s="143"/>
      <c r="H666" s="29"/>
      <c r="I666" s="30"/>
    </row>
    <row r="667" spans="5:9" ht="15.75" customHeight="1">
      <c r="E667" s="143"/>
      <c r="H667" s="29"/>
      <c r="I667" s="30"/>
    </row>
    <row r="668" spans="5:9" ht="15.75" customHeight="1">
      <c r="E668" s="143"/>
      <c r="H668" s="29"/>
      <c r="I668" s="30"/>
    </row>
    <row r="669" spans="5:9" ht="15.75" customHeight="1">
      <c r="E669" s="143"/>
      <c r="H669" s="29"/>
      <c r="I669" s="30"/>
    </row>
    <row r="670" spans="5:9" ht="15.75" customHeight="1">
      <c r="E670" s="143"/>
      <c r="H670" s="29"/>
      <c r="I670" s="30"/>
    </row>
    <row r="671" spans="5:9" ht="15.75" customHeight="1">
      <c r="E671" s="143"/>
      <c r="H671" s="29"/>
      <c r="I671" s="30"/>
    </row>
    <row r="672" spans="5:9" ht="15.75" customHeight="1">
      <c r="E672" s="143"/>
      <c r="H672" s="29"/>
      <c r="I672" s="30"/>
    </row>
    <row r="673" spans="5:9" ht="15.75" customHeight="1">
      <c r="E673" s="143"/>
      <c r="H673" s="29"/>
      <c r="I673" s="30"/>
    </row>
    <row r="674" spans="5:9" ht="15.75" customHeight="1">
      <c r="E674" s="143"/>
      <c r="H674" s="29"/>
      <c r="I674" s="30"/>
    </row>
    <row r="675" spans="5:9" ht="15.75" customHeight="1">
      <c r="E675" s="143"/>
      <c r="H675" s="29"/>
      <c r="I675" s="30"/>
    </row>
    <row r="676" spans="5:9" ht="15.75" customHeight="1">
      <c r="E676" s="143"/>
      <c r="H676" s="29"/>
      <c r="I676" s="30"/>
    </row>
    <row r="677" spans="5:9" ht="15.75" customHeight="1">
      <c r="E677" s="143"/>
      <c r="H677" s="29"/>
      <c r="I677" s="30"/>
    </row>
    <row r="678" spans="5:9" ht="15.75" customHeight="1">
      <c r="E678" s="143"/>
      <c r="H678" s="29"/>
      <c r="I678" s="30"/>
    </row>
    <row r="679" spans="5:9" ht="15.75" customHeight="1">
      <c r="E679" s="143"/>
      <c r="H679" s="29"/>
      <c r="I679" s="30"/>
    </row>
    <row r="680" spans="5:9" ht="15.75" customHeight="1">
      <c r="E680" s="143"/>
      <c r="H680" s="29"/>
      <c r="I680" s="30"/>
    </row>
    <row r="681" spans="5:9" ht="15.75" customHeight="1">
      <c r="E681" s="143"/>
      <c r="H681" s="29"/>
      <c r="I681" s="30"/>
    </row>
    <row r="682" spans="5:9" ht="15.75" customHeight="1">
      <c r="E682" s="143"/>
      <c r="H682" s="29"/>
      <c r="I682" s="30"/>
    </row>
    <row r="683" spans="5:9" ht="15.75" customHeight="1">
      <c r="E683" s="143"/>
      <c r="H683" s="29"/>
      <c r="I683" s="30"/>
    </row>
    <row r="684" spans="5:9" ht="15.75" customHeight="1">
      <c r="E684" s="143"/>
      <c r="H684" s="29"/>
      <c r="I684" s="30"/>
    </row>
    <row r="685" spans="5:9" ht="15.75" customHeight="1">
      <c r="E685" s="143"/>
      <c r="H685" s="29"/>
      <c r="I685" s="30"/>
    </row>
    <row r="686" spans="5:9" ht="15.75" customHeight="1">
      <c r="E686" s="143"/>
      <c r="H686" s="29"/>
      <c r="I686" s="30"/>
    </row>
    <row r="687" spans="5:9" ht="15.75" customHeight="1">
      <c r="E687" s="143"/>
      <c r="H687" s="29"/>
      <c r="I687" s="30"/>
    </row>
    <row r="688" spans="5:9" ht="15.75" customHeight="1">
      <c r="E688" s="143"/>
      <c r="H688" s="29"/>
      <c r="I688" s="30"/>
    </row>
    <row r="689" spans="5:9" ht="15.75" customHeight="1">
      <c r="E689" s="143"/>
      <c r="H689" s="29"/>
      <c r="I689" s="30"/>
    </row>
    <row r="690" spans="5:9" ht="15.75" customHeight="1">
      <c r="E690" s="143"/>
      <c r="H690" s="29"/>
      <c r="I690" s="30"/>
    </row>
    <row r="691" spans="5:9" ht="15.75" customHeight="1">
      <c r="E691" s="143"/>
      <c r="H691" s="29"/>
      <c r="I691" s="30"/>
    </row>
    <row r="692" spans="5:9" ht="15.75" customHeight="1">
      <c r="E692" s="143"/>
      <c r="H692" s="29"/>
      <c r="I692" s="30"/>
    </row>
    <row r="693" spans="5:9" ht="15.75" customHeight="1">
      <c r="E693" s="143"/>
      <c r="H693" s="29"/>
      <c r="I693" s="30"/>
    </row>
    <row r="694" spans="5:9" ht="15.75" customHeight="1">
      <c r="E694" s="143"/>
      <c r="H694" s="29"/>
      <c r="I694" s="30"/>
    </row>
    <row r="695" spans="5:9" ht="15.75" customHeight="1">
      <c r="E695" s="143"/>
      <c r="H695" s="29"/>
      <c r="I695" s="30"/>
    </row>
    <row r="696" spans="5:9" ht="15.75" customHeight="1">
      <c r="E696" s="143"/>
      <c r="H696" s="29"/>
      <c r="I696" s="30"/>
    </row>
    <row r="697" spans="5:9" ht="15.75" customHeight="1">
      <c r="E697" s="143"/>
      <c r="H697" s="29"/>
      <c r="I697" s="30"/>
    </row>
    <row r="698" spans="5:9" ht="15.75" customHeight="1">
      <c r="E698" s="143"/>
      <c r="H698" s="29"/>
      <c r="I698" s="30"/>
    </row>
    <row r="699" spans="5:9" ht="15.75" customHeight="1">
      <c r="E699" s="143"/>
      <c r="H699" s="29"/>
      <c r="I699" s="30"/>
    </row>
    <row r="700" spans="5:9" ht="15.75" customHeight="1">
      <c r="E700" s="143"/>
      <c r="H700" s="29"/>
      <c r="I700" s="30"/>
    </row>
    <row r="701" spans="5:9" ht="15.75" customHeight="1">
      <c r="E701" s="143"/>
      <c r="H701" s="29"/>
      <c r="I701" s="30"/>
    </row>
    <row r="702" spans="5:9" ht="15.75" customHeight="1">
      <c r="E702" s="143"/>
      <c r="H702" s="29"/>
      <c r="I702" s="30"/>
    </row>
    <row r="703" spans="5:9" ht="15.75" customHeight="1">
      <c r="E703" s="143"/>
      <c r="H703" s="29"/>
      <c r="I703" s="30"/>
    </row>
    <row r="704" spans="5:9" ht="15.75" customHeight="1">
      <c r="E704" s="143"/>
      <c r="H704" s="29"/>
      <c r="I704" s="30"/>
    </row>
    <row r="705" spans="5:9" ht="15.75" customHeight="1">
      <c r="E705" s="143"/>
      <c r="H705" s="29"/>
      <c r="I705" s="30"/>
    </row>
    <row r="706" spans="5:9" ht="15.75" customHeight="1">
      <c r="E706" s="143"/>
      <c r="H706" s="29"/>
      <c r="I706" s="30"/>
    </row>
    <row r="707" spans="5:9" ht="15.75" customHeight="1">
      <c r="E707" s="143"/>
      <c r="H707" s="29"/>
      <c r="I707" s="30"/>
    </row>
    <row r="708" spans="5:9" ht="15.75" customHeight="1">
      <c r="E708" s="143"/>
      <c r="H708" s="29"/>
      <c r="I708" s="30"/>
    </row>
    <row r="709" spans="5:9" ht="15.75" customHeight="1">
      <c r="E709" s="143"/>
      <c r="H709" s="29"/>
      <c r="I709" s="30"/>
    </row>
    <row r="710" spans="5:9" ht="15.75" customHeight="1">
      <c r="E710" s="143"/>
      <c r="H710" s="29"/>
      <c r="I710" s="30"/>
    </row>
    <row r="711" spans="5:9" ht="15.75" customHeight="1">
      <c r="E711" s="143"/>
      <c r="H711" s="29"/>
      <c r="I711" s="30"/>
    </row>
    <row r="712" spans="5:9" ht="15.75" customHeight="1">
      <c r="E712" s="143"/>
      <c r="H712" s="29"/>
      <c r="I712" s="30"/>
    </row>
    <row r="713" spans="5:9" ht="15.75" customHeight="1">
      <c r="E713" s="143"/>
      <c r="H713" s="29"/>
      <c r="I713" s="30"/>
    </row>
    <row r="714" spans="5:9" ht="15.75" customHeight="1">
      <c r="E714" s="143"/>
      <c r="H714" s="29"/>
      <c r="I714" s="30"/>
    </row>
    <row r="715" spans="5:9" ht="15.75" customHeight="1">
      <c r="E715" s="143"/>
      <c r="H715" s="29"/>
      <c r="I715" s="30"/>
    </row>
    <row r="716" spans="5:9" ht="15.75" customHeight="1">
      <c r="E716" s="143"/>
      <c r="H716" s="29"/>
      <c r="I716" s="30"/>
    </row>
    <row r="717" spans="5:9" ht="15.75" customHeight="1">
      <c r="E717" s="143"/>
      <c r="H717" s="29"/>
      <c r="I717" s="30"/>
    </row>
    <row r="718" spans="5:9" ht="15.75" customHeight="1">
      <c r="E718" s="143"/>
      <c r="H718" s="29"/>
      <c r="I718" s="30"/>
    </row>
    <row r="719" spans="5:9" ht="15.75" customHeight="1">
      <c r="E719" s="143"/>
      <c r="H719" s="29"/>
      <c r="I719" s="30"/>
    </row>
    <row r="720" spans="5:9" ht="15.75" customHeight="1">
      <c r="E720" s="143"/>
      <c r="H720" s="29"/>
      <c r="I720" s="30"/>
    </row>
    <row r="721" spans="5:9" ht="15.75" customHeight="1">
      <c r="E721" s="143"/>
      <c r="H721" s="29"/>
      <c r="I721" s="30"/>
    </row>
    <row r="722" spans="5:9" ht="15.75" customHeight="1">
      <c r="E722" s="143"/>
      <c r="H722" s="29"/>
      <c r="I722" s="30"/>
    </row>
    <row r="723" spans="5:9" ht="15.75" customHeight="1">
      <c r="E723" s="143"/>
      <c r="H723" s="29"/>
      <c r="I723" s="30"/>
    </row>
    <row r="724" spans="5:9" ht="15.75" customHeight="1">
      <c r="E724" s="143"/>
      <c r="H724" s="29"/>
      <c r="I724" s="30"/>
    </row>
    <row r="725" spans="5:9" ht="15.75" customHeight="1">
      <c r="E725" s="143"/>
      <c r="H725" s="29"/>
      <c r="I725" s="30"/>
    </row>
    <row r="726" spans="5:9" ht="15.75" customHeight="1">
      <c r="E726" s="143"/>
      <c r="H726" s="29"/>
      <c r="I726" s="30"/>
    </row>
    <row r="727" spans="5:9" ht="15.75" customHeight="1">
      <c r="E727" s="143"/>
      <c r="H727" s="29"/>
      <c r="I727" s="30"/>
    </row>
    <row r="728" spans="5:9" ht="15.75" customHeight="1">
      <c r="E728" s="143"/>
      <c r="H728" s="29"/>
      <c r="I728" s="30"/>
    </row>
    <row r="729" spans="5:9" ht="15.75" customHeight="1">
      <c r="E729" s="143"/>
      <c r="H729" s="29"/>
      <c r="I729" s="30"/>
    </row>
    <row r="730" spans="5:9" ht="15.75" customHeight="1">
      <c r="E730" s="143"/>
      <c r="H730" s="29"/>
      <c r="I730" s="30"/>
    </row>
    <row r="731" spans="5:9" ht="15.75" customHeight="1">
      <c r="E731" s="143"/>
      <c r="H731" s="29"/>
      <c r="I731" s="30"/>
    </row>
    <row r="732" spans="5:9" ht="15.75" customHeight="1">
      <c r="E732" s="143"/>
      <c r="H732" s="29"/>
      <c r="I732" s="30"/>
    </row>
    <row r="733" spans="5:9" ht="15.75" customHeight="1">
      <c r="E733" s="143"/>
      <c r="H733" s="29"/>
      <c r="I733" s="30"/>
    </row>
    <row r="734" spans="5:9" ht="15.75" customHeight="1">
      <c r="E734" s="143"/>
      <c r="H734" s="29"/>
      <c r="I734" s="30"/>
    </row>
    <row r="735" spans="5:9" ht="15.75" customHeight="1">
      <c r="E735" s="143"/>
      <c r="H735" s="29"/>
      <c r="I735" s="30"/>
    </row>
    <row r="736" spans="5:9" ht="15.75" customHeight="1">
      <c r="E736" s="143"/>
      <c r="H736" s="29"/>
      <c r="I736" s="30"/>
    </row>
    <row r="737" spans="5:9" ht="15.75" customHeight="1">
      <c r="E737" s="143"/>
      <c r="H737" s="29"/>
      <c r="I737" s="30"/>
    </row>
    <row r="738" spans="5:9" ht="15.75" customHeight="1">
      <c r="E738" s="143"/>
      <c r="H738" s="29"/>
      <c r="I738" s="30"/>
    </row>
    <row r="739" spans="5:9" ht="15.75" customHeight="1">
      <c r="E739" s="143"/>
      <c r="H739" s="29"/>
      <c r="I739" s="30"/>
    </row>
    <row r="740" spans="5:9" ht="15.75" customHeight="1">
      <c r="E740" s="143"/>
      <c r="H740" s="29"/>
      <c r="I740" s="30"/>
    </row>
    <row r="741" spans="5:9" ht="15.75" customHeight="1">
      <c r="E741" s="143"/>
      <c r="H741" s="29"/>
      <c r="I741" s="30"/>
    </row>
    <row r="742" spans="5:9" ht="15.75" customHeight="1">
      <c r="E742" s="143"/>
      <c r="H742" s="29"/>
      <c r="I742" s="30"/>
    </row>
    <row r="743" spans="5:9" ht="15.75" customHeight="1">
      <c r="E743" s="143"/>
      <c r="H743" s="29"/>
      <c r="I743" s="30"/>
    </row>
    <row r="744" spans="5:9" ht="15.75" customHeight="1">
      <c r="E744" s="143"/>
      <c r="H744" s="29"/>
      <c r="I744" s="30"/>
    </row>
    <row r="745" spans="5:9" ht="15.75" customHeight="1">
      <c r="E745" s="143"/>
      <c r="H745" s="29"/>
      <c r="I745" s="30"/>
    </row>
    <row r="746" spans="5:9" ht="15.75" customHeight="1">
      <c r="E746" s="143"/>
      <c r="H746" s="29"/>
      <c r="I746" s="30"/>
    </row>
    <row r="747" spans="5:9" ht="15.75" customHeight="1">
      <c r="E747" s="143"/>
      <c r="H747" s="29"/>
      <c r="I747" s="30"/>
    </row>
    <row r="748" spans="5:9" ht="15.75" customHeight="1">
      <c r="E748" s="143"/>
      <c r="H748" s="29"/>
      <c r="I748" s="30"/>
    </row>
    <row r="749" spans="5:9" ht="15.75" customHeight="1">
      <c r="E749" s="143"/>
      <c r="H749" s="29"/>
      <c r="I749" s="30"/>
    </row>
    <row r="750" spans="5:9" ht="15.75" customHeight="1">
      <c r="E750" s="143"/>
      <c r="H750" s="29"/>
      <c r="I750" s="30"/>
    </row>
    <row r="751" spans="5:9" ht="15.75" customHeight="1">
      <c r="E751" s="143"/>
      <c r="H751" s="29"/>
      <c r="I751" s="30"/>
    </row>
    <row r="752" spans="5:9" ht="15.75" customHeight="1">
      <c r="E752" s="143"/>
      <c r="H752" s="29"/>
      <c r="I752" s="30"/>
    </row>
    <row r="753" spans="5:9" ht="15.75" customHeight="1">
      <c r="E753" s="143"/>
      <c r="H753" s="29"/>
      <c r="I753" s="30"/>
    </row>
    <row r="754" spans="5:9" ht="15.75" customHeight="1">
      <c r="E754" s="143"/>
      <c r="H754" s="29"/>
      <c r="I754" s="30"/>
    </row>
    <row r="755" spans="5:9" ht="15.75" customHeight="1">
      <c r="E755" s="143"/>
      <c r="H755" s="29"/>
      <c r="I755" s="30"/>
    </row>
    <row r="756" spans="5:9" ht="15.75" customHeight="1">
      <c r="E756" s="143"/>
      <c r="H756" s="29"/>
      <c r="I756" s="30"/>
    </row>
    <row r="757" spans="5:9" ht="15.75" customHeight="1">
      <c r="E757" s="143"/>
      <c r="H757" s="29"/>
      <c r="I757" s="30"/>
    </row>
    <row r="758" spans="5:9" ht="15.75" customHeight="1">
      <c r="E758" s="143"/>
      <c r="H758" s="29"/>
      <c r="I758" s="30"/>
    </row>
    <row r="759" spans="5:9" ht="15.75" customHeight="1">
      <c r="E759" s="143"/>
      <c r="H759" s="29"/>
      <c r="I759" s="30"/>
    </row>
    <row r="760" spans="5:9" ht="15.75" customHeight="1">
      <c r="E760" s="143"/>
      <c r="H760" s="29"/>
      <c r="I760" s="30"/>
    </row>
    <row r="761" spans="5:9" ht="15.75" customHeight="1">
      <c r="E761" s="143"/>
      <c r="H761" s="29"/>
      <c r="I761" s="30"/>
    </row>
    <row r="762" spans="5:9" ht="15.75" customHeight="1">
      <c r="E762" s="143"/>
      <c r="H762" s="29"/>
      <c r="I762" s="30"/>
    </row>
    <row r="763" spans="5:9" ht="15.75" customHeight="1">
      <c r="E763" s="143"/>
      <c r="H763" s="29"/>
      <c r="I763" s="30"/>
    </row>
    <row r="764" spans="5:9" ht="15.75" customHeight="1">
      <c r="E764" s="143"/>
      <c r="H764" s="29"/>
      <c r="I764" s="30"/>
    </row>
    <row r="765" spans="5:9" ht="15.75" customHeight="1">
      <c r="E765" s="143"/>
      <c r="H765" s="29"/>
      <c r="I765" s="30"/>
    </row>
    <row r="766" spans="5:9" ht="15.75" customHeight="1">
      <c r="E766" s="143"/>
      <c r="H766" s="29"/>
      <c r="I766" s="30"/>
    </row>
    <row r="767" spans="5:9" ht="15.75" customHeight="1">
      <c r="E767" s="143"/>
      <c r="H767" s="29"/>
      <c r="I767" s="30"/>
    </row>
    <row r="768" spans="5:9" ht="15.75" customHeight="1">
      <c r="E768" s="143"/>
      <c r="H768" s="29"/>
      <c r="I768" s="30"/>
    </row>
    <row r="769" spans="5:9" ht="15.75" customHeight="1">
      <c r="E769" s="143"/>
      <c r="H769" s="29"/>
      <c r="I769" s="30"/>
    </row>
    <row r="770" spans="5:9" ht="15.75" customHeight="1">
      <c r="E770" s="143"/>
      <c r="H770" s="29"/>
      <c r="I770" s="30"/>
    </row>
    <row r="771" spans="5:9" ht="15.75" customHeight="1">
      <c r="E771" s="143"/>
      <c r="H771" s="29"/>
      <c r="I771" s="30"/>
    </row>
    <row r="772" spans="5:9" ht="15.75" customHeight="1">
      <c r="E772" s="143"/>
      <c r="H772" s="29"/>
      <c r="I772" s="30"/>
    </row>
    <row r="773" spans="5:9" ht="15.75" customHeight="1">
      <c r="E773" s="143"/>
      <c r="H773" s="29"/>
      <c r="I773" s="30"/>
    </row>
    <row r="774" spans="5:9" ht="15.75" customHeight="1">
      <c r="E774" s="143"/>
      <c r="H774" s="29"/>
      <c r="I774" s="30"/>
    </row>
    <row r="775" spans="5:9" ht="15.75" customHeight="1">
      <c r="E775" s="143"/>
      <c r="H775" s="29"/>
      <c r="I775" s="30"/>
    </row>
    <row r="776" spans="5:9" ht="15.75" customHeight="1">
      <c r="E776" s="143"/>
      <c r="H776" s="29"/>
      <c r="I776" s="30"/>
    </row>
    <row r="777" spans="5:9" ht="15.75" customHeight="1">
      <c r="E777" s="143"/>
      <c r="H777" s="29"/>
      <c r="I777" s="30"/>
    </row>
    <row r="778" spans="5:9" ht="15.75" customHeight="1">
      <c r="E778" s="143"/>
      <c r="H778" s="29"/>
      <c r="I778" s="30"/>
    </row>
    <row r="779" spans="5:9" ht="15.75" customHeight="1">
      <c r="E779" s="143"/>
      <c r="H779" s="29"/>
      <c r="I779" s="30"/>
    </row>
    <row r="780" spans="5:9" ht="15.75" customHeight="1">
      <c r="E780" s="143"/>
      <c r="H780" s="29"/>
      <c r="I780" s="30"/>
    </row>
    <row r="781" spans="5:9" ht="15.75" customHeight="1">
      <c r="E781" s="143"/>
      <c r="H781" s="29"/>
      <c r="I781" s="30"/>
    </row>
    <row r="782" spans="5:9" ht="15.75" customHeight="1">
      <c r="E782" s="143"/>
      <c r="H782" s="29"/>
      <c r="I782" s="30"/>
    </row>
    <row r="783" spans="5:9" ht="15.75" customHeight="1">
      <c r="E783" s="143"/>
      <c r="H783" s="29"/>
      <c r="I783" s="30"/>
    </row>
    <row r="784" spans="5:9" ht="15.75" customHeight="1">
      <c r="E784" s="143"/>
      <c r="H784" s="29"/>
      <c r="I784" s="30"/>
    </row>
    <row r="785" spans="5:9" ht="15.75" customHeight="1">
      <c r="E785" s="143"/>
      <c r="H785" s="29"/>
      <c r="I785" s="30"/>
    </row>
    <row r="786" spans="5:9" ht="15.75" customHeight="1">
      <c r="E786" s="143"/>
      <c r="H786" s="29"/>
      <c r="I786" s="30"/>
    </row>
    <row r="787" spans="5:9" ht="15.75" customHeight="1">
      <c r="E787" s="143"/>
      <c r="H787" s="29"/>
      <c r="I787" s="30"/>
    </row>
    <row r="788" spans="5:9" ht="15.75" customHeight="1">
      <c r="E788" s="143"/>
      <c r="H788" s="29"/>
      <c r="I788" s="30"/>
    </row>
    <row r="789" spans="5:9" ht="15.75" customHeight="1">
      <c r="E789" s="143"/>
      <c r="H789" s="29"/>
      <c r="I789" s="30"/>
    </row>
    <row r="790" spans="5:9" ht="15.75" customHeight="1">
      <c r="E790" s="143"/>
      <c r="H790" s="29"/>
      <c r="I790" s="30"/>
    </row>
    <row r="791" spans="5:9" ht="15.75" customHeight="1">
      <c r="E791" s="143"/>
      <c r="H791" s="29"/>
      <c r="I791" s="30"/>
    </row>
    <row r="792" spans="5:9" ht="15.75" customHeight="1">
      <c r="E792" s="143"/>
      <c r="H792" s="29"/>
      <c r="I792" s="30"/>
    </row>
    <row r="793" spans="5:9" ht="15.75" customHeight="1">
      <c r="E793" s="143"/>
      <c r="H793" s="29"/>
      <c r="I793" s="30"/>
    </row>
    <row r="794" spans="5:9" ht="15.75" customHeight="1">
      <c r="E794" s="143"/>
      <c r="H794" s="29"/>
      <c r="I794" s="30"/>
    </row>
    <row r="795" spans="5:9" ht="15.75" customHeight="1">
      <c r="E795" s="143"/>
      <c r="H795" s="29"/>
      <c r="I795" s="30"/>
    </row>
    <row r="796" spans="5:9" ht="15.75" customHeight="1">
      <c r="E796" s="143"/>
      <c r="H796" s="29"/>
      <c r="I796" s="30"/>
    </row>
    <row r="797" spans="5:9" ht="15.75" customHeight="1">
      <c r="E797" s="143"/>
      <c r="H797" s="29"/>
      <c r="I797" s="30"/>
    </row>
    <row r="798" spans="5:9" ht="15.75" customHeight="1">
      <c r="E798" s="143"/>
      <c r="H798" s="29"/>
      <c r="I798" s="30"/>
    </row>
    <row r="799" spans="5:9" ht="15.75" customHeight="1">
      <c r="E799" s="143"/>
      <c r="H799" s="29"/>
      <c r="I799" s="30"/>
    </row>
    <row r="800" spans="5:9" ht="15.75" customHeight="1">
      <c r="E800" s="143"/>
      <c r="H800" s="29"/>
      <c r="I800" s="30"/>
    </row>
    <row r="801" spans="5:9" ht="15.75" customHeight="1">
      <c r="E801" s="143"/>
      <c r="H801" s="29"/>
      <c r="I801" s="30"/>
    </row>
    <row r="802" spans="5:9" ht="15.75" customHeight="1">
      <c r="E802" s="143"/>
      <c r="H802" s="29"/>
      <c r="I802" s="30"/>
    </row>
    <row r="803" spans="5:9" ht="15.75" customHeight="1">
      <c r="E803" s="143"/>
      <c r="H803" s="29"/>
      <c r="I803" s="30"/>
    </row>
    <row r="804" spans="5:9" ht="15.75" customHeight="1">
      <c r="E804" s="143"/>
      <c r="H804" s="29"/>
      <c r="I804" s="30"/>
    </row>
    <row r="805" spans="5:9" ht="15.75" customHeight="1">
      <c r="E805" s="143"/>
      <c r="H805" s="29"/>
      <c r="I805" s="30"/>
    </row>
    <row r="806" spans="5:9" ht="15.75" customHeight="1">
      <c r="E806" s="143"/>
      <c r="H806" s="29"/>
      <c r="I806" s="30"/>
    </row>
    <row r="807" spans="5:9" ht="15.75" customHeight="1">
      <c r="E807" s="143"/>
      <c r="H807" s="29"/>
      <c r="I807" s="30"/>
    </row>
    <row r="808" spans="5:9" ht="15.75" customHeight="1">
      <c r="E808" s="143"/>
      <c r="H808" s="29"/>
      <c r="I808" s="30"/>
    </row>
    <row r="809" spans="5:9" ht="15.75" customHeight="1">
      <c r="E809" s="143"/>
      <c r="H809" s="29"/>
      <c r="I809" s="30"/>
    </row>
    <row r="810" spans="5:9" ht="15.75" customHeight="1">
      <c r="E810" s="143"/>
      <c r="H810" s="29"/>
      <c r="I810" s="30"/>
    </row>
    <row r="811" spans="5:9" ht="15.75" customHeight="1">
      <c r="E811" s="143"/>
      <c r="H811" s="29"/>
      <c r="I811" s="30"/>
    </row>
    <row r="812" spans="5:9" ht="15.75" customHeight="1">
      <c r="E812" s="143"/>
      <c r="H812" s="29"/>
      <c r="I812" s="30"/>
    </row>
    <row r="813" spans="5:9" ht="15.75" customHeight="1">
      <c r="E813" s="143"/>
      <c r="H813" s="29"/>
      <c r="I813" s="30"/>
    </row>
    <row r="814" spans="5:9" ht="15.75" customHeight="1">
      <c r="E814" s="143"/>
      <c r="H814" s="29"/>
      <c r="I814" s="30"/>
    </row>
    <row r="815" spans="5:9" ht="15.75" customHeight="1">
      <c r="E815" s="143"/>
      <c r="H815" s="29"/>
      <c r="I815" s="30"/>
    </row>
    <row r="816" spans="5:9" ht="15.75" customHeight="1">
      <c r="E816" s="143"/>
      <c r="H816" s="29"/>
      <c r="I816" s="30"/>
    </row>
    <row r="817" spans="5:9" ht="15.75" customHeight="1">
      <c r="E817" s="143"/>
      <c r="H817" s="29"/>
      <c r="I817" s="30"/>
    </row>
    <row r="818" spans="5:9" ht="15.75" customHeight="1">
      <c r="E818" s="143"/>
      <c r="H818" s="29"/>
      <c r="I818" s="30"/>
    </row>
    <row r="819" spans="5:9" ht="15.75" customHeight="1">
      <c r="E819" s="143"/>
      <c r="H819" s="29"/>
      <c r="I819" s="30"/>
    </row>
    <row r="820" spans="5:9" ht="15.75" customHeight="1">
      <c r="E820" s="143"/>
      <c r="H820" s="29"/>
      <c r="I820" s="30"/>
    </row>
    <row r="821" spans="5:9" ht="15.75" customHeight="1">
      <c r="E821" s="143"/>
      <c r="H821" s="29"/>
      <c r="I821" s="30"/>
    </row>
    <row r="822" spans="5:9" ht="15.75" customHeight="1">
      <c r="E822" s="143"/>
      <c r="H822" s="29"/>
      <c r="I822" s="30"/>
    </row>
    <row r="823" spans="5:9" ht="15.75" customHeight="1">
      <c r="E823" s="143"/>
      <c r="H823" s="29"/>
      <c r="I823" s="30"/>
    </row>
    <row r="824" spans="5:9" ht="15.75" customHeight="1">
      <c r="E824" s="143"/>
      <c r="H824" s="29"/>
      <c r="I824" s="30"/>
    </row>
    <row r="825" spans="5:9" ht="15.75" customHeight="1">
      <c r="E825" s="143"/>
      <c r="H825" s="29"/>
      <c r="I825" s="30"/>
    </row>
    <row r="826" spans="5:9" ht="15.75" customHeight="1">
      <c r="E826" s="143"/>
      <c r="H826" s="29"/>
      <c r="I826" s="30"/>
    </row>
    <row r="827" spans="5:9" ht="15.75" customHeight="1">
      <c r="E827" s="143"/>
      <c r="H827" s="29"/>
      <c r="I827" s="30"/>
    </row>
    <row r="828" spans="5:9" ht="15.75" customHeight="1">
      <c r="E828" s="143"/>
      <c r="H828" s="29"/>
      <c r="I828" s="30"/>
    </row>
    <row r="829" spans="5:9" ht="15.75" customHeight="1">
      <c r="E829" s="143"/>
      <c r="H829" s="29"/>
      <c r="I829" s="30"/>
    </row>
    <row r="830" spans="5:9" ht="15.75" customHeight="1">
      <c r="E830" s="143"/>
      <c r="H830" s="29"/>
      <c r="I830" s="30"/>
    </row>
    <row r="831" spans="5:9" ht="15.75" customHeight="1">
      <c r="E831" s="143"/>
      <c r="H831" s="29"/>
      <c r="I831" s="30"/>
    </row>
    <row r="832" spans="5:9" ht="15.75" customHeight="1">
      <c r="E832" s="143"/>
      <c r="H832" s="29"/>
      <c r="I832" s="30"/>
    </row>
    <row r="833" spans="5:9" ht="15.75" customHeight="1">
      <c r="E833" s="143"/>
      <c r="H833" s="29"/>
      <c r="I833" s="30"/>
    </row>
    <row r="834" spans="5:9" ht="15.75" customHeight="1">
      <c r="E834" s="143"/>
      <c r="H834" s="29"/>
      <c r="I834" s="30"/>
    </row>
    <row r="835" spans="5:9" ht="15.75" customHeight="1">
      <c r="E835" s="143"/>
      <c r="H835" s="29"/>
      <c r="I835" s="30"/>
    </row>
    <row r="836" spans="5:9" ht="15.75" customHeight="1">
      <c r="E836" s="143"/>
      <c r="H836" s="29"/>
      <c r="I836" s="30"/>
    </row>
    <row r="837" spans="5:9" ht="15.75" customHeight="1">
      <c r="E837" s="143"/>
      <c r="H837" s="29"/>
      <c r="I837" s="30"/>
    </row>
    <row r="838" spans="5:9" ht="15.75" customHeight="1">
      <c r="E838" s="143"/>
      <c r="H838" s="29"/>
      <c r="I838" s="30"/>
    </row>
    <row r="839" spans="5:9" ht="15.75" customHeight="1">
      <c r="E839" s="143"/>
      <c r="H839" s="29"/>
      <c r="I839" s="30"/>
    </row>
    <row r="840" spans="5:9" ht="15.75" customHeight="1">
      <c r="E840" s="143"/>
      <c r="H840" s="29"/>
      <c r="I840" s="30"/>
    </row>
    <row r="841" spans="5:9" ht="15.75" customHeight="1">
      <c r="E841" s="143"/>
      <c r="H841" s="29"/>
      <c r="I841" s="30"/>
    </row>
    <row r="842" spans="5:9" ht="15.75" customHeight="1">
      <c r="E842" s="143"/>
      <c r="H842" s="29"/>
      <c r="I842" s="30"/>
    </row>
    <row r="843" spans="5:9" ht="15.75" customHeight="1">
      <c r="E843" s="143"/>
      <c r="H843" s="29"/>
      <c r="I843" s="30"/>
    </row>
    <row r="844" spans="5:9" ht="15.75" customHeight="1">
      <c r="E844" s="143"/>
      <c r="H844" s="29"/>
      <c r="I844" s="30"/>
    </row>
    <row r="845" spans="5:9" ht="15.75" customHeight="1">
      <c r="E845" s="143"/>
      <c r="H845" s="29"/>
      <c r="I845" s="30"/>
    </row>
    <row r="846" spans="5:9" ht="15.75" customHeight="1">
      <c r="E846" s="143"/>
      <c r="H846" s="29"/>
      <c r="I846" s="30"/>
    </row>
    <row r="847" spans="5:9" ht="15.75" customHeight="1">
      <c r="E847" s="143"/>
      <c r="H847" s="29"/>
      <c r="I847" s="30"/>
    </row>
    <row r="848" spans="5:9" ht="15.75" customHeight="1">
      <c r="E848" s="143"/>
      <c r="H848" s="29"/>
      <c r="I848" s="30"/>
    </row>
    <row r="849" spans="5:9" ht="15.75" customHeight="1">
      <c r="E849" s="143"/>
      <c r="H849" s="29"/>
      <c r="I849" s="30"/>
    </row>
    <row r="850" spans="5:9" ht="15.75" customHeight="1">
      <c r="E850" s="143"/>
      <c r="H850" s="29"/>
      <c r="I850" s="30"/>
    </row>
    <row r="851" spans="5:9" ht="15.75" customHeight="1">
      <c r="E851" s="143"/>
      <c r="H851" s="29"/>
      <c r="I851" s="30"/>
    </row>
    <row r="852" spans="5:9" ht="15.75" customHeight="1">
      <c r="E852" s="143"/>
      <c r="H852" s="29"/>
      <c r="I852" s="30"/>
    </row>
    <row r="853" spans="5:9" ht="15.75" customHeight="1">
      <c r="E853" s="143"/>
      <c r="H853" s="29"/>
      <c r="I853" s="30"/>
    </row>
    <row r="854" spans="5:9" ht="15.75" customHeight="1">
      <c r="E854" s="143"/>
      <c r="H854" s="29"/>
      <c r="I854" s="30"/>
    </row>
    <row r="855" spans="5:9" ht="15.75" customHeight="1">
      <c r="E855" s="143"/>
      <c r="H855" s="29"/>
      <c r="I855" s="30"/>
    </row>
    <row r="856" spans="5:9" ht="15.75" customHeight="1">
      <c r="E856" s="143"/>
      <c r="H856" s="29"/>
      <c r="I856" s="30"/>
    </row>
    <row r="857" spans="5:9" ht="15.75" customHeight="1">
      <c r="E857" s="143"/>
      <c r="H857" s="29"/>
      <c r="I857" s="30"/>
    </row>
    <row r="858" spans="5:9" ht="15.75" customHeight="1">
      <c r="E858" s="143"/>
      <c r="H858" s="29"/>
      <c r="I858" s="30"/>
    </row>
    <row r="859" spans="5:9" ht="15.75" customHeight="1">
      <c r="E859" s="143"/>
      <c r="H859" s="29"/>
      <c r="I859" s="30"/>
    </row>
    <row r="860" spans="5:9" ht="15.75" customHeight="1">
      <c r="E860" s="143"/>
      <c r="H860" s="29"/>
      <c r="I860" s="30"/>
    </row>
    <row r="861" spans="5:9" ht="15.75" customHeight="1">
      <c r="E861" s="143"/>
      <c r="H861" s="29"/>
      <c r="I861" s="30"/>
    </row>
    <row r="862" spans="5:9" ht="15.75" customHeight="1">
      <c r="E862" s="143"/>
      <c r="H862" s="29"/>
      <c r="I862" s="30"/>
    </row>
    <row r="863" spans="5:9" ht="15.75" customHeight="1">
      <c r="E863" s="143"/>
      <c r="H863" s="29"/>
      <c r="I863" s="30"/>
    </row>
    <row r="864" spans="5:9" ht="15.75" customHeight="1">
      <c r="E864" s="143"/>
      <c r="H864" s="29"/>
      <c r="I864" s="30"/>
    </row>
    <row r="865" spans="5:9" ht="15.75" customHeight="1">
      <c r="E865" s="143"/>
      <c r="H865" s="29"/>
      <c r="I865" s="30"/>
    </row>
    <row r="866" spans="5:9" ht="15.75" customHeight="1">
      <c r="E866" s="143"/>
      <c r="H866" s="29"/>
      <c r="I866" s="30"/>
    </row>
    <row r="867" spans="5:9" ht="15.75" customHeight="1">
      <c r="E867" s="143"/>
      <c r="H867" s="29"/>
      <c r="I867" s="30"/>
    </row>
    <row r="868" spans="5:9" ht="15.75" customHeight="1">
      <c r="E868" s="143"/>
      <c r="H868" s="29"/>
      <c r="I868" s="30"/>
    </row>
    <row r="869" spans="5:9" ht="15.75" customHeight="1">
      <c r="E869" s="143"/>
      <c r="H869" s="29"/>
      <c r="I869" s="30"/>
    </row>
    <row r="870" spans="5:9" ht="15.75" customHeight="1">
      <c r="E870" s="143"/>
      <c r="H870" s="29"/>
      <c r="I870" s="30"/>
    </row>
    <row r="871" spans="5:9" ht="15.75" customHeight="1">
      <c r="E871" s="143"/>
      <c r="H871" s="29"/>
      <c r="I871" s="30"/>
    </row>
    <row r="872" spans="5:9" ht="15.75" customHeight="1">
      <c r="E872" s="143"/>
      <c r="H872" s="29"/>
      <c r="I872" s="30"/>
    </row>
    <row r="873" spans="5:9" ht="15.75" customHeight="1">
      <c r="E873" s="143"/>
      <c r="H873" s="29"/>
      <c r="I873" s="30"/>
    </row>
    <row r="874" spans="5:9" ht="15.75" customHeight="1">
      <c r="E874" s="143"/>
      <c r="H874" s="29"/>
      <c r="I874" s="30"/>
    </row>
    <row r="875" spans="5:9" ht="15.75" customHeight="1">
      <c r="E875" s="143"/>
      <c r="H875" s="29"/>
      <c r="I875" s="30"/>
    </row>
    <row r="876" spans="5:9" ht="15.75" customHeight="1">
      <c r="E876" s="143"/>
      <c r="H876" s="29"/>
      <c r="I876" s="30"/>
    </row>
    <row r="877" spans="5:9" ht="15.75" customHeight="1">
      <c r="E877" s="143"/>
      <c r="H877" s="29"/>
      <c r="I877" s="30"/>
    </row>
    <row r="878" spans="5:9" ht="15.75" customHeight="1">
      <c r="E878" s="143"/>
      <c r="H878" s="29"/>
      <c r="I878" s="30"/>
    </row>
    <row r="879" spans="5:9" ht="15.75" customHeight="1">
      <c r="E879" s="143"/>
      <c r="H879" s="29"/>
      <c r="I879" s="30"/>
    </row>
    <row r="880" spans="5:9" ht="15.75" customHeight="1">
      <c r="E880" s="143"/>
      <c r="H880" s="29"/>
      <c r="I880" s="30"/>
    </row>
    <row r="881" spans="5:9" ht="15.75" customHeight="1">
      <c r="E881" s="143"/>
      <c r="H881" s="29"/>
      <c r="I881" s="30"/>
    </row>
    <row r="882" spans="5:9" ht="15.75" customHeight="1">
      <c r="E882" s="143"/>
      <c r="H882" s="29"/>
      <c r="I882" s="30"/>
    </row>
    <row r="883" spans="5:9" ht="15.75" customHeight="1">
      <c r="E883" s="143"/>
      <c r="H883" s="29"/>
      <c r="I883" s="30"/>
    </row>
    <row r="884" spans="5:9" ht="15.75" customHeight="1">
      <c r="E884" s="143"/>
      <c r="H884" s="29"/>
      <c r="I884" s="30"/>
    </row>
    <row r="885" spans="5:9" ht="15.75" customHeight="1">
      <c r="E885" s="143"/>
      <c r="H885" s="29"/>
      <c r="I885" s="30"/>
    </row>
    <row r="886" spans="5:9" ht="15.75" customHeight="1">
      <c r="E886" s="143"/>
      <c r="H886" s="29"/>
      <c r="I886" s="30"/>
    </row>
    <row r="887" spans="5:9" ht="15.75" customHeight="1">
      <c r="E887" s="143"/>
      <c r="H887" s="29"/>
      <c r="I887" s="30"/>
    </row>
    <row r="888" spans="5:9" ht="15.75" customHeight="1">
      <c r="E888" s="143"/>
      <c r="H888" s="29"/>
      <c r="I888" s="30"/>
    </row>
    <row r="889" spans="5:9" ht="15.75" customHeight="1">
      <c r="E889" s="143"/>
      <c r="H889" s="29"/>
      <c r="I889" s="30"/>
    </row>
    <row r="890" spans="5:9" ht="15.75" customHeight="1">
      <c r="E890" s="143"/>
      <c r="H890" s="29"/>
      <c r="I890" s="30"/>
    </row>
    <row r="891" spans="5:9" ht="15.75" customHeight="1">
      <c r="E891" s="143"/>
      <c r="H891" s="29"/>
      <c r="I891" s="30"/>
    </row>
    <row r="892" spans="5:9" ht="15.75" customHeight="1">
      <c r="E892" s="143"/>
      <c r="H892" s="29"/>
      <c r="I892" s="30"/>
    </row>
    <row r="893" spans="5:9" ht="15.75" customHeight="1">
      <c r="E893" s="143"/>
      <c r="H893" s="29"/>
      <c r="I893" s="30"/>
    </row>
    <row r="894" spans="5:9" ht="15.75" customHeight="1">
      <c r="E894" s="143"/>
      <c r="H894" s="29"/>
      <c r="I894" s="30"/>
    </row>
    <row r="895" spans="5:9" ht="15.75" customHeight="1">
      <c r="E895" s="143"/>
      <c r="H895" s="29"/>
      <c r="I895" s="30"/>
    </row>
    <row r="896" spans="5:9" ht="15.75" customHeight="1">
      <c r="E896" s="143"/>
      <c r="H896" s="29"/>
      <c r="I896" s="30"/>
    </row>
    <row r="897" spans="5:9" ht="15.75" customHeight="1">
      <c r="E897" s="143"/>
      <c r="H897" s="29"/>
      <c r="I897" s="30"/>
    </row>
    <row r="898" spans="5:9" ht="15.75" customHeight="1">
      <c r="E898" s="143"/>
      <c r="H898" s="29"/>
      <c r="I898" s="30"/>
    </row>
    <row r="899" spans="5:9" ht="15.75" customHeight="1">
      <c r="E899" s="143"/>
      <c r="H899" s="29"/>
      <c r="I899" s="30"/>
    </row>
    <row r="900" spans="5:9" ht="15.75" customHeight="1">
      <c r="E900" s="143"/>
      <c r="H900" s="29"/>
      <c r="I900" s="30"/>
    </row>
    <row r="901" spans="5:9" ht="15.75" customHeight="1">
      <c r="E901" s="143"/>
      <c r="H901" s="29"/>
      <c r="I901" s="30"/>
    </row>
    <row r="902" spans="5:9" ht="15.75" customHeight="1">
      <c r="E902" s="143"/>
      <c r="H902" s="29"/>
      <c r="I902" s="30"/>
    </row>
    <row r="903" spans="5:9" ht="15.75" customHeight="1">
      <c r="E903" s="143"/>
      <c r="H903" s="29"/>
      <c r="I903" s="30"/>
    </row>
    <row r="904" spans="5:9" ht="15.75" customHeight="1">
      <c r="E904" s="143"/>
      <c r="H904" s="29"/>
      <c r="I904" s="30"/>
    </row>
    <row r="905" spans="5:9" ht="15.75" customHeight="1">
      <c r="E905" s="143"/>
      <c r="H905" s="29"/>
      <c r="I905" s="30"/>
    </row>
    <row r="906" spans="5:9" ht="15.75" customHeight="1">
      <c r="E906" s="143"/>
      <c r="H906" s="29"/>
      <c r="I906" s="30"/>
    </row>
    <row r="907" spans="5:9" ht="15.75" customHeight="1">
      <c r="E907" s="143"/>
      <c r="H907" s="29"/>
      <c r="I907" s="30"/>
    </row>
    <row r="908" spans="5:9" ht="15.75" customHeight="1">
      <c r="E908" s="143"/>
      <c r="H908" s="29"/>
      <c r="I908" s="30"/>
    </row>
    <row r="909" spans="5:9" ht="15.75" customHeight="1">
      <c r="E909" s="143"/>
      <c r="H909" s="29"/>
      <c r="I909" s="30"/>
    </row>
    <row r="910" spans="5:9" ht="15.75" customHeight="1">
      <c r="E910" s="143"/>
      <c r="H910" s="29"/>
      <c r="I910" s="30"/>
    </row>
    <row r="911" spans="5:9" ht="15.75" customHeight="1">
      <c r="E911" s="143"/>
      <c r="H911" s="29"/>
      <c r="I911" s="30"/>
    </row>
    <row r="912" spans="5:9" ht="15.75" customHeight="1">
      <c r="E912" s="143"/>
      <c r="H912" s="29"/>
      <c r="I912" s="30"/>
    </row>
    <row r="913" spans="5:9" ht="15.75" customHeight="1">
      <c r="E913" s="143"/>
      <c r="H913" s="29"/>
      <c r="I913" s="30"/>
    </row>
    <row r="914" spans="5:9" ht="15.75" customHeight="1">
      <c r="E914" s="143"/>
      <c r="H914" s="29"/>
      <c r="I914" s="30"/>
    </row>
    <row r="915" spans="5:9" ht="15.75" customHeight="1">
      <c r="E915" s="143"/>
      <c r="H915" s="29"/>
      <c r="I915" s="30"/>
    </row>
    <row r="916" spans="5:9" ht="15.75" customHeight="1">
      <c r="E916" s="143"/>
      <c r="H916" s="29"/>
      <c r="I916" s="30"/>
    </row>
    <row r="917" spans="5:9" ht="15.75" customHeight="1">
      <c r="E917" s="143"/>
      <c r="H917" s="29"/>
      <c r="I917" s="30"/>
    </row>
    <row r="918" spans="5:9" ht="15.75" customHeight="1">
      <c r="E918" s="143"/>
      <c r="H918" s="29"/>
      <c r="I918" s="30"/>
    </row>
    <row r="919" spans="5:9" ht="15.75" customHeight="1">
      <c r="E919" s="143"/>
      <c r="H919" s="29"/>
      <c r="I919" s="30"/>
    </row>
    <row r="920" spans="5:9" ht="15.75" customHeight="1">
      <c r="E920" s="143"/>
      <c r="H920" s="29"/>
      <c r="I920" s="30"/>
    </row>
    <row r="921" spans="5:9" ht="15.75" customHeight="1">
      <c r="E921" s="143"/>
      <c r="H921" s="29"/>
      <c r="I921" s="30"/>
    </row>
    <row r="922" spans="5:9" ht="15.75" customHeight="1">
      <c r="E922" s="143"/>
      <c r="H922" s="29"/>
      <c r="I922" s="30"/>
    </row>
    <row r="923" spans="5:9" ht="15.75" customHeight="1">
      <c r="E923" s="143"/>
      <c r="H923" s="29"/>
      <c r="I923" s="30"/>
    </row>
    <row r="924" spans="5:9" ht="15.75" customHeight="1">
      <c r="E924" s="143"/>
      <c r="H924" s="29"/>
      <c r="I924" s="30"/>
    </row>
    <row r="925" spans="5:9" ht="15.75" customHeight="1">
      <c r="E925" s="143"/>
      <c r="H925" s="29"/>
      <c r="I925" s="30"/>
    </row>
    <row r="926" spans="5:9" ht="15.75" customHeight="1">
      <c r="E926" s="143"/>
      <c r="H926" s="29"/>
      <c r="I926" s="30"/>
    </row>
    <row r="927" spans="5:9" ht="15.75" customHeight="1">
      <c r="E927" s="143"/>
      <c r="H927" s="29"/>
      <c r="I927" s="30"/>
    </row>
    <row r="928" spans="5:9" ht="15.75" customHeight="1">
      <c r="E928" s="143"/>
      <c r="H928" s="29"/>
      <c r="I928" s="30"/>
    </row>
    <row r="929" spans="5:9" ht="15.75" customHeight="1">
      <c r="E929" s="143"/>
      <c r="H929" s="29"/>
      <c r="I929" s="30"/>
    </row>
    <row r="930" spans="5:9" ht="15.75" customHeight="1">
      <c r="E930" s="143"/>
      <c r="H930" s="29"/>
      <c r="I930" s="30"/>
    </row>
    <row r="931" spans="5:9" ht="15.75" customHeight="1">
      <c r="E931" s="143"/>
      <c r="H931" s="29"/>
      <c r="I931" s="30"/>
    </row>
    <row r="932" spans="5:9" ht="15.75" customHeight="1">
      <c r="E932" s="143"/>
      <c r="H932" s="29"/>
      <c r="I932" s="30"/>
    </row>
    <row r="933" spans="5:9" ht="15.75" customHeight="1">
      <c r="E933" s="143"/>
      <c r="H933" s="29"/>
      <c r="I933" s="30"/>
    </row>
    <row r="934" spans="5:9" ht="15.75" customHeight="1">
      <c r="E934" s="143"/>
      <c r="H934" s="29"/>
      <c r="I934" s="30"/>
    </row>
    <row r="935" spans="5:9" ht="15.75" customHeight="1">
      <c r="E935" s="143"/>
      <c r="H935" s="29"/>
      <c r="I935" s="30"/>
    </row>
    <row r="936" spans="5:9" ht="15.75" customHeight="1">
      <c r="E936" s="143"/>
      <c r="H936" s="29"/>
      <c r="I936" s="30"/>
    </row>
    <row r="937" spans="5:9" ht="15.75" customHeight="1">
      <c r="E937" s="143"/>
      <c r="H937" s="29"/>
      <c r="I937" s="30"/>
    </row>
    <row r="938" spans="5:9" ht="15.75" customHeight="1">
      <c r="E938" s="143"/>
      <c r="H938" s="29"/>
      <c r="I938" s="30"/>
    </row>
    <row r="939" spans="5:9" ht="15.75" customHeight="1">
      <c r="E939" s="143"/>
      <c r="H939" s="29"/>
      <c r="I939" s="30"/>
    </row>
    <row r="940" spans="5:9" ht="15.75" customHeight="1">
      <c r="E940" s="143"/>
      <c r="H940" s="29"/>
      <c r="I940" s="30"/>
    </row>
    <row r="941" spans="5:9" ht="15.75" customHeight="1">
      <c r="E941" s="143"/>
      <c r="H941" s="29"/>
      <c r="I941" s="30"/>
    </row>
    <row r="942" spans="5:9" ht="15.75" customHeight="1">
      <c r="E942" s="143"/>
      <c r="H942" s="29"/>
      <c r="I942" s="30"/>
    </row>
    <row r="943" spans="5:9" ht="15.75" customHeight="1">
      <c r="E943" s="143"/>
      <c r="H943" s="29"/>
      <c r="I943" s="30"/>
    </row>
    <row r="944" spans="5:9" ht="15.75" customHeight="1">
      <c r="E944" s="143"/>
      <c r="H944" s="29"/>
      <c r="I944" s="30"/>
    </row>
    <row r="945" spans="5:9" ht="15.75" customHeight="1">
      <c r="E945" s="143"/>
      <c r="H945" s="29"/>
      <c r="I945" s="30"/>
    </row>
    <row r="946" spans="5:9" ht="15.75" customHeight="1">
      <c r="E946" s="143"/>
      <c r="H946" s="29"/>
      <c r="I946" s="30"/>
    </row>
    <row r="947" spans="5:9" ht="15.75" customHeight="1">
      <c r="E947" s="143"/>
      <c r="H947" s="29"/>
      <c r="I947" s="30"/>
    </row>
    <row r="948" spans="5:9" ht="15.75" customHeight="1">
      <c r="E948" s="143"/>
      <c r="H948" s="29"/>
      <c r="I948" s="30"/>
    </row>
    <row r="949" spans="5:9" ht="15.75" customHeight="1">
      <c r="E949" s="143"/>
      <c r="H949" s="29"/>
      <c r="I949" s="30"/>
    </row>
    <row r="950" spans="5:9" ht="15.75" customHeight="1">
      <c r="E950" s="143"/>
      <c r="H950" s="29"/>
      <c r="I950" s="30"/>
    </row>
    <row r="951" spans="5:9" ht="15.75" customHeight="1">
      <c r="E951" s="143"/>
      <c r="H951" s="29"/>
      <c r="I951" s="30"/>
    </row>
    <row r="952" spans="5:9" ht="15.75" customHeight="1">
      <c r="E952" s="143"/>
      <c r="H952" s="29"/>
      <c r="I952" s="30"/>
    </row>
    <row r="953" spans="5:9" ht="15.75" customHeight="1">
      <c r="E953" s="143"/>
      <c r="H953" s="29"/>
      <c r="I953" s="30"/>
    </row>
    <row r="954" spans="5:9" ht="15.75" customHeight="1">
      <c r="E954" s="143"/>
      <c r="H954" s="29"/>
      <c r="I954" s="30"/>
    </row>
    <row r="955" spans="5:9" ht="15.75" customHeight="1">
      <c r="E955" s="143"/>
      <c r="H955" s="29"/>
      <c r="I955" s="30"/>
    </row>
    <row r="956" spans="5:9" ht="15.75" customHeight="1">
      <c r="E956" s="143"/>
      <c r="H956" s="29"/>
      <c r="I956" s="30"/>
    </row>
    <row r="957" spans="5:9" ht="15.75" customHeight="1">
      <c r="E957" s="143"/>
      <c r="H957" s="29"/>
      <c r="I957" s="30"/>
    </row>
    <row r="958" spans="5:9" ht="15.75" customHeight="1">
      <c r="E958" s="143"/>
      <c r="H958" s="29"/>
      <c r="I958" s="30"/>
    </row>
    <row r="959" spans="5:9" ht="15.75" customHeight="1">
      <c r="E959" s="143"/>
      <c r="H959" s="29"/>
      <c r="I959" s="30"/>
    </row>
    <row r="960" spans="5:9" ht="15.75" customHeight="1">
      <c r="E960" s="143"/>
      <c r="H960" s="29"/>
      <c r="I960" s="30"/>
    </row>
    <row r="961" spans="5:9" ht="15.75" customHeight="1">
      <c r="E961" s="143"/>
      <c r="H961" s="29"/>
      <c r="I961" s="30"/>
    </row>
    <row r="962" spans="5:9" ht="15.75" customHeight="1">
      <c r="E962" s="143"/>
      <c r="H962" s="29"/>
      <c r="I962" s="30"/>
    </row>
    <row r="963" spans="5:9" ht="15.75" customHeight="1">
      <c r="E963" s="143"/>
      <c r="H963" s="29"/>
      <c r="I963" s="30"/>
    </row>
    <row r="964" spans="5:9" ht="15.75" customHeight="1">
      <c r="E964" s="143"/>
      <c r="H964" s="29"/>
      <c r="I964" s="30"/>
    </row>
    <row r="965" spans="5:9" ht="15.75" customHeight="1">
      <c r="E965" s="143"/>
      <c r="H965" s="29"/>
      <c r="I965" s="30"/>
    </row>
    <row r="966" spans="5:9" ht="15.75" customHeight="1">
      <c r="E966" s="143"/>
      <c r="H966" s="29"/>
      <c r="I966" s="30"/>
    </row>
    <row r="967" spans="5:9" ht="15.75" customHeight="1">
      <c r="E967" s="143"/>
      <c r="H967" s="29"/>
      <c r="I967" s="30"/>
    </row>
    <row r="968" spans="5:9" ht="15.75" customHeight="1">
      <c r="E968" s="143"/>
      <c r="H968" s="29"/>
      <c r="I968" s="30"/>
    </row>
    <row r="969" spans="5:9" ht="15.75" customHeight="1">
      <c r="E969" s="143"/>
      <c r="H969" s="29"/>
      <c r="I969" s="30"/>
    </row>
    <row r="970" spans="5:9" ht="15.75" customHeight="1">
      <c r="E970" s="143"/>
      <c r="H970" s="29"/>
      <c r="I970" s="30"/>
    </row>
    <row r="971" spans="5:9" ht="15.75" customHeight="1">
      <c r="E971" s="143"/>
      <c r="H971" s="29"/>
      <c r="I971" s="30"/>
    </row>
    <row r="972" spans="5:9" ht="15.75" customHeight="1">
      <c r="E972" s="143"/>
      <c r="H972" s="29"/>
      <c r="I972" s="30"/>
    </row>
    <row r="973" spans="5:9" ht="15.75" customHeight="1">
      <c r="E973" s="143"/>
      <c r="H973" s="29"/>
      <c r="I973" s="30"/>
    </row>
    <row r="974" spans="5:9" ht="15.75" customHeight="1">
      <c r="E974" s="143"/>
      <c r="H974" s="29"/>
      <c r="I974" s="30"/>
    </row>
    <row r="975" spans="5:9" ht="15.75" customHeight="1">
      <c r="E975" s="143"/>
      <c r="H975" s="29"/>
      <c r="I975" s="30"/>
    </row>
    <row r="976" spans="5:9" ht="15.75" customHeight="1">
      <c r="E976" s="143"/>
      <c r="H976" s="29"/>
      <c r="I976" s="30"/>
    </row>
    <row r="977" spans="5:9" ht="15.75" customHeight="1">
      <c r="E977" s="143"/>
      <c r="H977" s="29"/>
      <c r="I977" s="30"/>
    </row>
    <row r="978" spans="5:9" ht="15.75" customHeight="1">
      <c r="E978" s="143"/>
      <c r="H978" s="29"/>
      <c r="I978" s="30"/>
    </row>
    <row r="979" spans="5:9" ht="15.75" customHeight="1">
      <c r="E979" s="143"/>
      <c r="H979" s="29"/>
      <c r="I979" s="30"/>
    </row>
    <row r="980" spans="5:9" ht="15.75" customHeight="1">
      <c r="E980" s="143"/>
      <c r="H980" s="29"/>
      <c r="I980" s="30"/>
    </row>
    <row r="981" spans="5:9" ht="15.75" customHeight="1">
      <c r="E981" s="143"/>
      <c r="H981" s="29"/>
      <c r="I981" s="30"/>
    </row>
    <row r="982" spans="5:9" ht="15.75" customHeight="1">
      <c r="E982" s="143"/>
      <c r="H982" s="29"/>
      <c r="I982" s="30"/>
    </row>
    <row r="983" spans="5:9" ht="15.75" customHeight="1">
      <c r="E983" s="143"/>
      <c r="H983" s="29"/>
      <c r="I983" s="30"/>
    </row>
    <row r="984" spans="5:9" ht="15.75" customHeight="1">
      <c r="E984" s="143"/>
      <c r="H984" s="29"/>
      <c r="I984" s="30"/>
    </row>
    <row r="985" spans="5:9" ht="15.75" customHeight="1">
      <c r="E985" s="143"/>
      <c r="H985" s="29"/>
      <c r="I985" s="30"/>
    </row>
    <row r="986" spans="5:9" ht="15.75" customHeight="1">
      <c r="E986" s="143"/>
      <c r="H986" s="29"/>
      <c r="I986" s="30"/>
    </row>
    <row r="987" spans="5:9" ht="15.75" customHeight="1">
      <c r="E987" s="143"/>
      <c r="H987" s="29"/>
      <c r="I987" s="30"/>
    </row>
    <row r="988" spans="5:9" ht="15.75" customHeight="1">
      <c r="E988" s="143"/>
      <c r="H988" s="29"/>
      <c r="I988" s="30"/>
    </row>
    <row r="989" spans="5:9" ht="15.75" customHeight="1">
      <c r="E989" s="143"/>
      <c r="H989" s="29"/>
      <c r="I989" s="30"/>
    </row>
    <row r="990" spans="5:9" ht="15.75" customHeight="1">
      <c r="E990" s="143"/>
      <c r="H990" s="29"/>
      <c r="I990" s="30"/>
    </row>
    <row r="991" spans="5:9" ht="15.75" customHeight="1">
      <c r="E991" s="143"/>
      <c r="H991" s="29"/>
      <c r="I991" s="30"/>
    </row>
    <row r="992" spans="5:9" ht="15.75" customHeight="1">
      <c r="E992" s="143"/>
      <c r="H992" s="29"/>
      <c r="I992" s="30"/>
    </row>
    <row r="993" spans="5:9" ht="15.75" customHeight="1">
      <c r="E993" s="143"/>
      <c r="H993" s="29"/>
      <c r="I993" s="30"/>
    </row>
  </sheetData>
  <dataValidations count="1">
    <dataValidation type="list" allowBlank="1" showErrorMessage="1" sqref="W3:W8" xr:uid="{FD680E17-3077-4A9E-9946-4C9F078CFA7B}">
      <formula1>"Open,Inprogress,Closed"</formula1>
    </dataValidation>
  </dataValidations>
  <hyperlinks>
    <hyperlink ref="M3" r:id="rId1" xr:uid="{1F7C781E-8AF3-45EC-82E3-3783EC985CB0}"/>
    <hyperlink ref="M4" r:id="rId2" xr:uid="{C0FC425F-B52E-46EF-9A86-99F3EB8F66E3}"/>
    <hyperlink ref="M6" r:id="rId3" xr:uid="{A591D0FC-3F59-4A96-BC1A-0B44BD2F0B39}"/>
  </hyperlinks>
  <pageMargins left="0" right="0" top="0" bottom="0" header="0" footer="0"/>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0937A-C201-4B6C-92A8-0B814C0C3FEE}">
  <sheetPr>
    <outlinePr summaryBelow="0" summaryRight="0"/>
  </sheetPr>
  <dimension ref="A1:Z997"/>
  <sheetViews>
    <sheetView workbookViewId="0"/>
  </sheetViews>
  <sheetFormatPr defaultColWidth="12.5703125" defaultRowHeight="15" customHeight="1"/>
  <cols>
    <col min="1" max="1" width="11.140625" customWidth="1"/>
    <col min="2" max="2" width="17.28515625" customWidth="1"/>
    <col min="3" max="5" width="12.5703125" customWidth="1"/>
    <col min="6" max="6" width="25.28515625" customWidth="1"/>
    <col min="7" max="7" width="12" customWidth="1"/>
    <col min="8" max="8" width="10.85546875" customWidth="1"/>
    <col min="9" max="9" width="11.85546875" customWidth="1"/>
    <col min="10" max="10" width="20.28515625" customWidth="1"/>
    <col min="11" max="11" width="27.7109375" customWidth="1"/>
  </cols>
  <sheetData>
    <row r="1" spans="1:26" ht="15.75" customHeight="1">
      <c r="A1" s="1" t="s">
        <v>254</v>
      </c>
      <c r="B1" s="31" t="s">
        <v>11</v>
      </c>
      <c r="C1" s="32" t="s">
        <v>322</v>
      </c>
      <c r="D1" s="31" t="s">
        <v>256</v>
      </c>
      <c r="E1" s="32" t="s">
        <v>324</v>
      </c>
      <c r="F1" s="32" t="s">
        <v>325</v>
      </c>
      <c r="G1" s="31" t="s">
        <v>326</v>
      </c>
      <c r="H1" s="31" t="s">
        <v>328</v>
      </c>
      <c r="I1" s="31" t="s">
        <v>259</v>
      </c>
      <c r="J1" s="33" t="s">
        <v>329</v>
      </c>
      <c r="K1" s="34" t="s">
        <v>280</v>
      </c>
      <c r="L1" s="35"/>
      <c r="M1" s="35"/>
      <c r="N1" s="35"/>
      <c r="O1" s="35"/>
      <c r="P1" s="35"/>
      <c r="Q1" s="35"/>
      <c r="R1" s="35"/>
      <c r="S1" s="35"/>
      <c r="T1" s="35"/>
      <c r="U1" s="35"/>
      <c r="V1" s="35"/>
      <c r="W1" s="35"/>
      <c r="X1" s="35"/>
      <c r="Y1" s="35"/>
      <c r="Z1" s="35"/>
    </row>
    <row r="2" spans="1:26" ht="15.75" customHeight="1">
      <c r="A2" s="109"/>
      <c r="B2" s="25"/>
      <c r="C2" s="27"/>
      <c r="D2" s="26"/>
      <c r="E2" s="26"/>
      <c r="F2" s="27"/>
      <c r="G2" s="26"/>
      <c r="H2" s="26"/>
      <c r="I2" s="26"/>
      <c r="J2" s="26"/>
      <c r="K2" s="26"/>
      <c r="L2" s="35"/>
      <c r="M2" s="35"/>
      <c r="N2" s="35"/>
      <c r="O2" s="35"/>
      <c r="P2" s="35"/>
      <c r="Q2" s="35"/>
      <c r="R2" s="35"/>
      <c r="S2" s="35"/>
      <c r="T2" s="35"/>
      <c r="U2" s="35"/>
      <c r="V2" s="35"/>
    </row>
    <row r="3" spans="1:26" ht="15.75" customHeight="1">
      <c r="A3" s="571" t="s">
        <v>1918</v>
      </c>
      <c r="B3" s="571"/>
      <c r="C3" s="571"/>
    </row>
    <row r="4" spans="1:26" ht="15.75" customHeight="1"/>
    <row r="5" spans="1:26" ht="15.75" customHeight="1"/>
    <row r="6" spans="1:26" ht="15.75" customHeight="1"/>
    <row r="7" spans="1:26" ht="15.75" customHeight="1"/>
    <row r="8" spans="1:26" ht="15.75" customHeight="1"/>
    <row r="9" spans="1:26" ht="15.75" customHeight="1"/>
    <row r="10" spans="1:26" ht="15.75" customHeight="1"/>
    <row r="11" spans="1:26" ht="15.75" customHeight="1"/>
    <row r="12" spans="1:26" ht="15.75" customHeight="1"/>
    <row r="13" spans="1:26" ht="15.75" customHeight="1"/>
    <row r="14" spans="1:26" ht="15.75" customHeight="1"/>
    <row r="15" spans="1:26" ht="15.75" customHeight="1"/>
    <row r="16" spans="1:26" ht="15.75" customHeight="1"/>
    <row r="17" customFormat="1" ht="15.75" customHeight="1"/>
    <row r="18" customFormat="1" ht="15.75" customHeight="1"/>
    <row r="19" customFormat="1" ht="15.75" customHeight="1"/>
    <row r="20" customFormat="1" ht="15.75" customHeight="1"/>
    <row r="21" customFormat="1" ht="15.75" customHeight="1"/>
    <row r="22" customFormat="1" ht="15.75" customHeight="1"/>
    <row r="23" customFormat="1" ht="15.75" customHeight="1"/>
    <row r="24" customFormat="1" ht="15.75" customHeight="1"/>
    <row r="25" customFormat="1" ht="15.75" customHeight="1"/>
    <row r="26" customFormat="1" ht="15.75" customHeight="1"/>
    <row r="27" customFormat="1" ht="15.75" customHeight="1"/>
    <row r="28" customFormat="1" ht="15.75" customHeight="1"/>
    <row r="29" customFormat="1" ht="15.75" customHeight="1"/>
    <row r="30" customFormat="1" ht="15.75" customHeight="1"/>
    <row r="31" customFormat="1" ht="15.75" customHeight="1"/>
    <row r="32" customFormat="1" ht="15.75" customHeight="1"/>
    <row r="33" customFormat="1" ht="15.75" customHeight="1"/>
    <row r="34" customFormat="1" ht="15.75" customHeight="1"/>
    <row r="35" customFormat="1" ht="15.75" customHeight="1"/>
    <row r="36" customFormat="1" ht="15.75" customHeight="1"/>
    <row r="37" customFormat="1" ht="15.75" customHeight="1"/>
    <row r="38" customFormat="1" ht="15.75" customHeight="1"/>
    <row r="39" customFormat="1" ht="15.75" customHeight="1"/>
    <row r="40" customFormat="1" ht="15.75" customHeight="1"/>
    <row r="41" customFormat="1" ht="15.75" customHeight="1"/>
    <row r="42" customFormat="1" ht="15.75" customHeight="1"/>
    <row r="43" customFormat="1" ht="15.75" customHeight="1"/>
    <row r="44" customFormat="1" ht="15.75" customHeight="1"/>
    <row r="45" customFormat="1" ht="15.75" customHeight="1"/>
    <row r="46" customFormat="1" ht="15.75" customHeight="1"/>
    <row r="47" customFormat="1" ht="15.75" customHeight="1"/>
    <row r="48" customFormat="1" ht="15.75" customHeight="1"/>
    <row r="49" customFormat="1" ht="15.75" customHeight="1"/>
    <row r="50" customFormat="1" ht="15.75" customHeight="1"/>
    <row r="51" customFormat="1" ht="15.75" customHeight="1"/>
    <row r="52" customFormat="1" ht="15.75" customHeight="1"/>
    <row r="53" customFormat="1" ht="15.75" customHeight="1"/>
    <row r="54" customFormat="1" ht="15.75" customHeight="1"/>
    <row r="55" customFormat="1" ht="15.75" customHeight="1"/>
    <row r="56" customFormat="1" ht="15.75" customHeight="1"/>
    <row r="57" customFormat="1" ht="15.75" customHeight="1"/>
    <row r="58" customFormat="1" ht="15.75" customHeight="1"/>
    <row r="59" customFormat="1" ht="15.75" customHeight="1"/>
    <row r="60" customFormat="1" ht="15.75" customHeight="1"/>
    <row r="61" customFormat="1" ht="15.75" customHeight="1"/>
    <row r="62" customFormat="1" ht="15.75" customHeight="1"/>
    <row r="63" customFormat="1" ht="15.75" customHeight="1"/>
    <row r="64" customFormat="1" ht="15.75" customHeight="1"/>
    <row r="65" customFormat="1" ht="15.75" customHeight="1"/>
    <row r="66" customFormat="1" ht="15.75" customHeight="1"/>
    <row r="67" customFormat="1" ht="15.75" customHeight="1"/>
    <row r="68" customFormat="1" ht="15.75" customHeight="1"/>
    <row r="69" customFormat="1" ht="15.75" customHeight="1"/>
    <row r="70" customFormat="1" ht="15.75" customHeight="1"/>
    <row r="71" customFormat="1" ht="15.75" customHeight="1"/>
    <row r="72" customFormat="1" ht="15.75" customHeight="1"/>
    <row r="73" customFormat="1" ht="15.75" customHeight="1"/>
    <row r="74" customFormat="1" ht="15.75" customHeight="1"/>
    <row r="75" customFormat="1" ht="15.75" customHeight="1"/>
    <row r="76" customFormat="1" ht="15.75" customHeight="1"/>
    <row r="77" customFormat="1" ht="15.75" customHeight="1"/>
    <row r="78" customFormat="1" ht="15.75" customHeight="1"/>
    <row r="79" customFormat="1" ht="15.75" customHeight="1"/>
    <row r="80" customFormat="1" ht="15.75" customHeight="1"/>
    <row r="81" customFormat="1" ht="15.75" customHeight="1"/>
    <row r="82" customFormat="1" ht="15.75" customHeight="1"/>
    <row r="83" customFormat="1" ht="15.75" customHeight="1"/>
    <row r="84" customFormat="1" ht="15.75" customHeight="1"/>
    <row r="85" customFormat="1" ht="15.75" customHeight="1"/>
    <row r="86" customFormat="1" ht="15.75" customHeight="1"/>
    <row r="87" customFormat="1" ht="15.75" customHeight="1"/>
    <row r="88" customFormat="1" ht="15.75" customHeight="1"/>
    <row r="89" customFormat="1" ht="15.75" customHeight="1"/>
    <row r="90" customFormat="1" ht="15.75" customHeight="1"/>
    <row r="91" customFormat="1" ht="15.75" customHeight="1"/>
    <row r="92" customFormat="1" ht="15.75" customHeight="1"/>
    <row r="93" customFormat="1" ht="15.75" customHeight="1"/>
    <row r="94" customFormat="1" ht="15.75" customHeight="1"/>
    <row r="95" customFormat="1" ht="15.75" customHeight="1"/>
    <row r="96" customFormat="1" ht="15.75" customHeight="1"/>
    <row r="97" customFormat="1" ht="15.75" customHeight="1"/>
    <row r="98" customFormat="1" ht="15.75" customHeight="1"/>
    <row r="99" customFormat="1" ht="15.75" customHeight="1"/>
    <row r="100" customFormat="1" ht="15.75" customHeight="1"/>
    <row r="101" customFormat="1" ht="15.75" customHeight="1"/>
    <row r="102" customFormat="1" ht="15.75" customHeight="1"/>
    <row r="103" customFormat="1" ht="15.75" customHeight="1"/>
    <row r="104" customFormat="1" ht="15.75" customHeight="1"/>
    <row r="105" customFormat="1" ht="15.75" customHeight="1"/>
    <row r="106" customFormat="1" ht="15.75" customHeight="1"/>
    <row r="107" customFormat="1" ht="15.75" customHeight="1"/>
    <row r="108" customFormat="1" ht="15.75" customHeight="1"/>
    <row r="109" customFormat="1" ht="15.75" customHeight="1"/>
    <row r="110" customFormat="1" ht="15.75" customHeight="1"/>
    <row r="111" customFormat="1" ht="15.75" customHeight="1"/>
    <row r="112" customFormat="1" ht="15.75" customHeight="1"/>
    <row r="113" customFormat="1" ht="15.75" customHeight="1"/>
    <row r="114" customFormat="1" ht="15.75" customHeight="1"/>
    <row r="115" customFormat="1" ht="15.75" customHeight="1"/>
    <row r="116" customFormat="1" ht="15.75" customHeight="1"/>
    <row r="117" customFormat="1" ht="15.75" customHeight="1"/>
    <row r="118" customFormat="1" ht="15.75" customHeight="1"/>
    <row r="119" customFormat="1" ht="15.75" customHeight="1"/>
    <row r="120" customFormat="1" ht="15.75" customHeight="1"/>
    <row r="121" customFormat="1" ht="15.75" customHeight="1"/>
    <row r="122" customFormat="1" ht="15.75" customHeight="1"/>
    <row r="123" customFormat="1" ht="15.75" customHeight="1"/>
    <row r="124" customFormat="1" ht="15.75" customHeight="1"/>
    <row r="125" customFormat="1" ht="15.75" customHeight="1"/>
    <row r="126" customFormat="1" ht="15.75" customHeight="1"/>
    <row r="127" customFormat="1" ht="15.75" customHeight="1"/>
    <row r="128" customFormat="1" ht="15.75" customHeight="1"/>
    <row r="129" customFormat="1" ht="15.75" customHeight="1"/>
    <row r="130" customFormat="1" ht="15.75" customHeight="1"/>
    <row r="131" customFormat="1" ht="15.75" customHeight="1"/>
    <row r="132" customFormat="1" ht="15.75" customHeight="1"/>
    <row r="133" customFormat="1" ht="15.75" customHeight="1"/>
    <row r="134" customFormat="1" ht="15.75" customHeight="1"/>
    <row r="135" customFormat="1" ht="15.75" customHeight="1"/>
    <row r="136" customFormat="1" ht="15.75" customHeight="1"/>
    <row r="137" customFormat="1" ht="15.75" customHeight="1"/>
    <row r="138" customFormat="1" ht="15.75" customHeight="1"/>
    <row r="139" customFormat="1" ht="15.75" customHeight="1"/>
    <row r="140" customFormat="1" ht="15.75" customHeight="1"/>
    <row r="141" customFormat="1" ht="15.75" customHeight="1"/>
    <row r="142" customFormat="1" ht="15.75" customHeight="1"/>
    <row r="143" customFormat="1" ht="15.75" customHeight="1"/>
    <row r="144" customFormat="1" ht="15.75" customHeight="1"/>
    <row r="145" customFormat="1" ht="15.75" customHeight="1"/>
    <row r="146" customFormat="1" ht="15.75" customHeight="1"/>
    <row r="147" customFormat="1" ht="15.75" customHeight="1"/>
    <row r="148" customFormat="1" ht="15.75" customHeight="1"/>
    <row r="149" customFormat="1" ht="15.75" customHeight="1"/>
    <row r="150" customFormat="1" ht="15.75" customHeight="1"/>
    <row r="151" customFormat="1" ht="15.75" customHeight="1"/>
    <row r="152" customFormat="1" ht="15.75" customHeight="1"/>
    <row r="153" customFormat="1" ht="15.75" customHeight="1"/>
    <row r="154" customFormat="1" ht="15.75" customHeight="1"/>
    <row r="155" customFormat="1" ht="15.75" customHeight="1"/>
    <row r="156" customFormat="1" ht="15.75" customHeight="1"/>
    <row r="157" customFormat="1" ht="15.75" customHeight="1"/>
    <row r="158" customFormat="1" ht="15.75" customHeight="1"/>
    <row r="159" customFormat="1" ht="15.75" customHeight="1"/>
    <row r="160" customFormat="1" ht="15.75" customHeight="1"/>
    <row r="161" customFormat="1" ht="15.75" customHeight="1"/>
    <row r="162" customFormat="1" ht="15.75" customHeight="1"/>
    <row r="163" customFormat="1" ht="15.75" customHeight="1"/>
    <row r="164" customFormat="1" ht="15.75" customHeight="1"/>
    <row r="165" customFormat="1" ht="15.75" customHeight="1"/>
    <row r="166" customFormat="1" ht="15.75" customHeight="1"/>
    <row r="167" customFormat="1" ht="15.75" customHeight="1"/>
    <row r="168" customFormat="1" ht="15.75" customHeight="1"/>
    <row r="169" customFormat="1" ht="15.75" customHeight="1"/>
    <row r="170" customFormat="1" ht="15.75" customHeight="1"/>
    <row r="171" customFormat="1" ht="15.75" customHeight="1"/>
    <row r="172" customFormat="1" ht="15.75" customHeight="1"/>
    <row r="173" customFormat="1" ht="15.75" customHeight="1"/>
    <row r="174" customFormat="1" ht="15.75" customHeight="1"/>
    <row r="175" customFormat="1" ht="15.75" customHeight="1"/>
    <row r="176" customFormat="1" ht="15.75" customHeight="1"/>
    <row r="177" customFormat="1" ht="15.75" customHeight="1"/>
    <row r="178" customFormat="1" ht="15.75" customHeight="1"/>
    <row r="179" customFormat="1" ht="15.75" customHeight="1"/>
    <row r="180" customFormat="1" ht="15.75" customHeight="1"/>
    <row r="181" customFormat="1" ht="15.75" customHeight="1"/>
    <row r="182" customFormat="1" ht="15.75" customHeight="1"/>
    <row r="183" customFormat="1" ht="15.75" customHeight="1"/>
    <row r="184" customFormat="1" ht="15.75" customHeight="1"/>
    <row r="185" customFormat="1" ht="15.75" customHeight="1"/>
    <row r="186" customFormat="1" ht="15.75" customHeight="1"/>
    <row r="187" customFormat="1" ht="15.75" customHeight="1"/>
    <row r="188" customFormat="1" ht="15.75" customHeight="1"/>
    <row r="189" customFormat="1" ht="15.75" customHeight="1"/>
    <row r="190" customFormat="1" ht="15.75" customHeight="1"/>
    <row r="191" customFormat="1" ht="15.75" customHeight="1"/>
    <row r="192" customFormat="1" ht="15.75" customHeight="1"/>
    <row r="193" customFormat="1" ht="15.75" customHeight="1"/>
    <row r="194" customFormat="1" ht="15.75" customHeight="1"/>
    <row r="195" customFormat="1" ht="15.75" customHeight="1"/>
    <row r="196" customFormat="1" ht="15.75" customHeight="1"/>
    <row r="197" customFormat="1" ht="15.75" customHeight="1"/>
    <row r="198" customFormat="1" ht="15.75" customHeight="1"/>
    <row r="199" customFormat="1" ht="15.75" customHeight="1"/>
    <row r="200" customFormat="1" ht="15.75" customHeight="1"/>
    <row r="201" customFormat="1" ht="15.75" customHeight="1"/>
    <row r="202" customFormat="1" ht="15.75" customHeight="1"/>
    <row r="203" customFormat="1" ht="15.75" customHeight="1"/>
    <row r="204" customFormat="1" ht="15.75" customHeight="1"/>
    <row r="205" customFormat="1" ht="15.75" customHeight="1"/>
    <row r="206" customFormat="1" ht="15.75" customHeight="1"/>
    <row r="207" customFormat="1" ht="15.75" customHeight="1"/>
    <row r="208" customFormat="1" ht="15.75" customHeight="1"/>
    <row r="209" customFormat="1" ht="15.75" customHeight="1"/>
    <row r="210" customFormat="1" ht="15.75" customHeight="1"/>
    <row r="211" customFormat="1" ht="15.75" customHeight="1"/>
    <row r="212" customFormat="1" ht="15.75" customHeight="1"/>
    <row r="213" customFormat="1" ht="15.75" customHeight="1"/>
    <row r="214" customFormat="1" ht="15.75" customHeight="1"/>
    <row r="215" customFormat="1" ht="15.75" customHeight="1"/>
    <row r="216" customFormat="1" ht="15.75" customHeight="1"/>
    <row r="217" customFormat="1" ht="15.75" customHeight="1"/>
    <row r="218" customFormat="1" ht="15.75" customHeight="1"/>
    <row r="219" customFormat="1" ht="15.75" customHeight="1"/>
    <row r="220" customFormat="1" ht="15.75" customHeight="1"/>
    <row r="221" customFormat="1" ht="15.75" customHeight="1"/>
    <row r="222" customFormat="1" ht="15.75" customHeight="1"/>
    <row r="223" customFormat="1" ht="15.75" customHeight="1"/>
    <row r="224" customFormat="1" ht="15.75" customHeight="1"/>
    <row r="225" customFormat="1" ht="15.75" customHeight="1"/>
    <row r="226" customFormat="1" ht="15.75" customHeight="1"/>
    <row r="227" customFormat="1" ht="15.75" customHeight="1"/>
    <row r="228" customFormat="1" ht="15.75" customHeight="1"/>
    <row r="229" customFormat="1" ht="15.75" customHeight="1"/>
    <row r="230" customFormat="1" ht="15.75" customHeight="1"/>
    <row r="231" customFormat="1" ht="15.75" customHeight="1"/>
    <row r="232" customFormat="1" ht="15.75" customHeight="1"/>
    <row r="233" customFormat="1" ht="15.75" customHeight="1"/>
    <row r="234" customFormat="1" ht="15.75" customHeight="1"/>
    <row r="235" customFormat="1" ht="15.75" customHeight="1"/>
    <row r="236" customFormat="1" ht="15.75" customHeight="1"/>
    <row r="237" customFormat="1" ht="15.75" customHeight="1"/>
    <row r="238" customFormat="1" ht="15.75" customHeight="1"/>
    <row r="239" customFormat="1" ht="15.75" customHeight="1"/>
    <row r="240" customFormat="1" ht="15.75" customHeight="1"/>
    <row r="241" customFormat="1" ht="15.75" customHeight="1"/>
    <row r="242" customFormat="1" ht="15.75" customHeight="1"/>
    <row r="243" customFormat="1" ht="15.75" customHeight="1"/>
    <row r="244" customFormat="1" ht="15.75" customHeight="1"/>
    <row r="245" customFormat="1" ht="15.75" customHeight="1"/>
    <row r="246" customFormat="1" ht="15.75" customHeight="1"/>
    <row r="247" customFormat="1" ht="15.75" customHeight="1"/>
    <row r="248" customFormat="1" ht="15.75" customHeight="1"/>
    <row r="249" customFormat="1" ht="15.75" customHeight="1"/>
    <row r="250" customFormat="1" ht="15.75" customHeight="1"/>
    <row r="251" customFormat="1" ht="15.75" customHeight="1"/>
    <row r="252" customFormat="1" ht="15.75" customHeight="1"/>
    <row r="253" customFormat="1" ht="15.75" customHeight="1"/>
    <row r="254" customFormat="1" ht="15.75" customHeight="1"/>
    <row r="255" customFormat="1" ht="15.75" customHeight="1"/>
    <row r="256" customFormat="1" ht="15.75" customHeight="1"/>
    <row r="257" customFormat="1" ht="15.75" customHeight="1"/>
    <row r="258" customFormat="1" ht="15.75" customHeight="1"/>
    <row r="259" customFormat="1" ht="15.75" customHeight="1"/>
    <row r="260" customFormat="1" ht="15.75" customHeight="1"/>
    <row r="261" customFormat="1" ht="15.75" customHeight="1"/>
    <row r="262" customFormat="1" ht="15.75" customHeight="1"/>
    <row r="263" customFormat="1" ht="15.75" customHeight="1"/>
    <row r="264" customFormat="1" ht="15.75" customHeight="1"/>
    <row r="265" customFormat="1" ht="15.75" customHeight="1"/>
    <row r="266" customFormat="1" ht="15.75" customHeight="1"/>
    <row r="267" customFormat="1" ht="15.75" customHeight="1"/>
    <row r="268" customFormat="1" ht="15.75" customHeight="1"/>
    <row r="269" customFormat="1" ht="15.75" customHeight="1"/>
    <row r="270" customFormat="1" ht="15.75" customHeight="1"/>
    <row r="271" customFormat="1" ht="15.75" customHeight="1"/>
    <row r="272" customFormat="1" ht="15.75" customHeight="1"/>
    <row r="273" customFormat="1" ht="15.75" customHeight="1"/>
    <row r="274" customFormat="1" ht="15.75" customHeight="1"/>
    <row r="275" customFormat="1" ht="15.75" customHeight="1"/>
    <row r="276" customFormat="1" ht="15.75" customHeight="1"/>
    <row r="277" customFormat="1" ht="15.75" customHeight="1"/>
    <row r="278" customFormat="1" ht="15.75" customHeight="1"/>
    <row r="279" customFormat="1" ht="15.75" customHeight="1"/>
    <row r="280" customFormat="1" ht="15.75" customHeight="1"/>
    <row r="281" customFormat="1" ht="15.75" customHeight="1"/>
    <row r="282" customFormat="1" ht="15.75" customHeight="1"/>
    <row r="283" customFormat="1" ht="15.75" customHeight="1"/>
    <row r="284" customFormat="1" ht="15.75" customHeight="1"/>
    <row r="285" customFormat="1" ht="15.75" customHeight="1"/>
    <row r="286" customFormat="1" ht="15.75" customHeight="1"/>
    <row r="287" customFormat="1" ht="15.75" customHeight="1"/>
    <row r="288" customFormat="1" ht="15.75" customHeight="1"/>
    <row r="289" customFormat="1" ht="15.75" customHeight="1"/>
    <row r="290" customFormat="1" ht="15.75" customHeight="1"/>
    <row r="291" customFormat="1" ht="15.75" customHeight="1"/>
    <row r="292" customFormat="1" ht="15.75" customHeight="1"/>
    <row r="293" customFormat="1" ht="15.75" customHeight="1"/>
    <row r="294" customFormat="1" ht="15.75" customHeight="1"/>
    <row r="295" customFormat="1" ht="15.75" customHeight="1"/>
    <row r="296" customFormat="1" ht="15.75" customHeight="1"/>
    <row r="297" customFormat="1" ht="15.75" customHeight="1"/>
    <row r="298" customFormat="1" ht="15.75" customHeight="1"/>
    <row r="299" customFormat="1" ht="15.75" customHeight="1"/>
    <row r="300" customFormat="1" ht="15.75" customHeight="1"/>
    <row r="301" customFormat="1" ht="15.75" customHeight="1"/>
    <row r="302" customFormat="1" ht="15.75" customHeight="1"/>
    <row r="303" customFormat="1" ht="15.75" customHeight="1"/>
    <row r="304" customFormat="1" ht="15.75" customHeight="1"/>
    <row r="305" customFormat="1" ht="15.75" customHeight="1"/>
    <row r="306" customFormat="1" ht="15.75" customHeight="1"/>
    <row r="307" customFormat="1" ht="15.75" customHeight="1"/>
    <row r="308" customFormat="1" ht="15.75" customHeight="1"/>
    <row r="309" customFormat="1" ht="15.75" customHeight="1"/>
    <row r="310" customFormat="1" ht="15.75" customHeight="1"/>
    <row r="311" customFormat="1" ht="15.75" customHeight="1"/>
    <row r="312" customFormat="1" ht="15.75" customHeight="1"/>
    <row r="313" customFormat="1" ht="15.75" customHeight="1"/>
    <row r="314" customFormat="1" ht="15.75" customHeight="1"/>
    <row r="315" customFormat="1" ht="15.75" customHeight="1"/>
    <row r="316" customFormat="1" ht="15.75" customHeight="1"/>
    <row r="317" customFormat="1" ht="15.75" customHeight="1"/>
    <row r="318" customFormat="1" ht="15.75" customHeight="1"/>
    <row r="319" customFormat="1" ht="15.75" customHeight="1"/>
    <row r="320" customFormat="1" ht="15.75" customHeight="1"/>
    <row r="321" customFormat="1" ht="15.75" customHeight="1"/>
    <row r="322" customFormat="1" ht="15.75" customHeight="1"/>
    <row r="323" customFormat="1" ht="15.75" customHeight="1"/>
    <row r="324" customFormat="1" ht="15.75" customHeight="1"/>
    <row r="325" customFormat="1" ht="15.75" customHeight="1"/>
    <row r="326" customFormat="1" ht="15.75" customHeight="1"/>
    <row r="327" customFormat="1" ht="15.75" customHeight="1"/>
    <row r="328" customFormat="1" ht="15.75" customHeight="1"/>
    <row r="329" customFormat="1" ht="15.75" customHeight="1"/>
    <row r="330" customFormat="1" ht="15.75" customHeight="1"/>
    <row r="331" customFormat="1" ht="15.75" customHeight="1"/>
    <row r="332" customFormat="1" ht="15.75" customHeight="1"/>
    <row r="333" customFormat="1" ht="15.75" customHeight="1"/>
    <row r="334" customFormat="1" ht="15.75" customHeight="1"/>
    <row r="335" customFormat="1" ht="15.75" customHeight="1"/>
    <row r="336" customFormat="1" ht="15.75" customHeight="1"/>
    <row r="337" customFormat="1" ht="15.75" customHeight="1"/>
    <row r="338" customFormat="1" ht="15.75" customHeight="1"/>
    <row r="339" customFormat="1" ht="15.75" customHeight="1"/>
    <row r="340" customFormat="1" ht="15.75" customHeight="1"/>
    <row r="341" customFormat="1" ht="15.75" customHeight="1"/>
    <row r="342" customFormat="1" ht="15.75" customHeight="1"/>
    <row r="343" customFormat="1" ht="15.75" customHeight="1"/>
    <row r="344" customFormat="1" ht="15.75" customHeight="1"/>
    <row r="345" customFormat="1" ht="15.75" customHeight="1"/>
    <row r="346" customFormat="1" ht="15.75" customHeight="1"/>
    <row r="347" customFormat="1" ht="15.75" customHeight="1"/>
    <row r="348" customFormat="1" ht="15.75" customHeight="1"/>
    <row r="349" customFormat="1" ht="15.75" customHeight="1"/>
    <row r="350" customFormat="1" ht="15.75" customHeight="1"/>
    <row r="351" customFormat="1" ht="15.75" customHeight="1"/>
    <row r="352" customFormat="1" ht="15.75" customHeight="1"/>
    <row r="353" customFormat="1" ht="15.75" customHeight="1"/>
    <row r="354" customFormat="1" ht="15.75" customHeight="1"/>
    <row r="355" customFormat="1" ht="15.75" customHeight="1"/>
    <row r="356" customFormat="1" ht="15.75" customHeight="1"/>
    <row r="357" customFormat="1" ht="15.75" customHeight="1"/>
    <row r="358" customFormat="1" ht="15.75" customHeight="1"/>
    <row r="359" customFormat="1" ht="15.75" customHeight="1"/>
    <row r="360" customFormat="1" ht="15.75" customHeight="1"/>
    <row r="361" customFormat="1" ht="15.75" customHeight="1"/>
    <row r="362" customFormat="1" ht="15.75" customHeight="1"/>
    <row r="363" customFormat="1" ht="15.75" customHeight="1"/>
    <row r="364" customFormat="1" ht="15.75" customHeight="1"/>
    <row r="365" customFormat="1" ht="15.75" customHeight="1"/>
    <row r="366" customFormat="1" ht="15.75" customHeight="1"/>
    <row r="367" customFormat="1" ht="15.75" customHeight="1"/>
    <row r="368" customFormat="1" ht="15.75" customHeight="1"/>
    <row r="369" customFormat="1" ht="15.75" customHeight="1"/>
    <row r="370" customFormat="1" ht="15.75" customHeight="1"/>
    <row r="371" customFormat="1" ht="15.75" customHeight="1"/>
    <row r="372" customFormat="1" ht="15.75" customHeight="1"/>
    <row r="373" customFormat="1" ht="15.75" customHeight="1"/>
    <row r="374" customFormat="1" ht="15.75" customHeight="1"/>
    <row r="375" customFormat="1" ht="15.75" customHeight="1"/>
    <row r="376" customFormat="1" ht="15.75" customHeight="1"/>
    <row r="377" customFormat="1" ht="15.75" customHeight="1"/>
    <row r="378" customFormat="1" ht="15.75" customHeight="1"/>
    <row r="379" customFormat="1" ht="15.75" customHeight="1"/>
    <row r="380" customFormat="1" ht="15.75" customHeight="1"/>
    <row r="381" customFormat="1" ht="15.75" customHeight="1"/>
    <row r="382" customFormat="1" ht="15.75" customHeight="1"/>
    <row r="383" customFormat="1" ht="15.75" customHeight="1"/>
    <row r="384" customFormat="1" ht="15.75" customHeight="1"/>
    <row r="385" customFormat="1" ht="15.75" customHeight="1"/>
    <row r="386" customFormat="1" ht="15.75" customHeight="1"/>
    <row r="387" customFormat="1" ht="15.75" customHeight="1"/>
    <row r="388" customFormat="1" ht="15.75" customHeight="1"/>
    <row r="389" customFormat="1" ht="15.75" customHeight="1"/>
    <row r="390" customFormat="1" ht="15.75" customHeight="1"/>
    <row r="391" customFormat="1" ht="15.75" customHeight="1"/>
    <row r="392" customFormat="1" ht="15.75" customHeight="1"/>
    <row r="393" customFormat="1" ht="15.75" customHeight="1"/>
    <row r="394" customFormat="1" ht="15.75" customHeight="1"/>
    <row r="395" customFormat="1" ht="15.75" customHeight="1"/>
    <row r="396" customFormat="1" ht="15.75" customHeight="1"/>
    <row r="397" customFormat="1" ht="15.75" customHeight="1"/>
    <row r="398" customFormat="1" ht="15.75" customHeight="1"/>
    <row r="399" customFormat="1" ht="15.75" customHeight="1"/>
    <row r="400" customFormat="1" ht="15.75" customHeight="1"/>
    <row r="401" customFormat="1" ht="15.75" customHeight="1"/>
    <row r="402" customFormat="1" ht="15.75" customHeight="1"/>
    <row r="403" customFormat="1" ht="15.75" customHeight="1"/>
    <row r="404" customFormat="1" ht="15.75" customHeight="1"/>
    <row r="405" customFormat="1" ht="15.75" customHeight="1"/>
    <row r="406" customFormat="1" ht="15.75" customHeight="1"/>
    <row r="407" customFormat="1" ht="15.75" customHeight="1"/>
    <row r="408" customFormat="1" ht="15.75" customHeight="1"/>
    <row r="409" customFormat="1" ht="15.75" customHeight="1"/>
    <row r="410" customFormat="1" ht="15.75" customHeight="1"/>
    <row r="411" customFormat="1" ht="15.75" customHeight="1"/>
    <row r="412" customFormat="1" ht="15.75" customHeight="1"/>
    <row r="413" customFormat="1" ht="15.75" customHeight="1"/>
    <row r="414" customFormat="1" ht="15.75" customHeight="1"/>
    <row r="415" customFormat="1" ht="15.75" customHeight="1"/>
    <row r="416" customFormat="1" ht="15.75" customHeight="1"/>
    <row r="417" customFormat="1" ht="15.75" customHeight="1"/>
    <row r="418" customFormat="1" ht="15.75" customHeight="1"/>
    <row r="419" customFormat="1" ht="15.75" customHeight="1"/>
    <row r="420" customFormat="1" ht="15.75" customHeight="1"/>
    <row r="421" customFormat="1" ht="15.75" customHeight="1"/>
    <row r="422" customFormat="1" ht="15.75" customHeight="1"/>
    <row r="423" customFormat="1" ht="15.75" customHeight="1"/>
    <row r="424" customFormat="1" ht="15.75" customHeight="1"/>
    <row r="425" customFormat="1" ht="15.75" customHeight="1"/>
    <row r="426" customFormat="1" ht="15.75" customHeight="1"/>
    <row r="427" customFormat="1" ht="15.75" customHeight="1"/>
    <row r="428" customFormat="1" ht="15.75" customHeight="1"/>
    <row r="429" customFormat="1" ht="15.75" customHeight="1"/>
    <row r="430" customFormat="1" ht="15.75" customHeight="1"/>
    <row r="431" customFormat="1" ht="15.75" customHeight="1"/>
    <row r="432" customFormat="1" ht="15.75" customHeight="1"/>
    <row r="433" customFormat="1" ht="15.75" customHeight="1"/>
    <row r="434" customFormat="1" ht="15.75" customHeight="1"/>
    <row r="435" customFormat="1" ht="15.75" customHeight="1"/>
    <row r="436" customFormat="1" ht="15.75" customHeight="1"/>
    <row r="437" customFormat="1" ht="15.75" customHeight="1"/>
    <row r="438" customFormat="1" ht="15.75" customHeight="1"/>
    <row r="439" customFormat="1" ht="15.75" customHeight="1"/>
    <row r="440" customFormat="1" ht="15.75" customHeight="1"/>
    <row r="441" customFormat="1" ht="15.75" customHeight="1"/>
    <row r="442" customFormat="1" ht="15.75" customHeight="1"/>
    <row r="443" customFormat="1" ht="15.75" customHeight="1"/>
    <row r="444" customFormat="1" ht="15.75" customHeight="1"/>
    <row r="445" customFormat="1" ht="15.75" customHeight="1"/>
    <row r="446" customFormat="1" ht="15.75" customHeight="1"/>
    <row r="447" customFormat="1" ht="15.75" customHeight="1"/>
    <row r="448" customFormat="1" ht="15.75" customHeight="1"/>
    <row r="449" customFormat="1" ht="15.75" customHeight="1"/>
    <row r="450" customFormat="1" ht="15.75" customHeight="1"/>
    <row r="451" customFormat="1" ht="15.75" customHeight="1"/>
    <row r="452" customFormat="1" ht="15.75" customHeight="1"/>
    <row r="453" customFormat="1" ht="15.75" customHeight="1"/>
    <row r="454" customFormat="1" ht="15.75" customHeight="1"/>
    <row r="455" customFormat="1" ht="15.75" customHeight="1"/>
    <row r="456" customFormat="1" ht="15.75" customHeight="1"/>
    <row r="457" customFormat="1" ht="15.75" customHeight="1"/>
    <row r="458" customFormat="1" ht="15.75" customHeight="1"/>
    <row r="459" customFormat="1" ht="15.75" customHeight="1"/>
    <row r="460" customFormat="1" ht="15.75" customHeight="1"/>
    <row r="461" customFormat="1" ht="15.75" customHeight="1"/>
    <row r="462" customFormat="1" ht="15.75" customHeight="1"/>
    <row r="463" customFormat="1" ht="15.75" customHeight="1"/>
    <row r="464" customFormat="1" ht="15.75" customHeight="1"/>
    <row r="465" customFormat="1" ht="15.75" customHeight="1"/>
    <row r="466" customFormat="1" ht="15.75" customHeight="1"/>
    <row r="467" customFormat="1" ht="15.75" customHeight="1"/>
    <row r="468" customFormat="1" ht="15.75" customHeight="1"/>
    <row r="469" customFormat="1" ht="15.75" customHeight="1"/>
    <row r="470" customFormat="1" ht="15.75" customHeight="1"/>
    <row r="471" customFormat="1" ht="15.75" customHeight="1"/>
    <row r="472" customFormat="1" ht="15.75" customHeight="1"/>
    <row r="473" customFormat="1" ht="15.75" customHeight="1"/>
    <row r="474" customFormat="1" ht="15.75" customHeight="1"/>
    <row r="475" customFormat="1" ht="15.75" customHeight="1"/>
    <row r="476" customFormat="1" ht="15.75" customHeight="1"/>
    <row r="477" customFormat="1" ht="15.75" customHeight="1"/>
    <row r="478" customFormat="1" ht="15.75" customHeight="1"/>
    <row r="479" customFormat="1" ht="15.75" customHeight="1"/>
    <row r="480" customFormat="1" ht="15.75" customHeight="1"/>
    <row r="481" customFormat="1" ht="15.75" customHeight="1"/>
    <row r="482" customFormat="1" ht="15.75" customHeight="1"/>
    <row r="483" customFormat="1" ht="15.75" customHeight="1"/>
    <row r="484" customFormat="1" ht="15.75" customHeight="1"/>
    <row r="485" customFormat="1" ht="15.75" customHeight="1"/>
    <row r="486" customFormat="1" ht="15.75" customHeight="1"/>
    <row r="487" customFormat="1" ht="15.75" customHeight="1"/>
    <row r="488" customFormat="1" ht="15.75" customHeight="1"/>
    <row r="489" customFormat="1" ht="15.75" customHeight="1"/>
    <row r="490" customFormat="1" ht="15.75" customHeight="1"/>
    <row r="491" customFormat="1" ht="15.75" customHeight="1"/>
    <row r="492" customFormat="1" ht="15.75" customHeight="1"/>
    <row r="493" customFormat="1" ht="15.75" customHeight="1"/>
    <row r="494" customFormat="1" ht="15.75" customHeight="1"/>
    <row r="495" customFormat="1" ht="15.75" customHeight="1"/>
    <row r="496" customFormat="1" ht="15.75" customHeight="1"/>
    <row r="497" customFormat="1" ht="15.75" customHeight="1"/>
    <row r="498" customFormat="1" ht="15.75" customHeight="1"/>
    <row r="499" customFormat="1" ht="15.75" customHeight="1"/>
    <row r="500" customFormat="1" ht="15.75" customHeight="1"/>
    <row r="501" customFormat="1" ht="15.75" customHeight="1"/>
    <row r="502" customFormat="1" ht="15.75" customHeight="1"/>
    <row r="503" customFormat="1" ht="15.75" customHeight="1"/>
    <row r="504" customFormat="1" ht="15.75" customHeight="1"/>
    <row r="505" customFormat="1" ht="15.75" customHeight="1"/>
    <row r="506" customFormat="1" ht="15.75" customHeight="1"/>
    <row r="507" customFormat="1" ht="15.75" customHeight="1"/>
    <row r="508" customFormat="1" ht="15.75" customHeight="1"/>
    <row r="509" customFormat="1" ht="15.75" customHeight="1"/>
    <row r="510" customFormat="1" ht="15.75" customHeight="1"/>
    <row r="511" customFormat="1" ht="15.75" customHeight="1"/>
    <row r="512" customFormat="1" ht="15.75" customHeight="1"/>
    <row r="513" customFormat="1" ht="15.75" customHeight="1"/>
    <row r="514" customFormat="1" ht="15.75" customHeight="1"/>
    <row r="515" customFormat="1" ht="15.75" customHeight="1"/>
    <row r="516" customFormat="1" ht="15.75" customHeight="1"/>
    <row r="517" customFormat="1" ht="15.75" customHeight="1"/>
    <row r="518" customFormat="1" ht="15.75" customHeight="1"/>
    <row r="519" customFormat="1" ht="15.75" customHeight="1"/>
    <row r="520" customFormat="1" ht="15.75" customHeight="1"/>
    <row r="521" customFormat="1" ht="15.75" customHeight="1"/>
    <row r="522" customFormat="1" ht="15.75" customHeight="1"/>
    <row r="523" customFormat="1" ht="15.75" customHeight="1"/>
    <row r="524" customFormat="1" ht="15.75" customHeight="1"/>
    <row r="525" customFormat="1" ht="15.75" customHeight="1"/>
    <row r="526" customFormat="1" ht="15.75" customHeight="1"/>
    <row r="527" customFormat="1" ht="15.75" customHeight="1"/>
    <row r="528" customFormat="1" ht="15.75" customHeight="1"/>
    <row r="529" customFormat="1" ht="15.75" customHeight="1"/>
    <row r="530" customFormat="1" ht="15.75" customHeight="1"/>
    <row r="531" customFormat="1" ht="15.75" customHeight="1"/>
    <row r="532" customFormat="1" ht="15.75" customHeight="1"/>
    <row r="533" customFormat="1" ht="15.75" customHeight="1"/>
    <row r="534" customFormat="1" ht="15.75" customHeight="1"/>
    <row r="535" customFormat="1" ht="15.75" customHeight="1"/>
    <row r="536" customFormat="1" ht="15.75" customHeight="1"/>
    <row r="537" customFormat="1" ht="15.75" customHeight="1"/>
    <row r="538" customFormat="1" ht="15.75" customHeight="1"/>
    <row r="539" customFormat="1" ht="15.75" customHeight="1"/>
    <row r="540" customFormat="1" ht="15.75" customHeight="1"/>
    <row r="541" customFormat="1" ht="15.75" customHeight="1"/>
    <row r="542" customFormat="1" ht="15.75" customHeight="1"/>
    <row r="543" customFormat="1" ht="15.75" customHeight="1"/>
    <row r="544" customFormat="1" ht="15.75" customHeight="1"/>
    <row r="545" customFormat="1" ht="15.75" customHeight="1"/>
    <row r="546" customFormat="1" ht="15.75" customHeight="1"/>
    <row r="547" customFormat="1" ht="15.75" customHeight="1"/>
    <row r="548" customFormat="1" ht="15.75" customHeight="1"/>
    <row r="549" customFormat="1" ht="15.75" customHeight="1"/>
    <row r="550" customFormat="1" ht="15.75" customHeight="1"/>
    <row r="551" customFormat="1" ht="15.75" customHeight="1"/>
    <row r="552" customFormat="1" ht="15.75" customHeight="1"/>
    <row r="553" customFormat="1" ht="15.75" customHeight="1"/>
    <row r="554" customFormat="1" ht="15.75" customHeight="1"/>
    <row r="555" customFormat="1" ht="15.75" customHeight="1"/>
    <row r="556" customFormat="1" ht="15.75" customHeight="1"/>
    <row r="557" customFormat="1" ht="15.75" customHeight="1"/>
    <row r="558" customFormat="1" ht="15.75" customHeight="1"/>
    <row r="559" customFormat="1" ht="15.75" customHeight="1"/>
    <row r="560" customFormat="1" ht="15.75" customHeight="1"/>
    <row r="561" customFormat="1" ht="15.75" customHeight="1"/>
    <row r="562" customFormat="1" ht="15.75" customHeight="1"/>
    <row r="563" customFormat="1" ht="15.75" customHeight="1"/>
    <row r="564" customFormat="1" ht="15.75" customHeight="1"/>
    <row r="565" customFormat="1" ht="15.75" customHeight="1"/>
    <row r="566" customFormat="1" ht="15.75" customHeight="1"/>
    <row r="567" customFormat="1" ht="15.75" customHeight="1"/>
    <row r="568" customFormat="1" ht="15.75" customHeight="1"/>
    <row r="569" customFormat="1" ht="15.75" customHeight="1"/>
    <row r="570" customFormat="1" ht="15.75" customHeight="1"/>
    <row r="571" customFormat="1" ht="15.75" customHeight="1"/>
    <row r="572" customFormat="1" ht="15.75" customHeight="1"/>
    <row r="573" customFormat="1" ht="15.75" customHeight="1"/>
    <row r="574" customFormat="1" ht="15.75" customHeight="1"/>
    <row r="575" customFormat="1" ht="15.75" customHeight="1"/>
    <row r="576" customFormat="1" ht="15.75" customHeight="1"/>
    <row r="577" customFormat="1" ht="15.75" customHeight="1"/>
    <row r="578" customFormat="1" ht="15.75" customHeight="1"/>
    <row r="579" customFormat="1" ht="15.75" customHeight="1"/>
    <row r="580" customFormat="1" ht="15.75" customHeight="1"/>
    <row r="581" customFormat="1" ht="15.75" customHeight="1"/>
    <row r="582" customFormat="1" ht="15.75" customHeight="1"/>
    <row r="583" customFormat="1" ht="15.75" customHeight="1"/>
    <row r="584" customFormat="1" ht="15.75" customHeight="1"/>
    <row r="585" customFormat="1" ht="15.75" customHeight="1"/>
    <row r="586" customFormat="1" ht="15.75" customHeight="1"/>
    <row r="587" customFormat="1" ht="15.75" customHeight="1"/>
    <row r="588" customFormat="1" ht="15.75" customHeight="1"/>
    <row r="589" customFormat="1" ht="15.75" customHeight="1"/>
    <row r="590" customFormat="1" ht="15.75" customHeight="1"/>
    <row r="591" customFormat="1" ht="15.75" customHeight="1"/>
    <row r="592" customFormat="1" ht="15.75" customHeight="1"/>
    <row r="593" customFormat="1" ht="15.75" customHeight="1"/>
    <row r="594" customFormat="1" ht="15.75" customHeight="1"/>
    <row r="595" customFormat="1" ht="15.75" customHeight="1"/>
    <row r="596" customFormat="1" ht="15.75" customHeight="1"/>
    <row r="597" customFormat="1" ht="15.75" customHeight="1"/>
    <row r="598" customFormat="1" ht="15.75" customHeight="1"/>
    <row r="599" customFormat="1" ht="15.75" customHeight="1"/>
    <row r="600" customFormat="1" ht="15.75" customHeight="1"/>
    <row r="601" customFormat="1" ht="15.75" customHeight="1"/>
    <row r="602" customFormat="1" ht="15.75" customHeight="1"/>
    <row r="603" customFormat="1" ht="15.75" customHeight="1"/>
    <row r="604" customFormat="1" ht="15.75" customHeight="1"/>
    <row r="605" customFormat="1" ht="15.75" customHeight="1"/>
    <row r="606" customFormat="1" ht="15.75" customHeight="1"/>
    <row r="607" customFormat="1" ht="15.75" customHeight="1"/>
    <row r="608" customFormat="1" ht="15.75" customHeight="1"/>
    <row r="609" customFormat="1" ht="15.75" customHeight="1"/>
    <row r="610" customFormat="1" ht="15.75" customHeight="1"/>
    <row r="611" customFormat="1" ht="15.75" customHeight="1"/>
    <row r="612" customFormat="1" ht="15.75" customHeight="1"/>
    <row r="613" customFormat="1" ht="15.75" customHeight="1"/>
    <row r="614" customFormat="1" ht="15.75" customHeight="1"/>
    <row r="615" customFormat="1" ht="15.75" customHeight="1"/>
    <row r="616" customFormat="1" ht="15.75" customHeight="1"/>
    <row r="617" customFormat="1" ht="15.75" customHeight="1"/>
    <row r="618" customFormat="1" ht="15.75" customHeight="1"/>
    <row r="619" customFormat="1" ht="15.75" customHeight="1"/>
    <row r="620" customFormat="1" ht="15.75" customHeight="1"/>
    <row r="621" customFormat="1" ht="15.75" customHeight="1"/>
    <row r="622" customFormat="1" ht="15.75" customHeight="1"/>
    <row r="623" customFormat="1" ht="15.75" customHeight="1"/>
    <row r="624" customFormat="1" ht="15.75" customHeight="1"/>
    <row r="625" customFormat="1" ht="15.75" customHeight="1"/>
    <row r="626" customFormat="1" ht="15.75" customHeight="1"/>
    <row r="627" customFormat="1" ht="15.75" customHeight="1"/>
    <row r="628" customFormat="1" ht="15.75" customHeight="1"/>
    <row r="629" customFormat="1" ht="15.75" customHeight="1"/>
    <row r="630" customFormat="1" ht="15.75" customHeight="1"/>
    <row r="631" customFormat="1" ht="15.75" customHeight="1"/>
    <row r="632" customFormat="1" ht="15.75" customHeight="1"/>
    <row r="633" customFormat="1" ht="15.75" customHeight="1"/>
    <row r="634" customFormat="1" ht="15.75" customHeight="1"/>
    <row r="635" customFormat="1" ht="15.75" customHeight="1"/>
    <row r="636" customFormat="1" ht="15.75" customHeight="1"/>
    <row r="637" customFormat="1" ht="15.75" customHeight="1"/>
    <row r="638" customFormat="1" ht="15.75" customHeight="1"/>
    <row r="639" customFormat="1" ht="15.75" customHeight="1"/>
    <row r="640" customFormat="1" ht="15.75" customHeight="1"/>
    <row r="641" customFormat="1" ht="15.75" customHeight="1"/>
    <row r="642" customFormat="1" ht="15.75" customHeight="1"/>
    <row r="643" customFormat="1" ht="15.75" customHeight="1"/>
    <row r="644" customFormat="1" ht="15.75" customHeight="1"/>
    <row r="645" customFormat="1" ht="15.75" customHeight="1"/>
    <row r="646" customFormat="1" ht="15.75" customHeight="1"/>
    <row r="647" customFormat="1" ht="15.75" customHeight="1"/>
    <row r="648" customFormat="1" ht="15.75" customHeight="1"/>
    <row r="649" customFormat="1" ht="15.75" customHeight="1"/>
    <row r="650" customFormat="1" ht="15.75" customHeight="1"/>
    <row r="651" customFormat="1" ht="15.75" customHeight="1"/>
    <row r="652" customFormat="1" ht="15.75" customHeight="1"/>
    <row r="653" customFormat="1" ht="15.75" customHeight="1"/>
    <row r="654" customFormat="1" ht="15.75" customHeight="1"/>
    <row r="655" customFormat="1" ht="15.75" customHeight="1"/>
    <row r="656" customFormat="1" ht="15.75" customHeight="1"/>
    <row r="657" customFormat="1" ht="15.75" customHeight="1"/>
    <row r="658" customFormat="1" ht="15.75" customHeight="1"/>
    <row r="659" customFormat="1" ht="15.75" customHeight="1"/>
    <row r="660" customFormat="1" ht="15.75" customHeight="1"/>
    <row r="661" customFormat="1" ht="15.75" customHeight="1"/>
    <row r="662" customFormat="1" ht="15.75" customHeight="1"/>
    <row r="663" customFormat="1" ht="15.75" customHeight="1"/>
    <row r="664" customFormat="1" ht="15.75" customHeight="1"/>
    <row r="665" customFormat="1" ht="15.75" customHeight="1"/>
    <row r="666" customFormat="1" ht="15.75" customHeight="1"/>
    <row r="667" customFormat="1" ht="15.75" customHeight="1"/>
    <row r="668" customFormat="1" ht="15.75" customHeight="1"/>
    <row r="669" customFormat="1" ht="15.75" customHeight="1"/>
    <row r="670" customFormat="1" ht="15.75" customHeight="1"/>
    <row r="671" customFormat="1" ht="15.75" customHeight="1"/>
    <row r="672" customFormat="1" ht="15.75" customHeight="1"/>
    <row r="673" customFormat="1" ht="15.75" customHeight="1"/>
    <row r="674" customFormat="1" ht="15.75" customHeight="1"/>
    <row r="675" customFormat="1" ht="15.75" customHeight="1"/>
    <row r="676" customFormat="1" ht="15.75" customHeight="1"/>
    <row r="677" customFormat="1" ht="15.75" customHeight="1"/>
    <row r="678" customFormat="1" ht="15.75" customHeight="1"/>
    <row r="679" customFormat="1" ht="15.75" customHeight="1"/>
    <row r="680" customFormat="1" ht="15.75" customHeight="1"/>
    <row r="681" customFormat="1" ht="15.75" customHeight="1"/>
    <row r="682" customFormat="1" ht="15.75" customHeight="1"/>
    <row r="683" customFormat="1" ht="15.75" customHeight="1"/>
    <row r="684" customFormat="1" ht="15.75" customHeight="1"/>
    <row r="685" customFormat="1" ht="15.75" customHeight="1"/>
    <row r="686" customFormat="1" ht="15.75" customHeight="1"/>
    <row r="687" customFormat="1" ht="15.75" customHeight="1"/>
    <row r="688" customFormat="1" ht="15.75" customHeight="1"/>
    <row r="689" customFormat="1" ht="15.75" customHeight="1"/>
    <row r="690" customFormat="1" ht="15.75" customHeight="1"/>
    <row r="691" customFormat="1" ht="15.75" customHeight="1"/>
    <row r="692" customFormat="1" ht="15.75" customHeight="1"/>
    <row r="693" customFormat="1" ht="15.75" customHeight="1"/>
    <row r="694" customFormat="1" ht="15.75" customHeight="1"/>
    <row r="695" customFormat="1" ht="15.75" customHeight="1"/>
    <row r="696" customFormat="1" ht="15.75" customHeight="1"/>
    <row r="697" customFormat="1" ht="15.75" customHeight="1"/>
    <row r="698" customFormat="1" ht="15.75" customHeight="1"/>
    <row r="699" customFormat="1" ht="15.75" customHeight="1"/>
    <row r="700" customFormat="1" ht="15.75" customHeight="1"/>
    <row r="701" customFormat="1" ht="15.75" customHeight="1"/>
    <row r="702" customFormat="1" ht="15.75" customHeight="1"/>
    <row r="703" customFormat="1" ht="15.75" customHeight="1"/>
    <row r="704" customFormat="1" ht="15.75" customHeight="1"/>
    <row r="705" customFormat="1" ht="15.75" customHeight="1"/>
    <row r="706" customFormat="1" ht="15.75" customHeight="1"/>
    <row r="707" customFormat="1" ht="15.75" customHeight="1"/>
    <row r="708" customFormat="1" ht="15.75" customHeight="1"/>
    <row r="709" customFormat="1" ht="15.75" customHeight="1"/>
    <row r="710" customFormat="1" ht="15.75" customHeight="1"/>
    <row r="711" customFormat="1" ht="15.75" customHeight="1"/>
    <row r="712" customFormat="1" ht="15.75" customHeight="1"/>
    <row r="713" customFormat="1" ht="15.75" customHeight="1"/>
    <row r="714" customFormat="1" ht="15.75" customHeight="1"/>
    <row r="715" customFormat="1" ht="15.75" customHeight="1"/>
    <row r="716" customFormat="1" ht="15.75" customHeight="1"/>
    <row r="717" customFormat="1" ht="15.75" customHeight="1"/>
    <row r="718" customFormat="1" ht="15.75" customHeight="1"/>
    <row r="719" customFormat="1" ht="15.75" customHeight="1"/>
    <row r="720" customFormat="1" ht="15.75" customHeight="1"/>
    <row r="721" customFormat="1" ht="15.75" customHeight="1"/>
    <row r="722" customFormat="1" ht="15.75" customHeight="1"/>
    <row r="723" customFormat="1" ht="15.75" customHeight="1"/>
    <row r="724" customFormat="1" ht="15.75" customHeight="1"/>
    <row r="725" customFormat="1" ht="15.75" customHeight="1"/>
    <row r="726" customFormat="1" ht="15.75" customHeight="1"/>
    <row r="727" customFormat="1" ht="15.75" customHeight="1"/>
    <row r="728" customFormat="1" ht="15.75" customHeight="1"/>
    <row r="729" customFormat="1" ht="15.75" customHeight="1"/>
    <row r="730" customFormat="1" ht="15.75" customHeight="1"/>
    <row r="731" customFormat="1" ht="15.75" customHeight="1"/>
    <row r="732" customFormat="1" ht="15.75" customHeight="1"/>
    <row r="733" customFormat="1" ht="15.75" customHeight="1"/>
    <row r="734" customFormat="1" ht="15.75" customHeight="1"/>
    <row r="735" customFormat="1" ht="15.75" customHeight="1"/>
    <row r="736" customFormat="1" ht="15.75" customHeight="1"/>
    <row r="737" customFormat="1" ht="15.75" customHeight="1"/>
    <row r="738" customFormat="1" ht="15.75" customHeight="1"/>
    <row r="739" customFormat="1" ht="15.75" customHeight="1"/>
    <row r="740" customFormat="1" ht="15.75" customHeight="1"/>
    <row r="741" customFormat="1" ht="15.75" customHeight="1"/>
    <row r="742" customFormat="1" ht="15.75" customHeight="1"/>
    <row r="743" customFormat="1" ht="15.75" customHeight="1"/>
    <row r="744" customFormat="1" ht="15.75" customHeight="1"/>
    <row r="745" customFormat="1" ht="15.75" customHeight="1"/>
    <row r="746" customFormat="1" ht="15.75" customHeight="1"/>
    <row r="747" customFormat="1" ht="15.75" customHeight="1"/>
    <row r="748" customFormat="1" ht="15.75" customHeight="1"/>
    <row r="749" customFormat="1" ht="15.75" customHeight="1"/>
    <row r="750" customFormat="1" ht="15.75" customHeight="1"/>
    <row r="751" customFormat="1" ht="15.75" customHeight="1"/>
    <row r="752" customFormat="1" ht="15.75" customHeight="1"/>
    <row r="753" customFormat="1" ht="15.75" customHeight="1"/>
    <row r="754" customFormat="1" ht="15.75" customHeight="1"/>
    <row r="755" customFormat="1" ht="15.75" customHeight="1"/>
    <row r="756" customFormat="1" ht="15.75" customHeight="1"/>
    <row r="757" customFormat="1" ht="15.75" customHeight="1"/>
    <row r="758" customFormat="1" ht="15.75" customHeight="1"/>
    <row r="759" customFormat="1" ht="15.75" customHeight="1"/>
    <row r="760" customFormat="1" ht="15.75" customHeight="1"/>
    <row r="761" customFormat="1" ht="15.75" customHeight="1"/>
    <row r="762" customFormat="1" ht="15.75" customHeight="1"/>
    <row r="763" customFormat="1" ht="15.75" customHeight="1"/>
    <row r="764" customFormat="1" ht="15.75" customHeight="1"/>
    <row r="765" customFormat="1" ht="15.75" customHeight="1"/>
    <row r="766" customFormat="1" ht="15.75" customHeight="1"/>
    <row r="767" customFormat="1" ht="15.75" customHeight="1"/>
    <row r="768" customFormat="1" ht="15.75" customHeight="1"/>
    <row r="769" customFormat="1" ht="15.75" customHeight="1"/>
    <row r="770" customFormat="1" ht="15.75" customHeight="1"/>
    <row r="771" customFormat="1" ht="15.75" customHeight="1"/>
    <row r="772" customFormat="1" ht="15.75" customHeight="1"/>
    <row r="773" customFormat="1" ht="15.75" customHeight="1"/>
    <row r="774" customFormat="1" ht="15.75" customHeight="1"/>
    <row r="775" customFormat="1" ht="15.75" customHeight="1"/>
    <row r="776" customFormat="1" ht="15.75" customHeight="1"/>
    <row r="777" customFormat="1" ht="15.75" customHeight="1"/>
    <row r="778" customFormat="1" ht="15.75" customHeight="1"/>
    <row r="779" customFormat="1" ht="15.75" customHeight="1"/>
    <row r="780" customFormat="1" ht="15.75" customHeight="1"/>
    <row r="781" customFormat="1" ht="15.75" customHeight="1"/>
    <row r="782" customFormat="1" ht="15.75" customHeight="1"/>
    <row r="783" customFormat="1" ht="15.75" customHeight="1"/>
    <row r="784" customFormat="1" ht="15.75" customHeight="1"/>
    <row r="785" customFormat="1" ht="15.75" customHeight="1"/>
    <row r="786" customFormat="1" ht="15.75" customHeight="1"/>
    <row r="787" customFormat="1" ht="15.75" customHeight="1"/>
    <row r="788" customFormat="1" ht="15.75" customHeight="1"/>
    <row r="789" customFormat="1" ht="15.75" customHeight="1"/>
    <row r="790" customFormat="1" ht="15.75" customHeight="1"/>
    <row r="791" customFormat="1" ht="15.75" customHeight="1"/>
    <row r="792" customFormat="1" ht="15.75" customHeight="1"/>
    <row r="793" customFormat="1" ht="15.75" customHeight="1"/>
    <row r="794" customFormat="1" ht="15.75" customHeight="1"/>
    <row r="795" customFormat="1" ht="15.75" customHeight="1"/>
    <row r="796" customFormat="1" ht="15.75" customHeight="1"/>
    <row r="797" customFormat="1" ht="15.75" customHeight="1"/>
    <row r="798" customFormat="1" ht="15.75" customHeight="1"/>
    <row r="799" customFormat="1" ht="15.75" customHeight="1"/>
    <row r="800" customFormat="1" ht="15.75" customHeight="1"/>
    <row r="801" customFormat="1" ht="15.75" customHeight="1"/>
    <row r="802" customFormat="1" ht="15.75" customHeight="1"/>
    <row r="803" customFormat="1" ht="15.75" customHeight="1"/>
    <row r="804" customFormat="1" ht="15.75" customHeight="1"/>
    <row r="805" customFormat="1" ht="15.75" customHeight="1"/>
    <row r="806" customFormat="1" ht="15.75" customHeight="1"/>
    <row r="807" customFormat="1" ht="15.75" customHeight="1"/>
    <row r="808" customFormat="1" ht="15.75" customHeight="1"/>
    <row r="809" customFormat="1" ht="15.75" customHeight="1"/>
    <row r="810" customFormat="1" ht="15.75" customHeight="1"/>
    <row r="811" customFormat="1" ht="15.75" customHeight="1"/>
    <row r="812" customFormat="1" ht="15.75" customHeight="1"/>
    <row r="813" customFormat="1" ht="15.75" customHeight="1"/>
    <row r="814" customFormat="1" ht="15.75" customHeight="1"/>
    <row r="815" customFormat="1" ht="15.75" customHeight="1"/>
    <row r="816" customFormat="1" ht="15.75" customHeight="1"/>
    <row r="817" customFormat="1" ht="15.75" customHeight="1"/>
    <row r="818" customFormat="1" ht="15.75" customHeight="1"/>
    <row r="819" customFormat="1" ht="15.75" customHeight="1"/>
    <row r="820" customFormat="1" ht="15.75" customHeight="1"/>
    <row r="821" customFormat="1" ht="15.75" customHeight="1"/>
    <row r="822" customFormat="1" ht="15.75" customHeight="1"/>
    <row r="823" customFormat="1" ht="15.75" customHeight="1"/>
    <row r="824" customFormat="1" ht="15.75" customHeight="1"/>
    <row r="825" customFormat="1" ht="15.75" customHeight="1"/>
    <row r="826" customFormat="1" ht="15.75" customHeight="1"/>
    <row r="827" customFormat="1" ht="15.75" customHeight="1"/>
    <row r="828" customFormat="1" ht="15.75" customHeight="1"/>
    <row r="829" customFormat="1" ht="15.75" customHeight="1"/>
    <row r="830" customFormat="1" ht="15.75" customHeight="1"/>
    <row r="831" customFormat="1" ht="15.75" customHeight="1"/>
    <row r="832" customFormat="1" ht="15.75" customHeight="1"/>
    <row r="833" customFormat="1" ht="15.75" customHeight="1"/>
    <row r="834" customFormat="1" ht="15.75" customHeight="1"/>
    <row r="835" customFormat="1" ht="15.75" customHeight="1"/>
    <row r="836" customFormat="1" ht="15.75" customHeight="1"/>
    <row r="837" customFormat="1" ht="15.75" customHeight="1"/>
    <row r="838" customFormat="1" ht="15.75" customHeight="1"/>
    <row r="839" customFormat="1" ht="15.75" customHeight="1"/>
    <row r="840" customFormat="1" ht="15.75" customHeight="1"/>
    <row r="841" customFormat="1" ht="15.75" customHeight="1"/>
    <row r="842" customFormat="1" ht="15.75" customHeight="1"/>
    <row r="843" customFormat="1" ht="15.75" customHeight="1"/>
    <row r="844" customFormat="1" ht="15.75" customHeight="1"/>
    <row r="845" customFormat="1" ht="15.75" customHeight="1"/>
    <row r="846" customFormat="1" ht="15.75" customHeight="1"/>
    <row r="847" customFormat="1" ht="15.75" customHeight="1"/>
    <row r="848" customFormat="1" ht="15.75" customHeight="1"/>
    <row r="849" customFormat="1" ht="15.75" customHeight="1"/>
    <row r="850" customFormat="1" ht="15.75" customHeight="1"/>
    <row r="851" customFormat="1" ht="15.75" customHeight="1"/>
    <row r="852" customFormat="1" ht="15.75" customHeight="1"/>
    <row r="853" customFormat="1" ht="15.75" customHeight="1"/>
    <row r="854" customFormat="1" ht="15.75" customHeight="1"/>
    <row r="855" customFormat="1" ht="15.75" customHeight="1"/>
    <row r="856" customFormat="1" ht="15.75" customHeight="1"/>
    <row r="857" customFormat="1" ht="15.75" customHeight="1"/>
    <row r="858" customFormat="1" ht="15.75" customHeight="1"/>
    <row r="859" customFormat="1" ht="15.75" customHeight="1"/>
    <row r="860" customFormat="1" ht="15.75" customHeight="1"/>
    <row r="861" customFormat="1" ht="15.75" customHeight="1"/>
    <row r="862" customFormat="1" ht="15.75" customHeight="1"/>
    <row r="863" customFormat="1" ht="15.75" customHeight="1"/>
    <row r="864" customFormat="1" ht="15.75" customHeight="1"/>
    <row r="865" customFormat="1" ht="15.75" customHeight="1"/>
    <row r="866" customFormat="1" ht="15.75" customHeight="1"/>
    <row r="867" customFormat="1" ht="15.75" customHeight="1"/>
    <row r="868" customFormat="1" ht="15.75" customHeight="1"/>
    <row r="869" customFormat="1" ht="15.75" customHeight="1"/>
    <row r="870" customFormat="1" ht="15.75" customHeight="1"/>
    <row r="871" customFormat="1" ht="15.75" customHeight="1"/>
    <row r="872" customFormat="1" ht="15.75" customHeight="1"/>
    <row r="873" customFormat="1" ht="15.75" customHeight="1"/>
    <row r="874" customFormat="1" ht="15.75" customHeight="1"/>
    <row r="875" customFormat="1" ht="15.75" customHeight="1"/>
    <row r="876" customFormat="1" ht="15.75" customHeight="1"/>
    <row r="877" customFormat="1" ht="15.75" customHeight="1"/>
    <row r="878" customFormat="1" ht="15.75" customHeight="1"/>
    <row r="879" customFormat="1" ht="15.75" customHeight="1"/>
    <row r="880" customFormat="1" ht="15.75" customHeight="1"/>
    <row r="881" customFormat="1" ht="15.75" customHeight="1"/>
    <row r="882" customFormat="1" ht="15.75" customHeight="1"/>
    <row r="883" customFormat="1" ht="15.75" customHeight="1"/>
    <row r="884" customFormat="1" ht="15.75" customHeight="1"/>
    <row r="885" customFormat="1" ht="15.75" customHeight="1"/>
    <row r="886" customFormat="1" ht="15.75" customHeight="1"/>
    <row r="887" customFormat="1" ht="15.75" customHeight="1"/>
    <row r="888" customFormat="1" ht="15.75" customHeight="1"/>
    <row r="889" customFormat="1" ht="15.75" customHeight="1"/>
    <row r="890" customFormat="1" ht="15.75" customHeight="1"/>
    <row r="891" customFormat="1" ht="15.75" customHeight="1"/>
    <row r="892" customFormat="1" ht="15.75" customHeight="1"/>
    <row r="893" customFormat="1" ht="15.75" customHeight="1"/>
    <row r="894" customFormat="1" ht="15.75" customHeight="1"/>
    <row r="895" customFormat="1" ht="15.75" customHeight="1"/>
    <row r="896" customFormat="1" ht="15.75" customHeight="1"/>
    <row r="897" customFormat="1" ht="15.75" customHeight="1"/>
    <row r="898" customFormat="1" ht="15.75" customHeight="1"/>
    <row r="899" customFormat="1" ht="15.75" customHeight="1"/>
    <row r="900" customFormat="1" ht="15.75" customHeight="1"/>
    <row r="901" customFormat="1" ht="15.75" customHeight="1"/>
    <row r="902" customFormat="1" ht="15.75" customHeight="1"/>
    <row r="903" customFormat="1" ht="15.75" customHeight="1"/>
    <row r="904" customFormat="1" ht="15.75" customHeight="1"/>
    <row r="905" customFormat="1" ht="15.75" customHeight="1"/>
    <row r="906" customFormat="1" ht="15.75" customHeight="1"/>
    <row r="907" customFormat="1" ht="15.75" customHeight="1"/>
    <row r="908" customFormat="1" ht="15.75" customHeight="1"/>
    <row r="909" customFormat="1" ht="15.75" customHeight="1"/>
    <row r="910" customFormat="1" ht="15.75" customHeight="1"/>
    <row r="911" customFormat="1" ht="15.75" customHeight="1"/>
    <row r="912" customFormat="1" ht="15.75" customHeight="1"/>
    <row r="913" customFormat="1" ht="15.75" customHeight="1"/>
    <row r="914" customFormat="1" ht="15.75" customHeight="1"/>
    <row r="915" customFormat="1" ht="15.75" customHeight="1"/>
    <row r="916" customFormat="1" ht="15.75" customHeight="1"/>
    <row r="917" customFormat="1" ht="15.75" customHeight="1"/>
    <row r="918" customFormat="1" ht="15.75" customHeight="1"/>
    <row r="919" customFormat="1" ht="15.75" customHeight="1"/>
    <row r="920" customFormat="1" ht="15.75" customHeight="1"/>
    <row r="921" customFormat="1" ht="15.75" customHeight="1"/>
    <row r="922" customFormat="1" ht="15.75" customHeight="1"/>
    <row r="923" customFormat="1" ht="15.75" customHeight="1"/>
    <row r="924" customFormat="1" ht="15.75" customHeight="1"/>
    <row r="925" customFormat="1" ht="15.75" customHeight="1"/>
    <row r="926" customFormat="1" ht="15.75" customHeight="1"/>
    <row r="927" customFormat="1" ht="15.75" customHeight="1"/>
    <row r="928" customFormat="1" ht="15.75" customHeight="1"/>
    <row r="929" customFormat="1" ht="15.75" customHeight="1"/>
    <row r="930" customFormat="1" ht="15.75" customHeight="1"/>
    <row r="931" customFormat="1" ht="15.75" customHeight="1"/>
    <row r="932" customFormat="1" ht="15.75" customHeight="1"/>
    <row r="933" customFormat="1" ht="15.75" customHeight="1"/>
    <row r="934" customFormat="1" ht="15.75" customHeight="1"/>
    <row r="935" customFormat="1" ht="15.75" customHeight="1"/>
    <row r="936" customFormat="1" ht="15.75" customHeight="1"/>
    <row r="937" customFormat="1" ht="15.75" customHeight="1"/>
    <row r="938" customFormat="1" ht="15.75" customHeight="1"/>
    <row r="939" customFormat="1" ht="15.75" customHeight="1"/>
    <row r="940" customFormat="1" ht="15.75" customHeight="1"/>
    <row r="941" customFormat="1" ht="15.75" customHeight="1"/>
    <row r="942" customFormat="1" ht="15.75" customHeight="1"/>
    <row r="943" customFormat="1" ht="15.75" customHeight="1"/>
    <row r="944" customFormat="1" ht="15.75" customHeight="1"/>
    <row r="945" customFormat="1" ht="15.75" customHeight="1"/>
    <row r="946" customFormat="1" ht="15.75" customHeight="1"/>
    <row r="947" customFormat="1" ht="15.75" customHeight="1"/>
    <row r="948" customFormat="1" ht="15.75" customHeight="1"/>
    <row r="949" customFormat="1" ht="15.75" customHeight="1"/>
    <row r="950" customFormat="1" ht="15.75" customHeight="1"/>
    <row r="951" customFormat="1" ht="15.75" customHeight="1"/>
    <row r="952" customFormat="1" ht="15.75" customHeight="1"/>
    <row r="953" customFormat="1" ht="15.75" customHeight="1"/>
    <row r="954" customFormat="1" ht="15.75" customHeight="1"/>
    <row r="955" customFormat="1" ht="15.75" customHeight="1"/>
    <row r="956" customFormat="1" ht="15.75" customHeight="1"/>
    <row r="957" customFormat="1" ht="15.75" customHeight="1"/>
    <row r="958" customFormat="1" ht="15.75" customHeight="1"/>
    <row r="959" customFormat="1" ht="15.75" customHeight="1"/>
    <row r="960" customFormat="1" ht="15.75" customHeight="1"/>
    <row r="961" customFormat="1" ht="15.75" customHeight="1"/>
    <row r="962" customFormat="1" ht="15.75" customHeight="1"/>
    <row r="963" customFormat="1" ht="15.75" customHeight="1"/>
    <row r="964" customFormat="1" ht="15.75" customHeight="1"/>
    <row r="965" customFormat="1" ht="15.75" customHeight="1"/>
    <row r="966" customFormat="1" ht="15.75" customHeight="1"/>
    <row r="967" customFormat="1" ht="15.75" customHeight="1"/>
    <row r="968" customFormat="1" ht="15.75" customHeight="1"/>
    <row r="969" customFormat="1" ht="15.75" customHeight="1"/>
    <row r="970" customFormat="1" ht="15.75" customHeight="1"/>
    <row r="971" customFormat="1" ht="15.75" customHeight="1"/>
    <row r="972" customFormat="1" ht="15.75" customHeight="1"/>
    <row r="973" customFormat="1" ht="15.75" customHeight="1"/>
    <row r="974" customFormat="1" ht="15.75" customHeight="1"/>
    <row r="975" customFormat="1" ht="15.75" customHeight="1"/>
    <row r="976" customFormat="1" ht="15.75" customHeight="1"/>
    <row r="977" customFormat="1" ht="15.75" customHeight="1"/>
    <row r="978" customFormat="1" ht="15.75" customHeight="1"/>
    <row r="979" customFormat="1" ht="15.75" customHeight="1"/>
    <row r="980" customFormat="1" ht="15.75" customHeight="1"/>
    <row r="981" customFormat="1" ht="15.75" customHeight="1"/>
    <row r="982" customFormat="1" ht="15.75" customHeight="1"/>
    <row r="983" customFormat="1" ht="15.75" customHeight="1"/>
    <row r="984" customFormat="1" ht="15.75" customHeight="1"/>
    <row r="985" customFormat="1" ht="15.75" customHeight="1"/>
    <row r="986" customFormat="1" ht="15.75" customHeight="1"/>
    <row r="987" customFormat="1" ht="15.75" customHeight="1"/>
    <row r="988" customFormat="1" ht="15.75" customHeight="1"/>
    <row r="989" customFormat="1" ht="15.75" customHeight="1"/>
    <row r="990" customFormat="1" ht="15.75" customHeight="1"/>
    <row r="991" customFormat="1" ht="15.75" customHeight="1"/>
    <row r="992" customFormat="1" ht="15.75" customHeight="1"/>
    <row r="993" customFormat="1" ht="15.75" customHeight="1"/>
    <row r="994" customFormat="1" ht="15.75" customHeight="1"/>
    <row r="995" customFormat="1" ht="15.75" customHeight="1"/>
    <row r="996" customFormat="1" ht="15.75" customHeight="1"/>
    <row r="997" customFormat="1" ht="15.75" customHeight="1"/>
  </sheetData>
  <mergeCells count="1">
    <mergeCell ref="A3:C3"/>
  </mergeCells>
  <dataValidations count="4">
    <dataValidation type="list" allowBlank="1" showErrorMessage="1" sqref="G2" xr:uid="{83F84B96-428D-4207-880D-3147AC959196}">
      <formula1>"Minor,Significant,Major"</formula1>
    </dataValidation>
    <dataValidation type="list" allowBlank="1" showErrorMessage="1" sqref="I2" xr:uid="{00C88780-AA49-4BED-8205-355EFAE6A7E6}">
      <formula1>"Open,Inprogress,Closed"</formula1>
    </dataValidation>
    <dataValidation type="list" allowBlank="1" showErrorMessage="1" sqref="E2" xr:uid="{4C4DD069-0142-43B7-8D3F-19C5C09B47AB}">
      <formula1>"Bounceback,Defect,None"</formula1>
    </dataValidation>
    <dataValidation type="list" allowBlank="1" showErrorMessage="1" sqref="H2" xr:uid="{79D41060-D8A6-40F9-AEE1-3B7DF38CEC0C}">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FF548E64-A03B-44D5-9596-E64E30F7ABB9}">
          <x14:formula1>
            <xm:f>Details!$A$2:$A$10</xm:f>
          </x14:formula1>
          <xm:sqref>J2</xm:sqref>
        </x14:dataValidation>
      </x14:dataValidations>
    </ext>
  </extLst>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5F1F0-50B5-4172-B5AF-69131842ED12}">
  <sheetPr>
    <outlinePr summaryBelow="0" summaryRight="0"/>
  </sheetPr>
  <dimension ref="A1:X993"/>
  <sheetViews>
    <sheetView showGridLines="0" workbookViewId="0">
      <pane xSplit="5" ySplit="2" topLeftCell="F3" activePane="bottomRight" state="frozen"/>
      <selection pane="bottomRight" activeCell="F36" sqref="F36"/>
      <selection pane="bottomLeft" activeCell="A3" sqref="A3"/>
      <selection pane="topRight" activeCell="F1" sqref="F1"/>
    </sheetView>
  </sheetViews>
  <sheetFormatPr defaultColWidth="12.5703125" defaultRowHeight="15" customHeight="1"/>
  <cols>
    <col min="1" max="1" width="4.28515625" customWidth="1"/>
    <col min="2" max="2" width="34.42578125" customWidth="1"/>
    <col min="3" max="3" width="19.7109375" customWidth="1"/>
    <col min="4" max="4" width="12.42578125" style="47" customWidth="1"/>
    <col min="5" max="5" width="53.42578125" customWidth="1"/>
    <col min="6" max="7" width="23.140625" customWidth="1"/>
    <col min="8" max="8" width="11.42578125" customWidth="1"/>
    <col min="9" max="9" width="21" customWidth="1"/>
    <col min="10" max="10" width="40.140625" customWidth="1"/>
    <col min="11" max="11" width="12.5703125" customWidth="1"/>
    <col min="12" max="12" width="40" customWidth="1"/>
    <col min="13" max="14" width="12.5703125" customWidth="1"/>
    <col min="15" max="15" width="12.5703125" style="53" customWidth="1"/>
    <col min="16" max="16" width="17" customWidth="1"/>
    <col min="17" max="17" width="46.28515625" customWidth="1"/>
    <col min="18" max="18" width="12.7109375" customWidth="1"/>
    <col min="19" max="19" width="10.140625" customWidth="1"/>
    <col min="20" max="20" width="29.42578125" customWidth="1"/>
    <col min="21" max="22" width="41.28515625" customWidth="1"/>
    <col min="23" max="23" width="21.42578125" customWidth="1"/>
    <col min="24" max="24" width="53" customWidth="1"/>
  </cols>
  <sheetData>
    <row r="1" spans="1:24" ht="15.75" customHeight="1">
      <c r="A1" s="4"/>
      <c r="B1" s="4"/>
      <c r="C1" s="4"/>
      <c r="D1" s="5"/>
      <c r="E1" s="54"/>
      <c r="F1" s="4"/>
      <c r="G1" s="4"/>
      <c r="H1" s="5"/>
      <c r="I1" s="1"/>
      <c r="J1" s="4"/>
      <c r="K1" s="4"/>
      <c r="L1" s="4"/>
      <c r="M1" s="4"/>
      <c r="N1" s="4"/>
      <c r="O1" s="48"/>
      <c r="P1" s="4"/>
      <c r="Q1" s="4"/>
      <c r="R1" s="4"/>
      <c r="S1" s="4"/>
      <c r="T1" s="4"/>
      <c r="U1" s="4"/>
      <c r="V1" s="4"/>
      <c r="W1" s="4"/>
      <c r="X1" s="6"/>
    </row>
    <row r="2" spans="1:24" ht="25.5" customHeight="1">
      <c r="A2" s="1" t="s">
        <v>254</v>
      </c>
      <c r="B2" s="59" t="s">
        <v>255</v>
      </c>
      <c r="C2" s="59" t="s">
        <v>256</v>
      </c>
      <c r="D2" s="68" t="s">
        <v>257</v>
      </c>
      <c r="E2" s="69" t="s">
        <v>258</v>
      </c>
      <c r="F2" s="70" t="s">
        <v>260</v>
      </c>
      <c r="G2" s="70" t="s">
        <v>261</v>
      </c>
      <c r="H2" s="68" t="s">
        <v>265</v>
      </c>
      <c r="I2" s="70" t="s">
        <v>266</v>
      </c>
      <c r="J2" s="70" t="s">
        <v>267</v>
      </c>
      <c r="K2" s="70" t="s">
        <v>268</v>
      </c>
      <c r="L2" s="70" t="s">
        <v>269</v>
      </c>
      <c r="M2" s="70" t="s">
        <v>270</v>
      </c>
      <c r="N2" s="70" t="s">
        <v>271</v>
      </c>
      <c r="O2" s="71" t="s">
        <v>272</v>
      </c>
      <c r="P2" s="70" t="s">
        <v>1708</v>
      </c>
      <c r="Q2" s="70" t="s">
        <v>274</v>
      </c>
      <c r="R2" s="70" t="s">
        <v>1709</v>
      </c>
      <c r="S2" s="70" t="s">
        <v>276</v>
      </c>
      <c r="T2" s="70" t="s">
        <v>274</v>
      </c>
      <c r="U2" s="70" t="s">
        <v>278</v>
      </c>
      <c r="V2" s="70" t="s">
        <v>279</v>
      </c>
      <c r="W2" s="70" t="s">
        <v>259</v>
      </c>
      <c r="X2" s="72" t="s">
        <v>280</v>
      </c>
    </row>
    <row r="3" spans="1:24" s="137" customFormat="1" ht="15.75" customHeight="1">
      <c r="A3" s="131">
        <v>1</v>
      </c>
      <c r="B3" s="127" t="s">
        <v>1948</v>
      </c>
      <c r="C3" s="133" t="s">
        <v>1821</v>
      </c>
      <c r="D3" s="87" t="s">
        <v>1949</v>
      </c>
      <c r="E3" s="74" t="s">
        <v>1950</v>
      </c>
      <c r="F3" s="75">
        <v>2</v>
      </c>
      <c r="G3" s="75">
        <v>2</v>
      </c>
      <c r="H3" s="77" t="s">
        <v>1728</v>
      </c>
      <c r="I3" s="77" t="s">
        <v>1728</v>
      </c>
      <c r="J3" s="77" t="s">
        <v>1728</v>
      </c>
      <c r="K3" s="77" t="s">
        <v>862</v>
      </c>
      <c r="L3" s="77" t="s">
        <v>1728</v>
      </c>
      <c r="M3" s="77" t="s">
        <v>1728</v>
      </c>
      <c r="N3" s="77" t="s">
        <v>1728</v>
      </c>
      <c r="O3" s="77" t="s">
        <v>1728</v>
      </c>
      <c r="P3" s="77" t="s">
        <v>1728</v>
      </c>
      <c r="Q3" s="77" t="s">
        <v>1728</v>
      </c>
      <c r="R3" s="77" t="s">
        <v>1728</v>
      </c>
      <c r="S3" s="77" t="s">
        <v>1728</v>
      </c>
      <c r="T3" s="77" t="s">
        <v>1728</v>
      </c>
      <c r="U3" s="87" t="s">
        <v>1728</v>
      </c>
      <c r="V3" s="77" t="s">
        <v>1728</v>
      </c>
      <c r="W3" s="139" t="s">
        <v>384</v>
      </c>
      <c r="X3" s="83" t="s">
        <v>1951</v>
      </c>
    </row>
    <row r="4" spans="1:24" s="137" customFormat="1" ht="15.75" customHeight="1">
      <c r="A4" s="131">
        <v>2</v>
      </c>
      <c r="B4" s="132" t="s">
        <v>1948</v>
      </c>
      <c r="C4" s="133" t="s">
        <v>1952</v>
      </c>
      <c r="D4" s="87" t="s">
        <v>1953</v>
      </c>
      <c r="E4" s="74" t="s">
        <v>1954</v>
      </c>
      <c r="F4" s="75">
        <v>2</v>
      </c>
      <c r="G4" s="75">
        <v>2</v>
      </c>
      <c r="H4" s="77" t="s">
        <v>290</v>
      </c>
      <c r="I4" s="77" t="s">
        <v>1955</v>
      </c>
      <c r="J4" s="77" t="s">
        <v>1560</v>
      </c>
      <c r="K4" s="77" t="s">
        <v>862</v>
      </c>
      <c r="L4" s="83" t="s">
        <v>1956</v>
      </c>
      <c r="M4" s="129" t="s">
        <v>1957</v>
      </c>
      <c r="N4" s="134">
        <v>45359</v>
      </c>
      <c r="O4" s="134">
        <v>45363</v>
      </c>
      <c r="P4" s="130" t="s">
        <v>1958</v>
      </c>
      <c r="Q4" s="83" t="s">
        <v>1956</v>
      </c>
      <c r="R4" s="130" t="s">
        <v>1860</v>
      </c>
      <c r="S4" s="135">
        <v>45363</v>
      </c>
      <c r="T4" s="83" t="s">
        <v>1956</v>
      </c>
      <c r="U4" s="136" t="s">
        <v>1728</v>
      </c>
      <c r="V4" s="136" t="s">
        <v>1956</v>
      </c>
      <c r="W4" s="83" t="s">
        <v>384</v>
      </c>
      <c r="X4" s="83"/>
    </row>
    <row r="5" spans="1:24" ht="15.75" customHeight="1">
      <c r="A5" s="98">
        <v>3</v>
      </c>
      <c r="B5" s="128" t="s">
        <v>1948</v>
      </c>
      <c r="C5" s="100" t="s">
        <v>292</v>
      </c>
      <c r="D5" s="90" t="s">
        <v>1959</v>
      </c>
      <c r="E5" s="83" t="s">
        <v>1960</v>
      </c>
      <c r="F5" s="84">
        <v>2</v>
      </c>
      <c r="G5" s="80">
        <v>2</v>
      </c>
      <c r="H5" s="77" t="s">
        <v>1728</v>
      </c>
      <c r="I5" s="77" t="s">
        <v>1728</v>
      </c>
      <c r="J5" s="77" t="s">
        <v>1728</v>
      </c>
      <c r="K5" s="77" t="s">
        <v>1728</v>
      </c>
      <c r="L5" s="77" t="s">
        <v>1728</v>
      </c>
      <c r="M5" s="77" t="s">
        <v>1728</v>
      </c>
      <c r="N5" s="77" t="s">
        <v>1728</v>
      </c>
      <c r="O5" s="77" t="s">
        <v>1728</v>
      </c>
      <c r="P5" s="77" t="s">
        <v>1728</v>
      </c>
      <c r="Q5" s="77" t="s">
        <v>1728</v>
      </c>
      <c r="R5" s="77" t="s">
        <v>1728</v>
      </c>
      <c r="S5" s="77" t="s">
        <v>1728</v>
      </c>
      <c r="T5" s="77" t="s">
        <v>1728</v>
      </c>
      <c r="U5" s="81" t="s">
        <v>1728</v>
      </c>
      <c r="V5" s="86" t="s">
        <v>1728</v>
      </c>
      <c r="W5" s="30" t="s">
        <v>500</v>
      </c>
      <c r="X5" s="30" t="s">
        <v>1961</v>
      </c>
    </row>
    <row r="6" spans="1:24" ht="15.75" customHeight="1">
      <c r="A6" s="98">
        <v>4</v>
      </c>
      <c r="B6" s="97" t="s">
        <v>1948</v>
      </c>
      <c r="C6" s="101" t="s">
        <v>1714</v>
      </c>
      <c r="D6" s="87" t="s">
        <v>1931</v>
      </c>
      <c r="E6" s="83" t="s">
        <v>1962</v>
      </c>
      <c r="F6" s="84">
        <v>2</v>
      </c>
      <c r="G6" s="80">
        <v>2</v>
      </c>
      <c r="H6" s="77" t="s">
        <v>1728</v>
      </c>
      <c r="I6" s="77" t="s">
        <v>1728</v>
      </c>
      <c r="J6" s="77" t="s">
        <v>1728</v>
      </c>
      <c r="K6" s="77" t="s">
        <v>1728</v>
      </c>
      <c r="L6" s="77" t="s">
        <v>1728</v>
      </c>
      <c r="M6" s="77" t="s">
        <v>1728</v>
      </c>
      <c r="N6" s="77" t="s">
        <v>1728</v>
      </c>
      <c r="O6" s="77" t="s">
        <v>1728</v>
      </c>
      <c r="P6" s="77" t="s">
        <v>1728</v>
      </c>
      <c r="Q6" s="77" t="s">
        <v>1728</v>
      </c>
      <c r="R6" s="77" t="s">
        <v>1728</v>
      </c>
      <c r="S6" s="77" t="s">
        <v>1728</v>
      </c>
      <c r="T6" s="77" t="s">
        <v>1728</v>
      </c>
      <c r="U6" s="81" t="s">
        <v>1728</v>
      </c>
      <c r="V6" t="s">
        <v>1728</v>
      </c>
      <c r="W6" s="30" t="s">
        <v>500</v>
      </c>
      <c r="X6" s="30" t="s">
        <v>1963</v>
      </c>
    </row>
    <row r="7" spans="1:24" ht="15.75" customHeight="1">
      <c r="A7" s="98">
        <v>5</v>
      </c>
      <c r="B7" s="97" t="s">
        <v>1948</v>
      </c>
      <c r="C7" s="101" t="s">
        <v>1714</v>
      </c>
      <c r="D7" s="87" t="s">
        <v>1964</v>
      </c>
      <c r="E7" s="83" t="s">
        <v>1965</v>
      </c>
      <c r="F7" s="84">
        <v>1</v>
      </c>
      <c r="G7" s="80">
        <v>1</v>
      </c>
      <c r="H7" s="77" t="s">
        <v>290</v>
      </c>
      <c r="I7" s="78" t="s">
        <v>292</v>
      </c>
      <c r="J7" s="78" t="s">
        <v>1728</v>
      </c>
      <c r="K7" s="78" t="s">
        <v>862</v>
      </c>
      <c r="L7" s="138" t="s">
        <v>1956</v>
      </c>
      <c r="M7" s="40" t="s">
        <v>1966</v>
      </c>
      <c r="N7" s="134">
        <v>45352</v>
      </c>
      <c r="O7" s="134">
        <v>45352</v>
      </c>
      <c r="P7" s="88" t="s">
        <v>1958</v>
      </c>
      <c r="Q7" s="73" t="s">
        <v>1956</v>
      </c>
      <c r="R7" s="81" t="s">
        <v>1860</v>
      </c>
      <c r="S7" s="135">
        <v>45352</v>
      </c>
      <c r="T7" s="73" t="s">
        <v>1956</v>
      </c>
      <c r="U7" s="81" t="s">
        <v>1728</v>
      </c>
      <c r="V7" s="81" t="s">
        <v>1956</v>
      </c>
      <c r="W7" s="30" t="s">
        <v>384</v>
      </c>
      <c r="X7" s="81" t="s">
        <v>1757</v>
      </c>
    </row>
    <row r="8" spans="1:24" ht="15.75" customHeight="1">
      <c r="A8" s="98"/>
      <c r="B8" s="97"/>
      <c r="C8" s="100"/>
      <c r="D8" s="87"/>
      <c r="E8" s="83"/>
      <c r="F8" s="84"/>
      <c r="G8" s="80"/>
      <c r="H8" s="77"/>
      <c r="I8" s="78"/>
      <c r="J8" s="78"/>
      <c r="K8" s="78"/>
      <c r="L8" s="89"/>
      <c r="M8" s="40"/>
      <c r="N8" s="94"/>
      <c r="O8" s="85"/>
      <c r="P8" s="80"/>
      <c r="Q8" s="78"/>
      <c r="R8" s="81"/>
      <c r="S8" s="95"/>
      <c r="T8" s="78"/>
      <c r="U8" s="81"/>
      <c r="V8" s="81"/>
      <c r="W8" s="30"/>
      <c r="X8" s="30"/>
    </row>
    <row r="9" spans="1:24" ht="15.75" customHeight="1">
      <c r="A9" s="99"/>
      <c r="B9" s="97"/>
      <c r="C9" s="102"/>
      <c r="D9" s="46"/>
      <c r="E9" s="19"/>
      <c r="F9" s="18"/>
      <c r="G9" s="18"/>
      <c r="H9" s="12"/>
      <c r="I9" s="14"/>
      <c r="J9" s="14"/>
      <c r="K9" s="14"/>
      <c r="L9" s="67"/>
      <c r="M9" s="40"/>
      <c r="N9" s="65"/>
      <c r="O9" s="66"/>
      <c r="P9" s="14"/>
      <c r="Q9" s="14"/>
      <c r="R9" s="19"/>
      <c r="S9" s="65"/>
      <c r="T9" s="14"/>
      <c r="U9" s="19"/>
      <c r="V9" s="19"/>
      <c r="W9" s="64"/>
      <c r="X9" s="19"/>
    </row>
    <row r="10" spans="1:24" ht="15.75" customHeight="1">
      <c r="A10" s="99"/>
      <c r="B10" s="97"/>
      <c r="C10" s="103"/>
      <c r="D10" s="46"/>
      <c r="E10" s="19"/>
      <c r="F10" s="18"/>
      <c r="G10" s="18"/>
      <c r="H10" s="12"/>
      <c r="I10" s="14"/>
      <c r="J10" s="14"/>
      <c r="K10" s="14"/>
      <c r="L10" s="58"/>
      <c r="M10" s="14"/>
      <c r="N10" s="14"/>
      <c r="O10" s="9"/>
      <c r="P10" s="14"/>
      <c r="Q10" s="19"/>
      <c r="R10" s="19"/>
      <c r="S10" s="19"/>
      <c r="T10" s="19"/>
      <c r="U10" s="19"/>
      <c r="V10" s="19"/>
      <c r="W10" s="64"/>
      <c r="X10" s="19"/>
    </row>
    <row r="11" spans="1:24" ht="15.75" customHeight="1">
      <c r="A11" s="99"/>
      <c r="B11" s="97"/>
      <c r="C11" s="103"/>
      <c r="D11" s="62"/>
      <c r="E11" s="19"/>
      <c r="F11" s="18"/>
      <c r="G11" s="18"/>
      <c r="H11" s="12"/>
      <c r="I11" s="10"/>
      <c r="J11" s="14"/>
      <c r="K11" s="14"/>
      <c r="L11" s="19"/>
      <c r="M11" s="14"/>
      <c r="N11" s="14"/>
      <c r="O11" s="9"/>
      <c r="P11" s="14"/>
      <c r="Q11" s="18"/>
      <c r="R11" s="19"/>
      <c r="S11" s="19"/>
      <c r="T11" s="19"/>
      <c r="U11" s="19"/>
      <c r="V11" s="19"/>
      <c r="W11" s="64"/>
      <c r="X11" s="19"/>
    </row>
    <row r="12" spans="1:24" ht="15.75" customHeight="1">
      <c r="A12" s="99"/>
      <c r="B12" s="97"/>
      <c r="C12" s="102"/>
      <c r="D12" s="62"/>
      <c r="E12" s="12"/>
      <c r="F12" s="18"/>
      <c r="G12" s="18"/>
      <c r="H12" s="12"/>
      <c r="I12" s="14"/>
      <c r="J12" s="19"/>
      <c r="K12" s="14"/>
      <c r="L12" s="19"/>
      <c r="M12" s="14"/>
      <c r="N12" s="14"/>
      <c r="O12" s="9"/>
      <c r="P12" s="14"/>
      <c r="Q12" s="19"/>
      <c r="R12" s="19"/>
      <c r="S12" s="19"/>
      <c r="T12" s="19"/>
      <c r="U12" s="19"/>
      <c r="V12" s="19"/>
      <c r="W12" s="64"/>
      <c r="X12" s="19"/>
    </row>
    <row r="13" spans="1:24" ht="15.75" customHeight="1">
      <c r="A13" s="19"/>
      <c r="B13" s="104"/>
      <c r="C13" s="14"/>
      <c r="D13" s="12"/>
      <c r="E13" s="19"/>
      <c r="F13" s="18"/>
      <c r="G13" s="18"/>
      <c r="H13" s="12"/>
      <c r="I13" s="14"/>
      <c r="J13" s="19"/>
      <c r="K13" s="14"/>
      <c r="L13" s="19"/>
      <c r="M13" s="14"/>
      <c r="N13" s="14"/>
      <c r="O13" s="9"/>
      <c r="P13" s="14"/>
      <c r="Q13" s="19"/>
      <c r="R13" s="19"/>
      <c r="S13" s="19"/>
      <c r="T13" s="19"/>
      <c r="U13" s="19"/>
      <c r="V13" s="19"/>
      <c r="W13" s="19"/>
      <c r="X13" s="19"/>
    </row>
    <row r="14" spans="1:24" ht="15.75" customHeight="1">
      <c r="A14" s="19"/>
      <c r="B14" s="60"/>
      <c r="C14" s="14"/>
      <c r="D14" s="12"/>
      <c r="E14" s="19"/>
      <c r="F14" s="18"/>
      <c r="G14" s="18"/>
      <c r="H14" s="12"/>
      <c r="I14" s="14"/>
      <c r="J14" s="19"/>
      <c r="K14" s="14"/>
      <c r="L14" s="19"/>
      <c r="M14" s="14"/>
      <c r="N14" s="14"/>
      <c r="O14" s="9"/>
      <c r="P14" s="14"/>
      <c r="Q14" s="19"/>
      <c r="R14" s="19"/>
      <c r="S14" s="19"/>
      <c r="T14" s="19"/>
      <c r="U14" s="19"/>
      <c r="V14" s="19"/>
      <c r="W14" s="19"/>
      <c r="X14" s="19"/>
    </row>
    <row r="15" spans="1:24" ht="15.75" customHeight="1">
      <c r="A15" s="19"/>
      <c r="B15" s="60"/>
      <c r="C15" s="14"/>
      <c r="D15" s="12"/>
      <c r="E15" s="19"/>
      <c r="F15" s="18"/>
      <c r="G15" s="18"/>
      <c r="H15" s="12"/>
      <c r="I15" s="14"/>
      <c r="J15" s="19"/>
      <c r="K15" s="14"/>
      <c r="L15" s="19"/>
      <c r="M15" s="14"/>
      <c r="N15" s="14"/>
      <c r="O15" s="9"/>
      <c r="P15" s="14"/>
      <c r="Q15" s="19"/>
      <c r="R15" s="19"/>
      <c r="S15" s="19"/>
      <c r="T15" s="19"/>
      <c r="U15" s="19"/>
      <c r="V15" s="19"/>
      <c r="W15" s="19"/>
      <c r="X15" s="19"/>
    </row>
    <row r="16" spans="1:24" ht="15.75" customHeight="1">
      <c r="A16" s="19"/>
      <c r="B16" s="60"/>
      <c r="C16" s="14"/>
      <c r="D16" s="12"/>
      <c r="E16" s="19"/>
      <c r="F16" s="18"/>
      <c r="G16" s="18"/>
      <c r="H16" s="12"/>
      <c r="I16" s="14"/>
      <c r="J16" s="19"/>
      <c r="K16" s="14"/>
      <c r="L16" s="19"/>
      <c r="M16" s="14"/>
      <c r="N16" s="14"/>
      <c r="O16" s="9"/>
      <c r="P16" s="14"/>
      <c r="Q16" s="19"/>
      <c r="R16" s="19"/>
      <c r="S16" s="19"/>
      <c r="T16" s="19"/>
      <c r="U16" s="19"/>
      <c r="V16" s="19"/>
      <c r="W16" s="19"/>
      <c r="X16" s="19"/>
    </row>
    <row r="17" spans="1:24" ht="15.75" customHeight="1">
      <c r="A17" s="19"/>
      <c r="B17" s="60"/>
      <c r="C17" s="14"/>
      <c r="D17" s="12"/>
      <c r="E17" s="19"/>
      <c r="F17" s="18"/>
      <c r="G17" s="18"/>
      <c r="H17" s="12"/>
      <c r="I17" s="14"/>
      <c r="J17" s="19"/>
      <c r="K17" s="14"/>
      <c r="L17" s="19"/>
      <c r="M17" s="14"/>
      <c r="N17" s="14"/>
      <c r="O17" s="9"/>
      <c r="P17" s="14"/>
      <c r="Q17" s="19"/>
      <c r="R17" s="19"/>
      <c r="S17" s="19"/>
      <c r="T17" s="19"/>
      <c r="U17" s="19"/>
      <c r="V17" s="19"/>
      <c r="W17" s="19"/>
      <c r="X17" s="19"/>
    </row>
    <row r="18" spans="1:24" ht="15.75" customHeight="1">
      <c r="B18" s="28"/>
      <c r="C18" s="3"/>
      <c r="E18" s="35"/>
      <c r="F18" s="28"/>
      <c r="G18" s="28"/>
      <c r="H18" s="29"/>
      <c r="I18" s="63"/>
      <c r="K18" s="3"/>
      <c r="M18" s="3"/>
      <c r="N18" s="3"/>
      <c r="O18" s="52"/>
      <c r="P18" s="3"/>
    </row>
    <row r="19" spans="1:24" ht="15.75" customHeight="1">
      <c r="B19" s="28"/>
      <c r="C19" s="3"/>
      <c r="E19" s="35"/>
      <c r="F19" s="28"/>
      <c r="G19" s="28"/>
      <c r="H19" s="29"/>
      <c r="I19" s="14"/>
      <c r="K19" s="3"/>
      <c r="M19" s="3"/>
      <c r="N19" s="3"/>
      <c r="O19" s="52"/>
      <c r="P19" s="3"/>
    </row>
    <row r="20" spans="1:24" ht="15.75" customHeight="1">
      <c r="B20" s="28"/>
      <c r="C20" s="3"/>
      <c r="E20" s="35"/>
      <c r="F20" s="28"/>
      <c r="G20" s="28"/>
      <c r="H20" s="29"/>
      <c r="I20" s="14"/>
      <c r="K20" s="3"/>
      <c r="M20" s="3"/>
      <c r="N20" s="3"/>
      <c r="O20" s="52"/>
      <c r="P20" s="3"/>
    </row>
    <row r="21" spans="1:24" ht="15.75" customHeight="1">
      <c r="B21" s="28"/>
      <c r="C21" s="3"/>
      <c r="E21" s="35"/>
      <c r="F21" s="28"/>
      <c r="G21" s="28"/>
      <c r="H21" s="29"/>
      <c r="I21" s="14"/>
      <c r="K21" s="3"/>
      <c r="M21" s="3"/>
      <c r="N21" s="3"/>
      <c r="O21" s="52"/>
      <c r="P21" s="3"/>
    </row>
    <row r="22" spans="1:24" ht="15.75" customHeight="1">
      <c r="B22" s="28"/>
      <c r="C22" s="3"/>
      <c r="E22" s="35"/>
      <c r="F22" s="28"/>
      <c r="G22" s="28"/>
      <c r="H22" s="29"/>
      <c r="I22" s="14"/>
      <c r="K22" s="3"/>
      <c r="M22" s="3"/>
      <c r="N22" s="3"/>
      <c r="O22" s="52"/>
      <c r="P22" s="3"/>
    </row>
    <row r="23" spans="1:24" ht="15.75" customHeight="1">
      <c r="B23" s="28"/>
      <c r="C23" s="3"/>
      <c r="E23" s="35"/>
      <c r="F23" s="28"/>
      <c r="G23" s="28"/>
      <c r="H23" s="29"/>
      <c r="I23" s="14"/>
      <c r="K23" s="3"/>
      <c r="M23" s="3"/>
      <c r="N23" s="3"/>
      <c r="O23" s="52"/>
      <c r="P23" s="3"/>
    </row>
    <row r="24" spans="1:24" ht="15.75" customHeight="1">
      <c r="B24" s="28"/>
      <c r="C24" s="3"/>
      <c r="E24" s="35"/>
      <c r="F24" s="28"/>
      <c r="G24" s="28"/>
      <c r="H24" s="29"/>
      <c r="I24" s="14"/>
      <c r="K24" s="3"/>
      <c r="M24" s="3"/>
      <c r="N24" s="3"/>
      <c r="O24" s="52"/>
      <c r="P24" s="3"/>
    </row>
    <row r="25" spans="1:24" ht="15.75" customHeight="1">
      <c r="B25" s="28"/>
      <c r="C25" s="3"/>
      <c r="E25" s="35"/>
      <c r="F25" s="28"/>
      <c r="G25" s="28"/>
      <c r="H25" s="29"/>
      <c r="I25" s="14"/>
      <c r="K25" s="3"/>
      <c r="M25" s="3"/>
      <c r="N25" s="3"/>
      <c r="O25" s="52"/>
      <c r="P25" s="3"/>
    </row>
    <row r="26" spans="1:24" ht="15.75" customHeight="1">
      <c r="B26" s="28"/>
      <c r="C26" s="3"/>
      <c r="E26" s="35"/>
      <c r="F26" s="28"/>
      <c r="G26" s="28"/>
      <c r="H26" s="29"/>
      <c r="I26" s="14"/>
      <c r="K26" s="3"/>
      <c r="M26" s="3"/>
      <c r="N26" s="3"/>
      <c r="O26" s="52"/>
      <c r="P26" s="3"/>
    </row>
    <row r="27" spans="1:24" ht="15.75" customHeight="1">
      <c r="B27" s="28"/>
      <c r="C27" s="3"/>
      <c r="E27" s="35"/>
      <c r="F27" s="28"/>
      <c r="G27" s="28"/>
      <c r="H27" s="29"/>
      <c r="I27" s="14"/>
      <c r="K27" s="3"/>
      <c r="M27" s="3"/>
      <c r="N27" s="3"/>
      <c r="O27" s="52"/>
      <c r="P27" s="3"/>
    </row>
    <row r="28" spans="1:24" ht="15.75" customHeight="1">
      <c r="B28" s="28"/>
      <c r="C28" s="3"/>
      <c r="E28" s="35"/>
      <c r="F28" s="28"/>
      <c r="G28" s="28"/>
      <c r="H28" s="29"/>
      <c r="I28" s="14"/>
      <c r="K28" s="3"/>
      <c r="M28" s="3"/>
      <c r="N28" s="3"/>
      <c r="O28" s="52"/>
      <c r="P28" s="3"/>
    </row>
    <row r="29" spans="1:24" ht="15.75" customHeight="1">
      <c r="B29" s="28"/>
      <c r="C29" s="3"/>
      <c r="E29" s="35"/>
      <c r="F29" s="28"/>
      <c r="G29" s="28"/>
      <c r="H29" s="29"/>
      <c r="I29" s="14"/>
      <c r="K29" s="3"/>
      <c r="M29" s="3"/>
      <c r="N29" s="3"/>
      <c r="O29" s="52"/>
      <c r="P29" s="3"/>
    </row>
    <row r="30" spans="1:24" ht="15.75" customHeight="1">
      <c r="B30" s="28"/>
      <c r="C30" s="3"/>
      <c r="E30" s="35"/>
      <c r="F30" s="28"/>
      <c r="G30" s="28"/>
      <c r="H30" s="29"/>
      <c r="I30" s="14"/>
      <c r="K30" s="3"/>
      <c r="M30" s="3"/>
      <c r="N30" s="3"/>
      <c r="O30" s="52"/>
      <c r="P30" s="3"/>
    </row>
    <row r="31" spans="1:24" ht="15.75" customHeight="1">
      <c r="B31" s="28"/>
      <c r="C31" s="3"/>
      <c r="E31" s="35"/>
      <c r="F31" s="28"/>
      <c r="G31" s="28"/>
      <c r="H31" s="29"/>
      <c r="I31" s="14"/>
      <c r="K31" s="3"/>
      <c r="M31" s="3"/>
      <c r="N31" s="3"/>
      <c r="O31" s="52"/>
      <c r="P31" s="3"/>
    </row>
    <row r="32" spans="1:24" ht="15.75" customHeight="1">
      <c r="B32" s="28"/>
      <c r="C32" s="3"/>
      <c r="E32" s="35"/>
      <c r="F32" s="28"/>
      <c r="G32" s="28"/>
      <c r="H32" s="29"/>
      <c r="I32" s="14"/>
      <c r="K32" s="3"/>
      <c r="M32" s="3"/>
      <c r="N32" s="3"/>
      <c r="O32" s="52"/>
      <c r="P32" s="3"/>
    </row>
    <row r="33" spans="2:16" ht="15.75" customHeight="1">
      <c r="B33" s="28"/>
      <c r="C33" s="3"/>
      <c r="E33" s="35"/>
      <c r="F33" s="28"/>
      <c r="G33" s="28"/>
      <c r="H33" s="29"/>
      <c r="I33" s="14"/>
      <c r="K33" s="3"/>
      <c r="M33" s="3"/>
      <c r="N33" s="3"/>
      <c r="O33" s="52"/>
      <c r="P33" s="3"/>
    </row>
    <row r="34" spans="2:16" ht="15.75" customHeight="1">
      <c r="B34" s="28"/>
      <c r="C34" s="3"/>
      <c r="E34" s="35"/>
      <c r="F34" s="28"/>
      <c r="G34" s="28"/>
      <c r="H34" s="29"/>
      <c r="I34" s="14"/>
      <c r="K34" s="3"/>
      <c r="M34" s="3"/>
      <c r="N34" s="3"/>
      <c r="O34" s="52"/>
      <c r="P34" s="3"/>
    </row>
    <row r="35" spans="2:16" ht="15.75" customHeight="1">
      <c r="B35" s="28"/>
      <c r="C35" s="3"/>
      <c r="E35" s="35"/>
      <c r="F35" s="28"/>
      <c r="G35" s="28"/>
      <c r="H35" s="29"/>
      <c r="I35" s="14"/>
      <c r="K35" s="3"/>
      <c r="M35" s="3"/>
      <c r="N35" s="3"/>
      <c r="O35" s="52"/>
      <c r="P35" s="3"/>
    </row>
    <row r="36" spans="2:16" ht="15.75" customHeight="1">
      <c r="B36" s="28"/>
      <c r="C36" s="3"/>
      <c r="E36" s="35"/>
      <c r="F36" s="28"/>
      <c r="G36" s="28"/>
      <c r="H36" s="29"/>
      <c r="I36" s="14"/>
      <c r="K36" s="3"/>
      <c r="M36" s="3"/>
      <c r="N36" s="3"/>
      <c r="O36" s="52"/>
      <c r="P36" s="3"/>
    </row>
    <row r="37" spans="2:16" ht="15.75" customHeight="1">
      <c r="B37" s="28"/>
      <c r="C37" s="3"/>
      <c r="E37" s="35"/>
      <c r="F37" s="28"/>
      <c r="G37" s="28"/>
      <c r="H37" s="29"/>
      <c r="I37" s="14"/>
      <c r="K37" s="3"/>
      <c r="M37" s="3"/>
      <c r="N37" s="3"/>
      <c r="O37" s="52"/>
      <c r="P37" s="3"/>
    </row>
    <row r="38" spans="2:16" ht="15.75" customHeight="1">
      <c r="B38" s="28"/>
      <c r="C38" s="3"/>
      <c r="E38" s="35"/>
      <c r="F38" s="28"/>
      <c r="G38" s="28"/>
      <c r="H38" s="29"/>
      <c r="I38" s="14"/>
      <c r="K38" s="3"/>
      <c r="M38" s="3"/>
      <c r="N38" s="3"/>
      <c r="O38" s="52"/>
      <c r="P38" s="3"/>
    </row>
    <row r="39" spans="2:16" ht="15.75" customHeight="1">
      <c r="B39" s="28"/>
      <c r="C39" s="3"/>
      <c r="E39" s="35"/>
      <c r="F39" s="28"/>
      <c r="G39" s="28"/>
      <c r="H39" s="29"/>
      <c r="I39" s="14"/>
      <c r="K39" s="3"/>
      <c r="M39" s="3"/>
      <c r="N39" s="3"/>
      <c r="O39" s="52"/>
      <c r="P39" s="3"/>
    </row>
    <row r="40" spans="2:16" ht="15.75" customHeight="1">
      <c r="B40" s="28"/>
      <c r="C40" s="3"/>
      <c r="E40" s="35"/>
      <c r="F40" s="28"/>
      <c r="G40" s="28"/>
      <c r="H40" s="29"/>
      <c r="I40" s="14"/>
      <c r="K40" s="3"/>
      <c r="M40" s="3"/>
      <c r="N40" s="3"/>
      <c r="O40" s="52"/>
      <c r="P40" s="3"/>
    </row>
    <row r="41" spans="2:16" ht="15.75" customHeight="1">
      <c r="B41" s="28"/>
      <c r="C41" s="3"/>
      <c r="E41" s="35"/>
      <c r="F41" s="28"/>
      <c r="G41" s="28"/>
      <c r="H41" s="29"/>
      <c r="I41" s="14"/>
      <c r="K41" s="3"/>
      <c r="M41" s="3"/>
      <c r="N41" s="3"/>
      <c r="O41" s="52"/>
      <c r="P41" s="3"/>
    </row>
    <row r="42" spans="2:16" ht="15.75" customHeight="1">
      <c r="B42" s="28"/>
      <c r="C42" s="3"/>
      <c r="E42" s="35"/>
      <c r="F42" s="28"/>
      <c r="G42" s="28"/>
      <c r="H42" s="29"/>
      <c r="I42" s="14"/>
      <c r="K42" s="3"/>
      <c r="M42" s="3"/>
      <c r="N42" s="3"/>
      <c r="O42" s="52"/>
      <c r="P42" s="3"/>
    </row>
    <row r="43" spans="2:16" ht="15.75" customHeight="1">
      <c r="B43" s="28"/>
      <c r="C43" s="3"/>
      <c r="E43" s="35"/>
      <c r="F43" s="28"/>
      <c r="G43" s="28"/>
      <c r="H43" s="29"/>
      <c r="I43" s="14"/>
      <c r="K43" s="3"/>
      <c r="M43" s="3"/>
      <c r="N43" s="3"/>
      <c r="O43" s="52"/>
      <c r="P43" s="3"/>
    </row>
    <row r="44" spans="2:16" ht="15.75" customHeight="1">
      <c r="B44" s="28"/>
      <c r="C44" s="3"/>
      <c r="E44" s="35"/>
      <c r="F44" s="28"/>
      <c r="G44" s="28"/>
      <c r="H44" s="29"/>
      <c r="I44" s="14"/>
      <c r="K44" s="3"/>
      <c r="M44" s="3"/>
      <c r="N44" s="3"/>
      <c r="O44" s="52"/>
      <c r="P44" s="3"/>
    </row>
    <row r="45" spans="2:16" ht="15.75" customHeight="1">
      <c r="B45" s="28"/>
      <c r="C45" s="3"/>
      <c r="E45" s="35"/>
      <c r="F45" s="28"/>
      <c r="G45" s="28"/>
      <c r="H45" s="29"/>
      <c r="I45" s="14"/>
      <c r="K45" s="3"/>
      <c r="M45" s="3"/>
      <c r="N45" s="3"/>
      <c r="O45" s="52"/>
      <c r="P45" s="3"/>
    </row>
    <row r="46" spans="2:16" ht="15.75" customHeight="1">
      <c r="B46" s="28"/>
      <c r="C46" s="3"/>
      <c r="E46" s="35"/>
      <c r="F46" s="28"/>
      <c r="G46" s="28"/>
      <c r="H46" s="29"/>
      <c r="I46" s="14"/>
      <c r="K46" s="3"/>
      <c r="M46" s="3"/>
      <c r="N46" s="3"/>
      <c r="O46" s="52"/>
      <c r="P46" s="3"/>
    </row>
    <row r="47" spans="2:16" ht="15.75" customHeight="1">
      <c r="B47" s="28"/>
      <c r="C47" s="3"/>
      <c r="E47" s="35"/>
      <c r="F47" s="28"/>
      <c r="G47" s="28"/>
      <c r="H47" s="29"/>
      <c r="I47" s="14"/>
      <c r="K47" s="3"/>
      <c r="M47" s="3"/>
      <c r="N47" s="3"/>
      <c r="O47" s="52"/>
      <c r="P47" s="3"/>
    </row>
    <row r="48" spans="2:16" ht="15.75" customHeight="1">
      <c r="B48" s="28"/>
      <c r="C48" s="3"/>
      <c r="E48" s="35"/>
      <c r="F48" s="28"/>
      <c r="G48" s="28"/>
      <c r="H48" s="29"/>
      <c r="I48" s="14"/>
      <c r="K48" s="3"/>
      <c r="M48" s="3"/>
      <c r="N48" s="3"/>
      <c r="O48" s="52"/>
      <c r="P48" s="3"/>
    </row>
    <row r="49" spans="2:16" ht="15.75" customHeight="1">
      <c r="B49" s="28"/>
      <c r="C49" s="3"/>
      <c r="E49" s="35"/>
      <c r="F49" s="28"/>
      <c r="G49" s="28"/>
      <c r="H49" s="29"/>
      <c r="I49" s="14"/>
      <c r="K49" s="3"/>
      <c r="M49" s="3"/>
      <c r="N49" s="3"/>
      <c r="O49" s="52"/>
      <c r="P49" s="3"/>
    </row>
    <row r="50" spans="2:16" ht="15.75" customHeight="1">
      <c r="B50" s="28"/>
      <c r="C50" s="3"/>
      <c r="E50" s="35"/>
      <c r="F50" s="28"/>
      <c r="G50" s="28"/>
      <c r="H50" s="29"/>
      <c r="I50" s="14"/>
      <c r="K50" s="3"/>
      <c r="M50" s="3"/>
      <c r="N50" s="3"/>
      <c r="O50" s="52"/>
      <c r="P50" s="3"/>
    </row>
    <row r="51" spans="2:16" ht="15.75" customHeight="1">
      <c r="B51" s="28"/>
      <c r="C51" s="3"/>
      <c r="E51" s="35"/>
      <c r="F51" s="28"/>
      <c r="G51" s="28"/>
      <c r="H51" s="29"/>
      <c r="I51" s="14"/>
      <c r="K51" s="3"/>
      <c r="M51" s="3"/>
      <c r="N51" s="3"/>
      <c r="O51" s="52"/>
      <c r="P51" s="3"/>
    </row>
    <row r="52" spans="2:16" ht="15.75" customHeight="1">
      <c r="B52" s="28"/>
      <c r="C52" s="3"/>
      <c r="E52" s="35"/>
      <c r="F52" s="28"/>
      <c r="G52" s="28"/>
      <c r="H52" s="29"/>
      <c r="I52" s="14"/>
      <c r="K52" s="3"/>
      <c r="M52" s="3"/>
      <c r="N52" s="3"/>
      <c r="O52" s="52"/>
      <c r="P52" s="3"/>
    </row>
    <row r="53" spans="2:16" ht="15.75" customHeight="1">
      <c r="B53" s="28"/>
      <c r="C53" s="3"/>
      <c r="E53" s="35"/>
      <c r="F53" s="28"/>
      <c r="G53" s="28"/>
      <c r="H53" s="29"/>
      <c r="I53" s="14"/>
      <c r="K53" s="3"/>
      <c r="M53" s="3"/>
      <c r="N53" s="3"/>
      <c r="O53" s="52"/>
      <c r="P53" s="3"/>
    </row>
    <row r="54" spans="2:16" ht="15.75" customHeight="1">
      <c r="B54" s="28"/>
      <c r="C54" s="3"/>
      <c r="E54" s="35"/>
      <c r="F54" s="28"/>
      <c r="G54" s="28"/>
      <c r="H54" s="29"/>
      <c r="I54" s="14"/>
      <c r="K54" s="3"/>
      <c r="M54" s="3"/>
      <c r="N54" s="3"/>
      <c r="O54" s="52"/>
      <c r="P54" s="3"/>
    </row>
    <row r="55" spans="2:16" ht="15.75" customHeight="1">
      <c r="B55" s="28"/>
      <c r="C55" s="3"/>
      <c r="E55" s="35"/>
      <c r="F55" s="28"/>
      <c r="G55" s="28"/>
      <c r="H55" s="29"/>
      <c r="I55" s="14"/>
      <c r="K55" s="3"/>
      <c r="M55" s="3"/>
      <c r="N55" s="3"/>
      <c r="O55" s="52"/>
      <c r="P55" s="3"/>
    </row>
    <row r="56" spans="2:16" ht="15.75" customHeight="1">
      <c r="B56" s="28"/>
      <c r="C56" s="3"/>
      <c r="E56" s="35"/>
      <c r="F56" s="28"/>
      <c r="G56" s="28"/>
      <c r="H56" s="29"/>
      <c r="I56" s="14"/>
      <c r="K56" s="3"/>
      <c r="M56" s="3"/>
      <c r="N56" s="3"/>
      <c r="O56" s="52"/>
      <c r="P56" s="3"/>
    </row>
    <row r="57" spans="2:16" ht="15.75" customHeight="1">
      <c r="B57" s="28"/>
      <c r="C57" s="3"/>
      <c r="E57" s="35"/>
      <c r="F57" s="28"/>
      <c r="G57" s="28"/>
      <c r="H57" s="29"/>
      <c r="I57" s="14"/>
      <c r="K57" s="3"/>
      <c r="M57" s="3"/>
      <c r="N57" s="3"/>
      <c r="O57" s="52"/>
      <c r="P57" s="3"/>
    </row>
    <row r="58" spans="2:16" ht="15.75" customHeight="1">
      <c r="B58" s="28"/>
      <c r="C58" s="3"/>
      <c r="E58" s="35"/>
      <c r="F58" s="28"/>
      <c r="G58" s="28"/>
      <c r="H58" s="29"/>
      <c r="I58" s="14"/>
      <c r="K58" s="3"/>
      <c r="M58" s="3"/>
      <c r="N58" s="3"/>
      <c r="O58" s="52"/>
      <c r="P58" s="3"/>
    </row>
    <row r="59" spans="2:16" ht="15.75" customHeight="1">
      <c r="B59" s="28"/>
      <c r="C59" s="3"/>
      <c r="E59" s="35"/>
      <c r="F59" s="28"/>
      <c r="G59" s="28"/>
      <c r="H59" s="29"/>
      <c r="I59" s="14"/>
      <c r="K59" s="3"/>
      <c r="M59" s="3"/>
      <c r="N59" s="3"/>
      <c r="O59" s="52"/>
      <c r="P59" s="3"/>
    </row>
    <row r="60" spans="2:16" ht="15.75" customHeight="1">
      <c r="B60" s="28"/>
      <c r="C60" s="3"/>
      <c r="E60" s="35"/>
      <c r="F60" s="28"/>
      <c r="G60" s="28"/>
      <c r="H60" s="29"/>
      <c r="I60" s="14"/>
      <c r="K60" s="3"/>
      <c r="M60" s="3"/>
      <c r="N60" s="3"/>
      <c r="O60" s="52"/>
      <c r="P60" s="3"/>
    </row>
    <row r="61" spans="2:16" ht="15.75" customHeight="1">
      <c r="B61" s="28"/>
      <c r="C61" s="3"/>
      <c r="E61" s="35"/>
      <c r="F61" s="28"/>
      <c r="G61" s="28"/>
      <c r="H61" s="29"/>
      <c r="I61" s="14"/>
      <c r="K61" s="3"/>
      <c r="M61" s="3"/>
      <c r="N61" s="3"/>
      <c r="O61" s="52"/>
      <c r="P61" s="3"/>
    </row>
    <row r="62" spans="2:16" ht="15.75" customHeight="1">
      <c r="B62" s="28"/>
      <c r="C62" s="3"/>
      <c r="E62" s="35"/>
      <c r="F62" s="28"/>
      <c r="G62" s="28"/>
      <c r="H62" s="29"/>
      <c r="I62" s="14"/>
      <c r="K62" s="3"/>
      <c r="M62" s="3"/>
      <c r="N62" s="3"/>
      <c r="O62" s="52"/>
      <c r="P62" s="3"/>
    </row>
    <row r="63" spans="2:16" ht="15.75" customHeight="1">
      <c r="B63" s="28"/>
      <c r="C63" s="3"/>
      <c r="E63" s="35"/>
      <c r="F63" s="28"/>
      <c r="G63" s="28"/>
      <c r="H63" s="29"/>
      <c r="I63" s="14"/>
      <c r="K63" s="3"/>
      <c r="M63" s="3"/>
      <c r="N63" s="3"/>
      <c r="O63" s="52"/>
      <c r="P63" s="3"/>
    </row>
    <row r="64" spans="2:16" ht="15.75" customHeight="1">
      <c r="B64" s="28"/>
      <c r="C64" s="3"/>
      <c r="E64" s="35"/>
      <c r="F64" s="28"/>
      <c r="G64" s="28"/>
      <c r="H64" s="29"/>
      <c r="I64" s="14"/>
      <c r="K64" s="3"/>
      <c r="M64" s="3"/>
      <c r="N64" s="3"/>
      <c r="O64" s="52"/>
      <c r="P64" s="3"/>
    </row>
    <row r="65" spans="2:16" ht="15.75" customHeight="1">
      <c r="B65" s="28"/>
      <c r="C65" s="3"/>
      <c r="E65" s="35"/>
      <c r="F65" s="28"/>
      <c r="G65" s="28"/>
      <c r="H65" s="29"/>
      <c r="I65" s="14"/>
      <c r="K65" s="3"/>
      <c r="M65" s="3"/>
      <c r="N65" s="3"/>
      <c r="O65" s="52"/>
      <c r="P65" s="3"/>
    </row>
    <row r="66" spans="2:16" ht="15.75" customHeight="1">
      <c r="B66" s="28"/>
      <c r="C66" s="3"/>
      <c r="E66" s="35"/>
      <c r="F66" s="28"/>
      <c r="G66" s="28"/>
      <c r="H66" s="29"/>
      <c r="I66" s="14"/>
      <c r="K66" s="3"/>
      <c r="M66" s="3"/>
      <c r="N66" s="3"/>
      <c r="O66" s="52"/>
      <c r="P66" s="3"/>
    </row>
    <row r="67" spans="2:16" ht="15.75" customHeight="1">
      <c r="B67" s="28"/>
      <c r="C67" s="3"/>
      <c r="E67" s="35"/>
      <c r="F67" s="28"/>
      <c r="G67" s="28"/>
      <c r="H67" s="29"/>
      <c r="I67" s="14"/>
      <c r="K67" s="3"/>
      <c r="M67" s="3"/>
      <c r="N67" s="3"/>
      <c r="O67" s="52"/>
      <c r="P67" s="3"/>
    </row>
    <row r="68" spans="2:16" ht="15.75" customHeight="1">
      <c r="B68" s="28"/>
      <c r="C68" s="3"/>
      <c r="E68" s="35"/>
      <c r="F68" s="28"/>
      <c r="G68" s="28"/>
      <c r="H68" s="29"/>
      <c r="I68" s="14"/>
      <c r="K68" s="3"/>
      <c r="M68" s="3"/>
      <c r="N68" s="3"/>
      <c r="O68" s="52"/>
      <c r="P68" s="3"/>
    </row>
    <row r="69" spans="2:16" ht="15.75" customHeight="1">
      <c r="B69" s="28"/>
      <c r="C69" s="3"/>
      <c r="E69" s="35"/>
      <c r="F69" s="28"/>
      <c r="G69" s="28"/>
      <c r="H69" s="29"/>
      <c r="I69" s="14"/>
      <c r="K69" s="3"/>
      <c r="M69" s="3"/>
      <c r="N69" s="3"/>
      <c r="O69" s="52"/>
      <c r="P69" s="3"/>
    </row>
    <row r="70" spans="2:16" ht="15.75" customHeight="1">
      <c r="B70" s="28"/>
      <c r="C70" s="3"/>
      <c r="E70" s="35"/>
      <c r="F70" s="28"/>
      <c r="G70" s="28"/>
      <c r="H70" s="29"/>
      <c r="I70" s="14"/>
      <c r="K70" s="3"/>
      <c r="M70" s="3"/>
      <c r="N70" s="3"/>
      <c r="O70" s="52"/>
      <c r="P70" s="3"/>
    </row>
    <row r="71" spans="2:16" ht="15.75" customHeight="1">
      <c r="B71" s="28"/>
      <c r="C71" s="3"/>
      <c r="E71" s="35"/>
      <c r="F71" s="28"/>
      <c r="G71" s="28"/>
      <c r="H71" s="29"/>
      <c r="I71" s="14"/>
      <c r="K71" s="3"/>
      <c r="M71" s="3"/>
      <c r="N71" s="3"/>
      <c r="O71" s="52"/>
      <c r="P71" s="3"/>
    </row>
    <row r="72" spans="2:16" ht="15.75" customHeight="1">
      <c r="B72" s="28"/>
      <c r="C72" s="3"/>
      <c r="E72" s="35"/>
      <c r="F72" s="28"/>
      <c r="G72" s="28"/>
      <c r="H72" s="29"/>
      <c r="I72" s="14"/>
      <c r="K72" s="3"/>
      <c r="M72" s="3"/>
      <c r="N72" s="3"/>
      <c r="O72" s="52"/>
      <c r="P72" s="3"/>
    </row>
    <row r="73" spans="2:16" ht="15.75" customHeight="1">
      <c r="B73" s="28"/>
      <c r="C73" s="3"/>
      <c r="E73" s="35"/>
      <c r="F73" s="28"/>
      <c r="G73" s="28"/>
      <c r="H73" s="29"/>
      <c r="I73" s="14"/>
      <c r="K73" s="3"/>
      <c r="M73" s="3"/>
      <c r="N73" s="3"/>
      <c r="O73" s="52"/>
      <c r="P73" s="3"/>
    </row>
    <row r="74" spans="2:16" ht="15.75" customHeight="1">
      <c r="B74" s="28"/>
      <c r="C74" s="3"/>
      <c r="E74" s="35"/>
      <c r="F74" s="28"/>
      <c r="G74" s="28"/>
      <c r="H74" s="29"/>
      <c r="I74" s="14"/>
      <c r="K74" s="3"/>
      <c r="M74" s="3"/>
      <c r="N74" s="3"/>
      <c r="O74" s="52"/>
      <c r="P74" s="3"/>
    </row>
    <row r="75" spans="2:16" ht="15.75" customHeight="1">
      <c r="B75" s="28"/>
      <c r="C75" s="3"/>
      <c r="E75" s="35"/>
      <c r="F75" s="28"/>
      <c r="G75" s="28"/>
      <c r="H75" s="29"/>
      <c r="I75" s="14"/>
      <c r="K75" s="3"/>
      <c r="M75" s="3"/>
      <c r="N75" s="3"/>
      <c r="O75" s="52"/>
      <c r="P75" s="3"/>
    </row>
    <row r="76" spans="2:16" ht="15.75" customHeight="1">
      <c r="B76" s="28"/>
      <c r="C76" s="3"/>
      <c r="E76" s="35"/>
      <c r="F76" s="28"/>
      <c r="G76" s="28"/>
      <c r="H76" s="29"/>
      <c r="I76" s="14"/>
      <c r="K76" s="3"/>
      <c r="M76" s="3"/>
      <c r="N76" s="3"/>
      <c r="O76" s="52"/>
      <c r="P76" s="3"/>
    </row>
    <row r="77" spans="2:16" ht="15.75" customHeight="1">
      <c r="B77" s="28"/>
      <c r="C77" s="3"/>
      <c r="E77" s="35"/>
      <c r="F77" s="28"/>
      <c r="G77" s="28"/>
      <c r="H77" s="29"/>
      <c r="I77" s="14"/>
      <c r="K77" s="3"/>
      <c r="M77" s="3"/>
      <c r="N77" s="3"/>
      <c r="O77" s="52"/>
      <c r="P77" s="3"/>
    </row>
    <row r="78" spans="2:16" ht="15.75" customHeight="1">
      <c r="B78" s="28"/>
      <c r="C78" s="3"/>
      <c r="E78" s="35"/>
      <c r="F78" s="28"/>
      <c r="G78" s="28"/>
      <c r="H78" s="29"/>
      <c r="I78" s="14"/>
      <c r="K78" s="3"/>
      <c r="M78" s="3"/>
      <c r="N78" s="3"/>
      <c r="O78" s="52"/>
      <c r="P78" s="3"/>
    </row>
    <row r="79" spans="2:16" ht="15.75" customHeight="1">
      <c r="B79" s="28"/>
      <c r="C79" s="3"/>
      <c r="E79" s="35"/>
      <c r="F79" s="28"/>
      <c r="G79" s="28"/>
      <c r="H79" s="29"/>
      <c r="I79" s="14"/>
      <c r="K79" s="3"/>
      <c r="M79" s="3"/>
      <c r="N79" s="3"/>
      <c r="O79" s="52"/>
      <c r="P79" s="3"/>
    </row>
    <row r="80" spans="2:16" ht="15.75" customHeight="1">
      <c r="B80" s="28"/>
      <c r="C80" s="3"/>
      <c r="E80" s="35"/>
      <c r="F80" s="28"/>
      <c r="G80" s="28"/>
      <c r="H80" s="29"/>
      <c r="I80" s="14"/>
      <c r="K80" s="3"/>
      <c r="M80" s="3"/>
      <c r="N80" s="3"/>
      <c r="O80" s="52"/>
      <c r="P80" s="3"/>
    </row>
    <row r="81" spans="2:16" ht="15.75" customHeight="1">
      <c r="B81" s="28"/>
      <c r="C81" s="3"/>
      <c r="E81" s="35"/>
      <c r="F81" s="28"/>
      <c r="G81" s="28"/>
      <c r="H81" s="29"/>
      <c r="I81" s="14"/>
      <c r="K81" s="3"/>
      <c r="M81" s="3"/>
      <c r="N81" s="3"/>
      <c r="O81" s="52"/>
      <c r="P81" s="3"/>
    </row>
    <row r="82" spans="2:16" ht="15.75" customHeight="1">
      <c r="B82" s="28"/>
      <c r="C82" s="3"/>
      <c r="E82" s="35"/>
      <c r="F82" s="28"/>
      <c r="G82" s="28"/>
      <c r="H82" s="29"/>
      <c r="I82" s="14"/>
      <c r="K82" s="3"/>
      <c r="M82" s="3"/>
      <c r="N82" s="3"/>
      <c r="O82" s="52"/>
      <c r="P82" s="3"/>
    </row>
    <row r="83" spans="2:16" ht="15.75" customHeight="1">
      <c r="B83" s="28"/>
      <c r="C83" s="3"/>
      <c r="E83" s="35"/>
      <c r="F83" s="28"/>
      <c r="G83" s="28"/>
      <c r="H83" s="29"/>
      <c r="I83" s="14"/>
      <c r="K83" s="3"/>
      <c r="M83" s="3"/>
      <c r="N83" s="3"/>
      <c r="O83" s="52"/>
      <c r="P83" s="3"/>
    </row>
    <row r="84" spans="2:16" ht="15.75" customHeight="1">
      <c r="B84" s="28"/>
      <c r="C84" s="3"/>
      <c r="E84" s="35"/>
      <c r="F84" s="28"/>
      <c r="G84" s="28"/>
      <c r="H84" s="29"/>
      <c r="I84" s="14"/>
      <c r="K84" s="3"/>
      <c r="M84" s="3"/>
      <c r="N84" s="3"/>
      <c r="O84" s="52"/>
      <c r="P84" s="3"/>
    </row>
    <row r="85" spans="2:16" ht="15.75" customHeight="1">
      <c r="B85" s="28"/>
      <c r="C85" s="3"/>
      <c r="E85" s="35"/>
      <c r="F85" s="28"/>
      <c r="G85" s="28"/>
      <c r="H85" s="29"/>
      <c r="I85" s="14"/>
      <c r="K85" s="3"/>
      <c r="M85" s="3"/>
      <c r="N85" s="3"/>
      <c r="O85" s="52"/>
      <c r="P85" s="3"/>
    </row>
    <row r="86" spans="2:16" ht="15.75" customHeight="1">
      <c r="B86" s="28"/>
      <c r="C86" s="3"/>
      <c r="E86" s="35"/>
      <c r="F86" s="28"/>
      <c r="G86" s="28"/>
      <c r="H86" s="29"/>
      <c r="I86" s="14"/>
      <c r="K86" s="3"/>
      <c r="M86" s="3"/>
      <c r="N86" s="3"/>
      <c r="O86" s="52"/>
      <c r="P86" s="3"/>
    </row>
    <row r="87" spans="2:16" ht="15.75" customHeight="1">
      <c r="B87" s="28"/>
      <c r="C87" s="3"/>
      <c r="E87" s="35"/>
      <c r="F87" s="28"/>
      <c r="G87" s="28"/>
      <c r="H87" s="29"/>
      <c r="I87" s="14"/>
      <c r="K87" s="3"/>
      <c r="M87" s="3"/>
      <c r="N87" s="3"/>
      <c r="O87" s="52"/>
      <c r="P87" s="3"/>
    </row>
    <row r="88" spans="2:16" ht="15.75" customHeight="1">
      <c r="B88" s="28"/>
      <c r="C88" s="3"/>
      <c r="E88" s="35"/>
      <c r="F88" s="28"/>
      <c r="G88" s="28"/>
      <c r="H88" s="29"/>
      <c r="I88" s="14"/>
      <c r="K88" s="3"/>
      <c r="M88" s="3"/>
      <c r="N88" s="3"/>
      <c r="O88" s="52"/>
      <c r="P88" s="3"/>
    </row>
    <row r="89" spans="2:16" ht="15.75" customHeight="1">
      <c r="B89" s="28"/>
      <c r="C89" s="3"/>
      <c r="E89" s="35"/>
      <c r="F89" s="28"/>
      <c r="G89" s="28"/>
      <c r="H89" s="29"/>
      <c r="I89" s="14"/>
      <c r="K89" s="3"/>
      <c r="M89" s="3"/>
      <c r="N89" s="3"/>
      <c r="O89" s="52"/>
      <c r="P89" s="3"/>
    </row>
    <row r="90" spans="2:16" ht="15.75" customHeight="1">
      <c r="B90" s="28"/>
      <c r="C90" s="3"/>
      <c r="E90" s="35"/>
      <c r="F90" s="28"/>
      <c r="G90" s="28"/>
      <c r="H90" s="29"/>
      <c r="I90" s="14"/>
      <c r="K90" s="3"/>
      <c r="M90" s="3"/>
      <c r="N90" s="3"/>
      <c r="O90" s="52"/>
      <c r="P90" s="3"/>
    </row>
    <row r="91" spans="2:16" ht="15.75" customHeight="1">
      <c r="B91" s="28"/>
      <c r="C91" s="3"/>
      <c r="E91" s="35"/>
      <c r="F91" s="28"/>
      <c r="G91" s="28"/>
      <c r="H91" s="29"/>
      <c r="I91" s="14"/>
      <c r="K91" s="3"/>
      <c r="M91" s="3"/>
      <c r="N91" s="3"/>
      <c r="O91" s="52"/>
      <c r="P91" s="3"/>
    </row>
    <row r="92" spans="2:16" ht="15.75" customHeight="1">
      <c r="B92" s="28"/>
      <c r="C92" s="3"/>
      <c r="E92" s="35"/>
      <c r="F92" s="28"/>
      <c r="G92" s="28"/>
      <c r="H92" s="29"/>
      <c r="I92" s="14"/>
      <c r="K92" s="3"/>
      <c r="M92" s="3"/>
      <c r="N92" s="3"/>
      <c r="O92" s="52"/>
      <c r="P92" s="3"/>
    </row>
    <row r="93" spans="2:16" ht="15.75" customHeight="1">
      <c r="B93" s="28"/>
      <c r="C93" s="3"/>
      <c r="E93" s="35"/>
      <c r="F93" s="28"/>
      <c r="G93" s="28"/>
      <c r="H93" s="29"/>
      <c r="I93" s="14"/>
      <c r="K93" s="3"/>
      <c r="M93" s="3"/>
      <c r="N93" s="3"/>
      <c r="O93" s="52"/>
      <c r="P93" s="3"/>
    </row>
    <row r="94" spans="2:16" ht="15.75" customHeight="1">
      <c r="B94" s="28"/>
      <c r="C94" s="3"/>
      <c r="E94" s="35"/>
      <c r="F94" s="28"/>
      <c r="G94" s="28"/>
      <c r="H94" s="29"/>
      <c r="I94" s="14"/>
      <c r="K94" s="3"/>
      <c r="M94" s="3"/>
      <c r="N94" s="3"/>
      <c r="O94" s="52"/>
      <c r="P94" s="3"/>
    </row>
    <row r="95" spans="2:16" ht="15.75" customHeight="1">
      <c r="B95" s="28"/>
      <c r="C95" s="3"/>
      <c r="E95" s="35"/>
      <c r="F95" s="28"/>
      <c r="G95" s="28"/>
      <c r="H95" s="29"/>
      <c r="I95" s="14"/>
      <c r="K95" s="3"/>
      <c r="M95" s="3"/>
      <c r="N95" s="3"/>
      <c r="O95" s="52"/>
      <c r="P95" s="3"/>
    </row>
    <row r="96" spans="2:16" ht="15.75" customHeight="1">
      <c r="B96" s="28"/>
      <c r="C96" s="3"/>
      <c r="E96" s="35"/>
      <c r="F96" s="28"/>
      <c r="G96" s="28"/>
      <c r="H96" s="29"/>
      <c r="I96" s="14"/>
      <c r="K96" s="3"/>
      <c r="M96" s="3"/>
      <c r="N96" s="3"/>
      <c r="O96" s="52"/>
      <c r="P96" s="3"/>
    </row>
    <row r="97" spans="2:16" ht="15.75" customHeight="1">
      <c r="B97" s="28"/>
      <c r="C97" s="3"/>
      <c r="E97" s="35"/>
      <c r="F97" s="28"/>
      <c r="G97" s="28"/>
      <c r="H97" s="29"/>
      <c r="I97" s="14"/>
      <c r="K97" s="3"/>
      <c r="M97" s="3"/>
      <c r="N97" s="3"/>
      <c r="O97" s="52"/>
      <c r="P97" s="3"/>
    </row>
    <row r="98" spans="2:16" ht="15.75" customHeight="1">
      <c r="B98" s="28"/>
      <c r="C98" s="3"/>
      <c r="E98" s="35"/>
      <c r="F98" s="28"/>
      <c r="G98" s="28"/>
      <c r="H98" s="29"/>
      <c r="I98" s="14"/>
      <c r="K98" s="3"/>
      <c r="M98" s="3"/>
      <c r="N98" s="3"/>
      <c r="O98" s="52"/>
      <c r="P98" s="3"/>
    </row>
    <row r="99" spans="2:16" ht="15.75" customHeight="1">
      <c r="B99" s="28"/>
      <c r="C99" s="3"/>
      <c r="E99" s="35"/>
      <c r="F99" s="28"/>
      <c r="G99" s="28"/>
      <c r="H99" s="29"/>
      <c r="I99" s="14"/>
      <c r="K99" s="3"/>
      <c r="M99" s="3"/>
      <c r="N99" s="3"/>
      <c r="O99" s="52"/>
      <c r="P99" s="3"/>
    </row>
    <row r="100" spans="2:16" ht="15.75" customHeight="1">
      <c r="B100" s="28"/>
      <c r="C100" s="3"/>
      <c r="E100" s="35"/>
      <c r="F100" s="28"/>
      <c r="G100" s="28"/>
      <c r="H100" s="29"/>
      <c r="I100" s="14"/>
      <c r="K100" s="3"/>
      <c r="M100" s="3"/>
      <c r="N100" s="3"/>
      <c r="O100" s="52"/>
      <c r="P100" s="3"/>
    </row>
    <row r="101" spans="2:16" ht="15.75" customHeight="1">
      <c r="B101" s="28"/>
      <c r="C101" s="3"/>
      <c r="E101" s="35"/>
      <c r="F101" s="28"/>
      <c r="G101" s="28"/>
      <c r="H101" s="29"/>
      <c r="I101" s="14"/>
      <c r="K101" s="3"/>
      <c r="M101" s="3"/>
      <c r="N101" s="3"/>
      <c r="O101" s="52"/>
      <c r="P101" s="3"/>
    </row>
    <row r="102" spans="2:16" ht="15.75" customHeight="1">
      <c r="B102" s="28"/>
      <c r="C102" s="3"/>
      <c r="E102" s="35"/>
      <c r="F102" s="28"/>
      <c r="G102" s="28"/>
      <c r="H102" s="29"/>
      <c r="I102" s="14"/>
      <c r="K102" s="3"/>
      <c r="M102" s="3"/>
      <c r="N102" s="3"/>
      <c r="O102" s="52"/>
      <c r="P102" s="3"/>
    </row>
    <row r="103" spans="2:16" ht="15.75" customHeight="1">
      <c r="B103" s="28"/>
      <c r="C103" s="3"/>
      <c r="E103" s="35"/>
      <c r="F103" s="28"/>
      <c r="G103" s="28"/>
      <c r="H103" s="29"/>
      <c r="I103" s="14"/>
      <c r="K103" s="3"/>
      <c r="M103" s="3"/>
      <c r="N103" s="3"/>
      <c r="O103" s="52"/>
      <c r="P103" s="3"/>
    </row>
    <row r="104" spans="2:16" ht="15.75" customHeight="1">
      <c r="B104" s="28"/>
      <c r="C104" s="3"/>
      <c r="E104" s="35"/>
      <c r="F104" s="28"/>
      <c r="G104" s="28"/>
      <c r="H104" s="29"/>
      <c r="I104" s="14"/>
      <c r="K104" s="3"/>
      <c r="M104" s="3"/>
      <c r="N104" s="3"/>
      <c r="O104" s="52"/>
      <c r="P104" s="3"/>
    </row>
    <row r="105" spans="2:16" ht="15.75" customHeight="1">
      <c r="B105" s="28"/>
      <c r="C105" s="3"/>
      <c r="E105" s="35"/>
      <c r="F105" s="28"/>
      <c r="G105" s="28"/>
      <c r="H105" s="29"/>
      <c r="I105" s="14"/>
      <c r="K105" s="3"/>
      <c r="M105" s="3"/>
      <c r="N105" s="3"/>
      <c r="O105" s="52"/>
      <c r="P105" s="3"/>
    </row>
    <row r="106" spans="2:16" ht="15.75" customHeight="1">
      <c r="B106" s="28"/>
      <c r="C106" s="3"/>
      <c r="E106" s="35"/>
      <c r="F106" s="28"/>
      <c r="G106" s="28"/>
      <c r="H106" s="29"/>
      <c r="I106" s="14"/>
      <c r="K106" s="3"/>
      <c r="M106" s="3"/>
      <c r="N106" s="3"/>
      <c r="O106" s="52"/>
      <c r="P106" s="3"/>
    </row>
    <row r="107" spans="2:16" ht="15.75" customHeight="1">
      <c r="B107" s="28"/>
      <c r="C107" s="3"/>
      <c r="E107" s="35"/>
      <c r="F107" s="28"/>
      <c r="G107" s="28"/>
      <c r="H107" s="29"/>
      <c r="I107" s="14"/>
      <c r="K107" s="3"/>
      <c r="M107" s="3"/>
      <c r="N107" s="3"/>
      <c r="O107" s="52"/>
      <c r="P107" s="3"/>
    </row>
    <row r="108" spans="2:16" ht="15.75" customHeight="1">
      <c r="B108" s="28"/>
      <c r="C108" s="3"/>
      <c r="E108" s="35"/>
      <c r="F108" s="28"/>
      <c r="G108" s="28"/>
      <c r="H108" s="29"/>
      <c r="I108" s="14"/>
      <c r="K108" s="3"/>
      <c r="M108" s="3"/>
      <c r="N108" s="3"/>
      <c r="O108" s="52"/>
      <c r="P108" s="3"/>
    </row>
    <row r="109" spans="2:16" ht="15.75" customHeight="1">
      <c r="B109" s="28"/>
      <c r="C109" s="3"/>
      <c r="E109" s="35"/>
      <c r="F109" s="28"/>
      <c r="G109" s="28"/>
      <c r="H109" s="29"/>
      <c r="I109" s="14"/>
      <c r="K109" s="3"/>
      <c r="M109" s="3"/>
      <c r="N109" s="3"/>
      <c r="O109" s="52"/>
      <c r="P109" s="3"/>
    </row>
    <row r="110" spans="2:16" ht="15.75" customHeight="1">
      <c r="B110" s="28"/>
      <c r="C110" s="3"/>
      <c r="E110" s="35"/>
      <c r="F110" s="28"/>
      <c r="G110" s="28"/>
      <c r="H110" s="29"/>
      <c r="I110" s="14"/>
      <c r="K110" s="3"/>
      <c r="M110" s="3"/>
      <c r="N110" s="3"/>
      <c r="O110" s="52"/>
      <c r="P110" s="3"/>
    </row>
    <row r="111" spans="2:16" ht="15.75" customHeight="1">
      <c r="B111" s="28"/>
      <c r="C111" s="3"/>
      <c r="E111" s="35"/>
      <c r="F111" s="28"/>
      <c r="G111" s="28"/>
      <c r="H111" s="29"/>
      <c r="I111" s="14"/>
      <c r="K111" s="3"/>
      <c r="M111" s="3"/>
      <c r="N111" s="3"/>
      <c r="O111" s="52"/>
      <c r="P111" s="3"/>
    </row>
    <row r="112" spans="2:16" ht="15.75" customHeight="1">
      <c r="B112" s="28"/>
      <c r="C112" s="3"/>
      <c r="E112" s="35"/>
      <c r="F112" s="28"/>
      <c r="G112" s="28"/>
      <c r="H112" s="29"/>
      <c r="I112" s="14"/>
      <c r="K112" s="3"/>
      <c r="M112" s="3"/>
      <c r="N112" s="3"/>
      <c r="O112" s="52"/>
      <c r="P112" s="3"/>
    </row>
    <row r="113" spans="2:16" ht="15.75" customHeight="1">
      <c r="B113" s="28"/>
      <c r="C113" s="3"/>
      <c r="E113" s="35"/>
      <c r="F113" s="28"/>
      <c r="G113" s="28"/>
      <c r="H113" s="29"/>
      <c r="I113" s="14"/>
      <c r="K113" s="3"/>
      <c r="M113" s="3"/>
      <c r="N113" s="3"/>
      <c r="O113" s="52"/>
      <c r="P113" s="3"/>
    </row>
    <row r="114" spans="2:16" ht="15.75" customHeight="1">
      <c r="B114" s="28"/>
      <c r="C114" s="3"/>
      <c r="E114" s="35"/>
      <c r="F114" s="28"/>
      <c r="G114" s="28"/>
      <c r="H114" s="29"/>
      <c r="I114" s="14"/>
      <c r="K114" s="3"/>
      <c r="M114" s="3"/>
      <c r="N114" s="3"/>
      <c r="O114" s="52"/>
      <c r="P114" s="3"/>
    </row>
    <row r="115" spans="2:16" ht="15.75" customHeight="1">
      <c r="B115" s="28"/>
      <c r="C115" s="3"/>
      <c r="E115" s="35"/>
      <c r="F115" s="28"/>
      <c r="G115" s="28"/>
      <c r="H115" s="29"/>
      <c r="I115" s="14"/>
      <c r="K115" s="3"/>
      <c r="M115" s="3"/>
      <c r="N115" s="3"/>
      <c r="O115" s="52"/>
      <c r="P115" s="3"/>
    </row>
    <row r="116" spans="2:16" ht="15.75" customHeight="1">
      <c r="B116" s="28"/>
      <c r="C116" s="3"/>
      <c r="E116" s="35"/>
      <c r="F116" s="28"/>
      <c r="G116" s="28"/>
      <c r="H116" s="29"/>
      <c r="I116" s="14"/>
      <c r="K116" s="3"/>
      <c r="M116" s="3"/>
      <c r="N116" s="3"/>
      <c r="O116" s="52"/>
      <c r="P116" s="3"/>
    </row>
    <row r="117" spans="2:16" ht="15.75" customHeight="1">
      <c r="B117" s="28"/>
      <c r="C117" s="3"/>
      <c r="E117" s="35"/>
      <c r="F117" s="28"/>
      <c r="G117" s="28"/>
      <c r="H117" s="29"/>
      <c r="I117" s="14"/>
      <c r="K117" s="3"/>
      <c r="M117" s="3"/>
      <c r="N117" s="3"/>
      <c r="O117" s="52"/>
      <c r="P117" s="3"/>
    </row>
    <row r="118" spans="2:16" ht="15.75" customHeight="1">
      <c r="B118" s="28"/>
      <c r="C118" s="3"/>
      <c r="E118" s="35"/>
      <c r="F118" s="28"/>
      <c r="G118" s="28"/>
      <c r="H118" s="29"/>
      <c r="I118" s="14"/>
      <c r="K118" s="3"/>
      <c r="M118" s="3"/>
      <c r="N118" s="3"/>
      <c r="O118" s="52"/>
      <c r="P118" s="3"/>
    </row>
    <row r="119" spans="2:16" ht="15.75" customHeight="1">
      <c r="B119" s="28"/>
      <c r="C119" s="3"/>
      <c r="E119" s="35"/>
      <c r="F119" s="28"/>
      <c r="G119" s="28"/>
      <c r="H119" s="29"/>
      <c r="I119" s="14"/>
      <c r="K119" s="3"/>
      <c r="M119" s="3"/>
      <c r="N119" s="3"/>
      <c r="O119" s="52"/>
      <c r="P119" s="3"/>
    </row>
    <row r="120" spans="2:16" ht="15.75" customHeight="1">
      <c r="B120" s="28"/>
      <c r="C120" s="3"/>
      <c r="E120" s="35"/>
      <c r="F120" s="28"/>
      <c r="G120" s="28"/>
      <c r="H120" s="29"/>
      <c r="I120" s="14"/>
      <c r="K120" s="3"/>
      <c r="M120" s="3"/>
      <c r="N120" s="3"/>
      <c r="O120" s="52"/>
      <c r="P120" s="3"/>
    </row>
    <row r="121" spans="2:16" ht="15.75" customHeight="1">
      <c r="B121" s="28"/>
      <c r="C121" s="3"/>
      <c r="E121" s="35"/>
      <c r="F121" s="28"/>
      <c r="G121" s="28"/>
      <c r="H121" s="29"/>
      <c r="I121" s="14"/>
      <c r="K121" s="3"/>
      <c r="M121" s="3"/>
      <c r="N121" s="3"/>
      <c r="O121" s="52"/>
      <c r="P121" s="3"/>
    </row>
    <row r="122" spans="2:16" ht="15.75" customHeight="1">
      <c r="B122" s="28"/>
      <c r="C122" s="3"/>
      <c r="E122" s="35"/>
      <c r="F122" s="28"/>
      <c r="G122" s="28"/>
      <c r="H122" s="29"/>
      <c r="I122" s="14"/>
      <c r="K122" s="3"/>
      <c r="M122" s="3"/>
      <c r="N122" s="3"/>
      <c r="O122" s="52"/>
      <c r="P122" s="3"/>
    </row>
    <row r="123" spans="2:16" ht="15.75" customHeight="1">
      <c r="B123" s="28"/>
      <c r="C123" s="3"/>
      <c r="E123" s="35"/>
      <c r="F123" s="28"/>
      <c r="G123" s="28"/>
      <c r="H123" s="29"/>
      <c r="I123" s="14"/>
      <c r="K123" s="3"/>
      <c r="M123" s="3"/>
      <c r="N123" s="3"/>
      <c r="O123" s="52"/>
      <c r="P123" s="3"/>
    </row>
    <row r="124" spans="2:16" ht="15.75" customHeight="1">
      <c r="B124" s="28"/>
      <c r="C124" s="3"/>
      <c r="E124" s="35"/>
      <c r="F124" s="28"/>
      <c r="G124" s="28"/>
      <c r="H124" s="29"/>
      <c r="I124" s="14"/>
      <c r="K124" s="3"/>
      <c r="M124" s="3"/>
      <c r="N124" s="3"/>
      <c r="O124" s="52"/>
      <c r="P124" s="3"/>
    </row>
    <row r="125" spans="2:16" ht="15.75" customHeight="1">
      <c r="B125" s="28"/>
      <c r="C125" s="3"/>
      <c r="E125" s="35"/>
      <c r="F125" s="28"/>
      <c r="G125" s="28"/>
      <c r="H125" s="29"/>
      <c r="I125" s="14"/>
      <c r="K125" s="3"/>
      <c r="M125" s="3"/>
      <c r="N125" s="3"/>
      <c r="O125" s="52"/>
      <c r="P125" s="3"/>
    </row>
    <row r="126" spans="2:16" ht="15.75" customHeight="1">
      <c r="B126" s="28"/>
      <c r="C126" s="3"/>
      <c r="E126" s="35"/>
      <c r="F126" s="28"/>
      <c r="G126" s="28"/>
      <c r="H126" s="29"/>
      <c r="I126" s="14"/>
      <c r="K126" s="3"/>
      <c r="M126" s="3"/>
      <c r="N126" s="3"/>
      <c r="O126" s="52"/>
      <c r="P126" s="3"/>
    </row>
    <row r="127" spans="2:16" ht="15.75" customHeight="1">
      <c r="B127" s="28"/>
      <c r="C127" s="3"/>
      <c r="E127" s="35"/>
      <c r="F127" s="28"/>
      <c r="G127" s="28"/>
      <c r="H127" s="29"/>
      <c r="I127" s="14"/>
      <c r="K127" s="3"/>
      <c r="M127" s="3"/>
      <c r="N127" s="3"/>
      <c r="O127" s="52"/>
      <c r="P127" s="3"/>
    </row>
    <row r="128" spans="2:16" ht="15.75" customHeight="1">
      <c r="B128" s="28"/>
      <c r="C128" s="3"/>
      <c r="E128" s="35"/>
      <c r="F128" s="28"/>
      <c r="G128" s="28"/>
      <c r="H128" s="29"/>
      <c r="I128" s="14"/>
      <c r="K128" s="3"/>
      <c r="M128" s="3"/>
      <c r="N128" s="3"/>
      <c r="O128" s="52"/>
      <c r="P128" s="3"/>
    </row>
    <row r="129" spans="2:16" ht="15.75" customHeight="1">
      <c r="B129" s="28"/>
      <c r="C129" s="3"/>
      <c r="E129" s="35"/>
      <c r="F129" s="28"/>
      <c r="G129" s="28"/>
      <c r="H129" s="29"/>
      <c r="I129" s="14"/>
      <c r="K129" s="3"/>
      <c r="M129" s="3"/>
      <c r="N129" s="3"/>
      <c r="O129" s="52"/>
      <c r="P129" s="3"/>
    </row>
    <row r="130" spans="2:16" ht="15.75" customHeight="1">
      <c r="B130" s="28"/>
      <c r="C130" s="3"/>
      <c r="E130" s="35"/>
      <c r="F130" s="28"/>
      <c r="G130" s="28"/>
      <c r="H130" s="29"/>
      <c r="I130" s="14"/>
      <c r="K130" s="3"/>
      <c r="M130" s="3"/>
      <c r="N130" s="3"/>
      <c r="O130" s="52"/>
      <c r="P130" s="3"/>
    </row>
    <row r="131" spans="2:16" ht="15.75" customHeight="1">
      <c r="B131" s="28"/>
      <c r="C131" s="3"/>
      <c r="E131" s="35"/>
      <c r="F131" s="28"/>
      <c r="G131" s="28"/>
      <c r="H131" s="29"/>
      <c r="I131" s="14"/>
      <c r="K131" s="3"/>
      <c r="M131" s="3"/>
      <c r="N131" s="3"/>
      <c r="O131" s="52"/>
      <c r="P131" s="3"/>
    </row>
    <row r="132" spans="2:16" ht="15.75" customHeight="1">
      <c r="B132" s="28"/>
      <c r="C132" s="3"/>
      <c r="E132" s="35"/>
      <c r="F132" s="28"/>
      <c r="G132" s="28"/>
      <c r="H132" s="29"/>
      <c r="I132" s="14"/>
      <c r="K132" s="3"/>
      <c r="M132" s="3"/>
      <c r="N132" s="3"/>
      <c r="O132" s="52"/>
      <c r="P132" s="3"/>
    </row>
    <row r="133" spans="2:16" ht="15.75" customHeight="1">
      <c r="B133" s="28"/>
      <c r="C133" s="3"/>
      <c r="E133" s="35"/>
      <c r="F133" s="28"/>
      <c r="G133" s="28"/>
      <c r="H133" s="29"/>
      <c r="I133" s="14"/>
      <c r="K133" s="3"/>
      <c r="M133" s="3"/>
      <c r="N133" s="3"/>
      <c r="O133" s="52"/>
      <c r="P133" s="3"/>
    </row>
    <row r="134" spans="2:16" ht="15.75" customHeight="1">
      <c r="B134" s="28"/>
      <c r="C134" s="3"/>
      <c r="E134" s="35"/>
      <c r="F134" s="28"/>
      <c r="G134" s="28"/>
      <c r="H134" s="29"/>
      <c r="I134" s="14"/>
      <c r="K134" s="3"/>
      <c r="M134" s="3"/>
      <c r="N134" s="3"/>
      <c r="O134" s="52"/>
      <c r="P134" s="3"/>
    </row>
    <row r="135" spans="2:16" ht="15.75" customHeight="1">
      <c r="B135" s="28"/>
      <c r="C135" s="3"/>
      <c r="E135" s="35"/>
      <c r="F135" s="28"/>
      <c r="G135" s="28"/>
      <c r="H135" s="29"/>
      <c r="I135" s="14"/>
      <c r="K135" s="3"/>
      <c r="M135" s="3"/>
      <c r="N135" s="3"/>
      <c r="O135" s="52"/>
      <c r="P135" s="3"/>
    </row>
    <row r="136" spans="2:16" ht="15.75" customHeight="1">
      <c r="B136" s="28"/>
      <c r="C136" s="3"/>
      <c r="E136" s="35"/>
      <c r="F136" s="28"/>
      <c r="G136" s="28"/>
      <c r="H136" s="29"/>
      <c r="I136" s="14"/>
      <c r="K136" s="3"/>
      <c r="M136" s="3"/>
      <c r="N136" s="3"/>
      <c r="O136" s="52"/>
      <c r="P136" s="3"/>
    </row>
    <row r="137" spans="2:16" ht="15.75" customHeight="1">
      <c r="B137" s="28"/>
      <c r="C137" s="3"/>
      <c r="E137" s="35"/>
      <c r="F137" s="28"/>
      <c r="G137" s="28"/>
      <c r="H137" s="29"/>
      <c r="I137" s="14"/>
      <c r="K137" s="3"/>
      <c r="M137" s="3"/>
      <c r="N137" s="3"/>
      <c r="O137" s="52"/>
      <c r="P137" s="3"/>
    </row>
    <row r="138" spans="2:16" ht="15.75" customHeight="1">
      <c r="B138" s="28"/>
      <c r="C138" s="3"/>
      <c r="E138" s="35"/>
      <c r="F138" s="28"/>
      <c r="G138" s="28"/>
      <c r="H138" s="29"/>
      <c r="I138" s="14"/>
      <c r="K138" s="3"/>
      <c r="M138" s="3"/>
      <c r="N138" s="3"/>
      <c r="O138" s="52"/>
      <c r="P138" s="3"/>
    </row>
    <row r="139" spans="2:16" ht="15.75" customHeight="1">
      <c r="B139" s="28"/>
      <c r="C139" s="3"/>
      <c r="E139" s="35"/>
      <c r="F139" s="28"/>
      <c r="G139" s="28"/>
      <c r="H139" s="29"/>
      <c r="I139" s="14"/>
      <c r="K139" s="3"/>
      <c r="M139" s="3"/>
      <c r="N139" s="3"/>
      <c r="O139" s="52"/>
      <c r="P139" s="3"/>
    </row>
    <row r="140" spans="2:16" ht="15.75" customHeight="1">
      <c r="B140" s="28"/>
      <c r="C140" s="3"/>
      <c r="E140" s="35"/>
      <c r="F140" s="28"/>
      <c r="G140" s="28"/>
      <c r="H140" s="29"/>
      <c r="I140" s="14"/>
      <c r="K140" s="3"/>
      <c r="M140" s="3"/>
      <c r="N140" s="3"/>
      <c r="O140" s="52"/>
      <c r="P140" s="3"/>
    </row>
    <row r="141" spans="2:16" ht="15.75" customHeight="1">
      <c r="B141" s="28"/>
      <c r="C141" s="3"/>
      <c r="E141" s="35"/>
      <c r="F141" s="28"/>
      <c r="G141" s="28"/>
      <c r="H141" s="29"/>
      <c r="I141" s="14"/>
      <c r="K141" s="3"/>
      <c r="M141" s="3"/>
      <c r="N141" s="3"/>
      <c r="O141" s="52"/>
      <c r="P141" s="3"/>
    </row>
    <row r="142" spans="2:16" ht="15.75" customHeight="1">
      <c r="B142" s="28"/>
      <c r="C142" s="3"/>
      <c r="E142" s="35"/>
      <c r="F142" s="28"/>
      <c r="G142" s="28"/>
      <c r="H142" s="29"/>
      <c r="I142" s="14"/>
      <c r="K142" s="3"/>
      <c r="M142" s="3"/>
      <c r="N142" s="3"/>
      <c r="O142" s="52"/>
      <c r="P142" s="3"/>
    </row>
    <row r="143" spans="2:16" ht="15.75" customHeight="1">
      <c r="B143" s="28"/>
      <c r="C143" s="3"/>
      <c r="E143" s="35"/>
      <c r="F143" s="28"/>
      <c r="G143" s="28"/>
      <c r="H143" s="29"/>
      <c r="I143" s="14"/>
      <c r="K143" s="3"/>
      <c r="M143" s="3"/>
      <c r="N143" s="3"/>
      <c r="O143" s="52"/>
      <c r="P143" s="3"/>
    </row>
    <row r="144" spans="2:16" ht="15.75" customHeight="1">
      <c r="B144" s="28"/>
      <c r="C144" s="3"/>
      <c r="E144" s="35"/>
      <c r="F144" s="28"/>
      <c r="G144" s="28"/>
      <c r="H144" s="29"/>
      <c r="I144" s="14"/>
      <c r="K144" s="3"/>
      <c r="M144" s="3"/>
      <c r="N144" s="3"/>
      <c r="O144" s="52"/>
      <c r="P144" s="3"/>
    </row>
    <row r="145" spans="2:16" ht="15.75" customHeight="1">
      <c r="B145" s="28"/>
      <c r="C145" s="3"/>
      <c r="E145" s="35"/>
      <c r="F145" s="28"/>
      <c r="G145" s="28"/>
      <c r="H145" s="29"/>
      <c r="I145" s="14"/>
      <c r="K145" s="3"/>
      <c r="M145" s="3"/>
      <c r="N145" s="3"/>
      <c r="O145" s="52"/>
      <c r="P145" s="3"/>
    </row>
    <row r="146" spans="2:16" ht="15.75" customHeight="1">
      <c r="B146" s="28"/>
      <c r="C146" s="3"/>
      <c r="E146" s="35"/>
      <c r="F146" s="28"/>
      <c r="G146" s="28"/>
      <c r="H146" s="29"/>
      <c r="I146" s="14"/>
      <c r="K146" s="3"/>
      <c r="M146" s="3"/>
      <c r="N146" s="3"/>
      <c r="O146" s="52"/>
      <c r="P146" s="3"/>
    </row>
    <row r="147" spans="2:16" ht="15.75" customHeight="1">
      <c r="B147" s="28"/>
      <c r="C147" s="3"/>
      <c r="E147" s="35"/>
      <c r="F147" s="28"/>
      <c r="G147" s="28"/>
      <c r="H147" s="29"/>
      <c r="I147" s="14"/>
      <c r="K147" s="3"/>
      <c r="M147" s="3"/>
      <c r="N147" s="3"/>
      <c r="O147" s="52"/>
      <c r="P147" s="3"/>
    </row>
    <row r="148" spans="2:16" ht="15.75" customHeight="1">
      <c r="B148" s="28"/>
      <c r="C148" s="3"/>
      <c r="E148" s="35"/>
      <c r="F148" s="28"/>
      <c r="G148" s="28"/>
      <c r="H148" s="29"/>
      <c r="I148" s="14"/>
      <c r="K148" s="3"/>
      <c r="M148" s="3"/>
      <c r="N148" s="3"/>
      <c r="O148" s="52"/>
      <c r="P148" s="3"/>
    </row>
    <row r="149" spans="2:16" ht="15.75" customHeight="1">
      <c r="B149" s="28"/>
      <c r="C149" s="3"/>
      <c r="E149" s="35"/>
      <c r="F149" s="28"/>
      <c r="G149" s="28"/>
      <c r="H149" s="29"/>
      <c r="I149" s="14"/>
      <c r="K149" s="3"/>
      <c r="M149" s="3"/>
      <c r="N149" s="3"/>
      <c r="O149" s="52"/>
      <c r="P149" s="3"/>
    </row>
    <row r="150" spans="2:16" ht="15.75" customHeight="1">
      <c r="B150" s="28"/>
      <c r="C150" s="3"/>
      <c r="E150" s="35"/>
      <c r="F150" s="28"/>
      <c r="G150" s="28"/>
      <c r="H150" s="29"/>
      <c r="I150" s="14"/>
      <c r="K150" s="3"/>
      <c r="M150" s="3"/>
      <c r="N150" s="3"/>
      <c r="O150" s="52"/>
      <c r="P150" s="3"/>
    </row>
    <row r="151" spans="2:16" ht="15.75" customHeight="1">
      <c r="B151" s="28"/>
      <c r="C151" s="3"/>
      <c r="E151" s="35"/>
      <c r="F151" s="28"/>
      <c r="G151" s="28"/>
      <c r="H151" s="29"/>
      <c r="I151" s="14"/>
      <c r="K151" s="3"/>
      <c r="M151" s="3"/>
      <c r="N151" s="3"/>
      <c r="O151" s="52"/>
      <c r="P151" s="3"/>
    </row>
    <row r="152" spans="2:16" ht="15.75" customHeight="1">
      <c r="B152" s="28"/>
      <c r="C152" s="3"/>
      <c r="E152" s="35"/>
      <c r="F152" s="28"/>
      <c r="G152" s="28"/>
      <c r="H152" s="29"/>
      <c r="I152" s="14"/>
      <c r="K152" s="3"/>
      <c r="M152" s="3"/>
      <c r="N152" s="3"/>
      <c r="O152" s="52"/>
      <c r="P152" s="3"/>
    </row>
    <row r="153" spans="2:16" ht="15.75" customHeight="1">
      <c r="B153" s="28"/>
      <c r="C153" s="3"/>
      <c r="E153" s="35"/>
      <c r="F153" s="28"/>
      <c r="G153" s="28"/>
      <c r="H153" s="29"/>
      <c r="I153" s="14"/>
      <c r="K153" s="3"/>
      <c r="M153" s="3"/>
      <c r="N153" s="3"/>
      <c r="O153" s="52"/>
      <c r="P153" s="3"/>
    </row>
    <row r="154" spans="2:16" ht="15.75" customHeight="1">
      <c r="B154" s="28"/>
      <c r="C154" s="3"/>
      <c r="E154" s="35"/>
      <c r="F154" s="28"/>
      <c r="G154" s="28"/>
      <c r="H154" s="29"/>
      <c r="I154" s="14"/>
      <c r="K154" s="3"/>
      <c r="M154" s="3"/>
      <c r="N154" s="3"/>
      <c r="O154" s="52"/>
      <c r="P154" s="3"/>
    </row>
    <row r="155" spans="2:16" ht="15.75" customHeight="1">
      <c r="B155" s="28"/>
      <c r="C155" s="3"/>
      <c r="E155" s="35"/>
      <c r="F155" s="28"/>
      <c r="G155" s="28"/>
      <c r="H155" s="29"/>
      <c r="I155" s="14"/>
      <c r="K155" s="3"/>
      <c r="M155" s="3"/>
      <c r="N155" s="3"/>
      <c r="O155" s="52"/>
      <c r="P155" s="3"/>
    </row>
    <row r="156" spans="2:16" ht="15.75" customHeight="1">
      <c r="B156" s="28"/>
      <c r="C156" s="3"/>
      <c r="E156" s="35"/>
      <c r="F156" s="28"/>
      <c r="G156" s="28"/>
      <c r="H156" s="29"/>
      <c r="I156" s="14"/>
      <c r="K156" s="3"/>
      <c r="M156" s="3"/>
      <c r="N156" s="3"/>
      <c r="O156" s="52"/>
      <c r="P156" s="3"/>
    </row>
    <row r="157" spans="2:16" ht="15.75" customHeight="1">
      <c r="B157" s="28"/>
      <c r="C157" s="3"/>
      <c r="E157" s="35"/>
      <c r="F157" s="28"/>
      <c r="G157" s="28"/>
      <c r="H157" s="29"/>
      <c r="I157" s="14"/>
      <c r="K157" s="3"/>
      <c r="M157" s="3"/>
      <c r="N157" s="3"/>
      <c r="O157" s="52"/>
      <c r="P157" s="3"/>
    </row>
    <row r="158" spans="2:16" ht="15.75" customHeight="1">
      <c r="B158" s="28"/>
      <c r="C158" s="3"/>
      <c r="E158" s="35"/>
      <c r="F158" s="28"/>
      <c r="G158" s="28"/>
      <c r="H158" s="29"/>
      <c r="I158" s="14"/>
      <c r="K158" s="3"/>
      <c r="M158" s="3"/>
      <c r="N158" s="3"/>
      <c r="O158" s="52"/>
      <c r="P158" s="3"/>
    </row>
    <row r="159" spans="2:16" ht="15.75" customHeight="1">
      <c r="B159" s="28"/>
      <c r="C159" s="3"/>
      <c r="E159" s="35"/>
      <c r="F159" s="28"/>
      <c r="G159" s="28"/>
      <c r="H159" s="29"/>
      <c r="I159" s="14"/>
      <c r="K159" s="3"/>
      <c r="M159" s="3"/>
      <c r="N159" s="3"/>
      <c r="O159" s="52"/>
      <c r="P159" s="3"/>
    </row>
    <row r="160" spans="2:16" ht="15.75" customHeight="1">
      <c r="B160" s="28"/>
      <c r="C160" s="3"/>
      <c r="E160" s="35"/>
      <c r="F160" s="28"/>
      <c r="G160" s="28"/>
      <c r="H160" s="29"/>
      <c r="I160" s="14"/>
      <c r="K160" s="3"/>
      <c r="M160" s="3"/>
      <c r="N160" s="3"/>
      <c r="O160" s="52"/>
      <c r="P160" s="3"/>
    </row>
    <row r="161" spans="2:16" ht="15.75" customHeight="1">
      <c r="B161" s="28"/>
      <c r="C161" s="3"/>
      <c r="E161" s="35"/>
      <c r="F161" s="28"/>
      <c r="G161" s="28"/>
      <c r="H161" s="29"/>
      <c r="I161" s="14"/>
      <c r="K161" s="3"/>
      <c r="M161" s="3"/>
      <c r="N161" s="3"/>
      <c r="O161" s="52"/>
      <c r="P161" s="3"/>
    </row>
    <row r="162" spans="2:16" ht="15.75" customHeight="1">
      <c r="B162" s="28"/>
      <c r="C162" s="3"/>
      <c r="E162" s="35"/>
      <c r="F162" s="28"/>
      <c r="G162" s="28"/>
      <c r="H162" s="29"/>
      <c r="I162" s="14"/>
      <c r="K162" s="3"/>
      <c r="M162" s="3"/>
      <c r="N162" s="3"/>
      <c r="O162" s="52"/>
      <c r="P162" s="3"/>
    </row>
    <row r="163" spans="2:16" ht="15.75" customHeight="1">
      <c r="B163" s="28"/>
      <c r="C163" s="3"/>
      <c r="E163" s="35"/>
      <c r="F163" s="28"/>
      <c r="G163" s="28"/>
      <c r="H163" s="29"/>
      <c r="I163" s="14"/>
      <c r="K163" s="3"/>
      <c r="M163" s="3"/>
      <c r="N163" s="3"/>
      <c r="O163" s="52"/>
      <c r="P163" s="3"/>
    </row>
    <row r="164" spans="2:16" ht="15.75" customHeight="1">
      <c r="B164" s="28"/>
      <c r="C164" s="3"/>
      <c r="E164" s="35"/>
      <c r="F164" s="28"/>
      <c r="G164" s="28"/>
      <c r="H164" s="29"/>
      <c r="I164" s="14"/>
      <c r="K164" s="3"/>
      <c r="M164" s="3"/>
      <c r="N164" s="3"/>
      <c r="O164" s="52"/>
      <c r="P164" s="3"/>
    </row>
    <row r="165" spans="2:16" ht="15.75" customHeight="1">
      <c r="B165" s="28"/>
      <c r="C165" s="3"/>
      <c r="E165" s="35"/>
      <c r="F165" s="28"/>
      <c r="G165" s="28"/>
      <c r="H165" s="29"/>
      <c r="I165" s="14"/>
      <c r="K165" s="3"/>
      <c r="M165" s="3"/>
      <c r="N165" s="3"/>
      <c r="O165" s="52"/>
      <c r="P165" s="3"/>
    </row>
    <row r="166" spans="2:16" ht="15.75" customHeight="1">
      <c r="B166" s="28"/>
      <c r="C166" s="3"/>
      <c r="E166" s="35"/>
      <c r="F166" s="28"/>
      <c r="G166" s="28"/>
      <c r="H166" s="29"/>
      <c r="I166" s="14"/>
      <c r="K166" s="3"/>
      <c r="M166" s="3"/>
      <c r="N166" s="3"/>
      <c r="O166" s="52"/>
      <c r="P166" s="3"/>
    </row>
    <row r="167" spans="2:16" ht="15.75" customHeight="1">
      <c r="B167" s="28"/>
      <c r="C167" s="3"/>
      <c r="E167" s="35"/>
      <c r="F167" s="28"/>
      <c r="G167" s="28"/>
      <c r="H167" s="29"/>
      <c r="I167" s="14"/>
      <c r="K167" s="3"/>
      <c r="M167" s="3"/>
      <c r="N167" s="3"/>
      <c r="O167" s="52"/>
      <c r="P167" s="3"/>
    </row>
    <row r="168" spans="2:16" ht="15.75" customHeight="1">
      <c r="B168" s="28"/>
      <c r="C168" s="3"/>
      <c r="E168" s="35"/>
      <c r="F168" s="28"/>
      <c r="G168" s="28"/>
      <c r="H168" s="29"/>
      <c r="I168" s="14"/>
      <c r="K168" s="3"/>
      <c r="M168" s="3"/>
      <c r="N168" s="3"/>
      <c r="O168" s="52"/>
      <c r="P168" s="3"/>
    </row>
    <row r="169" spans="2:16" ht="15.75" customHeight="1">
      <c r="B169" s="28"/>
      <c r="C169" s="3"/>
      <c r="E169" s="35"/>
      <c r="F169" s="28"/>
      <c r="G169" s="28"/>
      <c r="H169" s="29"/>
      <c r="I169" s="14"/>
      <c r="K169" s="3"/>
      <c r="M169" s="3"/>
      <c r="N169" s="3"/>
      <c r="O169" s="52"/>
      <c r="P169" s="3"/>
    </row>
    <row r="170" spans="2:16" ht="15.75" customHeight="1">
      <c r="B170" s="28"/>
      <c r="C170" s="3"/>
      <c r="E170" s="35"/>
      <c r="F170" s="28"/>
      <c r="G170" s="28"/>
      <c r="H170" s="29"/>
      <c r="I170" s="14"/>
      <c r="K170" s="3"/>
      <c r="M170" s="3"/>
      <c r="N170" s="3"/>
      <c r="O170" s="52"/>
      <c r="P170" s="3"/>
    </row>
    <row r="171" spans="2:16" ht="15.75" customHeight="1">
      <c r="B171" s="28"/>
      <c r="C171" s="3"/>
      <c r="E171" s="35"/>
      <c r="F171" s="28"/>
      <c r="G171" s="28"/>
      <c r="H171" s="29"/>
      <c r="I171" s="14"/>
      <c r="K171" s="3"/>
      <c r="M171" s="3"/>
      <c r="N171" s="3"/>
      <c r="O171" s="52"/>
      <c r="P171" s="3"/>
    </row>
    <row r="172" spans="2:16" ht="15.75" customHeight="1">
      <c r="B172" s="28"/>
      <c r="C172" s="3"/>
      <c r="E172" s="35"/>
      <c r="F172" s="28"/>
      <c r="G172" s="28"/>
      <c r="H172" s="29"/>
      <c r="I172" s="14"/>
      <c r="K172" s="3"/>
      <c r="M172" s="3"/>
      <c r="N172" s="3"/>
      <c r="O172" s="52"/>
      <c r="P172" s="3"/>
    </row>
    <row r="173" spans="2:16" ht="15.75" customHeight="1">
      <c r="B173" s="28"/>
      <c r="C173" s="3"/>
      <c r="E173" s="35"/>
      <c r="F173" s="28"/>
      <c r="G173" s="28"/>
      <c r="H173" s="29"/>
      <c r="I173" s="14"/>
      <c r="K173" s="3"/>
      <c r="M173" s="3"/>
      <c r="N173" s="3"/>
      <c r="O173" s="52"/>
      <c r="P173" s="3"/>
    </row>
    <row r="174" spans="2:16" ht="15.75" customHeight="1">
      <c r="B174" s="28"/>
      <c r="C174" s="3"/>
      <c r="E174" s="35"/>
      <c r="F174" s="28"/>
      <c r="G174" s="28"/>
      <c r="H174" s="29"/>
      <c r="I174" s="14"/>
      <c r="K174" s="3"/>
      <c r="M174" s="3"/>
      <c r="N174" s="3"/>
      <c r="O174" s="52"/>
      <c r="P174" s="3"/>
    </row>
    <row r="175" spans="2:16" ht="15.75" customHeight="1">
      <c r="B175" s="28"/>
      <c r="C175" s="3"/>
      <c r="E175" s="35"/>
      <c r="F175" s="28"/>
      <c r="G175" s="28"/>
      <c r="H175" s="29"/>
      <c r="I175" s="14"/>
      <c r="K175" s="3"/>
      <c r="M175" s="3"/>
      <c r="N175" s="3"/>
      <c r="O175" s="52"/>
      <c r="P175" s="3"/>
    </row>
    <row r="176" spans="2:16" ht="15.75" customHeight="1">
      <c r="B176" s="28"/>
      <c r="C176" s="3"/>
      <c r="E176" s="35"/>
      <c r="F176" s="28"/>
      <c r="G176" s="28"/>
      <c r="H176" s="29"/>
      <c r="I176" s="14"/>
      <c r="K176" s="3"/>
      <c r="M176" s="3"/>
      <c r="N176" s="3"/>
      <c r="O176" s="52"/>
      <c r="P176" s="3"/>
    </row>
    <row r="177" spans="2:16" ht="15.75" customHeight="1">
      <c r="B177" s="28"/>
      <c r="C177" s="3"/>
      <c r="E177" s="35"/>
      <c r="F177" s="28"/>
      <c r="G177" s="28"/>
      <c r="H177" s="29"/>
      <c r="I177" s="14"/>
      <c r="K177" s="3"/>
      <c r="M177" s="3"/>
      <c r="N177" s="3"/>
      <c r="O177" s="52"/>
      <c r="P177" s="3"/>
    </row>
    <row r="178" spans="2:16" ht="15.75" customHeight="1">
      <c r="B178" s="28"/>
      <c r="C178" s="3"/>
      <c r="E178" s="35"/>
      <c r="F178" s="28"/>
      <c r="G178" s="28"/>
      <c r="H178" s="29"/>
      <c r="I178" s="14"/>
      <c r="K178" s="3"/>
      <c r="M178" s="3"/>
      <c r="N178" s="3"/>
      <c r="O178" s="52"/>
      <c r="P178" s="3"/>
    </row>
    <row r="179" spans="2:16" ht="15.75" customHeight="1">
      <c r="B179" s="28"/>
      <c r="C179" s="3"/>
      <c r="E179" s="35"/>
      <c r="F179" s="28"/>
      <c r="G179" s="28"/>
      <c r="H179" s="29"/>
      <c r="I179" s="14"/>
      <c r="K179" s="3"/>
      <c r="M179" s="3"/>
      <c r="N179" s="3"/>
      <c r="O179" s="52"/>
      <c r="P179" s="3"/>
    </row>
    <row r="180" spans="2:16" ht="15.75" customHeight="1">
      <c r="B180" s="28"/>
      <c r="C180" s="3"/>
      <c r="E180" s="35"/>
      <c r="F180" s="28"/>
      <c r="G180" s="28"/>
      <c r="H180" s="29"/>
      <c r="I180" s="14"/>
      <c r="K180" s="3"/>
      <c r="M180" s="3"/>
      <c r="N180" s="3"/>
      <c r="O180" s="52"/>
      <c r="P180" s="3"/>
    </row>
    <row r="181" spans="2:16" ht="15.75" customHeight="1">
      <c r="B181" s="28"/>
      <c r="C181" s="3"/>
      <c r="E181" s="35"/>
      <c r="F181" s="28"/>
      <c r="G181" s="28"/>
      <c r="H181" s="29"/>
      <c r="I181" s="14"/>
      <c r="K181" s="3"/>
      <c r="M181" s="3"/>
      <c r="N181" s="3"/>
      <c r="O181" s="52"/>
      <c r="P181" s="3"/>
    </row>
    <row r="182" spans="2:16" ht="15.75" customHeight="1">
      <c r="B182" s="28"/>
      <c r="C182" s="3"/>
      <c r="E182" s="35"/>
      <c r="F182" s="28"/>
      <c r="G182" s="28"/>
      <c r="H182" s="29"/>
      <c r="I182" s="14"/>
      <c r="K182" s="3"/>
      <c r="M182" s="3"/>
      <c r="N182" s="3"/>
      <c r="O182" s="52"/>
      <c r="P182" s="3"/>
    </row>
    <row r="183" spans="2:16" ht="15.75" customHeight="1">
      <c r="B183" s="28"/>
      <c r="C183" s="3"/>
      <c r="E183" s="35"/>
      <c r="F183" s="28"/>
      <c r="G183" s="28"/>
      <c r="H183" s="29"/>
      <c r="I183" s="14"/>
      <c r="K183" s="3"/>
      <c r="M183" s="3"/>
      <c r="N183" s="3"/>
      <c r="O183" s="52"/>
      <c r="P183" s="3"/>
    </row>
    <row r="184" spans="2:16" ht="15.75" customHeight="1">
      <c r="B184" s="28"/>
      <c r="C184" s="3"/>
      <c r="E184" s="35"/>
      <c r="F184" s="28"/>
      <c r="G184" s="28"/>
      <c r="H184" s="29"/>
      <c r="I184" s="14"/>
      <c r="K184" s="3"/>
      <c r="M184" s="3"/>
      <c r="N184" s="3"/>
      <c r="O184" s="52"/>
      <c r="P184" s="3"/>
    </row>
    <row r="185" spans="2:16" ht="15.75" customHeight="1">
      <c r="B185" s="28"/>
      <c r="C185" s="3"/>
      <c r="E185" s="35"/>
      <c r="F185" s="28"/>
      <c r="G185" s="28"/>
      <c r="H185" s="29"/>
      <c r="I185" s="14"/>
      <c r="K185" s="3"/>
      <c r="M185" s="3"/>
      <c r="N185" s="3"/>
      <c r="O185" s="52"/>
      <c r="P185" s="3"/>
    </row>
    <row r="186" spans="2:16" ht="15.75" customHeight="1">
      <c r="B186" s="28"/>
      <c r="C186" s="3"/>
      <c r="E186" s="35"/>
      <c r="F186" s="28"/>
      <c r="G186" s="28"/>
      <c r="H186" s="29"/>
      <c r="I186" s="14"/>
      <c r="K186" s="3"/>
      <c r="M186" s="3"/>
      <c r="N186" s="3"/>
      <c r="O186" s="52"/>
      <c r="P186" s="3"/>
    </row>
    <row r="187" spans="2:16" ht="15.75" customHeight="1">
      <c r="B187" s="28"/>
      <c r="C187" s="3"/>
      <c r="E187" s="35"/>
      <c r="F187" s="28"/>
      <c r="G187" s="28"/>
      <c r="H187" s="29"/>
      <c r="I187" s="14"/>
      <c r="K187" s="3"/>
      <c r="M187" s="3"/>
      <c r="N187" s="3"/>
      <c r="O187" s="52"/>
      <c r="P187" s="3"/>
    </row>
    <row r="188" spans="2:16" ht="15.75" customHeight="1">
      <c r="B188" s="28"/>
      <c r="C188" s="3"/>
      <c r="E188" s="35"/>
      <c r="F188" s="28"/>
      <c r="G188" s="28"/>
      <c r="H188" s="29"/>
      <c r="I188" s="14"/>
      <c r="K188" s="3"/>
      <c r="M188" s="3"/>
      <c r="N188" s="3"/>
      <c r="O188" s="52"/>
      <c r="P188" s="3"/>
    </row>
    <row r="189" spans="2:16" ht="15.75" customHeight="1">
      <c r="B189" s="28"/>
      <c r="C189" s="3"/>
      <c r="E189" s="35"/>
      <c r="F189" s="28"/>
      <c r="G189" s="28"/>
      <c r="H189" s="29"/>
      <c r="I189" s="14"/>
      <c r="K189" s="3"/>
      <c r="M189" s="3"/>
      <c r="N189" s="3"/>
      <c r="O189" s="52"/>
      <c r="P189" s="3"/>
    </row>
    <row r="190" spans="2:16" ht="15.75" customHeight="1">
      <c r="B190" s="28"/>
      <c r="C190" s="3"/>
      <c r="E190" s="35"/>
      <c r="F190" s="28"/>
      <c r="G190" s="28"/>
      <c r="H190" s="29"/>
      <c r="I190" s="14"/>
      <c r="K190" s="3"/>
      <c r="M190" s="3"/>
      <c r="N190" s="3"/>
      <c r="O190" s="52"/>
      <c r="P190" s="3"/>
    </row>
    <row r="191" spans="2:16" ht="15.75" customHeight="1">
      <c r="B191" s="28"/>
      <c r="C191" s="3"/>
      <c r="E191" s="35"/>
      <c r="F191" s="28"/>
      <c r="G191" s="28"/>
      <c r="H191" s="29"/>
      <c r="I191" s="14"/>
      <c r="K191" s="3"/>
      <c r="M191" s="3"/>
      <c r="N191" s="3"/>
      <c r="O191" s="52"/>
      <c r="P191" s="3"/>
    </row>
    <row r="192" spans="2:16" ht="15.75" customHeight="1">
      <c r="B192" s="28"/>
      <c r="C192" s="3"/>
      <c r="E192" s="35"/>
      <c r="F192" s="28"/>
      <c r="G192" s="28"/>
      <c r="H192" s="29"/>
      <c r="I192" s="14"/>
      <c r="K192" s="3"/>
      <c r="M192" s="3"/>
      <c r="N192" s="3"/>
      <c r="O192" s="52"/>
      <c r="P192" s="3"/>
    </row>
    <row r="193" spans="2:16" ht="15.75" customHeight="1">
      <c r="B193" s="28"/>
      <c r="C193" s="3"/>
      <c r="E193" s="35"/>
      <c r="F193" s="28"/>
      <c r="G193" s="28"/>
      <c r="H193" s="29"/>
      <c r="I193" s="14"/>
      <c r="K193" s="3"/>
      <c r="M193" s="3"/>
      <c r="N193" s="3"/>
      <c r="O193" s="52"/>
      <c r="P193" s="3"/>
    </row>
    <row r="194" spans="2:16" ht="15.75" customHeight="1">
      <c r="B194" s="28"/>
      <c r="C194" s="3"/>
      <c r="E194" s="35"/>
      <c r="F194" s="28"/>
      <c r="G194" s="28"/>
      <c r="H194" s="29"/>
      <c r="I194" s="14"/>
      <c r="K194" s="3"/>
      <c r="M194" s="3"/>
      <c r="N194" s="3"/>
      <c r="O194" s="52"/>
      <c r="P194" s="3"/>
    </row>
    <row r="195" spans="2:16" ht="15.75" customHeight="1">
      <c r="B195" s="28"/>
      <c r="C195" s="3"/>
      <c r="E195" s="35"/>
      <c r="F195" s="28"/>
      <c r="G195" s="28"/>
      <c r="H195" s="29"/>
      <c r="I195" s="14"/>
      <c r="K195" s="3"/>
      <c r="M195" s="3"/>
      <c r="N195" s="3"/>
      <c r="O195" s="52"/>
      <c r="P195" s="3"/>
    </row>
    <row r="196" spans="2:16" ht="15.75" customHeight="1">
      <c r="B196" s="28"/>
      <c r="C196" s="3"/>
      <c r="E196" s="35"/>
      <c r="F196" s="28"/>
      <c r="G196" s="28"/>
      <c r="H196" s="29"/>
      <c r="I196" s="14"/>
      <c r="K196" s="3"/>
      <c r="M196" s="3"/>
      <c r="N196" s="3"/>
      <c r="O196" s="52"/>
      <c r="P196" s="3"/>
    </row>
    <row r="197" spans="2:16" ht="15.75" customHeight="1">
      <c r="B197" s="28"/>
      <c r="C197" s="3"/>
      <c r="E197" s="35"/>
      <c r="F197" s="28"/>
      <c r="G197" s="28"/>
      <c r="H197" s="29"/>
      <c r="I197" s="14"/>
      <c r="K197" s="3"/>
      <c r="M197" s="3"/>
      <c r="N197" s="3"/>
      <c r="O197" s="52"/>
      <c r="P197" s="3"/>
    </row>
    <row r="198" spans="2:16" ht="15.75" customHeight="1">
      <c r="B198" s="28"/>
      <c r="C198" s="3"/>
      <c r="E198" s="35"/>
      <c r="F198" s="28"/>
      <c r="G198" s="28"/>
      <c r="H198" s="29"/>
      <c r="I198" s="14"/>
      <c r="K198" s="3"/>
      <c r="M198" s="3"/>
      <c r="N198" s="3"/>
      <c r="O198" s="52"/>
      <c r="P198" s="3"/>
    </row>
    <row r="199" spans="2:16" ht="15.75" customHeight="1">
      <c r="B199" s="28"/>
      <c r="C199" s="3"/>
      <c r="E199" s="35"/>
      <c r="F199" s="28"/>
      <c r="G199" s="28"/>
      <c r="H199" s="29"/>
      <c r="I199" s="14"/>
      <c r="K199" s="3"/>
      <c r="M199" s="3"/>
      <c r="N199" s="3"/>
      <c r="O199" s="52"/>
      <c r="P199" s="3"/>
    </row>
    <row r="200" spans="2:16" ht="15.75" customHeight="1">
      <c r="B200" s="28"/>
      <c r="C200" s="3"/>
      <c r="E200" s="35"/>
      <c r="F200" s="28"/>
      <c r="G200" s="28"/>
      <c r="H200" s="29"/>
      <c r="I200" s="14"/>
      <c r="K200" s="3"/>
      <c r="M200" s="3"/>
      <c r="N200" s="3"/>
      <c r="O200" s="52"/>
      <c r="P200" s="3"/>
    </row>
    <row r="201" spans="2:16" ht="15.75" customHeight="1">
      <c r="B201" s="28"/>
      <c r="C201" s="3"/>
      <c r="E201" s="35"/>
      <c r="F201" s="28"/>
      <c r="G201" s="28"/>
      <c r="H201" s="29"/>
      <c r="I201" s="14"/>
      <c r="K201" s="3"/>
      <c r="M201" s="3"/>
      <c r="N201" s="3"/>
      <c r="O201" s="52"/>
      <c r="P201" s="3"/>
    </row>
    <row r="202" spans="2:16" ht="15.75" customHeight="1">
      <c r="B202" s="28"/>
      <c r="C202" s="3"/>
      <c r="E202" s="35"/>
      <c r="F202" s="28"/>
      <c r="G202" s="28"/>
      <c r="H202" s="29"/>
      <c r="I202" s="14"/>
      <c r="K202" s="3"/>
      <c r="M202" s="3"/>
      <c r="N202" s="3"/>
      <c r="O202" s="52"/>
      <c r="P202" s="3"/>
    </row>
    <row r="203" spans="2:16" ht="15.75" customHeight="1">
      <c r="B203" s="28"/>
      <c r="C203" s="3"/>
      <c r="E203" s="35"/>
      <c r="F203" s="28"/>
      <c r="G203" s="28"/>
      <c r="H203" s="29"/>
      <c r="I203" s="14"/>
      <c r="K203" s="3"/>
      <c r="M203" s="3"/>
      <c r="N203" s="3"/>
      <c r="O203" s="52"/>
      <c r="P203" s="3"/>
    </row>
    <row r="204" spans="2:16" ht="15.75" customHeight="1">
      <c r="B204" s="28"/>
      <c r="C204" s="3"/>
      <c r="E204" s="35"/>
      <c r="F204" s="28"/>
      <c r="G204" s="28"/>
      <c r="H204" s="29"/>
      <c r="I204" s="14"/>
      <c r="K204" s="3"/>
      <c r="M204" s="3"/>
      <c r="N204" s="3"/>
      <c r="O204" s="52"/>
      <c r="P204" s="3"/>
    </row>
    <row r="205" spans="2:16" ht="15.75" customHeight="1">
      <c r="B205" s="28"/>
      <c r="C205" s="3"/>
      <c r="E205" s="35"/>
      <c r="F205" s="28"/>
      <c r="G205" s="28"/>
      <c r="H205" s="29"/>
      <c r="I205" s="14"/>
      <c r="K205" s="3"/>
      <c r="M205" s="3"/>
      <c r="N205" s="3"/>
      <c r="O205" s="52"/>
      <c r="P205" s="3"/>
    </row>
    <row r="206" spans="2:16" ht="15.75" customHeight="1">
      <c r="B206" s="28"/>
      <c r="C206" s="3"/>
      <c r="E206" s="35"/>
      <c r="F206" s="28"/>
      <c r="G206" s="28"/>
      <c r="H206" s="29"/>
      <c r="I206" s="14"/>
      <c r="K206" s="3"/>
      <c r="M206" s="3"/>
      <c r="N206" s="3"/>
      <c r="O206" s="52"/>
      <c r="P206" s="3"/>
    </row>
    <row r="207" spans="2:16" ht="15.75" customHeight="1">
      <c r="B207" s="28"/>
      <c r="C207" s="3"/>
      <c r="E207" s="35"/>
      <c r="F207" s="28"/>
      <c r="G207" s="28"/>
      <c r="H207" s="29"/>
      <c r="I207" s="14"/>
      <c r="K207" s="3"/>
      <c r="M207" s="3"/>
      <c r="N207" s="3"/>
      <c r="O207" s="52"/>
      <c r="P207" s="3"/>
    </row>
    <row r="208" spans="2:16" ht="15.75" customHeight="1">
      <c r="B208" s="28"/>
      <c r="C208" s="3"/>
      <c r="E208" s="35"/>
      <c r="F208" s="28"/>
      <c r="G208" s="28"/>
      <c r="H208" s="29"/>
      <c r="I208" s="14"/>
      <c r="K208" s="3"/>
      <c r="M208" s="3"/>
      <c r="N208" s="3"/>
      <c r="O208" s="52"/>
      <c r="P208" s="3"/>
    </row>
    <row r="209" spans="2:16" ht="15.75" customHeight="1">
      <c r="B209" s="28"/>
      <c r="C209" s="3"/>
      <c r="E209" s="35"/>
      <c r="F209" s="28"/>
      <c r="G209" s="28"/>
      <c r="H209" s="29"/>
      <c r="I209" s="14"/>
      <c r="K209" s="3"/>
      <c r="M209" s="3"/>
      <c r="N209" s="3"/>
      <c r="O209" s="52"/>
      <c r="P209" s="3"/>
    </row>
    <row r="210" spans="2:16" ht="15.75" customHeight="1">
      <c r="B210" s="28"/>
      <c r="C210" s="3"/>
      <c r="E210" s="35"/>
      <c r="F210" s="28"/>
      <c r="G210" s="28"/>
      <c r="H210" s="29"/>
      <c r="I210" s="14"/>
      <c r="K210" s="3"/>
      <c r="M210" s="3"/>
      <c r="N210" s="3"/>
      <c r="O210" s="52"/>
      <c r="P210" s="3"/>
    </row>
    <row r="211" spans="2:16" ht="15.75" customHeight="1">
      <c r="B211" s="28"/>
      <c r="C211" s="3"/>
      <c r="E211" s="35"/>
      <c r="F211" s="28"/>
      <c r="G211" s="28"/>
      <c r="H211" s="29"/>
      <c r="I211" s="14"/>
      <c r="K211" s="3"/>
      <c r="M211" s="3"/>
      <c r="N211" s="3"/>
      <c r="O211" s="52"/>
      <c r="P211" s="3"/>
    </row>
    <row r="212" spans="2:16" ht="15.75" customHeight="1">
      <c r="B212" s="28"/>
      <c r="C212" s="3"/>
      <c r="E212" s="35"/>
      <c r="F212" s="28"/>
      <c r="G212" s="28"/>
      <c r="H212" s="29"/>
      <c r="I212" s="14"/>
      <c r="K212" s="3"/>
      <c r="M212" s="3"/>
      <c r="N212" s="3"/>
      <c r="O212" s="52"/>
      <c r="P212" s="3"/>
    </row>
    <row r="213" spans="2:16" ht="15.75" customHeight="1">
      <c r="B213" s="28"/>
      <c r="C213" s="3"/>
      <c r="E213" s="35"/>
      <c r="F213" s="28"/>
      <c r="G213" s="28"/>
      <c r="H213" s="29"/>
      <c r="I213" s="14"/>
      <c r="K213" s="3"/>
      <c r="M213" s="3"/>
      <c r="N213" s="3"/>
      <c r="O213" s="52"/>
      <c r="P213" s="3"/>
    </row>
    <row r="214" spans="2:16" ht="15.75" customHeight="1">
      <c r="E214" s="2"/>
      <c r="H214" s="29"/>
      <c r="I214" s="30"/>
    </row>
    <row r="215" spans="2:16" ht="15.75" customHeight="1">
      <c r="E215" s="2"/>
      <c r="H215" s="29"/>
      <c r="I215" s="30"/>
    </row>
    <row r="216" spans="2:16" ht="15.75" customHeight="1">
      <c r="E216" s="2"/>
      <c r="H216" s="29"/>
      <c r="I216" s="30"/>
    </row>
    <row r="217" spans="2:16" ht="15.75" customHeight="1">
      <c r="E217" s="2"/>
      <c r="H217" s="29"/>
      <c r="I217" s="30"/>
    </row>
    <row r="218" spans="2:16" ht="15.75" customHeight="1">
      <c r="E218" s="2"/>
      <c r="H218" s="29"/>
      <c r="I218" s="30"/>
    </row>
    <row r="219" spans="2:16" ht="15.75" customHeight="1">
      <c r="E219" s="2"/>
      <c r="H219" s="29"/>
      <c r="I219" s="30"/>
    </row>
    <row r="220" spans="2:16" ht="15.75" customHeight="1">
      <c r="E220" s="2"/>
      <c r="H220" s="29"/>
      <c r="I220" s="30"/>
    </row>
    <row r="221" spans="2:16" ht="15.75" customHeight="1">
      <c r="E221" s="2"/>
      <c r="H221" s="29"/>
      <c r="I221" s="30"/>
    </row>
    <row r="222" spans="2:16" ht="15.75" customHeight="1">
      <c r="E222" s="2"/>
      <c r="H222" s="29"/>
      <c r="I222" s="30"/>
    </row>
    <row r="223" spans="2:16" ht="15.75" customHeight="1">
      <c r="E223" s="2"/>
      <c r="H223" s="29"/>
      <c r="I223" s="30"/>
    </row>
    <row r="224" spans="2:16" ht="15.75" customHeight="1">
      <c r="E224" s="2"/>
      <c r="H224" s="29"/>
      <c r="I224" s="30"/>
    </row>
    <row r="225" spans="5:9" ht="15.75" customHeight="1">
      <c r="E225" s="2"/>
      <c r="H225" s="29"/>
      <c r="I225" s="30"/>
    </row>
    <row r="226" spans="5:9" ht="15.75" customHeight="1">
      <c r="E226" s="2"/>
      <c r="H226" s="29"/>
      <c r="I226" s="30"/>
    </row>
    <row r="227" spans="5:9" ht="15.75" customHeight="1">
      <c r="E227" s="2"/>
      <c r="H227" s="29"/>
      <c r="I227" s="30"/>
    </row>
    <row r="228" spans="5:9" ht="15.75" customHeight="1">
      <c r="E228" s="2"/>
      <c r="H228" s="29"/>
      <c r="I228" s="30"/>
    </row>
    <row r="229" spans="5:9" ht="15.75" customHeight="1">
      <c r="E229" s="2"/>
      <c r="H229" s="29"/>
      <c r="I229" s="30"/>
    </row>
    <row r="230" spans="5:9" ht="15.75" customHeight="1">
      <c r="E230" s="2"/>
      <c r="H230" s="29"/>
      <c r="I230" s="30"/>
    </row>
    <row r="231" spans="5:9" ht="15.75" customHeight="1">
      <c r="E231" s="2"/>
      <c r="H231" s="29"/>
      <c r="I231" s="30"/>
    </row>
    <row r="232" spans="5:9" ht="15.75" customHeight="1">
      <c r="E232" s="2"/>
      <c r="H232" s="29"/>
      <c r="I232" s="30"/>
    </row>
    <row r="233" spans="5:9" ht="15.75" customHeight="1">
      <c r="E233" s="2"/>
      <c r="H233" s="29"/>
      <c r="I233" s="30"/>
    </row>
    <row r="234" spans="5:9" ht="15.75" customHeight="1">
      <c r="E234" s="2"/>
      <c r="H234" s="29"/>
      <c r="I234" s="30"/>
    </row>
    <row r="235" spans="5:9" ht="15.75" customHeight="1">
      <c r="E235" s="2"/>
      <c r="H235" s="29"/>
      <c r="I235" s="30"/>
    </row>
    <row r="236" spans="5:9" ht="15.75" customHeight="1">
      <c r="E236" s="2"/>
      <c r="H236" s="29"/>
      <c r="I236" s="30"/>
    </row>
    <row r="237" spans="5:9" ht="15.75" customHeight="1">
      <c r="E237" s="2"/>
      <c r="H237" s="29"/>
      <c r="I237" s="30"/>
    </row>
    <row r="238" spans="5:9" ht="15.75" customHeight="1">
      <c r="E238" s="2"/>
      <c r="H238" s="29"/>
      <c r="I238" s="30"/>
    </row>
    <row r="239" spans="5:9" ht="15.75" customHeight="1">
      <c r="E239" s="2"/>
      <c r="H239" s="29"/>
      <c r="I239" s="30"/>
    </row>
    <row r="240" spans="5:9" ht="15.75" customHeight="1">
      <c r="E240" s="2"/>
      <c r="H240" s="29"/>
      <c r="I240" s="30"/>
    </row>
    <row r="241" spans="5:9" ht="15.75" customHeight="1">
      <c r="E241" s="2"/>
      <c r="H241" s="29"/>
      <c r="I241" s="30"/>
    </row>
    <row r="242" spans="5:9" ht="15.75" customHeight="1">
      <c r="E242" s="2"/>
      <c r="H242" s="29"/>
      <c r="I242" s="30"/>
    </row>
    <row r="243" spans="5:9" ht="15.75" customHeight="1">
      <c r="E243" s="2"/>
      <c r="H243" s="29"/>
      <c r="I243" s="30"/>
    </row>
    <row r="244" spans="5:9" ht="15.75" customHeight="1">
      <c r="E244" s="2"/>
      <c r="H244" s="29"/>
      <c r="I244" s="30"/>
    </row>
    <row r="245" spans="5:9" ht="15.75" customHeight="1">
      <c r="E245" s="2"/>
      <c r="H245" s="29"/>
      <c r="I245" s="30"/>
    </row>
    <row r="246" spans="5:9" ht="15.75" customHeight="1">
      <c r="E246" s="2"/>
      <c r="H246" s="29"/>
      <c r="I246" s="30"/>
    </row>
    <row r="247" spans="5:9" ht="15.75" customHeight="1">
      <c r="E247" s="2"/>
      <c r="H247" s="29"/>
      <c r="I247" s="30"/>
    </row>
    <row r="248" spans="5:9" ht="15.75" customHeight="1">
      <c r="E248" s="2"/>
      <c r="H248" s="29"/>
      <c r="I248" s="30"/>
    </row>
    <row r="249" spans="5:9" ht="15.75" customHeight="1">
      <c r="E249" s="2"/>
      <c r="H249" s="29"/>
      <c r="I249" s="30"/>
    </row>
    <row r="250" spans="5:9" ht="15.75" customHeight="1">
      <c r="E250" s="2"/>
      <c r="H250" s="29"/>
      <c r="I250" s="30"/>
    </row>
    <row r="251" spans="5:9" ht="15.75" customHeight="1">
      <c r="E251" s="2"/>
      <c r="H251" s="29"/>
      <c r="I251" s="30"/>
    </row>
    <row r="252" spans="5:9" ht="15.75" customHeight="1">
      <c r="E252" s="2"/>
      <c r="H252" s="29"/>
      <c r="I252" s="30"/>
    </row>
    <row r="253" spans="5:9" ht="15.75" customHeight="1">
      <c r="E253" s="2"/>
      <c r="H253" s="29"/>
      <c r="I253" s="30"/>
    </row>
    <row r="254" spans="5:9" ht="15.75" customHeight="1">
      <c r="E254" s="2"/>
      <c r="H254" s="29"/>
      <c r="I254" s="30"/>
    </row>
    <row r="255" spans="5:9" ht="15.75" customHeight="1">
      <c r="E255" s="2"/>
      <c r="H255" s="29"/>
      <c r="I255" s="30"/>
    </row>
    <row r="256" spans="5:9" ht="15.75" customHeight="1">
      <c r="E256" s="2"/>
      <c r="H256" s="29"/>
      <c r="I256" s="30"/>
    </row>
    <row r="257" spans="5:9" ht="15.75" customHeight="1">
      <c r="E257" s="2"/>
      <c r="H257" s="29"/>
      <c r="I257" s="30"/>
    </row>
    <row r="258" spans="5:9" ht="15.75" customHeight="1">
      <c r="E258" s="2"/>
      <c r="H258" s="29"/>
      <c r="I258" s="30"/>
    </row>
    <row r="259" spans="5:9" ht="15.75" customHeight="1">
      <c r="E259" s="2"/>
      <c r="H259" s="29"/>
      <c r="I259" s="30"/>
    </row>
    <row r="260" spans="5:9" ht="15.75" customHeight="1">
      <c r="E260" s="2"/>
      <c r="H260" s="29"/>
      <c r="I260" s="30"/>
    </row>
    <row r="261" spans="5:9" ht="15.75" customHeight="1">
      <c r="E261" s="2"/>
      <c r="H261" s="29"/>
      <c r="I261" s="30"/>
    </row>
    <row r="262" spans="5:9" ht="15.75" customHeight="1">
      <c r="E262" s="2"/>
      <c r="H262" s="29"/>
      <c r="I262" s="30"/>
    </row>
    <row r="263" spans="5:9" ht="15.75" customHeight="1">
      <c r="E263" s="2"/>
      <c r="H263" s="29"/>
      <c r="I263" s="30"/>
    </row>
    <row r="264" spans="5:9" ht="15.75" customHeight="1">
      <c r="E264" s="2"/>
      <c r="H264" s="29"/>
      <c r="I264" s="30"/>
    </row>
    <row r="265" spans="5:9" ht="15.75" customHeight="1">
      <c r="E265" s="2"/>
      <c r="H265" s="29"/>
      <c r="I265" s="30"/>
    </row>
    <row r="266" spans="5:9" ht="15.75" customHeight="1">
      <c r="E266" s="2"/>
      <c r="H266" s="29"/>
      <c r="I266" s="30"/>
    </row>
    <row r="267" spans="5:9" ht="15.75" customHeight="1">
      <c r="E267" s="2"/>
      <c r="H267" s="29"/>
      <c r="I267" s="30"/>
    </row>
    <row r="268" spans="5:9" ht="15.75" customHeight="1">
      <c r="E268" s="2"/>
      <c r="H268" s="29"/>
      <c r="I268" s="30"/>
    </row>
    <row r="269" spans="5:9" ht="15.75" customHeight="1">
      <c r="E269" s="2"/>
      <c r="H269" s="29"/>
      <c r="I269" s="30"/>
    </row>
    <row r="270" spans="5:9" ht="15.75" customHeight="1">
      <c r="E270" s="2"/>
      <c r="H270" s="29"/>
      <c r="I270" s="30"/>
    </row>
    <row r="271" spans="5:9" ht="15.75" customHeight="1">
      <c r="E271" s="2"/>
      <c r="H271" s="29"/>
      <c r="I271" s="30"/>
    </row>
    <row r="272" spans="5:9" ht="15.75" customHeight="1">
      <c r="E272" s="2"/>
      <c r="H272" s="29"/>
      <c r="I272" s="30"/>
    </row>
    <row r="273" spans="5:9" ht="15.75" customHeight="1">
      <c r="E273" s="2"/>
      <c r="H273" s="29"/>
      <c r="I273" s="30"/>
    </row>
    <row r="274" spans="5:9" ht="15.75" customHeight="1">
      <c r="E274" s="2"/>
      <c r="H274" s="29"/>
      <c r="I274" s="30"/>
    </row>
    <row r="275" spans="5:9" ht="15.75" customHeight="1">
      <c r="E275" s="2"/>
      <c r="H275" s="29"/>
      <c r="I275" s="30"/>
    </row>
    <row r="276" spans="5:9" ht="15.75" customHeight="1">
      <c r="E276" s="2"/>
      <c r="H276" s="29"/>
      <c r="I276" s="30"/>
    </row>
    <row r="277" spans="5:9" ht="15.75" customHeight="1">
      <c r="E277" s="2"/>
      <c r="H277" s="29"/>
      <c r="I277" s="30"/>
    </row>
    <row r="278" spans="5:9" ht="15.75" customHeight="1">
      <c r="E278" s="2"/>
      <c r="H278" s="29"/>
      <c r="I278" s="30"/>
    </row>
    <row r="279" spans="5:9" ht="15.75" customHeight="1">
      <c r="E279" s="2"/>
      <c r="H279" s="29"/>
      <c r="I279" s="30"/>
    </row>
    <row r="280" spans="5:9" ht="15.75" customHeight="1">
      <c r="E280" s="2"/>
      <c r="H280" s="29"/>
      <c r="I280" s="30"/>
    </row>
    <row r="281" spans="5:9" ht="15.75" customHeight="1">
      <c r="E281" s="2"/>
      <c r="H281" s="29"/>
      <c r="I281" s="30"/>
    </row>
    <row r="282" spans="5:9" ht="15.75" customHeight="1">
      <c r="E282" s="2"/>
      <c r="H282" s="29"/>
      <c r="I282" s="30"/>
    </row>
    <row r="283" spans="5:9" ht="15.75" customHeight="1">
      <c r="E283" s="2"/>
      <c r="H283" s="29"/>
      <c r="I283" s="30"/>
    </row>
    <row r="284" spans="5:9" ht="15.75" customHeight="1">
      <c r="E284" s="2"/>
      <c r="H284" s="29"/>
      <c r="I284" s="30"/>
    </row>
    <row r="285" spans="5:9" ht="15.75" customHeight="1">
      <c r="E285" s="2"/>
      <c r="H285" s="29"/>
      <c r="I285" s="30"/>
    </row>
    <row r="286" spans="5:9" ht="15.75" customHeight="1">
      <c r="E286" s="2"/>
      <c r="H286" s="29"/>
      <c r="I286" s="30"/>
    </row>
    <row r="287" spans="5:9" ht="15.75" customHeight="1">
      <c r="E287" s="2"/>
      <c r="H287" s="29"/>
      <c r="I287" s="30"/>
    </row>
    <row r="288" spans="5:9" ht="15.75" customHeight="1">
      <c r="E288" s="2"/>
      <c r="H288" s="29"/>
      <c r="I288" s="30"/>
    </row>
    <row r="289" spans="5:9" ht="15.75" customHeight="1">
      <c r="E289" s="2"/>
      <c r="H289" s="29"/>
      <c r="I289" s="30"/>
    </row>
    <row r="290" spans="5:9" ht="15.75" customHeight="1">
      <c r="E290" s="2"/>
      <c r="H290" s="29"/>
      <c r="I290" s="30"/>
    </row>
    <row r="291" spans="5:9" ht="15.75" customHeight="1">
      <c r="E291" s="2"/>
      <c r="H291" s="29"/>
      <c r="I291" s="30"/>
    </row>
    <row r="292" spans="5:9" ht="15.75" customHeight="1">
      <c r="E292" s="2"/>
      <c r="H292" s="29"/>
      <c r="I292" s="30"/>
    </row>
    <row r="293" spans="5:9" ht="15.75" customHeight="1">
      <c r="E293" s="2"/>
      <c r="H293" s="29"/>
      <c r="I293" s="30"/>
    </row>
    <row r="294" spans="5:9" ht="15.75" customHeight="1">
      <c r="E294" s="2"/>
      <c r="H294" s="29"/>
      <c r="I294" s="30"/>
    </row>
    <row r="295" spans="5:9" ht="15.75" customHeight="1">
      <c r="E295" s="2"/>
      <c r="H295" s="29"/>
      <c r="I295" s="30"/>
    </row>
    <row r="296" spans="5:9" ht="15.75" customHeight="1">
      <c r="E296" s="2"/>
      <c r="H296" s="29"/>
      <c r="I296" s="30"/>
    </row>
    <row r="297" spans="5:9" ht="15.75" customHeight="1">
      <c r="E297" s="2"/>
      <c r="H297" s="29"/>
      <c r="I297" s="30"/>
    </row>
    <row r="298" spans="5:9" ht="15.75" customHeight="1">
      <c r="E298" s="2"/>
      <c r="H298" s="29"/>
      <c r="I298" s="30"/>
    </row>
    <row r="299" spans="5:9" ht="15.75" customHeight="1">
      <c r="E299" s="2"/>
      <c r="H299" s="29"/>
      <c r="I299" s="30"/>
    </row>
    <row r="300" spans="5:9" ht="15.75" customHeight="1">
      <c r="E300" s="2"/>
      <c r="H300" s="29"/>
      <c r="I300" s="30"/>
    </row>
    <row r="301" spans="5:9" ht="15.75" customHeight="1">
      <c r="E301" s="2"/>
      <c r="H301" s="29"/>
      <c r="I301" s="30"/>
    </row>
    <row r="302" spans="5:9" ht="15.75" customHeight="1">
      <c r="E302" s="2"/>
      <c r="H302" s="29"/>
      <c r="I302" s="30"/>
    </row>
    <row r="303" spans="5:9" ht="15.75" customHeight="1">
      <c r="E303" s="2"/>
      <c r="H303" s="29"/>
      <c r="I303" s="30"/>
    </row>
    <row r="304" spans="5:9" ht="15.75" customHeight="1">
      <c r="E304" s="2"/>
      <c r="H304" s="29"/>
      <c r="I304" s="30"/>
    </row>
    <row r="305" spans="5:9" ht="15.75" customHeight="1">
      <c r="E305" s="2"/>
      <c r="H305" s="29"/>
      <c r="I305" s="30"/>
    </row>
    <row r="306" spans="5:9" ht="15.75" customHeight="1">
      <c r="E306" s="2"/>
      <c r="H306" s="29"/>
      <c r="I306" s="30"/>
    </row>
    <row r="307" spans="5:9" ht="15.75" customHeight="1">
      <c r="E307" s="2"/>
      <c r="H307" s="29"/>
      <c r="I307" s="30"/>
    </row>
    <row r="308" spans="5:9" ht="15.75" customHeight="1">
      <c r="E308" s="2"/>
      <c r="H308" s="29"/>
      <c r="I308" s="30"/>
    </row>
    <row r="309" spans="5:9" ht="15.75" customHeight="1">
      <c r="E309" s="2"/>
      <c r="H309" s="29"/>
      <c r="I309" s="30"/>
    </row>
    <row r="310" spans="5:9" ht="15.75" customHeight="1">
      <c r="E310" s="2"/>
      <c r="H310" s="29"/>
      <c r="I310" s="30"/>
    </row>
    <row r="311" spans="5:9" ht="15.75" customHeight="1">
      <c r="E311" s="2"/>
      <c r="H311" s="29"/>
      <c r="I311" s="30"/>
    </row>
    <row r="312" spans="5:9" ht="15.75" customHeight="1">
      <c r="E312" s="2"/>
      <c r="H312" s="29"/>
      <c r="I312" s="30"/>
    </row>
    <row r="313" spans="5:9" ht="15.75" customHeight="1">
      <c r="E313" s="2"/>
      <c r="H313" s="29"/>
      <c r="I313" s="30"/>
    </row>
    <row r="314" spans="5:9" ht="15.75" customHeight="1">
      <c r="E314" s="2"/>
      <c r="H314" s="29"/>
      <c r="I314" s="30"/>
    </row>
    <row r="315" spans="5:9" ht="15.75" customHeight="1">
      <c r="E315" s="2"/>
      <c r="H315" s="29"/>
      <c r="I315" s="30"/>
    </row>
    <row r="316" spans="5:9" ht="15.75" customHeight="1">
      <c r="E316" s="2"/>
      <c r="H316" s="29"/>
      <c r="I316" s="30"/>
    </row>
    <row r="317" spans="5:9" ht="15.75" customHeight="1">
      <c r="E317" s="2"/>
      <c r="H317" s="29"/>
      <c r="I317" s="30"/>
    </row>
    <row r="318" spans="5:9" ht="15.75" customHeight="1">
      <c r="E318" s="2"/>
      <c r="H318" s="29"/>
      <c r="I318" s="30"/>
    </row>
    <row r="319" spans="5:9" ht="15.75" customHeight="1">
      <c r="E319" s="2"/>
      <c r="H319" s="29"/>
      <c r="I319" s="30"/>
    </row>
    <row r="320" spans="5:9" ht="15.75" customHeight="1">
      <c r="E320" s="2"/>
      <c r="H320" s="29"/>
      <c r="I320" s="30"/>
    </row>
    <row r="321" spans="5:9" ht="15.75" customHeight="1">
      <c r="E321" s="2"/>
      <c r="H321" s="29"/>
      <c r="I321" s="30"/>
    </row>
    <row r="322" spans="5:9" ht="15.75" customHeight="1">
      <c r="E322" s="2"/>
      <c r="H322" s="29"/>
      <c r="I322" s="30"/>
    </row>
    <row r="323" spans="5:9" ht="15.75" customHeight="1">
      <c r="E323" s="2"/>
      <c r="H323" s="29"/>
      <c r="I323" s="30"/>
    </row>
    <row r="324" spans="5:9" ht="15.75" customHeight="1">
      <c r="E324" s="2"/>
      <c r="H324" s="29"/>
      <c r="I324" s="30"/>
    </row>
    <row r="325" spans="5:9" ht="15.75" customHeight="1">
      <c r="E325" s="2"/>
      <c r="H325" s="29"/>
      <c r="I325" s="30"/>
    </row>
    <row r="326" spans="5:9" ht="15.75" customHeight="1">
      <c r="E326" s="2"/>
      <c r="H326" s="29"/>
      <c r="I326" s="30"/>
    </row>
    <row r="327" spans="5:9" ht="15.75" customHeight="1">
      <c r="E327" s="2"/>
      <c r="H327" s="29"/>
      <c r="I327" s="30"/>
    </row>
    <row r="328" spans="5:9" ht="15.75" customHeight="1">
      <c r="E328" s="2"/>
      <c r="H328" s="29"/>
      <c r="I328" s="30"/>
    </row>
    <row r="329" spans="5:9" ht="15.75" customHeight="1">
      <c r="E329" s="2"/>
      <c r="H329" s="29"/>
      <c r="I329" s="30"/>
    </row>
    <row r="330" spans="5:9" ht="15.75" customHeight="1">
      <c r="E330" s="2"/>
      <c r="H330" s="29"/>
      <c r="I330" s="30"/>
    </row>
    <row r="331" spans="5:9" ht="15.75" customHeight="1">
      <c r="E331" s="2"/>
      <c r="H331" s="29"/>
      <c r="I331" s="30"/>
    </row>
    <row r="332" spans="5:9" ht="15.75" customHeight="1">
      <c r="E332" s="2"/>
      <c r="H332" s="29"/>
      <c r="I332" s="30"/>
    </row>
    <row r="333" spans="5:9" ht="15.75" customHeight="1">
      <c r="E333" s="2"/>
      <c r="H333" s="29"/>
      <c r="I333" s="30"/>
    </row>
    <row r="334" spans="5:9" ht="15.75" customHeight="1">
      <c r="E334" s="2"/>
      <c r="H334" s="29"/>
      <c r="I334" s="30"/>
    </row>
    <row r="335" spans="5:9" ht="15.75" customHeight="1">
      <c r="E335" s="2"/>
      <c r="H335" s="29"/>
      <c r="I335" s="30"/>
    </row>
    <row r="336" spans="5:9" ht="15.75" customHeight="1">
      <c r="E336" s="2"/>
      <c r="H336" s="29"/>
      <c r="I336" s="30"/>
    </row>
    <row r="337" spans="5:9" ht="15.75" customHeight="1">
      <c r="E337" s="2"/>
      <c r="H337" s="29"/>
      <c r="I337" s="30"/>
    </row>
    <row r="338" spans="5:9" ht="15.75" customHeight="1">
      <c r="E338" s="2"/>
      <c r="H338" s="29"/>
      <c r="I338" s="30"/>
    </row>
    <row r="339" spans="5:9" ht="15.75" customHeight="1">
      <c r="E339" s="2"/>
      <c r="H339" s="29"/>
      <c r="I339" s="30"/>
    </row>
    <row r="340" spans="5:9" ht="15.75" customHeight="1">
      <c r="E340" s="2"/>
      <c r="H340" s="29"/>
      <c r="I340" s="30"/>
    </row>
    <row r="341" spans="5:9" ht="15.75" customHeight="1">
      <c r="E341" s="2"/>
      <c r="H341" s="29"/>
      <c r="I341" s="30"/>
    </row>
    <row r="342" spans="5:9" ht="15.75" customHeight="1">
      <c r="E342" s="2"/>
      <c r="H342" s="29"/>
      <c r="I342" s="30"/>
    </row>
    <row r="343" spans="5:9" ht="15.75" customHeight="1">
      <c r="E343" s="2"/>
      <c r="H343" s="29"/>
      <c r="I343" s="30"/>
    </row>
    <row r="344" spans="5:9" ht="15.75" customHeight="1">
      <c r="E344" s="2"/>
      <c r="H344" s="29"/>
      <c r="I344" s="30"/>
    </row>
    <row r="345" spans="5:9" ht="15.75" customHeight="1">
      <c r="E345" s="2"/>
      <c r="H345" s="29"/>
      <c r="I345" s="30"/>
    </row>
    <row r="346" spans="5:9" ht="15.75" customHeight="1">
      <c r="E346" s="2"/>
      <c r="H346" s="29"/>
      <c r="I346" s="30"/>
    </row>
    <row r="347" spans="5:9" ht="15.75" customHeight="1">
      <c r="E347" s="2"/>
      <c r="H347" s="29"/>
      <c r="I347" s="30"/>
    </row>
    <row r="348" spans="5:9" ht="15.75" customHeight="1">
      <c r="E348" s="2"/>
      <c r="H348" s="29"/>
      <c r="I348" s="30"/>
    </row>
    <row r="349" spans="5:9" ht="15.75" customHeight="1">
      <c r="E349" s="2"/>
      <c r="H349" s="29"/>
      <c r="I349" s="30"/>
    </row>
    <row r="350" spans="5:9" ht="15.75" customHeight="1">
      <c r="E350" s="2"/>
      <c r="H350" s="29"/>
      <c r="I350" s="30"/>
    </row>
    <row r="351" spans="5:9" ht="15.75" customHeight="1">
      <c r="E351" s="2"/>
      <c r="H351" s="29"/>
      <c r="I351" s="30"/>
    </row>
    <row r="352" spans="5:9" ht="15.75" customHeight="1">
      <c r="E352" s="2"/>
      <c r="H352" s="29"/>
      <c r="I352" s="30"/>
    </row>
    <row r="353" spans="5:9" ht="15.75" customHeight="1">
      <c r="E353" s="2"/>
      <c r="H353" s="29"/>
      <c r="I353" s="30"/>
    </row>
    <row r="354" spans="5:9" ht="15.75" customHeight="1">
      <c r="E354" s="2"/>
      <c r="H354" s="29"/>
      <c r="I354" s="30"/>
    </row>
    <row r="355" spans="5:9" ht="15.75" customHeight="1">
      <c r="E355" s="2"/>
      <c r="H355" s="29"/>
      <c r="I355" s="30"/>
    </row>
    <row r="356" spans="5:9" ht="15.75" customHeight="1">
      <c r="E356" s="2"/>
      <c r="H356" s="29"/>
      <c r="I356" s="30"/>
    </row>
    <row r="357" spans="5:9" ht="15.75" customHeight="1">
      <c r="E357" s="2"/>
      <c r="H357" s="29"/>
      <c r="I357" s="30"/>
    </row>
    <row r="358" spans="5:9" ht="15.75" customHeight="1">
      <c r="E358" s="2"/>
      <c r="H358" s="29"/>
      <c r="I358" s="30"/>
    </row>
    <row r="359" spans="5:9" ht="15.75" customHeight="1">
      <c r="E359" s="2"/>
      <c r="H359" s="29"/>
      <c r="I359" s="30"/>
    </row>
    <row r="360" spans="5:9" ht="15.75" customHeight="1">
      <c r="E360" s="2"/>
      <c r="H360" s="29"/>
      <c r="I360" s="30"/>
    </row>
    <row r="361" spans="5:9" ht="15.75" customHeight="1">
      <c r="E361" s="2"/>
      <c r="H361" s="29"/>
      <c r="I361" s="30"/>
    </row>
    <row r="362" spans="5:9" ht="15.75" customHeight="1">
      <c r="E362" s="2"/>
      <c r="H362" s="29"/>
      <c r="I362" s="30"/>
    </row>
    <row r="363" spans="5:9" ht="15.75" customHeight="1">
      <c r="E363" s="2"/>
      <c r="H363" s="29"/>
      <c r="I363" s="30"/>
    </row>
    <row r="364" spans="5:9" ht="15.75" customHeight="1">
      <c r="E364" s="2"/>
      <c r="H364" s="29"/>
      <c r="I364" s="30"/>
    </row>
    <row r="365" spans="5:9" ht="15.75" customHeight="1">
      <c r="E365" s="2"/>
      <c r="H365" s="29"/>
      <c r="I365" s="30"/>
    </row>
    <row r="366" spans="5:9" ht="15.75" customHeight="1">
      <c r="E366" s="2"/>
      <c r="H366" s="29"/>
      <c r="I366" s="30"/>
    </row>
    <row r="367" spans="5:9" ht="15.75" customHeight="1">
      <c r="E367" s="2"/>
      <c r="H367" s="29"/>
      <c r="I367" s="30"/>
    </row>
    <row r="368" spans="5:9" ht="15.75" customHeight="1">
      <c r="E368" s="2"/>
      <c r="H368" s="29"/>
      <c r="I368" s="30"/>
    </row>
    <row r="369" spans="5:9" ht="15.75" customHeight="1">
      <c r="E369" s="2"/>
      <c r="H369" s="29"/>
      <c r="I369" s="30"/>
    </row>
    <row r="370" spans="5:9" ht="15.75" customHeight="1">
      <c r="E370" s="2"/>
      <c r="H370" s="29"/>
      <c r="I370" s="30"/>
    </row>
    <row r="371" spans="5:9" ht="15.75" customHeight="1">
      <c r="E371" s="2"/>
      <c r="H371" s="29"/>
      <c r="I371" s="30"/>
    </row>
    <row r="372" spans="5:9" ht="15.75" customHeight="1">
      <c r="E372" s="2"/>
      <c r="H372" s="29"/>
      <c r="I372" s="30"/>
    </row>
    <row r="373" spans="5:9" ht="15.75" customHeight="1">
      <c r="E373" s="2"/>
      <c r="H373" s="29"/>
      <c r="I373" s="30"/>
    </row>
    <row r="374" spans="5:9" ht="15.75" customHeight="1">
      <c r="E374" s="2"/>
      <c r="H374" s="29"/>
      <c r="I374" s="30"/>
    </row>
    <row r="375" spans="5:9" ht="15.75" customHeight="1">
      <c r="E375" s="2"/>
      <c r="H375" s="29"/>
      <c r="I375" s="30"/>
    </row>
    <row r="376" spans="5:9" ht="15.75" customHeight="1">
      <c r="E376" s="2"/>
      <c r="H376" s="29"/>
      <c r="I376" s="30"/>
    </row>
    <row r="377" spans="5:9" ht="15.75" customHeight="1">
      <c r="E377" s="2"/>
      <c r="H377" s="29"/>
      <c r="I377" s="30"/>
    </row>
    <row r="378" spans="5:9" ht="15.75" customHeight="1">
      <c r="E378" s="2"/>
      <c r="H378" s="29"/>
      <c r="I378" s="30"/>
    </row>
    <row r="379" spans="5:9" ht="15.75" customHeight="1">
      <c r="E379" s="2"/>
      <c r="H379" s="29"/>
      <c r="I379" s="30"/>
    </row>
    <row r="380" spans="5:9" ht="15.75" customHeight="1">
      <c r="E380" s="2"/>
      <c r="H380" s="29"/>
      <c r="I380" s="30"/>
    </row>
    <row r="381" spans="5:9" ht="15.75" customHeight="1">
      <c r="E381" s="2"/>
      <c r="H381" s="29"/>
      <c r="I381" s="30"/>
    </row>
    <row r="382" spans="5:9" ht="15.75" customHeight="1">
      <c r="E382" s="2"/>
      <c r="H382" s="29"/>
      <c r="I382" s="30"/>
    </row>
    <row r="383" spans="5:9" ht="15.75" customHeight="1">
      <c r="E383" s="2"/>
      <c r="H383" s="29"/>
      <c r="I383" s="30"/>
    </row>
    <row r="384" spans="5:9" ht="15.75" customHeight="1">
      <c r="E384" s="2"/>
      <c r="H384" s="29"/>
      <c r="I384" s="30"/>
    </row>
    <row r="385" spans="5:9" ht="15.75" customHeight="1">
      <c r="E385" s="2"/>
      <c r="H385" s="29"/>
      <c r="I385" s="30"/>
    </row>
    <row r="386" spans="5:9" ht="15.75" customHeight="1">
      <c r="E386" s="2"/>
      <c r="H386" s="29"/>
      <c r="I386" s="30"/>
    </row>
    <row r="387" spans="5:9" ht="15.75" customHeight="1">
      <c r="E387" s="2"/>
      <c r="H387" s="29"/>
      <c r="I387" s="30"/>
    </row>
    <row r="388" spans="5:9" ht="15.75" customHeight="1">
      <c r="E388" s="2"/>
      <c r="H388" s="29"/>
      <c r="I388" s="30"/>
    </row>
    <row r="389" spans="5:9" ht="15.75" customHeight="1">
      <c r="E389" s="2"/>
      <c r="H389" s="29"/>
      <c r="I389" s="30"/>
    </row>
    <row r="390" spans="5:9" ht="15.75" customHeight="1">
      <c r="E390" s="2"/>
      <c r="H390" s="29"/>
      <c r="I390" s="30"/>
    </row>
    <row r="391" spans="5:9" ht="15.75" customHeight="1">
      <c r="E391" s="2"/>
      <c r="H391" s="29"/>
      <c r="I391" s="30"/>
    </row>
    <row r="392" spans="5:9" ht="15.75" customHeight="1">
      <c r="E392" s="2"/>
      <c r="H392" s="29"/>
      <c r="I392" s="30"/>
    </row>
    <row r="393" spans="5:9" ht="15.75" customHeight="1">
      <c r="E393" s="2"/>
      <c r="H393" s="29"/>
      <c r="I393" s="30"/>
    </row>
    <row r="394" spans="5:9" ht="15.75" customHeight="1">
      <c r="E394" s="2"/>
      <c r="H394" s="29"/>
      <c r="I394" s="30"/>
    </row>
    <row r="395" spans="5:9" ht="15.75" customHeight="1">
      <c r="E395" s="2"/>
      <c r="H395" s="29"/>
      <c r="I395" s="30"/>
    </row>
    <row r="396" spans="5:9" ht="15.75" customHeight="1">
      <c r="E396" s="2"/>
      <c r="H396" s="29"/>
      <c r="I396" s="30"/>
    </row>
    <row r="397" spans="5:9" ht="15.75" customHeight="1">
      <c r="E397" s="2"/>
      <c r="H397" s="29"/>
      <c r="I397" s="30"/>
    </row>
    <row r="398" spans="5:9" ht="15.75" customHeight="1">
      <c r="E398" s="2"/>
      <c r="H398" s="29"/>
      <c r="I398" s="30"/>
    </row>
    <row r="399" spans="5:9" ht="15.75" customHeight="1">
      <c r="E399" s="2"/>
      <c r="H399" s="29"/>
      <c r="I399" s="30"/>
    </row>
    <row r="400" spans="5:9" ht="15.75" customHeight="1">
      <c r="E400" s="2"/>
      <c r="H400" s="29"/>
      <c r="I400" s="30"/>
    </row>
    <row r="401" spans="5:9" ht="15.75" customHeight="1">
      <c r="E401" s="2"/>
      <c r="H401" s="29"/>
      <c r="I401" s="30"/>
    </row>
    <row r="402" spans="5:9" ht="15.75" customHeight="1">
      <c r="E402" s="2"/>
      <c r="H402" s="29"/>
      <c r="I402" s="30"/>
    </row>
    <row r="403" spans="5:9" ht="15.75" customHeight="1">
      <c r="E403" s="2"/>
      <c r="H403" s="29"/>
      <c r="I403" s="30"/>
    </row>
    <row r="404" spans="5:9" ht="15.75" customHeight="1">
      <c r="E404" s="2"/>
      <c r="H404" s="29"/>
      <c r="I404" s="30"/>
    </row>
    <row r="405" spans="5:9" ht="15.75" customHeight="1">
      <c r="E405" s="2"/>
      <c r="H405" s="29"/>
      <c r="I405" s="30"/>
    </row>
    <row r="406" spans="5:9" ht="15.75" customHeight="1">
      <c r="E406" s="2"/>
      <c r="H406" s="29"/>
      <c r="I406" s="30"/>
    </row>
    <row r="407" spans="5:9" ht="15.75" customHeight="1">
      <c r="E407" s="2"/>
      <c r="H407" s="29"/>
      <c r="I407" s="30"/>
    </row>
    <row r="408" spans="5:9" ht="15.75" customHeight="1">
      <c r="E408" s="2"/>
      <c r="H408" s="29"/>
      <c r="I408" s="30"/>
    </row>
    <row r="409" spans="5:9" ht="15.75" customHeight="1">
      <c r="E409" s="2"/>
      <c r="H409" s="29"/>
      <c r="I409" s="30"/>
    </row>
    <row r="410" spans="5:9" ht="15.75" customHeight="1">
      <c r="E410" s="2"/>
      <c r="H410" s="29"/>
      <c r="I410" s="30"/>
    </row>
    <row r="411" spans="5:9" ht="15.75" customHeight="1">
      <c r="E411" s="2"/>
      <c r="H411" s="29"/>
      <c r="I411" s="30"/>
    </row>
    <row r="412" spans="5:9" ht="15.75" customHeight="1">
      <c r="E412" s="2"/>
      <c r="H412" s="29"/>
      <c r="I412" s="30"/>
    </row>
    <row r="413" spans="5:9" ht="15.75" customHeight="1">
      <c r="E413" s="2"/>
      <c r="H413" s="29"/>
      <c r="I413" s="30"/>
    </row>
    <row r="414" spans="5:9" ht="15.75" customHeight="1">
      <c r="E414" s="2"/>
      <c r="H414" s="29"/>
      <c r="I414" s="30"/>
    </row>
    <row r="415" spans="5:9" ht="15.75" customHeight="1">
      <c r="E415" s="2"/>
      <c r="H415" s="29"/>
      <c r="I415" s="30"/>
    </row>
    <row r="416" spans="5:9" ht="15.75" customHeight="1">
      <c r="E416" s="2"/>
      <c r="H416" s="29"/>
      <c r="I416" s="30"/>
    </row>
    <row r="417" spans="5:9" ht="15.75" customHeight="1">
      <c r="E417" s="2"/>
      <c r="H417" s="29"/>
      <c r="I417" s="30"/>
    </row>
    <row r="418" spans="5:9" ht="15.75" customHeight="1">
      <c r="E418" s="2"/>
      <c r="H418" s="29"/>
      <c r="I418" s="30"/>
    </row>
    <row r="419" spans="5:9" ht="15.75" customHeight="1">
      <c r="E419" s="2"/>
      <c r="H419" s="29"/>
      <c r="I419" s="30"/>
    </row>
    <row r="420" spans="5:9" ht="15.75" customHeight="1">
      <c r="E420" s="2"/>
      <c r="H420" s="29"/>
      <c r="I420" s="30"/>
    </row>
    <row r="421" spans="5:9" ht="15.75" customHeight="1">
      <c r="E421" s="2"/>
      <c r="H421" s="29"/>
      <c r="I421" s="30"/>
    </row>
    <row r="422" spans="5:9" ht="15.75" customHeight="1">
      <c r="E422" s="2"/>
      <c r="H422" s="29"/>
      <c r="I422" s="30"/>
    </row>
    <row r="423" spans="5:9" ht="15.75" customHeight="1">
      <c r="E423" s="2"/>
      <c r="H423" s="29"/>
      <c r="I423" s="30"/>
    </row>
    <row r="424" spans="5:9" ht="15.75" customHeight="1">
      <c r="E424" s="2"/>
      <c r="H424" s="29"/>
      <c r="I424" s="30"/>
    </row>
    <row r="425" spans="5:9" ht="15.75" customHeight="1">
      <c r="E425" s="2"/>
      <c r="H425" s="29"/>
      <c r="I425" s="30"/>
    </row>
    <row r="426" spans="5:9" ht="15.75" customHeight="1">
      <c r="E426" s="2"/>
      <c r="H426" s="29"/>
      <c r="I426" s="30"/>
    </row>
    <row r="427" spans="5:9" ht="15.75" customHeight="1">
      <c r="E427" s="2"/>
      <c r="H427" s="29"/>
      <c r="I427" s="30"/>
    </row>
    <row r="428" spans="5:9" ht="15.75" customHeight="1">
      <c r="E428" s="2"/>
      <c r="H428" s="29"/>
      <c r="I428" s="30"/>
    </row>
    <row r="429" spans="5:9" ht="15.75" customHeight="1">
      <c r="E429" s="2"/>
      <c r="H429" s="29"/>
      <c r="I429" s="30"/>
    </row>
    <row r="430" spans="5:9" ht="15.75" customHeight="1">
      <c r="E430" s="2"/>
      <c r="H430" s="29"/>
      <c r="I430" s="30"/>
    </row>
    <row r="431" spans="5:9" ht="15.75" customHeight="1">
      <c r="E431" s="2"/>
      <c r="H431" s="29"/>
      <c r="I431" s="30"/>
    </row>
    <row r="432" spans="5:9" ht="15.75" customHeight="1">
      <c r="E432" s="2"/>
      <c r="H432" s="29"/>
      <c r="I432" s="30"/>
    </row>
    <row r="433" spans="5:9" ht="15.75" customHeight="1">
      <c r="E433" s="2"/>
      <c r="H433" s="29"/>
      <c r="I433" s="30"/>
    </row>
    <row r="434" spans="5:9" ht="15.75" customHeight="1">
      <c r="E434" s="2"/>
      <c r="H434" s="29"/>
      <c r="I434" s="30"/>
    </row>
    <row r="435" spans="5:9" ht="15.75" customHeight="1">
      <c r="E435" s="2"/>
      <c r="H435" s="29"/>
      <c r="I435" s="30"/>
    </row>
    <row r="436" spans="5:9" ht="15.75" customHeight="1">
      <c r="E436" s="2"/>
      <c r="H436" s="29"/>
      <c r="I436" s="30"/>
    </row>
    <row r="437" spans="5:9" ht="15.75" customHeight="1">
      <c r="E437" s="2"/>
      <c r="H437" s="29"/>
      <c r="I437" s="30"/>
    </row>
    <row r="438" spans="5:9" ht="15.75" customHeight="1">
      <c r="E438" s="2"/>
      <c r="H438" s="29"/>
      <c r="I438" s="30"/>
    </row>
    <row r="439" spans="5:9" ht="15.75" customHeight="1">
      <c r="E439" s="2"/>
      <c r="H439" s="29"/>
      <c r="I439" s="30"/>
    </row>
    <row r="440" spans="5:9" ht="15.75" customHeight="1">
      <c r="E440" s="2"/>
      <c r="H440" s="29"/>
      <c r="I440" s="30"/>
    </row>
    <row r="441" spans="5:9" ht="15.75" customHeight="1">
      <c r="E441" s="2"/>
      <c r="H441" s="29"/>
      <c r="I441" s="30"/>
    </row>
    <row r="442" spans="5:9" ht="15.75" customHeight="1">
      <c r="E442" s="2"/>
      <c r="H442" s="29"/>
      <c r="I442" s="30"/>
    </row>
    <row r="443" spans="5:9" ht="15.75" customHeight="1">
      <c r="E443" s="2"/>
      <c r="H443" s="29"/>
      <c r="I443" s="30"/>
    </row>
    <row r="444" spans="5:9" ht="15.75" customHeight="1">
      <c r="E444" s="2"/>
      <c r="H444" s="29"/>
      <c r="I444" s="30"/>
    </row>
    <row r="445" spans="5:9" ht="15.75" customHeight="1">
      <c r="E445" s="2"/>
      <c r="H445" s="29"/>
      <c r="I445" s="30"/>
    </row>
    <row r="446" spans="5:9" ht="15.75" customHeight="1">
      <c r="E446" s="2"/>
      <c r="H446" s="29"/>
      <c r="I446" s="30"/>
    </row>
    <row r="447" spans="5:9" ht="15.75" customHeight="1">
      <c r="E447" s="2"/>
      <c r="H447" s="29"/>
      <c r="I447" s="30"/>
    </row>
    <row r="448" spans="5:9" ht="15.75" customHeight="1">
      <c r="E448" s="2"/>
      <c r="H448" s="29"/>
      <c r="I448" s="30"/>
    </row>
    <row r="449" spans="5:9" ht="15.75" customHeight="1">
      <c r="E449" s="2"/>
      <c r="H449" s="29"/>
      <c r="I449" s="30"/>
    </row>
    <row r="450" spans="5:9" ht="15.75" customHeight="1">
      <c r="E450" s="2"/>
      <c r="H450" s="29"/>
      <c r="I450" s="30"/>
    </row>
    <row r="451" spans="5:9" ht="15.75" customHeight="1">
      <c r="E451" s="2"/>
      <c r="H451" s="29"/>
      <c r="I451" s="30"/>
    </row>
    <row r="452" spans="5:9" ht="15.75" customHeight="1">
      <c r="E452" s="2"/>
      <c r="H452" s="29"/>
      <c r="I452" s="30"/>
    </row>
    <row r="453" spans="5:9" ht="15.75" customHeight="1">
      <c r="E453" s="2"/>
      <c r="H453" s="29"/>
      <c r="I453" s="30"/>
    </row>
    <row r="454" spans="5:9" ht="15.75" customHeight="1">
      <c r="E454" s="2"/>
      <c r="H454" s="29"/>
      <c r="I454" s="30"/>
    </row>
    <row r="455" spans="5:9" ht="15.75" customHeight="1">
      <c r="E455" s="2"/>
      <c r="H455" s="29"/>
      <c r="I455" s="30"/>
    </row>
    <row r="456" spans="5:9" ht="15.75" customHeight="1">
      <c r="E456" s="2"/>
      <c r="H456" s="29"/>
      <c r="I456" s="30"/>
    </row>
    <row r="457" spans="5:9" ht="15.75" customHeight="1">
      <c r="E457" s="2"/>
      <c r="H457" s="29"/>
      <c r="I457" s="30"/>
    </row>
    <row r="458" spans="5:9" ht="15.75" customHeight="1">
      <c r="E458" s="2"/>
      <c r="H458" s="29"/>
      <c r="I458" s="30"/>
    </row>
    <row r="459" spans="5:9" ht="15.75" customHeight="1">
      <c r="E459" s="2"/>
      <c r="H459" s="29"/>
      <c r="I459" s="30"/>
    </row>
    <row r="460" spans="5:9" ht="15.75" customHeight="1">
      <c r="E460" s="2"/>
      <c r="H460" s="29"/>
      <c r="I460" s="30"/>
    </row>
    <row r="461" spans="5:9" ht="15.75" customHeight="1">
      <c r="E461" s="2"/>
      <c r="H461" s="29"/>
      <c r="I461" s="30"/>
    </row>
    <row r="462" spans="5:9" ht="15.75" customHeight="1">
      <c r="E462" s="2"/>
      <c r="H462" s="29"/>
      <c r="I462" s="30"/>
    </row>
    <row r="463" spans="5:9" ht="15.75" customHeight="1">
      <c r="E463" s="2"/>
      <c r="H463" s="29"/>
      <c r="I463" s="30"/>
    </row>
    <row r="464" spans="5:9" ht="15.75" customHeight="1">
      <c r="E464" s="2"/>
      <c r="H464" s="29"/>
      <c r="I464" s="30"/>
    </row>
    <row r="465" spans="5:9" ht="15.75" customHeight="1">
      <c r="E465" s="2"/>
      <c r="H465" s="29"/>
      <c r="I465" s="30"/>
    </row>
    <row r="466" spans="5:9" ht="15.75" customHeight="1">
      <c r="E466" s="2"/>
      <c r="H466" s="29"/>
      <c r="I466" s="30"/>
    </row>
    <row r="467" spans="5:9" ht="15.75" customHeight="1">
      <c r="E467" s="2"/>
      <c r="H467" s="29"/>
      <c r="I467" s="30"/>
    </row>
    <row r="468" spans="5:9" ht="15.75" customHeight="1">
      <c r="E468" s="2"/>
      <c r="H468" s="29"/>
      <c r="I468" s="30"/>
    </row>
    <row r="469" spans="5:9" ht="15.75" customHeight="1">
      <c r="E469" s="2"/>
      <c r="H469" s="29"/>
      <c r="I469" s="30"/>
    </row>
    <row r="470" spans="5:9" ht="15.75" customHeight="1">
      <c r="E470" s="2"/>
      <c r="H470" s="29"/>
      <c r="I470" s="30"/>
    </row>
    <row r="471" spans="5:9" ht="15.75" customHeight="1">
      <c r="E471" s="2"/>
      <c r="H471" s="29"/>
      <c r="I471" s="30"/>
    </row>
    <row r="472" spans="5:9" ht="15.75" customHeight="1">
      <c r="E472" s="2"/>
      <c r="H472" s="29"/>
      <c r="I472" s="30"/>
    </row>
    <row r="473" spans="5:9" ht="15.75" customHeight="1">
      <c r="E473" s="2"/>
      <c r="H473" s="29"/>
      <c r="I473" s="30"/>
    </row>
    <row r="474" spans="5:9" ht="15.75" customHeight="1">
      <c r="E474" s="2"/>
      <c r="H474" s="29"/>
      <c r="I474" s="30"/>
    </row>
    <row r="475" spans="5:9" ht="15.75" customHeight="1">
      <c r="E475" s="2"/>
      <c r="H475" s="29"/>
      <c r="I475" s="30"/>
    </row>
    <row r="476" spans="5:9" ht="15.75" customHeight="1">
      <c r="E476" s="2"/>
      <c r="H476" s="29"/>
      <c r="I476" s="30"/>
    </row>
    <row r="477" spans="5:9" ht="15.75" customHeight="1">
      <c r="E477" s="2"/>
      <c r="H477" s="29"/>
      <c r="I477" s="30"/>
    </row>
    <row r="478" spans="5:9" ht="15.75" customHeight="1">
      <c r="E478" s="2"/>
      <c r="H478" s="29"/>
      <c r="I478" s="30"/>
    </row>
    <row r="479" spans="5:9" ht="15.75" customHeight="1">
      <c r="E479" s="2"/>
      <c r="H479" s="29"/>
      <c r="I479" s="30"/>
    </row>
    <row r="480" spans="5:9" ht="15.75" customHeight="1">
      <c r="E480" s="2"/>
      <c r="H480" s="29"/>
      <c r="I480" s="30"/>
    </row>
    <row r="481" spans="5:9" ht="15.75" customHeight="1">
      <c r="E481" s="2"/>
      <c r="H481" s="29"/>
      <c r="I481" s="30"/>
    </row>
    <row r="482" spans="5:9" ht="15.75" customHeight="1">
      <c r="E482" s="2"/>
      <c r="H482" s="29"/>
      <c r="I482" s="30"/>
    </row>
    <row r="483" spans="5:9" ht="15.75" customHeight="1">
      <c r="E483" s="2"/>
      <c r="H483" s="29"/>
      <c r="I483" s="30"/>
    </row>
    <row r="484" spans="5:9" ht="15.75" customHeight="1">
      <c r="E484" s="2"/>
      <c r="H484" s="29"/>
      <c r="I484" s="30"/>
    </row>
    <row r="485" spans="5:9" ht="15.75" customHeight="1">
      <c r="E485" s="2"/>
      <c r="H485" s="29"/>
      <c r="I485" s="30"/>
    </row>
    <row r="486" spans="5:9" ht="15.75" customHeight="1">
      <c r="E486" s="2"/>
      <c r="H486" s="29"/>
      <c r="I486" s="30"/>
    </row>
    <row r="487" spans="5:9" ht="15.75" customHeight="1">
      <c r="E487" s="2"/>
      <c r="H487" s="29"/>
      <c r="I487" s="30"/>
    </row>
    <row r="488" spans="5:9" ht="15.75" customHeight="1">
      <c r="E488" s="2"/>
      <c r="H488" s="29"/>
      <c r="I488" s="30"/>
    </row>
    <row r="489" spans="5:9" ht="15.75" customHeight="1">
      <c r="E489" s="2"/>
      <c r="H489" s="29"/>
      <c r="I489" s="30"/>
    </row>
    <row r="490" spans="5:9" ht="15.75" customHeight="1">
      <c r="E490" s="2"/>
      <c r="H490" s="29"/>
      <c r="I490" s="30"/>
    </row>
    <row r="491" spans="5:9" ht="15.75" customHeight="1">
      <c r="E491" s="2"/>
      <c r="H491" s="29"/>
      <c r="I491" s="30"/>
    </row>
    <row r="492" spans="5:9" ht="15.75" customHeight="1">
      <c r="E492" s="2"/>
      <c r="H492" s="29"/>
      <c r="I492" s="30"/>
    </row>
    <row r="493" spans="5:9" ht="15.75" customHeight="1">
      <c r="E493" s="2"/>
      <c r="H493" s="29"/>
      <c r="I493" s="30"/>
    </row>
    <row r="494" spans="5:9" ht="15.75" customHeight="1">
      <c r="E494" s="2"/>
      <c r="H494" s="29"/>
      <c r="I494" s="30"/>
    </row>
    <row r="495" spans="5:9" ht="15.75" customHeight="1">
      <c r="E495" s="2"/>
      <c r="H495" s="29"/>
      <c r="I495" s="30"/>
    </row>
    <row r="496" spans="5:9" ht="15.75" customHeight="1">
      <c r="E496" s="2"/>
      <c r="H496" s="29"/>
      <c r="I496" s="30"/>
    </row>
    <row r="497" spans="5:9" ht="15.75" customHeight="1">
      <c r="E497" s="2"/>
      <c r="H497" s="29"/>
      <c r="I497" s="30"/>
    </row>
    <row r="498" spans="5:9" ht="15.75" customHeight="1">
      <c r="E498" s="2"/>
      <c r="H498" s="29"/>
      <c r="I498" s="30"/>
    </row>
    <row r="499" spans="5:9" ht="15.75" customHeight="1">
      <c r="E499" s="2"/>
      <c r="H499" s="29"/>
      <c r="I499" s="30"/>
    </row>
    <row r="500" spans="5:9" ht="15.75" customHeight="1">
      <c r="E500" s="2"/>
      <c r="H500" s="29"/>
      <c r="I500" s="30"/>
    </row>
    <row r="501" spans="5:9" ht="15.75" customHeight="1">
      <c r="E501" s="2"/>
      <c r="H501" s="29"/>
      <c r="I501" s="30"/>
    </row>
    <row r="502" spans="5:9" ht="15.75" customHeight="1">
      <c r="E502" s="2"/>
      <c r="H502" s="29"/>
      <c r="I502" s="30"/>
    </row>
    <row r="503" spans="5:9" ht="15.75" customHeight="1">
      <c r="E503" s="2"/>
      <c r="H503" s="29"/>
      <c r="I503" s="30"/>
    </row>
    <row r="504" spans="5:9" ht="15.75" customHeight="1">
      <c r="E504" s="2"/>
      <c r="H504" s="29"/>
      <c r="I504" s="30"/>
    </row>
    <row r="505" spans="5:9" ht="15.75" customHeight="1">
      <c r="E505" s="2"/>
      <c r="H505" s="29"/>
      <c r="I505" s="30"/>
    </row>
    <row r="506" spans="5:9" ht="15.75" customHeight="1">
      <c r="E506" s="2"/>
      <c r="H506" s="29"/>
      <c r="I506" s="30"/>
    </row>
    <row r="507" spans="5:9" ht="15.75" customHeight="1">
      <c r="E507" s="2"/>
      <c r="H507" s="29"/>
      <c r="I507" s="30"/>
    </row>
    <row r="508" spans="5:9" ht="15.75" customHeight="1">
      <c r="E508" s="2"/>
      <c r="H508" s="29"/>
      <c r="I508" s="30"/>
    </row>
    <row r="509" spans="5:9" ht="15.75" customHeight="1">
      <c r="E509" s="2"/>
      <c r="H509" s="29"/>
      <c r="I509" s="30"/>
    </row>
    <row r="510" spans="5:9" ht="15.75" customHeight="1">
      <c r="E510" s="2"/>
      <c r="H510" s="29"/>
      <c r="I510" s="30"/>
    </row>
    <row r="511" spans="5:9" ht="15.75" customHeight="1">
      <c r="E511" s="2"/>
      <c r="H511" s="29"/>
      <c r="I511" s="30"/>
    </row>
    <row r="512" spans="5:9" ht="15.75" customHeight="1">
      <c r="E512" s="2"/>
      <c r="H512" s="29"/>
      <c r="I512" s="30"/>
    </row>
    <row r="513" spans="5:9" ht="15.75" customHeight="1">
      <c r="E513" s="2"/>
      <c r="H513" s="29"/>
      <c r="I513" s="30"/>
    </row>
    <row r="514" spans="5:9" ht="15.75" customHeight="1">
      <c r="E514" s="2"/>
      <c r="H514" s="29"/>
      <c r="I514" s="30"/>
    </row>
    <row r="515" spans="5:9" ht="15.75" customHeight="1">
      <c r="E515" s="2"/>
      <c r="H515" s="29"/>
      <c r="I515" s="30"/>
    </row>
    <row r="516" spans="5:9" ht="15.75" customHeight="1">
      <c r="E516" s="2"/>
      <c r="H516" s="29"/>
      <c r="I516" s="30"/>
    </row>
    <row r="517" spans="5:9" ht="15.75" customHeight="1">
      <c r="E517" s="2"/>
      <c r="H517" s="29"/>
      <c r="I517" s="30"/>
    </row>
    <row r="518" spans="5:9" ht="15.75" customHeight="1">
      <c r="E518" s="2"/>
      <c r="H518" s="29"/>
      <c r="I518" s="30"/>
    </row>
    <row r="519" spans="5:9" ht="15.75" customHeight="1">
      <c r="E519" s="2"/>
      <c r="H519" s="29"/>
      <c r="I519" s="30"/>
    </row>
    <row r="520" spans="5:9" ht="15.75" customHeight="1">
      <c r="E520" s="2"/>
      <c r="H520" s="29"/>
      <c r="I520" s="30"/>
    </row>
    <row r="521" spans="5:9" ht="15.75" customHeight="1">
      <c r="E521" s="2"/>
      <c r="H521" s="29"/>
      <c r="I521" s="30"/>
    </row>
    <row r="522" spans="5:9" ht="15.75" customHeight="1">
      <c r="E522" s="2"/>
      <c r="H522" s="29"/>
      <c r="I522" s="30"/>
    </row>
    <row r="523" spans="5:9" ht="15.75" customHeight="1">
      <c r="E523" s="2"/>
      <c r="H523" s="29"/>
      <c r="I523" s="30"/>
    </row>
    <row r="524" spans="5:9" ht="15.75" customHeight="1">
      <c r="E524" s="2"/>
      <c r="H524" s="29"/>
      <c r="I524" s="30"/>
    </row>
    <row r="525" spans="5:9" ht="15.75" customHeight="1">
      <c r="E525" s="2"/>
      <c r="H525" s="29"/>
      <c r="I525" s="30"/>
    </row>
    <row r="526" spans="5:9" ht="15.75" customHeight="1">
      <c r="E526" s="2"/>
      <c r="H526" s="29"/>
      <c r="I526" s="30"/>
    </row>
    <row r="527" spans="5:9" ht="15.75" customHeight="1">
      <c r="E527" s="2"/>
      <c r="H527" s="29"/>
      <c r="I527" s="30"/>
    </row>
    <row r="528" spans="5:9" ht="15.75" customHeight="1">
      <c r="E528" s="2"/>
      <c r="H528" s="29"/>
      <c r="I528" s="30"/>
    </row>
    <row r="529" spans="5:9" ht="15.75" customHeight="1">
      <c r="E529" s="2"/>
      <c r="H529" s="29"/>
      <c r="I529" s="30"/>
    </row>
    <row r="530" spans="5:9" ht="15.75" customHeight="1">
      <c r="E530" s="2"/>
      <c r="H530" s="29"/>
      <c r="I530" s="30"/>
    </row>
    <row r="531" spans="5:9" ht="15.75" customHeight="1">
      <c r="E531" s="2"/>
      <c r="H531" s="29"/>
      <c r="I531" s="30"/>
    </row>
    <row r="532" spans="5:9" ht="15.75" customHeight="1">
      <c r="E532" s="2"/>
      <c r="H532" s="29"/>
      <c r="I532" s="30"/>
    </row>
    <row r="533" spans="5:9" ht="15.75" customHeight="1">
      <c r="E533" s="2"/>
      <c r="H533" s="29"/>
      <c r="I533" s="30"/>
    </row>
    <row r="534" spans="5:9" ht="15.75" customHeight="1">
      <c r="E534" s="2"/>
      <c r="H534" s="29"/>
      <c r="I534" s="30"/>
    </row>
    <row r="535" spans="5:9" ht="15.75" customHeight="1">
      <c r="E535" s="2"/>
      <c r="H535" s="29"/>
      <c r="I535" s="30"/>
    </row>
    <row r="536" spans="5:9" ht="15.75" customHeight="1">
      <c r="E536" s="2"/>
      <c r="H536" s="29"/>
      <c r="I536" s="30"/>
    </row>
    <row r="537" spans="5:9" ht="15.75" customHeight="1">
      <c r="E537" s="2"/>
      <c r="H537" s="29"/>
      <c r="I537" s="30"/>
    </row>
    <row r="538" spans="5:9" ht="15.75" customHeight="1">
      <c r="E538" s="2"/>
      <c r="H538" s="29"/>
      <c r="I538" s="30"/>
    </row>
    <row r="539" spans="5:9" ht="15.75" customHeight="1">
      <c r="E539" s="2"/>
      <c r="H539" s="29"/>
      <c r="I539" s="30"/>
    </row>
    <row r="540" spans="5:9" ht="15.75" customHeight="1">
      <c r="E540" s="2"/>
      <c r="H540" s="29"/>
      <c r="I540" s="30"/>
    </row>
    <row r="541" spans="5:9" ht="15.75" customHeight="1">
      <c r="E541" s="2"/>
      <c r="H541" s="29"/>
      <c r="I541" s="30"/>
    </row>
    <row r="542" spans="5:9" ht="15.75" customHeight="1">
      <c r="E542" s="2"/>
      <c r="H542" s="29"/>
      <c r="I542" s="30"/>
    </row>
    <row r="543" spans="5:9" ht="15.75" customHeight="1">
      <c r="E543" s="2"/>
      <c r="H543" s="29"/>
      <c r="I543" s="30"/>
    </row>
    <row r="544" spans="5:9" ht="15.75" customHeight="1">
      <c r="E544" s="2"/>
      <c r="H544" s="29"/>
      <c r="I544" s="30"/>
    </row>
    <row r="545" spans="5:9" ht="15.75" customHeight="1">
      <c r="E545" s="2"/>
      <c r="H545" s="29"/>
      <c r="I545" s="30"/>
    </row>
    <row r="546" spans="5:9" ht="15.75" customHeight="1">
      <c r="E546" s="2"/>
      <c r="H546" s="29"/>
      <c r="I546" s="30"/>
    </row>
    <row r="547" spans="5:9" ht="15.75" customHeight="1">
      <c r="E547" s="2"/>
      <c r="H547" s="29"/>
      <c r="I547" s="30"/>
    </row>
    <row r="548" spans="5:9" ht="15.75" customHeight="1">
      <c r="E548" s="2"/>
      <c r="H548" s="29"/>
      <c r="I548" s="30"/>
    </row>
    <row r="549" spans="5:9" ht="15.75" customHeight="1">
      <c r="E549" s="2"/>
      <c r="H549" s="29"/>
      <c r="I549" s="30"/>
    </row>
    <row r="550" spans="5:9" ht="15.75" customHeight="1">
      <c r="E550" s="2"/>
      <c r="H550" s="29"/>
      <c r="I550" s="30"/>
    </row>
    <row r="551" spans="5:9" ht="15.75" customHeight="1">
      <c r="E551" s="2"/>
      <c r="H551" s="29"/>
      <c r="I551" s="30"/>
    </row>
    <row r="552" spans="5:9" ht="15.75" customHeight="1">
      <c r="E552" s="2"/>
      <c r="H552" s="29"/>
      <c r="I552" s="30"/>
    </row>
    <row r="553" spans="5:9" ht="15.75" customHeight="1">
      <c r="E553" s="2"/>
      <c r="H553" s="29"/>
      <c r="I553" s="30"/>
    </row>
    <row r="554" spans="5:9" ht="15.75" customHeight="1">
      <c r="E554" s="2"/>
      <c r="H554" s="29"/>
      <c r="I554" s="30"/>
    </row>
    <row r="555" spans="5:9" ht="15.75" customHeight="1">
      <c r="E555" s="2"/>
      <c r="H555" s="29"/>
      <c r="I555" s="30"/>
    </row>
    <row r="556" spans="5:9" ht="15.75" customHeight="1">
      <c r="E556" s="2"/>
      <c r="H556" s="29"/>
      <c r="I556" s="30"/>
    </row>
    <row r="557" spans="5:9" ht="15.75" customHeight="1">
      <c r="E557" s="2"/>
      <c r="H557" s="29"/>
      <c r="I557" s="30"/>
    </row>
    <row r="558" spans="5:9" ht="15.75" customHeight="1">
      <c r="E558" s="2"/>
      <c r="H558" s="29"/>
      <c r="I558" s="30"/>
    </row>
    <row r="559" spans="5:9" ht="15.75" customHeight="1">
      <c r="E559" s="2"/>
      <c r="H559" s="29"/>
      <c r="I559" s="30"/>
    </row>
    <row r="560" spans="5:9" ht="15.75" customHeight="1">
      <c r="E560" s="2"/>
      <c r="H560" s="29"/>
      <c r="I560" s="30"/>
    </row>
    <row r="561" spans="5:9" ht="15.75" customHeight="1">
      <c r="E561" s="2"/>
      <c r="H561" s="29"/>
      <c r="I561" s="30"/>
    </row>
    <row r="562" spans="5:9" ht="15.75" customHeight="1">
      <c r="E562" s="2"/>
      <c r="H562" s="29"/>
      <c r="I562" s="30"/>
    </row>
    <row r="563" spans="5:9" ht="15.75" customHeight="1">
      <c r="E563" s="2"/>
      <c r="H563" s="29"/>
      <c r="I563" s="30"/>
    </row>
    <row r="564" spans="5:9" ht="15.75" customHeight="1">
      <c r="E564" s="2"/>
      <c r="H564" s="29"/>
      <c r="I564" s="30"/>
    </row>
    <row r="565" spans="5:9" ht="15.75" customHeight="1">
      <c r="E565" s="2"/>
      <c r="H565" s="29"/>
      <c r="I565" s="30"/>
    </row>
    <row r="566" spans="5:9" ht="15.75" customHeight="1">
      <c r="E566" s="2"/>
      <c r="H566" s="29"/>
      <c r="I566" s="30"/>
    </row>
    <row r="567" spans="5:9" ht="15.75" customHeight="1">
      <c r="E567" s="2"/>
      <c r="H567" s="29"/>
      <c r="I567" s="30"/>
    </row>
    <row r="568" spans="5:9" ht="15.75" customHeight="1">
      <c r="E568" s="2"/>
      <c r="H568" s="29"/>
      <c r="I568" s="30"/>
    </row>
    <row r="569" spans="5:9" ht="15.75" customHeight="1">
      <c r="E569" s="2"/>
      <c r="H569" s="29"/>
      <c r="I569" s="30"/>
    </row>
    <row r="570" spans="5:9" ht="15.75" customHeight="1">
      <c r="E570" s="2"/>
      <c r="H570" s="29"/>
      <c r="I570" s="30"/>
    </row>
    <row r="571" spans="5:9" ht="15.75" customHeight="1">
      <c r="E571" s="2"/>
      <c r="H571" s="29"/>
      <c r="I571" s="30"/>
    </row>
    <row r="572" spans="5:9" ht="15.75" customHeight="1">
      <c r="E572" s="2"/>
      <c r="H572" s="29"/>
      <c r="I572" s="30"/>
    </row>
    <row r="573" spans="5:9" ht="15.75" customHeight="1">
      <c r="E573" s="2"/>
      <c r="H573" s="29"/>
      <c r="I573" s="30"/>
    </row>
    <row r="574" spans="5:9" ht="15.75" customHeight="1">
      <c r="E574" s="2"/>
      <c r="H574" s="29"/>
      <c r="I574" s="30"/>
    </row>
    <row r="575" spans="5:9" ht="15.75" customHeight="1">
      <c r="E575" s="2"/>
      <c r="H575" s="29"/>
      <c r="I575" s="30"/>
    </row>
    <row r="576" spans="5:9" ht="15.75" customHeight="1">
      <c r="E576" s="2"/>
      <c r="H576" s="29"/>
      <c r="I576" s="30"/>
    </row>
    <row r="577" spans="5:9" ht="15.75" customHeight="1">
      <c r="E577" s="2"/>
      <c r="H577" s="29"/>
      <c r="I577" s="30"/>
    </row>
    <row r="578" spans="5:9" ht="15.75" customHeight="1">
      <c r="E578" s="2"/>
      <c r="H578" s="29"/>
      <c r="I578" s="30"/>
    </row>
    <row r="579" spans="5:9" ht="15.75" customHeight="1">
      <c r="E579" s="2"/>
      <c r="H579" s="29"/>
      <c r="I579" s="30"/>
    </row>
    <row r="580" spans="5:9" ht="15.75" customHeight="1">
      <c r="E580" s="2"/>
      <c r="H580" s="29"/>
      <c r="I580" s="30"/>
    </row>
    <row r="581" spans="5:9" ht="15.75" customHeight="1">
      <c r="E581" s="2"/>
      <c r="H581" s="29"/>
      <c r="I581" s="30"/>
    </row>
    <row r="582" spans="5:9" ht="15.75" customHeight="1">
      <c r="E582" s="2"/>
      <c r="H582" s="29"/>
      <c r="I582" s="30"/>
    </row>
    <row r="583" spans="5:9" ht="15.75" customHeight="1">
      <c r="E583" s="2"/>
      <c r="H583" s="29"/>
      <c r="I583" s="30"/>
    </row>
    <row r="584" spans="5:9" ht="15.75" customHeight="1">
      <c r="E584" s="2"/>
      <c r="H584" s="29"/>
      <c r="I584" s="30"/>
    </row>
    <row r="585" spans="5:9" ht="15.75" customHeight="1">
      <c r="E585" s="2"/>
      <c r="H585" s="29"/>
      <c r="I585" s="30"/>
    </row>
    <row r="586" spans="5:9" ht="15.75" customHeight="1">
      <c r="E586" s="2"/>
      <c r="H586" s="29"/>
      <c r="I586" s="30"/>
    </row>
    <row r="587" spans="5:9" ht="15.75" customHeight="1">
      <c r="E587" s="2"/>
      <c r="H587" s="29"/>
      <c r="I587" s="30"/>
    </row>
    <row r="588" spans="5:9" ht="15.75" customHeight="1">
      <c r="E588" s="2"/>
      <c r="H588" s="29"/>
      <c r="I588" s="30"/>
    </row>
    <row r="589" spans="5:9" ht="15.75" customHeight="1">
      <c r="E589" s="2"/>
      <c r="H589" s="29"/>
      <c r="I589" s="30"/>
    </row>
    <row r="590" spans="5:9" ht="15.75" customHeight="1">
      <c r="E590" s="2"/>
      <c r="H590" s="29"/>
      <c r="I590" s="30"/>
    </row>
    <row r="591" spans="5:9" ht="15.75" customHeight="1">
      <c r="E591" s="2"/>
      <c r="H591" s="29"/>
      <c r="I591" s="30"/>
    </row>
    <row r="592" spans="5:9" ht="15.75" customHeight="1">
      <c r="E592" s="2"/>
      <c r="H592" s="29"/>
      <c r="I592" s="30"/>
    </row>
    <row r="593" spans="5:9" ht="15.75" customHeight="1">
      <c r="E593" s="2"/>
      <c r="H593" s="29"/>
      <c r="I593" s="30"/>
    </row>
    <row r="594" spans="5:9" ht="15.75" customHeight="1">
      <c r="E594" s="2"/>
      <c r="H594" s="29"/>
      <c r="I594" s="30"/>
    </row>
    <row r="595" spans="5:9" ht="15.75" customHeight="1">
      <c r="E595" s="2"/>
      <c r="H595" s="29"/>
      <c r="I595" s="30"/>
    </row>
    <row r="596" spans="5:9" ht="15.75" customHeight="1">
      <c r="E596" s="2"/>
      <c r="H596" s="29"/>
      <c r="I596" s="30"/>
    </row>
    <row r="597" spans="5:9" ht="15.75" customHeight="1">
      <c r="E597" s="2"/>
      <c r="H597" s="29"/>
      <c r="I597" s="30"/>
    </row>
    <row r="598" spans="5:9" ht="15.75" customHeight="1">
      <c r="E598" s="2"/>
      <c r="H598" s="29"/>
      <c r="I598" s="30"/>
    </row>
    <row r="599" spans="5:9" ht="15.75" customHeight="1">
      <c r="E599" s="2"/>
      <c r="H599" s="29"/>
      <c r="I599" s="30"/>
    </row>
    <row r="600" spans="5:9" ht="15.75" customHeight="1">
      <c r="E600" s="2"/>
      <c r="H600" s="29"/>
      <c r="I600" s="30"/>
    </row>
    <row r="601" spans="5:9" ht="15.75" customHeight="1">
      <c r="E601" s="2"/>
      <c r="H601" s="29"/>
      <c r="I601" s="30"/>
    </row>
    <row r="602" spans="5:9" ht="15.75" customHeight="1">
      <c r="E602" s="2"/>
      <c r="H602" s="29"/>
      <c r="I602" s="30"/>
    </row>
    <row r="603" spans="5:9" ht="15.75" customHeight="1">
      <c r="E603" s="2"/>
      <c r="H603" s="29"/>
      <c r="I603" s="30"/>
    </row>
    <row r="604" spans="5:9" ht="15.75" customHeight="1">
      <c r="E604" s="2"/>
      <c r="H604" s="29"/>
      <c r="I604" s="30"/>
    </row>
    <row r="605" spans="5:9" ht="15.75" customHeight="1">
      <c r="E605" s="2"/>
      <c r="H605" s="29"/>
      <c r="I605" s="30"/>
    </row>
    <row r="606" spans="5:9" ht="15.75" customHeight="1">
      <c r="E606" s="2"/>
      <c r="H606" s="29"/>
      <c r="I606" s="30"/>
    </row>
    <row r="607" spans="5:9" ht="15.75" customHeight="1">
      <c r="E607" s="2"/>
      <c r="H607" s="29"/>
      <c r="I607" s="30"/>
    </row>
    <row r="608" spans="5:9" ht="15.75" customHeight="1">
      <c r="E608" s="2"/>
      <c r="H608" s="29"/>
      <c r="I608" s="30"/>
    </row>
    <row r="609" spans="5:9" ht="15.75" customHeight="1">
      <c r="E609" s="2"/>
      <c r="H609" s="29"/>
      <c r="I609" s="30"/>
    </row>
    <row r="610" spans="5:9" ht="15.75" customHeight="1">
      <c r="E610" s="2"/>
      <c r="H610" s="29"/>
      <c r="I610" s="30"/>
    </row>
    <row r="611" spans="5:9" ht="15.75" customHeight="1">
      <c r="E611" s="2"/>
      <c r="H611" s="29"/>
      <c r="I611" s="30"/>
    </row>
    <row r="612" spans="5:9" ht="15.75" customHeight="1">
      <c r="E612" s="2"/>
      <c r="H612" s="29"/>
      <c r="I612" s="30"/>
    </row>
    <row r="613" spans="5:9" ht="15.75" customHeight="1">
      <c r="E613" s="2"/>
      <c r="H613" s="29"/>
      <c r="I613" s="30"/>
    </row>
    <row r="614" spans="5:9" ht="15.75" customHeight="1">
      <c r="E614" s="2"/>
      <c r="H614" s="29"/>
      <c r="I614" s="30"/>
    </row>
    <row r="615" spans="5:9" ht="15.75" customHeight="1">
      <c r="E615" s="2"/>
      <c r="H615" s="29"/>
      <c r="I615" s="30"/>
    </row>
    <row r="616" spans="5:9" ht="15.75" customHeight="1">
      <c r="E616" s="2"/>
      <c r="H616" s="29"/>
      <c r="I616" s="30"/>
    </row>
    <row r="617" spans="5:9" ht="15.75" customHeight="1">
      <c r="E617" s="2"/>
      <c r="H617" s="29"/>
      <c r="I617" s="30"/>
    </row>
    <row r="618" spans="5:9" ht="15.75" customHeight="1">
      <c r="E618" s="2"/>
      <c r="H618" s="29"/>
      <c r="I618" s="30"/>
    </row>
    <row r="619" spans="5:9" ht="15.75" customHeight="1">
      <c r="E619" s="2"/>
      <c r="H619" s="29"/>
      <c r="I619" s="30"/>
    </row>
    <row r="620" spans="5:9" ht="15.75" customHeight="1">
      <c r="E620" s="2"/>
      <c r="H620" s="29"/>
      <c r="I620" s="30"/>
    </row>
    <row r="621" spans="5:9" ht="15.75" customHeight="1">
      <c r="E621" s="2"/>
      <c r="H621" s="29"/>
      <c r="I621" s="30"/>
    </row>
    <row r="622" spans="5:9" ht="15.75" customHeight="1">
      <c r="E622" s="2"/>
      <c r="H622" s="29"/>
      <c r="I622" s="30"/>
    </row>
    <row r="623" spans="5:9" ht="15.75" customHeight="1">
      <c r="E623" s="2"/>
      <c r="H623" s="29"/>
      <c r="I623" s="30"/>
    </row>
    <row r="624" spans="5:9" ht="15.75" customHeight="1">
      <c r="E624" s="2"/>
      <c r="H624" s="29"/>
      <c r="I624" s="30"/>
    </row>
    <row r="625" spans="5:9" ht="15.75" customHeight="1">
      <c r="E625" s="2"/>
      <c r="H625" s="29"/>
      <c r="I625" s="30"/>
    </row>
    <row r="626" spans="5:9" ht="15.75" customHeight="1">
      <c r="E626" s="2"/>
      <c r="H626" s="29"/>
      <c r="I626" s="30"/>
    </row>
    <row r="627" spans="5:9" ht="15.75" customHeight="1">
      <c r="E627" s="2"/>
      <c r="H627" s="29"/>
      <c r="I627" s="30"/>
    </row>
    <row r="628" spans="5:9" ht="15.75" customHeight="1">
      <c r="E628" s="2"/>
      <c r="H628" s="29"/>
      <c r="I628" s="30"/>
    </row>
    <row r="629" spans="5:9" ht="15.75" customHeight="1">
      <c r="E629" s="2"/>
      <c r="H629" s="29"/>
      <c r="I629" s="30"/>
    </row>
    <row r="630" spans="5:9" ht="15.75" customHeight="1">
      <c r="E630" s="2"/>
      <c r="H630" s="29"/>
      <c r="I630" s="30"/>
    </row>
    <row r="631" spans="5:9" ht="15.75" customHeight="1">
      <c r="E631" s="2"/>
      <c r="H631" s="29"/>
      <c r="I631" s="30"/>
    </row>
    <row r="632" spans="5:9" ht="15.75" customHeight="1">
      <c r="E632" s="2"/>
      <c r="H632" s="29"/>
      <c r="I632" s="30"/>
    </row>
    <row r="633" spans="5:9" ht="15.75" customHeight="1">
      <c r="E633" s="2"/>
      <c r="H633" s="29"/>
      <c r="I633" s="30"/>
    </row>
    <row r="634" spans="5:9" ht="15.75" customHeight="1">
      <c r="E634" s="2"/>
      <c r="H634" s="29"/>
      <c r="I634" s="30"/>
    </row>
    <row r="635" spans="5:9" ht="15.75" customHeight="1">
      <c r="E635" s="2"/>
      <c r="H635" s="29"/>
      <c r="I635" s="30"/>
    </row>
    <row r="636" spans="5:9" ht="15.75" customHeight="1">
      <c r="E636" s="2"/>
      <c r="H636" s="29"/>
      <c r="I636" s="30"/>
    </row>
    <row r="637" spans="5:9" ht="15.75" customHeight="1">
      <c r="E637" s="2"/>
      <c r="H637" s="29"/>
      <c r="I637" s="30"/>
    </row>
    <row r="638" spans="5:9" ht="15.75" customHeight="1">
      <c r="E638" s="2"/>
      <c r="H638" s="29"/>
      <c r="I638" s="30"/>
    </row>
    <row r="639" spans="5:9" ht="15.75" customHeight="1">
      <c r="E639" s="2"/>
      <c r="H639" s="29"/>
      <c r="I639" s="30"/>
    </row>
    <row r="640" spans="5:9" ht="15.75" customHeight="1">
      <c r="E640" s="2"/>
      <c r="H640" s="29"/>
      <c r="I640" s="30"/>
    </row>
    <row r="641" spans="5:9" ht="15.75" customHeight="1">
      <c r="E641" s="2"/>
      <c r="H641" s="29"/>
      <c r="I641" s="30"/>
    </row>
    <row r="642" spans="5:9" ht="15.75" customHeight="1">
      <c r="E642" s="2"/>
      <c r="H642" s="29"/>
      <c r="I642" s="30"/>
    </row>
    <row r="643" spans="5:9" ht="15.75" customHeight="1">
      <c r="E643" s="2"/>
      <c r="H643" s="29"/>
      <c r="I643" s="30"/>
    </row>
    <row r="644" spans="5:9" ht="15.75" customHeight="1">
      <c r="E644" s="2"/>
      <c r="H644" s="29"/>
      <c r="I644" s="30"/>
    </row>
    <row r="645" spans="5:9" ht="15.75" customHeight="1">
      <c r="E645" s="2"/>
      <c r="H645" s="29"/>
      <c r="I645" s="30"/>
    </row>
    <row r="646" spans="5:9" ht="15.75" customHeight="1">
      <c r="E646" s="2"/>
      <c r="H646" s="29"/>
      <c r="I646" s="30"/>
    </row>
    <row r="647" spans="5:9" ht="15.75" customHeight="1">
      <c r="E647" s="2"/>
      <c r="H647" s="29"/>
      <c r="I647" s="30"/>
    </row>
    <row r="648" spans="5:9" ht="15.75" customHeight="1">
      <c r="E648" s="2"/>
      <c r="H648" s="29"/>
      <c r="I648" s="30"/>
    </row>
    <row r="649" spans="5:9" ht="15.75" customHeight="1">
      <c r="E649" s="2"/>
      <c r="H649" s="29"/>
      <c r="I649" s="30"/>
    </row>
    <row r="650" spans="5:9" ht="15.75" customHeight="1">
      <c r="E650" s="2"/>
      <c r="H650" s="29"/>
      <c r="I650" s="30"/>
    </row>
    <row r="651" spans="5:9" ht="15.75" customHeight="1">
      <c r="E651" s="2"/>
      <c r="H651" s="29"/>
      <c r="I651" s="30"/>
    </row>
    <row r="652" spans="5:9" ht="15.75" customHeight="1">
      <c r="E652" s="2"/>
      <c r="H652" s="29"/>
      <c r="I652" s="30"/>
    </row>
    <row r="653" spans="5:9" ht="15.75" customHeight="1">
      <c r="E653" s="2"/>
      <c r="H653" s="29"/>
      <c r="I653" s="30"/>
    </row>
    <row r="654" spans="5:9" ht="15.75" customHeight="1">
      <c r="E654" s="2"/>
      <c r="H654" s="29"/>
      <c r="I654" s="30"/>
    </row>
    <row r="655" spans="5:9" ht="15.75" customHeight="1">
      <c r="E655" s="2"/>
      <c r="H655" s="29"/>
      <c r="I655" s="30"/>
    </row>
    <row r="656" spans="5:9" ht="15.75" customHeight="1">
      <c r="E656" s="2"/>
      <c r="H656" s="29"/>
      <c r="I656" s="30"/>
    </row>
    <row r="657" spans="5:9" ht="15.75" customHeight="1">
      <c r="E657" s="2"/>
      <c r="H657" s="29"/>
      <c r="I657" s="30"/>
    </row>
    <row r="658" spans="5:9" ht="15.75" customHeight="1">
      <c r="E658" s="2"/>
      <c r="H658" s="29"/>
      <c r="I658" s="30"/>
    </row>
    <row r="659" spans="5:9" ht="15.75" customHeight="1">
      <c r="E659" s="2"/>
      <c r="H659" s="29"/>
      <c r="I659" s="30"/>
    </row>
    <row r="660" spans="5:9" ht="15.75" customHeight="1">
      <c r="E660" s="2"/>
      <c r="H660" s="29"/>
      <c r="I660" s="30"/>
    </row>
    <row r="661" spans="5:9" ht="15.75" customHeight="1">
      <c r="E661" s="2"/>
      <c r="H661" s="29"/>
      <c r="I661" s="30"/>
    </row>
    <row r="662" spans="5:9" ht="15.75" customHeight="1">
      <c r="E662" s="2"/>
      <c r="H662" s="29"/>
      <c r="I662" s="30"/>
    </row>
    <row r="663" spans="5:9" ht="15.75" customHeight="1">
      <c r="E663" s="2"/>
      <c r="H663" s="29"/>
      <c r="I663" s="30"/>
    </row>
    <row r="664" spans="5:9" ht="15.75" customHeight="1">
      <c r="E664" s="2"/>
      <c r="H664" s="29"/>
      <c r="I664" s="30"/>
    </row>
    <row r="665" spans="5:9" ht="15.75" customHeight="1">
      <c r="E665" s="2"/>
      <c r="H665" s="29"/>
      <c r="I665" s="30"/>
    </row>
    <row r="666" spans="5:9" ht="15.75" customHeight="1">
      <c r="E666" s="2"/>
      <c r="H666" s="29"/>
      <c r="I666" s="30"/>
    </row>
    <row r="667" spans="5:9" ht="15.75" customHeight="1">
      <c r="E667" s="2"/>
      <c r="H667" s="29"/>
      <c r="I667" s="30"/>
    </row>
    <row r="668" spans="5:9" ht="15.75" customHeight="1">
      <c r="E668" s="2"/>
      <c r="H668" s="29"/>
      <c r="I668" s="30"/>
    </row>
    <row r="669" spans="5:9" ht="15.75" customHeight="1">
      <c r="E669" s="2"/>
      <c r="H669" s="29"/>
      <c r="I669" s="30"/>
    </row>
    <row r="670" spans="5:9" ht="15.75" customHeight="1">
      <c r="E670" s="2"/>
      <c r="H670" s="29"/>
      <c r="I670" s="30"/>
    </row>
    <row r="671" spans="5:9" ht="15.75" customHeight="1">
      <c r="E671" s="2"/>
      <c r="H671" s="29"/>
      <c r="I671" s="30"/>
    </row>
    <row r="672" spans="5:9" ht="15.75" customHeight="1">
      <c r="E672" s="2"/>
      <c r="H672" s="29"/>
      <c r="I672" s="30"/>
    </row>
    <row r="673" spans="5:9" ht="15.75" customHeight="1">
      <c r="E673" s="2"/>
      <c r="H673" s="29"/>
      <c r="I673" s="30"/>
    </row>
    <row r="674" spans="5:9" ht="15.75" customHeight="1">
      <c r="E674" s="2"/>
      <c r="H674" s="29"/>
      <c r="I674" s="30"/>
    </row>
    <row r="675" spans="5:9" ht="15.75" customHeight="1">
      <c r="E675" s="2"/>
      <c r="H675" s="29"/>
      <c r="I675" s="30"/>
    </row>
    <row r="676" spans="5:9" ht="15.75" customHeight="1">
      <c r="E676" s="2"/>
      <c r="H676" s="29"/>
      <c r="I676" s="30"/>
    </row>
    <row r="677" spans="5:9" ht="15.75" customHeight="1">
      <c r="E677" s="2"/>
      <c r="H677" s="29"/>
      <c r="I677" s="30"/>
    </row>
    <row r="678" spans="5:9" ht="15.75" customHeight="1">
      <c r="E678" s="2"/>
      <c r="H678" s="29"/>
      <c r="I678" s="30"/>
    </row>
    <row r="679" spans="5:9" ht="15.75" customHeight="1">
      <c r="E679" s="2"/>
      <c r="H679" s="29"/>
      <c r="I679" s="30"/>
    </row>
    <row r="680" spans="5:9" ht="15.75" customHeight="1">
      <c r="E680" s="2"/>
      <c r="H680" s="29"/>
      <c r="I680" s="30"/>
    </row>
    <row r="681" spans="5:9" ht="15.75" customHeight="1">
      <c r="E681" s="2"/>
      <c r="H681" s="29"/>
      <c r="I681" s="30"/>
    </row>
    <row r="682" spans="5:9" ht="15.75" customHeight="1">
      <c r="E682" s="2"/>
      <c r="H682" s="29"/>
      <c r="I682" s="30"/>
    </row>
    <row r="683" spans="5:9" ht="15.75" customHeight="1">
      <c r="E683" s="2"/>
      <c r="H683" s="29"/>
      <c r="I683" s="30"/>
    </row>
    <row r="684" spans="5:9" ht="15.75" customHeight="1">
      <c r="E684" s="2"/>
      <c r="H684" s="29"/>
      <c r="I684" s="30"/>
    </row>
    <row r="685" spans="5:9" ht="15.75" customHeight="1">
      <c r="E685" s="2"/>
      <c r="H685" s="29"/>
      <c r="I685" s="30"/>
    </row>
    <row r="686" spans="5:9" ht="15.75" customHeight="1">
      <c r="E686" s="2"/>
      <c r="H686" s="29"/>
      <c r="I686" s="30"/>
    </row>
    <row r="687" spans="5:9" ht="15.75" customHeight="1">
      <c r="E687" s="2"/>
      <c r="H687" s="29"/>
      <c r="I687" s="30"/>
    </row>
    <row r="688" spans="5:9" ht="15.75" customHeight="1">
      <c r="E688" s="2"/>
      <c r="H688" s="29"/>
      <c r="I688" s="30"/>
    </row>
    <row r="689" spans="5:9" ht="15.75" customHeight="1">
      <c r="E689" s="2"/>
      <c r="H689" s="29"/>
      <c r="I689" s="30"/>
    </row>
    <row r="690" spans="5:9" ht="15.75" customHeight="1">
      <c r="E690" s="2"/>
      <c r="H690" s="29"/>
      <c r="I690" s="30"/>
    </row>
    <row r="691" spans="5:9" ht="15.75" customHeight="1">
      <c r="E691" s="2"/>
      <c r="H691" s="29"/>
      <c r="I691" s="30"/>
    </row>
    <row r="692" spans="5:9" ht="15.75" customHeight="1">
      <c r="E692" s="2"/>
      <c r="H692" s="29"/>
      <c r="I692" s="30"/>
    </row>
    <row r="693" spans="5:9" ht="15.75" customHeight="1">
      <c r="E693" s="2"/>
      <c r="H693" s="29"/>
      <c r="I693" s="30"/>
    </row>
    <row r="694" spans="5:9" ht="15.75" customHeight="1">
      <c r="E694" s="2"/>
      <c r="H694" s="29"/>
      <c r="I694" s="30"/>
    </row>
    <row r="695" spans="5:9" ht="15.75" customHeight="1">
      <c r="E695" s="2"/>
      <c r="H695" s="29"/>
      <c r="I695" s="30"/>
    </row>
    <row r="696" spans="5:9" ht="15.75" customHeight="1">
      <c r="E696" s="2"/>
      <c r="H696" s="29"/>
      <c r="I696" s="30"/>
    </row>
    <row r="697" spans="5:9" ht="15.75" customHeight="1">
      <c r="E697" s="2"/>
      <c r="H697" s="29"/>
      <c r="I697" s="30"/>
    </row>
    <row r="698" spans="5:9" ht="15.75" customHeight="1">
      <c r="E698" s="2"/>
      <c r="H698" s="29"/>
      <c r="I698" s="30"/>
    </row>
    <row r="699" spans="5:9" ht="15.75" customHeight="1">
      <c r="E699" s="2"/>
      <c r="H699" s="29"/>
      <c r="I699" s="30"/>
    </row>
    <row r="700" spans="5:9" ht="15.75" customHeight="1">
      <c r="E700" s="2"/>
      <c r="H700" s="29"/>
      <c r="I700" s="30"/>
    </row>
    <row r="701" spans="5:9" ht="15.75" customHeight="1">
      <c r="E701" s="2"/>
      <c r="H701" s="29"/>
      <c r="I701" s="30"/>
    </row>
    <row r="702" spans="5:9" ht="15.75" customHeight="1">
      <c r="E702" s="2"/>
      <c r="H702" s="29"/>
      <c r="I702" s="30"/>
    </row>
    <row r="703" spans="5:9" ht="15.75" customHeight="1">
      <c r="E703" s="2"/>
      <c r="H703" s="29"/>
      <c r="I703" s="30"/>
    </row>
    <row r="704" spans="5:9" ht="15.75" customHeight="1">
      <c r="E704" s="2"/>
      <c r="H704" s="29"/>
      <c r="I704" s="30"/>
    </row>
    <row r="705" spans="5:9" ht="15.75" customHeight="1">
      <c r="E705" s="2"/>
      <c r="H705" s="29"/>
      <c r="I705" s="30"/>
    </row>
    <row r="706" spans="5:9" ht="15.75" customHeight="1">
      <c r="E706" s="2"/>
      <c r="H706" s="29"/>
      <c r="I706" s="30"/>
    </row>
    <row r="707" spans="5:9" ht="15.75" customHeight="1">
      <c r="E707" s="2"/>
      <c r="H707" s="29"/>
      <c r="I707" s="30"/>
    </row>
    <row r="708" spans="5:9" ht="15.75" customHeight="1">
      <c r="E708" s="2"/>
      <c r="H708" s="29"/>
      <c r="I708" s="30"/>
    </row>
    <row r="709" spans="5:9" ht="15.75" customHeight="1">
      <c r="E709" s="2"/>
      <c r="H709" s="29"/>
      <c r="I709" s="30"/>
    </row>
    <row r="710" spans="5:9" ht="15.75" customHeight="1">
      <c r="E710" s="2"/>
      <c r="H710" s="29"/>
      <c r="I710" s="30"/>
    </row>
    <row r="711" spans="5:9" ht="15.75" customHeight="1">
      <c r="E711" s="2"/>
      <c r="H711" s="29"/>
      <c r="I711" s="30"/>
    </row>
    <row r="712" spans="5:9" ht="15.75" customHeight="1">
      <c r="E712" s="2"/>
      <c r="H712" s="29"/>
      <c r="I712" s="30"/>
    </row>
    <row r="713" spans="5:9" ht="15.75" customHeight="1">
      <c r="E713" s="2"/>
      <c r="H713" s="29"/>
      <c r="I713" s="30"/>
    </row>
    <row r="714" spans="5:9" ht="15.75" customHeight="1">
      <c r="E714" s="2"/>
      <c r="H714" s="29"/>
      <c r="I714" s="30"/>
    </row>
    <row r="715" spans="5:9" ht="15.75" customHeight="1">
      <c r="E715" s="2"/>
      <c r="H715" s="29"/>
      <c r="I715" s="30"/>
    </row>
    <row r="716" spans="5:9" ht="15.75" customHeight="1">
      <c r="E716" s="2"/>
      <c r="H716" s="29"/>
      <c r="I716" s="30"/>
    </row>
    <row r="717" spans="5:9" ht="15.75" customHeight="1">
      <c r="E717" s="2"/>
      <c r="H717" s="29"/>
      <c r="I717" s="30"/>
    </row>
    <row r="718" spans="5:9" ht="15.75" customHeight="1">
      <c r="E718" s="2"/>
      <c r="H718" s="29"/>
      <c r="I718" s="30"/>
    </row>
    <row r="719" spans="5:9" ht="15.75" customHeight="1">
      <c r="E719" s="2"/>
      <c r="H719" s="29"/>
      <c r="I719" s="30"/>
    </row>
    <row r="720" spans="5:9" ht="15.75" customHeight="1">
      <c r="E720" s="2"/>
      <c r="H720" s="29"/>
      <c r="I720" s="30"/>
    </row>
    <row r="721" spans="5:9" ht="15.75" customHeight="1">
      <c r="E721" s="2"/>
      <c r="H721" s="29"/>
      <c r="I721" s="30"/>
    </row>
    <row r="722" spans="5:9" ht="15.75" customHeight="1">
      <c r="E722" s="2"/>
      <c r="H722" s="29"/>
      <c r="I722" s="30"/>
    </row>
    <row r="723" spans="5:9" ht="15.75" customHeight="1">
      <c r="E723" s="2"/>
      <c r="H723" s="29"/>
      <c r="I723" s="30"/>
    </row>
    <row r="724" spans="5:9" ht="15.75" customHeight="1">
      <c r="E724" s="2"/>
      <c r="H724" s="29"/>
      <c r="I724" s="30"/>
    </row>
    <row r="725" spans="5:9" ht="15.75" customHeight="1">
      <c r="E725" s="2"/>
      <c r="H725" s="29"/>
      <c r="I725" s="30"/>
    </row>
    <row r="726" spans="5:9" ht="15.75" customHeight="1">
      <c r="E726" s="2"/>
      <c r="H726" s="29"/>
      <c r="I726" s="30"/>
    </row>
    <row r="727" spans="5:9" ht="15.75" customHeight="1">
      <c r="E727" s="2"/>
      <c r="H727" s="29"/>
      <c r="I727" s="30"/>
    </row>
    <row r="728" spans="5:9" ht="15.75" customHeight="1">
      <c r="E728" s="2"/>
      <c r="H728" s="29"/>
      <c r="I728" s="30"/>
    </row>
    <row r="729" spans="5:9" ht="15.75" customHeight="1">
      <c r="E729" s="2"/>
      <c r="H729" s="29"/>
      <c r="I729" s="30"/>
    </row>
    <row r="730" spans="5:9" ht="15.75" customHeight="1">
      <c r="E730" s="2"/>
      <c r="H730" s="29"/>
      <c r="I730" s="30"/>
    </row>
    <row r="731" spans="5:9" ht="15.75" customHeight="1">
      <c r="E731" s="2"/>
      <c r="H731" s="29"/>
      <c r="I731" s="30"/>
    </row>
    <row r="732" spans="5:9" ht="15.75" customHeight="1">
      <c r="E732" s="2"/>
      <c r="H732" s="29"/>
      <c r="I732" s="30"/>
    </row>
    <row r="733" spans="5:9" ht="15.75" customHeight="1">
      <c r="E733" s="2"/>
      <c r="H733" s="29"/>
      <c r="I733" s="30"/>
    </row>
    <row r="734" spans="5:9" ht="15.75" customHeight="1">
      <c r="E734" s="2"/>
      <c r="H734" s="29"/>
      <c r="I734" s="30"/>
    </row>
    <row r="735" spans="5:9" ht="15.75" customHeight="1">
      <c r="E735" s="2"/>
      <c r="H735" s="29"/>
      <c r="I735" s="30"/>
    </row>
    <row r="736" spans="5:9" ht="15.75" customHeight="1">
      <c r="E736" s="2"/>
      <c r="H736" s="29"/>
      <c r="I736" s="30"/>
    </row>
    <row r="737" spans="5:9" ht="15.75" customHeight="1">
      <c r="E737" s="2"/>
      <c r="H737" s="29"/>
      <c r="I737" s="30"/>
    </row>
    <row r="738" spans="5:9" ht="15.75" customHeight="1">
      <c r="E738" s="2"/>
      <c r="H738" s="29"/>
      <c r="I738" s="30"/>
    </row>
    <row r="739" spans="5:9" ht="15.75" customHeight="1">
      <c r="E739" s="2"/>
      <c r="H739" s="29"/>
      <c r="I739" s="30"/>
    </row>
    <row r="740" spans="5:9" ht="15.75" customHeight="1">
      <c r="E740" s="2"/>
      <c r="H740" s="29"/>
      <c r="I740" s="30"/>
    </row>
    <row r="741" spans="5:9" ht="15.75" customHeight="1">
      <c r="E741" s="2"/>
      <c r="H741" s="29"/>
      <c r="I741" s="30"/>
    </row>
    <row r="742" spans="5:9" ht="15.75" customHeight="1">
      <c r="E742" s="2"/>
      <c r="H742" s="29"/>
      <c r="I742" s="30"/>
    </row>
    <row r="743" spans="5:9" ht="15.75" customHeight="1">
      <c r="E743" s="2"/>
      <c r="H743" s="29"/>
      <c r="I743" s="30"/>
    </row>
    <row r="744" spans="5:9" ht="15.75" customHeight="1">
      <c r="E744" s="2"/>
      <c r="H744" s="29"/>
      <c r="I744" s="30"/>
    </row>
    <row r="745" spans="5:9" ht="15.75" customHeight="1">
      <c r="E745" s="2"/>
      <c r="H745" s="29"/>
      <c r="I745" s="30"/>
    </row>
    <row r="746" spans="5:9" ht="15.75" customHeight="1">
      <c r="E746" s="2"/>
      <c r="H746" s="29"/>
      <c r="I746" s="30"/>
    </row>
    <row r="747" spans="5:9" ht="15.75" customHeight="1">
      <c r="E747" s="2"/>
      <c r="H747" s="29"/>
      <c r="I747" s="30"/>
    </row>
    <row r="748" spans="5:9" ht="15.75" customHeight="1">
      <c r="E748" s="2"/>
      <c r="H748" s="29"/>
      <c r="I748" s="30"/>
    </row>
    <row r="749" spans="5:9" ht="15.75" customHeight="1">
      <c r="E749" s="2"/>
      <c r="H749" s="29"/>
      <c r="I749" s="30"/>
    </row>
    <row r="750" spans="5:9" ht="15.75" customHeight="1">
      <c r="E750" s="2"/>
      <c r="H750" s="29"/>
      <c r="I750" s="30"/>
    </row>
    <row r="751" spans="5:9" ht="15.75" customHeight="1">
      <c r="E751" s="2"/>
      <c r="H751" s="29"/>
      <c r="I751" s="30"/>
    </row>
    <row r="752" spans="5:9" ht="15.75" customHeight="1">
      <c r="E752" s="2"/>
      <c r="H752" s="29"/>
      <c r="I752" s="30"/>
    </row>
    <row r="753" spans="5:9" ht="15.75" customHeight="1">
      <c r="E753" s="2"/>
      <c r="H753" s="29"/>
      <c r="I753" s="30"/>
    </row>
    <row r="754" spans="5:9" ht="15.75" customHeight="1">
      <c r="E754" s="2"/>
      <c r="H754" s="29"/>
      <c r="I754" s="30"/>
    </row>
    <row r="755" spans="5:9" ht="15.75" customHeight="1">
      <c r="E755" s="2"/>
      <c r="H755" s="29"/>
      <c r="I755" s="30"/>
    </row>
    <row r="756" spans="5:9" ht="15.75" customHeight="1">
      <c r="E756" s="2"/>
      <c r="H756" s="29"/>
      <c r="I756" s="30"/>
    </row>
    <row r="757" spans="5:9" ht="15.75" customHeight="1">
      <c r="E757" s="2"/>
      <c r="H757" s="29"/>
      <c r="I757" s="30"/>
    </row>
    <row r="758" spans="5:9" ht="15.75" customHeight="1">
      <c r="E758" s="2"/>
      <c r="H758" s="29"/>
      <c r="I758" s="30"/>
    </row>
    <row r="759" spans="5:9" ht="15.75" customHeight="1">
      <c r="E759" s="2"/>
      <c r="H759" s="29"/>
      <c r="I759" s="30"/>
    </row>
    <row r="760" spans="5:9" ht="15.75" customHeight="1">
      <c r="E760" s="2"/>
      <c r="H760" s="29"/>
      <c r="I760" s="30"/>
    </row>
    <row r="761" spans="5:9" ht="15.75" customHeight="1">
      <c r="E761" s="2"/>
      <c r="H761" s="29"/>
      <c r="I761" s="30"/>
    </row>
    <row r="762" spans="5:9" ht="15.75" customHeight="1">
      <c r="E762" s="2"/>
      <c r="H762" s="29"/>
      <c r="I762" s="30"/>
    </row>
    <row r="763" spans="5:9" ht="15.75" customHeight="1">
      <c r="E763" s="2"/>
      <c r="H763" s="29"/>
      <c r="I763" s="30"/>
    </row>
    <row r="764" spans="5:9" ht="15.75" customHeight="1">
      <c r="E764" s="2"/>
      <c r="H764" s="29"/>
      <c r="I764" s="30"/>
    </row>
    <row r="765" spans="5:9" ht="15.75" customHeight="1">
      <c r="E765" s="2"/>
      <c r="H765" s="29"/>
      <c r="I765" s="30"/>
    </row>
    <row r="766" spans="5:9" ht="15.75" customHeight="1">
      <c r="E766" s="2"/>
      <c r="H766" s="29"/>
      <c r="I766" s="30"/>
    </row>
    <row r="767" spans="5:9" ht="15.75" customHeight="1">
      <c r="E767" s="2"/>
      <c r="H767" s="29"/>
      <c r="I767" s="30"/>
    </row>
    <row r="768" spans="5:9" ht="15.75" customHeight="1">
      <c r="E768" s="2"/>
      <c r="H768" s="29"/>
      <c r="I768" s="30"/>
    </row>
    <row r="769" spans="5:9" ht="15.75" customHeight="1">
      <c r="E769" s="2"/>
      <c r="H769" s="29"/>
      <c r="I769" s="30"/>
    </row>
    <row r="770" spans="5:9" ht="15.75" customHeight="1">
      <c r="E770" s="2"/>
      <c r="H770" s="29"/>
      <c r="I770" s="30"/>
    </row>
    <row r="771" spans="5:9" ht="15.75" customHeight="1">
      <c r="E771" s="2"/>
      <c r="H771" s="29"/>
      <c r="I771" s="30"/>
    </row>
    <row r="772" spans="5:9" ht="15.75" customHeight="1">
      <c r="E772" s="2"/>
      <c r="H772" s="29"/>
      <c r="I772" s="30"/>
    </row>
    <row r="773" spans="5:9" ht="15.75" customHeight="1">
      <c r="E773" s="2"/>
      <c r="H773" s="29"/>
      <c r="I773" s="30"/>
    </row>
    <row r="774" spans="5:9" ht="15.75" customHeight="1">
      <c r="E774" s="2"/>
      <c r="H774" s="29"/>
      <c r="I774" s="30"/>
    </row>
    <row r="775" spans="5:9" ht="15.75" customHeight="1">
      <c r="E775" s="2"/>
      <c r="H775" s="29"/>
      <c r="I775" s="30"/>
    </row>
    <row r="776" spans="5:9" ht="15.75" customHeight="1">
      <c r="E776" s="2"/>
      <c r="H776" s="29"/>
      <c r="I776" s="30"/>
    </row>
    <row r="777" spans="5:9" ht="15.75" customHeight="1">
      <c r="E777" s="2"/>
      <c r="H777" s="29"/>
      <c r="I777" s="30"/>
    </row>
    <row r="778" spans="5:9" ht="15.75" customHeight="1">
      <c r="E778" s="2"/>
      <c r="H778" s="29"/>
      <c r="I778" s="30"/>
    </row>
    <row r="779" spans="5:9" ht="15.75" customHeight="1">
      <c r="E779" s="2"/>
      <c r="H779" s="29"/>
      <c r="I779" s="30"/>
    </row>
    <row r="780" spans="5:9" ht="15.75" customHeight="1">
      <c r="E780" s="2"/>
      <c r="H780" s="29"/>
      <c r="I780" s="30"/>
    </row>
    <row r="781" spans="5:9" ht="15.75" customHeight="1">
      <c r="E781" s="2"/>
      <c r="H781" s="29"/>
      <c r="I781" s="30"/>
    </row>
    <row r="782" spans="5:9" ht="15.75" customHeight="1">
      <c r="E782" s="2"/>
      <c r="H782" s="29"/>
      <c r="I782" s="30"/>
    </row>
    <row r="783" spans="5:9" ht="15.75" customHeight="1">
      <c r="E783" s="2"/>
      <c r="H783" s="29"/>
      <c r="I783" s="30"/>
    </row>
    <row r="784" spans="5:9" ht="15.75" customHeight="1">
      <c r="E784" s="2"/>
      <c r="H784" s="29"/>
      <c r="I784" s="30"/>
    </row>
    <row r="785" spans="5:9" ht="15.75" customHeight="1">
      <c r="E785" s="2"/>
      <c r="H785" s="29"/>
      <c r="I785" s="30"/>
    </row>
    <row r="786" spans="5:9" ht="15.75" customHeight="1">
      <c r="E786" s="2"/>
      <c r="H786" s="29"/>
      <c r="I786" s="30"/>
    </row>
    <row r="787" spans="5:9" ht="15.75" customHeight="1">
      <c r="E787" s="2"/>
      <c r="H787" s="29"/>
      <c r="I787" s="30"/>
    </row>
    <row r="788" spans="5:9" ht="15.75" customHeight="1">
      <c r="E788" s="2"/>
      <c r="H788" s="29"/>
      <c r="I788" s="30"/>
    </row>
    <row r="789" spans="5:9" ht="15.75" customHeight="1">
      <c r="E789" s="2"/>
      <c r="H789" s="29"/>
      <c r="I789" s="30"/>
    </row>
    <row r="790" spans="5:9" ht="15.75" customHeight="1">
      <c r="E790" s="2"/>
      <c r="H790" s="29"/>
      <c r="I790" s="30"/>
    </row>
    <row r="791" spans="5:9" ht="15.75" customHeight="1">
      <c r="E791" s="2"/>
      <c r="H791" s="29"/>
      <c r="I791" s="30"/>
    </row>
    <row r="792" spans="5:9" ht="15.75" customHeight="1">
      <c r="E792" s="2"/>
      <c r="H792" s="29"/>
      <c r="I792" s="30"/>
    </row>
    <row r="793" spans="5:9" ht="15.75" customHeight="1">
      <c r="E793" s="2"/>
      <c r="H793" s="29"/>
      <c r="I793" s="30"/>
    </row>
    <row r="794" spans="5:9" ht="15.75" customHeight="1">
      <c r="E794" s="2"/>
      <c r="H794" s="29"/>
      <c r="I794" s="30"/>
    </row>
    <row r="795" spans="5:9" ht="15.75" customHeight="1">
      <c r="E795" s="2"/>
      <c r="H795" s="29"/>
      <c r="I795" s="30"/>
    </row>
    <row r="796" spans="5:9" ht="15.75" customHeight="1">
      <c r="E796" s="2"/>
      <c r="H796" s="29"/>
      <c r="I796" s="30"/>
    </row>
    <row r="797" spans="5:9" ht="15.75" customHeight="1">
      <c r="E797" s="2"/>
      <c r="H797" s="29"/>
      <c r="I797" s="30"/>
    </row>
    <row r="798" spans="5:9" ht="15.75" customHeight="1">
      <c r="E798" s="2"/>
      <c r="H798" s="29"/>
      <c r="I798" s="30"/>
    </row>
    <row r="799" spans="5:9" ht="15.75" customHeight="1">
      <c r="E799" s="2"/>
      <c r="H799" s="29"/>
      <c r="I799" s="30"/>
    </row>
    <row r="800" spans="5:9" ht="15.75" customHeight="1">
      <c r="E800" s="2"/>
      <c r="H800" s="29"/>
      <c r="I800" s="30"/>
    </row>
    <row r="801" spans="5:9" ht="15.75" customHeight="1">
      <c r="E801" s="2"/>
      <c r="H801" s="29"/>
      <c r="I801" s="30"/>
    </row>
    <row r="802" spans="5:9" ht="15.75" customHeight="1">
      <c r="E802" s="2"/>
      <c r="H802" s="29"/>
      <c r="I802" s="30"/>
    </row>
    <row r="803" spans="5:9" ht="15.75" customHeight="1">
      <c r="E803" s="2"/>
      <c r="H803" s="29"/>
      <c r="I803" s="30"/>
    </row>
    <row r="804" spans="5:9" ht="15.75" customHeight="1">
      <c r="E804" s="2"/>
      <c r="H804" s="29"/>
      <c r="I804" s="30"/>
    </row>
    <row r="805" spans="5:9" ht="15.75" customHeight="1">
      <c r="E805" s="2"/>
      <c r="H805" s="29"/>
      <c r="I805" s="30"/>
    </row>
    <row r="806" spans="5:9" ht="15.75" customHeight="1">
      <c r="E806" s="2"/>
      <c r="H806" s="29"/>
      <c r="I806" s="30"/>
    </row>
    <row r="807" spans="5:9" ht="15.75" customHeight="1">
      <c r="E807" s="2"/>
      <c r="H807" s="29"/>
      <c r="I807" s="30"/>
    </row>
    <row r="808" spans="5:9" ht="15.75" customHeight="1">
      <c r="E808" s="2"/>
      <c r="H808" s="29"/>
      <c r="I808" s="30"/>
    </row>
    <row r="809" spans="5:9" ht="15.75" customHeight="1">
      <c r="E809" s="2"/>
      <c r="H809" s="29"/>
      <c r="I809" s="30"/>
    </row>
    <row r="810" spans="5:9" ht="15.75" customHeight="1">
      <c r="E810" s="2"/>
      <c r="H810" s="29"/>
      <c r="I810" s="30"/>
    </row>
    <row r="811" spans="5:9" ht="15.75" customHeight="1">
      <c r="E811" s="2"/>
      <c r="H811" s="29"/>
      <c r="I811" s="30"/>
    </row>
    <row r="812" spans="5:9" ht="15.75" customHeight="1">
      <c r="E812" s="2"/>
      <c r="H812" s="29"/>
      <c r="I812" s="30"/>
    </row>
    <row r="813" spans="5:9" ht="15.75" customHeight="1">
      <c r="E813" s="2"/>
      <c r="H813" s="29"/>
      <c r="I813" s="30"/>
    </row>
    <row r="814" spans="5:9" ht="15.75" customHeight="1">
      <c r="E814" s="2"/>
      <c r="H814" s="29"/>
      <c r="I814" s="30"/>
    </row>
    <row r="815" spans="5:9" ht="15.75" customHeight="1">
      <c r="E815" s="2"/>
      <c r="H815" s="29"/>
      <c r="I815" s="30"/>
    </row>
    <row r="816" spans="5:9" ht="15.75" customHeight="1">
      <c r="E816" s="2"/>
      <c r="H816" s="29"/>
      <c r="I816" s="30"/>
    </row>
    <row r="817" spans="5:9" ht="15.75" customHeight="1">
      <c r="E817" s="2"/>
      <c r="H817" s="29"/>
      <c r="I817" s="30"/>
    </row>
    <row r="818" spans="5:9" ht="15.75" customHeight="1">
      <c r="E818" s="2"/>
      <c r="H818" s="29"/>
      <c r="I818" s="30"/>
    </row>
    <row r="819" spans="5:9" ht="15.75" customHeight="1">
      <c r="E819" s="2"/>
      <c r="H819" s="29"/>
      <c r="I819" s="30"/>
    </row>
    <row r="820" spans="5:9" ht="15.75" customHeight="1">
      <c r="E820" s="2"/>
      <c r="H820" s="29"/>
      <c r="I820" s="30"/>
    </row>
    <row r="821" spans="5:9" ht="15.75" customHeight="1">
      <c r="E821" s="2"/>
      <c r="H821" s="29"/>
      <c r="I821" s="30"/>
    </row>
    <row r="822" spans="5:9" ht="15.75" customHeight="1">
      <c r="E822" s="2"/>
      <c r="H822" s="29"/>
      <c r="I822" s="30"/>
    </row>
    <row r="823" spans="5:9" ht="15.75" customHeight="1">
      <c r="E823" s="2"/>
      <c r="H823" s="29"/>
      <c r="I823" s="30"/>
    </row>
    <row r="824" spans="5:9" ht="15.75" customHeight="1">
      <c r="E824" s="2"/>
      <c r="H824" s="29"/>
      <c r="I824" s="30"/>
    </row>
    <row r="825" spans="5:9" ht="15.75" customHeight="1">
      <c r="E825" s="2"/>
      <c r="H825" s="29"/>
      <c r="I825" s="30"/>
    </row>
    <row r="826" spans="5:9" ht="15.75" customHeight="1">
      <c r="E826" s="2"/>
      <c r="H826" s="29"/>
      <c r="I826" s="30"/>
    </row>
    <row r="827" spans="5:9" ht="15.75" customHeight="1">
      <c r="E827" s="2"/>
      <c r="H827" s="29"/>
      <c r="I827" s="30"/>
    </row>
    <row r="828" spans="5:9" ht="15.75" customHeight="1">
      <c r="E828" s="2"/>
      <c r="H828" s="29"/>
      <c r="I828" s="30"/>
    </row>
    <row r="829" spans="5:9" ht="15.75" customHeight="1">
      <c r="E829" s="2"/>
      <c r="H829" s="29"/>
      <c r="I829" s="30"/>
    </row>
    <row r="830" spans="5:9" ht="15.75" customHeight="1">
      <c r="E830" s="2"/>
      <c r="H830" s="29"/>
      <c r="I830" s="30"/>
    </row>
    <row r="831" spans="5:9" ht="15.75" customHeight="1">
      <c r="E831" s="2"/>
      <c r="H831" s="29"/>
      <c r="I831" s="30"/>
    </row>
    <row r="832" spans="5:9" ht="15.75" customHeight="1">
      <c r="E832" s="2"/>
      <c r="H832" s="29"/>
      <c r="I832" s="30"/>
    </row>
    <row r="833" spans="5:9" ht="15.75" customHeight="1">
      <c r="E833" s="2"/>
      <c r="H833" s="29"/>
      <c r="I833" s="30"/>
    </row>
    <row r="834" spans="5:9" ht="15.75" customHeight="1">
      <c r="E834" s="2"/>
      <c r="H834" s="29"/>
      <c r="I834" s="30"/>
    </row>
    <row r="835" spans="5:9" ht="15.75" customHeight="1">
      <c r="E835" s="2"/>
      <c r="H835" s="29"/>
      <c r="I835" s="30"/>
    </row>
    <row r="836" spans="5:9" ht="15.75" customHeight="1">
      <c r="E836" s="2"/>
      <c r="H836" s="29"/>
      <c r="I836" s="30"/>
    </row>
    <row r="837" spans="5:9" ht="15.75" customHeight="1">
      <c r="E837" s="2"/>
      <c r="H837" s="29"/>
      <c r="I837" s="30"/>
    </row>
    <row r="838" spans="5:9" ht="15.75" customHeight="1">
      <c r="E838" s="2"/>
      <c r="H838" s="29"/>
      <c r="I838" s="30"/>
    </row>
    <row r="839" spans="5:9" ht="15.75" customHeight="1">
      <c r="E839" s="2"/>
      <c r="H839" s="29"/>
      <c r="I839" s="30"/>
    </row>
    <row r="840" spans="5:9" ht="15.75" customHeight="1">
      <c r="E840" s="2"/>
      <c r="H840" s="29"/>
      <c r="I840" s="30"/>
    </row>
    <row r="841" spans="5:9" ht="15.75" customHeight="1">
      <c r="E841" s="2"/>
      <c r="H841" s="29"/>
      <c r="I841" s="30"/>
    </row>
    <row r="842" spans="5:9" ht="15.75" customHeight="1">
      <c r="E842" s="2"/>
      <c r="H842" s="29"/>
      <c r="I842" s="30"/>
    </row>
    <row r="843" spans="5:9" ht="15.75" customHeight="1">
      <c r="E843" s="2"/>
      <c r="H843" s="29"/>
      <c r="I843" s="30"/>
    </row>
    <row r="844" spans="5:9" ht="15.75" customHeight="1">
      <c r="E844" s="2"/>
      <c r="H844" s="29"/>
      <c r="I844" s="30"/>
    </row>
    <row r="845" spans="5:9" ht="15.75" customHeight="1">
      <c r="E845" s="2"/>
      <c r="H845" s="29"/>
      <c r="I845" s="30"/>
    </row>
    <row r="846" spans="5:9" ht="15.75" customHeight="1">
      <c r="E846" s="2"/>
      <c r="H846" s="29"/>
      <c r="I846" s="30"/>
    </row>
    <row r="847" spans="5:9" ht="15.75" customHeight="1">
      <c r="E847" s="2"/>
      <c r="H847" s="29"/>
      <c r="I847" s="30"/>
    </row>
    <row r="848" spans="5:9" ht="15.75" customHeight="1">
      <c r="E848" s="2"/>
      <c r="H848" s="29"/>
      <c r="I848" s="30"/>
    </row>
    <row r="849" spans="5:9" ht="15.75" customHeight="1">
      <c r="E849" s="2"/>
      <c r="H849" s="29"/>
      <c r="I849" s="30"/>
    </row>
    <row r="850" spans="5:9" ht="15.75" customHeight="1">
      <c r="E850" s="2"/>
      <c r="H850" s="29"/>
      <c r="I850" s="30"/>
    </row>
    <row r="851" spans="5:9" ht="15.75" customHeight="1">
      <c r="E851" s="2"/>
      <c r="H851" s="29"/>
      <c r="I851" s="30"/>
    </row>
    <row r="852" spans="5:9" ht="15.75" customHeight="1">
      <c r="E852" s="2"/>
      <c r="H852" s="29"/>
      <c r="I852" s="30"/>
    </row>
    <row r="853" spans="5:9" ht="15.75" customHeight="1">
      <c r="E853" s="2"/>
      <c r="H853" s="29"/>
      <c r="I853" s="30"/>
    </row>
    <row r="854" spans="5:9" ht="15.75" customHeight="1">
      <c r="E854" s="2"/>
      <c r="H854" s="29"/>
      <c r="I854" s="30"/>
    </row>
    <row r="855" spans="5:9" ht="15.75" customHeight="1">
      <c r="E855" s="2"/>
      <c r="H855" s="29"/>
      <c r="I855" s="30"/>
    </row>
    <row r="856" spans="5:9" ht="15.75" customHeight="1">
      <c r="E856" s="2"/>
      <c r="H856" s="29"/>
      <c r="I856" s="30"/>
    </row>
    <row r="857" spans="5:9" ht="15.75" customHeight="1">
      <c r="E857" s="2"/>
      <c r="H857" s="29"/>
      <c r="I857" s="30"/>
    </row>
    <row r="858" spans="5:9" ht="15.75" customHeight="1">
      <c r="E858" s="2"/>
      <c r="H858" s="29"/>
      <c r="I858" s="30"/>
    </row>
    <row r="859" spans="5:9" ht="15.75" customHeight="1">
      <c r="E859" s="2"/>
      <c r="H859" s="29"/>
      <c r="I859" s="30"/>
    </row>
    <row r="860" spans="5:9" ht="15.75" customHeight="1">
      <c r="E860" s="2"/>
      <c r="H860" s="29"/>
      <c r="I860" s="30"/>
    </row>
    <row r="861" spans="5:9" ht="15.75" customHeight="1">
      <c r="E861" s="2"/>
      <c r="H861" s="29"/>
      <c r="I861" s="30"/>
    </row>
    <row r="862" spans="5:9" ht="15.75" customHeight="1">
      <c r="E862" s="2"/>
      <c r="H862" s="29"/>
      <c r="I862" s="30"/>
    </row>
    <row r="863" spans="5:9" ht="15.75" customHeight="1">
      <c r="E863" s="2"/>
      <c r="H863" s="29"/>
      <c r="I863" s="30"/>
    </row>
    <row r="864" spans="5:9" ht="15.75" customHeight="1">
      <c r="E864" s="2"/>
      <c r="H864" s="29"/>
      <c r="I864" s="30"/>
    </row>
    <row r="865" spans="5:9" ht="15.75" customHeight="1">
      <c r="E865" s="2"/>
      <c r="H865" s="29"/>
      <c r="I865" s="30"/>
    </row>
    <row r="866" spans="5:9" ht="15.75" customHeight="1">
      <c r="E866" s="2"/>
      <c r="H866" s="29"/>
      <c r="I866" s="30"/>
    </row>
    <row r="867" spans="5:9" ht="15.75" customHeight="1">
      <c r="E867" s="2"/>
      <c r="H867" s="29"/>
      <c r="I867" s="30"/>
    </row>
    <row r="868" spans="5:9" ht="15.75" customHeight="1">
      <c r="E868" s="2"/>
      <c r="H868" s="29"/>
      <c r="I868" s="30"/>
    </row>
    <row r="869" spans="5:9" ht="15.75" customHeight="1">
      <c r="E869" s="2"/>
      <c r="H869" s="29"/>
      <c r="I869" s="30"/>
    </row>
    <row r="870" spans="5:9" ht="15.75" customHeight="1">
      <c r="E870" s="2"/>
      <c r="H870" s="29"/>
      <c r="I870" s="30"/>
    </row>
    <row r="871" spans="5:9" ht="15.75" customHeight="1">
      <c r="E871" s="2"/>
      <c r="H871" s="29"/>
      <c r="I871" s="30"/>
    </row>
    <row r="872" spans="5:9" ht="15.75" customHeight="1">
      <c r="E872" s="2"/>
      <c r="H872" s="29"/>
      <c r="I872" s="30"/>
    </row>
    <row r="873" spans="5:9" ht="15.75" customHeight="1">
      <c r="E873" s="2"/>
      <c r="H873" s="29"/>
      <c r="I873" s="30"/>
    </row>
    <row r="874" spans="5:9" ht="15.75" customHeight="1">
      <c r="E874" s="2"/>
      <c r="H874" s="29"/>
      <c r="I874" s="30"/>
    </row>
    <row r="875" spans="5:9" ht="15.75" customHeight="1">
      <c r="E875" s="2"/>
      <c r="H875" s="29"/>
      <c r="I875" s="30"/>
    </row>
    <row r="876" spans="5:9" ht="15.75" customHeight="1">
      <c r="E876" s="2"/>
      <c r="H876" s="29"/>
      <c r="I876" s="30"/>
    </row>
    <row r="877" spans="5:9" ht="15.75" customHeight="1">
      <c r="E877" s="2"/>
      <c r="H877" s="29"/>
      <c r="I877" s="30"/>
    </row>
    <row r="878" spans="5:9" ht="15.75" customHeight="1">
      <c r="E878" s="2"/>
      <c r="H878" s="29"/>
      <c r="I878" s="30"/>
    </row>
    <row r="879" spans="5:9" ht="15.75" customHeight="1">
      <c r="E879" s="2"/>
      <c r="H879" s="29"/>
      <c r="I879" s="30"/>
    </row>
    <row r="880" spans="5:9" ht="15.75" customHeight="1">
      <c r="E880" s="2"/>
      <c r="H880" s="29"/>
      <c r="I880" s="30"/>
    </row>
    <row r="881" spans="5:9" ht="15.75" customHeight="1">
      <c r="E881" s="2"/>
      <c r="H881" s="29"/>
      <c r="I881" s="30"/>
    </row>
    <row r="882" spans="5:9" ht="15.75" customHeight="1">
      <c r="E882" s="2"/>
      <c r="H882" s="29"/>
      <c r="I882" s="30"/>
    </row>
    <row r="883" spans="5:9" ht="15.75" customHeight="1">
      <c r="E883" s="2"/>
      <c r="H883" s="29"/>
      <c r="I883" s="30"/>
    </row>
    <row r="884" spans="5:9" ht="15.75" customHeight="1">
      <c r="E884" s="2"/>
      <c r="H884" s="29"/>
      <c r="I884" s="30"/>
    </row>
    <row r="885" spans="5:9" ht="15.75" customHeight="1">
      <c r="E885" s="2"/>
      <c r="H885" s="29"/>
      <c r="I885" s="30"/>
    </row>
    <row r="886" spans="5:9" ht="15.75" customHeight="1">
      <c r="E886" s="2"/>
      <c r="H886" s="29"/>
      <c r="I886" s="30"/>
    </row>
    <row r="887" spans="5:9" ht="15.75" customHeight="1">
      <c r="E887" s="2"/>
      <c r="H887" s="29"/>
      <c r="I887" s="30"/>
    </row>
    <row r="888" spans="5:9" ht="15.75" customHeight="1">
      <c r="E888" s="2"/>
      <c r="H888" s="29"/>
      <c r="I888" s="30"/>
    </row>
    <row r="889" spans="5:9" ht="15.75" customHeight="1">
      <c r="E889" s="2"/>
      <c r="H889" s="29"/>
      <c r="I889" s="30"/>
    </row>
    <row r="890" spans="5:9" ht="15.75" customHeight="1">
      <c r="E890" s="2"/>
      <c r="H890" s="29"/>
      <c r="I890" s="30"/>
    </row>
    <row r="891" spans="5:9" ht="15.75" customHeight="1">
      <c r="E891" s="2"/>
      <c r="H891" s="29"/>
      <c r="I891" s="30"/>
    </row>
    <row r="892" spans="5:9" ht="15.75" customHeight="1">
      <c r="E892" s="2"/>
      <c r="H892" s="29"/>
      <c r="I892" s="30"/>
    </row>
    <row r="893" spans="5:9" ht="15.75" customHeight="1">
      <c r="E893" s="2"/>
      <c r="H893" s="29"/>
      <c r="I893" s="30"/>
    </row>
    <row r="894" spans="5:9" ht="15.75" customHeight="1">
      <c r="E894" s="2"/>
      <c r="H894" s="29"/>
      <c r="I894" s="30"/>
    </row>
    <row r="895" spans="5:9" ht="15.75" customHeight="1">
      <c r="E895" s="2"/>
      <c r="H895" s="29"/>
      <c r="I895" s="30"/>
    </row>
    <row r="896" spans="5:9" ht="15.75" customHeight="1">
      <c r="E896" s="2"/>
      <c r="H896" s="29"/>
      <c r="I896" s="30"/>
    </row>
    <row r="897" spans="5:9" ht="15.75" customHeight="1">
      <c r="E897" s="2"/>
      <c r="H897" s="29"/>
      <c r="I897" s="30"/>
    </row>
    <row r="898" spans="5:9" ht="15.75" customHeight="1">
      <c r="E898" s="2"/>
      <c r="H898" s="29"/>
      <c r="I898" s="30"/>
    </row>
    <row r="899" spans="5:9" ht="15.75" customHeight="1">
      <c r="E899" s="2"/>
      <c r="H899" s="29"/>
      <c r="I899" s="30"/>
    </row>
    <row r="900" spans="5:9" ht="15.75" customHeight="1">
      <c r="E900" s="2"/>
      <c r="H900" s="29"/>
      <c r="I900" s="30"/>
    </row>
    <row r="901" spans="5:9" ht="15.75" customHeight="1">
      <c r="E901" s="2"/>
      <c r="H901" s="29"/>
      <c r="I901" s="30"/>
    </row>
    <row r="902" spans="5:9" ht="15.75" customHeight="1">
      <c r="E902" s="2"/>
      <c r="H902" s="29"/>
      <c r="I902" s="30"/>
    </row>
    <row r="903" spans="5:9" ht="15.75" customHeight="1">
      <c r="E903" s="2"/>
      <c r="H903" s="29"/>
      <c r="I903" s="30"/>
    </row>
    <row r="904" spans="5:9" ht="15.75" customHeight="1">
      <c r="E904" s="2"/>
      <c r="H904" s="29"/>
      <c r="I904" s="30"/>
    </row>
    <row r="905" spans="5:9" ht="15.75" customHeight="1">
      <c r="E905" s="2"/>
      <c r="H905" s="29"/>
      <c r="I905" s="30"/>
    </row>
    <row r="906" spans="5:9" ht="15.75" customHeight="1">
      <c r="E906" s="2"/>
      <c r="H906" s="29"/>
      <c r="I906" s="30"/>
    </row>
    <row r="907" spans="5:9" ht="15.75" customHeight="1">
      <c r="E907" s="2"/>
      <c r="H907" s="29"/>
      <c r="I907" s="30"/>
    </row>
    <row r="908" spans="5:9" ht="15.75" customHeight="1">
      <c r="E908" s="2"/>
      <c r="H908" s="29"/>
      <c r="I908" s="30"/>
    </row>
    <row r="909" spans="5:9" ht="15.75" customHeight="1">
      <c r="E909" s="2"/>
      <c r="H909" s="29"/>
      <c r="I909" s="30"/>
    </row>
    <row r="910" spans="5:9" ht="15.75" customHeight="1">
      <c r="E910" s="2"/>
      <c r="H910" s="29"/>
      <c r="I910" s="30"/>
    </row>
    <row r="911" spans="5:9" ht="15.75" customHeight="1">
      <c r="E911" s="2"/>
      <c r="H911" s="29"/>
      <c r="I911" s="30"/>
    </row>
    <row r="912" spans="5:9" ht="15.75" customHeight="1">
      <c r="E912" s="2"/>
      <c r="H912" s="29"/>
      <c r="I912" s="30"/>
    </row>
    <row r="913" spans="5:9" ht="15.75" customHeight="1">
      <c r="E913" s="2"/>
      <c r="H913" s="29"/>
      <c r="I913" s="30"/>
    </row>
    <row r="914" spans="5:9" ht="15.75" customHeight="1">
      <c r="E914" s="2"/>
      <c r="H914" s="29"/>
      <c r="I914" s="30"/>
    </row>
    <row r="915" spans="5:9" ht="15.75" customHeight="1">
      <c r="E915" s="2"/>
      <c r="H915" s="29"/>
      <c r="I915" s="30"/>
    </row>
    <row r="916" spans="5:9" ht="15.75" customHeight="1">
      <c r="E916" s="2"/>
      <c r="H916" s="29"/>
      <c r="I916" s="30"/>
    </row>
    <row r="917" spans="5:9" ht="15.75" customHeight="1">
      <c r="E917" s="2"/>
      <c r="H917" s="29"/>
      <c r="I917" s="30"/>
    </row>
    <row r="918" spans="5:9" ht="15.75" customHeight="1">
      <c r="E918" s="2"/>
      <c r="H918" s="29"/>
      <c r="I918" s="30"/>
    </row>
    <row r="919" spans="5:9" ht="15.75" customHeight="1">
      <c r="E919" s="2"/>
      <c r="H919" s="29"/>
      <c r="I919" s="30"/>
    </row>
    <row r="920" spans="5:9" ht="15.75" customHeight="1">
      <c r="E920" s="2"/>
      <c r="H920" s="29"/>
      <c r="I920" s="30"/>
    </row>
    <row r="921" spans="5:9" ht="15.75" customHeight="1">
      <c r="E921" s="2"/>
      <c r="H921" s="29"/>
      <c r="I921" s="30"/>
    </row>
    <row r="922" spans="5:9" ht="15.75" customHeight="1">
      <c r="E922" s="2"/>
      <c r="H922" s="29"/>
      <c r="I922" s="30"/>
    </row>
    <row r="923" spans="5:9" ht="15.75" customHeight="1">
      <c r="E923" s="2"/>
      <c r="H923" s="29"/>
      <c r="I923" s="30"/>
    </row>
    <row r="924" spans="5:9" ht="15.75" customHeight="1">
      <c r="E924" s="2"/>
      <c r="H924" s="29"/>
      <c r="I924" s="30"/>
    </row>
    <row r="925" spans="5:9" ht="15.75" customHeight="1">
      <c r="E925" s="2"/>
      <c r="H925" s="29"/>
      <c r="I925" s="30"/>
    </row>
    <row r="926" spans="5:9" ht="15.75" customHeight="1">
      <c r="E926" s="2"/>
      <c r="H926" s="29"/>
      <c r="I926" s="30"/>
    </row>
    <row r="927" spans="5:9" ht="15.75" customHeight="1">
      <c r="E927" s="2"/>
      <c r="H927" s="29"/>
      <c r="I927" s="30"/>
    </row>
    <row r="928" spans="5:9" ht="15.75" customHeight="1">
      <c r="E928" s="2"/>
      <c r="H928" s="29"/>
      <c r="I928" s="30"/>
    </row>
    <row r="929" spans="5:9" ht="15.75" customHeight="1">
      <c r="E929" s="2"/>
      <c r="H929" s="29"/>
      <c r="I929" s="30"/>
    </row>
    <row r="930" spans="5:9" ht="15.75" customHeight="1">
      <c r="E930" s="2"/>
      <c r="H930" s="29"/>
      <c r="I930" s="30"/>
    </row>
    <row r="931" spans="5:9" ht="15.75" customHeight="1">
      <c r="E931" s="2"/>
      <c r="H931" s="29"/>
      <c r="I931" s="30"/>
    </row>
    <row r="932" spans="5:9" ht="15.75" customHeight="1">
      <c r="E932" s="2"/>
      <c r="H932" s="29"/>
      <c r="I932" s="30"/>
    </row>
    <row r="933" spans="5:9" ht="15.75" customHeight="1">
      <c r="E933" s="2"/>
      <c r="H933" s="29"/>
      <c r="I933" s="30"/>
    </row>
    <row r="934" spans="5:9" ht="15.75" customHeight="1">
      <c r="E934" s="2"/>
      <c r="H934" s="29"/>
      <c r="I934" s="30"/>
    </row>
    <row r="935" spans="5:9" ht="15.75" customHeight="1">
      <c r="E935" s="2"/>
      <c r="H935" s="29"/>
      <c r="I935" s="30"/>
    </row>
    <row r="936" spans="5:9" ht="15.75" customHeight="1">
      <c r="E936" s="2"/>
      <c r="H936" s="29"/>
      <c r="I936" s="30"/>
    </row>
    <row r="937" spans="5:9" ht="15.75" customHeight="1">
      <c r="E937" s="2"/>
      <c r="H937" s="29"/>
      <c r="I937" s="30"/>
    </row>
    <row r="938" spans="5:9" ht="15.75" customHeight="1">
      <c r="E938" s="2"/>
      <c r="H938" s="29"/>
      <c r="I938" s="30"/>
    </row>
    <row r="939" spans="5:9" ht="15.75" customHeight="1">
      <c r="E939" s="2"/>
      <c r="H939" s="29"/>
      <c r="I939" s="30"/>
    </row>
    <row r="940" spans="5:9" ht="15.75" customHeight="1">
      <c r="E940" s="2"/>
      <c r="H940" s="29"/>
      <c r="I940" s="30"/>
    </row>
    <row r="941" spans="5:9" ht="15.75" customHeight="1">
      <c r="E941" s="2"/>
      <c r="H941" s="29"/>
      <c r="I941" s="30"/>
    </row>
    <row r="942" spans="5:9" ht="15.75" customHeight="1">
      <c r="E942" s="2"/>
      <c r="H942" s="29"/>
      <c r="I942" s="30"/>
    </row>
    <row r="943" spans="5:9" ht="15.75" customHeight="1">
      <c r="E943" s="2"/>
      <c r="H943" s="29"/>
      <c r="I943" s="30"/>
    </row>
    <row r="944" spans="5:9" ht="15.75" customHeight="1">
      <c r="E944" s="2"/>
      <c r="H944" s="29"/>
      <c r="I944" s="30"/>
    </row>
    <row r="945" spans="5:9" ht="15.75" customHeight="1">
      <c r="E945" s="2"/>
      <c r="H945" s="29"/>
      <c r="I945" s="30"/>
    </row>
    <row r="946" spans="5:9" ht="15.75" customHeight="1">
      <c r="E946" s="2"/>
      <c r="H946" s="29"/>
      <c r="I946" s="30"/>
    </row>
    <row r="947" spans="5:9" ht="15.75" customHeight="1">
      <c r="E947" s="2"/>
      <c r="H947" s="29"/>
      <c r="I947" s="30"/>
    </row>
    <row r="948" spans="5:9" ht="15.75" customHeight="1">
      <c r="E948" s="2"/>
      <c r="H948" s="29"/>
      <c r="I948" s="30"/>
    </row>
    <row r="949" spans="5:9" ht="15.75" customHeight="1">
      <c r="E949" s="2"/>
      <c r="H949" s="29"/>
      <c r="I949" s="30"/>
    </row>
    <row r="950" spans="5:9" ht="15.75" customHeight="1">
      <c r="E950" s="2"/>
      <c r="H950" s="29"/>
      <c r="I950" s="30"/>
    </row>
    <row r="951" spans="5:9" ht="15.75" customHeight="1">
      <c r="E951" s="2"/>
      <c r="H951" s="29"/>
      <c r="I951" s="30"/>
    </row>
    <row r="952" spans="5:9" ht="15.75" customHeight="1">
      <c r="E952" s="2"/>
      <c r="H952" s="29"/>
      <c r="I952" s="30"/>
    </row>
    <row r="953" spans="5:9" ht="15.75" customHeight="1">
      <c r="E953" s="2"/>
      <c r="H953" s="29"/>
      <c r="I953" s="30"/>
    </row>
    <row r="954" spans="5:9" ht="15.75" customHeight="1">
      <c r="E954" s="2"/>
      <c r="H954" s="29"/>
      <c r="I954" s="30"/>
    </row>
    <row r="955" spans="5:9" ht="15.75" customHeight="1">
      <c r="E955" s="2"/>
      <c r="H955" s="29"/>
      <c r="I955" s="30"/>
    </row>
    <row r="956" spans="5:9" ht="15.75" customHeight="1">
      <c r="E956" s="2"/>
      <c r="H956" s="29"/>
      <c r="I956" s="30"/>
    </row>
    <row r="957" spans="5:9" ht="15.75" customHeight="1">
      <c r="E957" s="2"/>
      <c r="H957" s="29"/>
      <c r="I957" s="30"/>
    </row>
    <row r="958" spans="5:9" ht="15.75" customHeight="1">
      <c r="E958" s="2"/>
      <c r="H958" s="29"/>
      <c r="I958" s="30"/>
    </row>
    <row r="959" spans="5:9" ht="15.75" customHeight="1">
      <c r="E959" s="2"/>
      <c r="H959" s="29"/>
      <c r="I959" s="30"/>
    </row>
    <row r="960" spans="5:9" ht="15.75" customHeight="1">
      <c r="E960" s="2"/>
      <c r="H960" s="29"/>
      <c r="I960" s="30"/>
    </row>
    <row r="961" spans="5:9" ht="15.75" customHeight="1">
      <c r="E961" s="2"/>
      <c r="H961" s="29"/>
      <c r="I961" s="30"/>
    </row>
    <row r="962" spans="5:9" ht="15.75" customHeight="1">
      <c r="E962" s="2"/>
      <c r="H962" s="29"/>
      <c r="I962" s="30"/>
    </row>
    <row r="963" spans="5:9" ht="15.75" customHeight="1">
      <c r="E963" s="2"/>
      <c r="H963" s="29"/>
      <c r="I963" s="30"/>
    </row>
    <row r="964" spans="5:9" ht="15.75" customHeight="1">
      <c r="E964" s="2"/>
      <c r="H964" s="29"/>
      <c r="I964" s="30"/>
    </row>
    <row r="965" spans="5:9" ht="15.75" customHeight="1">
      <c r="E965" s="2"/>
      <c r="H965" s="29"/>
      <c r="I965" s="30"/>
    </row>
    <row r="966" spans="5:9" ht="15.75" customHeight="1">
      <c r="E966" s="2"/>
      <c r="H966" s="29"/>
      <c r="I966" s="30"/>
    </row>
    <row r="967" spans="5:9" ht="15.75" customHeight="1">
      <c r="E967" s="2"/>
      <c r="H967" s="29"/>
      <c r="I967" s="30"/>
    </row>
    <row r="968" spans="5:9" ht="15.75" customHeight="1">
      <c r="E968" s="2"/>
      <c r="H968" s="29"/>
      <c r="I968" s="30"/>
    </row>
    <row r="969" spans="5:9" ht="15.75" customHeight="1">
      <c r="E969" s="2"/>
      <c r="H969" s="29"/>
      <c r="I969" s="30"/>
    </row>
    <row r="970" spans="5:9" ht="15.75" customHeight="1">
      <c r="E970" s="2"/>
      <c r="H970" s="29"/>
      <c r="I970" s="30"/>
    </row>
    <row r="971" spans="5:9" ht="15.75" customHeight="1">
      <c r="E971" s="2"/>
      <c r="H971" s="29"/>
      <c r="I971" s="30"/>
    </row>
    <row r="972" spans="5:9" ht="15.75" customHeight="1">
      <c r="E972" s="2"/>
      <c r="H972" s="29"/>
      <c r="I972" s="30"/>
    </row>
    <row r="973" spans="5:9" ht="15.75" customHeight="1">
      <c r="E973" s="2"/>
      <c r="H973" s="29"/>
      <c r="I973" s="30"/>
    </row>
    <row r="974" spans="5:9" ht="15.75" customHeight="1">
      <c r="E974" s="2"/>
      <c r="H974" s="29"/>
      <c r="I974" s="30"/>
    </row>
    <row r="975" spans="5:9" ht="15.75" customHeight="1">
      <c r="E975" s="2"/>
      <c r="H975" s="29"/>
      <c r="I975" s="30"/>
    </row>
    <row r="976" spans="5:9" ht="15.75" customHeight="1">
      <c r="E976" s="2"/>
      <c r="H976" s="29"/>
      <c r="I976" s="30"/>
    </row>
    <row r="977" spans="5:9" ht="15.75" customHeight="1">
      <c r="E977" s="2"/>
      <c r="H977" s="29"/>
      <c r="I977" s="30"/>
    </row>
    <row r="978" spans="5:9" ht="15.75" customHeight="1">
      <c r="E978" s="2"/>
      <c r="H978" s="29"/>
      <c r="I978" s="30"/>
    </row>
    <row r="979" spans="5:9" ht="15.75" customHeight="1">
      <c r="E979" s="2"/>
      <c r="H979" s="29"/>
      <c r="I979" s="30"/>
    </row>
    <row r="980" spans="5:9" ht="15.75" customHeight="1">
      <c r="E980" s="2"/>
      <c r="H980" s="29"/>
      <c r="I980" s="30"/>
    </row>
    <row r="981" spans="5:9" ht="15.75" customHeight="1">
      <c r="E981" s="2"/>
      <c r="H981" s="29"/>
      <c r="I981" s="30"/>
    </row>
    <row r="982" spans="5:9" ht="15.75" customHeight="1">
      <c r="E982" s="2"/>
      <c r="H982" s="29"/>
      <c r="I982" s="30"/>
    </row>
    <row r="983" spans="5:9" ht="15.75" customHeight="1">
      <c r="E983" s="2"/>
      <c r="H983" s="29"/>
      <c r="I983" s="30"/>
    </row>
    <row r="984" spans="5:9" ht="15.75" customHeight="1">
      <c r="E984" s="2"/>
      <c r="H984" s="29"/>
      <c r="I984" s="30"/>
    </row>
    <row r="985" spans="5:9" ht="15.75" customHeight="1">
      <c r="E985" s="2"/>
      <c r="H985" s="29"/>
      <c r="I985" s="30"/>
    </row>
    <row r="986" spans="5:9" ht="15.75" customHeight="1">
      <c r="E986" s="2"/>
      <c r="H986" s="29"/>
      <c r="I986" s="30"/>
    </row>
    <row r="987" spans="5:9" ht="15.75" customHeight="1">
      <c r="E987" s="2"/>
      <c r="H987" s="29"/>
      <c r="I987" s="30"/>
    </row>
    <row r="988" spans="5:9" ht="15.75" customHeight="1">
      <c r="E988" s="2"/>
      <c r="H988" s="29"/>
      <c r="I988" s="30"/>
    </row>
    <row r="989" spans="5:9" ht="15.75" customHeight="1">
      <c r="E989" s="2"/>
      <c r="H989" s="29"/>
      <c r="I989" s="30"/>
    </row>
    <row r="990" spans="5:9" ht="15.75" customHeight="1">
      <c r="E990" s="2"/>
      <c r="H990" s="29"/>
      <c r="I990" s="30"/>
    </row>
    <row r="991" spans="5:9" ht="15.75" customHeight="1">
      <c r="E991" s="2"/>
      <c r="H991" s="29"/>
      <c r="I991" s="30"/>
    </row>
    <row r="992" spans="5:9" ht="15.75" customHeight="1">
      <c r="E992" s="2"/>
      <c r="H992" s="29"/>
      <c r="I992" s="30"/>
    </row>
    <row r="993" spans="5:9" ht="15.75" customHeight="1">
      <c r="E993" s="2"/>
      <c r="H993" s="29"/>
      <c r="I993" s="30"/>
    </row>
  </sheetData>
  <dataValidations count="1">
    <dataValidation type="list" allowBlank="1" showErrorMessage="1" sqref="W3:W8" xr:uid="{807354C7-FBF0-446E-AC13-1CFCF62B82CB}">
      <formula1>"Open,Inprogress,Closed"</formula1>
    </dataValidation>
  </dataValidations>
  <hyperlinks>
    <hyperlink ref="M4" r:id="rId1" xr:uid="{EAD2D291-AD53-498B-890F-1959564B05E2}"/>
    <hyperlink ref="M7" r:id="rId2" xr:uid="{C1D1C164-237C-4042-B25B-B1DD22797040}"/>
  </hyperlinks>
  <pageMargins left="0" right="0" top="0" bottom="0" header="0" footer="0"/>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B07DF-43B7-41FC-84CA-DCC6E0646981}">
  <sheetPr>
    <outlinePr summaryBelow="0" summaryRight="0"/>
  </sheetPr>
  <dimension ref="A1:X992"/>
  <sheetViews>
    <sheetView showGridLines="0" workbookViewId="0">
      <pane xSplit="5" ySplit="2" topLeftCell="X4" activePane="bottomRight" state="frozen"/>
      <selection pane="bottomRight" activeCell="X4" sqref="X4"/>
      <selection pane="bottomLeft" activeCell="A3" sqref="A3"/>
      <selection pane="topRight" activeCell="F1" sqref="F1"/>
    </sheetView>
  </sheetViews>
  <sheetFormatPr defaultColWidth="12.5703125" defaultRowHeight="12.75"/>
  <cols>
    <col min="1" max="1" width="4.28515625" customWidth="1"/>
    <col min="2" max="2" width="34.42578125" customWidth="1"/>
    <col min="3" max="3" width="19.7109375" customWidth="1"/>
    <col min="4" max="4" width="12.42578125" style="47" customWidth="1"/>
    <col min="5" max="5" width="53.42578125" customWidth="1"/>
    <col min="6" max="7" width="23.140625" customWidth="1"/>
    <col min="8" max="8" width="11.42578125" customWidth="1"/>
    <col min="9" max="9" width="21" customWidth="1"/>
    <col min="10" max="10" width="40.140625" customWidth="1"/>
    <col min="11" max="11" width="12.5703125" customWidth="1"/>
    <col min="12" max="12" width="40" customWidth="1"/>
    <col min="13" max="13" width="40.85546875" customWidth="1"/>
    <col min="14" max="14" width="12.5703125" customWidth="1"/>
    <col min="15" max="15" width="12.5703125" style="53" customWidth="1"/>
    <col min="16" max="16" width="12.5703125" customWidth="1"/>
    <col min="17" max="17" width="46.28515625" customWidth="1"/>
    <col min="18" max="19" width="10.140625" customWidth="1"/>
    <col min="20" max="20" width="29.42578125" customWidth="1"/>
    <col min="21" max="22" width="41.28515625" customWidth="1"/>
    <col min="23" max="23" width="21.42578125" customWidth="1"/>
    <col min="24" max="24" width="42" customWidth="1"/>
  </cols>
  <sheetData>
    <row r="1" spans="1:24">
      <c r="A1" s="4"/>
      <c r="B1" s="4"/>
      <c r="C1" s="4"/>
      <c r="D1" s="5"/>
      <c r="E1" s="54"/>
      <c r="F1" s="4"/>
      <c r="G1" s="4"/>
      <c r="H1" s="5"/>
      <c r="I1" s="1"/>
      <c r="J1" s="4"/>
      <c r="K1" s="4"/>
      <c r="L1" s="4"/>
      <c r="M1" s="4"/>
      <c r="N1" s="4"/>
      <c r="O1" s="48"/>
      <c r="P1" s="4"/>
      <c r="Q1" s="4"/>
      <c r="R1" s="4"/>
      <c r="S1" s="4"/>
      <c r="T1" s="4"/>
      <c r="U1" s="4"/>
      <c r="V1" s="4"/>
      <c r="W1" s="4"/>
      <c r="X1" s="6"/>
    </row>
    <row r="2" spans="1:24" ht="27">
      <c r="A2" s="1" t="s">
        <v>254</v>
      </c>
      <c r="B2" s="59" t="s">
        <v>255</v>
      </c>
      <c r="C2" s="59" t="s">
        <v>256</v>
      </c>
      <c r="D2" s="68" t="s">
        <v>257</v>
      </c>
      <c r="E2" s="69" t="s">
        <v>258</v>
      </c>
      <c r="F2" s="70" t="s">
        <v>260</v>
      </c>
      <c r="G2" s="70" t="s">
        <v>261</v>
      </c>
      <c r="H2" s="68" t="s">
        <v>265</v>
      </c>
      <c r="I2" s="70" t="s">
        <v>266</v>
      </c>
      <c r="J2" s="70" t="s">
        <v>267</v>
      </c>
      <c r="K2" s="70" t="s">
        <v>268</v>
      </c>
      <c r="L2" s="70" t="s">
        <v>269</v>
      </c>
      <c r="M2" s="70" t="s">
        <v>270</v>
      </c>
      <c r="N2" s="70" t="s">
        <v>271</v>
      </c>
      <c r="O2" s="71" t="s">
        <v>272</v>
      </c>
      <c r="P2" s="70" t="s">
        <v>1708</v>
      </c>
      <c r="Q2" s="70" t="s">
        <v>274</v>
      </c>
      <c r="R2" s="70" t="s">
        <v>1709</v>
      </c>
      <c r="S2" s="70" t="s">
        <v>276</v>
      </c>
      <c r="T2" s="70" t="s">
        <v>274</v>
      </c>
      <c r="U2" s="70" t="s">
        <v>278</v>
      </c>
      <c r="V2" s="70" t="s">
        <v>279</v>
      </c>
      <c r="W2" s="70" t="s">
        <v>259</v>
      </c>
      <c r="X2" s="72" t="s">
        <v>280</v>
      </c>
    </row>
    <row r="3" spans="1:24" ht="23.25">
      <c r="A3" s="98">
        <v>1</v>
      </c>
      <c r="B3" s="97" t="s">
        <v>1967</v>
      </c>
      <c r="C3" s="100" t="s">
        <v>862</v>
      </c>
      <c r="D3" s="73" t="s">
        <v>1968</v>
      </c>
      <c r="E3" s="74" t="s">
        <v>1969</v>
      </c>
      <c r="F3" s="75">
        <v>2</v>
      </c>
      <c r="G3" s="76">
        <v>2</v>
      </c>
      <c r="H3" s="77" t="s">
        <v>1970</v>
      </c>
      <c r="I3" s="78" t="s">
        <v>862</v>
      </c>
      <c r="J3" s="78" t="s">
        <v>1971</v>
      </c>
      <c r="K3" s="78" t="s">
        <v>1728</v>
      </c>
      <c r="L3" s="30" t="s">
        <v>1728</v>
      </c>
      <c r="M3" s="40" t="s">
        <v>1972</v>
      </c>
      <c r="N3" s="79">
        <v>45343</v>
      </c>
      <c r="O3" s="79">
        <v>45350</v>
      </c>
      <c r="P3" s="80" t="s">
        <v>1973</v>
      </c>
      <c r="Q3" s="81" t="s">
        <v>1694</v>
      </c>
      <c r="R3" s="81" t="s">
        <v>294</v>
      </c>
      <c r="S3" s="82">
        <v>45350</v>
      </c>
      <c r="T3" s="81" t="s">
        <v>1694</v>
      </c>
      <c r="U3" s="92" t="s">
        <v>1728</v>
      </c>
      <c r="V3" s="81" t="s">
        <v>1694</v>
      </c>
      <c r="W3" s="30" t="s">
        <v>384</v>
      </c>
      <c r="X3" s="30"/>
    </row>
    <row r="4" spans="1:24">
      <c r="A4" s="98">
        <v>2</v>
      </c>
      <c r="B4" s="97" t="s">
        <v>1967</v>
      </c>
      <c r="C4" s="100" t="s">
        <v>1714</v>
      </c>
      <c r="D4" s="90" t="s">
        <v>1974</v>
      </c>
      <c r="E4" s="83" t="s">
        <v>1975</v>
      </c>
      <c r="F4" s="84">
        <v>3</v>
      </c>
      <c r="G4" s="80">
        <v>3</v>
      </c>
      <c r="H4" s="77" t="s">
        <v>1970</v>
      </c>
      <c r="I4" s="91" t="s">
        <v>862</v>
      </c>
      <c r="J4" s="78" t="s">
        <v>1971</v>
      </c>
      <c r="K4" s="91" t="s">
        <v>862</v>
      </c>
      <c r="L4" s="81" t="s">
        <v>1694</v>
      </c>
      <c r="M4" s="40" t="s">
        <v>1728</v>
      </c>
      <c r="N4" s="92" t="s">
        <v>1728</v>
      </c>
      <c r="O4" s="92" t="s">
        <v>1728</v>
      </c>
      <c r="P4" s="92" t="s">
        <v>1728</v>
      </c>
      <c r="Q4" s="92" t="s">
        <v>1728</v>
      </c>
      <c r="R4" s="92" t="s">
        <v>1728</v>
      </c>
      <c r="S4" s="92" t="s">
        <v>1728</v>
      </c>
      <c r="T4" s="92" t="s">
        <v>1728</v>
      </c>
      <c r="U4" s="92" t="s">
        <v>1728</v>
      </c>
      <c r="V4" s="92" t="s">
        <v>1728</v>
      </c>
      <c r="W4" s="30" t="s">
        <v>384</v>
      </c>
      <c r="X4" s="30" t="s">
        <v>1945</v>
      </c>
    </row>
    <row r="5" spans="1:24">
      <c r="A5" s="98">
        <v>3</v>
      </c>
      <c r="B5" s="97" t="s">
        <v>1967</v>
      </c>
      <c r="C5" s="101" t="s">
        <v>1805</v>
      </c>
      <c r="D5" s="87" t="s">
        <v>1976</v>
      </c>
      <c r="E5" s="83" t="s">
        <v>1977</v>
      </c>
      <c r="F5" s="84">
        <v>3</v>
      </c>
      <c r="G5" s="80">
        <v>3</v>
      </c>
      <c r="H5" s="77" t="s">
        <v>1970</v>
      </c>
      <c r="I5" s="78" t="s">
        <v>862</v>
      </c>
      <c r="J5" s="78" t="s">
        <v>1971</v>
      </c>
      <c r="K5" s="78" t="s">
        <v>862</v>
      </c>
      <c r="L5" s="81" t="s">
        <v>1694</v>
      </c>
      <c r="M5" s="40" t="s">
        <v>1728</v>
      </c>
      <c r="N5" s="92" t="s">
        <v>1728</v>
      </c>
      <c r="O5" s="92" t="s">
        <v>1728</v>
      </c>
      <c r="P5" s="92" t="s">
        <v>1728</v>
      </c>
      <c r="Q5" s="92" t="s">
        <v>1728</v>
      </c>
      <c r="R5" s="92" t="s">
        <v>1728</v>
      </c>
      <c r="S5" s="92" t="s">
        <v>1728</v>
      </c>
      <c r="T5" s="92" t="s">
        <v>1728</v>
      </c>
      <c r="U5" s="92" t="s">
        <v>1728</v>
      </c>
      <c r="V5" s="92" t="s">
        <v>1728</v>
      </c>
      <c r="W5" s="30" t="s">
        <v>384</v>
      </c>
      <c r="X5" s="30" t="s">
        <v>1978</v>
      </c>
    </row>
    <row r="6" spans="1:24" ht="23.25">
      <c r="A6" s="98">
        <v>4</v>
      </c>
      <c r="B6" s="97" t="s">
        <v>1967</v>
      </c>
      <c r="C6" s="100" t="s">
        <v>292</v>
      </c>
      <c r="D6" s="87" t="s">
        <v>1979</v>
      </c>
      <c r="E6" s="83" t="s">
        <v>1980</v>
      </c>
      <c r="F6" s="84">
        <v>2</v>
      </c>
      <c r="G6" s="80">
        <v>2</v>
      </c>
      <c r="H6" s="77" t="s">
        <v>1970</v>
      </c>
      <c r="I6" s="78" t="s">
        <v>1714</v>
      </c>
      <c r="J6" s="78" t="s">
        <v>1971</v>
      </c>
      <c r="K6" s="100" t="s">
        <v>1714</v>
      </c>
      <c r="L6" s="81" t="s">
        <v>1694</v>
      </c>
      <c r="M6" s="40" t="s">
        <v>1981</v>
      </c>
      <c r="N6" s="92">
        <v>45341</v>
      </c>
      <c r="O6" s="92">
        <v>45342</v>
      </c>
      <c r="P6" s="80" t="s">
        <v>1973</v>
      </c>
      <c r="Q6" s="81" t="s">
        <v>1694</v>
      </c>
      <c r="R6" s="81" t="s">
        <v>294</v>
      </c>
      <c r="S6" s="93">
        <v>45342</v>
      </c>
      <c r="T6" s="81" t="s">
        <v>1694</v>
      </c>
      <c r="U6" s="92" t="s">
        <v>1728</v>
      </c>
      <c r="V6" s="81" t="s">
        <v>1694</v>
      </c>
      <c r="W6" s="30" t="s">
        <v>384</v>
      </c>
      <c r="X6" s="81"/>
    </row>
    <row r="7" spans="1:24" ht="23.25">
      <c r="A7" s="98">
        <v>5</v>
      </c>
      <c r="B7" s="97" t="s">
        <v>1967</v>
      </c>
      <c r="C7" s="100" t="s">
        <v>292</v>
      </c>
      <c r="D7" s="87" t="s">
        <v>1982</v>
      </c>
      <c r="E7" s="83" t="s">
        <v>1983</v>
      </c>
      <c r="F7" s="84">
        <v>3</v>
      </c>
      <c r="G7" s="80">
        <v>3</v>
      </c>
      <c r="H7" s="77" t="s">
        <v>1970</v>
      </c>
      <c r="I7" s="78" t="s">
        <v>1714</v>
      </c>
      <c r="J7" s="78" t="s">
        <v>1971</v>
      </c>
      <c r="K7" s="100" t="s">
        <v>1714</v>
      </c>
      <c r="L7" s="81" t="s">
        <v>1694</v>
      </c>
      <c r="M7" s="40" t="s">
        <v>1984</v>
      </c>
      <c r="N7" s="94">
        <v>45343</v>
      </c>
      <c r="O7" s="85">
        <v>45345</v>
      </c>
      <c r="P7" s="80" t="s">
        <v>1973</v>
      </c>
      <c r="Q7" s="81" t="s">
        <v>1694</v>
      </c>
      <c r="R7" s="81" t="s">
        <v>294</v>
      </c>
      <c r="S7" s="95">
        <v>45345</v>
      </c>
      <c r="T7" s="81" t="s">
        <v>1694</v>
      </c>
      <c r="U7" s="92" t="s">
        <v>1728</v>
      </c>
      <c r="V7" s="81" t="s">
        <v>1694</v>
      </c>
      <c r="W7" s="30" t="s">
        <v>384</v>
      </c>
      <c r="X7" s="30"/>
    </row>
    <row r="8" spans="1:24" ht="16.5">
      <c r="A8" s="99"/>
      <c r="B8" s="97"/>
      <c r="C8" s="102"/>
      <c r="D8" s="46"/>
      <c r="E8" s="19"/>
      <c r="F8" s="18"/>
      <c r="G8" s="18"/>
      <c r="H8" s="12"/>
      <c r="I8" s="14"/>
      <c r="J8" s="14"/>
      <c r="K8" s="14"/>
      <c r="L8" s="67"/>
      <c r="M8" s="40"/>
      <c r="N8" s="65"/>
      <c r="O8" s="66"/>
      <c r="P8" s="14"/>
      <c r="Q8" s="14"/>
      <c r="R8" s="19"/>
      <c r="S8" s="65"/>
      <c r="T8" s="14"/>
      <c r="U8" s="19"/>
      <c r="V8" s="19"/>
      <c r="W8" s="64"/>
      <c r="X8" s="19"/>
    </row>
    <row r="9" spans="1:24">
      <c r="A9" s="99"/>
      <c r="B9" s="97"/>
      <c r="C9" s="103"/>
      <c r="D9" s="46"/>
      <c r="E9" s="19"/>
      <c r="F9" s="18"/>
      <c r="G9" s="18"/>
      <c r="H9" s="12"/>
      <c r="I9" s="14"/>
      <c r="J9" s="14"/>
      <c r="K9" s="14"/>
      <c r="L9" s="58"/>
      <c r="M9" s="14"/>
      <c r="N9" s="14"/>
      <c r="O9" s="9"/>
      <c r="P9" s="14"/>
      <c r="Q9" s="19"/>
      <c r="R9" s="19"/>
      <c r="S9" s="19"/>
      <c r="T9" s="19"/>
      <c r="U9" s="19"/>
      <c r="V9" s="19"/>
      <c r="W9" s="64"/>
      <c r="X9" s="19"/>
    </row>
    <row r="10" spans="1:24">
      <c r="A10" s="99"/>
      <c r="B10" s="97"/>
      <c r="C10" s="103"/>
      <c r="D10" s="62"/>
      <c r="E10" s="19"/>
      <c r="F10" s="18"/>
      <c r="G10" s="18"/>
      <c r="H10" s="12"/>
      <c r="I10" s="10"/>
      <c r="J10" s="14"/>
      <c r="K10" s="14"/>
      <c r="L10" s="19"/>
      <c r="M10" s="14"/>
      <c r="N10" s="14"/>
      <c r="O10" s="9"/>
      <c r="P10" s="14"/>
      <c r="Q10" s="18"/>
      <c r="R10" s="19"/>
      <c r="S10" s="19"/>
      <c r="T10" s="19"/>
      <c r="U10" s="19"/>
      <c r="V10" s="19"/>
      <c r="W10" s="64"/>
      <c r="X10" s="19"/>
    </row>
    <row r="11" spans="1:24">
      <c r="A11" s="99"/>
      <c r="B11" s="97"/>
      <c r="C11" s="102"/>
      <c r="D11" s="62"/>
      <c r="E11" s="12"/>
      <c r="F11" s="18"/>
      <c r="G11" s="18"/>
      <c r="H11" s="12"/>
      <c r="I11" s="14"/>
      <c r="J11" s="19"/>
      <c r="K11" s="14"/>
      <c r="L11" s="19"/>
      <c r="M11" s="14"/>
      <c r="N11" s="14"/>
      <c r="O11" s="9"/>
      <c r="P11" s="14"/>
      <c r="Q11" s="19"/>
      <c r="R11" s="19"/>
      <c r="S11" s="19"/>
      <c r="T11" s="19"/>
      <c r="U11" s="19"/>
      <c r="V11" s="19"/>
      <c r="W11" s="64"/>
      <c r="X11" s="19"/>
    </row>
    <row r="12" spans="1:24">
      <c r="A12" s="19"/>
      <c r="B12" s="104"/>
      <c r="C12" s="14"/>
      <c r="D12" s="12"/>
      <c r="E12" s="19"/>
      <c r="F12" s="18"/>
      <c r="G12" s="18"/>
      <c r="H12" s="12"/>
      <c r="I12" s="14"/>
      <c r="J12" s="19"/>
      <c r="K12" s="14"/>
      <c r="L12" s="19"/>
      <c r="M12" s="14"/>
      <c r="N12" s="14"/>
      <c r="O12" s="9"/>
      <c r="P12" s="14"/>
      <c r="Q12" s="19"/>
      <c r="R12" s="19"/>
      <c r="S12" s="19"/>
      <c r="T12" s="19"/>
      <c r="U12" s="19"/>
      <c r="V12" s="19"/>
      <c r="W12" s="19"/>
      <c r="X12" s="19"/>
    </row>
    <row r="13" spans="1:24">
      <c r="A13" s="19"/>
      <c r="B13" s="60"/>
      <c r="C13" s="14"/>
      <c r="D13" s="12"/>
      <c r="E13" s="19"/>
      <c r="F13" s="18"/>
      <c r="G13" s="18"/>
      <c r="H13" s="12"/>
      <c r="I13" s="14"/>
      <c r="J13" s="19"/>
      <c r="K13" s="14"/>
      <c r="L13" s="19"/>
      <c r="M13" s="14"/>
      <c r="N13" s="14"/>
      <c r="O13" s="9"/>
      <c r="P13" s="14"/>
      <c r="Q13" s="19"/>
      <c r="R13" s="19"/>
      <c r="S13" s="19"/>
      <c r="T13" s="19"/>
      <c r="U13" s="19"/>
      <c r="V13" s="19"/>
      <c r="W13" s="19"/>
      <c r="X13" s="19"/>
    </row>
    <row r="14" spans="1:24">
      <c r="A14" s="19"/>
      <c r="B14" s="60"/>
      <c r="C14" s="14"/>
      <c r="D14" s="12"/>
      <c r="E14" s="19"/>
      <c r="F14" s="18"/>
      <c r="G14" s="18"/>
      <c r="H14" s="12"/>
      <c r="I14" s="14"/>
      <c r="J14" s="19"/>
      <c r="K14" s="14"/>
      <c r="L14" s="19"/>
      <c r="M14" s="14"/>
      <c r="N14" s="14"/>
      <c r="O14" s="9"/>
      <c r="P14" s="14"/>
      <c r="Q14" s="19"/>
      <c r="R14" s="19"/>
      <c r="S14" s="19"/>
      <c r="T14" s="19"/>
      <c r="U14" s="19"/>
      <c r="V14" s="19"/>
      <c r="W14" s="19"/>
      <c r="X14" s="19"/>
    </row>
    <row r="15" spans="1:24">
      <c r="A15" s="19"/>
      <c r="B15" s="60"/>
      <c r="C15" s="14"/>
      <c r="D15" s="12"/>
      <c r="E15" s="19"/>
      <c r="F15" s="18"/>
      <c r="G15" s="18"/>
      <c r="H15" s="12"/>
      <c r="I15" s="14"/>
      <c r="J15" s="19"/>
      <c r="K15" s="14"/>
      <c r="L15" s="19"/>
      <c r="M15" s="14"/>
      <c r="N15" s="14"/>
      <c r="O15" s="9"/>
      <c r="P15" s="14"/>
      <c r="Q15" s="19"/>
      <c r="R15" s="19"/>
      <c r="S15" s="19"/>
      <c r="T15" s="19"/>
      <c r="U15" s="19"/>
      <c r="V15" s="19"/>
      <c r="W15" s="19"/>
      <c r="X15" s="19"/>
    </row>
    <row r="16" spans="1:24">
      <c r="A16" s="19"/>
      <c r="B16" s="60"/>
      <c r="C16" s="14"/>
      <c r="D16" s="12"/>
      <c r="E16" s="19"/>
      <c r="F16" s="18"/>
      <c r="G16" s="18"/>
      <c r="H16" s="12"/>
      <c r="I16" s="14"/>
      <c r="J16" s="19"/>
      <c r="K16" s="14"/>
      <c r="L16" s="19"/>
      <c r="M16" s="14"/>
      <c r="N16" s="14"/>
      <c r="O16" s="9"/>
      <c r="P16" s="14"/>
      <c r="Q16" s="19"/>
      <c r="R16" s="19"/>
      <c r="S16" s="19"/>
      <c r="T16" s="19"/>
      <c r="U16" s="19"/>
      <c r="V16" s="19"/>
      <c r="W16" s="19"/>
      <c r="X16" s="19"/>
    </row>
    <row r="17" spans="2:16">
      <c r="B17" s="28"/>
      <c r="C17" s="3"/>
      <c r="E17" s="35"/>
      <c r="F17" s="28"/>
      <c r="G17" s="28"/>
      <c r="H17" s="29"/>
      <c r="I17" s="63"/>
      <c r="K17" s="3"/>
      <c r="M17" s="3"/>
      <c r="N17" s="3"/>
      <c r="O17" s="52"/>
      <c r="P17" s="3"/>
    </row>
    <row r="18" spans="2:16">
      <c r="B18" s="28"/>
      <c r="C18" s="3"/>
      <c r="E18" s="35"/>
      <c r="F18" s="28"/>
      <c r="G18" s="28"/>
      <c r="H18" s="29"/>
      <c r="I18" s="14"/>
      <c r="K18" s="3"/>
      <c r="M18" s="3"/>
      <c r="N18" s="3"/>
      <c r="O18" s="52"/>
      <c r="P18" s="3"/>
    </row>
    <row r="19" spans="2:16">
      <c r="B19" s="28"/>
      <c r="C19" s="3"/>
      <c r="E19" s="35"/>
      <c r="F19" s="28"/>
      <c r="G19" s="28"/>
      <c r="H19" s="29"/>
      <c r="I19" s="14"/>
      <c r="K19" s="3"/>
      <c r="M19" s="3"/>
      <c r="N19" s="3"/>
      <c r="O19" s="52"/>
      <c r="P19" s="3"/>
    </row>
    <row r="20" spans="2:16">
      <c r="B20" s="28"/>
      <c r="C20" s="3"/>
      <c r="E20" s="35"/>
      <c r="F20" s="28"/>
      <c r="G20" s="28"/>
      <c r="H20" s="29"/>
      <c r="I20" s="14"/>
      <c r="K20" s="3"/>
      <c r="M20" s="3"/>
      <c r="N20" s="3"/>
      <c r="O20" s="52"/>
      <c r="P20" s="3"/>
    </row>
    <row r="21" spans="2:16">
      <c r="B21" s="28"/>
      <c r="C21" s="3"/>
      <c r="E21" s="35"/>
      <c r="F21" s="28"/>
      <c r="G21" s="28"/>
      <c r="H21" s="29"/>
      <c r="I21" s="14"/>
      <c r="K21" s="3"/>
      <c r="M21" s="3"/>
      <c r="N21" s="3"/>
      <c r="O21" s="52"/>
      <c r="P21" s="3"/>
    </row>
    <row r="22" spans="2:16">
      <c r="B22" s="28"/>
      <c r="C22" s="3"/>
      <c r="E22" s="35"/>
      <c r="F22" s="28"/>
      <c r="G22" s="28"/>
      <c r="H22" s="29"/>
      <c r="I22" s="14"/>
      <c r="K22" s="3"/>
      <c r="M22" s="3"/>
      <c r="N22" s="3"/>
      <c r="O22" s="52"/>
      <c r="P22" s="3"/>
    </row>
    <row r="23" spans="2:16">
      <c r="B23" s="28"/>
      <c r="C23" s="3"/>
      <c r="E23" s="35"/>
      <c r="F23" s="28"/>
      <c r="G23" s="28"/>
      <c r="H23" s="29"/>
      <c r="I23" s="14"/>
      <c r="K23" s="3"/>
      <c r="M23" s="3"/>
      <c r="N23" s="3"/>
      <c r="O23" s="52"/>
      <c r="P23" s="3"/>
    </row>
    <row r="24" spans="2:16">
      <c r="B24" s="28"/>
      <c r="C24" s="3"/>
      <c r="E24" s="35"/>
      <c r="F24" s="28"/>
      <c r="G24" s="28"/>
      <c r="H24" s="29"/>
      <c r="I24" s="14"/>
      <c r="K24" s="3"/>
      <c r="M24" s="3"/>
      <c r="N24" s="3"/>
      <c r="O24" s="52"/>
      <c r="P24" s="3"/>
    </row>
    <row r="25" spans="2:16">
      <c r="B25" s="28"/>
      <c r="C25" s="3"/>
      <c r="E25" s="35"/>
      <c r="F25" s="28"/>
      <c r="G25" s="28"/>
      <c r="H25" s="29"/>
      <c r="I25" s="14"/>
      <c r="K25" s="3"/>
      <c r="M25" s="3"/>
      <c r="N25" s="3"/>
      <c r="O25" s="52"/>
      <c r="P25" s="3"/>
    </row>
    <row r="26" spans="2:16">
      <c r="B26" s="28"/>
      <c r="C26" s="3"/>
      <c r="E26" s="35"/>
      <c r="F26" s="28"/>
      <c r="G26" s="28"/>
      <c r="H26" s="29"/>
      <c r="I26" s="14"/>
      <c r="K26" s="3"/>
      <c r="M26" s="3"/>
      <c r="N26" s="3"/>
      <c r="O26" s="52"/>
      <c r="P26" s="3"/>
    </row>
    <row r="27" spans="2:16">
      <c r="B27" s="28"/>
      <c r="C27" s="3"/>
      <c r="E27" s="35"/>
      <c r="F27" s="28"/>
      <c r="G27" s="28"/>
      <c r="H27" s="29"/>
      <c r="I27" s="14"/>
      <c r="K27" s="3"/>
      <c r="M27" s="3"/>
      <c r="N27" s="3"/>
      <c r="O27" s="52"/>
      <c r="P27" s="3"/>
    </row>
    <row r="28" spans="2:16">
      <c r="B28" s="28"/>
      <c r="C28" s="3"/>
      <c r="E28" s="35"/>
      <c r="F28" s="28"/>
      <c r="G28" s="28"/>
      <c r="H28" s="29"/>
      <c r="I28" s="14"/>
      <c r="K28" s="3"/>
      <c r="M28" s="3"/>
      <c r="N28" s="3"/>
      <c r="O28" s="52"/>
      <c r="P28" s="3"/>
    </row>
    <row r="29" spans="2:16">
      <c r="B29" s="28"/>
      <c r="C29" s="3"/>
      <c r="E29" s="35"/>
      <c r="F29" s="28"/>
      <c r="G29" s="28"/>
      <c r="H29" s="29"/>
      <c r="I29" s="14"/>
      <c r="K29" s="3"/>
      <c r="M29" s="3"/>
      <c r="N29" s="3"/>
      <c r="O29" s="52"/>
      <c r="P29" s="3"/>
    </row>
    <row r="30" spans="2:16">
      <c r="B30" s="28"/>
      <c r="C30" s="3"/>
      <c r="E30" s="35"/>
      <c r="F30" s="28"/>
      <c r="G30" s="28"/>
      <c r="H30" s="29"/>
      <c r="I30" s="14"/>
      <c r="K30" s="3"/>
      <c r="M30" s="3"/>
      <c r="N30" s="3"/>
      <c r="O30" s="52"/>
      <c r="P30" s="3"/>
    </row>
    <row r="31" spans="2:16">
      <c r="B31" s="28"/>
      <c r="C31" s="3"/>
      <c r="E31" s="35"/>
      <c r="F31" s="28"/>
      <c r="G31" s="28"/>
      <c r="H31" s="29"/>
      <c r="I31" s="14"/>
      <c r="K31" s="3"/>
      <c r="M31" s="3"/>
      <c r="N31" s="3"/>
      <c r="O31" s="52"/>
      <c r="P31" s="3"/>
    </row>
    <row r="32" spans="2:16">
      <c r="B32" s="28"/>
      <c r="C32" s="3"/>
      <c r="E32" s="35"/>
      <c r="F32" s="28"/>
      <c r="G32" s="28"/>
      <c r="H32" s="29"/>
      <c r="I32" s="14"/>
      <c r="K32" s="3"/>
      <c r="M32" s="3"/>
      <c r="N32" s="3"/>
      <c r="O32" s="52"/>
      <c r="P32" s="3"/>
    </row>
    <row r="33" spans="2:16">
      <c r="B33" s="28"/>
      <c r="C33" s="3"/>
      <c r="E33" s="35"/>
      <c r="F33" s="28"/>
      <c r="G33" s="28"/>
      <c r="H33" s="29"/>
      <c r="I33" s="14"/>
      <c r="K33" s="3"/>
      <c r="M33" s="3"/>
      <c r="N33" s="3"/>
      <c r="O33" s="52"/>
      <c r="P33" s="3"/>
    </row>
    <row r="34" spans="2:16">
      <c r="B34" s="28"/>
      <c r="C34" s="3"/>
      <c r="E34" s="35"/>
      <c r="F34" s="28"/>
      <c r="G34" s="28"/>
      <c r="H34" s="29"/>
      <c r="I34" s="14"/>
      <c r="K34" s="3"/>
      <c r="M34" s="3"/>
      <c r="N34" s="3"/>
      <c r="O34" s="52"/>
      <c r="P34" s="3"/>
    </row>
    <row r="35" spans="2:16">
      <c r="B35" s="28"/>
      <c r="C35" s="3"/>
      <c r="E35" s="35"/>
      <c r="F35" s="28"/>
      <c r="G35" s="28"/>
      <c r="H35" s="29"/>
      <c r="I35" s="14"/>
      <c r="K35" s="3"/>
      <c r="M35" s="3"/>
      <c r="N35" s="3"/>
      <c r="O35" s="52"/>
      <c r="P35" s="3"/>
    </row>
    <row r="36" spans="2:16">
      <c r="B36" s="28"/>
      <c r="C36" s="3"/>
      <c r="E36" s="35"/>
      <c r="F36" s="28"/>
      <c r="G36" s="28"/>
      <c r="H36" s="29"/>
      <c r="I36" s="14"/>
      <c r="K36" s="3"/>
      <c r="M36" s="3"/>
      <c r="N36" s="3"/>
      <c r="O36" s="52"/>
      <c r="P36" s="3"/>
    </row>
    <row r="37" spans="2:16">
      <c r="B37" s="28"/>
      <c r="C37" s="3"/>
      <c r="E37" s="35"/>
      <c r="F37" s="28"/>
      <c r="G37" s="28"/>
      <c r="H37" s="29"/>
      <c r="I37" s="14"/>
      <c r="K37" s="3"/>
      <c r="M37" s="3"/>
      <c r="N37" s="3"/>
      <c r="O37" s="52"/>
      <c r="P37" s="3"/>
    </row>
    <row r="38" spans="2:16">
      <c r="B38" s="28"/>
      <c r="C38" s="3"/>
      <c r="E38" s="35"/>
      <c r="F38" s="28"/>
      <c r="G38" s="28"/>
      <c r="H38" s="29"/>
      <c r="I38" s="14"/>
      <c r="K38" s="3"/>
      <c r="M38" s="3"/>
      <c r="N38" s="3"/>
      <c r="O38" s="52"/>
      <c r="P38" s="3"/>
    </row>
    <row r="39" spans="2:16">
      <c r="B39" s="28"/>
      <c r="C39" s="3"/>
      <c r="E39" s="35"/>
      <c r="F39" s="28"/>
      <c r="G39" s="28"/>
      <c r="H39" s="29"/>
      <c r="I39" s="14"/>
      <c r="K39" s="3"/>
      <c r="M39" s="3"/>
      <c r="N39" s="3"/>
      <c r="O39" s="52"/>
      <c r="P39" s="3"/>
    </row>
    <row r="40" spans="2:16">
      <c r="B40" s="28"/>
      <c r="C40" s="3"/>
      <c r="E40" s="35"/>
      <c r="F40" s="28"/>
      <c r="G40" s="28"/>
      <c r="H40" s="29"/>
      <c r="I40" s="14"/>
      <c r="K40" s="3"/>
      <c r="M40" s="3"/>
      <c r="N40" s="3"/>
      <c r="O40" s="52"/>
      <c r="P40" s="3"/>
    </row>
    <row r="41" spans="2:16">
      <c r="B41" s="28"/>
      <c r="C41" s="3"/>
      <c r="E41" s="35"/>
      <c r="F41" s="28"/>
      <c r="G41" s="28"/>
      <c r="H41" s="29"/>
      <c r="I41" s="14"/>
      <c r="K41" s="3"/>
      <c r="M41" s="3"/>
      <c r="N41" s="3"/>
      <c r="O41" s="52"/>
      <c r="P41" s="3"/>
    </row>
    <row r="42" spans="2:16">
      <c r="B42" s="28"/>
      <c r="C42" s="3"/>
      <c r="E42" s="35"/>
      <c r="F42" s="28"/>
      <c r="G42" s="28"/>
      <c r="H42" s="29"/>
      <c r="I42" s="14"/>
      <c r="K42" s="3"/>
      <c r="M42" s="3"/>
      <c r="N42" s="3"/>
      <c r="O42" s="52"/>
      <c r="P42" s="3"/>
    </row>
    <row r="43" spans="2:16">
      <c r="B43" s="28"/>
      <c r="C43" s="3"/>
      <c r="E43" s="35"/>
      <c r="F43" s="28"/>
      <c r="G43" s="28"/>
      <c r="H43" s="29"/>
      <c r="I43" s="14"/>
      <c r="K43" s="3"/>
      <c r="M43" s="3"/>
      <c r="N43" s="3"/>
      <c r="O43" s="52"/>
      <c r="P43" s="3"/>
    </row>
    <row r="44" spans="2:16">
      <c r="B44" s="28"/>
      <c r="C44" s="3"/>
      <c r="E44" s="35"/>
      <c r="F44" s="28"/>
      <c r="G44" s="28"/>
      <c r="H44" s="29"/>
      <c r="I44" s="14"/>
      <c r="K44" s="3"/>
      <c r="M44" s="3"/>
      <c r="N44" s="3"/>
      <c r="O44" s="52"/>
      <c r="P44" s="3"/>
    </row>
    <row r="45" spans="2:16">
      <c r="B45" s="28"/>
      <c r="C45" s="3"/>
      <c r="E45" s="35"/>
      <c r="F45" s="28"/>
      <c r="G45" s="28"/>
      <c r="H45" s="29"/>
      <c r="I45" s="14"/>
      <c r="K45" s="3"/>
      <c r="M45" s="3"/>
      <c r="N45" s="3"/>
      <c r="O45" s="52"/>
      <c r="P45" s="3"/>
    </row>
    <row r="46" spans="2:16">
      <c r="B46" s="28"/>
      <c r="C46" s="3"/>
      <c r="E46" s="35"/>
      <c r="F46" s="28"/>
      <c r="G46" s="28"/>
      <c r="H46" s="29"/>
      <c r="I46" s="14"/>
      <c r="K46" s="3"/>
      <c r="M46" s="3"/>
      <c r="N46" s="3"/>
      <c r="O46" s="52"/>
      <c r="P46" s="3"/>
    </row>
    <row r="47" spans="2:16">
      <c r="B47" s="28"/>
      <c r="C47" s="3"/>
      <c r="E47" s="35"/>
      <c r="F47" s="28"/>
      <c r="G47" s="28"/>
      <c r="H47" s="29"/>
      <c r="I47" s="14"/>
      <c r="K47" s="3"/>
      <c r="M47" s="3"/>
      <c r="N47" s="3"/>
      <c r="O47" s="52"/>
      <c r="P47" s="3"/>
    </row>
    <row r="48" spans="2:16">
      <c r="B48" s="28"/>
      <c r="C48" s="3"/>
      <c r="E48" s="35"/>
      <c r="F48" s="28"/>
      <c r="G48" s="28"/>
      <c r="H48" s="29"/>
      <c r="I48" s="14"/>
      <c r="K48" s="3"/>
      <c r="M48" s="3"/>
      <c r="N48" s="3"/>
      <c r="O48" s="52"/>
      <c r="P48" s="3"/>
    </row>
    <row r="49" spans="2:16">
      <c r="B49" s="28"/>
      <c r="C49" s="3"/>
      <c r="E49" s="35"/>
      <c r="F49" s="28"/>
      <c r="G49" s="28"/>
      <c r="H49" s="29"/>
      <c r="I49" s="14"/>
      <c r="K49" s="3"/>
      <c r="M49" s="3"/>
      <c r="N49" s="3"/>
      <c r="O49" s="52"/>
      <c r="P49" s="3"/>
    </row>
    <row r="50" spans="2:16">
      <c r="B50" s="28"/>
      <c r="C50" s="3"/>
      <c r="E50" s="35"/>
      <c r="F50" s="28"/>
      <c r="G50" s="28"/>
      <c r="H50" s="29"/>
      <c r="I50" s="14"/>
      <c r="K50" s="3"/>
      <c r="M50" s="3"/>
      <c r="N50" s="3"/>
      <c r="O50" s="52"/>
      <c r="P50" s="3"/>
    </row>
    <row r="51" spans="2:16">
      <c r="B51" s="28"/>
      <c r="C51" s="3"/>
      <c r="E51" s="35"/>
      <c r="F51" s="28"/>
      <c r="G51" s="28"/>
      <c r="H51" s="29"/>
      <c r="I51" s="14"/>
      <c r="K51" s="3"/>
      <c r="M51" s="3"/>
      <c r="N51" s="3"/>
      <c r="O51" s="52"/>
      <c r="P51" s="3"/>
    </row>
    <row r="52" spans="2:16">
      <c r="B52" s="28"/>
      <c r="C52" s="3"/>
      <c r="E52" s="35"/>
      <c r="F52" s="28"/>
      <c r="G52" s="28"/>
      <c r="H52" s="29"/>
      <c r="I52" s="14"/>
      <c r="K52" s="3"/>
      <c r="M52" s="3"/>
      <c r="N52" s="3"/>
      <c r="O52" s="52"/>
      <c r="P52" s="3"/>
    </row>
    <row r="53" spans="2:16">
      <c r="B53" s="28"/>
      <c r="C53" s="3"/>
      <c r="E53" s="35"/>
      <c r="F53" s="28"/>
      <c r="G53" s="28"/>
      <c r="H53" s="29"/>
      <c r="I53" s="14"/>
      <c r="K53" s="3"/>
      <c r="M53" s="3"/>
      <c r="N53" s="3"/>
      <c r="O53" s="52"/>
      <c r="P53" s="3"/>
    </row>
    <row r="54" spans="2:16">
      <c r="B54" s="28"/>
      <c r="C54" s="3"/>
      <c r="E54" s="35"/>
      <c r="F54" s="28"/>
      <c r="G54" s="28"/>
      <c r="H54" s="29"/>
      <c r="I54" s="14"/>
      <c r="K54" s="3"/>
      <c r="M54" s="3"/>
      <c r="N54" s="3"/>
      <c r="O54" s="52"/>
      <c r="P54" s="3"/>
    </row>
    <row r="55" spans="2:16">
      <c r="B55" s="28"/>
      <c r="C55" s="3"/>
      <c r="E55" s="35"/>
      <c r="F55" s="28"/>
      <c r="G55" s="28"/>
      <c r="H55" s="29"/>
      <c r="I55" s="14"/>
      <c r="K55" s="3"/>
      <c r="M55" s="3"/>
      <c r="N55" s="3"/>
      <c r="O55" s="52"/>
      <c r="P55" s="3"/>
    </row>
    <row r="56" spans="2:16">
      <c r="B56" s="28"/>
      <c r="C56" s="3"/>
      <c r="E56" s="35"/>
      <c r="F56" s="28"/>
      <c r="G56" s="28"/>
      <c r="H56" s="29"/>
      <c r="I56" s="14"/>
      <c r="K56" s="3"/>
      <c r="M56" s="3"/>
      <c r="N56" s="3"/>
      <c r="O56" s="52"/>
      <c r="P56" s="3"/>
    </row>
    <row r="57" spans="2:16">
      <c r="B57" s="28"/>
      <c r="C57" s="3"/>
      <c r="E57" s="35"/>
      <c r="F57" s="28"/>
      <c r="G57" s="28"/>
      <c r="H57" s="29"/>
      <c r="I57" s="14"/>
      <c r="K57" s="3"/>
      <c r="M57" s="3"/>
      <c r="N57" s="3"/>
      <c r="O57" s="52"/>
      <c r="P57" s="3"/>
    </row>
    <row r="58" spans="2:16">
      <c r="B58" s="28"/>
      <c r="C58" s="3"/>
      <c r="E58" s="35"/>
      <c r="F58" s="28"/>
      <c r="G58" s="28"/>
      <c r="H58" s="29"/>
      <c r="I58" s="14"/>
      <c r="K58" s="3"/>
      <c r="M58" s="3"/>
      <c r="N58" s="3"/>
      <c r="O58" s="52"/>
      <c r="P58" s="3"/>
    </row>
    <row r="59" spans="2:16">
      <c r="B59" s="28"/>
      <c r="C59" s="3"/>
      <c r="E59" s="35"/>
      <c r="F59" s="28"/>
      <c r="G59" s="28"/>
      <c r="H59" s="29"/>
      <c r="I59" s="14"/>
      <c r="K59" s="3"/>
      <c r="M59" s="3"/>
      <c r="N59" s="3"/>
      <c r="O59" s="52"/>
      <c r="P59" s="3"/>
    </row>
    <row r="60" spans="2:16">
      <c r="B60" s="28"/>
      <c r="C60" s="3"/>
      <c r="E60" s="35"/>
      <c r="F60" s="28"/>
      <c r="G60" s="28"/>
      <c r="H60" s="29"/>
      <c r="I60" s="14"/>
      <c r="K60" s="3"/>
      <c r="M60" s="3"/>
      <c r="N60" s="3"/>
      <c r="O60" s="52"/>
      <c r="P60" s="3"/>
    </row>
    <row r="61" spans="2:16">
      <c r="B61" s="28"/>
      <c r="C61" s="3"/>
      <c r="E61" s="35"/>
      <c r="F61" s="28"/>
      <c r="G61" s="28"/>
      <c r="H61" s="29"/>
      <c r="I61" s="14"/>
      <c r="K61" s="3"/>
      <c r="M61" s="3"/>
      <c r="N61" s="3"/>
      <c r="O61" s="52"/>
      <c r="P61" s="3"/>
    </row>
    <row r="62" spans="2:16">
      <c r="B62" s="28"/>
      <c r="C62" s="3"/>
      <c r="E62" s="35"/>
      <c r="F62" s="28"/>
      <c r="G62" s="28"/>
      <c r="H62" s="29"/>
      <c r="I62" s="14"/>
      <c r="K62" s="3"/>
      <c r="M62" s="3"/>
      <c r="N62" s="3"/>
      <c r="O62" s="52"/>
      <c r="P62" s="3"/>
    </row>
    <row r="63" spans="2:16">
      <c r="B63" s="28"/>
      <c r="C63" s="3"/>
      <c r="E63" s="35"/>
      <c r="F63" s="28"/>
      <c r="G63" s="28"/>
      <c r="H63" s="29"/>
      <c r="I63" s="14"/>
      <c r="K63" s="3"/>
      <c r="M63" s="3"/>
      <c r="N63" s="3"/>
      <c r="O63" s="52"/>
      <c r="P63" s="3"/>
    </row>
    <row r="64" spans="2:16">
      <c r="B64" s="28"/>
      <c r="C64" s="3"/>
      <c r="E64" s="35"/>
      <c r="F64" s="28"/>
      <c r="G64" s="28"/>
      <c r="H64" s="29"/>
      <c r="I64" s="14"/>
      <c r="K64" s="3"/>
      <c r="M64" s="3"/>
      <c r="N64" s="3"/>
      <c r="O64" s="52"/>
      <c r="P64" s="3"/>
    </row>
    <row r="65" spans="2:16">
      <c r="B65" s="28"/>
      <c r="C65" s="3"/>
      <c r="E65" s="35"/>
      <c r="F65" s="28"/>
      <c r="G65" s="28"/>
      <c r="H65" s="29"/>
      <c r="I65" s="14"/>
      <c r="K65" s="3"/>
      <c r="M65" s="3"/>
      <c r="N65" s="3"/>
      <c r="O65" s="52"/>
      <c r="P65" s="3"/>
    </row>
    <row r="66" spans="2:16">
      <c r="B66" s="28"/>
      <c r="C66" s="3"/>
      <c r="E66" s="35"/>
      <c r="F66" s="28"/>
      <c r="G66" s="28"/>
      <c r="H66" s="29"/>
      <c r="I66" s="14"/>
      <c r="K66" s="3"/>
      <c r="M66" s="3"/>
      <c r="N66" s="3"/>
      <c r="O66" s="52"/>
      <c r="P66" s="3"/>
    </row>
    <row r="67" spans="2:16">
      <c r="B67" s="28"/>
      <c r="C67" s="3"/>
      <c r="E67" s="35"/>
      <c r="F67" s="28"/>
      <c r="G67" s="28"/>
      <c r="H67" s="29"/>
      <c r="I67" s="14"/>
      <c r="K67" s="3"/>
      <c r="M67" s="3"/>
      <c r="N67" s="3"/>
      <c r="O67" s="52"/>
      <c r="P67" s="3"/>
    </row>
    <row r="68" spans="2:16">
      <c r="B68" s="28"/>
      <c r="C68" s="3"/>
      <c r="E68" s="35"/>
      <c r="F68" s="28"/>
      <c r="G68" s="28"/>
      <c r="H68" s="29"/>
      <c r="I68" s="14"/>
      <c r="K68" s="3"/>
      <c r="M68" s="3"/>
      <c r="N68" s="3"/>
      <c r="O68" s="52"/>
      <c r="P68" s="3"/>
    </row>
    <row r="69" spans="2:16">
      <c r="B69" s="28"/>
      <c r="C69" s="3"/>
      <c r="E69" s="35"/>
      <c r="F69" s="28"/>
      <c r="G69" s="28"/>
      <c r="H69" s="29"/>
      <c r="I69" s="14"/>
      <c r="K69" s="3"/>
      <c r="M69" s="3"/>
      <c r="N69" s="3"/>
      <c r="O69" s="52"/>
      <c r="P69" s="3"/>
    </row>
    <row r="70" spans="2:16">
      <c r="B70" s="28"/>
      <c r="C70" s="3"/>
      <c r="E70" s="35"/>
      <c r="F70" s="28"/>
      <c r="G70" s="28"/>
      <c r="H70" s="29"/>
      <c r="I70" s="14"/>
      <c r="K70" s="3"/>
      <c r="M70" s="3"/>
      <c r="N70" s="3"/>
      <c r="O70" s="52"/>
      <c r="P70" s="3"/>
    </row>
    <row r="71" spans="2:16">
      <c r="B71" s="28"/>
      <c r="C71" s="3"/>
      <c r="E71" s="35"/>
      <c r="F71" s="28"/>
      <c r="G71" s="28"/>
      <c r="H71" s="29"/>
      <c r="I71" s="14"/>
      <c r="K71" s="3"/>
      <c r="M71" s="3"/>
      <c r="N71" s="3"/>
      <c r="O71" s="52"/>
      <c r="P71" s="3"/>
    </row>
    <row r="72" spans="2:16">
      <c r="B72" s="28"/>
      <c r="C72" s="3"/>
      <c r="E72" s="35"/>
      <c r="F72" s="28"/>
      <c r="G72" s="28"/>
      <c r="H72" s="29"/>
      <c r="I72" s="14"/>
      <c r="K72" s="3"/>
      <c r="M72" s="3"/>
      <c r="N72" s="3"/>
      <c r="O72" s="52"/>
      <c r="P72" s="3"/>
    </row>
    <row r="73" spans="2:16">
      <c r="B73" s="28"/>
      <c r="C73" s="3"/>
      <c r="E73" s="35"/>
      <c r="F73" s="28"/>
      <c r="G73" s="28"/>
      <c r="H73" s="29"/>
      <c r="I73" s="14"/>
      <c r="K73" s="3"/>
      <c r="M73" s="3"/>
      <c r="N73" s="3"/>
      <c r="O73" s="52"/>
      <c r="P73" s="3"/>
    </row>
    <row r="74" spans="2:16">
      <c r="B74" s="28"/>
      <c r="C74" s="3"/>
      <c r="E74" s="35"/>
      <c r="F74" s="28"/>
      <c r="G74" s="28"/>
      <c r="H74" s="29"/>
      <c r="I74" s="14"/>
      <c r="K74" s="3"/>
      <c r="M74" s="3"/>
      <c r="N74" s="3"/>
      <c r="O74" s="52"/>
      <c r="P74" s="3"/>
    </row>
    <row r="75" spans="2:16">
      <c r="B75" s="28"/>
      <c r="C75" s="3"/>
      <c r="E75" s="35"/>
      <c r="F75" s="28"/>
      <c r="G75" s="28"/>
      <c r="H75" s="29"/>
      <c r="I75" s="14"/>
      <c r="K75" s="3"/>
      <c r="M75" s="3"/>
      <c r="N75" s="3"/>
      <c r="O75" s="52"/>
      <c r="P75" s="3"/>
    </row>
    <row r="76" spans="2:16">
      <c r="B76" s="28"/>
      <c r="C76" s="3"/>
      <c r="E76" s="35"/>
      <c r="F76" s="28"/>
      <c r="G76" s="28"/>
      <c r="H76" s="29"/>
      <c r="I76" s="14"/>
      <c r="K76" s="3"/>
      <c r="M76" s="3"/>
      <c r="N76" s="3"/>
      <c r="O76" s="52"/>
      <c r="P76" s="3"/>
    </row>
    <row r="77" spans="2:16">
      <c r="B77" s="28"/>
      <c r="C77" s="3"/>
      <c r="E77" s="35"/>
      <c r="F77" s="28"/>
      <c r="G77" s="28"/>
      <c r="H77" s="29"/>
      <c r="I77" s="14"/>
      <c r="K77" s="3"/>
      <c r="M77" s="3"/>
      <c r="N77" s="3"/>
      <c r="O77" s="52"/>
      <c r="P77" s="3"/>
    </row>
    <row r="78" spans="2:16">
      <c r="B78" s="28"/>
      <c r="C78" s="3"/>
      <c r="E78" s="35"/>
      <c r="F78" s="28"/>
      <c r="G78" s="28"/>
      <c r="H78" s="29"/>
      <c r="I78" s="14"/>
      <c r="K78" s="3"/>
      <c r="M78" s="3"/>
      <c r="N78" s="3"/>
      <c r="O78" s="52"/>
      <c r="P78" s="3"/>
    </row>
    <row r="79" spans="2:16">
      <c r="B79" s="28"/>
      <c r="C79" s="3"/>
      <c r="E79" s="35"/>
      <c r="F79" s="28"/>
      <c r="G79" s="28"/>
      <c r="H79" s="29"/>
      <c r="I79" s="14"/>
      <c r="K79" s="3"/>
      <c r="M79" s="3"/>
      <c r="N79" s="3"/>
      <c r="O79" s="52"/>
      <c r="P79" s="3"/>
    </row>
    <row r="80" spans="2:16">
      <c r="B80" s="28"/>
      <c r="C80" s="3"/>
      <c r="E80" s="35"/>
      <c r="F80" s="28"/>
      <c r="G80" s="28"/>
      <c r="H80" s="29"/>
      <c r="I80" s="14"/>
      <c r="K80" s="3"/>
      <c r="M80" s="3"/>
      <c r="N80" s="3"/>
      <c r="O80" s="52"/>
      <c r="P80" s="3"/>
    </row>
    <row r="81" spans="2:16">
      <c r="B81" s="28"/>
      <c r="C81" s="3"/>
      <c r="E81" s="35"/>
      <c r="F81" s="28"/>
      <c r="G81" s="28"/>
      <c r="H81" s="29"/>
      <c r="I81" s="14"/>
      <c r="K81" s="3"/>
      <c r="M81" s="3"/>
      <c r="N81" s="3"/>
      <c r="O81" s="52"/>
      <c r="P81" s="3"/>
    </row>
    <row r="82" spans="2:16">
      <c r="B82" s="28"/>
      <c r="C82" s="3"/>
      <c r="E82" s="35"/>
      <c r="F82" s="28"/>
      <c r="G82" s="28"/>
      <c r="H82" s="29"/>
      <c r="I82" s="14"/>
      <c r="K82" s="3"/>
      <c r="M82" s="3"/>
      <c r="N82" s="3"/>
      <c r="O82" s="52"/>
      <c r="P82" s="3"/>
    </row>
    <row r="83" spans="2:16">
      <c r="B83" s="28"/>
      <c r="C83" s="3"/>
      <c r="E83" s="35"/>
      <c r="F83" s="28"/>
      <c r="G83" s="28"/>
      <c r="H83" s="29"/>
      <c r="I83" s="14"/>
      <c r="K83" s="3"/>
      <c r="M83" s="3"/>
      <c r="N83" s="3"/>
      <c r="O83" s="52"/>
      <c r="P83" s="3"/>
    </row>
    <row r="84" spans="2:16">
      <c r="B84" s="28"/>
      <c r="C84" s="3"/>
      <c r="E84" s="35"/>
      <c r="F84" s="28"/>
      <c r="G84" s="28"/>
      <c r="H84" s="29"/>
      <c r="I84" s="14"/>
      <c r="K84" s="3"/>
      <c r="M84" s="3"/>
      <c r="N84" s="3"/>
      <c r="O84" s="52"/>
      <c r="P84" s="3"/>
    </row>
    <row r="85" spans="2:16">
      <c r="B85" s="28"/>
      <c r="C85" s="3"/>
      <c r="E85" s="35"/>
      <c r="F85" s="28"/>
      <c r="G85" s="28"/>
      <c r="H85" s="29"/>
      <c r="I85" s="14"/>
      <c r="K85" s="3"/>
      <c r="M85" s="3"/>
      <c r="N85" s="3"/>
      <c r="O85" s="52"/>
      <c r="P85" s="3"/>
    </row>
    <row r="86" spans="2:16">
      <c r="B86" s="28"/>
      <c r="C86" s="3"/>
      <c r="E86" s="35"/>
      <c r="F86" s="28"/>
      <c r="G86" s="28"/>
      <c r="H86" s="29"/>
      <c r="I86" s="14"/>
      <c r="K86" s="3"/>
      <c r="M86" s="3"/>
      <c r="N86" s="3"/>
      <c r="O86" s="52"/>
      <c r="P86" s="3"/>
    </row>
    <row r="87" spans="2:16">
      <c r="B87" s="28"/>
      <c r="C87" s="3"/>
      <c r="E87" s="35"/>
      <c r="F87" s="28"/>
      <c r="G87" s="28"/>
      <c r="H87" s="29"/>
      <c r="I87" s="14"/>
      <c r="K87" s="3"/>
      <c r="M87" s="3"/>
      <c r="N87" s="3"/>
      <c r="O87" s="52"/>
      <c r="P87" s="3"/>
    </row>
    <row r="88" spans="2:16">
      <c r="B88" s="28"/>
      <c r="C88" s="3"/>
      <c r="E88" s="35"/>
      <c r="F88" s="28"/>
      <c r="G88" s="28"/>
      <c r="H88" s="29"/>
      <c r="I88" s="14"/>
      <c r="K88" s="3"/>
      <c r="M88" s="3"/>
      <c r="N88" s="3"/>
      <c r="O88" s="52"/>
      <c r="P88" s="3"/>
    </row>
    <row r="89" spans="2:16">
      <c r="B89" s="28"/>
      <c r="C89" s="3"/>
      <c r="E89" s="35"/>
      <c r="F89" s="28"/>
      <c r="G89" s="28"/>
      <c r="H89" s="29"/>
      <c r="I89" s="14"/>
      <c r="K89" s="3"/>
      <c r="M89" s="3"/>
      <c r="N89" s="3"/>
      <c r="O89" s="52"/>
      <c r="P89" s="3"/>
    </row>
    <row r="90" spans="2:16">
      <c r="B90" s="28"/>
      <c r="C90" s="3"/>
      <c r="E90" s="35"/>
      <c r="F90" s="28"/>
      <c r="G90" s="28"/>
      <c r="H90" s="29"/>
      <c r="I90" s="14"/>
      <c r="K90" s="3"/>
      <c r="M90" s="3"/>
      <c r="N90" s="3"/>
      <c r="O90" s="52"/>
      <c r="P90" s="3"/>
    </row>
    <row r="91" spans="2:16">
      <c r="B91" s="28"/>
      <c r="C91" s="3"/>
      <c r="E91" s="35"/>
      <c r="F91" s="28"/>
      <c r="G91" s="28"/>
      <c r="H91" s="29"/>
      <c r="I91" s="14"/>
      <c r="K91" s="3"/>
      <c r="M91" s="3"/>
      <c r="N91" s="3"/>
      <c r="O91" s="52"/>
      <c r="P91" s="3"/>
    </row>
    <row r="92" spans="2:16">
      <c r="B92" s="28"/>
      <c r="C92" s="3"/>
      <c r="E92" s="35"/>
      <c r="F92" s="28"/>
      <c r="G92" s="28"/>
      <c r="H92" s="29"/>
      <c r="I92" s="14"/>
      <c r="K92" s="3"/>
      <c r="M92" s="3"/>
      <c r="N92" s="3"/>
      <c r="O92" s="52"/>
      <c r="P92" s="3"/>
    </row>
    <row r="93" spans="2:16">
      <c r="B93" s="28"/>
      <c r="C93" s="3"/>
      <c r="E93" s="35"/>
      <c r="F93" s="28"/>
      <c r="G93" s="28"/>
      <c r="H93" s="29"/>
      <c r="I93" s="14"/>
      <c r="K93" s="3"/>
      <c r="M93" s="3"/>
      <c r="N93" s="3"/>
      <c r="O93" s="52"/>
      <c r="P93" s="3"/>
    </row>
    <row r="94" spans="2:16">
      <c r="B94" s="28"/>
      <c r="C94" s="3"/>
      <c r="E94" s="35"/>
      <c r="F94" s="28"/>
      <c r="G94" s="28"/>
      <c r="H94" s="29"/>
      <c r="I94" s="14"/>
      <c r="K94" s="3"/>
      <c r="M94" s="3"/>
      <c r="N94" s="3"/>
      <c r="O94" s="52"/>
      <c r="P94" s="3"/>
    </row>
    <row r="95" spans="2:16">
      <c r="B95" s="28"/>
      <c r="C95" s="3"/>
      <c r="E95" s="35"/>
      <c r="F95" s="28"/>
      <c r="G95" s="28"/>
      <c r="H95" s="29"/>
      <c r="I95" s="14"/>
      <c r="K95" s="3"/>
      <c r="M95" s="3"/>
      <c r="N95" s="3"/>
      <c r="O95" s="52"/>
      <c r="P95" s="3"/>
    </row>
    <row r="96" spans="2:16">
      <c r="B96" s="28"/>
      <c r="C96" s="3"/>
      <c r="E96" s="35"/>
      <c r="F96" s="28"/>
      <c r="G96" s="28"/>
      <c r="H96" s="29"/>
      <c r="I96" s="14"/>
      <c r="K96" s="3"/>
      <c r="M96" s="3"/>
      <c r="N96" s="3"/>
      <c r="O96" s="52"/>
      <c r="P96" s="3"/>
    </row>
    <row r="97" spans="2:16">
      <c r="B97" s="28"/>
      <c r="C97" s="3"/>
      <c r="E97" s="35"/>
      <c r="F97" s="28"/>
      <c r="G97" s="28"/>
      <c r="H97" s="29"/>
      <c r="I97" s="14"/>
      <c r="K97" s="3"/>
      <c r="M97" s="3"/>
      <c r="N97" s="3"/>
      <c r="O97" s="52"/>
      <c r="P97" s="3"/>
    </row>
    <row r="98" spans="2:16">
      <c r="B98" s="28"/>
      <c r="C98" s="3"/>
      <c r="E98" s="35"/>
      <c r="F98" s="28"/>
      <c r="G98" s="28"/>
      <c r="H98" s="29"/>
      <c r="I98" s="14"/>
      <c r="K98" s="3"/>
      <c r="M98" s="3"/>
      <c r="N98" s="3"/>
      <c r="O98" s="52"/>
      <c r="P98" s="3"/>
    </row>
    <row r="99" spans="2:16">
      <c r="B99" s="28"/>
      <c r="C99" s="3"/>
      <c r="E99" s="35"/>
      <c r="F99" s="28"/>
      <c r="G99" s="28"/>
      <c r="H99" s="29"/>
      <c r="I99" s="14"/>
      <c r="K99" s="3"/>
      <c r="M99" s="3"/>
      <c r="N99" s="3"/>
      <c r="O99" s="52"/>
      <c r="P99" s="3"/>
    </row>
    <row r="100" spans="2:16">
      <c r="B100" s="28"/>
      <c r="C100" s="3"/>
      <c r="E100" s="35"/>
      <c r="F100" s="28"/>
      <c r="G100" s="28"/>
      <c r="H100" s="29"/>
      <c r="I100" s="14"/>
      <c r="K100" s="3"/>
      <c r="M100" s="3"/>
      <c r="N100" s="3"/>
      <c r="O100" s="52"/>
      <c r="P100" s="3"/>
    </row>
    <row r="101" spans="2:16">
      <c r="B101" s="28"/>
      <c r="C101" s="3"/>
      <c r="E101" s="35"/>
      <c r="F101" s="28"/>
      <c r="G101" s="28"/>
      <c r="H101" s="29"/>
      <c r="I101" s="14"/>
      <c r="K101" s="3"/>
      <c r="M101" s="3"/>
      <c r="N101" s="3"/>
      <c r="O101" s="52"/>
      <c r="P101" s="3"/>
    </row>
    <row r="102" spans="2:16">
      <c r="B102" s="28"/>
      <c r="C102" s="3"/>
      <c r="E102" s="35"/>
      <c r="F102" s="28"/>
      <c r="G102" s="28"/>
      <c r="H102" s="29"/>
      <c r="I102" s="14"/>
      <c r="K102" s="3"/>
      <c r="M102" s="3"/>
      <c r="N102" s="3"/>
      <c r="O102" s="52"/>
      <c r="P102" s="3"/>
    </row>
    <row r="103" spans="2:16">
      <c r="B103" s="28"/>
      <c r="C103" s="3"/>
      <c r="E103" s="35"/>
      <c r="F103" s="28"/>
      <c r="G103" s="28"/>
      <c r="H103" s="29"/>
      <c r="I103" s="14"/>
      <c r="K103" s="3"/>
      <c r="M103" s="3"/>
      <c r="N103" s="3"/>
      <c r="O103" s="52"/>
      <c r="P103" s="3"/>
    </row>
    <row r="104" spans="2:16">
      <c r="B104" s="28"/>
      <c r="C104" s="3"/>
      <c r="E104" s="35"/>
      <c r="F104" s="28"/>
      <c r="G104" s="28"/>
      <c r="H104" s="29"/>
      <c r="I104" s="14"/>
      <c r="K104" s="3"/>
      <c r="M104" s="3"/>
      <c r="N104" s="3"/>
      <c r="O104" s="52"/>
      <c r="P104" s="3"/>
    </row>
    <row r="105" spans="2:16">
      <c r="B105" s="28"/>
      <c r="C105" s="3"/>
      <c r="E105" s="35"/>
      <c r="F105" s="28"/>
      <c r="G105" s="28"/>
      <c r="H105" s="29"/>
      <c r="I105" s="14"/>
      <c r="K105" s="3"/>
      <c r="M105" s="3"/>
      <c r="N105" s="3"/>
      <c r="O105" s="52"/>
      <c r="P105" s="3"/>
    </row>
    <row r="106" spans="2:16">
      <c r="B106" s="28"/>
      <c r="C106" s="3"/>
      <c r="E106" s="35"/>
      <c r="F106" s="28"/>
      <c r="G106" s="28"/>
      <c r="H106" s="29"/>
      <c r="I106" s="14"/>
      <c r="K106" s="3"/>
      <c r="M106" s="3"/>
      <c r="N106" s="3"/>
      <c r="O106" s="52"/>
      <c r="P106" s="3"/>
    </row>
    <row r="107" spans="2:16">
      <c r="B107" s="28"/>
      <c r="C107" s="3"/>
      <c r="E107" s="35"/>
      <c r="F107" s="28"/>
      <c r="G107" s="28"/>
      <c r="H107" s="29"/>
      <c r="I107" s="14"/>
      <c r="K107" s="3"/>
      <c r="M107" s="3"/>
      <c r="N107" s="3"/>
      <c r="O107" s="52"/>
      <c r="P107" s="3"/>
    </row>
    <row r="108" spans="2:16">
      <c r="B108" s="28"/>
      <c r="C108" s="3"/>
      <c r="E108" s="35"/>
      <c r="F108" s="28"/>
      <c r="G108" s="28"/>
      <c r="H108" s="29"/>
      <c r="I108" s="14"/>
      <c r="K108" s="3"/>
      <c r="M108" s="3"/>
      <c r="N108" s="3"/>
      <c r="O108" s="52"/>
      <c r="P108" s="3"/>
    </row>
    <row r="109" spans="2:16">
      <c r="B109" s="28"/>
      <c r="C109" s="3"/>
      <c r="E109" s="35"/>
      <c r="F109" s="28"/>
      <c r="G109" s="28"/>
      <c r="H109" s="29"/>
      <c r="I109" s="14"/>
      <c r="K109" s="3"/>
      <c r="M109" s="3"/>
      <c r="N109" s="3"/>
      <c r="O109" s="52"/>
      <c r="P109" s="3"/>
    </row>
    <row r="110" spans="2:16">
      <c r="B110" s="28"/>
      <c r="C110" s="3"/>
      <c r="E110" s="35"/>
      <c r="F110" s="28"/>
      <c r="G110" s="28"/>
      <c r="H110" s="29"/>
      <c r="I110" s="14"/>
      <c r="K110" s="3"/>
      <c r="M110" s="3"/>
      <c r="N110" s="3"/>
      <c r="O110" s="52"/>
      <c r="P110" s="3"/>
    </row>
    <row r="111" spans="2:16">
      <c r="B111" s="28"/>
      <c r="C111" s="3"/>
      <c r="E111" s="35"/>
      <c r="F111" s="28"/>
      <c r="G111" s="28"/>
      <c r="H111" s="29"/>
      <c r="I111" s="14"/>
      <c r="K111" s="3"/>
      <c r="M111" s="3"/>
      <c r="N111" s="3"/>
      <c r="O111" s="52"/>
      <c r="P111" s="3"/>
    </row>
    <row r="112" spans="2:16">
      <c r="B112" s="28"/>
      <c r="C112" s="3"/>
      <c r="E112" s="35"/>
      <c r="F112" s="28"/>
      <c r="G112" s="28"/>
      <c r="H112" s="29"/>
      <c r="I112" s="14"/>
      <c r="K112" s="3"/>
      <c r="M112" s="3"/>
      <c r="N112" s="3"/>
      <c r="O112" s="52"/>
      <c r="P112" s="3"/>
    </row>
    <row r="113" spans="2:16">
      <c r="B113" s="28"/>
      <c r="C113" s="3"/>
      <c r="E113" s="35"/>
      <c r="F113" s="28"/>
      <c r="G113" s="28"/>
      <c r="H113" s="29"/>
      <c r="I113" s="14"/>
      <c r="K113" s="3"/>
      <c r="M113" s="3"/>
      <c r="N113" s="3"/>
      <c r="O113" s="52"/>
      <c r="P113" s="3"/>
    </row>
    <row r="114" spans="2:16">
      <c r="B114" s="28"/>
      <c r="C114" s="3"/>
      <c r="E114" s="35"/>
      <c r="F114" s="28"/>
      <c r="G114" s="28"/>
      <c r="H114" s="29"/>
      <c r="I114" s="14"/>
      <c r="K114" s="3"/>
      <c r="M114" s="3"/>
      <c r="N114" s="3"/>
      <c r="O114" s="52"/>
      <c r="P114" s="3"/>
    </row>
    <row r="115" spans="2:16">
      <c r="B115" s="28"/>
      <c r="C115" s="3"/>
      <c r="E115" s="35"/>
      <c r="F115" s="28"/>
      <c r="G115" s="28"/>
      <c r="H115" s="29"/>
      <c r="I115" s="14"/>
      <c r="K115" s="3"/>
      <c r="M115" s="3"/>
      <c r="N115" s="3"/>
      <c r="O115" s="52"/>
      <c r="P115" s="3"/>
    </row>
    <row r="116" spans="2:16">
      <c r="B116" s="28"/>
      <c r="C116" s="3"/>
      <c r="E116" s="35"/>
      <c r="F116" s="28"/>
      <c r="G116" s="28"/>
      <c r="H116" s="29"/>
      <c r="I116" s="14"/>
      <c r="K116" s="3"/>
      <c r="M116" s="3"/>
      <c r="N116" s="3"/>
      <c r="O116" s="52"/>
      <c r="P116" s="3"/>
    </row>
    <row r="117" spans="2:16">
      <c r="B117" s="28"/>
      <c r="C117" s="3"/>
      <c r="E117" s="35"/>
      <c r="F117" s="28"/>
      <c r="G117" s="28"/>
      <c r="H117" s="29"/>
      <c r="I117" s="14"/>
      <c r="K117" s="3"/>
      <c r="M117" s="3"/>
      <c r="N117" s="3"/>
      <c r="O117" s="52"/>
      <c r="P117" s="3"/>
    </row>
    <row r="118" spans="2:16">
      <c r="B118" s="28"/>
      <c r="C118" s="3"/>
      <c r="E118" s="35"/>
      <c r="F118" s="28"/>
      <c r="G118" s="28"/>
      <c r="H118" s="29"/>
      <c r="I118" s="14"/>
      <c r="K118" s="3"/>
      <c r="M118" s="3"/>
      <c r="N118" s="3"/>
      <c r="O118" s="52"/>
      <c r="P118" s="3"/>
    </row>
    <row r="119" spans="2:16">
      <c r="B119" s="28"/>
      <c r="C119" s="3"/>
      <c r="E119" s="35"/>
      <c r="F119" s="28"/>
      <c r="G119" s="28"/>
      <c r="H119" s="29"/>
      <c r="I119" s="14"/>
      <c r="K119" s="3"/>
      <c r="M119" s="3"/>
      <c r="N119" s="3"/>
      <c r="O119" s="52"/>
      <c r="P119" s="3"/>
    </row>
    <row r="120" spans="2:16">
      <c r="B120" s="28"/>
      <c r="C120" s="3"/>
      <c r="E120" s="35"/>
      <c r="F120" s="28"/>
      <c r="G120" s="28"/>
      <c r="H120" s="29"/>
      <c r="I120" s="14"/>
      <c r="K120" s="3"/>
      <c r="M120" s="3"/>
      <c r="N120" s="3"/>
      <c r="O120" s="52"/>
      <c r="P120" s="3"/>
    </row>
    <row r="121" spans="2:16">
      <c r="B121" s="28"/>
      <c r="C121" s="3"/>
      <c r="E121" s="35"/>
      <c r="F121" s="28"/>
      <c r="G121" s="28"/>
      <c r="H121" s="29"/>
      <c r="I121" s="14"/>
      <c r="K121" s="3"/>
      <c r="M121" s="3"/>
      <c r="N121" s="3"/>
      <c r="O121" s="52"/>
      <c r="P121" s="3"/>
    </row>
    <row r="122" spans="2:16">
      <c r="B122" s="28"/>
      <c r="C122" s="3"/>
      <c r="E122" s="35"/>
      <c r="F122" s="28"/>
      <c r="G122" s="28"/>
      <c r="H122" s="29"/>
      <c r="I122" s="14"/>
      <c r="K122" s="3"/>
      <c r="M122" s="3"/>
      <c r="N122" s="3"/>
      <c r="O122" s="52"/>
      <c r="P122" s="3"/>
    </row>
    <row r="123" spans="2:16">
      <c r="B123" s="28"/>
      <c r="C123" s="3"/>
      <c r="E123" s="35"/>
      <c r="F123" s="28"/>
      <c r="G123" s="28"/>
      <c r="H123" s="29"/>
      <c r="I123" s="14"/>
      <c r="K123" s="3"/>
      <c r="M123" s="3"/>
      <c r="N123" s="3"/>
      <c r="O123" s="52"/>
      <c r="P123" s="3"/>
    </row>
    <row r="124" spans="2:16">
      <c r="B124" s="28"/>
      <c r="C124" s="3"/>
      <c r="E124" s="35"/>
      <c r="F124" s="28"/>
      <c r="G124" s="28"/>
      <c r="H124" s="29"/>
      <c r="I124" s="14"/>
      <c r="K124" s="3"/>
      <c r="M124" s="3"/>
      <c r="N124" s="3"/>
      <c r="O124" s="52"/>
      <c r="P124" s="3"/>
    </row>
    <row r="125" spans="2:16">
      <c r="B125" s="28"/>
      <c r="C125" s="3"/>
      <c r="E125" s="35"/>
      <c r="F125" s="28"/>
      <c r="G125" s="28"/>
      <c r="H125" s="29"/>
      <c r="I125" s="14"/>
      <c r="K125" s="3"/>
      <c r="M125" s="3"/>
      <c r="N125" s="3"/>
      <c r="O125" s="52"/>
      <c r="P125" s="3"/>
    </row>
    <row r="126" spans="2:16">
      <c r="B126" s="28"/>
      <c r="C126" s="3"/>
      <c r="E126" s="35"/>
      <c r="F126" s="28"/>
      <c r="G126" s="28"/>
      <c r="H126" s="29"/>
      <c r="I126" s="14"/>
      <c r="K126" s="3"/>
      <c r="M126" s="3"/>
      <c r="N126" s="3"/>
      <c r="O126" s="52"/>
      <c r="P126" s="3"/>
    </row>
    <row r="127" spans="2:16">
      <c r="B127" s="28"/>
      <c r="C127" s="3"/>
      <c r="E127" s="35"/>
      <c r="F127" s="28"/>
      <c r="G127" s="28"/>
      <c r="H127" s="29"/>
      <c r="I127" s="14"/>
      <c r="K127" s="3"/>
      <c r="M127" s="3"/>
      <c r="N127" s="3"/>
      <c r="O127" s="52"/>
      <c r="P127" s="3"/>
    </row>
    <row r="128" spans="2:16">
      <c r="B128" s="28"/>
      <c r="C128" s="3"/>
      <c r="E128" s="35"/>
      <c r="F128" s="28"/>
      <c r="G128" s="28"/>
      <c r="H128" s="29"/>
      <c r="I128" s="14"/>
      <c r="K128" s="3"/>
      <c r="M128" s="3"/>
      <c r="N128" s="3"/>
      <c r="O128" s="52"/>
      <c r="P128" s="3"/>
    </row>
    <row r="129" spans="2:16">
      <c r="B129" s="28"/>
      <c r="C129" s="3"/>
      <c r="E129" s="35"/>
      <c r="F129" s="28"/>
      <c r="G129" s="28"/>
      <c r="H129" s="29"/>
      <c r="I129" s="14"/>
      <c r="K129" s="3"/>
      <c r="M129" s="3"/>
      <c r="N129" s="3"/>
      <c r="O129" s="52"/>
      <c r="P129" s="3"/>
    </row>
    <row r="130" spans="2:16">
      <c r="B130" s="28"/>
      <c r="C130" s="3"/>
      <c r="E130" s="35"/>
      <c r="F130" s="28"/>
      <c r="G130" s="28"/>
      <c r="H130" s="29"/>
      <c r="I130" s="14"/>
      <c r="K130" s="3"/>
      <c r="M130" s="3"/>
      <c r="N130" s="3"/>
      <c r="O130" s="52"/>
      <c r="P130" s="3"/>
    </row>
    <row r="131" spans="2:16">
      <c r="B131" s="28"/>
      <c r="C131" s="3"/>
      <c r="E131" s="35"/>
      <c r="F131" s="28"/>
      <c r="G131" s="28"/>
      <c r="H131" s="29"/>
      <c r="I131" s="14"/>
      <c r="K131" s="3"/>
      <c r="M131" s="3"/>
      <c r="N131" s="3"/>
      <c r="O131" s="52"/>
      <c r="P131" s="3"/>
    </row>
    <row r="132" spans="2:16">
      <c r="B132" s="28"/>
      <c r="C132" s="3"/>
      <c r="E132" s="35"/>
      <c r="F132" s="28"/>
      <c r="G132" s="28"/>
      <c r="H132" s="29"/>
      <c r="I132" s="14"/>
      <c r="K132" s="3"/>
      <c r="M132" s="3"/>
      <c r="N132" s="3"/>
      <c r="O132" s="52"/>
      <c r="P132" s="3"/>
    </row>
    <row r="133" spans="2:16">
      <c r="B133" s="28"/>
      <c r="C133" s="3"/>
      <c r="E133" s="35"/>
      <c r="F133" s="28"/>
      <c r="G133" s="28"/>
      <c r="H133" s="29"/>
      <c r="I133" s="14"/>
      <c r="K133" s="3"/>
      <c r="M133" s="3"/>
      <c r="N133" s="3"/>
      <c r="O133" s="52"/>
      <c r="P133" s="3"/>
    </row>
    <row r="134" spans="2:16">
      <c r="B134" s="28"/>
      <c r="C134" s="3"/>
      <c r="E134" s="35"/>
      <c r="F134" s="28"/>
      <c r="G134" s="28"/>
      <c r="H134" s="29"/>
      <c r="I134" s="14"/>
      <c r="K134" s="3"/>
      <c r="M134" s="3"/>
      <c r="N134" s="3"/>
      <c r="O134" s="52"/>
      <c r="P134" s="3"/>
    </row>
    <row r="135" spans="2:16">
      <c r="B135" s="28"/>
      <c r="C135" s="3"/>
      <c r="E135" s="35"/>
      <c r="F135" s="28"/>
      <c r="G135" s="28"/>
      <c r="H135" s="29"/>
      <c r="I135" s="14"/>
      <c r="K135" s="3"/>
      <c r="M135" s="3"/>
      <c r="N135" s="3"/>
      <c r="O135" s="52"/>
      <c r="P135" s="3"/>
    </row>
    <row r="136" spans="2:16">
      <c r="B136" s="28"/>
      <c r="C136" s="3"/>
      <c r="E136" s="35"/>
      <c r="F136" s="28"/>
      <c r="G136" s="28"/>
      <c r="H136" s="29"/>
      <c r="I136" s="14"/>
      <c r="K136" s="3"/>
      <c r="M136" s="3"/>
      <c r="N136" s="3"/>
      <c r="O136" s="52"/>
      <c r="P136" s="3"/>
    </row>
    <row r="137" spans="2:16">
      <c r="B137" s="28"/>
      <c r="C137" s="3"/>
      <c r="E137" s="35"/>
      <c r="F137" s="28"/>
      <c r="G137" s="28"/>
      <c r="H137" s="29"/>
      <c r="I137" s="14"/>
      <c r="K137" s="3"/>
      <c r="M137" s="3"/>
      <c r="N137" s="3"/>
      <c r="O137" s="52"/>
      <c r="P137" s="3"/>
    </row>
    <row r="138" spans="2:16">
      <c r="B138" s="28"/>
      <c r="C138" s="3"/>
      <c r="E138" s="35"/>
      <c r="F138" s="28"/>
      <c r="G138" s="28"/>
      <c r="H138" s="29"/>
      <c r="I138" s="14"/>
      <c r="K138" s="3"/>
      <c r="M138" s="3"/>
      <c r="N138" s="3"/>
      <c r="O138" s="52"/>
      <c r="P138" s="3"/>
    </row>
    <row r="139" spans="2:16">
      <c r="B139" s="28"/>
      <c r="C139" s="3"/>
      <c r="E139" s="35"/>
      <c r="F139" s="28"/>
      <c r="G139" s="28"/>
      <c r="H139" s="29"/>
      <c r="I139" s="14"/>
      <c r="K139" s="3"/>
      <c r="M139" s="3"/>
      <c r="N139" s="3"/>
      <c r="O139" s="52"/>
      <c r="P139" s="3"/>
    </row>
    <row r="140" spans="2:16">
      <c r="B140" s="28"/>
      <c r="C140" s="3"/>
      <c r="E140" s="35"/>
      <c r="F140" s="28"/>
      <c r="G140" s="28"/>
      <c r="H140" s="29"/>
      <c r="I140" s="14"/>
      <c r="K140" s="3"/>
      <c r="M140" s="3"/>
      <c r="N140" s="3"/>
      <c r="O140" s="52"/>
      <c r="P140" s="3"/>
    </row>
    <row r="141" spans="2:16">
      <c r="B141" s="28"/>
      <c r="C141" s="3"/>
      <c r="E141" s="35"/>
      <c r="F141" s="28"/>
      <c r="G141" s="28"/>
      <c r="H141" s="29"/>
      <c r="I141" s="14"/>
      <c r="K141" s="3"/>
      <c r="M141" s="3"/>
      <c r="N141" s="3"/>
      <c r="O141" s="52"/>
      <c r="P141" s="3"/>
    </row>
    <row r="142" spans="2:16">
      <c r="B142" s="28"/>
      <c r="C142" s="3"/>
      <c r="E142" s="35"/>
      <c r="F142" s="28"/>
      <c r="G142" s="28"/>
      <c r="H142" s="29"/>
      <c r="I142" s="14"/>
      <c r="K142" s="3"/>
      <c r="M142" s="3"/>
      <c r="N142" s="3"/>
      <c r="O142" s="52"/>
      <c r="P142" s="3"/>
    </row>
    <row r="143" spans="2:16">
      <c r="B143" s="28"/>
      <c r="C143" s="3"/>
      <c r="E143" s="35"/>
      <c r="F143" s="28"/>
      <c r="G143" s="28"/>
      <c r="H143" s="29"/>
      <c r="I143" s="14"/>
      <c r="K143" s="3"/>
      <c r="M143" s="3"/>
      <c r="N143" s="3"/>
      <c r="O143" s="52"/>
      <c r="P143" s="3"/>
    </row>
    <row r="144" spans="2:16">
      <c r="B144" s="28"/>
      <c r="C144" s="3"/>
      <c r="E144" s="35"/>
      <c r="F144" s="28"/>
      <c r="G144" s="28"/>
      <c r="H144" s="29"/>
      <c r="I144" s="14"/>
      <c r="K144" s="3"/>
      <c r="M144" s="3"/>
      <c r="N144" s="3"/>
      <c r="O144" s="52"/>
      <c r="P144" s="3"/>
    </row>
    <row r="145" spans="2:16">
      <c r="B145" s="28"/>
      <c r="C145" s="3"/>
      <c r="E145" s="35"/>
      <c r="F145" s="28"/>
      <c r="G145" s="28"/>
      <c r="H145" s="29"/>
      <c r="I145" s="14"/>
      <c r="K145" s="3"/>
      <c r="M145" s="3"/>
      <c r="N145" s="3"/>
      <c r="O145" s="52"/>
      <c r="P145" s="3"/>
    </row>
    <row r="146" spans="2:16">
      <c r="B146" s="28"/>
      <c r="C146" s="3"/>
      <c r="E146" s="35"/>
      <c r="F146" s="28"/>
      <c r="G146" s="28"/>
      <c r="H146" s="29"/>
      <c r="I146" s="14"/>
      <c r="K146" s="3"/>
      <c r="M146" s="3"/>
      <c r="N146" s="3"/>
      <c r="O146" s="52"/>
      <c r="P146" s="3"/>
    </row>
    <row r="147" spans="2:16">
      <c r="B147" s="28"/>
      <c r="C147" s="3"/>
      <c r="E147" s="35"/>
      <c r="F147" s="28"/>
      <c r="G147" s="28"/>
      <c r="H147" s="29"/>
      <c r="I147" s="14"/>
      <c r="K147" s="3"/>
      <c r="M147" s="3"/>
      <c r="N147" s="3"/>
      <c r="O147" s="52"/>
      <c r="P147" s="3"/>
    </row>
    <row r="148" spans="2:16">
      <c r="B148" s="28"/>
      <c r="C148" s="3"/>
      <c r="E148" s="35"/>
      <c r="F148" s="28"/>
      <c r="G148" s="28"/>
      <c r="H148" s="29"/>
      <c r="I148" s="14"/>
      <c r="K148" s="3"/>
      <c r="M148" s="3"/>
      <c r="N148" s="3"/>
      <c r="O148" s="52"/>
      <c r="P148" s="3"/>
    </row>
    <row r="149" spans="2:16">
      <c r="B149" s="28"/>
      <c r="C149" s="3"/>
      <c r="E149" s="35"/>
      <c r="F149" s="28"/>
      <c r="G149" s="28"/>
      <c r="H149" s="29"/>
      <c r="I149" s="14"/>
      <c r="K149" s="3"/>
      <c r="M149" s="3"/>
      <c r="N149" s="3"/>
      <c r="O149" s="52"/>
      <c r="P149" s="3"/>
    </row>
    <row r="150" spans="2:16">
      <c r="B150" s="28"/>
      <c r="C150" s="3"/>
      <c r="E150" s="35"/>
      <c r="F150" s="28"/>
      <c r="G150" s="28"/>
      <c r="H150" s="29"/>
      <c r="I150" s="14"/>
      <c r="K150" s="3"/>
      <c r="M150" s="3"/>
      <c r="N150" s="3"/>
      <c r="O150" s="52"/>
      <c r="P150" s="3"/>
    </row>
    <row r="151" spans="2:16">
      <c r="B151" s="28"/>
      <c r="C151" s="3"/>
      <c r="E151" s="35"/>
      <c r="F151" s="28"/>
      <c r="G151" s="28"/>
      <c r="H151" s="29"/>
      <c r="I151" s="14"/>
      <c r="K151" s="3"/>
      <c r="M151" s="3"/>
      <c r="N151" s="3"/>
      <c r="O151" s="52"/>
      <c r="P151" s="3"/>
    </row>
    <row r="152" spans="2:16">
      <c r="B152" s="28"/>
      <c r="C152" s="3"/>
      <c r="E152" s="35"/>
      <c r="F152" s="28"/>
      <c r="G152" s="28"/>
      <c r="H152" s="29"/>
      <c r="I152" s="14"/>
      <c r="K152" s="3"/>
      <c r="M152" s="3"/>
      <c r="N152" s="3"/>
      <c r="O152" s="52"/>
      <c r="P152" s="3"/>
    </row>
    <row r="153" spans="2:16">
      <c r="B153" s="28"/>
      <c r="C153" s="3"/>
      <c r="E153" s="35"/>
      <c r="F153" s="28"/>
      <c r="G153" s="28"/>
      <c r="H153" s="29"/>
      <c r="I153" s="14"/>
      <c r="K153" s="3"/>
      <c r="M153" s="3"/>
      <c r="N153" s="3"/>
      <c r="O153" s="52"/>
      <c r="P153" s="3"/>
    </row>
    <row r="154" spans="2:16">
      <c r="B154" s="28"/>
      <c r="C154" s="3"/>
      <c r="E154" s="35"/>
      <c r="F154" s="28"/>
      <c r="G154" s="28"/>
      <c r="H154" s="29"/>
      <c r="I154" s="14"/>
      <c r="K154" s="3"/>
      <c r="M154" s="3"/>
      <c r="N154" s="3"/>
      <c r="O154" s="52"/>
      <c r="P154" s="3"/>
    </row>
    <row r="155" spans="2:16">
      <c r="B155" s="28"/>
      <c r="C155" s="3"/>
      <c r="E155" s="35"/>
      <c r="F155" s="28"/>
      <c r="G155" s="28"/>
      <c r="H155" s="29"/>
      <c r="I155" s="14"/>
      <c r="K155" s="3"/>
      <c r="M155" s="3"/>
      <c r="N155" s="3"/>
      <c r="O155" s="52"/>
      <c r="P155" s="3"/>
    </row>
    <row r="156" spans="2:16">
      <c r="B156" s="28"/>
      <c r="C156" s="3"/>
      <c r="E156" s="35"/>
      <c r="F156" s="28"/>
      <c r="G156" s="28"/>
      <c r="H156" s="29"/>
      <c r="I156" s="14"/>
      <c r="K156" s="3"/>
      <c r="M156" s="3"/>
      <c r="N156" s="3"/>
      <c r="O156" s="52"/>
      <c r="P156" s="3"/>
    </row>
    <row r="157" spans="2:16">
      <c r="B157" s="28"/>
      <c r="C157" s="3"/>
      <c r="E157" s="35"/>
      <c r="F157" s="28"/>
      <c r="G157" s="28"/>
      <c r="H157" s="29"/>
      <c r="I157" s="14"/>
      <c r="K157" s="3"/>
      <c r="M157" s="3"/>
      <c r="N157" s="3"/>
      <c r="O157" s="52"/>
      <c r="P157" s="3"/>
    </row>
    <row r="158" spans="2:16">
      <c r="B158" s="28"/>
      <c r="C158" s="3"/>
      <c r="E158" s="35"/>
      <c r="F158" s="28"/>
      <c r="G158" s="28"/>
      <c r="H158" s="29"/>
      <c r="I158" s="14"/>
      <c r="K158" s="3"/>
      <c r="M158" s="3"/>
      <c r="N158" s="3"/>
      <c r="O158" s="52"/>
      <c r="P158" s="3"/>
    </row>
    <row r="159" spans="2:16">
      <c r="B159" s="28"/>
      <c r="C159" s="3"/>
      <c r="E159" s="35"/>
      <c r="F159" s="28"/>
      <c r="G159" s="28"/>
      <c r="H159" s="29"/>
      <c r="I159" s="14"/>
      <c r="K159" s="3"/>
      <c r="M159" s="3"/>
      <c r="N159" s="3"/>
      <c r="O159" s="52"/>
      <c r="P159" s="3"/>
    </row>
    <row r="160" spans="2:16">
      <c r="B160" s="28"/>
      <c r="C160" s="3"/>
      <c r="E160" s="35"/>
      <c r="F160" s="28"/>
      <c r="G160" s="28"/>
      <c r="H160" s="29"/>
      <c r="I160" s="14"/>
      <c r="K160" s="3"/>
      <c r="M160" s="3"/>
      <c r="N160" s="3"/>
      <c r="O160" s="52"/>
      <c r="P160" s="3"/>
    </row>
    <row r="161" spans="2:16">
      <c r="B161" s="28"/>
      <c r="C161" s="3"/>
      <c r="E161" s="35"/>
      <c r="F161" s="28"/>
      <c r="G161" s="28"/>
      <c r="H161" s="29"/>
      <c r="I161" s="14"/>
      <c r="K161" s="3"/>
      <c r="M161" s="3"/>
      <c r="N161" s="3"/>
      <c r="O161" s="52"/>
      <c r="P161" s="3"/>
    </row>
    <row r="162" spans="2:16">
      <c r="B162" s="28"/>
      <c r="C162" s="3"/>
      <c r="E162" s="35"/>
      <c r="F162" s="28"/>
      <c r="G162" s="28"/>
      <c r="H162" s="29"/>
      <c r="I162" s="14"/>
      <c r="K162" s="3"/>
      <c r="M162" s="3"/>
      <c r="N162" s="3"/>
      <c r="O162" s="52"/>
      <c r="P162" s="3"/>
    </row>
    <row r="163" spans="2:16">
      <c r="B163" s="28"/>
      <c r="C163" s="3"/>
      <c r="E163" s="35"/>
      <c r="F163" s="28"/>
      <c r="G163" s="28"/>
      <c r="H163" s="29"/>
      <c r="I163" s="14"/>
      <c r="K163" s="3"/>
      <c r="M163" s="3"/>
      <c r="N163" s="3"/>
      <c r="O163" s="52"/>
      <c r="P163" s="3"/>
    </row>
    <row r="164" spans="2:16">
      <c r="B164" s="28"/>
      <c r="C164" s="3"/>
      <c r="E164" s="35"/>
      <c r="F164" s="28"/>
      <c r="G164" s="28"/>
      <c r="H164" s="29"/>
      <c r="I164" s="14"/>
      <c r="K164" s="3"/>
      <c r="M164" s="3"/>
      <c r="N164" s="3"/>
      <c r="O164" s="52"/>
      <c r="P164" s="3"/>
    </row>
    <row r="165" spans="2:16">
      <c r="B165" s="28"/>
      <c r="C165" s="3"/>
      <c r="E165" s="35"/>
      <c r="F165" s="28"/>
      <c r="G165" s="28"/>
      <c r="H165" s="29"/>
      <c r="I165" s="14"/>
      <c r="K165" s="3"/>
      <c r="M165" s="3"/>
      <c r="N165" s="3"/>
      <c r="O165" s="52"/>
      <c r="P165" s="3"/>
    </row>
    <row r="166" spans="2:16">
      <c r="B166" s="28"/>
      <c r="C166" s="3"/>
      <c r="E166" s="35"/>
      <c r="F166" s="28"/>
      <c r="G166" s="28"/>
      <c r="H166" s="29"/>
      <c r="I166" s="14"/>
      <c r="K166" s="3"/>
      <c r="M166" s="3"/>
      <c r="N166" s="3"/>
      <c r="O166" s="52"/>
      <c r="P166" s="3"/>
    </row>
    <row r="167" spans="2:16">
      <c r="B167" s="28"/>
      <c r="C167" s="3"/>
      <c r="E167" s="35"/>
      <c r="F167" s="28"/>
      <c r="G167" s="28"/>
      <c r="H167" s="29"/>
      <c r="I167" s="14"/>
      <c r="K167" s="3"/>
      <c r="M167" s="3"/>
      <c r="N167" s="3"/>
      <c r="O167" s="52"/>
      <c r="P167" s="3"/>
    </row>
    <row r="168" spans="2:16">
      <c r="B168" s="28"/>
      <c r="C168" s="3"/>
      <c r="E168" s="35"/>
      <c r="F168" s="28"/>
      <c r="G168" s="28"/>
      <c r="H168" s="29"/>
      <c r="I168" s="14"/>
      <c r="K168" s="3"/>
      <c r="M168" s="3"/>
      <c r="N168" s="3"/>
      <c r="O168" s="52"/>
      <c r="P168" s="3"/>
    </row>
    <row r="169" spans="2:16">
      <c r="B169" s="28"/>
      <c r="C169" s="3"/>
      <c r="E169" s="35"/>
      <c r="F169" s="28"/>
      <c r="G169" s="28"/>
      <c r="H169" s="29"/>
      <c r="I169" s="14"/>
      <c r="K169" s="3"/>
      <c r="M169" s="3"/>
      <c r="N169" s="3"/>
      <c r="O169" s="52"/>
      <c r="P169" s="3"/>
    </row>
    <row r="170" spans="2:16">
      <c r="B170" s="28"/>
      <c r="C170" s="3"/>
      <c r="E170" s="35"/>
      <c r="F170" s="28"/>
      <c r="G170" s="28"/>
      <c r="H170" s="29"/>
      <c r="I170" s="14"/>
      <c r="K170" s="3"/>
      <c r="M170" s="3"/>
      <c r="N170" s="3"/>
      <c r="O170" s="52"/>
      <c r="P170" s="3"/>
    </row>
    <row r="171" spans="2:16">
      <c r="B171" s="28"/>
      <c r="C171" s="3"/>
      <c r="E171" s="35"/>
      <c r="F171" s="28"/>
      <c r="G171" s="28"/>
      <c r="H171" s="29"/>
      <c r="I171" s="14"/>
      <c r="K171" s="3"/>
      <c r="M171" s="3"/>
      <c r="N171" s="3"/>
      <c r="O171" s="52"/>
      <c r="P171" s="3"/>
    </row>
    <row r="172" spans="2:16">
      <c r="B172" s="28"/>
      <c r="C172" s="3"/>
      <c r="E172" s="35"/>
      <c r="F172" s="28"/>
      <c r="G172" s="28"/>
      <c r="H172" s="29"/>
      <c r="I172" s="14"/>
      <c r="K172" s="3"/>
      <c r="M172" s="3"/>
      <c r="N172" s="3"/>
      <c r="O172" s="52"/>
      <c r="P172" s="3"/>
    </row>
    <row r="173" spans="2:16">
      <c r="B173" s="28"/>
      <c r="C173" s="3"/>
      <c r="E173" s="35"/>
      <c r="F173" s="28"/>
      <c r="G173" s="28"/>
      <c r="H173" s="29"/>
      <c r="I173" s="14"/>
      <c r="K173" s="3"/>
      <c r="M173" s="3"/>
      <c r="N173" s="3"/>
      <c r="O173" s="52"/>
      <c r="P173" s="3"/>
    </row>
    <row r="174" spans="2:16">
      <c r="B174" s="28"/>
      <c r="C174" s="3"/>
      <c r="E174" s="35"/>
      <c r="F174" s="28"/>
      <c r="G174" s="28"/>
      <c r="H174" s="29"/>
      <c r="I174" s="14"/>
      <c r="K174" s="3"/>
      <c r="M174" s="3"/>
      <c r="N174" s="3"/>
      <c r="O174" s="52"/>
      <c r="P174" s="3"/>
    </row>
    <row r="175" spans="2:16">
      <c r="B175" s="28"/>
      <c r="C175" s="3"/>
      <c r="E175" s="35"/>
      <c r="F175" s="28"/>
      <c r="G175" s="28"/>
      <c r="H175" s="29"/>
      <c r="I175" s="14"/>
      <c r="K175" s="3"/>
      <c r="M175" s="3"/>
      <c r="N175" s="3"/>
      <c r="O175" s="52"/>
      <c r="P175" s="3"/>
    </row>
    <row r="176" spans="2:16">
      <c r="B176" s="28"/>
      <c r="C176" s="3"/>
      <c r="E176" s="35"/>
      <c r="F176" s="28"/>
      <c r="G176" s="28"/>
      <c r="H176" s="29"/>
      <c r="I176" s="14"/>
      <c r="K176" s="3"/>
      <c r="M176" s="3"/>
      <c r="N176" s="3"/>
      <c r="O176" s="52"/>
      <c r="P176" s="3"/>
    </row>
    <row r="177" spans="2:16">
      <c r="B177" s="28"/>
      <c r="C177" s="3"/>
      <c r="E177" s="35"/>
      <c r="F177" s="28"/>
      <c r="G177" s="28"/>
      <c r="H177" s="29"/>
      <c r="I177" s="14"/>
      <c r="K177" s="3"/>
      <c r="M177" s="3"/>
      <c r="N177" s="3"/>
      <c r="O177" s="52"/>
      <c r="P177" s="3"/>
    </row>
    <row r="178" spans="2:16">
      <c r="B178" s="28"/>
      <c r="C178" s="3"/>
      <c r="E178" s="35"/>
      <c r="F178" s="28"/>
      <c r="G178" s="28"/>
      <c r="H178" s="29"/>
      <c r="I178" s="14"/>
      <c r="K178" s="3"/>
      <c r="M178" s="3"/>
      <c r="N178" s="3"/>
      <c r="O178" s="52"/>
      <c r="P178" s="3"/>
    </row>
    <row r="179" spans="2:16">
      <c r="B179" s="28"/>
      <c r="C179" s="3"/>
      <c r="E179" s="35"/>
      <c r="F179" s="28"/>
      <c r="G179" s="28"/>
      <c r="H179" s="29"/>
      <c r="I179" s="14"/>
      <c r="K179" s="3"/>
      <c r="M179" s="3"/>
      <c r="N179" s="3"/>
      <c r="O179" s="52"/>
      <c r="P179" s="3"/>
    </row>
    <row r="180" spans="2:16">
      <c r="B180" s="28"/>
      <c r="C180" s="3"/>
      <c r="E180" s="35"/>
      <c r="F180" s="28"/>
      <c r="G180" s="28"/>
      <c r="H180" s="29"/>
      <c r="I180" s="14"/>
      <c r="K180" s="3"/>
      <c r="M180" s="3"/>
      <c r="N180" s="3"/>
      <c r="O180" s="52"/>
      <c r="P180" s="3"/>
    </row>
    <row r="181" spans="2:16">
      <c r="B181" s="28"/>
      <c r="C181" s="3"/>
      <c r="E181" s="35"/>
      <c r="F181" s="28"/>
      <c r="G181" s="28"/>
      <c r="H181" s="29"/>
      <c r="I181" s="14"/>
      <c r="K181" s="3"/>
      <c r="M181" s="3"/>
      <c r="N181" s="3"/>
      <c r="O181" s="52"/>
      <c r="P181" s="3"/>
    </row>
    <row r="182" spans="2:16">
      <c r="B182" s="28"/>
      <c r="C182" s="3"/>
      <c r="E182" s="35"/>
      <c r="F182" s="28"/>
      <c r="G182" s="28"/>
      <c r="H182" s="29"/>
      <c r="I182" s="14"/>
      <c r="K182" s="3"/>
      <c r="M182" s="3"/>
      <c r="N182" s="3"/>
      <c r="O182" s="52"/>
      <c r="P182" s="3"/>
    </row>
    <row r="183" spans="2:16">
      <c r="B183" s="28"/>
      <c r="C183" s="3"/>
      <c r="E183" s="35"/>
      <c r="F183" s="28"/>
      <c r="G183" s="28"/>
      <c r="H183" s="29"/>
      <c r="I183" s="14"/>
      <c r="K183" s="3"/>
      <c r="M183" s="3"/>
      <c r="N183" s="3"/>
      <c r="O183" s="52"/>
      <c r="P183" s="3"/>
    </row>
    <row r="184" spans="2:16">
      <c r="B184" s="28"/>
      <c r="C184" s="3"/>
      <c r="E184" s="35"/>
      <c r="F184" s="28"/>
      <c r="G184" s="28"/>
      <c r="H184" s="29"/>
      <c r="I184" s="14"/>
      <c r="K184" s="3"/>
      <c r="M184" s="3"/>
      <c r="N184" s="3"/>
      <c r="O184" s="52"/>
      <c r="P184" s="3"/>
    </row>
    <row r="185" spans="2:16">
      <c r="B185" s="28"/>
      <c r="C185" s="3"/>
      <c r="E185" s="35"/>
      <c r="F185" s="28"/>
      <c r="G185" s="28"/>
      <c r="H185" s="29"/>
      <c r="I185" s="14"/>
      <c r="K185" s="3"/>
      <c r="M185" s="3"/>
      <c r="N185" s="3"/>
      <c r="O185" s="52"/>
      <c r="P185" s="3"/>
    </row>
    <row r="186" spans="2:16">
      <c r="B186" s="28"/>
      <c r="C186" s="3"/>
      <c r="E186" s="35"/>
      <c r="F186" s="28"/>
      <c r="G186" s="28"/>
      <c r="H186" s="29"/>
      <c r="I186" s="14"/>
      <c r="K186" s="3"/>
      <c r="M186" s="3"/>
      <c r="N186" s="3"/>
      <c r="O186" s="52"/>
      <c r="P186" s="3"/>
    </row>
    <row r="187" spans="2:16">
      <c r="B187" s="28"/>
      <c r="C187" s="3"/>
      <c r="E187" s="35"/>
      <c r="F187" s="28"/>
      <c r="G187" s="28"/>
      <c r="H187" s="29"/>
      <c r="I187" s="14"/>
      <c r="K187" s="3"/>
      <c r="M187" s="3"/>
      <c r="N187" s="3"/>
      <c r="O187" s="52"/>
      <c r="P187" s="3"/>
    </row>
    <row r="188" spans="2:16">
      <c r="B188" s="28"/>
      <c r="C188" s="3"/>
      <c r="E188" s="35"/>
      <c r="F188" s="28"/>
      <c r="G188" s="28"/>
      <c r="H188" s="29"/>
      <c r="I188" s="14"/>
      <c r="K188" s="3"/>
      <c r="M188" s="3"/>
      <c r="N188" s="3"/>
      <c r="O188" s="52"/>
      <c r="P188" s="3"/>
    </row>
    <row r="189" spans="2:16">
      <c r="B189" s="28"/>
      <c r="C189" s="3"/>
      <c r="E189" s="35"/>
      <c r="F189" s="28"/>
      <c r="G189" s="28"/>
      <c r="H189" s="29"/>
      <c r="I189" s="14"/>
      <c r="K189" s="3"/>
      <c r="M189" s="3"/>
      <c r="N189" s="3"/>
      <c r="O189" s="52"/>
      <c r="P189" s="3"/>
    </row>
    <row r="190" spans="2:16">
      <c r="B190" s="28"/>
      <c r="C190" s="3"/>
      <c r="E190" s="35"/>
      <c r="F190" s="28"/>
      <c r="G190" s="28"/>
      <c r="H190" s="29"/>
      <c r="I190" s="14"/>
      <c r="K190" s="3"/>
      <c r="M190" s="3"/>
      <c r="N190" s="3"/>
      <c r="O190" s="52"/>
      <c r="P190" s="3"/>
    </row>
    <row r="191" spans="2:16">
      <c r="B191" s="28"/>
      <c r="C191" s="3"/>
      <c r="E191" s="35"/>
      <c r="F191" s="28"/>
      <c r="G191" s="28"/>
      <c r="H191" s="29"/>
      <c r="I191" s="14"/>
      <c r="K191" s="3"/>
      <c r="M191" s="3"/>
      <c r="N191" s="3"/>
      <c r="O191" s="52"/>
      <c r="P191" s="3"/>
    </row>
    <row r="192" spans="2:16">
      <c r="B192" s="28"/>
      <c r="C192" s="3"/>
      <c r="E192" s="35"/>
      <c r="F192" s="28"/>
      <c r="G192" s="28"/>
      <c r="H192" s="29"/>
      <c r="I192" s="14"/>
      <c r="K192" s="3"/>
      <c r="M192" s="3"/>
      <c r="N192" s="3"/>
      <c r="O192" s="52"/>
      <c r="P192" s="3"/>
    </row>
    <row r="193" spans="2:16">
      <c r="B193" s="28"/>
      <c r="C193" s="3"/>
      <c r="E193" s="35"/>
      <c r="F193" s="28"/>
      <c r="G193" s="28"/>
      <c r="H193" s="29"/>
      <c r="I193" s="14"/>
      <c r="K193" s="3"/>
      <c r="M193" s="3"/>
      <c r="N193" s="3"/>
      <c r="O193" s="52"/>
      <c r="P193" s="3"/>
    </row>
    <row r="194" spans="2:16">
      <c r="B194" s="28"/>
      <c r="C194" s="3"/>
      <c r="E194" s="35"/>
      <c r="F194" s="28"/>
      <c r="G194" s="28"/>
      <c r="H194" s="29"/>
      <c r="I194" s="14"/>
      <c r="K194" s="3"/>
      <c r="M194" s="3"/>
      <c r="N194" s="3"/>
      <c r="O194" s="52"/>
      <c r="P194" s="3"/>
    </row>
    <row r="195" spans="2:16">
      <c r="B195" s="28"/>
      <c r="C195" s="3"/>
      <c r="E195" s="35"/>
      <c r="F195" s="28"/>
      <c r="G195" s="28"/>
      <c r="H195" s="29"/>
      <c r="I195" s="14"/>
      <c r="K195" s="3"/>
      <c r="M195" s="3"/>
      <c r="N195" s="3"/>
      <c r="O195" s="52"/>
      <c r="P195" s="3"/>
    </row>
    <row r="196" spans="2:16">
      <c r="B196" s="28"/>
      <c r="C196" s="3"/>
      <c r="E196" s="35"/>
      <c r="F196" s="28"/>
      <c r="G196" s="28"/>
      <c r="H196" s="29"/>
      <c r="I196" s="14"/>
      <c r="K196" s="3"/>
      <c r="M196" s="3"/>
      <c r="N196" s="3"/>
      <c r="O196" s="52"/>
      <c r="P196" s="3"/>
    </row>
    <row r="197" spans="2:16">
      <c r="B197" s="28"/>
      <c r="C197" s="3"/>
      <c r="E197" s="35"/>
      <c r="F197" s="28"/>
      <c r="G197" s="28"/>
      <c r="H197" s="29"/>
      <c r="I197" s="14"/>
      <c r="K197" s="3"/>
      <c r="M197" s="3"/>
      <c r="N197" s="3"/>
      <c r="O197" s="52"/>
      <c r="P197" s="3"/>
    </row>
    <row r="198" spans="2:16">
      <c r="B198" s="28"/>
      <c r="C198" s="3"/>
      <c r="E198" s="35"/>
      <c r="F198" s="28"/>
      <c r="G198" s="28"/>
      <c r="H198" s="29"/>
      <c r="I198" s="14"/>
      <c r="K198" s="3"/>
      <c r="M198" s="3"/>
      <c r="N198" s="3"/>
      <c r="O198" s="52"/>
      <c r="P198" s="3"/>
    </row>
    <row r="199" spans="2:16">
      <c r="B199" s="28"/>
      <c r="C199" s="3"/>
      <c r="E199" s="35"/>
      <c r="F199" s="28"/>
      <c r="G199" s="28"/>
      <c r="H199" s="29"/>
      <c r="I199" s="14"/>
      <c r="K199" s="3"/>
      <c r="M199" s="3"/>
      <c r="N199" s="3"/>
      <c r="O199" s="52"/>
      <c r="P199" s="3"/>
    </row>
    <row r="200" spans="2:16">
      <c r="B200" s="28"/>
      <c r="C200" s="3"/>
      <c r="E200" s="35"/>
      <c r="F200" s="28"/>
      <c r="G200" s="28"/>
      <c r="H200" s="29"/>
      <c r="I200" s="14"/>
      <c r="K200" s="3"/>
      <c r="M200" s="3"/>
      <c r="N200" s="3"/>
      <c r="O200" s="52"/>
      <c r="P200" s="3"/>
    </row>
    <row r="201" spans="2:16">
      <c r="B201" s="28"/>
      <c r="C201" s="3"/>
      <c r="E201" s="35"/>
      <c r="F201" s="28"/>
      <c r="G201" s="28"/>
      <c r="H201" s="29"/>
      <c r="I201" s="14"/>
      <c r="K201" s="3"/>
      <c r="M201" s="3"/>
      <c r="N201" s="3"/>
      <c r="O201" s="52"/>
      <c r="P201" s="3"/>
    </row>
    <row r="202" spans="2:16">
      <c r="B202" s="28"/>
      <c r="C202" s="3"/>
      <c r="E202" s="35"/>
      <c r="F202" s="28"/>
      <c r="G202" s="28"/>
      <c r="H202" s="29"/>
      <c r="I202" s="14"/>
      <c r="K202" s="3"/>
      <c r="M202" s="3"/>
      <c r="N202" s="3"/>
      <c r="O202" s="52"/>
      <c r="P202" s="3"/>
    </row>
    <row r="203" spans="2:16">
      <c r="B203" s="28"/>
      <c r="C203" s="3"/>
      <c r="E203" s="35"/>
      <c r="F203" s="28"/>
      <c r="G203" s="28"/>
      <c r="H203" s="29"/>
      <c r="I203" s="14"/>
      <c r="K203" s="3"/>
      <c r="M203" s="3"/>
      <c r="N203" s="3"/>
      <c r="O203" s="52"/>
      <c r="P203" s="3"/>
    </row>
    <row r="204" spans="2:16">
      <c r="B204" s="28"/>
      <c r="C204" s="3"/>
      <c r="E204" s="35"/>
      <c r="F204" s="28"/>
      <c r="G204" s="28"/>
      <c r="H204" s="29"/>
      <c r="I204" s="14"/>
      <c r="K204" s="3"/>
      <c r="M204" s="3"/>
      <c r="N204" s="3"/>
      <c r="O204" s="52"/>
      <c r="P204" s="3"/>
    </row>
    <row r="205" spans="2:16">
      <c r="B205" s="28"/>
      <c r="C205" s="3"/>
      <c r="E205" s="35"/>
      <c r="F205" s="28"/>
      <c r="G205" s="28"/>
      <c r="H205" s="29"/>
      <c r="I205" s="14"/>
      <c r="K205" s="3"/>
      <c r="M205" s="3"/>
      <c r="N205" s="3"/>
      <c r="O205" s="52"/>
      <c r="P205" s="3"/>
    </row>
    <row r="206" spans="2:16">
      <c r="B206" s="28"/>
      <c r="C206" s="3"/>
      <c r="E206" s="35"/>
      <c r="F206" s="28"/>
      <c r="G206" s="28"/>
      <c r="H206" s="29"/>
      <c r="I206" s="14"/>
      <c r="K206" s="3"/>
      <c r="M206" s="3"/>
      <c r="N206" s="3"/>
      <c r="O206" s="52"/>
      <c r="P206" s="3"/>
    </row>
    <row r="207" spans="2:16">
      <c r="B207" s="28"/>
      <c r="C207" s="3"/>
      <c r="E207" s="35"/>
      <c r="F207" s="28"/>
      <c r="G207" s="28"/>
      <c r="H207" s="29"/>
      <c r="I207" s="14"/>
      <c r="K207" s="3"/>
      <c r="M207" s="3"/>
      <c r="N207" s="3"/>
      <c r="O207" s="52"/>
      <c r="P207" s="3"/>
    </row>
    <row r="208" spans="2:16">
      <c r="B208" s="28"/>
      <c r="C208" s="3"/>
      <c r="E208" s="35"/>
      <c r="F208" s="28"/>
      <c r="G208" s="28"/>
      <c r="H208" s="29"/>
      <c r="I208" s="14"/>
      <c r="K208" s="3"/>
      <c r="M208" s="3"/>
      <c r="N208" s="3"/>
      <c r="O208" s="52"/>
      <c r="P208" s="3"/>
    </row>
    <row r="209" spans="2:16">
      <c r="B209" s="28"/>
      <c r="C209" s="3"/>
      <c r="E209" s="35"/>
      <c r="F209" s="28"/>
      <c r="G209" s="28"/>
      <c r="H209" s="29"/>
      <c r="I209" s="14"/>
      <c r="K209" s="3"/>
      <c r="M209" s="3"/>
      <c r="N209" s="3"/>
      <c r="O209" s="52"/>
      <c r="P209" s="3"/>
    </row>
    <row r="210" spans="2:16">
      <c r="B210" s="28"/>
      <c r="C210" s="3"/>
      <c r="E210" s="35"/>
      <c r="F210" s="28"/>
      <c r="G210" s="28"/>
      <c r="H210" s="29"/>
      <c r="I210" s="14"/>
      <c r="K210" s="3"/>
      <c r="M210" s="3"/>
      <c r="N210" s="3"/>
      <c r="O210" s="52"/>
      <c r="P210" s="3"/>
    </row>
    <row r="211" spans="2:16">
      <c r="B211" s="28"/>
      <c r="C211" s="3"/>
      <c r="E211" s="35"/>
      <c r="F211" s="28"/>
      <c r="G211" s="28"/>
      <c r="H211" s="29"/>
      <c r="I211" s="14"/>
      <c r="K211" s="3"/>
      <c r="M211" s="3"/>
      <c r="N211" s="3"/>
      <c r="O211" s="52"/>
      <c r="P211" s="3"/>
    </row>
    <row r="212" spans="2:16">
      <c r="B212" s="28"/>
      <c r="C212" s="3"/>
      <c r="E212" s="35"/>
      <c r="F212" s="28"/>
      <c r="G212" s="28"/>
      <c r="H212" s="29"/>
      <c r="I212" s="14"/>
      <c r="K212" s="3"/>
      <c r="M212" s="3"/>
      <c r="N212" s="3"/>
      <c r="O212" s="52"/>
      <c r="P212" s="3"/>
    </row>
    <row r="213" spans="2:16">
      <c r="E213" s="2"/>
      <c r="H213" s="29"/>
      <c r="I213" s="30"/>
    </row>
    <row r="214" spans="2:16">
      <c r="E214" s="2"/>
      <c r="H214" s="29"/>
      <c r="I214" s="30"/>
    </row>
    <row r="215" spans="2:16">
      <c r="E215" s="2"/>
      <c r="H215" s="29"/>
      <c r="I215" s="30"/>
    </row>
    <row r="216" spans="2:16">
      <c r="E216" s="2"/>
      <c r="H216" s="29"/>
      <c r="I216" s="30"/>
    </row>
    <row r="217" spans="2:16">
      <c r="E217" s="2"/>
      <c r="H217" s="29"/>
      <c r="I217" s="30"/>
    </row>
    <row r="218" spans="2:16">
      <c r="E218" s="2"/>
      <c r="H218" s="29"/>
      <c r="I218" s="30"/>
    </row>
    <row r="219" spans="2:16">
      <c r="E219" s="2"/>
      <c r="H219" s="29"/>
      <c r="I219" s="30"/>
    </row>
    <row r="220" spans="2:16">
      <c r="E220" s="2"/>
      <c r="H220" s="29"/>
      <c r="I220" s="30"/>
    </row>
    <row r="221" spans="2:16">
      <c r="E221" s="2"/>
      <c r="H221" s="29"/>
      <c r="I221" s="30"/>
    </row>
    <row r="222" spans="2:16">
      <c r="E222" s="2"/>
      <c r="H222" s="29"/>
      <c r="I222" s="30"/>
    </row>
    <row r="223" spans="2:16">
      <c r="E223" s="2"/>
      <c r="H223" s="29"/>
      <c r="I223" s="30"/>
    </row>
    <row r="224" spans="2:16">
      <c r="E224" s="2"/>
      <c r="H224" s="29"/>
      <c r="I224" s="30"/>
    </row>
    <row r="225" spans="5:9">
      <c r="E225" s="2"/>
      <c r="H225" s="29"/>
      <c r="I225" s="30"/>
    </row>
    <row r="226" spans="5:9">
      <c r="E226" s="2"/>
      <c r="H226" s="29"/>
      <c r="I226" s="30"/>
    </row>
    <row r="227" spans="5:9">
      <c r="E227" s="2"/>
      <c r="H227" s="29"/>
      <c r="I227" s="30"/>
    </row>
    <row r="228" spans="5:9">
      <c r="E228" s="2"/>
      <c r="H228" s="29"/>
      <c r="I228" s="30"/>
    </row>
    <row r="229" spans="5:9">
      <c r="E229" s="2"/>
      <c r="H229" s="29"/>
      <c r="I229" s="30"/>
    </row>
    <row r="230" spans="5:9">
      <c r="E230" s="2"/>
      <c r="H230" s="29"/>
      <c r="I230" s="30"/>
    </row>
    <row r="231" spans="5:9">
      <c r="E231" s="2"/>
      <c r="H231" s="29"/>
      <c r="I231" s="30"/>
    </row>
    <row r="232" spans="5:9">
      <c r="E232" s="2"/>
      <c r="H232" s="29"/>
      <c r="I232" s="30"/>
    </row>
    <row r="233" spans="5:9">
      <c r="E233" s="2"/>
      <c r="H233" s="29"/>
      <c r="I233" s="30"/>
    </row>
    <row r="234" spans="5:9">
      <c r="E234" s="2"/>
      <c r="H234" s="29"/>
      <c r="I234" s="30"/>
    </row>
    <row r="235" spans="5:9">
      <c r="E235" s="2"/>
      <c r="H235" s="29"/>
      <c r="I235" s="30"/>
    </row>
    <row r="236" spans="5:9">
      <c r="E236" s="2"/>
      <c r="H236" s="29"/>
      <c r="I236" s="30"/>
    </row>
    <row r="237" spans="5:9">
      <c r="E237" s="2"/>
      <c r="H237" s="29"/>
      <c r="I237" s="30"/>
    </row>
    <row r="238" spans="5:9">
      <c r="E238" s="2"/>
      <c r="H238" s="29"/>
      <c r="I238" s="30"/>
    </row>
    <row r="239" spans="5:9">
      <c r="E239" s="2"/>
      <c r="H239" s="29"/>
      <c r="I239" s="30"/>
    </row>
    <row r="240" spans="5:9">
      <c r="E240" s="2"/>
      <c r="H240" s="29"/>
      <c r="I240" s="30"/>
    </row>
    <row r="241" spans="5:9">
      <c r="E241" s="2"/>
      <c r="H241" s="29"/>
      <c r="I241" s="30"/>
    </row>
    <row r="242" spans="5:9">
      <c r="E242" s="2"/>
      <c r="H242" s="29"/>
      <c r="I242" s="30"/>
    </row>
    <row r="243" spans="5:9">
      <c r="E243" s="2"/>
      <c r="H243" s="29"/>
      <c r="I243" s="30"/>
    </row>
    <row r="244" spans="5:9">
      <c r="E244" s="2"/>
      <c r="H244" s="29"/>
      <c r="I244" s="30"/>
    </row>
    <row r="245" spans="5:9">
      <c r="E245" s="2"/>
      <c r="H245" s="29"/>
      <c r="I245" s="30"/>
    </row>
    <row r="246" spans="5:9">
      <c r="E246" s="2"/>
      <c r="H246" s="29"/>
      <c r="I246" s="30"/>
    </row>
    <row r="247" spans="5:9">
      <c r="E247" s="2"/>
      <c r="H247" s="29"/>
      <c r="I247" s="30"/>
    </row>
    <row r="248" spans="5:9">
      <c r="E248" s="2"/>
      <c r="H248" s="29"/>
      <c r="I248" s="30"/>
    </row>
    <row r="249" spans="5:9">
      <c r="E249" s="2"/>
      <c r="H249" s="29"/>
      <c r="I249" s="30"/>
    </row>
    <row r="250" spans="5:9">
      <c r="E250" s="2"/>
      <c r="H250" s="29"/>
      <c r="I250" s="30"/>
    </row>
    <row r="251" spans="5:9">
      <c r="E251" s="2"/>
      <c r="H251" s="29"/>
      <c r="I251" s="30"/>
    </row>
    <row r="252" spans="5:9">
      <c r="E252" s="2"/>
      <c r="H252" s="29"/>
      <c r="I252" s="30"/>
    </row>
    <row r="253" spans="5:9">
      <c r="E253" s="2"/>
      <c r="H253" s="29"/>
      <c r="I253" s="30"/>
    </row>
    <row r="254" spans="5:9">
      <c r="E254" s="2"/>
      <c r="H254" s="29"/>
      <c r="I254" s="30"/>
    </row>
    <row r="255" spans="5:9">
      <c r="E255" s="2"/>
      <c r="H255" s="29"/>
      <c r="I255" s="30"/>
    </row>
    <row r="256" spans="5:9">
      <c r="E256" s="2"/>
      <c r="H256" s="29"/>
      <c r="I256" s="30"/>
    </row>
    <row r="257" spans="5:9">
      <c r="E257" s="2"/>
      <c r="H257" s="29"/>
      <c r="I257" s="30"/>
    </row>
    <row r="258" spans="5:9">
      <c r="E258" s="2"/>
      <c r="H258" s="29"/>
      <c r="I258" s="30"/>
    </row>
    <row r="259" spans="5:9">
      <c r="E259" s="2"/>
      <c r="H259" s="29"/>
      <c r="I259" s="30"/>
    </row>
    <row r="260" spans="5:9">
      <c r="E260" s="2"/>
      <c r="H260" s="29"/>
      <c r="I260" s="30"/>
    </row>
    <row r="261" spans="5:9">
      <c r="E261" s="2"/>
      <c r="H261" s="29"/>
      <c r="I261" s="30"/>
    </row>
    <row r="262" spans="5:9">
      <c r="E262" s="2"/>
      <c r="H262" s="29"/>
      <c r="I262" s="30"/>
    </row>
    <row r="263" spans="5:9">
      <c r="E263" s="2"/>
      <c r="H263" s="29"/>
      <c r="I263" s="30"/>
    </row>
    <row r="264" spans="5:9">
      <c r="E264" s="2"/>
      <c r="H264" s="29"/>
      <c r="I264" s="30"/>
    </row>
    <row r="265" spans="5:9">
      <c r="E265" s="2"/>
      <c r="H265" s="29"/>
      <c r="I265" s="30"/>
    </row>
    <row r="266" spans="5:9">
      <c r="E266" s="2"/>
      <c r="H266" s="29"/>
      <c r="I266" s="30"/>
    </row>
    <row r="267" spans="5:9">
      <c r="E267" s="2"/>
      <c r="H267" s="29"/>
      <c r="I267" s="30"/>
    </row>
    <row r="268" spans="5:9">
      <c r="E268" s="2"/>
      <c r="H268" s="29"/>
      <c r="I268" s="30"/>
    </row>
    <row r="269" spans="5:9">
      <c r="E269" s="2"/>
      <c r="H269" s="29"/>
      <c r="I269" s="30"/>
    </row>
    <row r="270" spans="5:9">
      <c r="E270" s="2"/>
      <c r="H270" s="29"/>
      <c r="I270" s="30"/>
    </row>
    <row r="271" spans="5:9">
      <c r="E271" s="2"/>
      <c r="H271" s="29"/>
      <c r="I271" s="30"/>
    </row>
    <row r="272" spans="5:9">
      <c r="E272" s="2"/>
      <c r="H272" s="29"/>
      <c r="I272" s="30"/>
    </row>
    <row r="273" spans="5:9">
      <c r="E273" s="2"/>
      <c r="H273" s="29"/>
      <c r="I273" s="30"/>
    </row>
    <row r="274" spans="5:9">
      <c r="E274" s="2"/>
      <c r="H274" s="29"/>
      <c r="I274" s="30"/>
    </row>
    <row r="275" spans="5:9">
      <c r="E275" s="2"/>
      <c r="H275" s="29"/>
      <c r="I275" s="30"/>
    </row>
    <row r="276" spans="5:9">
      <c r="E276" s="2"/>
      <c r="H276" s="29"/>
      <c r="I276" s="30"/>
    </row>
    <row r="277" spans="5:9">
      <c r="E277" s="2"/>
      <c r="H277" s="29"/>
      <c r="I277" s="30"/>
    </row>
    <row r="278" spans="5:9">
      <c r="E278" s="2"/>
      <c r="H278" s="29"/>
      <c r="I278" s="30"/>
    </row>
    <row r="279" spans="5:9">
      <c r="E279" s="2"/>
      <c r="H279" s="29"/>
      <c r="I279" s="30"/>
    </row>
    <row r="280" spans="5:9">
      <c r="E280" s="2"/>
      <c r="H280" s="29"/>
      <c r="I280" s="30"/>
    </row>
    <row r="281" spans="5:9">
      <c r="E281" s="2"/>
      <c r="H281" s="29"/>
      <c r="I281" s="30"/>
    </row>
    <row r="282" spans="5:9">
      <c r="E282" s="2"/>
      <c r="H282" s="29"/>
      <c r="I282" s="30"/>
    </row>
    <row r="283" spans="5:9">
      <c r="E283" s="2"/>
      <c r="H283" s="29"/>
      <c r="I283" s="30"/>
    </row>
    <row r="284" spans="5:9">
      <c r="E284" s="2"/>
      <c r="H284" s="29"/>
      <c r="I284" s="30"/>
    </row>
    <row r="285" spans="5:9">
      <c r="E285" s="2"/>
      <c r="H285" s="29"/>
      <c r="I285" s="30"/>
    </row>
    <row r="286" spans="5:9">
      <c r="E286" s="2"/>
      <c r="H286" s="29"/>
      <c r="I286" s="30"/>
    </row>
    <row r="287" spans="5:9">
      <c r="E287" s="2"/>
      <c r="H287" s="29"/>
      <c r="I287" s="30"/>
    </row>
    <row r="288" spans="5:9">
      <c r="E288" s="2"/>
      <c r="H288" s="29"/>
      <c r="I288" s="30"/>
    </row>
    <row r="289" spans="5:9">
      <c r="E289" s="2"/>
      <c r="H289" s="29"/>
      <c r="I289" s="30"/>
    </row>
    <row r="290" spans="5:9">
      <c r="E290" s="2"/>
      <c r="H290" s="29"/>
      <c r="I290" s="30"/>
    </row>
    <row r="291" spans="5:9">
      <c r="E291" s="2"/>
      <c r="H291" s="29"/>
      <c r="I291" s="30"/>
    </row>
    <row r="292" spans="5:9">
      <c r="E292" s="2"/>
      <c r="H292" s="29"/>
      <c r="I292" s="30"/>
    </row>
    <row r="293" spans="5:9">
      <c r="E293" s="2"/>
      <c r="H293" s="29"/>
      <c r="I293" s="30"/>
    </row>
    <row r="294" spans="5:9">
      <c r="E294" s="2"/>
      <c r="H294" s="29"/>
      <c r="I294" s="30"/>
    </row>
    <row r="295" spans="5:9">
      <c r="E295" s="2"/>
      <c r="H295" s="29"/>
      <c r="I295" s="30"/>
    </row>
    <row r="296" spans="5:9">
      <c r="E296" s="2"/>
      <c r="H296" s="29"/>
      <c r="I296" s="30"/>
    </row>
    <row r="297" spans="5:9">
      <c r="E297" s="2"/>
      <c r="H297" s="29"/>
      <c r="I297" s="30"/>
    </row>
    <row r="298" spans="5:9">
      <c r="E298" s="2"/>
      <c r="H298" s="29"/>
      <c r="I298" s="30"/>
    </row>
    <row r="299" spans="5:9">
      <c r="E299" s="2"/>
      <c r="H299" s="29"/>
      <c r="I299" s="30"/>
    </row>
    <row r="300" spans="5:9">
      <c r="E300" s="2"/>
      <c r="H300" s="29"/>
      <c r="I300" s="30"/>
    </row>
    <row r="301" spans="5:9">
      <c r="E301" s="2"/>
      <c r="H301" s="29"/>
      <c r="I301" s="30"/>
    </row>
    <row r="302" spans="5:9">
      <c r="E302" s="2"/>
      <c r="H302" s="29"/>
      <c r="I302" s="30"/>
    </row>
    <row r="303" spans="5:9">
      <c r="E303" s="2"/>
      <c r="H303" s="29"/>
      <c r="I303" s="30"/>
    </row>
    <row r="304" spans="5:9">
      <c r="E304" s="2"/>
      <c r="H304" s="29"/>
      <c r="I304" s="30"/>
    </row>
    <row r="305" spans="5:9">
      <c r="E305" s="2"/>
      <c r="H305" s="29"/>
      <c r="I305" s="30"/>
    </row>
    <row r="306" spans="5:9">
      <c r="E306" s="2"/>
      <c r="H306" s="29"/>
      <c r="I306" s="30"/>
    </row>
    <row r="307" spans="5:9">
      <c r="E307" s="2"/>
      <c r="H307" s="29"/>
      <c r="I307" s="30"/>
    </row>
    <row r="308" spans="5:9">
      <c r="E308" s="2"/>
      <c r="H308" s="29"/>
      <c r="I308" s="30"/>
    </row>
    <row r="309" spans="5:9">
      <c r="E309" s="2"/>
      <c r="H309" s="29"/>
      <c r="I309" s="30"/>
    </row>
    <row r="310" spans="5:9">
      <c r="E310" s="2"/>
      <c r="H310" s="29"/>
      <c r="I310" s="30"/>
    </row>
    <row r="311" spans="5:9">
      <c r="E311" s="2"/>
      <c r="H311" s="29"/>
      <c r="I311" s="30"/>
    </row>
    <row r="312" spans="5:9">
      <c r="E312" s="2"/>
      <c r="H312" s="29"/>
      <c r="I312" s="30"/>
    </row>
    <row r="313" spans="5:9">
      <c r="E313" s="2"/>
      <c r="H313" s="29"/>
      <c r="I313" s="30"/>
    </row>
    <row r="314" spans="5:9">
      <c r="E314" s="2"/>
      <c r="H314" s="29"/>
      <c r="I314" s="30"/>
    </row>
    <row r="315" spans="5:9">
      <c r="E315" s="2"/>
      <c r="H315" s="29"/>
      <c r="I315" s="30"/>
    </row>
    <row r="316" spans="5:9">
      <c r="E316" s="2"/>
      <c r="H316" s="29"/>
      <c r="I316" s="30"/>
    </row>
    <row r="317" spans="5:9">
      <c r="E317" s="2"/>
      <c r="H317" s="29"/>
      <c r="I317" s="30"/>
    </row>
    <row r="318" spans="5:9">
      <c r="E318" s="2"/>
      <c r="H318" s="29"/>
      <c r="I318" s="30"/>
    </row>
    <row r="319" spans="5:9">
      <c r="E319" s="2"/>
      <c r="H319" s="29"/>
      <c r="I319" s="30"/>
    </row>
    <row r="320" spans="5:9">
      <c r="E320" s="2"/>
      <c r="H320" s="29"/>
      <c r="I320" s="30"/>
    </row>
    <row r="321" spans="5:9">
      <c r="E321" s="2"/>
      <c r="H321" s="29"/>
      <c r="I321" s="30"/>
    </row>
    <row r="322" spans="5:9">
      <c r="E322" s="2"/>
      <c r="H322" s="29"/>
      <c r="I322" s="30"/>
    </row>
    <row r="323" spans="5:9">
      <c r="E323" s="2"/>
      <c r="H323" s="29"/>
      <c r="I323" s="30"/>
    </row>
    <row r="324" spans="5:9">
      <c r="E324" s="2"/>
      <c r="H324" s="29"/>
      <c r="I324" s="30"/>
    </row>
    <row r="325" spans="5:9">
      <c r="E325" s="2"/>
      <c r="H325" s="29"/>
      <c r="I325" s="30"/>
    </row>
    <row r="326" spans="5:9">
      <c r="E326" s="2"/>
      <c r="H326" s="29"/>
      <c r="I326" s="30"/>
    </row>
    <row r="327" spans="5:9">
      <c r="E327" s="2"/>
      <c r="H327" s="29"/>
      <c r="I327" s="30"/>
    </row>
    <row r="328" spans="5:9">
      <c r="E328" s="2"/>
      <c r="H328" s="29"/>
      <c r="I328" s="30"/>
    </row>
    <row r="329" spans="5:9">
      <c r="E329" s="2"/>
      <c r="H329" s="29"/>
      <c r="I329" s="30"/>
    </row>
    <row r="330" spans="5:9">
      <c r="E330" s="2"/>
      <c r="H330" s="29"/>
      <c r="I330" s="30"/>
    </row>
    <row r="331" spans="5:9">
      <c r="E331" s="2"/>
      <c r="H331" s="29"/>
      <c r="I331" s="30"/>
    </row>
    <row r="332" spans="5:9">
      <c r="E332" s="2"/>
      <c r="H332" s="29"/>
      <c r="I332" s="30"/>
    </row>
    <row r="333" spans="5:9">
      <c r="E333" s="2"/>
      <c r="H333" s="29"/>
      <c r="I333" s="30"/>
    </row>
    <row r="334" spans="5:9">
      <c r="E334" s="2"/>
      <c r="H334" s="29"/>
      <c r="I334" s="30"/>
    </row>
    <row r="335" spans="5:9">
      <c r="E335" s="2"/>
      <c r="H335" s="29"/>
      <c r="I335" s="30"/>
    </row>
    <row r="336" spans="5:9">
      <c r="E336" s="2"/>
      <c r="H336" s="29"/>
      <c r="I336" s="30"/>
    </row>
    <row r="337" spans="5:9">
      <c r="E337" s="2"/>
      <c r="H337" s="29"/>
      <c r="I337" s="30"/>
    </row>
    <row r="338" spans="5:9">
      <c r="E338" s="2"/>
      <c r="H338" s="29"/>
      <c r="I338" s="30"/>
    </row>
    <row r="339" spans="5:9">
      <c r="E339" s="2"/>
      <c r="H339" s="29"/>
      <c r="I339" s="30"/>
    </row>
    <row r="340" spans="5:9">
      <c r="E340" s="2"/>
      <c r="H340" s="29"/>
      <c r="I340" s="30"/>
    </row>
    <row r="341" spans="5:9">
      <c r="E341" s="2"/>
      <c r="H341" s="29"/>
      <c r="I341" s="30"/>
    </row>
    <row r="342" spans="5:9">
      <c r="E342" s="2"/>
      <c r="H342" s="29"/>
      <c r="I342" s="30"/>
    </row>
    <row r="343" spans="5:9">
      <c r="E343" s="2"/>
      <c r="H343" s="29"/>
      <c r="I343" s="30"/>
    </row>
    <row r="344" spans="5:9">
      <c r="E344" s="2"/>
      <c r="H344" s="29"/>
      <c r="I344" s="30"/>
    </row>
    <row r="345" spans="5:9">
      <c r="E345" s="2"/>
      <c r="H345" s="29"/>
      <c r="I345" s="30"/>
    </row>
    <row r="346" spans="5:9">
      <c r="E346" s="2"/>
      <c r="H346" s="29"/>
      <c r="I346" s="30"/>
    </row>
    <row r="347" spans="5:9">
      <c r="E347" s="2"/>
      <c r="H347" s="29"/>
      <c r="I347" s="30"/>
    </row>
    <row r="348" spans="5:9">
      <c r="E348" s="2"/>
      <c r="H348" s="29"/>
      <c r="I348" s="30"/>
    </row>
    <row r="349" spans="5:9">
      <c r="E349" s="2"/>
      <c r="H349" s="29"/>
      <c r="I349" s="30"/>
    </row>
    <row r="350" spans="5:9">
      <c r="E350" s="2"/>
      <c r="H350" s="29"/>
      <c r="I350" s="30"/>
    </row>
    <row r="351" spans="5:9">
      <c r="E351" s="2"/>
      <c r="H351" s="29"/>
      <c r="I351" s="30"/>
    </row>
    <row r="352" spans="5:9">
      <c r="E352" s="2"/>
      <c r="H352" s="29"/>
      <c r="I352" s="30"/>
    </row>
    <row r="353" spans="5:9">
      <c r="E353" s="2"/>
      <c r="H353" s="29"/>
      <c r="I353" s="30"/>
    </row>
    <row r="354" spans="5:9">
      <c r="E354" s="2"/>
      <c r="H354" s="29"/>
      <c r="I354" s="30"/>
    </row>
    <row r="355" spans="5:9">
      <c r="E355" s="2"/>
      <c r="H355" s="29"/>
      <c r="I355" s="30"/>
    </row>
    <row r="356" spans="5:9">
      <c r="E356" s="2"/>
      <c r="H356" s="29"/>
      <c r="I356" s="30"/>
    </row>
    <row r="357" spans="5:9">
      <c r="E357" s="2"/>
      <c r="H357" s="29"/>
      <c r="I357" s="30"/>
    </row>
    <row r="358" spans="5:9">
      <c r="E358" s="2"/>
      <c r="H358" s="29"/>
      <c r="I358" s="30"/>
    </row>
    <row r="359" spans="5:9">
      <c r="E359" s="2"/>
      <c r="H359" s="29"/>
      <c r="I359" s="30"/>
    </row>
    <row r="360" spans="5:9">
      <c r="E360" s="2"/>
      <c r="H360" s="29"/>
      <c r="I360" s="30"/>
    </row>
    <row r="361" spans="5:9">
      <c r="E361" s="2"/>
      <c r="H361" s="29"/>
      <c r="I361" s="30"/>
    </row>
    <row r="362" spans="5:9">
      <c r="E362" s="2"/>
      <c r="H362" s="29"/>
      <c r="I362" s="30"/>
    </row>
    <row r="363" spans="5:9">
      <c r="E363" s="2"/>
      <c r="H363" s="29"/>
      <c r="I363" s="30"/>
    </row>
    <row r="364" spans="5:9">
      <c r="E364" s="2"/>
      <c r="H364" s="29"/>
      <c r="I364" s="30"/>
    </row>
    <row r="365" spans="5:9">
      <c r="E365" s="2"/>
      <c r="H365" s="29"/>
      <c r="I365" s="30"/>
    </row>
    <row r="366" spans="5:9">
      <c r="E366" s="2"/>
      <c r="H366" s="29"/>
      <c r="I366" s="30"/>
    </row>
    <row r="367" spans="5:9">
      <c r="E367" s="2"/>
      <c r="H367" s="29"/>
      <c r="I367" s="30"/>
    </row>
    <row r="368" spans="5:9">
      <c r="E368" s="2"/>
      <c r="H368" s="29"/>
      <c r="I368" s="30"/>
    </row>
    <row r="369" spans="5:9">
      <c r="E369" s="2"/>
      <c r="H369" s="29"/>
      <c r="I369" s="30"/>
    </row>
    <row r="370" spans="5:9">
      <c r="E370" s="2"/>
      <c r="H370" s="29"/>
      <c r="I370" s="30"/>
    </row>
    <row r="371" spans="5:9">
      <c r="E371" s="2"/>
      <c r="H371" s="29"/>
      <c r="I371" s="30"/>
    </row>
    <row r="372" spans="5:9">
      <c r="E372" s="2"/>
      <c r="H372" s="29"/>
      <c r="I372" s="30"/>
    </row>
    <row r="373" spans="5:9">
      <c r="E373" s="2"/>
      <c r="H373" s="29"/>
      <c r="I373" s="30"/>
    </row>
    <row r="374" spans="5:9">
      <c r="E374" s="2"/>
      <c r="H374" s="29"/>
      <c r="I374" s="30"/>
    </row>
    <row r="375" spans="5:9">
      <c r="E375" s="2"/>
      <c r="H375" s="29"/>
      <c r="I375" s="30"/>
    </row>
    <row r="376" spans="5:9">
      <c r="E376" s="2"/>
      <c r="H376" s="29"/>
      <c r="I376" s="30"/>
    </row>
    <row r="377" spans="5:9">
      <c r="E377" s="2"/>
      <c r="H377" s="29"/>
      <c r="I377" s="30"/>
    </row>
    <row r="378" spans="5:9">
      <c r="E378" s="2"/>
      <c r="H378" s="29"/>
      <c r="I378" s="30"/>
    </row>
    <row r="379" spans="5:9">
      <c r="E379" s="2"/>
      <c r="H379" s="29"/>
      <c r="I379" s="30"/>
    </row>
    <row r="380" spans="5:9">
      <c r="E380" s="2"/>
      <c r="H380" s="29"/>
      <c r="I380" s="30"/>
    </row>
    <row r="381" spans="5:9">
      <c r="E381" s="2"/>
      <c r="H381" s="29"/>
      <c r="I381" s="30"/>
    </row>
    <row r="382" spans="5:9">
      <c r="E382" s="2"/>
      <c r="H382" s="29"/>
      <c r="I382" s="30"/>
    </row>
    <row r="383" spans="5:9">
      <c r="E383" s="2"/>
      <c r="H383" s="29"/>
      <c r="I383" s="30"/>
    </row>
    <row r="384" spans="5:9">
      <c r="E384" s="2"/>
      <c r="H384" s="29"/>
      <c r="I384" s="30"/>
    </row>
    <row r="385" spans="5:9">
      <c r="E385" s="2"/>
      <c r="H385" s="29"/>
      <c r="I385" s="30"/>
    </row>
    <row r="386" spans="5:9">
      <c r="E386" s="2"/>
      <c r="H386" s="29"/>
      <c r="I386" s="30"/>
    </row>
    <row r="387" spans="5:9">
      <c r="E387" s="2"/>
      <c r="H387" s="29"/>
      <c r="I387" s="30"/>
    </row>
    <row r="388" spans="5:9">
      <c r="E388" s="2"/>
      <c r="H388" s="29"/>
      <c r="I388" s="30"/>
    </row>
    <row r="389" spans="5:9">
      <c r="E389" s="2"/>
      <c r="H389" s="29"/>
      <c r="I389" s="30"/>
    </row>
    <row r="390" spans="5:9">
      <c r="E390" s="2"/>
      <c r="H390" s="29"/>
      <c r="I390" s="30"/>
    </row>
    <row r="391" spans="5:9">
      <c r="E391" s="2"/>
      <c r="H391" s="29"/>
      <c r="I391" s="30"/>
    </row>
    <row r="392" spans="5:9">
      <c r="E392" s="2"/>
      <c r="H392" s="29"/>
      <c r="I392" s="30"/>
    </row>
    <row r="393" spans="5:9">
      <c r="E393" s="2"/>
      <c r="H393" s="29"/>
      <c r="I393" s="30"/>
    </row>
    <row r="394" spans="5:9">
      <c r="E394" s="2"/>
      <c r="H394" s="29"/>
      <c r="I394" s="30"/>
    </row>
    <row r="395" spans="5:9">
      <c r="E395" s="2"/>
      <c r="H395" s="29"/>
      <c r="I395" s="30"/>
    </row>
    <row r="396" spans="5:9">
      <c r="E396" s="2"/>
      <c r="H396" s="29"/>
      <c r="I396" s="30"/>
    </row>
    <row r="397" spans="5:9">
      <c r="E397" s="2"/>
      <c r="H397" s="29"/>
      <c r="I397" s="30"/>
    </row>
    <row r="398" spans="5:9">
      <c r="E398" s="2"/>
      <c r="H398" s="29"/>
      <c r="I398" s="30"/>
    </row>
    <row r="399" spans="5:9">
      <c r="E399" s="2"/>
      <c r="H399" s="29"/>
      <c r="I399" s="30"/>
    </row>
    <row r="400" spans="5:9">
      <c r="E400" s="2"/>
      <c r="H400" s="29"/>
      <c r="I400" s="30"/>
    </row>
    <row r="401" spans="5:9">
      <c r="E401" s="2"/>
      <c r="H401" s="29"/>
      <c r="I401" s="30"/>
    </row>
    <row r="402" spans="5:9">
      <c r="E402" s="2"/>
      <c r="H402" s="29"/>
      <c r="I402" s="30"/>
    </row>
    <row r="403" spans="5:9">
      <c r="E403" s="2"/>
      <c r="H403" s="29"/>
      <c r="I403" s="30"/>
    </row>
    <row r="404" spans="5:9">
      <c r="E404" s="2"/>
      <c r="H404" s="29"/>
      <c r="I404" s="30"/>
    </row>
    <row r="405" spans="5:9">
      <c r="E405" s="2"/>
      <c r="H405" s="29"/>
      <c r="I405" s="30"/>
    </row>
    <row r="406" spans="5:9">
      <c r="E406" s="2"/>
      <c r="H406" s="29"/>
      <c r="I406" s="30"/>
    </row>
    <row r="407" spans="5:9">
      <c r="E407" s="2"/>
      <c r="H407" s="29"/>
      <c r="I407" s="30"/>
    </row>
    <row r="408" spans="5:9">
      <c r="E408" s="2"/>
      <c r="H408" s="29"/>
      <c r="I408" s="30"/>
    </row>
    <row r="409" spans="5:9">
      <c r="E409" s="2"/>
      <c r="H409" s="29"/>
      <c r="I409" s="30"/>
    </row>
    <row r="410" spans="5:9">
      <c r="E410" s="2"/>
      <c r="H410" s="29"/>
      <c r="I410" s="30"/>
    </row>
    <row r="411" spans="5:9">
      <c r="E411" s="2"/>
      <c r="H411" s="29"/>
      <c r="I411" s="30"/>
    </row>
    <row r="412" spans="5:9">
      <c r="E412" s="2"/>
      <c r="H412" s="29"/>
      <c r="I412" s="30"/>
    </row>
    <row r="413" spans="5:9">
      <c r="E413" s="2"/>
      <c r="H413" s="29"/>
      <c r="I413" s="30"/>
    </row>
    <row r="414" spans="5:9">
      <c r="E414" s="2"/>
      <c r="H414" s="29"/>
      <c r="I414" s="30"/>
    </row>
    <row r="415" spans="5:9">
      <c r="E415" s="2"/>
      <c r="H415" s="29"/>
      <c r="I415" s="30"/>
    </row>
    <row r="416" spans="5:9">
      <c r="E416" s="2"/>
      <c r="H416" s="29"/>
      <c r="I416" s="30"/>
    </row>
    <row r="417" spans="5:9">
      <c r="E417" s="2"/>
      <c r="H417" s="29"/>
      <c r="I417" s="30"/>
    </row>
    <row r="418" spans="5:9">
      <c r="E418" s="2"/>
      <c r="H418" s="29"/>
      <c r="I418" s="30"/>
    </row>
    <row r="419" spans="5:9">
      <c r="E419" s="2"/>
      <c r="H419" s="29"/>
      <c r="I419" s="30"/>
    </row>
    <row r="420" spans="5:9">
      <c r="E420" s="2"/>
      <c r="H420" s="29"/>
      <c r="I420" s="30"/>
    </row>
    <row r="421" spans="5:9">
      <c r="E421" s="2"/>
      <c r="H421" s="29"/>
      <c r="I421" s="30"/>
    </row>
    <row r="422" spans="5:9">
      <c r="E422" s="2"/>
      <c r="H422" s="29"/>
      <c r="I422" s="30"/>
    </row>
    <row r="423" spans="5:9">
      <c r="E423" s="2"/>
      <c r="H423" s="29"/>
      <c r="I423" s="30"/>
    </row>
    <row r="424" spans="5:9">
      <c r="E424" s="2"/>
      <c r="H424" s="29"/>
      <c r="I424" s="30"/>
    </row>
    <row r="425" spans="5:9">
      <c r="E425" s="2"/>
      <c r="H425" s="29"/>
      <c r="I425" s="30"/>
    </row>
    <row r="426" spans="5:9">
      <c r="E426" s="2"/>
      <c r="H426" s="29"/>
      <c r="I426" s="30"/>
    </row>
    <row r="427" spans="5:9">
      <c r="E427" s="2"/>
      <c r="H427" s="29"/>
      <c r="I427" s="30"/>
    </row>
    <row r="428" spans="5:9">
      <c r="E428" s="2"/>
      <c r="H428" s="29"/>
      <c r="I428" s="30"/>
    </row>
    <row r="429" spans="5:9">
      <c r="E429" s="2"/>
      <c r="H429" s="29"/>
      <c r="I429" s="30"/>
    </row>
    <row r="430" spans="5:9">
      <c r="E430" s="2"/>
      <c r="H430" s="29"/>
      <c r="I430" s="30"/>
    </row>
    <row r="431" spans="5:9">
      <c r="E431" s="2"/>
      <c r="H431" s="29"/>
      <c r="I431" s="30"/>
    </row>
    <row r="432" spans="5:9">
      <c r="E432" s="2"/>
      <c r="H432" s="29"/>
      <c r="I432" s="30"/>
    </row>
    <row r="433" spans="5:9">
      <c r="E433" s="2"/>
      <c r="H433" s="29"/>
      <c r="I433" s="30"/>
    </row>
    <row r="434" spans="5:9">
      <c r="E434" s="2"/>
      <c r="H434" s="29"/>
      <c r="I434" s="30"/>
    </row>
    <row r="435" spans="5:9">
      <c r="E435" s="2"/>
      <c r="H435" s="29"/>
      <c r="I435" s="30"/>
    </row>
    <row r="436" spans="5:9">
      <c r="E436" s="2"/>
      <c r="H436" s="29"/>
      <c r="I436" s="30"/>
    </row>
    <row r="437" spans="5:9">
      <c r="E437" s="2"/>
      <c r="H437" s="29"/>
      <c r="I437" s="30"/>
    </row>
    <row r="438" spans="5:9">
      <c r="E438" s="2"/>
      <c r="H438" s="29"/>
      <c r="I438" s="30"/>
    </row>
    <row r="439" spans="5:9">
      <c r="E439" s="2"/>
      <c r="H439" s="29"/>
      <c r="I439" s="30"/>
    </row>
    <row r="440" spans="5:9">
      <c r="E440" s="2"/>
      <c r="H440" s="29"/>
      <c r="I440" s="30"/>
    </row>
    <row r="441" spans="5:9">
      <c r="E441" s="2"/>
      <c r="H441" s="29"/>
      <c r="I441" s="30"/>
    </row>
    <row r="442" spans="5:9">
      <c r="E442" s="2"/>
      <c r="H442" s="29"/>
      <c r="I442" s="30"/>
    </row>
    <row r="443" spans="5:9">
      <c r="E443" s="2"/>
      <c r="H443" s="29"/>
      <c r="I443" s="30"/>
    </row>
    <row r="444" spans="5:9">
      <c r="E444" s="2"/>
      <c r="H444" s="29"/>
      <c r="I444" s="30"/>
    </row>
    <row r="445" spans="5:9">
      <c r="E445" s="2"/>
      <c r="H445" s="29"/>
      <c r="I445" s="30"/>
    </row>
    <row r="446" spans="5:9">
      <c r="E446" s="2"/>
      <c r="H446" s="29"/>
      <c r="I446" s="30"/>
    </row>
    <row r="447" spans="5:9">
      <c r="E447" s="2"/>
      <c r="H447" s="29"/>
      <c r="I447" s="30"/>
    </row>
    <row r="448" spans="5:9">
      <c r="E448" s="2"/>
      <c r="H448" s="29"/>
      <c r="I448" s="30"/>
    </row>
    <row r="449" spans="5:9">
      <c r="E449" s="2"/>
      <c r="H449" s="29"/>
      <c r="I449" s="30"/>
    </row>
    <row r="450" spans="5:9">
      <c r="E450" s="2"/>
      <c r="H450" s="29"/>
      <c r="I450" s="30"/>
    </row>
    <row r="451" spans="5:9">
      <c r="E451" s="2"/>
      <c r="H451" s="29"/>
      <c r="I451" s="30"/>
    </row>
    <row r="452" spans="5:9">
      <c r="E452" s="2"/>
      <c r="H452" s="29"/>
      <c r="I452" s="30"/>
    </row>
    <row r="453" spans="5:9">
      <c r="E453" s="2"/>
      <c r="H453" s="29"/>
      <c r="I453" s="30"/>
    </row>
    <row r="454" spans="5:9">
      <c r="E454" s="2"/>
      <c r="H454" s="29"/>
      <c r="I454" s="30"/>
    </row>
    <row r="455" spans="5:9">
      <c r="E455" s="2"/>
      <c r="H455" s="29"/>
      <c r="I455" s="30"/>
    </row>
    <row r="456" spans="5:9">
      <c r="E456" s="2"/>
      <c r="H456" s="29"/>
      <c r="I456" s="30"/>
    </row>
    <row r="457" spans="5:9">
      <c r="E457" s="2"/>
      <c r="H457" s="29"/>
      <c r="I457" s="30"/>
    </row>
    <row r="458" spans="5:9">
      <c r="E458" s="2"/>
      <c r="H458" s="29"/>
      <c r="I458" s="30"/>
    </row>
    <row r="459" spans="5:9">
      <c r="E459" s="2"/>
      <c r="H459" s="29"/>
      <c r="I459" s="30"/>
    </row>
    <row r="460" spans="5:9">
      <c r="E460" s="2"/>
      <c r="H460" s="29"/>
      <c r="I460" s="30"/>
    </row>
    <row r="461" spans="5:9">
      <c r="E461" s="2"/>
      <c r="H461" s="29"/>
      <c r="I461" s="30"/>
    </row>
    <row r="462" spans="5:9">
      <c r="E462" s="2"/>
      <c r="H462" s="29"/>
      <c r="I462" s="30"/>
    </row>
    <row r="463" spans="5:9">
      <c r="E463" s="2"/>
      <c r="H463" s="29"/>
      <c r="I463" s="30"/>
    </row>
    <row r="464" spans="5:9">
      <c r="E464" s="2"/>
      <c r="H464" s="29"/>
      <c r="I464" s="30"/>
    </row>
    <row r="465" spans="5:9">
      <c r="E465" s="2"/>
      <c r="H465" s="29"/>
      <c r="I465" s="30"/>
    </row>
    <row r="466" spans="5:9">
      <c r="E466" s="2"/>
      <c r="H466" s="29"/>
      <c r="I466" s="30"/>
    </row>
    <row r="467" spans="5:9">
      <c r="E467" s="2"/>
      <c r="H467" s="29"/>
      <c r="I467" s="30"/>
    </row>
    <row r="468" spans="5:9">
      <c r="E468" s="2"/>
      <c r="H468" s="29"/>
      <c r="I468" s="30"/>
    </row>
    <row r="469" spans="5:9">
      <c r="E469" s="2"/>
      <c r="H469" s="29"/>
      <c r="I469" s="30"/>
    </row>
    <row r="470" spans="5:9">
      <c r="E470" s="2"/>
      <c r="H470" s="29"/>
      <c r="I470" s="30"/>
    </row>
    <row r="471" spans="5:9">
      <c r="E471" s="2"/>
      <c r="H471" s="29"/>
      <c r="I471" s="30"/>
    </row>
    <row r="472" spans="5:9">
      <c r="E472" s="2"/>
      <c r="H472" s="29"/>
      <c r="I472" s="30"/>
    </row>
    <row r="473" spans="5:9">
      <c r="E473" s="2"/>
      <c r="H473" s="29"/>
      <c r="I473" s="30"/>
    </row>
    <row r="474" spans="5:9">
      <c r="E474" s="2"/>
      <c r="H474" s="29"/>
      <c r="I474" s="30"/>
    </row>
    <row r="475" spans="5:9">
      <c r="E475" s="2"/>
      <c r="H475" s="29"/>
      <c r="I475" s="30"/>
    </row>
    <row r="476" spans="5:9">
      <c r="E476" s="2"/>
      <c r="H476" s="29"/>
      <c r="I476" s="30"/>
    </row>
    <row r="477" spans="5:9">
      <c r="E477" s="2"/>
      <c r="H477" s="29"/>
      <c r="I477" s="30"/>
    </row>
    <row r="478" spans="5:9">
      <c r="E478" s="2"/>
      <c r="H478" s="29"/>
      <c r="I478" s="30"/>
    </row>
    <row r="479" spans="5:9">
      <c r="E479" s="2"/>
      <c r="H479" s="29"/>
      <c r="I479" s="30"/>
    </row>
    <row r="480" spans="5:9">
      <c r="E480" s="2"/>
      <c r="H480" s="29"/>
      <c r="I480" s="30"/>
    </row>
    <row r="481" spans="5:9">
      <c r="E481" s="2"/>
      <c r="H481" s="29"/>
      <c r="I481" s="30"/>
    </row>
    <row r="482" spans="5:9">
      <c r="E482" s="2"/>
      <c r="H482" s="29"/>
      <c r="I482" s="30"/>
    </row>
    <row r="483" spans="5:9">
      <c r="E483" s="2"/>
      <c r="H483" s="29"/>
      <c r="I483" s="30"/>
    </row>
    <row r="484" spans="5:9">
      <c r="E484" s="2"/>
      <c r="H484" s="29"/>
      <c r="I484" s="30"/>
    </row>
    <row r="485" spans="5:9">
      <c r="E485" s="2"/>
      <c r="H485" s="29"/>
      <c r="I485" s="30"/>
    </row>
    <row r="486" spans="5:9">
      <c r="E486" s="2"/>
      <c r="H486" s="29"/>
      <c r="I486" s="30"/>
    </row>
    <row r="487" spans="5:9">
      <c r="E487" s="2"/>
      <c r="H487" s="29"/>
      <c r="I487" s="30"/>
    </row>
    <row r="488" spans="5:9">
      <c r="E488" s="2"/>
      <c r="H488" s="29"/>
      <c r="I488" s="30"/>
    </row>
    <row r="489" spans="5:9">
      <c r="E489" s="2"/>
      <c r="H489" s="29"/>
      <c r="I489" s="30"/>
    </row>
    <row r="490" spans="5:9">
      <c r="E490" s="2"/>
      <c r="H490" s="29"/>
      <c r="I490" s="30"/>
    </row>
    <row r="491" spans="5:9">
      <c r="E491" s="2"/>
      <c r="H491" s="29"/>
      <c r="I491" s="30"/>
    </row>
    <row r="492" spans="5:9">
      <c r="E492" s="2"/>
      <c r="H492" s="29"/>
      <c r="I492" s="30"/>
    </row>
    <row r="493" spans="5:9">
      <c r="E493" s="2"/>
      <c r="H493" s="29"/>
      <c r="I493" s="30"/>
    </row>
    <row r="494" spans="5:9">
      <c r="E494" s="2"/>
      <c r="H494" s="29"/>
      <c r="I494" s="30"/>
    </row>
    <row r="495" spans="5:9">
      <c r="E495" s="2"/>
      <c r="H495" s="29"/>
      <c r="I495" s="30"/>
    </row>
    <row r="496" spans="5:9">
      <c r="E496" s="2"/>
      <c r="H496" s="29"/>
      <c r="I496" s="30"/>
    </row>
    <row r="497" spans="5:9">
      <c r="E497" s="2"/>
      <c r="H497" s="29"/>
      <c r="I497" s="30"/>
    </row>
    <row r="498" spans="5:9">
      <c r="E498" s="2"/>
      <c r="H498" s="29"/>
      <c r="I498" s="30"/>
    </row>
    <row r="499" spans="5:9">
      <c r="E499" s="2"/>
      <c r="H499" s="29"/>
      <c r="I499" s="30"/>
    </row>
    <row r="500" spans="5:9">
      <c r="E500" s="2"/>
      <c r="H500" s="29"/>
      <c r="I500" s="30"/>
    </row>
    <row r="501" spans="5:9">
      <c r="E501" s="2"/>
      <c r="H501" s="29"/>
      <c r="I501" s="30"/>
    </row>
    <row r="502" spans="5:9">
      <c r="E502" s="2"/>
      <c r="H502" s="29"/>
      <c r="I502" s="30"/>
    </row>
    <row r="503" spans="5:9">
      <c r="E503" s="2"/>
      <c r="H503" s="29"/>
      <c r="I503" s="30"/>
    </row>
    <row r="504" spans="5:9">
      <c r="E504" s="2"/>
      <c r="H504" s="29"/>
      <c r="I504" s="30"/>
    </row>
    <row r="505" spans="5:9">
      <c r="E505" s="2"/>
      <c r="H505" s="29"/>
      <c r="I505" s="30"/>
    </row>
    <row r="506" spans="5:9">
      <c r="E506" s="2"/>
      <c r="H506" s="29"/>
      <c r="I506" s="30"/>
    </row>
    <row r="507" spans="5:9">
      <c r="E507" s="2"/>
      <c r="H507" s="29"/>
      <c r="I507" s="30"/>
    </row>
    <row r="508" spans="5:9">
      <c r="E508" s="2"/>
      <c r="H508" s="29"/>
      <c r="I508" s="30"/>
    </row>
    <row r="509" spans="5:9">
      <c r="E509" s="2"/>
      <c r="H509" s="29"/>
      <c r="I509" s="30"/>
    </row>
    <row r="510" spans="5:9">
      <c r="E510" s="2"/>
      <c r="H510" s="29"/>
      <c r="I510" s="30"/>
    </row>
    <row r="511" spans="5:9">
      <c r="E511" s="2"/>
      <c r="H511" s="29"/>
      <c r="I511" s="30"/>
    </row>
    <row r="512" spans="5:9">
      <c r="E512" s="2"/>
      <c r="H512" s="29"/>
      <c r="I512" s="30"/>
    </row>
    <row r="513" spans="5:9">
      <c r="E513" s="2"/>
      <c r="H513" s="29"/>
      <c r="I513" s="30"/>
    </row>
    <row r="514" spans="5:9">
      <c r="E514" s="2"/>
      <c r="H514" s="29"/>
      <c r="I514" s="30"/>
    </row>
    <row r="515" spans="5:9">
      <c r="E515" s="2"/>
      <c r="H515" s="29"/>
      <c r="I515" s="30"/>
    </row>
    <row r="516" spans="5:9">
      <c r="E516" s="2"/>
      <c r="H516" s="29"/>
      <c r="I516" s="30"/>
    </row>
    <row r="517" spans="5:9">
      <c r="E517" s="2"/>
      <c r="H517" s="29"/>
      <c r="I517" s="30"/>
    </row>
    <row r="518" spans="5:9">
      <c r="E518" s="2"/>
      <c r="H518" s="29"/>
      <c r="I518" s="30"/>
    </row>
    <row r="519" spans="5:9">
      <c r="E519" s="2"/>
      <c r="H519" s="29"/>
      <c r="I519" s="30"/>
    </row>
    <row r="520" spans="5:9">
      <c r="E520" s="2"/>
      <c r="H520" s="29"/>
      <c r="I520" s="30"/>
    </row>
    <row r="521" spans="5:9">
      <c r="E521" s="2"/>
      <c r="H521" s="29"/>
      <c r="I521" s="30"/>
    </row>
    <row r="522" spans="5:9">
      <c r="E522" s="2"/>
      <c r="H522" s="29"/>
      <c r="I522" s="30"/>
    </row>
    <row r="523" spans="5:9">
      <c r="E523" s="2"/>
      <c r="H523" s="29"/>
      <c r="I523" s="30"/>
    </row>
    <row r="524" spans="5:9">
      <c r="E524" s="2"/>
      <c r="H524" s="29"/>
      <c r="I524" s="30"/>
    </row>
    <row r="525" spans="5:9">
      <c r="E525" s="2"/>
      <c r="H525" s="29"/>
      <c r="I525" s="30"/>
    </row>
    <row r="526" spans="5:9">
      <c r="E526" s="2"/>
      <c r="H526" s="29"/>
      <c r="I526" s="30"/>
    </row>
    <row r="527" spans="5:9">
      <c r="E527" s="2"/>
      <c r="H527" s="29"/>
      <c r="I527" s="30"/>
    </row>
    <row r="528" spans="5:9">
      <c r="E528" s="2"/>
      <c r="H528" s="29"/>
      <c r="I528" s="30"/>
    </row>
    <row r="529" spans="5:9">
      <c r="E529" s="2"/>
      <c r="H529" s="29"/>
      <c r="I529" s="30"/>
    </row>
    <row r="530" spans="5:9">
      <c r="E530" s="2"/>
      <c r="H530" s="29"/>
      <c r="I530" s="30"/>
    </row>
    <row r="531" spans="5:9">
      <c r="E531" s="2"/>
      <c r="H531" s="29"/>
      <c r="I531" s="30"/>
    </row>
    <row r="532" spans="5:9">
      <c r="E532" s="2"/>
      <c r="H532" s="29"/>
      <c r="I532" s="30"/>
    </row>
    <row r="533" spans="5:9">
      <c r="E533" s="2"/>
      <c r="H533" s="29"/>
      <c r="I533" s="30"/>
    </row>
    <row r="534" spans="5:9">
      <c r="E534" s="2"/>
      <c r="H534" s="29"/>
      <c r="I534" s="30"/>
    </row>
    <row r="535" spans="5:9">
      <c r="E535" s="2"/>
      <c r="H535" s="29"/>
      <c r="I535" s="30"/>
    </row>
    <row r="536" spans="5:9">
      <c r="E536" s="2"/>
      <c r="H536" s="29"/>
      <c r="I536" s="30"/>
    </row>
    <row r="537" spans="5:9">
      <c r="E537" s="2"/>
      <c r="H537" s="29"/>
      <c r="I537" s="30"/>
    </row>
    <row r="538" spans="5:9">
      <c r="E538" s="2"/>
      <c r="H538" s="29"/>
      <c r="I538" s="30"/>
    </row>
    <row r="539" spans="5:9">
      <c r="E539" s="2"/>
      <c r="H539" s="29"/>
      <c r="I539" s="30"/>
    </row>
    <row r="540" spans="5:9">
      <c r="E540" s="2"/>
      <c r="H540" s="29"/>
      <c r="I540" s="30"/>
    </row>
    <row r="541" spans="5:9">
      <c r="E541" s="2"/>
      <c r="H541" s="29"/>
      <c r="I541" s="30"/>
    </row>
    <row r="542" spans="5:9">
      <c r="E542" s="2"/>
      <c r="H542" s="29"/>
      <c r="I542" s="30"/>
    </row>
    <row r="543" spans="5:9">
      <c r="E543" s="2"/>
      <c r="H543" s="29"/>
      <c r="I543" s="30"/>
    </row>
    <row r="544" spans="5:9">
      <c r="E544" s="2"/>
      <c r="H544" s="29"/>
      <c r="I544" s="30"/>
    </row>
    <row r="545" spans="5:9">
      <c r="E545" s="2"/>
      <c r="H545" s="29"/>
      <c r="I545" s="30"/>
    </row>
    <row r="546" spans="5:9">
      <c r="E546" s="2"/>
      <c r="H546" s="29"/>
      <c r="I546" s="30"/>
    </row>
    <row r="547" spans="5:9">
      <c r="E547" s="2"/>
      <c r="H547" s="29"/>
      <c r="I547" s="30"/>
    </row>
    <row r="548" spans="5:9">
      <c r="E548" s="2"/>
      <c r="H548" s="29"/>
      <c r="I548" s="30"/>
    </row>
    <row r="549" spans="5:9">
      <c r="E549" s="2"/>
      <c r="H549" s="29"/>
      <c r="I549" s="30"/>
    </row>
    <row r="550" spans="5:9">
      <c r="E550" s="2"/>
      <c r="H550" s="29"/>
      <c r="I550" s="30"/>
    </row>
    <row r="551" spans="5:9">
      <c r="E551" s="2"/>
      <c r="H551" s="29"/>
      <c r="I551" s="30"/>
    </row>
    <row r="552" spans="5:9">
      <c r="E552" s="2"/>
      <c r="H552" s="29"/>
      <c r="I552" s="30"/>
    </row>
    <row r="553" spans="5:9">
      <c r="E553" s="2"/>
      <c r="H553" s="29"/>
      <c r="I553" s="30"/>
    </row>
    <row r="554" spans="5:9">
      <c r="E554" s="2"/>
      <c r="H554" s="29"/>
      <c r="I554" s="30"/>
    </row>
    <row r="555" spans="5:9">
      <c r="E555" s="2"/>
      <c r="H555" s="29"/>
      <c r="I555" s="30"/>
    </row>
    <row r="556" spans="5:9">
      <c r="E556" s="2"/>
      <c r="H556" s="29"/>
      <c r="I556" s="30"/>
    </row>
    <row r="557" spans="5:9">
      <c r="E557" s="2"/>
      <c r="H557" s="29"/>
      <c r="I557" s="30"/>
    </row>
    <row r="558" spans="5:9">
      <c r="E558" s="2"/>
      <c r="H558" s="29"/>
      <c r="I558" s="30"/>
    </row>
    <row r="559" spans="5:9">
      <c r="E559" s="2"/>
      <c r="H559" s="29"/>
      <c r="I559" s="30"/>
    </row>
    <row r="560" spans="5:9">
      <c r="E560" s="2"/>
      <c r="H560" s="29"/>
      <c r="I560" s="30"/>
    </row>
    <row r="561" spans="5:9">
      <c r="E561" s="2"/>
      <c r="H561" s="29"/>
      <c r="I561" s="30"/>
    </row>
    <row r="562" spans="5:9">
      <c r="E562" s="2"/>
      <c r="H562" s="29"/>
      <c r="I562" s="30"/>
    </row>
    <row r="563" spans="5:9">
      <c r="E563" s="2"/>
      <c r="H563" s="29"/>
      <c r="I563" s="30"/>
    </row>
    <row r="564" spans="5:9">
      <c r="E564" s="2"/>
      <c r="H564" s="29"/>
      <c r="I564" s="30"/>
    </row>
    <row r="565" spans="5:9">
      <c r="E565" s="2"/>
      <c r="H565" s="29"/>
      <c r="I565" s="30"/>
    </row>
    <row r="566" spans="5:9">
      <c r="E566" s="2"/>
      <c r="H566" s="29"/>
      <c r="I566" s="30"/>
    </row>
    <row r="567" spans="5:9">
      <c r="E567" s="2"/>
      <c r="H567" s="29"/>
      <c r="I567" s="30"/>
    </row>
    <row r="568" spans="5:9">
      <c r="E568" s="2"/>
      <c r="H568" s="29"/>
      <c r="I568" s="30"/>
    </row>
    <row r="569" spans="5:9">
      <c r="E569" s="2"/>
      <c r="H569" s="29"/>
      <c r="I569" s="30"/>
    </row>
    <row r="570" spans="5:9">
      <c r="E570" s="2"/>
      <c r="H570" s="29"/>
      <c r="I570" s="30"/>
    </row>
    <row r="571" spans="5:9">
      <c r="E571" s="2"/>
      <c r="H571" s="29"/>
      <c r="I571" s="30"/>
    </row>
    <row r="572" spans="5:9">
      <c r="E572" s="2"/>
      <c r="H572" s="29"/>
      <c r="I572" s="30"/>
    </row>
    <row r="573" spans="5:9">
      <c r="E573" s="2"/>
      <c r="H573" s="29"/>
      <c r="I573" s="30"/>
    </row>
    <row r="574" spans="5:9">
      <c r="E574" s="2"/>
      <c r="H574" s="29"/>
      <c r="I574" s="30"/>
    </row>
    <row r="575" spans="5:9">
      <c r="E575" s="2"/>
      <c r="H575" s="29"/>
      <c r="I575" s="30"/>
    </row>
    <row r="576" spans="5:9">
      <c r="E576" s="2"/>
      <c r="H576" s="29"/>
      <c r="I576" s="30"/>
    </row>
    <row r="577" spans="5:9">
      <c r="E577" s="2"/>
      <c r="H577" s="29"/>
      <c r="I577" s="30"/>
    </row>
    <row r="578" spans="5:9">
      <c r="E578" s="2"/>
      <c r="H578" s="29"/>
      <c r="I578" s="30"/>
    </row>
    <row r="579" spans="5:9">
      <c r="E579" s="2"/>
      <c r="H579" s="29"/>
      <c r="I579" s="30"/>
    </row>
    <row r="580" spans="5:9">
      <c r="E580" s="2"/>
      <c r="H580" s="29"/>
      <c r="I580" s="30"/>
    </row>
    <row r="581" spans="5:9">
      <c r="E581" s="2"/>
      <c r="H581" s="29"/>
      <c r="I581" s="30"/>
    </row>
    <row r="582" spans="5:9">
      <c r="E582" s="2"/>
      <c r="H582" s="29"/>
      <c r="I582" s="30"/>
    </row>
    <row r="583" spans="5:9">
      <c r="E583" s="2"/>
      <c r="H583" s="29"/>
      <c r="I583" s="30"/>
    </row>
    <row r="584" spans="5:9">
      <c r="E584" s="2"/>
      <c r="H584" s="29"/>
      <c r="I584" s="30"/>
    </row>
    <row r="585" spans="5:9">
      <c r="E585" s="2"/>
      <c r="H585" s="29"/>
      <c r="I585" s="30"/>
    </row>
    <row r="586" spans="5:9">
      <c r="E586" s="2"/>
      <c r="H586" s="29"/>
      <c r="I586" s="30"/>
    </row>
    <row r="587" spans="5:9">
      <c r="E587" s="2"/>
      <c r="H587" s="29"/>
      <c r="I587" s="30"/>
    </row>
    <row r="588" spans="5:9">
      <c r="E588" s="2"/>
      <c r="H588" s="29"/>
      <c r="I588" s="30"/>
    </row>
    <row r="589" spans="5:9">
      <c r="E589" s="2"/>
      <c r="H589" s="29"/>
      <c r="I589" s="30"/>
    </row>
    <row r="590" spans="5:9">
      <c r="E590" s="2"/>
      <c r="H590" s="29"/>
      <c r="I590" s="30"/>
    </row>
    <row r="591" spans="5:9">
      <c r="E591" s="2"/>
      <c r="H591" s="29"/>
      <c r="I591" s="30"/>
    </row>
    <row r="592" spans="5:9">
      <c r="E592" s="2"/>
      <c r="H592" s="29"/>
      <c r="I592" s="30"/>
    </row>
    <row r="593" spans="5:9">
      <c r="E593" s="2"/>
      <c r="H593" s="29"/>
      <c r="I593" s="30"/>
    </row>
    <row r="594" spans="5:9">
      <c r="E594" s="2"/>
      <c r="H594" s="29"/>
      <c r="I594" s="30"/>
    </row>
    <row r="595" spans="5:9">
      <c r="E595" s="2"/>
      <c r="H595" s="29"/>
      <c r="I595" s="30"/>
    </row>
    <row r="596" spans="5:9">
      <c r="E596" s="2"/>
      <c r="H596" s="29"/>
      <c r="I596" s="30"/>
    </row>
    <row r="597" spans="5:9">
      <c r="E597" s="2"/>
      <c r="H597" s="29"/>
      <c r="I597" s="30"/>
    </row>
    <row r="598" spans="5:9">
      <c r="E598" s="2"/>
      <c r="H598" s="29"/>
      <c r="I598" s="30"/>
    </row>
    <row r="599" spans="5:9">
      <c r="E599" s="2"/>
      <c r="H599" s="29"/>
      <c r="I599" s="30"/>
    </row>
    <row r="600" spans="5:9">
      <c r="E600" s="2"/>
      <c r="H600" s="29"/>
      <c r="I600" s="30"/>
    </row>
    <row r="601" spans="5:9">
      <c r="E601" s="2"/>
      <c r="H601" s="29"/>
      <c r="I601" s="30"/>
    </row>
    <row r="602" spans="5:9">
      <c r="E602" s="2"/>
      <c r="H602" s="29"/>
      <c r="I602" s="30"/>
    </row>
    <row r="603" spans="5:9">
      <c r="E603" s="2"/>
      <c r="H603" s="29"/>
      <c r="I603" s="30"/>
    </row>
    <row r="604" spans="5:9">
      <c r="E604" s="2"/>
      <c r="H604" s="29"/>
      <c r="I604" s="30"/>
    </row>
    <row r="605" spans="5:9">
      <c r="E605" s="2"/>
      <c r="H605" s="29"/>
      <c r="I605" s="30"/>
    </row>
    <row r="606" spans="5:9">
      <c r="E606" s="2"/>
      <c r="H606" s="29"/>
      <c r="I606" s="30"/>
    </row>
    <row r="607" spans="5:9">
      <c r="E607" s="2"/>
      <c r="H607" s="29"/>
      <c r="I607" s="30"/>
    </row>
    <row r="608" spans="5:9">
      <c r="E608" s="2"/>
      <c r="H608" s="29"/>
      <c r="I608" s="30"/>
    </row>
    <row r="609" spans="5:9">
      <c r="E609" s="2"/>
      <c r="H609" s="29"/>
      <c r="I609" s="30"/>
    </row>
    <row r="610" spans="5:9">
      <c r="E610" s="2"/>
      <c r="H610" s="29"/>
      <c r="I610" s="30"/>
    </row>
    <row r="611" spans="5:9">
      <c r="E611" s="2"/>
      <c r="H611" s="29"/>
      <c r="I611" s="30"/>
    </row>
    <row r="612" spans="5:9">
      <c r="E612" s="2"/>
      <c r="H612" s="29"/>
      <c r="I612" s="30"/>
    </row>
    <row r="613" spans="5:9">
      <c r="E613" s="2"/>
      <c r="H613" s="29"/>
      <c r="I613" s="30"/>
    </row>
    <row r="614" spans="5:9">
      <c r="E614" s="2"/>
      <c r="H614" s="29"/>
      <c r="I614" s="30"/>
    </row>
    <row r="615" spans="5:9">
      <c r="E615" s="2"/>
      <c r="H615" s="29"/>
      <c r="I615" s="30"/>
    </row>
    <row r="616" spans="5:9">
      <c r="E616" s="2"/>
      <c r="H616" s="29"/>
      <c r="I616" s="30"/>
    </row>
    <row r="617" spans="5:9">
      <c r="E617" s="2"/>
      <c r="H617" s="29"/>
      <c r="I617" s="30"/>
    </row>
    <row r="618" spans="5:9">
      <c r="E618" s="2"/>
      <c r="H618" s="29"/>
      <c r="I618" s="30"/>
    </row>
    <row r="619" spans="5:9">
      <c r="E619" s="2"/>
      <c r="H619" s="29"/>
      <c r="I619" s="30"/>
    </row>
    <row r="620" spans="5:9">
      <c r="E620" s="2"/>
      <c r="H620" s="29"/>
      <c r="I620" s="30"/>
    </row>
    <row r="621" spans="5:9">
      <c r="E621" s="2"/>
      <c r="H621" s="29"/>
      <c r="I621" s="30"/>
    </row>
    <row r="622" spans="5:9">
      <c r="E622" s="2"/>
      <c r="H622" s="29"/>
      <c r="I622" s="30"/>
    </row>
    <row r="623" spans="5:9">
      <c r="E623" s="2"/>
      <c r="H623" s="29"/>
      <c r="I623" s="30"/>
    </row>
    <row r="624" spans="5:9">
      <c r="E624" s="2"/>
      <c r="H624" s="29"/>
      <c r="I624" s="30"/>
    </row>
    <row r="625" spans="5:9">
      <c r="E625" s="2"/>
      <c r="H625" s="29"/>
      <c r="I625" s="30"/>
    </row>
    <row r="626" spans="5:9">
      <c r="E626" s="2"/>
      <c r="H626" s="29"/>
      <c r="I626" s="30"/>
    </row>
    <row r="627" spans="5:9">
      <c r="E627" s="2"/>
      <c r="H627" s="29"/>
      <c r="I627" s="30"/>
    </row>
    <row r="628" spans="5:9">
      <c r="E628" s="2"/>
      <c r="H628" s="29"/>
      <c r="I628" s="30"/>
    </row>
    <row r="629" spans="5:9">
      <c r="E629" s="2"/>
      <c r="H629" s="29"/>
      <c r="I629" s="30"/>
    </row>
    <row r="630" spans="5:9">
      <c r="E630" s="2"/>
      <c r="H630" s="29"/>
      <c r="I630" s="30"/>
    </row>
    <row r="631" spans="5:9">
      <c r="E631" s="2"/>
      <c r="H631" s="29"/>
      <c r="I631" s="30"/>
    </row>
    <row r="632" spans="5:9">
      <c r="E632" s="2"/>
      <c r="H632" s="29"/>
      <c r="I632" s="30"/>
    </row>
    <row r="633" spans="5:9">
      <c r="E633" s="2"/>
      <c r="H633" s="29"/>
      <c r="I633" s="30"/>
    </row>
    <row r="634" spans="5:9">
      <c r="E634" s="2"/>
      <c r="H634" s="29"/>
      <c r="I634" s="30"/>
    </row>
    <row r="635" spans="5:9">
      <c r="E635" s="2"/>
      <c r="H635" s="29"/>
      <c r="I635" s="30"/>
    </row>
    <row r="636" spans="5:9">
      <c r="E636" s="2"/>
      <c r="H636" s="29"/>
      <c r="I636" s="30"/>
    </row>
    <row r="637" spans="5:9">
      <c r="E637" s="2"/>
      <c r="H637" s="29"/>
      <c r="I637" s="30"/>
    </row>
    <row r="638" spans="5:9">
      <c r="E638" s="2"/>
      <c r="H638" s="29"/>
      <c r="I638" s="30"/>
    </row>
    <row r="639" spans="5:9">
      <c r="E639" s="2"/>
      <c r="H639" s="29"/>
      <c r="I639" s="30"/>
    </row>
    <row r="640" spans="5:9">
      <c r="E640" s="2"/>
      <c r="H640" s="29"/>
      <c r="I640" s="30"/>
    </row>
    <row r="641" spans="5:9">
      <c r="E641" s="2"/>
      <c r="H641" s="29"/>
      <c r="I641" s="30"/>
    </row>
    <row r="642" spans="5:9">
      <c r="E642" s="2"/>
      <c r="H642" s="29"/>
      <c r="I642" s="30"/>
    </row>
    <row r="643" spans="5:9">
      <c r="E643" s="2"/>
      <c r="H643" s="29"/>
      <c r="I643" s="30"/>
    </row>
    <row r="644" spans="5:9">
      <c r="E644" s="2"/>
      <c r="H644" s="29"/>
      <c r="I644" s="30"/>
    </row>
    <row r="645" spans="5:9">
      <c r="E645" s="2"/>
      <c r="H645" s="29"/>
      <c r="I645" s="30"/>
    </row>
    <row r="646" spans="5:9">
      <c r="E646" s="2"/>
      <c r="H646" s="29"/>
      <c r="I646" s="30"/>
    </row>
    <row r="647" spans="5:9">
      <c r="E647" s="2"/>
      <c r="H647" s="29"/>
      <c r="I647" s="30"/>
    </row>
    <row r="648" spans="5:9">
      <c r="E648" s="2"/>
      <c r="H648" s="29"/>
      <c r="I648" s="30"/>
    </row>
    <row r="649" spans="5:9">
      <c r="E649" s="2"/>
      <c r="H649" s="29"/>
      <c r="I649" s="30"/>
    </row>
    <row r="650" spans="5:9">
      <c r="E650" s="2"/>
      <c r="H650" s="29"/>
      <c r="I650" s="30"/>
    </row>
    <row r="651" spans="5:9">
      <c r="E651" s="2"/>
      <c r="H651" s="29"/>
      <c r="I651" s="30"/>
    </row>
    <row r="652" spans="5:9">
      <c r="E652" s="2"/>
      <c r="H652" s="29"/>
      <c r="I652" s="30"/>
    </row>
    <row r="653" spans="5:9">
      <c r="E653" s="2"/>
      <c r="H653" s="29"/>
      <c r="I653" s="30"/>
    </row>
    <row r="654" spans="5:9">
      <c r="E654" s="2"/>
      <c r="H654" s="29"/>
      <c r="I654" s="30"/>
    </row>
    <row r="655" spans="5:9">
      <c r="E655" s="2"/>
      <c r="H655" s="29"/>
      <c r="I655" s="30"/>
    </row>
    <row r="656" spans="5:9">
      <c r="E656" s="2"/>
      <c r="H656" s="29"/>
      <c r="I656" s="30"/>
    </row>
    <row r="657" spans="5:9">
      <c r="E657" s="2"/>
      <c r="H657" s="29"/>
      <c r="I657" s="30"/>
    </row>
    <row r="658" spans="5:9">
      <c r="E658" s="2"/>
      <c r="H658" s="29"/>
      <c r="I658" s="30"/>
    </row>
    <row r="659" spans="5:9">
      <c r="E659" s="2"/>
      <c r="H659" s="29"/>
      <c r="I659" s="30"/>
    </row>
    <row r="660" spans="5:9">
      <c r="E660" s="2"/>
      <c r="H660" s="29"/>
      <c r="I660" s="30"/>
    </row>
    <row r="661" spans="5:9">
      <c r="E661" s="2"/>
      <c r="H661" s="29"/>
      <c r="I661" s="30"/>
    </row>
    <row r="662" spans="5:9">
      <c r="E662" s="2"/>
      <c r="H662" s="29"/>
      <c r="I662" s="30"/>
    </row>
    <row r="663" spans="5:9">
      <c r="E663" s="2"/>
      <c r="H663" s="29"/>
      <c r="I663" s="30"/>
    </row>
    <row r="664" spans="5:9">
      <c r="E664" s="2"/>
      <c r="H664" s="29"/>
      <c r="I664" s="30"/>
    </row>
    <row r="665" spans="5:9">
      <c r="E665" s="2"/>
      <c r="H665" s="29"/>
      <c r="I665" s="30"/>
    </row>
    <row r="666" spans="5:9">
      <c r="E666" s="2"/>
      <c r="H666" s="29"/>
      <c r="I666" s="30"/>
    </row>
    <row r="667" spans="5:9">
      <c r="E667" s="2"/>
      <c r="H667" s="29"/>
      <c r="I667" s="30"/>
    </row>
    <row r="668" spans="5:9">
      <c r="E668" s="2"/>
      <c r="H668" s="29"/>
      <c r="I668" s="30"/>
    </row>
    <row r="669" spans="5:9">
      <c r="E669" s="2"/>
      <c r="H669" s="29"/>
      <c r="I669" s="30"/>
    </row>
    <row r="670" spans="5:9">
      <c r="E670" s="2"/>
      <c r="H670" s="29"/>
      <c r="I670" s="30"/>
    </row>
    <row r="671" spans="5:9">
      <c r="E671" s="2"/>
      <c r="H671" s="29"/>
      <c r="I671" s="30"/>
    </row>
    <row r="672" spans="5:9">
      <c r="E672" s="2"/>
      <c r="H672" s="29"/>
      <c r="I672" s="30"/>
    </row>
    <row r="673" spans="5:9">
      <c r="E673" s="2"/>
      <c r="H673" s="29"/>
      <c r="I673" s="30"/>
    </row>
    <row r="674" spans="5:9">
      <c r="E674" s="2"/>
      <c r="H674" s="29"/>
      <c r="I674" s="30"/>
    </row>
    <row r="675" spans="5:9">
      <c r="E675" s="2"/>
      <c r="H675" s="29"/>
      <c r="I675" s="30"/>
    </row>
    <row r="676" spans="5:9">
      <c r="E676" s="2"/>
      <c r="H676" s="29"/>
      <c r="I676" s="30"/>
    </row>
    <row r="677" spans="5:9">
      <c r="E677" s="2"/>
      <c r="H677" s="29"/>
      <c r="I677" s="30"/>
    </row>
    <row r="678" spans="5:9">
      <c r="E678" s="2"/>
      <c r="H678" s="29"/>
      <c r="I678" s="30"/>
    </row>
    <row r="679" spans="5:9">
      <c r="E679" s="2"/>
      <c r="H679" s="29"/>
      <c r="I679" s="30"/>
    </row>
    <row r="680" spans="5:9">
      <c r="E680" s="2"/>
      <c r="H680" s="29"/>
      <c r="I680" s="30"/>
    </row>
    <row r="681" spans="5:9">
      <c r="E681" s="2"/>
      <c r="H681" s="29"/>
      <c r="I681" s="30"/>
    </row>
    <row r="682" spans="5:9">
      <c r="E682" s="2"/>
      <c r="H682" s="29"/>
      <c r="I682" s="30"/>
    </row>
    <row r="683" spans="5:9">
      <c r="E683" s="2"/>
      <c r="H683" s="29"/>
      <c r="I683" s="30"/>
    </row>
    <row r="684" spans="5:9">
      <c r="E684" s="2"/>
      <c r="H684" s="29"/>
      <c r="I684" s="30"/>
    </row>
    <row r="685" spans="5:9">
      <c r="E685" s="2"/>
      <c r="H685" s="29"/>
      <c r="I685" s="30"/>
    </row>
    <row r="686" spans="5:9">
      <c r="E686" s="2"/>
      <c r="H686" s="29"/>
      <c r="I686" s="30"/>
    </row>
    <row r="687" spans="5:9">
      <c r="E687" s="2"/>
      <c r="H687" s="29"/>
      <c r="I687" s="30"/>
    </row>
    <row r="688" spans="5:9">
      <c r="E688" s="2"/>
      <c r="H688" s="29"/>
      <c r="I688" s="30"/>
    </row>
    <row r="689" spans="5:9">
      <c r="E689" s="2"/>
      <c r="H689" s="29"/>
      <c r="I689" s="30"/>
    </row>
    <row r="690" spans="5:9">
      <c r="E690" s="2"/>
      <c r="H690" s="29"/>
      <c r="I690" s="30"/>
    </row>
    <row r="691" spans="5:9">
      <c r="E691" s="2"/>
      <c r="H691" s="29"/>
      <c r="I691" s="30"/>
    </row>
    <row r="692" spans="5:9">
      <c r="E692" s="2"/>
      <c r="H692" s="29"/>
      <c r="I692" s="30"/>
    </row>
    <row r="693" spans="5:9">
      <c r="E693" s="2"/>
      <c r="H693" s="29"/>
      <c r="I693" s="30"/>
    </row>
    <row r="694" spans="5:9">
      <c r="E694" s="2"/>
      <c r="H694" s="29"/>
      <c r="I694" s="30"/>
    </row>
    <row r="695" spans="5:9">
      <c r="E695" s="2"/>
      <c r="H695" s="29"/>
      <c r="I695" s="30"/>
    </row>
    <row r="696" spans="5:9">
      <c r="E696" s="2"/>
      <c r="H696" s="29"/>
      <c r="I696" s="30"/>
    </row>
    <row r="697" spans="5:9">
      <c r="E697" s="2"/>
      <c r="H697" s="29"/>
      <c r="I697" s="30"/>
    </row>
    <row r="698" spans="5:9">
      <c r="E698" s="2"/>
      <c r="H698" s="29"/>
      <c r="I698" s="30"/>
    </row>
    <row r="699" spans="5:9">
      <c r="E699" s="2"/>
      <c r="H699" s="29"/>
      <c r="I699" s="30"/>
    </row>
    <row r="700" spans="5:9">
      <c r="E700" s="2"/>
      <c r="H700" s="29"/>
      <c r="I700" s="30"/>
    </row>
    <row r="701" spans="5:9">
      <c r="E701" s="2"/>
      <c r="H701" s="29"/>
      <c r="I701" s="30"/>
    </row>
    <row r="702" spans="5:9">
      <c r="E702" s="2"/>
      <c r="H702" s="29"/>
      <c r="I702" s="30"/>
    </row>
    <row r="703" spans="5:9">
      <c r="E703" s="2"/>
      <c r="H703" s="29"/>
      <c r="I703" s="30"/>
    </row>
    <row r="704" spans="5:9">
      <c r="E704" s="2"/>
      <c r="H704" s="29"/>
      <c r="I704" s="30"/>
    </row>
    <row r="705" spans="5:9">
      <c r="E705" s="2"/>
      <c r="H705" s="29"/>
      <c r="I705" s="30"/>
    </row>
    <row r="706" spans="5:9">
      <c r="E706" s="2"/>
      <c r="H706" s="29"/>
      <c r="I706" s="30"/>
    </row>
    <row r="707" spans="5:9">
      <c r="E707" s="2"/>
      <c r="H707" s="29"/>
      <c r="I707" s="30"/>
    </row>
    <row r="708" spans="5:9">
      <c r="E708" s="2"/>
      <c r="H708" s="29"/>
      <c r="I708" s="30"/>
    </row>
    <row r="709" spans="5:9">
      <c r="E709" s="2"/>
      <c r="H709" s="29"/>
      <c r="I709" s="30"/>
    </row>
    <row r="710" spans="5:9">
      <c r="E710" s="2"/>
      <c r="H710" s="29"/>
      <c r="I710" s="30"/>
    </row>
    <row r="711" spans="5:9">
      <c r="E711" s="2"/>
      <c r="H711" s="29"/>
      <c r="I711" s="30"/>
    </row>
    <row r="712" spans="5:9">
      <c r="E712" s="2"/>
      <c r="H712" s="29"/>
      <c r="I712" s="30"/>
    </row>
    <row r="713" spans="5:9">
      <c r="E713" s="2"/>
      <c r="H713" s="29"/>
      <c r="I713" s="30"/>
    </row>
    <row r="714" spans="5:9">
      <c r="E714" s="2"/>
      <c r="H714" s="29"/>
      <c r="I714" s="30"/>
    </row>
    <row r="715" spans="5:9">
      <c r="E715" s="2"/>
      <c r="H715" s="29"/>
      <c r="I715" s="30"/>
    </row>
    <row r="716" spans="5:9">
      <c r="E716" s="2"/>
      <c r="H716" s="29"/>
      <c r="I716" s="30"/>
    </row>
    <row r="717" spans="5:9">
      <c r="E717" s="2"/>
      <c r="H717" s="29"/>
      <c r="I717" s="30"/>
    </row>
    <row r="718" spans="5:9">
      <c r="E718" s="2"/>
      <c r="H718" s="29"/>
      <c r="I718" s="30"/>
    </row>
    <row r="719" spans="5:9">
      <c r="E719" s="2"/>
      <c r="H719" s="29"/>
      <c r="I719" s="30"/>
    </row>
    <row r="720" spans="5:9">
      <c r="E720" s="2"/>
      <c r="H720" s="29"/>
      <c r="I720" s="30"/>
    </row>
    <row r="721" spans="5:9">
      <c r="E721" s="2"/>
      <c r="H721" s="29"/>
      <c r="I721" s="30"/>
    </row>
    <row r="722" spans="5:9">
      <c r="E722" s="2"/>
      <c r="H722" s="29"/>
      <c r="I722" s="30"/>
    </row>
    <row r="723" spans="5:9">
      <c r="E723" s="2"/>
      <c r="H723" s="29"/>
      <c r="I723" s="30"/>
    </row>
    <row r="724" spans="5:9">
      <c r="E724" s="2"/>
      <c r="H724" s="29"/>
      <c r="I724" s="30"/>
    </row>
    <row r="725" spans="5:9">
      <c r="E725" s="2"/>
      <c r="H725" s="29"/>
      <c r="I725" s="30"/>
    </row>
    <row r="726" spans="5:9">
      <c r="E726" s="2"/>
      <c r="H726" s="29"/>
      <c r="I726" s="30"/>
    </row>
    <row r="727" spans="5:9">
      <c r="E727" s="2"/>
      <c r="H727" s="29"/>
      <c r="I727" s="30"/>
    </row>
    <row r="728" spans="5:9">
      <c r="E728" s="2"/>
      <c r="H728" s="29"/>
      <c r="I728" s="30"/>
    </row>
    <row r="729" spans="5:9">
      <c r="E729" s="2"/>
      <c r="H729" s="29"/>
      <c r="I729" s="30"/>
    </row>
    <row r="730" spans="5:9">
      <c r="E730" s="2"/>
      <c r="H730" s="29"/>
      <c r="I730" s="30"/>
    </row>
    <row r="731" spans="5:9">
      <c r="E731" s="2"/>
      <c r="H731" s="29"/>
      <c r="I731" s="30"/>
    </row>
    <row r="732" spans="5:9">
      <c r="E732" s="2"/>
      <c r="H732" s="29"/>
      <c r="I732" s="30"/>
    </row>
    <row r="733" spans="5:9">
      <c r="E733" s="2"/>
      <c r="H733" s="29"/>
      <c r="I733" s="30"/>
    </row>
    <row r="734" spans="5:9">
      <c r="E734" s="2"/>
      <c r="H734" s="29"/>
      <c r="I734" s="30"/>
    </row>
    <row r="735" spans="5:9">
      <c r="E735" s="2"/>
      <c r="H735" s="29"/>
      <c r="I735" s="30"/>
    </row>
    <row r="736" spans="5:9">
      <c r="E736" s="2"/>
      <c r="H736" s="29"/>
      <c r="I736" s="30"/>
    </row>
    <row r="737" spans="5:9">
      <c r="E737" s="2"/>
      <c r="H737" s="29"/>
      <c r="I737" s="30"/>
    </row>
    <row r="738" spans="5:9">
      <c r="E738" s="2"/>
      <c r="H738" s="29"/>
      <c r="I738" s="30"/>
    </row>
    <row r="739" spans="5:9">
      <c r="E739" s="2"/>
      <c r="H739" s="29"/>
      <c r="I739" s="30"/>
    </row>
    <row r="740" spans="5:9">
      <c r="E740" s="2"/>
      <c r="H740" s="29"/>
      <c r="I740" s="30"/>
    </row>
    <row r="741" spans="5:9">
      <c r="E741" s="2"/>
      <c r="H741" s="29"/>
      <c r="I741" s="30"/>
    </row>
    <row r="742" spans="5:9">
      <c r="E742" s="2"/>
      <c r="H742" s="29"/>
      <c r="I742" s="30"/>
    </row>
    <row r="743" spans="5:9">
      <c r="E743" s="2"/>
      <c r="H743" s="29"/>
      <c r="I743" s="30"/>
    </row>
    <row r="744" spans="5:9">
      <c r="E744" s="2"/>
      <c r="H744" s="29"/>
      <c r="I744" s="30"/>
    </row>
    <row r="745" spans="5:9">
      <c r="E745" s="2"/>
      <c r="H745" s="29"/>
      <c r="I745" s="30"/>
    </row>
    <row r="746" spans="5:9">
      <c r="E746" s="2"/>
      <c r="H746" s="29"/>
      <c r="I746" s="30"/>
    </row>
    <row r="747" spans="5:9">
      <c r="E747" s="2"/>
      <c r="H747" s="29"/>
      <c r="I747" s="30"/>
    </row>
    <row r="748" spans="5:9">
      <c r="E748" s="2"/>
      <c r="H748" s="29"/>
      <c r="I748" s="30"/>
    </row>
    <row r="749" spans="5:9">
      <c r="E749" s="2"/>
      <c r="H749" s="29"/>
      <c r="I749" s="30"/>
    </row>
    <row r="750" spans="5:9">
      <c r="E750" s="2"/>
      <c r="H750" s="29"/>
      <c r="I750" s="30"/>
    </row>
    <row r="751" spans="5:9">
      <c r="E751" s="2"/>
      <c r="H751" s="29"/>
      <c r="I751" s="30"/>
    </row>
    <row r="752" spans="5:9">
      <c r="E752" s="2"/>
      <c r="H752" s="29"/>
      <c r="I752" s="30"/>
    </row>
    <row r="753" spans="5:9">
      <c r="E753" s="2"/>
      <c r="H753" s="29"/>
      <c r="I753" s="30"/>
    </row>
    <row r="754" spans="5:9">
      <c r="E754" s="2"/>
      <c r="H754" s="29"/>
      <c r="I754" s="30"/>
    </row>
    <row r="755" spans="5:9">
      <c r="E755" s="2"/>
      <c r="H755" s="29"/>
      <c r="I755" s="30"/>
    </row>
    <row r="756" spans="5:9">
      <c r="E756" s="2"/>
      <c r="H756" s="29"/>
      <c r="I756" s="30"/>
    </row>
    <row r="757" spans="5:9">
      <c r="E757" s="2"/>
      <c r="H757" s="29"/>
      <c r="I757" s="30"/>
    </row>
    <row r="758" spans="5:9">
      <c r="E758" s="2"/>
      <c r="H758" s="29"/>
      <c r="I758" s="30"/>
    </row>
    <row r="759" spans="5:9">
      <c r="E759" s="2"/>
      <c r="H759" s="29"/>
      <c r="I759" s="30"/>
    </row>
    <row r="760" spans="5:9">
      <c r="E760" s="2"/>
      <c r="H760" s="29"/>
      <c r="I760" s="30"/>
    </row>
    <row r="761" spans="5:9">
      <c r="E761" s="2"/>
      <c r="H761" s="29"/>
      <c r="I761" s="30"/>
    </row>
    <row r="762" spans="5:9">
      <c r="E762" s="2"/>
      <c r="H762" s="29"/>
      <c r="I762" s="30"/>
    </row>
    <row r="763" spans="5:9">
      <c r="E763" s="2"/>
      <c r="H763" s="29"/>
      <c r="I763" s="30"/>
    </row>
    <row r="764" spans="5:9">
      <c r="E764" s="2"/>
      <c r="H764" s="29"/>
      <c r="I764" s="30"/>
    </row>
    <row r="765" spans="5:9">
      <c r="E765" s="2"/>
      <c r="H765" s="29"/>
      <c r="I765" s="30"/>
    </row>
    <row r="766" spans="5:9">
      <c r="E766" s="2"/>
      <c r="H766" s="29"/>
      <c r="I766" s="30"/>
    </row>
    <row r="767" spans="5:9">
      <c r="E767" s="2"/>
      <c r="H767" s="29"/>
      <c r="I767" s="30"/>
    </row>
    <row r="768" spans="5:9">
      <c r="E768" s="2"/>
      <c r="H768" s="29"/>
      <c r="I768" s="30"/>
    </row>
    <row r="769" spans="5:9">
      <c r="E769" s="2"/>
      <c r="H769" s="29"/>
      <c r="I769" s="30"/>
    </row>
    <row r="770" spans="5:9">
      <c r="E770" s="2"/>
      <c r="H770" s="29"/>
      <c r="I770" s="30"/>
    </row>
    <row r="771" spans="5:9">
      <c r="E771" s="2"/>
      <c r="H771" s="29"/>
      <c r="I771" s="30"/>
    </row>
    <row r="772" spans="5:9">
      <c r="E772" s="2"/>
      <c r="H772" s="29"/>
      <c r="I772" s="30"/>
    </row>
    <row r="773" spans="5:9">
      <c r="E773" s="2"/>
      <c r="H773" s="29"/>
      <c r="I773" s="30"/>
    </row>
    <row r="774" spans="5:9">
      <c r="E774" s="2"/>
      <c r="H774" s="29"/>
      <c r="I774" s="30"/>
    </row>
    <row r="775" spans="5:9">
      <c r="E775" s="2"/>
      <c r="H775" s="29"/>
      <c r="I775" s="30"/>
    </row>
    <row r="776" spans="5:9">
      <c r="E776" s="2"/>
      <c r="H776" s="29"/>
      <c r="I776" s="30"/>
    </row>
    <row r="777" spans="5:9">
      <c r="E777" s="2"/>
      <c r="H777" s="29"/>
      <c r="I777" s="30"/>
    </row>
    <row r="778" spans="5:9">
      <c r="E778" s="2"/>
      <c r="H778" s="29"/>
      <c r="I778" s="30"/>
    </row>
    <row r="779" spans="5:9">
      <c r="E779" s="2"/>
      <c r="H779" s="29"/>
      <c r="I779" s="30"/>
    </row>
    <row r="780" spans="5:9">
      <c r="E780" s="2"/>
      <c r="H780" s="29"/>
      <c r="I780" s="30"/>
    </row>
    <row r="781" spans="5:9">
      <c r="E781" s="2"/>
      <c r="H781" s="29"/>
      <c r="I781" s="30"/>
    </row>
    <row r="782" spans="5:9">
      <c r="E782" s="2"/>
      <c r="H782" s="29"/>
      <c r="I782" s="30"/>
    </row>
    <row r="783" spans="5:9">
      <c r="E783" s="2"/>
      <c r="H783" s="29"/>
      <c r="I783" s="30"/>
    </row>
    <row r="784" spans="5:9">
      <c r="E784" s="2"/>
      <c r="H784" s="29"/>
      <c r="I784" s="30"/>
    </row>
    <row r="785" spans="5:9">
      <c r="E785" s="2"/>
      <c r="H785" s="29"/>
      <c r="I785" s="30"/>
    </row>
    <row r="786" spans="5:9">
      <c r="E786" s="2"/>
      <c r="H786" s="29"/>
      <c r="I786" s="30"/>
    </row>
    <row r="787" spans="5:9">
      <c r="E787" s="2"/>
      <c r="H787" s="29"/>
      <c r="I787" s="30"/>
    </row>
    <row r="788" spans="5:9">
      <c r="E788" s="2"/>
      <c r="H788" s="29"/>
      <c r="I788" s="30"/>
    </row>
    <row r="789" spans="5:9">
      <c r="E789" s="2"/>
      <c r="H789" s="29"/>
      <c r="I789" s="30"/>
    </row>
    <row r="790" spans="5:9">
      <c r="E790" s="2"/>
      <c r="H790" s="29"/>
      <c r="I790" s="30"/>
    </row>
    <row r="791" spans="5:9">
      <c r="E791" s="2"/>
      <c r="H791" s="29"/>
      <c r="I791" s="30"/>
    </row>
    <row r="792" spans="5:9">
      <c r="E792" s="2"/>
      <c r="H792" s="29"/>
      <c r="I792" s="30"/>
    </row>
    <row r="793" spans="5:9">
      <c r="E793" s="2"/>
      <c r="H793" s="29"/>
      <c r="I793" s="30"/>
    </row>
    <row r="794" spans="5:9">
      <c r="E794" s="2"/>
      <c r="H794" s="29"/>
      <c r="I794" s="30"/>
    </row>
    <row r="795" spans="5:9">
      <c r="E795" s="2"/>
      <c r="H795" s="29"/>
      <c r="I795" s="30"/>
    </row>
    <row r="796" spans="5:9">
      <c r="E796" s="2"/>
      <c r="H796" s="29"/>
      <c r="I796" s="30"/>
    </row>
    <row r="797" spans="5:9">
      <c r="E797" s="2"/>
      <c r="H797" s="29"/>
      <c r="I797" s="30"/>
    </row>
    <row r="798" spans="5:9">
      <c r="E798" s="2"/>
      <c r="H798" s="29"/>
      <c r="I798" s="30"/>
    </row>
    <row r="799" spans="5:9">
      <c r="E799" s="2"/>
      <c r="H799" s="29"/>
      <c r="I799" s="30"/>
    </row>
    <row r="800" spans="5:9">
      <c r="E800" s="2"/>
      <c r="H800" s="29"/>
      <c r="I800" s="30"/>
    </row>
    <row r="801" spans="5:9">
      <c r="E801" s="2"/>
      <c r="H801" s="29"/>
      <c r="I801" s="30"/>
    </row>
    <row r="802" spans="5:9">
      <c r="E802" s="2"/>
      <c r="H802" s="29"/>
      <c r="I802" s="30"/>
    </row>
    <row r="803" spans="5:9">
      <c r="E803" s="2"/>
      <c r="H803" s="29"/>
      <c r="I803" s="30"/>
    </row>
    <row r="804" spans="5:9">
      <c r="E804" s="2"/>
      <c r="H804" s="29"/>
      <c r="I804" s="30"/>
    </row>
    <row r="805" spans="5:9">
      <c r="E805" s="2"/>
      <c r="H805" s="29"/>
      <c r="I805" s="30"/>
    </row>
    <row r="806" spans="5:9">
      <c r="E806" s="2"/>
      <c r="H806" s="29"/>
      <c r="I806" s="30"/>
    </row>
    <row r="807" spans="5:9">
      <c r="E807" s="2"/>
      <c r="H807" s="29"/>
      <c r="I807" s="30"/>
    </row>
    <row r="808" spans="5:9">
      <c r="E808" s="2"/>
      <c r="H808" s="29"/>
      <c r="I808" s="30"/>
    </row>
    <row r="809" spans="5:9">
      <c r="E809" s="2"/>
      <c r="H809" s="29"/>
      <c r="I809" s="30"/>
    </row>
    <row r="810" spans="5:9">
      <c r="E810" s="2"/>
      <c r="H810" s="29"/>
      <c r="I810" s="30"/>
    </row>
    <row r="811" spans="5:9">
      <c r="E811" s="2"/>
      <c r="H811" s="29"/>
      <c r="I811" s="30"/>
    </row>
    <row r="812" spans="5:9">
      <c r="E812" s="2"/>
      <c r="H812" s="29"/>
      <c r="I812" s="30"/>
    </row>
    <row r="813" spans="5:9">
      <c r="E813" s="2"/>
      <c r="H813" s="29"/>
      <c r="I813" s="30"/>
    </row>
    <row r="814" spans="5:9">
      <c r="E814" s="2"/>
      <c r="H814" s="29"/>
      <c r="I814" s="30"/>
    </row>
    <row r="815" spans="5:9">
      <c r="E815" s="2"/>
      <c r="H815" s="29"/>
      <c r="I815" s="30"/>
    </row>
    <row r="816" spans="5:9">
      <c r="E816" s="2"/>
      <c r="H816" s="29"/>
      <c r="I816" s="30"/>
    </row>
    <row r="817" spans="5:9">
      <c r="E817" s="2"/>
      <c r="H817" s="29"/>
      <c r="I817" s="30"/>
    </row>
    <row r="818" spans="5:9">
      <c r="E818" s="2"/>
      <c r="H818" s="29"/>
      <c r="I818" s="30"/>
    </row>
    <row r="819" spans="5:9">
      <c r="E819" s="2"/>
      <c r="H819" s="29"/>
      <c r="I819" s="30"/>
    </row>
    <row r="820" spans="5:9">
      <c r="E820" s="2"/>
      <c r="H820" s="29"/>
      <c r="I820" s="30"/>
    </row>
    <row r="821" spans="5:9">
      <c r="E821" s="2"/>
      <c r="H821" s="29"/>
      <c r="I821" s="30"/>
    </row>
    <row r="822" spans="5:9">
      <c r="E822" s="2"/>
      <c r="H822" s="29"/>
      <c r="I822" s="30"/>
    </row>
    <row r="823" spans="5:9">
      <c r="E823" s="2"/>
      <c r="H823" s="29"/>
      <c r="I823" s="30"/>
    </row>
    <row r="824" spans="5:9">
      <c r="E824" s="2"/>
      <c r="H824" s="29"/>
      <c r="I824" s="30"/>
    </row>
    <row r="825" spans="5:9">
      <c r="E825" s="2"/>
      <c r="H825" s="29"/>
      <c r="I825" s="30"/>
    </row>
    <row r="826" spans="5:9">
      <c r="E826" s="2"/>
      <c r="H826" s="29"/>
      <c r="I826" s="30"/>
    </row>
    <row r="827" spans="5:9">
      <c r="E827" s="2"/>
      <c r="H827" s="29"/>
      <c r="I827" s="30"/>
    </row>
    <row r="828" spans="5:9">
      <c r="E828" s="2"/>
      <c r="H828" s="29"/>
      <c r="I828" s="30"/>
    </row>
    <row r="829" spans="5:9">
      <c r="E829" s="2"/>
      <c r="H829" s="29"/>
      <c r="I829" s="30"/>
    </row>
    <row r="830" spans="5:9">
      <c r="E830" s="2"/>
      <c r="H830" s="29"/>
      <c r="I830" s="30"/>
    </row>
    <row r="831" spans="5:9">
      <c r="E831" s="2"/>
      <c r="H831" s="29"/>
      <c r="I831" s="30"/>
    </row>
    <row r="832" spans="5:9">
      <c r="E832" s="2"/>
      <c r="H832" s="29"/>
      <c r="I832" s="30"/>
    </row>
    <row r="833" spans="5:9">
      <c r="E833" s="2"/>
      <c r="H833" s="29"/>
      <c r="I833" s="30"/>
    </row>
    <row r="834" spans="5:9">
      <c r="E834" s="2"/>
      <c r="H834" s="29"/>
      <c r="I834" s="30"/>
    </row>
    <row r="835" spans="5:9">
      <c r="E835" s="2"/>
      <c r="H835" s="29"/>
      <c r="I835" s="30"/>
    </row>
    <row r="836" spans="5:9">
      <c r="E836" s="2"/>
      <c r="H836" s="29"/>
      <c r="I836" s="30"/>
    </row>
    <row r="837" spans="5:9">
      <c r="E837" s="2"/>
      <c r="H837" s="29"/>
      <c r="I837" s="30"/>
    </row>
    <row r="838" spans="5:9">
      <c r="E838" s="2"/>
      <c r="H838" s="29"/>
      <c r="I838" s="30"/>
    </row>
    <row r="839" spans="5:9">
      <c r="E839" s="2"/>
      <c r="H839" s="29"/>
      <c r="I839" s="30"/>
    </row>
    <row r="840" spans="5:9">
      <c r="E840" s="2"/>
      <c r="H840" s="29"/>
      <c r="I840" s="30"/>
    </row>
    <row r="841" spans="5:9">
      <c r="E841" s="2"/>
      <c r="H841" s="29"/>
      <c r="I841" s="30"/>
    </row>
    <row r="842" spans="5:9">
      <c r="E842" s="2"/>
      <c r="H842" s="29"/>
      <c r="I842" s="30"/>
    </row>
    <row r="843" spans="5:9">
      <c r="E843" s="2"/>
      <c r="H843" s="29"/>
      <c r="I843" s="30"/>
    </row>
    <row r="844" spans="5:9">
      <c r="E844" s="2"/>
      <c r="H844" s="29"/>
      <c r="I844" s="30"/>
    </row>
    <row r="845" spans="5:9">
      <c r="E845" s="2"/>
      <c r="H845" s="29"/>
      <c r="I845" s="30"/>
    </row>
    <row r="846" spans="5:9">
      <c r="E846" s="2"/>
      <c r="H846" s="29"/>
      <c r="I846" s="30"/>
    </row>
    <row r="847" spans="5:9">
      <c r="E847" s="2"/>
      <c r="H847" s="29"/>
      <c r="I847" s="30"/>
    </row>
    <row r="848" spans="5:9">
      <c r="E848" s="2"/>
      <c r="H848" s="29"/>
      <c r="I848" s="30"/>
    </row>
    <row r="849" spans="5:9">
      <c r="E849" s="2"/>
      <c r="H849" s="29"/>
      <c r="I849" s="30"/>
    </row>
    <row r="850" spans="5:9">
      <c r="E850" s="2"/>
      <c r="H850" s="29"/>
      <c r="I850" s="30"/>
    </row>
    <row r="851" spans="5:9">
      <c r="E851" s="2"/>
      <c r="H851" s="29"/>
      <c r="I851" s="30"/>
    </row>
    <row r="852" spans="5:9">
      <c r="E852" s="2"/>
      <c r="H852" s="29"/>
      <c r="I852" s="30"/>
    </row>
    <row r="853" spans="5:9">
      <c r="E853" s="2"/>
      <c r="H853" s="29"/>
      <c r="I853" s="30"/>
    </row>
    <row r="854" spans="5:9">
      <c r="E854" s="2"/>
      <c r="H854" s="29"/>
      <c r="I854" s="30"/>
    </row>
    <row r="855" spans="5:9">
      <c r="E855" s="2"/>
      <c r="H855" s="29"/>
      <c r="I855" s="30"/>
    </row>
    <row r="856" spans="5:9">
      <c r="E856" s="2"/>
      <c r="H856" s="29"/>
      <c r="I856" s="30"/>
    </row>
    <row r="857" spans="5:9">
      <c r="E857" s="2"/>
      <c r="H857" s="29"/>
      <c r="I857" s="30"/>
    </row>
    <row r="858" spans="5:9">
      <c r="E858" s="2"/>
      <c r="H858" s="29"/>
      <c r="I858" s="30"/>
    </row>
    <row r="859" spans="5:9">
      <c r="E859" s="2"/>
      <c r="H859" s="29"/>
      <c r="I859" s="30"/>
    </row>
    <row r="860" spans="5:9">
      <c r="E860" s="2"/>
      <c r="H860" s="29"/>
      <c r="I860" s="30"/>
    </row>
    <row r="861" spans="5:9">
      <c r="E861" s="2"/>
      <c r="H861" s="29"/>
      <c r="I861" s="30"/>
    </row>
    <row r="862" spans="5:9">
      <c r="E862" s="2"/>
      <c r="H862" s="29"/>
      <c r="I862" s="30"/>
    </row>
    <row r="863" spans="5:9">
      <c r="E863" s="2"/>
      <c r="H863" s="29"/>
      <c r="I863" s="30"/>
    </row>
    <row r="864" spans="5:9">
      <c r="E864" s="2"/>
      <c r="H864" s="29"/>
      <c r="I864" s="30"/>
    </row>
    <row r="865" spans="5:9">
      <c r="E865" s="2"/>
      <c r="H865" s="29"/>
      <c r="I865" s="30"/>
    </row>
    <row r="866" spans="5:9">
      <c r="E866" s="2"/>
      <c r="H866" s="29"/>
      <c r="I866" s="30"/>
    </row>
    <row r="867" spans="5:9">
      <c r="E867" s="2"/>
      <c r="H867" s="29"/>
      <c r="I867" s="30"/>
    </row>
    <row r="868" spans="5:9">
      <c r="E868" s="2"/>
      <c r="H868" s="29"/>
      <c r="I868" s="30"/>
    </row>
    <row r="869" spans="5:9">
      <c r="E869" s="2"/>
      <c r="H869" s="29"/>
      <c r="I869" s="30"/>
    </row>
    <row r="870" spans="5:9">
      <c r="E870" s="2"/>
      <c r="H870" s="29"/>
      <c r="I870" s="30"/>
    </row>
    <row r="871" spans="5:9">
      <c r="E871" s="2"/>
      <c r="H871" s="29"/>
      <c r="I871" s="30"/>
    </row>
    <row r="872" spans="5:9">
      <c r="E872" s="2"/>
      <c r="H872" s="29"/>
      <c r="I872" s="30"/>
    </row>
    <row r="873" spans="5:9">
      <c r="E873" s="2"/>
      <c r="H873" s="29"/>
      <c r="I873" s="30"/>
    </row>
    <row r="874" spans="5:9">
      <c r="E874" s="2"/>
      <c r="H874" s="29"/>
      <c r="I874" s="30"/>
    </row>
    <row r="875" spans="5:9">
      <c r="E875" s="2"/>
      <c r="H875" s="29"/>
      <c r="I875" s="30"/>
    </row>
    <row r="876" spans="5:9">
      <c r="E876" s="2"/>
      <c r="H876" s="29"/>
      <c r="I876" s="30"/>
    </row>
    <row r="877" spans="5:9">
      <c r="E877" s="2"/>
      <c r="H877" s="29"/>
      <c r="I877" s="30"/>
    </row>
    <row r="878" spans="5:9">
      <c r="E878" s="2"/>
      <c r="H878" s="29"/>
      <c r="I878" s="30"/>
    </row>
    <row r="879" spans="5:9">
      <c r="E879" s="2"/>
      <c r="H879" s="29"/>
      <c r="I879" s="30"/>
    </row>
    <row r="880" spans="5:9">
      <c r="E880" s="2"/>
      <c r="H880" s="29"/>
      <c r="I880" s="30"/>
    </row>
    <row r="881" spans="5:9">
      <c r="E881" s="2"/>
      <c r="H881" s="29"/>
      <c r="I881" s="30"/>
    </row>
    <row r="882" spans="5:9">
      <c r="E882" s="2"/>
      <c r="H882" s="29"/>
      <c r="I882" s="30"/>
    </row>
    <row r="883" spans="5:9">
      <c r="E883" s="2"/>
      <c r="H883" s="29"/>
      <c r="I883" s="30"/>
    </row>
    <row r="884" spans="5:9">
      <c r="E884" s="2"/>
      <c r="H884" s="29"/>
      <c r="I884" s="30"/>
    </row>
    <row r="885" spans="5:9">
      <c r="E885" s="2"/>
      <c r="H885" s="29"/>
      <c r="I885" s="30"/>
    </row>
    <row r="886" spans="5:9">
      <c r="E886" s="2"/>
      <c r="H886" s="29"/>
      <c r="I886" s="30"/>
    </row>
    <row r="887" spans="5:9">
      <c r="E887" s="2"/>
      <c r="H887" s="29"/>
      <c r="I887" s="30"/>
    </row>
    <row r="888" spans="5:9">
      <c r="E888" s="2"/>
      <c r="H888" s="29"/>
      <c r="I888" s="30"/>
    </row>
    <row r="889" spans="5:9">
      <c r="E889" s="2"/>
      <c r="H889" s="29"/>
      <c r="I889" s="30"/>
    </row>
    <row r="890" spans="5:9">
      <c r="E890" s="2"/>
      <c r="H890" s="29"/>
      <c r="I890" s="30"/>
    </row>
    <row r="891" spans="5:9">
      <c r="E891" s="2"/>
      <c r="H891" s="29"/>
      <c r="I891" s="30"/>
    </row>
    <row r="892" spans="5:9">
      <c r="E892" s="2"/>
      <c r="H892" s="29"/>
      <c r="I892" s="30"/>
    </row>
    <row r="893" spans="5:9">
      <c r="E893" s="2"/>
      <c r="H893" s="29"/>
      <c r="I893" s="30"/>
    </row>
    <row r="894" spans="5:9">
      <c r="E894" s="2"/>
      <c r="H894" s="29"/>
      <c r="I894" s="30"/>
    </row>
    <row r="895" spans="5:9">
      <c r="E895" s="2"/>
      <c r="H895" s="29"/>
      <c r="I895" s="30"/>
    </row>
    <row r="896" spans="5:9">
      <c r="E896" s="2"/>
      <c r="H896" s="29"/>
      <c r="I896" s="30"/>
    </row>
    <row r="897" spans="5:9">
      <c r="E897" s="2"/>
      <c r="H897" s="29"/>
      <c r="I897" s="30"/>
    </row>
    <row r="898" spans="5:9">
      <c r="E898" s="2"/>
      <c r="H898" s="29"/>
      <c r="I898" s="30"/>
    </row>
    <row r="899" spans="5:9">
      <c r="E899" s="2"/>
      <c r="H899" s="29"/>
      <c r="I899" s="30"/>
    </row>
    <row r="900" spans="5:9">
      <c r="E900" s="2"/>
      <c r="H900" s="29"/>
      <c r="I900" s="30"/>
    </row>
    <row r="901" spans="5:9">
      <c r="E901" s="2"/>
      <c r="H901" s="29"/>
      <c r="I901" s="30"/>
    </row>
    <row r="902" spans="5:9">
      <c r="E902" s="2"/>
      <c r="H902" s="29"/>
      <c r="I902" s="30"/>
    </row>
    <row r="903" spans="5:9">
      <c r="E903" s="2"/>
      <c r="H903" s="29"/>
      <c r="I903" s="30"/>
    </row>
    <row r="904" spans="5:9">
      <c r="E904" s="2"/>
      <c r="H904" s="29"/>
      <c r="I904" s="30"/>
    </row>
    <row r="905" spans="5:9">
      <c r="E905" s="2"/>
      <c r="H905" s="29"/>
      <c r="I905" s="30"/>
    </row>
    <row r="906" spans="5:9">
      <c r="E906" s="2"/>
      <c r="H906" s="29"/>
      <c r="I906" s="30"/>
    </row>
    <row r="907" spans="5:9">
      <c r="E907" s="2"/>
      <c r="H907" s="29"/>
      <c r="I907" s="30"/>
    </row>
    <row r="908" spans="5:9">
      <c r="E908" s="2"/>
      <c r="H908" s="29"/>
      <c r="I908" s="30"/>
    </row>
    <row r="909" spans="5:9">
      <c r="E909" s="2"/>
      <c r="H909" s="29"/>
      <c r="I909" s="30"/>
    </row>
    <row r="910" spans="5:9">
      <c r="E910" s="2"/>
      <c r="H910" s="29"/>
      <c r="I910" s="30"/>
    </row>
    <row r="911" spans="5:9">
      <c r="E911" s="2"/>
      <c r="H911" s="29"/>
      <c r="I911" s="30"/>
    </row>
    <row r="912" spans="5:9">
      <c r="E912" s="2"/>
      <c r="H912" s="29"/>
      <c r="I912" s="30"/>
    </row>
    <row r="913" spans="5:9">
      <c r="E913" s="2"/>
      <c r="H913" s="29"/>
      <c r="I913" s="30"/>
    </row>
    <row r="914" spans="5:9">
      <c r="E914" s="2"/>
      <c r="H914" s="29"/>
      <c r="I914" s="30"/>
    </row>
    <row r="915" spans="5:9">
      <c r="E915" s="2"/>
      <c r="H915" s="29"/>
      <c r="I915" s="30"/>
    </row>
    <row r="916" spans="5:9">
      <c r="E916" s="2"/>
      <c r="H916" s="29"/>
      <c r="I916" s="30"/>
    </row>
    <row r="917" spans="5:9">
      <c r="E917" s="2"/>
      <c r="H917" s="29"/>
      <c r="I917" s="30"/>
    </row>
    <row r="918" spans="5:9">
      <c r="E918" s="2"/>
      <c r="H918" s="29"/>
      <c r="I918" s="30"/>
    </row>
    <row r="919" spans="5:9">
      <c r="E919" s="2"/>
      <c r="H919" s="29"/>
      <c r="I919" s="30"/>
    </row>
    <row r="920" spans="5:9">
      <c r="E920" s="2"/>
      <c r="H920" s="29"/>
      <c r="I920" s="30"/>
    </row>
    <row r="921" spans="5:9">
      <c r="E921" s="2"/>
      <c r="H921" s="29"/>
      <c r="I921" s="30"/>
    </row>
    <row r="922" spans="5:9">
      <c r="E922" s="2"/>
      <c r="H922" s="29"/>
      <c r="I922" s="30"/>
    </row>
    <row r="923" spans="5:9">
      <c r="E923" s="2"/>
      <c r="H923" s="29"/>
      <c r="I923" s="30"/>
    </row>
    <row r="924" spans="5:9">
      <c r="E924" s="2"/>
      <c r="H924" s="29"/>
      <c r="I924" s="30"/>
    </row>
    <row r="925" spans="5:9">
      <c r="E925" s="2"/>
      <c r="H925" s="29"/>
      <c r="I925" s="30"/>
    </row>
    <row r="926" spans="5:9">
      <c r="E926" s="2"/>
      <c r="H926" s="29"/>
      <c r="I926" s="30"/>
    </row>
    <row r="927" spans="5:9">
      <c r="E927" s="2"/>
      <c r="H927" s="29"/>
      <c r="I927" s="30"/>
    </row>
    <row r="928" spans="5:9">
      <c r="E928" s="2"/>
      <c r="H928" s="29"/>
      <c r="I928" s="30"/>
    </row>
    <row r="929" spans="5:9">
      <c r="E929" s="2"/>
      <c r="H929" s="29"/>
      <c r="I929" s="30"/>
    </row>
    <row r="930" spans="5:9">
      <c r="E930" s="2"/>
      <c r="H930" s="29"/>
      <c r="I930" s="30"/>
    </row>
    <row r="931" spans="5:9">
      <c r="E931" s="2"/>
      <c r="H931" s="29"/>
      <c r="I931" s="30"/>
    </row>
    <row r="932" spans="5:9">
      <c r="E932" s="2"/>
      <c r="H932" s="29"/>
      <c r="I932" s="30"/>
    </row>
    <row r="933" spans="5:9">
      <c r="E933" s="2"/>
      <c r="H933" s="29"/>
      <c r="I933" s="30"/>
    </row>
    <row r="934" spans="5:9">
      <c r="E934" s="2"/>
      <c r="H934" s="29"/>
      <c r="I934" s="30"/>
    </row>
    <row r="935" spans="5:9">
      <c r="E935" s="2"/>
      <c r="H935" s="29"/>
      <c r="I935" s="30"/>
    </row>
    <row r="936" spans="5:9">
      <c r="E936" s="2"/>
      <c r="H936" s="29"/>
      <c r="I936" s="30"/>
    </row>
    <row r="937" spans="5:9">
      <c r="E937" s="2"/>
      <c r="H937" s="29"/>
      <c r="I937" s="30"/>
    </row>
    <row r="938" spans="5:9">
      <c r="E938" s="2"/>
      <c r="H938" s="29"/>
      <c r="I938" s="30"/>
    </row>
    <row r="939" spans="5:9">
      <c r="E939" s="2"/>
      <c r="H939" s="29"/>
      <c r="I939" s="30"/>
    </row>
    <row r="940" spans="5:9">
      <c r="E940" s="2"/>
      <c r="H940" s="29"/>
      <c r="I940" s="30"/>
    </row>
    <row r="941" spans="5:9">
      <c r="E941" s="2"/>
      <c r="H941" s="29"/>
      <c r="I941" s="30"/>
    </row>
    <row r="942" spans="5:9">
      <c r="E942" s="2"/>
      <c r="H942" s="29"/>
      <c r="I942" s="30"/>
    </row>
    <row r="943" spans="5:9">
      <c r="E943" s="2"/>
      <c r="H943" s="29"/>
      <c r="I943" s="30"/>
    </row>
    <row r="944" spans="5:9">
      <c r="E944" s="2"/>
      <c r="H944" s="29"/>
      <c r="I944" s="30"/>
    </row>
    <row r="945" spans="5:9">
      <c r="E945" s="2"/>
      <c r="H945" s="29"/>
      <c r="I945" s="30"/>
    </row>
    <row r="946" spans="5:9">
      <c r="E946" s="2"/>
      <c r="H946" s="29"/>
      <c r="I946" s="30"/>
    </row>
    <row r="947" spans="5:9">
      <c r="E947" s="2"/>
      <c r="H947" s="29"/>
      <c r="I947" s="30"/>
    </row>
    <row r="948" spans="5:9">
      <c r="E948" s="2"/>
      <c r="H948" s="29"/>
      <c r="I948" s="30"/>
    </row>
    <row r="949" spans="5:9">
      <c r="E949" s="2"/>
      <c r="H949" s="29"/>
      <c r="I949" s="30"/>
    </row>
    <row r="950" spans="5:9">
      <c r="E950" s="2"/>
      <c r="H950" s="29"/>
      <c r="I950" s="30"/>
    </row>
    <row r="951" spans="5:9">
      <c r="E951" s="2"/>
      <c r="H951" s="29"/>
      <c r="I951" s="30"/>
    </row>
    <row r="952" spans="5:9">
      <c r="E952" s="2"/>
      <c r="H952" s="29"/>
      <c r="I952" s="30"/>
    </row>
    <row r="953" spans="5:9">
      <c r="E953" s="2"/>
      <c r="H953" s="29"/>
      <c r="I953" s="30"/>
    </row>
    <row r="954" spans="5:9">
      <c r="E954" s="2"/>
      <c r="H954" s="29"/>
      <c r="I954" s="30"/>
    </row>
    <row r="955" spans="5:9">
      <c r="E955" s="2"/>
      <c r="H955" s="29"/>
      <c r="I955" s="30"/>
    </row>
    <row r="956" spans="5:9">
      <c r="E956" s="2"/>
      <c r="H956" s="29"/>
      <c r="I956" s="30"/>
    </row>
    <row r="957" spans="5:9">
      <c r="E957" s="2"/>
      <c r="H957" s="29"/>
      <c r="I957" s="30"/>
    </row>
    <row r="958" spans="5:9">
      <c r="E958" s="2"/>
      <c r="H958" s="29"/>
      <c r="I958" s="30"/>
    </row>
    <row r="959" spans="5:9">
      <c r="E959" s="2"/>
      <c r="H959" s="29"/>
      <c r="I959" s="30"/>
    </row>
    <row r="960" spans="5:9">
      <c r="E960" s="2"/>
      <c r="H960" s="29"/>
      <c r="I960" s="30"/>
    </row>
    <row r="961" spans="5:9">
      <c r="E961" s="2"/>
      <c r="H961" s="29"/>
      <c r="I961" s="30"/>
    </row>
    <row r="962" spans="5:9">
      <c r="E962" s="2"/>
      <c r="H962" s="29"/>
      <c r="I962" s="30"/>
    </row>
    <row r="963" spans="5:9">
      <c r="E963" s="2"/>
      <c r="H963" s="29"/>
      <c r="I963" s="30"/>
    </row>
    <row r="964" spans="5:9">
      <c r="E964" s="2"/>
      <c r="H964" s="29"/>
      <c r="I964" s="30"/>
    </row>
    <row r="965" spans="5:9">
      <c r="E965" s="2"/>
      <c r="H965" s="29"/>
      <c r="I965" s="30"/>
    </row>
    <row r="966" spans="5:9">
      <c r="E966" s="2"/>
      <c r="H966" s="29"/>
      <c r="I966" s="30"/>
    </row>
    <row r="967" spans="5:9">
      <c r="E967" s="2"/>
      <c r="H967" s="29"/>
      <c r="I967" s="30"/>
    </row>
    <row r="968" spans="5:9">
      <c r="E968" s="2"/>
      <c r="H968" s="29"/>
      <c r="I968" s="30"/>
    </row>
    <row r="969" spans="5:9">
      <c r="E969" s="2"/>
      <c r="H969" s="29"/>
      <c r="I969" s="30"/>
    </row>
    <row r="970" spans="5:9">
      <c r="E970" s="2"/>
      <c r="H970" s="29"/>
      <c r="I970" s="30"/>
    </row>
    <row r="971" spans="5:9">
      <c r="E971" s="2"/>
      <c r="H971" s="29"/>
      <c r="I971" s="30"/>
    </row>
    <row r="972" spans="5:9">
      <c r="E972" s="2"/>
      <c r="H972" s="29"/>
      <c r="I972" s="30"/>
    </row>
    <row r="973" spans="5:9">
      <c r="E973" s="2"/>
      <c r="H973" s="29"/>
      <c r="I973" s="30"/>
    </row>
    <row r="974" spans="5:9">
      <c r="E974" s="2"/>
      <c r="H974" s="29"/>
      <c r="I974" s="30"/>
    </row>
    <row r="975" spans="5:9">
      <c r="E975" s="2"/>
      <c r="H975" s="29"/>
      <c r="I975" s="30"/>
    </row>
    <row r="976" spans="5:9">
      <c r="E976" s="2"/>
      <c r="H976" s="29"/>
      <c r="I976" s="30"/>
    </row>
    <row r="977" spans="5:9">
      <c r="E977" s="2"/>
      <c r="H977" s="29"/>
      <c r="I977" s="30"/>
    </row>
    <row r="978" spans="5:9">
      <c r="E978" s="2"/>
      <c r="H978" s="29"/>
      <c r="I978" s="30"/>
    </row>
    <row r="979" spans="5:9">
      <c r="E979" s="2"/>
      <c r="H979" s="29"/>
      <c r="I979" s="30"/>
    </row>
    <row r="980" spans="5:9">
      <c r="E980" s="2"/>
      <c r="H980" s="29"/>
      <c r="I980" s="30"/>
    </row>
    <row r="981" spans="5:9">
      <c r="E981" s="2"/>
      <c r="H981" s="29"/>
      <c r="I981" s="30"/>
    </row>
    <row r="982" spans="5:9">
      <c r="E982" s="2"/>
      <c r="H982" s="29"/>
      <c r="I982" s="30"/>
    </row>
    <row r="983" spans="5:9">
      <c r="E983" s="2"/>
      <c r="H983" s="29"/>
      <c r="I983" s="30"/>
    </row>
    <row r="984" spans="5:9">
      <c r="E984" s="2"/>
      <c r="H984" s="29"/>
      <c r="I984" s="30"/>
    </row>
    <row r="985" spans="5:9">
      <c r="E985" s="2"/>
      <c r="H985" s="29"/>
      <c r="I985" s="30"/>
    </row>
    <row r="986" spans="5:9">
      <c r="E986" s="2"/>
      <c r="H986" s="29"/>
      <c r="I986" s="30"/>
    </row>
    <row r="987" spans="5:9">
      <c r="E987" s="2"/>
      <c r="H987" s="29"/>
      <c r="I987" s="30"/>
    </row>
    <row r="988" spans="5:9">
      <c r="E988" s="2"/>
      <c r="H988" s="29"/>
      <c r="I988" s="30"/>
    </row>
    <row r="989" spans="5:9">
      <c r="E989" s="2"/>
      <c r="H989" s="29"/>
      <c r="I989" s="30"/>
    </row>
    <row r="990" spans="5:9">
      <c r="E990" s="2"/>
      <c r="H990" s="29"/>
      <c r="I990" s="30"/>
    </row>
    <row r="991" spans="5:9">
      <c r="E991" s="2"/>
      <c r="H991" s="29"/>
      <c r="I991" s="30"/>
    </row>
    <row r="992" spans="5:9">
      <c r="E992" s="2"/>
      <c r="H992" s="29"/>
      <c r="I992" s="30"/>
    </row>
  </sheetData>
  <dataValidations count="1">
    <dataValidation type="list" allowBlank="1" showErrorMessage="1" sqref="W3:W7" xr:uid="{2E138E5A-4C09-4C95-A466-3C1BEB82856C}">
      <formula1>"Open,Inprogress,Closed"</formula1>
    </dataValidation>
  </dataValidations>
  <hyperlinks>
    <hyperlink ref="M3" r:id="rId1" xr:uid="{FFD8628F-536F-49B6-B688-3B5D574F7B0C}"/>
    <hyperlink ref="M7" r:id="rId2" xr:uid="{A2EB3B91-ACC1-4333-822E-44898AA8B0CA}"/>
    <hyperlink ref="M6" r:id="rId3" xr:uid="{FBB6AAC2-D589-4160-B841-1D566B6A7069}"/>
  </hyperlinks>
  <pageMargins left="0" right="0" top="0" bottom="0" header="0" footer="0"/>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DFCA3-563D-410C-9691-D979FB27A3B8}">
  <sheetPr>
    <outlinePr summaryBelow="0" summaryRight="0"/>
  </sheetPr>
  <dimension ref="A1:Z997"/>
  <sheetViews>
    <sheetView workbookViewId="0">
      <selection activeCell="G2" sqref="G2:K2"/>
    </sheetView>
  </sheetViews>
  <sheetFormatPr defaultColWidth="12.5703125" defaultRowHeight="15" customHeight="1"/>
  <cols>
    <col min="1" max="1" width="11.140625" customWidth="1"/>
    <col min="2" max="2" width="17.28515625" customWidth="1"/>
    <col min="3" max="5" width="12.5703125" customWidth="1"/>
    <col min="6" max="6" width="25.28515625" customWidth="1"/>
    <col min="7" max="7" width="12" customWidth="1"/>
    <col min="8" max="8" width="10.85546875" customWidth="1"/>
    <col min="9" max="9" width="11.85546875" customWidth="1"/>
    <col min="10" max="10" width="20.28515625" customWidth="1"/>
    <col min="11" max="11" width="27.7109375" customWidth="1"/>
  </cols>
  <sheetData>
    <row r="1" spans="1:26" ht="15.75" customHeight="1">
      <c r="A1" s="1" t="s">
        <v>254</v>
      </c>
      <c r="B1" s="31" t="s">
        <v>11</v>
      </c>
      <c r="C1" s="32" t="s">
        <v>322</v>
      </c>
      <c r="D1" s="31" t="s">
        <v>256</v>
      </c>
      <c r="E1" s="32" t="s">
        <v>324</v>
      </c>
      <c r="F1" s="32" t="s">
        <v>325</v>
      </c>
      <c r="G1" s="31" t="s">
        <v>326</v>
      </c>
      <c r="H1" s="31" t="s">
        <v>328</v>
      </c>
      <c r="I1" s="31" t="s">
        <v>259</v>
      </c>
      <c r="J1" s="33" t="s">
        <v>329</v>
      </c>
      <c r="K1" s="34" t="s">
        <v>280</v>
      </c>
      <c r="L1" s="35"/>
      <c r="M1" s="35"/>
      <c r="N1" s="35"/>
      <c r="O1" s="35"/>
      <c r="P1" s="35"/>
      <c r="Q1" s="35"/>
      <c r="R1" s="35"/>
      <c r="S1" s="35"/>
      <c r="T1" s="35"/>
      <c r="U1" s="35"/>
      <c r="V1" s="35"/>
      <c r="W1" s="35"/>
      <c r="X1" s="35"/>
      <c r="Y1" s="35"/>
      <c r="Z1" s="35"/>
    </row>
    <row r="2" spans="1:26" ht="15.75" customHeight="1">
      <c r="A2" s="109">
        <v>1</v>
      </c>
      <c r="B2" s="25" t="s">
        <v>1985</v>
      </c>
      <c r="C2" s="27" t="s">
        <v>1964</v>
      </c>
      <c r="D2" s="26" t="s">
        <v>1714</v>
      </c>
      <c r="E2" s="26" t="s">
        <v>380</v>
      </c>
      <c r="F2" s="27" t="s">
        <v>1965</v>
      </c>
      <c r="G2" s="26" t="s">
        <v>381</v>
      </c>
      <c r="H2" s="26" t="s">
        <v>383</v>
      </c>
      <c r="I2" s="26" t="s">
        <v>384</v>
      </c>
      <c r="J2" s="26" t="s">
        <v>390</v>
      </c>
      <c r="K2" s="26" t="s">
        <v>1757</v>
      </c>
      <c r="L2" s="35"/>
      <c r="M2" s="35"/>
      <c r="N2" s="35"/>
      <c r="O2" s="35"/>
      <c r="P2" s="35"/>
      <c r="Q2" s="35"/>
      <c r="R2" s="35"/>
      <c r="S2" s="35"/>
      <c r="T2" s="35"/>
      <c r="U2" s="35"/>
      <c r="V2" s="35"/>
    </row>
    <row r="3" spans="1:26" ht="15.75" customHeight="1"/>
    <row r="4" spans="1:26" ht="15.75" customHeight="1"/>
    <row r="5" spans="1:26" ht="15.75" customHeight="1"/>
    <row r="6" spans="1:26" ht="15.75" customHeight="1"/>
    <row r="7" spans="1:26" ht="15.75" customHeight="1"/>
    <row r="8" spans="1:26" ht="15.75" customHeight="1"/>
    <row r="9" spans="1:26" ht="15.75" customHeight="1"/>
    <row r="10" spans="1:26" ht="15.75" customHeight="1"/>
    <row r="11" spans="1:26" ht="15.75" customHeight="1"/>
    <row r="12" spans="1:26" ht="15.75" customHeight="1"/>
    <row r="13" spans="1:26" ht="15.75" customHeight="1"/>
    <row r="14" spans="1:26" ht="15.75" customHeight="1"/>
    <row r="15" spans="1:26" ht="15.75" customHeight="1"/>
    <row r="16" spans="1:2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dataValidations count="4">
    <dataValidation type="list" allowBlank="1" showErrorMessage="1" sqref="H2" xr:uid="{E3060D2A-3446-4DBB-94AB-77EFAE76D768}">
      <formula1>"Internal,External"</formula1>
    </dataValidation>
    <dataValidation type="list" allowBlank="1" showErrorMessage="1" sqref="E2" xr:uid="{FD80962E-657B-42EA-9F13-62596262AEE0}">
      <formula1>"Bounceback,Defect,None"</formula1>
    </dataValidation>
    <dataValidation type="list" allowBlank="1" showErrorMessage="1" sqref="I2" xr:uid="{6A43A566-3F2F-4C10-93C2-8B5AEA3F85B9}">
      <formula1>"Open,Inprogress,Closed"</formula1>
    </dataValidation>
    <dataValidation type="list" allowBlank="1" showErrorMessage="1" sqref="G2" xr:uid="{5819E218-A1D1-4CFB-8601-E9AED31DD9DE}">
      <formula1>"Minor,Significant,Major"</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21682F26-ED38-4E57-A56D-E8B07D8F3565}">
          <x14:formula1>
            <xm:f>Details!$A$2:$A$10</xm:f>
          </x14:formula1>
          <xm:sqref>J2</xm:sqref>
        </x14:dataValidation>
      </x14:dataValidations>
    </ext>
  </extLst>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B1:K1000"/>
  <sheetViews>
    <sheetView showGridLines="0" workbookViewId="0"/>
  </sheetViews>
  <sheetFormatPr defaultColWidth="12.5703125" defaultRowHeight="15" customHeight="1"/>
  <cols>
    <col min="1" max="1" width="3.5703125" customWidth="1"/>
    <col min="2" max="2" width="5.5703125" customWidth="1"/>
    <col min="3" max="3" width="25" customWidth="1"/>
    <col min="4" max="4" width="6.140625" customWidth="1"/>
    <col min="5" max="6" width="12.5703125" customWidth="1"/>
    <col min="7" max="7" width="35.5703125" customWidth="1"/>
    <col min="9" max="9" width="4.7109375" customWidth="1"/>
    <col min="10" max="10" width="25" customWidth="1"/>
  </cols>
  <sheetData>
    <row r="1" spans="2:11" ht="15.75" customHeight="1"/>
    <row r="2" spans="2:11" ht="15.75" customHeight="1">
      <c r="B2" s="575" t="s">
        <v>1986</v>
      </c>
      <c r="C2" s="576"/>
      <c r="D2" s="576"/>
      <c r="E2" s="576"/>
      <c r="F2" s="576"/>
      <c r="G2" s="576"/>
      <c r="I2" s="36" t="s">
        <v>1987</v>
      </c>
      <c r="J2" s="36" t="s">
        <v>1988</v>
      </c>
      <c r="K2" s="36" t="s">
        <v>259</v>
      </c>
    </row>
    <row r="3" spans="2:11" ht="15.75" customHeight="1">
      <c r="B3" s="19">
        <v>1</v>
      </c>
      <c r="C3" s="572" t="s">
        <v>1989</v>
      </c>
      <c r="D3" s="577"/>
      <c r="E3" s="577"/>
      <c r="F3" s="577"/>
      <c r="G3" s="578"/>
      <c r="I3" s="19">
        <v>1</v>
      </c>
      <c r="J3" s="19" t="s">
        <v>1990</v>
      </c>
      <c r="K3" s="19" t="b">
        <v>0</v>
      </c>
    </row>
    <row r="4" spans="2:11" ht="15.75" customHeight="1">
      <c r="B4" s="19">
        <v>2</v>
      </c>
      <c r="C4" s="572" t="s">
        <v>1991</v>
      </c>
      <c r="D4" s="577"/>
      <c r="E4" s="577"/>
      <c r="F4" s="577"/>
      <c r="G4" s="578"/>
      <c r="I4" s="19">
        <v>2</v>
      </c>
      <c r="J4" s="19" t="s">
        <v>1992</v>
      </c>
      <c r="K4" s="19" t="b">
        <v>0</v>
      </c>
    </row>
    <row r="5" spans="2:11" ht="15.75" customHeight="1">
      <c r="B5" s="19">
        <v>3</v>
      </c>
      <c r="C5" s="572" t="s">
        <v>1993</v>
      </c>
      <c r="D5" s="577"/>
      <c r="E5" s="577"/>
      <c r="F5" s="577"/>
      <c r="G5" s="578"/>
      <c r="I5" s="19">
        <v>3</v>
      </c>
      <c r="J5" s="19" t="s">
        <v>1994</v>
      </c>
      <c r="K5" s="19" t="b">
        <v>0</v>
      </c>
    </row>
    <row r="6" spans="2:11" ht="15.75" customHeight="1">
      <c r="B6" s="19">
        <v>4</v>
      </c>
      <c r="C6" s="572" t="s">
        <v>1995</v>
      </c>
      <c r="D6" s="577"/>
      <c r="E6" s="577"/>
      <c r="F6" s="577"/>
      <c r="G6" s="578"/>
      <c r="I6" s="19">
        <v>4</v>
      </c>
      <c r="J6" s="19" t="s">
        <v>1996</v>
      </c>
      <c r="K6" s="19" t="b">
        <v>0</v>
      </c>
    </row>
    <row r="7" spans="2:11" ht="15.75" customHeight="1">
      <c r="D7" s="35"/>
      <c r="I7" s="19">
        <v>5</v>
      </c>
      <c r="J7" s="19" t="s">
        <v>1997</v>
      </c>
      <c r="K7" s="19" t="b">
        <v>0</v>
      </c>
    </row>
    <row r="8" spans="2:11" ht="15.75" customHeight="1">
      <c r="D8" s="35"/>
      <c r="I8" s="19">
        <v>6</v>
      </c>
      <c r="J8" s="19" t="s">
        <v>1998</v>
      </c>
      <c r="K8" s="19" t="b">
        <v>0</v>
      </c>
    </row>
    <row r="9" spans="2:11" ht="15.75" customHeight="1">
      <c r="D9" s="35"/>
      <c r="I9" s="19">
        <v>7</v>
      </c>
      <c r="J9" s="19" t="s">
        <v>1999</v>
      </c>
      <c r="K9" s="19" t="b">
        <v>0</v>
      </c>
    </row>
    <row r="10" spans="2:11" ht="15.75" customHeight="1">
      <c r="D10" s="35"/>
      <c r="I10" s="19">
        <v>8</v>
      </c>
      <c r="J10" s="19" t="s">
        <v>2000</v>
      </c>
      <c r="K10" s="19" t="b">
        <v>0</v>
      </c>
    </row>
    <row r="11" spans="2:11" ht="15.75" customHeight="1"/>
    <row r="12" spans="2:11" ht="15.75" customHeight="1"/>
    <row r="13" spans="2:11" ht="15.75" customHeight="1"/>
    <row r="14" spans="2:11" ht="15.75" customHeight="1"/>
    <row r="15" spans="2:11" ht="15.75" customHeight="1"/>
    <row r="16" spans="2:11"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2:G2"/>
    <mergeCell ref="C3:G3"/>
    <mergeCell ref="C4:G4"/>
    <mergeCell ref="C5:G5"/>
    <mergeCell ref="C6:G6"/>
  </mergeCells>
  <pageMargins left="0" right="0" top="0" bottom="0" header="0" footer="0"/>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1000"/>
  <sheetViews>
    <sheetView workbookViewId="0"/>
  </sheetViews>
  <sheetFormatPr defaultColWidth="12.5703125" defaultRowHeight="15" customHeight="1"/>
  <cols>
    <col min="1" max="1" width="16.5703125" customWidth="1"/>
    <col min="2" max="6" width="12.5703125" customWidth="1"/>
  </cols>
  <sheetData>
    <row r="1" spans="1:1" ht="15.75" customHeight="1">
      <c r="A1" s="37" t="s">
        <v>2001</v>
      </c>
    </row>
    <row r="2" spans="1:1" ht="15.75" customHeight="1">
      <c r="A2" s="38" t="s">
        <v>540</v>
      </c>
    </row>
    <row r="3" spans="1:1" ht="15.75" customHeight="1">
      <c r="A3" s="38" t="s">
        <v>390</v>
      </c>
    </row>
    <row r="4" spans="1:1" ht="15.75" customHeight="1">
      <c r="A4" s="38" t="s">
        <v>451</v>
      </c>
    </row>
    <row r="5" spans="1:1" ht="15.75" customHeight="1">
      <c r="A5" s="38" t="s">
        <v>2002</v>
      </c>
    </row>
    <row r="6" spans="1:1" ht="15.75" customHeight="1">
      <c r="A6" s="38" t="s">
        <v>2003</v>
      </c>
    </row>
    <row r="7" spans="1:1" ht="15.75" customHeight="1">
      <c r="A7" s="38" t="s">
        <v>2004</v>
      </c>
    </row>
    <row r="8" spans="1:1" ht="15.75" customHeight="1">
      <c r="A8" s="38" t="s">
        <v>385</v>
      </c>
    </row>
    <row r="9" spans="1:1" ht="15.75" customHeight="1">
      <c r="A9" s="38" t="s">
        <v>2005</v>
      </c>
    </row>
    <row r="10" spans="1:1" ht="15.75" customHeight="1">
      <c r="A10" s="38" t="s">
        <v>1379</v>
      </c>
    </row>
    <row r="11" spans="1:1" ht="15.75" customHeight="1"/>
    <row r="12" spans="1:1" ht="15.75" customHeight="1"/>
    <row r="13" spans="1:1" ht="15.75" customHeight="1"/>
    <row r="14" spans="1:1" ht="15.75" customHeight="1"/>
    <row r="15" spans="1:1" ht="15.75" customHeight="1"/>
    <row r="16" spans="1:1"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 right="0" top="0" bottom="0" header="0" footer="0"/>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319E6-BF88-498E-B5D6-63E8DD999953}">
  <sheetPr>
    <outlinePr summaryBelow="0" summaryRight="0"/>
  </sheetPr>
  <dimension ref="A1:X991"/>
  <sheetViews>
    <sheetView showGridLines="0" workbookViewId="0">
      <pane xSplit="5" ySplit="2" topLeftCell="F3" activePane="bottomRight" state="frozen"/>
      <selection pane="bottomRight" activeCell="C1" sqref="C1"/>
      <selection pane="bottomLeft" activeCell="A3" sqref="A3"/>
      <selection pane="topRight" activeCell="F1" sqref="F1"/>
    </sheetView>
  </sheetViews>
  <sheetFormatPr defaultColWidth="12.5703125" defaultRowHeight="15" customHeight="1"/>
  <cols>
    <col min="1" max="1" width="4.28515625" customWidth="1"/>
    <col min="2" max="2" width="34.42578125" customWidth="1"/>
    <col min="3" max="3" width="19.7109375" customWidth="1"/>
    <col min="4" max="4" width="12.42578125" style="47" customWidth="1"/>
    <col min="5" max="5" width="67.140625" customWidth="1"/>
    <col min="6" max="7" width="23.140625" customWidth="1"/>
    <col min="8" max="8" width="11.42578125" customWidth="1"/>
    <col min="9" max="9" width="21" customWidth="1"/>
    <col min="10" max="10" width="40.140625" customWidth="1"/>
    <col min="11" max="11" width="12.5703125" style="122" customWidth="1"/>
    <col min="12" max="12" width="40" customWidth="1"/>
    <col min="13" max="14" width="12.5703125" customWidth="1"/>
    <col min="15" max="15" width="12.5703125" style="53" customWidth="1"/>
    <col min="16" max="16" width="12.5703125" customWidth="1"/>
    <col min="17" max="17" width="46.28515625" customWidth="1"/>
    <col min="18" max="19" width="10.140625" customWidth="1"/>
    <col min="20" max="20" width="29.42578125" customWidth="1"/>
    <col min="21" max="22" width="41.28515625" customWidth="1"/>
    <col min="23" max="23" width="21.42578125" customWidth="1"/>
    <col min="24" max="24" width="42" customWidth="1"/>
  </cols>
  <sheetData>
    <row r="1" spans="1:24" ht="15.75" customHeight="1">
      <c r="A1" s="4"/>
      <c r="B1" s="4"/>
      <c r="C1" s="4"/>
      <c r="D1" s="5"/>
      <c r="E1" s="54"/>
      <c r="F1" s="4"/>
      <c r="G1" s="4"/>
      <c r="H1" s="5"/>
      <c r="I1" s="59"/>
      <c r="J1" s="4"/>
      <c r="K1" s="4"/>
      <c r="L1" s="4"/>
      <c r="M1" s="4"/>
      <c r="N1" s="4"/>
      <c r="O1" s="48"/>
      <c r="P1" s="4"/>
      <c r="Q1" s="4"/>
      <c r="R1" s="4"/>
      <c r="S1" s="4"/>
      <c r="T1" s="4"/>
      <c r="U1" s="4"/>
      <c r="V1" s="4"/>
      <c r="W1" s="4"/>
      <c r="X1" s="6"/>
    </row>
    <row r="2" spans="1:24" ht="15.75" customHeight="1">
      <c r="A2" s="1" t="s">
        <v>254</v>
      </c>
      <c r="B2" s="1" t="s">
        <v>255</v>
      </c>
      <c r="C2" s="1" t="s">
        <v>256</v>
      </c>
      <c r="D2" s="7" t="s">
        <v>257</v>
      </c>
      <c r="E2" s="55" t="s">
        <v>258</v>
      </c>
      <c r="F2" s="1" t="s">
        <v>260</v>
      </c>
      <c r="G2" s="1" t="s">
        <v>261</v>
      </c>
      <c r="H2" s="7" t="s">
        <v>265</v>
      </c>
      <c r="I2" s="1" t="s">
        <v>266</v>
      </c>
      <c r="J2" s="1" t="s">
        <v>267</v>
      </c>
      <c r="K2" s="1" t="s">
        <v>268</v>
      </c>
      <c r="L2" s="59" t="s">
        <v>269</v>
      </c>
      <c r="M2" s="1" t="s">
        <v>270</v>
      </c>
      <c r="N2" s="1" t="s">
        <v>271</v>
      </c>
      <c r="O2" s="49" t="s">
        <v>272</v>
      </c>
      <c r="P2" s="1" t="s">
        <v>1708</v>
      </c>
      <c r="Q2" s="1" t="s">
        <v>274</v>
      </c>
      <c r="R2" s="1" t="s">
        <v>1709</v>
      </c>
      <c r="S2" s="1" t="s">
        <v>276</v>
      </c>
      <c r="T2" s="59" t="s">
        <v>274</v>
      </c>
      <c r="U2" s="1" t="s">
        <v>278</v>
      </c>
      <c r="V2" s="59" t="s">
        <v>279</v>
      </c>
      <c r="W2" s="1" t="s">
        <v>259</v>
      </c>
      <c r="X2" s="8" t="s">
        <v>280</v>
      </c>
    </row>
    <row r="3" spans="1:24" ht="15.75" customHeight="1">
      <c r="A3" s="9">
        <v>1</v>
      </c>
      <c r="B3" s="97" t="s">
        <v>2006</v>
      </c>
      <c r="C3" s="14" t="s">
        <v>1714</v>
      </c>
      <c r="D3" s="105" t="s">
        <v>2007</v>
      </c>
      <c r="E3" s="39" t="s">
        <v>2008</v>
      </c>
      <c r="F3" s="18">
        <v>3</v>
      </c>
      <c r="G3" s="18">
        <v>3</v>
      </c>
      <c r="H3" s="12" t="s">
        <v>2009</v>
      </c>
      <c r="I3" s="64" t="s">
        <v>235</v>
      </c>
      <c r="J3" s="14" t="s">
        <v>1694</v>
      </c>
      <c r="K3" s="121" t="s">
        <v>862</v>
      </c>
      <c r="L3" s="14" t="s">
        <v>1694</v>
      </c>
      <c r="M3" s="118" t="s">
        <v>2010</v>
      </c>
      <c r="N3" s="65">
        <v>45313</v>
      </c>
      <c r="O3" s="106">
        <v>45314</v>
      </c>
      <c r="P3" s="20" t="s">
        <v>294</v>
      </c>
      <c r="Q3" s="14" t="s">
        <v>1694</v>
      </c>
      <c r="R3" s="22" t="s">
        <v>1860</v>
      </c>
      <c r="S3" s="113">
        <v>45314</v>
      </c>
      <c r="T3" s="110" t="s">
        <v>1694</v>
      </c>
      <c r="U3" s="115" t="s">
        <v>1728</v>
      </c>
      <c r="V3" s="110" t="s">
        <v>1694</v>
      </c>
      <c r="W3" s="111" t="s">
        <v>384</v>
      </c>
      <c r="X3" s="19"/>
    </row>
    <row r="4" spans="1:24" ht="15.75" customHeight="1">
      <c r="A4" s="9">
        <v>2</v>
      </c>
      <c r="B4" s="97" t="s">
        <v>2006</v>
      </c>
      <c r="C4" s="10" t="s">
        <v>2011</v>
      </c>
      <c r="D4" s="46" t="s">
        <v>2012</v>
      </c>
      <c r="E4" s="19" t="s">
        <v>2013</v>
      </c>
      <c r="F4" s="18">
        <v>5</v>
      </c>
      <c r="G4" s="18">
        <v>5</v>
      </c>
      <c r="H4" s="12" t="s">
        <v>2009</v>
      </c>
      <c r="I4" s="14" t="s">
        <v>2011</v>
      </c>
      <c r="J4" s="14" t="s">
        <v>1694</v>
      </c>
      <c r="K4" s="116" t="s">
        <v>862</v>
      </c>
      <c r="L4" s="14" t="s">
        <v>1694</v>
      </c>
      <c r="M4" s="118" t="s">
        <v>2014</v>
      </c>
      <c r="N4" s="65">
        <v>45320</v>
      </c>
      <c r="O4" s="106">
        <v>45321</v>
      </c>
      <c r="P4" s="14" t="s">
        <v>294</v>
      </c>
      <c r="Q4" s="14" t="s">
        <v>1694</v>
      </c>
      <c r="R4" s="18" t="s">
        <v>2015</v>
      </c>
      <c r="S4" s="114">
        <v>45321</v>
      </c>
      <c r="T4" s="110" t="s">
        <v>1694</v>
      </c>
      <c r="U4" s="115" t="s">
        <v>1728</v>
      </c>
      <c r="V4" s="110" t="s">
        <v>1694</v>
      </c>
      <c r="W4" s="111" t="s">
        <v>384</v>
      </c>
      <c r="X4" s="19"/>
    </row>
    <row r="5" spans="1:24" ht="15.75" customHeight="1">
      <c r="A5" s="9">
        <v>3</v>
      </c>
      <c r="B5" s="97" t="s">
        <v>2006</v>
      </c>
      <c r="C5" s="14" t="s">
        <v>2016</v>
      </c>
      <c r="D5" s="46" t="s">
        <v>2017</v>
      </c>
      <c r="E5" s="19" t="s">
        <v>2018</v>
      </c>
      <c r="F5" s="18">
        <v>2</v>
      </c>
      <c r="G5" s="18">
        <v>2</v>
      </c>
      <c r="H5" s="12" t="s">
        <v>2009</v>
      </c>
      <c r="I5" s="14" t="s">
        <v>2019</v>
      </c>
      <c r="J5" s="14" t="s">
        <v>1694</v>
      </c>
      <c r="K5" s="116" t="s">
        <v>862</v>
      </c>
      <c r="L5" s="14" t="s">
        <v>1694</v>
      </c>
      <c r="M5" s="118" t="s">
        <v>2020</v>
      </c>
      <c r="N5" s="65">
        <v>45330</v>
      </c>
      <c r="O5" s="66">
        <v>45331</v>
      </c>
      <c r="P5" s="14" t="s">
        <v>294</v>
      </c>
      <c r="Q5" s="14" t="s">
        <v>1694</v>
      </c>
      <c r="R5" s="18" t="s">
        <v>1860</v>
      </c>
      <c r="S5" s="113">
        <v>45331</v>
      </c>
      <c r="T5" s="110" t="s">
        <v>1694</v>
      </c>
      <c r="U5" s="115" t="s">
        <v>1728</v>
      </c>
      <c r="V5" s="110" t="s">
        <v>1694</v>
      </c>
      <c r="W5" s="111" t="s">
        <v>384</v>
      </c>
      <c r="X5" s="18"/>
    </row>
    <row r="6" spans="1:24" ht="15.75" customHeight="1">
      <c r="A6" s="9">
        <v>4</v>
      </c>
      <c r="B6" s="97" t="s">
        <v>2006</v>
      </c>
      <c r="C6" s="14" t="s">
        <v>2016</v>
      </c>
      <c r="D6" s="46" t="s">
        <v>2021</v>
      </c>
      <c r="E6" s="19" t="s">
        <v>2022</v>
      </c>
      <c r="F6" s="18">
        <v>2</v>
      </c>
      <c r="G6" s="18">
        <v>2</v>
      </c>
      <c r="H6" s="12" t="s">
        <v>2009</v>
      </c>
      <c r="I6" s="14" t="s">
        <v>1714</v>
      </c>
      <c r="J6" s="14" t="s">
        <v>1694</v>
      </c>
      <c r="K6" s="116" t="s">
        <v>862</v>
      </c>
      <c r="L6" s="119" t="s">
        <v>2023</v>
      </c>
      <c r="M6" s="118" t="s">
        <v>2024</v>
      </c>
      <c r="N6" s="65">
        <v>45335</v>
      </c>
      <c r="O6" s="106">
        <v>45336</v>
      </c>
      <c r="P6" s="14" t="s">
        <v>294</v>
      </c>
      <c r="Q6" s="14" t="s">
        <v>1694</v>
      </c>
      <c r="R6" s="18" t="s">
        <v>2015</v>
      </c>
      <c r="S6" s="114">
        <v>45336</v>
      </c>
      <c r="T6" s="110" t="s">
        <v>1694</v>
      </c>
      <c r="U6" s="115" t="s">
        <v>1728</v>
      </c>
      <c r="V6" s="110" t="s">
        <v>1694</v>
      </c>
      <c r="W6" s="111" t="s">
        <v>384</v>
      </c>
      <c r="X6" s="19"/>
    </row>
    <row r="7" spans="1:24" ht="15.75" customHeight="1">
      <c r="A7" s="9">
        <v>5</v>
      </c>
      <c r="B7" s="97" t="s">
        <v>2006</v>
      </c>
      <c r="C7" s="14" t="s">
        <v>2016</v>
      </c>
      <c r="D7" s="46" t="s">
        <v>2025</v>
      </c>
      <c r="E7" s="19" t="s">
        <v>2026</v>
      </c>
      <c r="F7" s="18">
        <v>2</v>
      </c>
      <c r="G7" s="18">
        <v>2</v>
      </c>
      <c r="H7" s="12" t="s">
        <v>2009</v>
      </c>
      <c r="I7" s="14" t="s">
        <v>1714</v>
      </c>
      <c r="J7" s="14" t="s">
        <v>1694</v>
      </c>
      <c r="K7" s="116" t="s">
        <v>862</v>
      </c>
      <c r="L7" s="120" t="s">
        <v>1694</v>
      </c>
      <c r="M7" s="118" t="s">
        <v>2027</v>
      </c>
      <c r="N7" s="65">
        <v>45331</v>
      </c>
      <c r="O7" s="66">
        <v>45331</v>
      </c>
      <c r="P7" s="14" t="s">
        <v>294</v>
      </c>
      <c r="Q7" s="117" t="s">
        <v>1694</v>
      </c>
      <c r="R7" s="19" t="s">
        <v>2015</v>
      </c>
      <c r="S7" s="113">
        <v>45331</v>
      </c>
      <c r="T7" s="110" t="s">
        <v>1694</v>
      </c>
      <c r="U7" s="115" t="s">
        <v>1728</v>
      </c>
      <c r="V7" s="110" t="s">
        <v>1694</v>
      </c>
      <c r="W7" s="112" t="s">
        <v>384</v>
      </c>
      <c r="X7" s="19"/>
    </row>
    <row r="8" spans="1:24" ht="15.75" customHeight="1">
      <c r="A8" s="9">
        <v>6</v>
      </c>
      <c r="B8" s="97" t="s">
        <v>2006</v>
      </c>
      <c r="C8" s="10" t="s">
        <v>2011</v>
      </c>
      <c r="D8" s="46" t="s">
        <v>2028</v>
      </c>
      <c r="E8" s="19" t="s">
        <v>2029</v>
      </c>
      <c r="F8" s="18">
        <v>5</v>
      </c>
      <c r="G8" s="18">
        <v>5</v>
      </c>
      <c r="H8" s="12"/>
      <c r="I8" s="14"/>
      <c r="J8" s="14" t="s">
        <v>1728</v>
      </c>
      <c r="K8" s="116"/>
      <c r="L8" s="91" t="s">
        <v>1728</v>
      </c>
      <c r="M8" s="102"/>
      <c r="N8" s="14"/>
      <c r="O8" s="9"/>
      <c r="P8" s="116"/>
      <c r="Q8" s="14" t="s">
        <v>1728</v>
      </c>
      <c r="R8" s="111"/>
      <c r="S8" s="19"/>
      <c r="T8" s="107" t="s">
        <v>1728</v>
      </c>
      <c r="U8" s="60" t="s">
        <v>1728</v>
      </c>
      <c r="V8" s="110" t="s">
        <v>1728</v>
      </c>
      <c r="W8" s="112" t="s">
        <v>384</v>
      </c>
      <c r="X8" s="19"/>
    </row>
    <row r="9" spans="1:24" ht="15.75" customHeight="1">
      <c r="A9" s="9">
        <v>7</v>
      </c>
      <c r="B9" s="97" t="s">
        <v>2006</v>
      </c>
      <c r="C9" s="10" t="s">
        <v>2011</v>
      </c>
      <c r="D9" s="62" t="s">
        <v>1968</v>
      </c>
      <c r="E9" s="19" t="s">
        <v>1969</v>
      </c>
      <c r="F9" s="18">
        <v>3</v>
      </c>
      <c r="G9" s="18">
        <v>2</v>
      </c>
      <c r="H9" s="12"/>
      <c r="I9" s="10"/>
      <c r="J9" s="14" t="s">
        <v>1728</v>
      </c>
      <c r="K9" s="116"/>
      <c r="L9" s="14" t="s">
        <v>1728</v>
      </c>
      <c r="M9" s="102"/>
      <c r="N9" s="14"/>
      <c r="O9" s="9"/>
      <c r="P9" s="116"/>
      <c r="Q9" s="10" t="s">
        <v>1728</v>
      </c>
      <c r="R9" s="111"/>
      <c r="S9" s="19"/>
      <c r="T9" s="19" t="s">
        <v>1728</v>
      </c>
      <c r="U9" s="18" t="s">
        <v>1728</v>
      </c>
      <c r="V9" s="107" t="s">
        <v>1728</v>
      </c>
      <c r="W9" s="64" t="s">
        <v>500</v>
      </c>
      <c r="X9" s="18" t="s">
        <v>2030</v>
      </c>
    </row>
    <row r="10" spans="1:24" ht="15.75" customHeight="1">
      <c r="A10" s="9">
        <v>8</v>
      </c>
      <c r="B10" s="97" t="s">
        <v>2006</v>
      </c>
      <c r="C10" s="14" t="s">
        <v>1776</v>
      </c>
      <c r="D10" s="62" t="s">
        <v>1974</v>
      </c>
      <c r="E10" s="12" t="s">
        <v>2031</v>
      </c>
      <c r="F10" s="18">
        <v>3</v>
      </c>
      <c r="G10" s="18">
        <v>2</v>
      </c>
      <c r="H10" s="12"/>
      <c r="I10" s="14"/>
      <c r="J10" s="19" t="s">
        <v>1728</v>
      </c>
      <c r="K10" s="116"/>
      <c r="L10" s="14" t="s">
        <v>1728</v>
      </c>
      <c r="M10" s="102"/>
      <c r="N10" s="14"/>
      <c r="O10" s="9"/>
      <c r="P10" s="14"/>
      <c r="Q10" s="63" t="s">
        <v>1728</v>
      </c>
      <c r="R10" s="19"/>
      <c r="S10" s="19"/>
      <c r="T10" s="19" t="s">
        <v>1728</v>
      </c>
      <c r="U10" s="18" t="s">
        <v>1728</v>
      </c>
      <c r="V10" s="19" t="s">
        <v>1728</v>
      </c>
      <c r="W10" s="64" t="s">
        <v>500</v>
      </c>
      <c r="X10" s="18" t="s">
        <v>2032</v>
      </c>
    </row>
    <row r="11" spans="1:24" ht="15.75" customHeight="1">
      <c r="A11" s="107"/>
      <c r="B11" s="108"/>
      <c r="C11" s="63"/>
      <c r="D11" s="109"/>
      <c r="E11" s="107"/>
      <c r="F11" s="108"/>
      <c r="G11" s="108"/>
      <c r="H11" s="109"/>
      <c r="I11" s="63"/>
      <c r="J11" s="107"/>
      <c r="K11" s="63"/>
      <c r="L11" s="107"/>
      <c r="M11" s="63"/>
      <c r="N11" s="63"/>
      <c r="O11" s="24"/>
      <c r="P11" s="63"/>
      <c r="Q11" s="107"/>
      <c r="R11" s="107"/>
      <c r="S11" s="107"/>
      <c r="T11" s="107"/>
      <c r="U11" s="107"/>
      <c r="V11" s="107"/>
      <c r="W11" s="107"/>
      <c r="X11" s="107"/>
    </row>
    <row r="12" spans="1:24" ht="15.75" customHeight="1">
      <c r="A12" s="19"/>
      <c r="B12" s="18"/>
      <c r="C12" s="14"/>
      <c r="D12" s="12"/>
      <c r="E12" s="19"/>
      <c r="F12" s="18"/>
      <c r="G12" s="18"/>
      <c r="H12" s="12"/>
      <c r="I12" s="14"/>
      <c r="J12" s="19"/>
      <c r="K12" s="14"/>
      <c r="L12" s="19"/>
      <c r="M12" s="14"/>
      <c r="N12" s="14"/>
      <c r="O12" s="9"/>
      <c r="P12" s="14"/>
      <c r="Q12" s="19"/>
      <c r="R12" s="19"/>
      <c r="S12" s="19"/>
      <c r="T12" s="19"/>
      <c r="U12" s="19"/>
      <c r="V12" s="19"/>
      <c r="W12" s="19"/>
      <c r="X12" s="19"/>
    </row>
    <row r="13" spans="1:24" ht="15.75" customHeight="1">
      <c r="A13" s="19"/>
      <c r="B13" s="18"/>
      <c r="C13" s="14"/>
      <c r="D13" s="12"/>
      <c r="E13" s="19"/>
      <c r="F13" s="18"/>
      <c r="G13" s="18"/>
      <c r="H13" s="12"/>
      <c r="I13" s="14"/>
      <c r="J13" s="19"/>
      <c r="K13" s="14"/>
      <c r="L13" s="19"/>
      <c r="M13" s="14"/>
      <c r="N13" s="14"/>
      <c r="O13" s="9"/>
      <c r="P13" s="14"/>
      <c r="Q13" s="19"/>
      <c r="R13" s="19"/>
      <c r="S13" s="19"/>
      <c r="T13" s="19"/>
      <c r="U13" s="19"/>
      <c r="V13" s="19"/>
      <c r="W13" s="19"/>
      <c r="X13" s="19"/>
    </row>
    <row r="14" spans="1:24" ht="15.75" customHeight="1">
      <c r="A14" s="19"/>
      <c r="B14" s="18"/>
      <c r="C14" s="14"/>
      <c r="D14" s="12"/>
      <c r="E14" s="19"/>
      <c r="F14" s="18"/>
      <c r="G14" s="18"/>
      <c r="H14" s="12"/>
      <c r="I14" s="14"/>
      <c r="J14" s="19"/>
      <c r="K14" s="14"/>
      <c r="L14" s="19"/>
      <c r="M14" s="14"/>
      <c r="N14" s="14"/>
      <c r="O14" s="9"/>
      <c r="P14" s="14"/>
      <c r="Q14" s="19"/>
      <c r="R14" s="19"/>
      <c r="S14" s="19"/>
      <c r="T14" s="19"/>
      <c r="U14" s="19"/>
      <c r="V14" s="19"/>
      <c r="W14" s="19"/>
      <c r="X14" s="19"/>
    </row>
    <row r="15" spans="1:24" ht="15.75" customHeight="1">
      <c r="A15" s="19"/>
      <c r="B15" s="18"/>
      <c r="C15" s="14"/>
      <c r="D15" s="12"/>
      <c r="E15" s="19"/>
      <c r="F15" s="18"/>
      <c r="G15" s="18"/>
      <c r="H15" s="12"/>
      <c r="I15" s="14"/>
      <c r="J15" s="19"/>
      <c r="K15" s="14"/>
      <c r="L15" s="19"/>
      <c r="M15" s="14"/>
      <c r="N15" s="14"/>
      <c r="O15" s="9"/>
      <c r="P15" s="14"/>
      <c r="Q15" s="19"/>
      <c r="R15" s="19"/>
      <c r="S15" s="19"/>
      <c r="T15" s="19"/>
      <c r="U15" s="19"/>
      <c r="V15" s="19"/>
      <c r="W15" s="19"/>
      <c r="X15" s="19"/>
    </row>
    <row r="16" spans="1:24" ht="15.75" customHeight="1">
      <c r="B16" s="28"/>
      <c r="C16" s="3"/>
      <c r="E16" s="35"/>
      <c r="F16" s="28"/>
      <c r="G16" s="28"/>
      <c r="H16" s="29"/>
      <c r="I16" s="14"/>
      <c r="K16" s="3"/>
      <c r="M16" s="3"/>
      <c r="N16" s="3"/>
      <c r="O16" s="52"/>
      <c r="P16" s="3"/>
    </row>
    <row r="17" spans="2:16" ht="15.75" customHeight="1">
      <c r="B17" s="28"/>
      <c r="C17" s="3"/>
      <c r="E17" s="35"/>
      <c r="F17" s="28"/>
      <c r="G17" s="28"/>
      <c r="H17" s="29"/>
      <c r="I17" s="14"/>
      <c r="K17" s="3"/>
      <c r="M17" s="3"/>
      <c r="N17" s="3"/>
      <c r="O17" s="52"/>
      <c r="P17" s="3"/>
    </row>
    <row r="18" spans="2:16" ht="15.75" customHeight="1">
      <c r="B18" s="28"/>
      <c r="C18" s="3"/>
      <c r="E18" s="35"/>
      <c r="F18" s="28"/>
      <c r="G18" s="28"/>
      <c r="H18" s="29"/>
      <c r="I18" s="14"/>
      <c r="K18" s="3"/>
      <c r="M18" s="3"/>
      <c r="N18" s="3"/>
      <c r="O18" s="52"/>
      <c r="P18" s="3"/>
    </row>
    <row r="19" spans="2:16" ht="15.75" customHeight="1">
      <c r="B19" s="28"/>
      <c r="C19" s="3"/>
      <c r="E19" s="35"/>
      <c r="F19" s="28"/>
      <c r="G19" s="28"/>
      <c r="H19" s="29"/>
      <c r="I19" s="14"/>
      <c r="K19" s="3"/>
      <c r="M19" s="3"/>
      <c r="N19" s="3"/>
      <c r="O19" s="52"/>
      <c r="P19" s="3"/>
    </row>
    <row r="20" spans="2:16" ht="15.75" customHeight="1">
      <c r="B20" s="28"/>
      <c r="C20" s="3"/>
      <c r="E20" s="35"/>
      <c r="F20" s="28"/>
      <c r="G20" s="28"/>
      <c r="H20" s="29"/>
      <c r="I20" s="14"/>
      <c r="K20" s="3"/>
      <c r="M20" s="3"/>
      <c r="N20" s="3"/>
      <c r="O20" s="52"/>
      <c r="P20" s="3"/>
    </row>
    <row r="21" spans="2:16" ht="15.75" customHeight="1">
      <c r="B21" s="28"/>
      <c r="C21" s="3"/>
      <c r="E21" s="35"/>
      <c r="F21" s="28"/>
      <c r="G21" s="28"/>
      <c r="H21" s="29"/>
      <c r="I21" s="14"/>
      <c r="K21" s="3"/>
      <c r="M21" s="3"/>
      <c r="N21" s="3"/>
      <c r="O21" s="52"/>
      <c r="P21" s="3"/>
    </row>
    <row r="22" spans="2:16" ht="15.75" customHeight="1">
      <c r="B22" s="28"/>
      <c r="C22" s="3"/>
      <c r="E22" s="35"/>
      <c r="F22" s="28"/>
      <c r="G22" s="28"/>
      <c r="H22" s="29"/>
      <c r="I22" s="14"/>
      <c r="K22" s="3"/>
      <c r="M22" s="3"/>
      <c r="N22" s="3"/>
      <c r="O22" s="52"/>
      <c r="P22" s="3"/>
    </row>
    <row r="23" spans="2:16" ht="15.75" customHeight="1">
      <c r="B23" s="28"/>
      <c r="C23" s="3"/>
      <c r="E23" s="35"/>
      <c r="F23" s="28"/>
      <c r="G23" s="28"/>
      <c r="H23" s="29"/>
      <c r="I23" s="14"/>
      <c r="K23" s="3"/>
      <c r="M23" s="3"/>
      <c r="N23" s="3"/>
      <c r="O23" s="52"/>
      <c r="P23" s="3"/>
    </row>
    <row r="24" spans="2:16" ht="15.75" customHeight="1">
      <c r="B24" s="28"/>
      <c r="C24" s="3"/>
      <c r="E24" s="35"/>
      <c r="F24" s="28"/>
      <c r="G24" s="28"/>
      <c r="H24" s="29"/>
      <c r="I24" s="14"/>
      <c r="K24" s="3"/>
      <c r="M24" s="3"/>
      <c r="N24" s="3"/>
      <c r="O24" s="52"/>
      <c r="P24" s="3"/>
    </row>
    <row r="25" spans="2:16" ht="15.75" customHeight="1">
      <c r="B25" s="28"/>
      <c r="C25" s="3"/>
      <c r="E25" s="35"/>
      <c r="F25" s="28"/>
      <c r="G25" s="28"/>
      <c r="H25" s="29"/>
      <c r="I25" s="14"/>
      <c r="K25" s="3"/>
      <c r="M25" s="3"/>
      <c r="N25" s="3"/>
      <c r="O25" s="52"/>
      <c r="P25" s="3"/>
    </row>
    <row r="26" spans="2:16" ht="15.75" customHeight="1">
      <c r="B26" s="28"/>
      <c r="C26" s="3"/>
      <c r="E26" s="35"/>
      <c r="F26" s="28"/>
      <c r="G26" s="28"/>
      <c r="H26" s="29"/>
      <c r="I26" s="14"/>
      <c r="K26" s="3"/>
      <c r="M26" s="3"/>
      <c r="N26" s="3"/>
      <c r="O26" s="52"/>
      <c r="P26" s="3"/>
    </row>
    <row r="27" spans="2:16" ht="15.75" customHeight="1">
      <c r="B27" s="28"/>
      <c r="C27" s="3"/>
      <c r="E27" s="35"/>
      <c r="F27" s="28"/>
      <c r="G27" s="28"/>
      <c r="H27" s="29"/>
      <c r="I27" s="14"/>
      <c r="K27" s="3"/>
      <c r="M27" s="3"/>
      <c r="N27" s="3"/>
      <c r="O27" s="52"/>
      <c r="P27" s="3"/>
    </row>
    <row r="28" spans="2:16" ht="15.75" customHeight="1">
      <c r="B28" s="28"/>
      <c r="C28" s="3"/>
      <c r="E28" s="35"/>
      <c r="F28" s="28"/>
      <c r="G28" s="28"/>
      <c r="H28" s="29"/>
      <c r="I28" s="14"/>
      <c r="K28" s="3"/>
      <c r="M28" s="3"/>
      <c r="N28" s="3"/>
      <c r="O28" s="52"/>
      <c r="P28" s="3"/>
    </row>
    <row r="29" spans="2:16" ht="15.75" customHeight="1">
      <c r="B29" s="28"/>
      <c r="C29" s="3"/>
      <c r="E29" s="35"/>
      <c r="F29" s="28"/>
      <c r="G29" s="28"/>
      <c r="H29" s="29"/>
      <c r="I29" s="14"/>
      <c r="K29" s="3"/>
      <c r="M29" s="3"/>
      <c r="N29" s="3"/>
      <c r="O29" s="52"/>
      <c r="P29" s="3"/>
    </row>
    <row r="30" spans="2:16" ht="15.75" customHeight="1">
      <c r="B30" s="28"/>
      <c r="C30" s="3"/>
      <c r="E30" s="35"/>
      <c r="F30" s="28"/>
      <c r="G30" s="28"/>
      <c r="H30" s="29"/>
      <c r="I30" s="14"/>
      <c r="K30" s="3"/>
      <c r="M30" s="3"/>
      <c r="N30" s="3"/>
      <c r="O30" s="52"/>
      <c r="P30" s="3"/>
    </row>
    <row r="31" spans="2:16" ht="15.75" customHeight="1">
      <c r="B31" s="28"/>
      <c r="C31" s="3"/>
      <c r="E31" s="35"/>
      <c r="F31" s="28"/>
      <c r="G31" s="28"/>
      <c r="H31" s="29"/>
      <c r="I31" s="14"/>
      <c r="K31" s="3"/>
      <c r="M31" s="3"/>
      <c r="N31" s="3"/>
      <c r="O31" s="52"/>
      <c r="P31" s="3"/>
    </row>
    <row r="32" spans="2:16" ht="15.75" customHeight="1">
      <c r="B32" s="28"/>
      <c r="C32" s="3"/>
      <c r="E32" s="35"/>
      <c r="F32" s="28"/>
      <c r="G32" s="28"/>
      <c r="H32" s="29"/>
      <c r="I32" s="14"/>
      <c r="K32" s="3"/>
      <c r="M32" s="3"/>
      <c r="N32" s="3"/>
      <c r="O32" s="52"/>
      <c r="P32" s="3"/>
    </row>
    <row r="33" spans="2:16" ht="15.75" customHeight="1">
      <c r="B33" s="28"/>
      <c r="C33" s="3"/>
      <c r="E33" s="35"/>
      <c r="F33" s="28"/>
      <c r="G33" s="28"/>
      <c r="H33" s="29"/>
      <c r="I33" s="14"/>
      <c r="K33" s="3"/>
      <c r="M33" s="3"/>
      <c r="N33" s="3"/>
      <c r="O33" s="52"/>
      <c r="P33" s="3"/>
    </row>
    <row r="34" spans="2:16" ht="15.75" customHeight="1">
      <c r="B34" s="28"/>
      <c r="C34" s="3"/>
      <c r="E34" s="35"/>
      <c r="F34" s="28"/>
      <c r="G34" s="28"/>
      <c r="H34" s="29"/>
      <c r="I34" s="14"/>
      <c r="K34" s="3"/>
      <c r="M34" s="3"/>
      <c r="N34" s="3"/>
      <c r="O34" s="52"/>
      <c r="P34" s="3"/>
    </row>
    <row r="35" spans="2:16" ht="15.75" customHeight="1">
      <c r="B35" s="28"/>
      <c r="C35" s="3"/>
      <c r="E35" s="35"/>
      <c r="F35" s="28"/>
      <c r="G35" s="28"/>
      <c r="H35" s="29"/>
      <c r="I35" s="14"/>
      <c r="K35" s="3"/>
      <c r="M35" s="3"/>
      <c r="N35" s="3"/>
      <c r="O35" s="52"/>
      <c r="P35" s="3"/>
    </row>
    <row r="36" spans="2:16" ht="15.75" customHeight="1">
      <c r="B36" s="28"/>
      <c r="C36" s="3"/>
      <c r="E36" s="35"/>
      <c r="F36" s="28"/>
      <c r="G36" s="28"/>
      <c r="H36" s="29"/>
      <c r="I36" s="14"/>
      <c r="K36" s="3"/>
      <c r="M36" s="3"/>
      <c r="N36" s="3"/>
      <c r="O36" s="52"/>
      <c r="P36" s="3"/>
    </row>
    <row r="37" spans="2:16" ht="15.75" customHeight="1">
      <c r="B37" s="28"/>
      <c r="C37" s="3"/>
      <c r="E37" s="35"/>
      <c r="F37" s="28"/>
      <c r="G37" s="28"/>
      <c r="H37" s="29"/>
      <c r="I37" s="14"/>
      <c r="K37" s="3"/>
      <c r="M37" s="3"/>
      <c r="N37" s="3"/>
      <c r="O37" s="52"/>
      <c r="P37" s="3"/>
    </row>
    <row r="38" spans="2:16" ht="15.75" customHeight="1">
      <c r="B38" s="28"/>
      <c r="C38" s="3"/>
      <c r="E38" s="35"/>
      <c r="F38" s="28"/>
      <c r="G38" s="28"/>
      <c r="H38" s="29"/>
      <c r="I38" s="14"/>
      <c r="K38" s="3"/>
      <c r="M38" s="3"/>
      <c r="N38" s="3"/>
      <c r="O38" s="52"/>
      <c r="P38" s="3"/>
    </row>
    <row r="39" spans="2:16" ht="15.75" customHeight="1">
      <c r="B39" s="28"/>
      <c r="C39" s="3"/>
      <c r="E39" s="35"/>
      <c r="F39" s="28"/>
      <c r="G39" s="28"/>
      <c r="H39" s="29"/>
      <c r="I39" s="14"/>
      <c r="K39" s="3"/>
      <c r="M39" s="3"/>
      <c r="N39" s="3"/>
      <c r="O39" s="52"/>
      <c r="P39" s="3"/>
    </row>
    <row r="40" spans="2:16" ht="15.75" customHeight="1">
      <c r="B40" s="28"/>
      <c r="C40" s="3"/>
      <c r="E40" s="35"/>
      <c r="F40" s="28"/>
      <c r="G40" s="28"/>
      <c r="H40" s="29"/>
      <c r="I40" s="14"/>
      <c r="K40" s="3"/>
      <c r="M40" s="3"/>
      <c r="N40" s="3"/>
      <c r="O40" s="52"/>
      <c r="P40" s="3"/>
    </row>
    <row r="41" spans="2:16" ht="15.75" customHeight="1">
      <c r="B41" s="28"/>
      <c r="C41" s="3"/>
      <c r="E41" s="35"/>
      <c r="F41" s="28"/>
      <c r="G41" s="28"/>
      <c r="H41" s="29"/>
      <c r="I41" s="14"/>
      <c r="K41" s="3"/>
      <c r="M41" s="3"/>
      <c r="N41" s="3"/>
      <c r="O41" s="52"/>
      <c r="P41" s="3"/>
    </row>
    <row r="42" spans="2:16" ht="15.75" customHeight="1">
      <c r="B42" s="28"/>
      <c r="C42" s="3"/>
      <c r="E42" s="35"/>
      <c r="F42" s="28"/>
      <c r="G42" s="28"/>
      <c r="H42" s="29"/>
      <c r="I42" s="14"/>
      <c r="K42" s="3"/>
      <c r="M42" s="3"/>
      <c r="N42" s="3"/>
      <c r="O42" s="52"/>
      <c r="P42" s="3"/>
    </row>
    <row r="43" spans="2:16" ht="15.75" customHeight="1">
      <c r="B43" s="28"/>
      <c r="C43" s="3"/>
      <c r="E43" s="35"/>
      <c r="F43" s="28"/>
      <c r="G43" s="28"/>
      <c r="H43" s="29"/>
      <c r="I43" s="14"/>
      <c r="K43" s="3"/>
      <c r="M43" s="3"/>
      <c r="N43" s="3"/>
      <c r="O43" s="52"/>
      <c r="P43" s="3"/>
    </row>
    <row r="44" spans="2:16" ht="15.75" customHeight="1">
      <c r="B44" s="28"/>
      <c r="C44" s="3"/>
      <c r="E44" s="35"/>
      <c r="F44" s="28"/>
      <c r="G44" s="28"/>
      <c r="H44" s="29"/>
      <c r="I44" s="14"/>
      <c r="K44" s="3"/>
      <c r="M44" s="3"/>
      <c r="N44" s="3"/>
      <c r="O44" s="52"/>
      <c r="P44" s="3"/>
    </row>
    <row r="45" spans="2:16" ht="15.75" customHeight="1">
      <c r="B45" s="28"/>
      <c r="C45" s="3"/>
      <c r="E45" s="35"/>
      <c r="F45" s="28"/>
      <c r="G45" s="28"/>
      <c r="H45" s="29"/>
      <c r="I45" s="14"/>
      <c r="K45" s="3"/>
      <c r="M45" s="3"/>
      <c r="N45" s="3"/>
      <c r="O45" s="52"/>
      <c r="P45" s="3"/>
    </row>
    <row r="46" spans="2:16" ht="15.75" customHeight="1">
      <c r="B46" s="28"/>
      <c r="C46" s="3"/>
      <c r="E46" s="35"/>
      <c r="F46" s="28"/>
      <c r="G46" s="28"/>
      <c r="H46" s="29"/>
      <c r="I46" s="14"/>
      <c r="K46" s="3"/>
      <c r="M46" s="3"/>
      <c r="N46" s="3"/>
      <c r="O46" s="52"/>
      <c r="P46" s="3"/>
    </row>
    <row r="47" spans="2:16" ht="15.75" customHeight="1">
      <c r="B47" s="28"/>
      <c r="C47" s="3"/>
      <c r="E47" s="35"/>
      <c r="F47" s="28"/>
      <c r="G47" s="28"/>
      <c r="H47" s="29"/>
      <c r="I47" s="14"/>
      <c r="K47" s="3"/>
      <c r="M47" s="3"/>
      <c r="N47" s="3"/>
      <c r="O47" s="52"/>
      <c r="P47" s="3"/>
    </row>
    <row r="48" spans="2:16" ht="15.75" customHeight="1">
      <c r="B48" s="28"/>
      <c r="C48" s="3"/>
      <c r="E48" s="35"/>
      <c r="F48" s="28"/>
      <c r="G48" s="28"/>
      <c r="H48" s="29"/>
      <c r="I48" s="14"/>
      <c r="K48" s="3"/>
      <c r="M48" s="3"/>
      <c r="N48" s="3"/>
      <c r="O48" s="52"/>
      <c r="P48" s="3"/>
    </row>
    <row r="49" spans="2:16" ht="15.75" customHeight="1">
      <c r="B49" s="28"/>
      <c r="C49" s="3"/>
      <c r="E49" s="35"/>
      <c r="F49" s="28"/>
      <c r="G49" s="28"/>
      <c r="H49" s="29"/>
      <c r="I49" s="14"/>
      <c r="K49" s="3"/>
      <c r="M49" s="3"/>
      <c r="N49" s="3"/>
      <c r="O49" s="52"/>
      <c r="P49" s="3"/>
    </row>
    <row r="50" spans="2:16" ht="15.75" customHeight="1">
      <c r="B50" s="28"/>
      <c r="C50" s="3"/>
      <c r="E50" s="35"/>
      <c r="F50" s="28"/>
      <c r="G50" s="28"/>
      <c r="H50" s="29"/>
      <c r="I50" s="14"/>
      <c r="K50" s="3"/>
      <c r="M50" s="3"/>
      <c r="N50" s="3"/>
      <c r="O50" s="52"/>
      <c r="P50" s="3"/>
    </row>
    <row r="51" spans="2:16" ht="15.75" customHeight="1">
      <c r="B51" s="28"/>
      <c r="C51" s="3"/>
      <c r="E51" s="35"/>
      <c r="F51" s="28"/>
      <c r="G51" s="28"/>
      <c r="H51" s="29"/>
      <c r="I51" s="14"/>
      <c r="K51" s="3"/>
      <c r="M51" s="3"/>
      <c r="N51" s="3"/>
      <c r="O51" s="52"/>
      <c r="P51" s="3"/>
    </row>
    <row r="52" spans="2:16" ht="15.75" customHeight="1">
      <c r="B52" s="28"/>
      <c r="C52" s="3"/>
      <c r="E52" s="35"/>
      <c r="F52" s="28"/>
      <c r="G52" s="28"/>
      <c r="H52" s="29"/>
      <c r="I52" s="14"/>
      <c r="K52" s="3"/>
      <c r="M52" s="3"/>
      <c r="N52" s="3"/>
      <c r="O52" s="52"/>
      <c r="P52" s="3"/>
    </row>
    <row r="53" spans="2:16" ht="15.75" customHeight="1">
      <c r="B53" s="28"/>
      <c r="C53" s="3"/>
      <c r="E53" s="35"/>
      <c r="F53" s="28"/>
      <c r="G53" s="28"/>
      <c r="H53" s="29"/>
      <c r="I53" s="14"/>
      <c r="K53" s="3"/>
      <c r="M53" s="3"/>
      <c r="N53" s="3"/>
      <c r="O53" s="52"/>
      <c r="P53" s="3"/>
    </row>
    <row r="54" spans="2:16" ht="15.75" customHeight="1">
      <c r="B54" s="28"/>
      <c r="C54" s="3"/>
      <c r="E54" s="35"/>
      <c r="F54" s="28"/>
      <c r="G54" s="28"/>
      <c r="H54" s="29"/>
      <c r="I54" s="14"/>
      <c r="K54" s="3"/>
      <c r="M54" s="3"/>
      <c r="N54" s="3"/>
      <c r="O54" s="52"/>
      <c r="P54" s="3"/>
    </row>
    <row r="55" spans="2:16" ht="15.75" customHeight="1">
      <c r="B55" s="28"/>
      <c r="C55" s="3"/>
      <c r="E55" s="35"/>
      <c r="F55" s="28"/>
      <c r="G55" s="28"/>
      <c r="H55" s="29"/>
      <c r="I55" s="14"/>
      <c r="K55" s="3"/>
      <c r="M55" s="3"/>
      <c r="N55" s="3"/>
      <c r="O55" s="52"/>
      <c r="P55" s="3"/>
    </row>
    <row r="56" spans="2:16" ht="15.75" customHeight="1">
      <c r="B56" s="28"/>
      <c r="C56" s="3"/>
      <c r="E56" s="35"/>
      <c r="F56" s="28"/>
      <c r="G56" s="28"/>
      <c r="H56" s="29"/>
      <c r="I56" s="14"/>
      <c r="K56" s="3"/>
      <c r="M56" s="3"/>
      <c r="N56" s="3"/>
      <c r="O56" s="52"/>
      <c r="P56" s="3"/>
    </row>
    <row r="57" spans="2:16" ht="15.75" customHeight="1">
      <c r="B57" s="28"/>
      <c r="C57" s="3"/>
      <c r="E57" s="35"/>
      <c r="F57" s="28"/>
      <c r="G57" s="28"/>
      <c r="H57" s="29"/>
      <c r="I57" s="14"/>
      <c r="K57" s="3"/>
      <c r="M57" s="3"/>
      <c r="N57" s="3"/>
      <c r="O57" s="52"/>
      <c r="P57" s="3"/>
    </row>
    <row r="58" spans="2:16" ht="15.75" customHeight="1">
      <c r="B58" s="28"/>
      <c r="C58" s="3"/>
      <c r="E58" s="35"/>
      <c r="F58" s="28"/>
      <c r="G58" s="28"/>
      <c r="H58" s="29"/>
      <c r="I58" s="14"/>
      <c r="K58" s="3"/>
      <c r="M58" s="3"/>
      <c r="N58" s="3"/>
      <c r="O58" s="52"/>
      <c r="P58" s="3"/>
    </row>
    <row r="59" spans="2:16" ht="15.75" customHeight="1">
      <c r="B59" s="28"/>
      <c r="C59" s="3"/>
      <c r="E59" s="35"/>
      <c r="F59" s="28"/>
      <c r="G59" s="28"/>
      <c r="H59" s="29"/>
      <c r="I59" s="14"/>
      <c r="K59" s="3"/>
      <c r="M59" s="3"/>
      <c r="N59" s="3"/>
      <c r="O59" s="52"/>
      <c r="P59" s="3"/>
    </row>
    <row r="60" spans="2:16" ht="15.75" customHeight="1">
      <c r="B60" s="28"/>
      <c r="C60" s="3"/>
      <c r="E60" s="35"/>
      <c r="F60" s="28"/>
      <c r="G60" s="28"/>
      <c r="H60" s="29"/>
      <c r="I60" s="14"/>
      <c r="K60" s="3"/>
      <c r="M60" s="3"/>
      <c r="N60" s="3"/>
      <c r="O60" s="52"/>
      <c r="P60" s="3"/>
    </row>
    <row r="61" spans="2:16" ht="15.75" customHeight="1">
      <c r="B61" s="28"/>
      <c r="C61" s="3"/>
      <c r="E61" s="35"/>
      <c r="F61" s="28"/>
      <c r="G61" s="28"/>
      <c r="H61" s="29"/>
      <c r="I61" s="14"/>
      <c r="K61" s="3"/>
      <c r="M61" s="3"/>
      <c r="N61" s="3"/>
      <c r="O61" s="52"/>
      <c r="P61" s="3"/>
    </row>
    <row r="62" spans="2:16" ht="15.75" customHeight="1">
      <c r="B62" s="28"/>
      <c r="C62" s="3"/>
      <c r="E62" s="35"/>
      <c r="F62" s="28"/>
      <c r="G62" s="28"/>
      <c r="H62" s="29"/>
      <c r="I62" s="14"/>
      <c r="K62" s="3"/>
      <c r="M62" s="3"/>
      <c r="N62" s="3"/>
      <c r="O62" s="52"/>
      <c r="P62" s="3"/>
    </row>
    <row r="63" spans="2:16" ht="15.75" customHeight="1">
      <c r="B63" s="28"/>
      <c r="C63" s="3"/>
      <c r="E63" s="35"/>
      <c r="F63" s="28"/>
      <c r="G63" s="28"/>
      <c r="H63" s="29"/>
      <c r="I63" s="14"/>
      <c r="K63" s="3"/>
      <c r="M63" s="3"/>
      <c r="N63" s="3"/>
      <c r="O63" s="52"/>
      <c r="P63" s="3"/>
    </row>
    <row r="64" spans="2:16" ht="15.75" customHeight="1">
      <c r="B64" s="28"/>
      <c r="C64" s="3"/>
      <c r="E64" s="35"/>
      <c r="F64" s="28"/>
      <c r="G64" s="28"/>
      <c r="H64" s="29"/>
      <c r="I64" s="14"/>
      <c r="K64" s="3"/>
      <c r="M64" s="3"/>
      <c r="N64" s="3"/>
      <c r="O64" s="52"/>
      <c r="P64" s="3"/>
    </row>
    <row r="65" spans="2:16" ht="15.75" customHeight="1">
      <c r="B65" s="28"/>
      <c r="C65" s="3"/>
      <c r="E65" s="35"/>
      <c r="F65" s="28"/>
      <c r="G65" s="28"/>
      <c r="H65" s="29"/>
      <c r="I65" s="14"/>
      <c r="K65" s="3"/>
      <c r="M65" s="3"/>
      <c r="N65" s="3"/>
      <c r="O65" s="52"/>
      <c r="P65" s="3"/>
    </row>
    <row r="66" spans="2:16" ht="15.75" customHeight="1">
      <c r="B66" s="28"/>
      <c r="C66" s="3"/>
      <c r="E66" s="35"/>
      <c r="F66" s="28"/>
      <c r="G66" s="28"/>
      <c r="H66" s="29"/>
      <c r="I66" s="14"/>
      <c r="K66" s="3"/>
      <c r="M66" s="3"/>
      <c r="N66" s="3"/>
      <c r="O66" s="52"/>
      <c r="P66" s="3"/>
    </row>
    <row r="67" spans="2:16" ht="15.75" customHeight="1">
      <c r="B67" s="28"/>
      <c r="C67" s="3"/>
      <c r="E67" s="35"/>
      <c r="F67" s="28"/>
      <c r="G67" s="28"/>
      <c r="H67" s="29"/>
      <c r="I67" s="14"/>
      <c r="K67" s="3"/>
      <c r="M67" s="3"/>
      <c r="N67" s="3"/>
      <c r="O67" s="52"/>
      <c r="P67" s="3"/>
    </row>
    <row r="68" spans="2:16" ht="15.75" customHeight="1">
      <c r="B68" s="28"/>
      <c r="C68" s="3"/>
      <c r="E68" s="35"/>
      <c r="F68" s="28"/>
      <c r="G68" s="28"/>
      <c r="H68" s="29"/>
      <c r="I68" s="14"/>
      <c r="K68" s="3"/>
      <c r="M68" s="3"/>
      <c r="N68" s="3"/>
      <c r="O68" s="52"/>
      <c r="P68" s="3"/>
    </row>
    <row r="69" spans="2:16" ht="15.75" customHeight="1">
      <c r="B69" s="28"/>
      <c r="C69" s="3"/>
      <c r="E69" s="35"/>
      <c r="F69" s="28"/>
      <c r="G69" s="28"/>
      <c r="H69" s="29"/>
      <c r="I69" s="14"/>
      <c r="K69" s="3"/>
      <c r="M69" s="3"/>
      <c r="N69" s="3"/>
      <c r="O69" s="52"/>
      <c r="P69" s="3"/>
    </row>
    <row r="70" spans="2:16" ht="15.75" customHeight="1">
      <c r="B70" s="28"/>
      <c r="C70" s="3"/>
      <c r="E70" s="35"/>
      <c r="F70" s="28"/>
      <c r="G70" s="28"/>
      <c r="H70" s="29"/>
      <c r="I70" s="14"/>
      <c r="K70" s="3"/>
      <c r="M70" s="3"/>
      <c r="N70" s="3"/>
      <c r="O70" s="52"/>
      <c r="P70" s="3"/>
    </row>
    <row r="71" spans="2:16" ht="15.75" customHeight="1">
      <c r="B71" s="28"/>
      <c r="C71" s="3"/>
      <c r="E71" s="35"/>
      <c r="F71" s="28"/>
      <c r="G71" s="28"/>
      <c r="H71" s="29"/>
      <c r="I71" s="14"/>
      <c r="K71" s="3"/>
      <c r="M71" s="3"/>
      <c r="N71" s="3"/>
      <c r="O71" s="52"/>
      <c r="P71" s="3"/>
    </row>
    <row r="72" spans="2:16" ht="15.75" customHeight="1">
      <c r="B72" s="28"/>
      <c r="C72" s="3"/>
      <c r="E72" s="35"/>
      <c r="F72" s="28"/>
      <c r="G72" s="28"/>
      <c r="H72" s="29"/>
      <c r="I72" s="14"/>
      <c r="K72" s="3"/>
      <c r="M72" s="3"/>
      <c r="N72" s="3"/>
      <c r="O72" s="52"/>
      <c r="P72" s="3"/>
    </row>
    <row r="73" spans="2:16" ht="15.75" customHeight="1">
      <c r="B73" s="28"/>
      <c r="C73" s="3"/>
      <c r="E73" s="35"/>
      <c r="F73" s="28"/>
      <c r="G73" s="28"/>
      <c r="H73" s="29"/>
      <c r="I73" s="14"/>
      <c r="K73" s="3"/>
      <c r="M73" s="3"/>
      <c r="N73" s="3"/>
      <c r="O73" s="52"/>
      <c r="P73" s="3"/>
    </row>
    <row r="74" spans="2:16" ht="15.75" customHeight="1">
      <c r="B74" s="28"/>
      <c r="C74" s="3"/>
      <c r="E74" s="35"/>
      <c r="F74" s="28"/>
      <c r="G74" s="28"/>
      <c r="H74" s="29"/>
      <c r="I74" s="14"/>
      <c r="K74" s="3"/>
      <c r="M74" s="3"/>
      <c r="N74" s="3"/>
      <c r="O74" s="52"/>
      <c r="P74" s="3"/>
    </row>
    <row r="75" spans="2:16" ht="15.75" customHeight="1">
      <c r="B75" s="28"/>
      <c r="C75" s="3"/>
      <c r="E75" s="35"/>
      <c r="F75" s="28"/>
      <c r="G75" s="28"/>
      <c r="H75" s="29"/>
      <c r="I75" s="14"/>
      <c r="K75" s="3"/>
      <c r="M75" s="3"/>
      <c r="N75" s="3"/>
      <c r="O75" s="52"/>
      <c r="P75" s="3"/>
    </row>
    <row r="76" spans="2:16" ht="15.75" customHeight="1">
      <c r="B76" s="28"/>
      <c r="C76" s="3"/>
      <c r="E76" s="35"/>
      <c r="F76" s="28"/>
      <c r="G76" s="28"/>
      <c r="H76" s="29"/>
      <c r="I76" s="14"/>
      <c r="K76" s="3"/>
      <c r="M76" s="3"/>
      <c r="N76" s="3"/>
      <c r="O76" s="52"/>
      <c r="P76" s="3"/>
    </row>
    <row r="77" spans="2:16" ht="15.75" customHeight="1">
      <c r="B77" s="28"/>
      <c r="C77" s="3"/>
      <c r="E77" s="35"/>
      <c r="F77" s="28"/>
      <c r="G77" s="28"/>
      <c r="H77" s="29"/>
      <c r="I77" s="14"/>
      <c r="K77" s="3"/>
      <c r="M77" s="3"/>
      <c r="N77" s="3"/>
      <c r="O77" s="52"/>
      <c r="P77" s="3"/>
    </row>
    <row r="78" spans="2:16" ht="15.75" customHeight="1">
      <c r="B78" s="28"/>
      <c r="C78" s="3"/>
      <c r="E78" s="35"/>
      <c r="F78" s="28"/>
      <c r="G78" s="28"/>
      <c r="H78" s="29"/>
      <c r="I78" s="14"/>
      <c r="K78" s="3"/>
      <c r="M78" s="3"/>
      <c r="N78" s="3"/>
      <c r="O78" s="52"/>
      <c r="P78" s="3"/>
    </row>
    <row r="79" spans="2:16" ht="15.75" customHeight="1">
      <c r="B79" s="28"/>
      <c r="C79" s="3"/>
      <c r="E79" s="35"/>
      <c r="F79" s="28"/>
      <c r="G79" s="28"/>
      <c r="H79" s="29"/>
      <c r="I79" s="14"/>
      <c r="K79" s="3"/>
      <c r="M79" s="3"/>
      <c r="N79" s="3"/>
      <c r="O79" s="52"/>
      <c r="P79" s="3"/>
    </row>
    <row r="80" spans="2:16" ht="15.75" customHeight="1">
      <c r="B80" s="28"/>
      <c r="C80" s="3"/>
      <c r="E80" s="35"/>
      <c r="F80" s="28"/>
      <c r="G80" s="28"/>
      <c r="H80" s="29"/>
      <c r="I80" s="14"/>
      <c r="K80" s="3"/>
      <c r="M80" s="3"/>
      <c r="N80" s="3"/>
      <c r="O80" s="52"/>
      <c r="P80" s="3"/>
    </row>
    <row r="81" spans="2:16" ht="15.75" customHeight="1">
      <c r="B81" s="28"/>
      <c r="C81" s="3"/>
      <c r="E81" s="35"/>
      <c r="F81" s="28"/>
      <c r="G81" s="28"/>
      <c r="H81" s="29"/>
      <c r="I81" s="14"/>
      <c r="K81" s="3"/>
      <c r="M81" s="3"/>
      <c r="N81" s="3"/>
      <c r="O81" s="52"/>
      <c r="P81" s="3"/>
    </row>
    <row r="82" spans="2:16" ht="15.75" customHeight="1">
      <c r="B82" s="28"/>
      <c r="C82" s="3"/>
      <c r="E82" s="35"/>
      <c r="F82" s="28"/>
      <c r="G82" s="28"/>
      <c r="H82" s="29"/>
      <c r="I82" s="14"/>
      <c r="K82" s="3"/>
      <c r="M82" s="3"/>
      <c r="N82" s="3"/>
      <c r="O82" s="52"/>
      <c r="P82" s="3"/>
    </row>
    <row r="83" spans="2:16" ht="15.75" customHeight="1">
      <c r="B83" s="28"/>
      <c r="C83" s="3"/>
      <c r="E83" s="35"/>
      <c r="F83" s="28"/>
      <c r="G83" s="28"/>
      <c r="H83" s="29"/>
      <c r="I83" s="14"/>
      <c r="K83" s="3"/>
      <c r="M83" s="3"/>
      <c r="N83" s="3"/>
      <c r="O83" s="52"/>
      <c r="P83" s="3"/>
    </row>
    <row r="84" spans="2:16" ht="15.75" customHeight="1">
      <c r="B84" s="28"/>
      <c r="C84" s="3"/>
      <c r="E84" s="35"/>
      <c r="F84" s="28"/>
      <c r="G84" s="28"/>
      <c r="H84" s="29"/>
      <c r="I84" s="14"/>
      <c r="K84" s="3"/>
      <c r="M84" s="3"/>
      <c r="N84" s="3"/>
      <c r="O84" s="52"/>
      <c r="P84" s="3"/>
    </row>
    <row r="85" spans="2:16" ht="15.75" customHeight="1">
      <c r="B85" s="28"/>
      <c r="C85" s="3"/>
      <c r="E85" s="35"/>
      <c r="F85" s="28"/>
      <c r="G85" s="28"/>
      <c r="H85" s="29"/>
      <c r="I85" s="14"/>
      <c r="K85" s="3"/>
      <c r="M85" s="3"/>
      <c r="N85" s="3"/>
      <c r="O85" s="52"/>
      <c r="P85" s="3"/>
    </row>
    <row r="86" spans="2:16" ht="15.75" customHeight="1">
      <c r="B86" s="28"/>
      <c r="C86" s="3"/>
      <c r="E86" s="35"/>
      <c r="F86" s="28"/>
      <c r="G86" s="28"/>
      <c r="H86" s="29"/>
      <c r="I86" s="14"/>
      <c r="K86" s="3"/>
      <c r="M86" s="3"/>
      <c r="N86" s="3"/>
      <c r="O86" s="52"/>
      <c r="P86" s="3"/>
    </row>
    <row r="87" spans="2:16" ht="15.75" customHeight="1">
      <c r="B87" s="28"/>
      <c r="C87" s="3"/>
      <c r="E87" s="35"/>
      <c r="F87" s="28"/>
      <c r="G87" s="28"/>
      <c r="H87" s="29"/>
      <c r="I87" s="14"/>
      <c r="K87" s="3"/>
      <c r="M87" s="3"/>
      <c r="N87" s="3"/>
      <c r="O87" s="52"/>
      <c r="P87" s="3"/>
    </row>
    <row r="88" spans="2:16" ht="15.75" customHeight="1">
      <c r="B88" s="28"/>
      <c r="C88" s="3"/>
      <c r="E88" s="35"/>
      <c r="F88" s="28"/>
      <c r="G88" s="28"/>
      <c r="H88" s="29"/>
      <c r="I88" s="14"/>
      <c r="K88" s="3"/>
      <c r="M88" s="3"/>
      <c r="N88" s="3"/>
      <c r="O88" s="52"/>
      <c r="P88" s="3"/>
    </row>
    <row r="89" spans="2:16" ht="15.75" customHeight="1">
      <c r="B89" s="28"/>
      <c r="C89" s="3"/>
      <c r="E89" s="35"/>
      <c r="F89" s="28"/>
      <c r="G89" s="28"/>
      <c r="H89" s="29"/>
      <c r="I89" s="14"/>
      <c r="K89" s="3"/>
      <c r="M89" s="3"/>
      <c r="N89" s="3"/>
      <c r="O89" s="52"/>
      <c r="P89" s="3"/>
    </row>
    <row r="90" spans="2:16" ht="15.75" customHeight="1">
      <c r="B90" s="28"/>
      <c r="C90" s="3"/>
      <c r="E90" s="35"/>
      <c r="F90" s="28"/>
      <c r="G90" s="28"/>
      <c r="H90" s="29"/>
      <c r="I90" s="14"/>
      <c r="K90" s="3"/>
      <c r="M90" s="3"/>
      <c r="N90" s="3"/>
      <c r="O90" s="52"/>
      <c r="P90" s="3"/>
    </row>
    <row r="91" spans="2:16" ht="15.75" customHeight="1">
      <c r="B91" s="28"/>
      <c r="C91" s="3"/>
      <c r="E91" s="35"/>
      <c r="F91" s="28"/>
      <c r="G91" s="28"/>
      <c r="H91" s="29"/>
      <c r="I91" s="14"/>
      <c r="K91" s="3"/>
      <c r="M91" s="3"/>
      <c r="N91" s="3"/>
      <c r="O91" s="52"/>
      <c r="P91" s="3"/>
    </row>
    <row r="92" spans="2:16" ht="15.75" customHeight="1">
      <c r="B92" s="28"/>
      <c r="C92" s="3"/>
      <c r="E92" s="35"/>
      <c r="F92" s="28"/>
      <c r="G92" s="28"/>
      <c r="H92" s="29"/>
      <c r="I92" s="14"/>
      <c r="K92" s="3"/>
      <c r="M92" s="3"/>
      <c r="N92" s="3"/>
      <c r="O92" s="52"/>
      <c r="P92" s="3"/>
    </row>
    <row r="93" spans="2:16" ht="15.75" customHeight="1">
      <c r="B93" s="28"/>
      <c r="C93" s="3"/>
      <c r="E93" s="35"/>
      <c r="F93" s="28"/>
      <c r="G93" s="28"/>
      <c r="H93" s="29"/>
      <c r="I93" s="14"/>
      <c r="K93" s="3"/>
      <c r="M93" s="3"/>
      <c r="N93" s="3"/>
      <c r="O93" s="52"/>
      <c r="P93" s="3"/>
    </row>
    <row r="94" spans="2:16" ht="15.75" customHeight="1">
      <c r="B94" s="28"/>
      <c r="C94" s="3"/>
      <c r="E94" s="35"/>
      <c r="F94" s="28"/>
      <c r="G94" s="28"/>
      <c r="H94" s="29"/>
      <c r="I94" s="14"/>
      <c r="K94" s="3"/>
      <c r="M94" s="3"/>
      <c r="N94" s="3"/>
      <c r="O94" s="52"/>
      <c r="P94" s="3"/>
    </row>
    <row r="95" spans="2:16" ht="15.75" customHeight="1">
      <c r="B95" s="28"/>
      <c r="C95" s="3"/>
      <c r="E95" s="35"/>
      <c r="F95" s="28"/>
      <c r="G95" s="28"/>
      <c r="H95" s="29"/>
      <c r="I95" s="14"/>
      <c r="K95" s="3"/>
      <c r="M95" s="3"/>
      <c r="N95" s="3"/>
      <c r="O95" s="52"/>
      <c r="P95" s="3"/>
    </row>
    <row r="96" spans="2:16" ht="15.75" customHeight="1">
      <c r="B96" s="28"/>
      <c r="C96" s="3"/>
      <c r="E96" s="35"/>
      <c r="F96" s="28"/>
      <c r="G96" s="28"/>
      <c r="H96" s="29"/>
      <c r="I96" s="14"/>
      <c r="K96" s="3"/>
      <c r="M96" s="3"/>
      <c r="N96" s="3"/>
      <c r="O96" s="52"/>
      <c r="P96" s="3"/>
    </row>
    <row r="97" spans="2:16" ht="15.75" customHeight="1">
      <c r="B97" s="28"/>
      <c r="C97" s="3"/>
      <c r="E97" s="35"/>
      <c r="F97" s="28"/>
      <c r="G97" s="28"/>
      <c r="H97" s="29"/>
      <c r="I97" s="14"/>
      <c r="K97" s="3"/>
      <c r="M97" s="3"/>
      <c r="N97" s="3"/>
      <c r="O97" s="52"/>
      <c r="P97" s="3"/>
    </row>
    <row r="98" spans="2:16" ht="15.75" customHeight="1">
      <c r="B98" s="28"/>
      <c r="C98" s="3"/>
      <c r="E98" s="35"/>
      <c r="F98" s="28"/>
      <c r="G98" s="28"/>
      <c r="H98" s="29"/>
      <c r="I98" s="14"/>
      <c r="K98" s="3"/>
      <c r="M98" s="3"/>
      <c r="N98" s="3"/>
      <c r="O98" s="52"/>
      <c r="P98" s="3"/>
    </row>
    <row r="99" spans="2:16" ht="15.75" customHeight="1">
      <c r="B99" s="28"/>
      <c r="C99" s="3"/>
      <c r="E99" s="35"/>
      <c r="F99" s="28"/>
      <c r="G99" s="28"/>
      <c r="H99" s="29"/>
      <c r="I99" s="14"/>
      <c r="K99" s="3"/>
      <c r="M99" s="3"/>
      <c r="N99" s="3"/>
      <c r="O99" s="52"/>
      <c r="P99" s="3"/>
    </row>
    <row r="100" spans="2:16" ht="15.75" customHeight="1">
      <c r="B100" s="28"/>
      <c r="C100" s="3"/>
      <c r="E100" s="35"/>
      <c r="F100" s="28"/>
      <c r="G100" s="28"/>
      <c r="H100" s="29"/>
      <c r="I100" s="14"/>
      <c r="K100" s="3"/>
      <c r="M100" s="3"/>
      <c r="N100" s="3"/>
      <c r="O100" s="52"/>
      <c r="P100" s="3"/>
    </row>
    <row r="101" spans="2:16" ht="15.75" customHeight="1">
      <c r="B101" s="28"/>
      <c r="C101" s="3"/>
      <c r="E101" s="35"/>
      <c r="F101" s="28"/>
      <c r="G101" s="28"/>
      <c r="H101" s="29"/>
      <c r="I101" s="14"/>
      <c r="K101" s="3"/>
      <c r="M101" s="3"/>
      <c r="N101" s="3"/>
      <c r="O101" s="52"/>
      <c r="P101" s="3"/>
    </row>
    <row r="102" spans="2:16" ht="15.75" customHeight="1">
      <c r="B102" s="28"/>
      <c r="C102" s="3"/>
      <c r="E102" s="35"/>
      <c r="F102" s="28"/>
      <c r="G102" s="28"/>
      <c r="H102" s="29"/>
      <c r="I102" s="14"/>
      <c r="K102" s="3"/>
      <c r="M102" s="3"/>
      <c r="N102" s="3"/>
      <c r="O102" s="52"/>
      <c r="P102" s="3"/>
    </row>
    <row r="103" spans="2:16" ht="15.75" customHeight="1">
      <c r="B103" s="28"/>
      <c r="C103" s="3"/>
      <c r="E103" s="35"/>
      <c r="F103" s="28"/>
      <c r="G103" s="28"/>
      <c r="H103" s="29"/>
      <c r="I103" s="14"/>
      <c r="K103" s="3"/>
      <c r="M103" s="3"/>
      <c r="N103" s="3"/>
      <c r="O103" s="52"/>
      <c r="P103" s="3"/>
    </row>
    <row r="104" spans="2:16" ht="15.75" customHeight="1">
      <c r="B104" s="28"/>
      <c r="C104" s="3"/>
      <c r="E104" s="35"/>
      <c r="F104" s="28"/>
      <c r="G104" s="28"/>
      <c r="H104" s="29"/>
      <c r="I104" s="14"/>
      <c r="K104" s="3"/>
      <c r="M104" s="3"/>
      <c r="N104" s="3"/>
      <c r="O104" s="52"/>
      <c r="P104" s="3"/>
    </row>
    <row r="105" spans="2:16" ht="15.75" customHeight="1">
      <c r="B105" s="28"/>
      <c r="C105" s="3"/>
      <c r="E105" s="35"/>
      <c r="F105" s="28"/>
      <c r="G105" s="28"/>
      <c r="H105" s="29"/>
      <c r="I105" s="14"/>
      <c r="K105" s="3"/>
      <c r="M105" s="3"/>
      <c r="N105" s="3"/>
      <c r="O105" s="52"/>
      <c r="P105" s="3"/>
    </row>
    <row r="106" spans="2:16" ht="15.75" customHeight="1">
      <c r="B106" s="28"/>
      <c r="C106" s="3"/>
      <c r="E106" s="35"/>
      <c r="F106" s="28"/>
      <c r="G106" s="28"/>
      <c r="H106" s="29"/>
      <c r="I106" s="14"/>
      <c r="K106" s="3"/>
      <c r="M106" s="3"/>
      <c r="N106" s="3"/>
      <c r="O106" s="52"/>
      <c r="P106" s="3"/>
    </row>
    <row r="107" spans="2:16" ht="15.75" customHeight="1">
      <c r="B107" s="28"/>
      <c r="C107" s="3"/>
      <c r="E107" s="35"/>
      <c r="F107" s="28"/>
      <c r="G107" s="28"/>
      <c r="H107" s="29"/>
      <c r="I107" s="14"/>
      <c r="K107" s="3"/>
      <c r="M107" s="3"/>
      <c r="N107" s="3"/>
      <c r="O107" s="52"/>
      <c r="P107" s="3"/>
    </row>
    <row r="108" spans="2:16" ht="15.75" customHeight="1">
      <c r="B108" s="28"/>
      <c r="C108" s="3"/>
      <c r="E108" s="35"/>
      <c r="F108" s="28"/>
      <c r="G108" s="28"/>
      <c r="H108" s="29"/>
      <c r="I108" s="14"/>
      <c r="K108" s="3"/>
      <c r="M108" s="3"/>
      <c r="N108" s="3"/>
      <c r="O108" s="52"/>
      <c r="P108" s="3"/>
    </row>
    <row r="109" spans="2:16" ht="15.75" customHeight="1">
      <c r="B109" s="28"/>
      <c r="C109" s="3"/>
      <c r="E109" s="35"/>
      <c r="F109" s="28"/>
      <c r="G109" s="28"/>
      <c r="H109" s="29"/>
      <c r="I109" s="14"/>
      <c r="K109" s="3"/>
      <c r="M109" s="3"/>
      <c r="N109" s="3"/>
      <c r="O109" s="52"/>
      <c r="P109" s="3"/>
    </row>
    <row r="110" spans="2:16" ht="15.75" customHeight="1">
      <c r="B110" s="28"/>
      <c r="C110" s="3"/>
      <c r="E110" s="35"/>
      <c r="F110" s="28"/>
      <c r="G110" s="28"/>
      <c r="H110" s="29"/>
      <c r="I110" s="14"/>
      <c r="K110" s="3"/>
      <c r="M110" s="3"/>
      <c r="N110" s="3"/>
      <c r="O110" s="52"/>
      <c r="P110" s="3"/>
    </row>
    <row r="111" spans="2:16" ht="15.75" customHeight="1">
      <c r="B111" s="28"/>
      <c r="C111" s="3"/>
      <c r="E111" s="35"/>
      <c r="F111" s="28"/>
      <c r="G111" s="28"/>
      <c r="H111" s="29"/>
      <c r="I111" s="14"/>
      <c r="K111" s="3"/>
      <c r="M111" s="3"/>
      <c r="N111" s="3"/>
      <c r="O111" s="52"/>
      <c r="P111" s="3"/>
    </row>
    <row r="112" spans="2:16" ht="15.75" customHeight="1">
      <c r="B112" s="28"/>
      <c r="C112" s="3"/>
      <c r="E112" s="35"/>
      <c r="F112" s="28"/>
      <c r="G112" s="28"/>
      <c r="H112" s="29"/>
      <c r="I112" s="14"/>
      <c r="K112" s="3"/>
      <c r="M112" s="3"/>
      <c r="N112" s="3"/>
      <c r="O112" s="52"/>
      <c r="P112" s="3"/>
    </row>
    <row r="113" spans="2:16" ht="15.75" customHeight="1">
      <c r="B113" s="28"/>
      <c r="C113" s="3"/>
      <c r="E113" s="35"/>
      <c r="F113" s="28"/>
      <c r="G113" s="28"/>
      <c r="H113" s="29"/>
      <c r="I113" s="14"/>
      <c r="K113" s="3"/>
      <c r="M113" s="3"/>
      <c r="N113" s="3"/>
      <c r="O113" s="52"/>
      <c r="P113" s="3"/>
    </row>
    <row r="114" spans="2:16" ht="15.75" customHeight="1">
      <c r="B114" s="28"/>
      <c r="C114" s="3"/>
      <c r="E114" s="35"/>
      <c r="F114" s="28"/>
      <c r="G114" s="28"/>
      <c r="H114" s="29"/>
      <c r="I114" s="14"/>
      <c r="K114" s="3"/>
      <c r="M114" s="3"/>
      <c r="N114" s="3"/>
      <c r="O114" s="52"/>
      <c r="P114" s="3"/>
    </row>
    <row r="115" spans="2:16" ht="15.75" customHeight="1">
      <c r="B115" s="28"/>
      <c r="C115" s="3"/>
      <c r="E115" s="35"/>
      <c r="F115" s="28"/>
      <c r="G115" s="28"/>
      <c r="H115" s="29"/>
      <c r="I115" s="14"/>
      <c r="K115" s="3"/>
      <c r="M115" s="3"/>
      <c r="N115" s="3"/>
      <c r="O115" s="52"/>
      <c r="P115" s="3"/>
    </row>
    <row r="116" spans="2:16" ht="15.75" customHeight="1">
      <c r="B116" s="28"/>
      <c r="C116" s="3"/>
      <c r="E116" s="35"/>
      <c r="F116" s="28"/>
      <c r="G116" s="28"/>
      <c r="H116" s="29"/>
      <c r="I116" s="14"/>
      <c r="K116" s="3"/>
      <c r="M116" s="3"/>
      <c r="N116" s="3"/>
      <c r="O116" s="52"/>
      <c r="P116" s="3"/>
    </row>
    <row r="117" spans="2:16" ht="15.75" customHeight="1">
      <c r="B117" s="28"/>
      <c r="C117" s="3"/>
      <c r="E117" s="35"/>
      <c r="F117" s="28"/>
      <c r="G117" s="28"/>
      <c r="H117" s="29"/>
      <c r="I117" s="14"/>
      <c r="K117" s="3"/>
      <c r="M117" s="3"/>
      <c r="N117" s="3"/>
      <c r="O117" s="52"/>
      <c r="P117" s="3"/>
    </row>
    <row r="118" spans="2:16" ht="15.75" customHeight="1">
      <c r="B118" s="28"/>
      <c r="C118" s="3"/>
      <c r="E118" s="35"/>
      <c r="F118" s="28"/>
      <c r="G118" s="28"/>
      <c r="H118" s="29"/>
      <c r="I118" s="14"/>
      <c r="K118" s="3"/>
      <c r="M118" s="3"/>
      <c r="N118" s="3"/>
      <c r="O118" s="52"/>
      <c r="P118" s="3"/>
    </row>
    <row r="119" spans="2:16" ht="15.75" customHeight="1">
      <c r="B119" s="28"/>
      <c r="C119" s="3"/>
      <c r="E119" s="35"/>
      <c r="F119" s="28"/>
      <c r="G119" s="28"/>
      <c r="H119" s="29"/>
      <c r="I119" s="14"/>
      <c r="K119" s="3"/>
      <c r="M119" s="3"/>
      <c r="N119" s="3"/>
      <c r="O119" s="52"/>
      <c r="P119" s="3"/>
    </row>
    <row r="120" spans="2:16" ht="15.75" customHeight="1">
      <c r="B120" s="28"/>
      <c r="C120" s="3"/>
      <c r="E120" s="35"/>
      <c r="F120" s="28"/>
      <c r="G120" s="28"/>
      <c r="H120" s="29"/>
      <c r="I120" s="14"/>
      <c r="K120" s="3"/>
      <c r="M120" s="3"/>
      <c r="N120" s="3"/>
      <c r="O120" s="52"/>
      <c r="P120" s="3"/>
    </row>
    <row r="121" spans="2:16" ht="15.75" customHeight="1">
      <c r="B121" s="28"/>
      <c r="C121" s="3"/>
      <c r="E121" s="35"/>
      <c r="F121" s="28"/>
      <c r="G121" s="28"/>
      <c r="H121" s="29"/>
      <c r="I121" s="14"/>
      <c r="K121" s="3"/>
      <c r="M121" s="3"/>
      <c r="N121" s="3"/>
      <c r="O121" s="52"/>
      <c r="P121" s="3"/>
    </row>
    <row r="122" spans="2:16" ht="15.75" customHeight="1">
      <c r="B122" s="28"/>
      <c r="C122" s="3"/>
      <c r="E122" s="35"/>
      <c r="F122" s="28"/>
      <c r="G122" s="28"/>
      <c r="H122" s="29"/>
      <c r="I122" s="14"/>
      <c r="K122" s="3"/>
      <c r="M122" s="3"/>
      <c r="N122" s="3"/>
      <c r="O122" s="52"/>
      <c r="P122" s="3"/>
    </row>
    <row r="123" spans="2:16" ht="15.75" customHeight="1">
      <c r="B123" s="28"/>
      <c r="C123" s="3"/>
      <c r="E123" s="35"/>
      <c r="F123" s="28"/>
      <c r="G123" s="28"/>
      <c r="H123" s="29"/>
      <c r="I123" s="14"/>
      <c r="K123" s="3"/>
      <c r="M123" s="3"/>
      <c r="N123" s="3"/>
      <c r="O123" s="52"/>
      <c r="P123" s="3"/>
    </row>
    <row r="124" spans="2:16" ht="15.75" customHeight="1">
      <c r="B124" s="28"/>
      <c r="C124" s="3"/>
      <c r="E124" s="35"/>
      <c r="F124" s="28"/>
      <c r="G124" s="28"/>
      <c r="H124" s="29"/>
      <c r="I124" s="14"/>
      <c r="K124" s="3"/>
      <c r="M124" s="3"/>
      <c r="N124" s="3"/>
      <c r="O124" s="52"/>
      <c r="P124" s="3"/>
    </row>
    <row r="125" spans="2:16" ht="15.75" customHeight="1">
      <c r="B125" s="28"/>
      <c r="C125" s="3"/>
      <c r="E125" s="35"/>
      <c r="F125" s="28"/>
      <c r="G125" s="28"/>
      <c r="H125" s="29"/>
      <c r="I125" s="14"/>
      <c r="K125" s="3"/>
      <c r="M125" s="3"/>
      <c r="N125" s="3"/>
      <c r="O125" s="52"/>
      <c r="P125" s="3"/>
    </row>
    <row r="126" spans="2:16" ht="15.75" customHeight="1">
      <c r="B126" s="28"/>
      <c r="C126" s="3"/>
      <c r="E126" s="35"/>
      <c r="F126" s="28"/>
      <c r="G126" s="28"/>
      <c r="H126" s="29"/>
      <c r="I126" s="14"/>
      <c r="K126" s="3"/>
      <c r="M126" s="3"/>
      <c r="N126" s="3"/>
      <c r="O126" s="52"/>
      <c r="P126" s="3"/>
    </row>
    <row r="127" spans="2:16" ht="15.75" customHeight="1">
      <c r="B127" s="28"/>
      <c r="C127" s="3"/>
      <c r="E127" s="35"/>
      <c r="F127" s="28"/>
      <c r="G127" s="28"/>
      <c r="H127" s="29"/>
      <c r="I127" s="14"/>
      <c r="K127" s="3"/>
      <c r="M127" s="3"/>
      <c r="N127" s="3"/>
      <c r="O127" s="52"/>
      <c r="P127" s="3"/>
    </row>
    <row r="128" spans="2:16" ht="15.75" customHeight="1">
      <c r="B128" s="28"/>
      <c r="C128" s="3"/>
      <c r="E128" s="35"/>
      <c r="F128" s="28"/>
      <c r="G128" s="28"/>
      <c r="H128" s="29"/>
      <c r="I128" s="14"/>
      <c r="K128" s="3"/>
      <c r="M128" s="3"/>
      <c r="N128" s="3"/>
      <c r="O128" s="52"/>
      <c r="P128" s="3"/>
    </row>
    <row r="129" spans="2:16" ht="15.75" customHeight="1">
      <c r="B129" s="28"/>
      <c r="C129" s="3"/>
      <c r="E129" s="35"/>
      <c r="F129" s="28"/>
      <c r="G129" s="28"/>
      <c r="H129" s="29"/>
      <c r="I129" s="14"/>
      <c r="K129" s="3"/>
      <c r="M129" s="3"/>
      <c r="N129" s="3"/>
      <c r="O129" s="52"/>
      <c r="P129" s="3"/>
    </row>
    <row r="130" spans="2:16" ht="15.75" customHeight="1">
      <c r="B130" s="28"/>
      <c r="C130" s="3"/>
      <c r="E130" s="35"/>
      <c r="F130" s="28"/>
      <c r="G130" s="28"/>
      <c r="H130" s="29"/>
      <c r="I130" s="14"/>
      <c r="K130" s="3"/>
      <c r="M130" s="3"/>
      <c r="N130" s="3"/>
      <c r="O130" s="52"/>
      <c r="P130" s="3"/>
    </row>
    <row r="131" spans="2:16" ht="15.75" customHeight="1">
      <c r="B131" s="28"/>
      <c r="C131" s="3"/>
      <c r="E131" s="35"/>
      <c r="F131" s="28"/>
      <c r="G131" s="28"/>
      <c r="H131" s="29"/>
      <c r="I131" s="14"/>
      <c r="K131" s="3"/>
      <c r="M131" s="3"/>
      <c r="N131" s="3"/>
      <c r="O131" s="52"/>
      <c r="P131" s="3"/>
    </row>
    <row r="132" spans="2:16" ht="15.75" customHeight="1">
      <c r="B132" s="28"/>
      <c r="C132" s="3"/>
      <c r="E132" s="35"/>
      <c r="F132" s="28"/>
      <c r="G132" s="28"/>
      <c r="H132" s="29"/>
      <c r="I132" s="14"/>
      <c r="K132" s="3"/>
      <c r="M132" s="3"/>
      <c r="N132" s="3"/>
      <c r="O132" s="52"/>
      <c r="P132" s="3"/>
    </row>
    <row r="133" spans="2:16" ht="15.75" customHeight="1">
      <c r="B133" s="28"/>
      <c r="C133" s="3"/>
      <c r="E133" s="35"/>
      <c r="F133" s="28"/>
      <c r="G133" s="28"/>
      <c r="H133" s="29"/>
      <c r="I133" s="14"/>
      <c r="K133" s="3"/>
      <c r="M133" s="3"/>
      <c r="N133" s="3"/>
      <c r="O133" s="52"/>
      <c r="P133" s="3"/>
    </row>
    <row r="134" spans="2:16" ht="15.75" customHeight="1">
      <c r="B134" s="28"/>
      <c r="C134" s="3"/>
      <c r="E134" s="35"/>
      <c r="F134" s="28"/>
      <c r="G134" s="28"/>
      <c r="H134" s="29"/>
      <c r="I134" s="14"/>
      <c r="K134" s="3"/>
      <c r="M134" s="3"/>
      <c r="N134" s="3"/>
      <c r="O134" s="52"/>
      <c r="P134" s="3"/>
    </row>
    <row r="135" spans="2:16" ht="15.75" customHeight="1">
      <c r="B135" s="28"/>
      <c r="C135" s="3"/>
      <c r="E135" s="35"/>
      <c r="F135" s="28"/>
      <c r="G135" s="28"/>
      <c r="H135" s="29"/>
      <c r="I135" s="14"/>
      <c r="K135" s="3"/>
      <c r="M135" s="3"/>
      <c r="N135" s="3"/>
      <c r="O135" s="52"/>
      <c r="P135" s="3"/>
    </row>
    <row r="136" spans="2:16" ht="15.75" customHeight="1">
      <c r="B136" s="28"/>
      <c r="C136" s="3"/>
      <c r="E136" s="35"/>
      <c r="F136" s="28"/>
      <c r="G136" s="28"/>
      <c r="H136" s="29"/>
      <c r="I136" s="14"/>
      <c r="K136" s="3"/>
      <c r="M136" s="3"/>
      <c r="N136" s="3"/>
      <c r="O136" s="52"/>
      <c r="P136" s="3"/>
    </row>
    <row r="137" spans="2:16" ht="15.75" customHeight="1">
      <c r="B137" s="28"/>
      <c r="C137" s="3"/>
      <c r="E137" s="35"/>
      <c r="F137" s="28"/>
      <c r="G137" s="28"/>
      <c r="H137" s="29"/>
      <c r="I137" s="14"/>
      <c r="K137" s="3"/>
      <c r="M137" s="3"/>
      <c r="N137" s="3"/>
      <c r="O137" s="52"/>
      <c r="P137" s="3"/>
    </row>
    <row r="138" spans="2:16" ht="15.75" customHeight="1">
      <c r="B138" s="28"/>
      <c r="C138" s="3"/>
      <c r="E138" s="35"/>
      <c r="F138" s="28"/>
      <c r="G138" s="28"/>
      <c r="H138" s="29"/>
      <c r="I138" s="14"/>
      <c r="K138" s="3"/>
      <c r="M138" s="3"/>
      <c r="N138" s="3"/>
      <c r="O138" s="52"/>
      <c r="P138" s="3"/>
    </row>
    <row r="139" spans="2:16" ht="15.75" customHeight="1">
      <c r="B139" s="28"/>
      <c r="C139" s="3"/>
      <c r="E139" s="35"/>
      <c r="F139" s="28"/>
      <c r="G139" s="28"/>
      <c r="H139" s="29"/>
      <c r="I139" s="14"/>
      <c r="K139" s="3"/>
      <c r="M139" s="3"/>
      <c r="N139" s="3"/>
      <c r="O139" s="52"/>
      <c r="P139" s="3"/>
    </row>
    <row r="140" spans="2:16" ht="15.75" customHeight="1">
      <c r="B140" s="28"/>
      <c r="C140" s="3"/>
      <c r="E140" s="35"/>
      <c r="F140" s="28"/>
      <c r="G140" s="28"/>
      <c r="H140" s="29"/>
      <c r="I140" s="14"/>
      <c r="K140" s="3"/>
      <c r="M140" s="3"/>
      <c r="N140" s="3"/>
      <c r="O140" s="52"/>
      <c r="P140" s="3"/>
    </row>
    <row r="141" spans="2:16" ht="15.75" customHeight="1">
      <c r="B141" s="28"/>
      <c r="C141" s="3"/>
      <c r="E141" s="35"/>
      <c r="F141" s="28"/>
      <c r="G141" s="28"/>
      <c r="H141" s="29"/>
      <c r="I141" s="14"/>
      <c r="K141" s="3"/>
      <c r="M141" s="3"/>
      <c r="N141" s="3"/>
      <c r="O141" s="52"/>
      <c r="P141" s="3"/>
    </row>
    <row r="142" spans="2:16" ht="15.75" customHeight="1">
      <c r="B142" s="28"/>
      <c r="C142" s="3"/>
      <c r="E142" s="35"/>
      <c r="F142" s="28"/>
      <c r="G142" s="28"/>
      <c r="H142" s="29"/>
      <c r="I142" s="14"/>
      <c r="K142" s="3"/>
      <c r="M142" s="3"/>
      <c r="N142" s="3"/>
      <c r="O142" s="52"/>
      <c r="P142" s="3"/>
    </row>
    <row r="143" spans="2:16" ht="15.75" customHeight="1">
      <c r="B143" s="28"/>
      <c r="C143" s="3"/>
      <c r="E143" s="35"/>
      <c r="F143" s="28"/>
      <c r="G143" s="28"/>
      <c r="H143" s="29"/>
      <c r="I143" s="14"/>
      <c r="K143" s="3"/>
      <c r="M143" s="3"/>
      <c r="N143" s="3"/>
      <c r="O143" s="52"/>
      <c r="P143" s="3"/>
    </row>
    <row r="144" spans="2:16" ht="15.75" customHeight="1">
      <c r="B144" s="28"/>
      <c r="C144" s="3"/>
      <c r="E144" s="35"/>
      <c r="F144" s="28"/>
      <c r="G144" s="28"/>
      <c r="H144" s="29"/>
      <c r="I144" s="14"/>
      <c r="K144" s="3"/>
      <c r="M144" s="3"/>
      <c r="N144" s="3"/>
      <c r="O144" s="52"/>
      <c r="P144" s="3"/>
    </row>
    <row r="145" spans="2:16" ht="15.75" customHeight="1">
      <c r="B145" s="28"/>
      <c r="C145" s="3"/>
      <c r="E145" s="35"/>
      <c r="F145" s="28"/>
      <c r="G145" s="28"/>
      <c r="H145" s="29"/>
      <c r="I145" s="14"/>
      <c r="K145" s="3"/>
      <c r="M145" s="3"/>
      <c r="N145" s="3"/>
      <c r="O145" s="52"/>
      <c r="P145" s="3"/>
    </row>
    <row r="146" spans="2:16" ht="15.75" customHeight="1">
      <c r="B146" s="28"/>
      <c r="C146" s="3"/>
      <c r="E146" s="35"/>
      <c r="F146" s="28"/>
      <c r="G146" s="28"/>
      <c r="H146" s="29"/>
      <c r="I146" s="14"/>
      <c r="K146" s="3"/>
      <c r="M146" s="3"/>
      <c r="N146" s="3"/>
      <c r="O146" s="52"/>
      <c r="P146" s="3"/>
    </row>
    <row r="147" spans="2:16" ht="15.75" customHeight="1">
      <c r="B147" s="28"/>
      <c r="C147" s="3"/>
      <c r="E147" s="35"/>
      <c r="F147" s="28"/>
      <c r="G147" s="28"/>
      <c r="H147" s="29"/>
      <c r="I147" s="14"/>
      <c r="K147" s="3"/>
      <c r="M147" s="3"/>
      <c r="N147" s="3"/>
      <c r="O147" s="52"/>
      <c r="P147" s="3"/>
    </row>
    <row r="148" spans="2:16" ht="15.75" customHeight="1">
      <c r="B148" s="28"/>
      <c r="C148" s="3"/>
      <c r="E148" s="35"/>
      <c r="F148" s="28"/>
      <c r="G148" s="28"/>
      <c r="H148" s="29"/>
      <c r="I148" s="14"/>
      <c r="K148" s="3"/>
      <c r="M148" s="3"/>
      <c r="N148" s="3"/>
      <c r="O148" s="52"/>
      <c r="P148" s="3"/>
    </row>
    <row r="149" spans="2:16" ht="15.75" customHeight="1">
      <c r="B149" s="28"/>
      <c r="C149" s="3"/>
      <c r="E149" s="35"/>
      <c r="F149" s="28"/>
      <c r="G149" s="28"/>
      <c r="H149" s="29"/>
      <c r="I149" s="14"/>
      <c r="K149" s="3"/>
      <c r="M149" s="3"/>
      <c r="N149" s="3"/>
      <c r="O149" s="52"/>
      <c r="P149" s="3"/>
    </row>
    <row r="150" spans="2:16" ht="15.75" customHeight="1">
      <c r="B150" s="28"/>
      <c r="C150" s="3"/>
      <c r="E150" s="35"/>
      <c r="F150" s="28"/>
      <c r="G150" s="28"/>
      <c r="H150" s="29"/>
      <c r="I150" s="14"/>
      <c r="K150" s="3"/>
      <c r="M150" s="3"/>
      <c r="N150" s="3"/>
      <c r="O150" s="52"/>
      <c r="P150" s="3"/>
    </row>
    <row r="151" spans="2:16" ht="15.75" customHeight="1">
      <c r="B151" s="28"/>
      <c r="C151" s="3"/>
      <c r="E151" s="35"/>
      <c r="F151" s="28"/>
      <c r="G151" s="28"/>
      <c r="H151" s="29"/>
      <c r="I151" s="14"/>
      <c r="K151" s="3"/>
      <c r="M151" s="3"/>
      <c r="N151" s="3"/>
      <c r="O151" s="52"/>
      <c r="P151" s="3"/>
    </row>
    <row r="152" spans="2:16" ht="15.75" customHeight="1">
      <c r="B152" s="28"/>
      <c r="C152" s="3"/>
      <c r="E152" s="35"/>
      <c r="F152" s="28"/>
      <c r="G152" s="28"/>
      <c r="H152" s="29"/>
      <c r="I152" s="14"/>
      <c r="K152" s="3"/>
      <c r="M152" s="3"/>
      <c r="N152" s="3"/>
      <c r="O152" s="52"/>
      <c r="P152" s="3"/>
    </row>
    <row r="153" spans="2:16" ht="15.75" customHeight="1">
      <c r="B153" s="28"/>
      <c r="C153" s="3"/>
      <c r="E153" s="35"/>
      <c r="F153" s="28"/>
      <c r="G153" s="28"/>
      <c r="H153" s="29"/>
      <c r="I153" s="14"/>
      <c r="K153" s="3"/>
      <c r="M153" s="3"/>
      <c r="N153" s="3"/>
      <c r="O153" s="52"/>
      <c r="P153" s="3"/>
    </row>
    <row r="154" spans="2:16" ht="15.75" customHeight="1">
      <c r="B154" s="28"/>
      <c r="C154" s="3"/>
      <c r="E154" s="35"/>
      <c r="F154" s="28"/>
      <c r="G154" s="28"/>
      <c r="H154" s="29"/>
      <c r="I154" s="14"/>
      <c r="K154" s="3"/>
      <c r="M154" s="3"/>
      <c r="N154" s="3"/>
      <c r="O154" s="52"/>
      <c r="P154" s="3"/>
    </row>
    <row r="155" spans="2:16" ht="15.75" customHeight="1">
      <c r="B155" s="28"/>
      <c r="C155" s="3"/>
      <c r="E155" s="35"/>
      <c r="F155" s="28"/>
      <c r="G155" s="28"/>
      <c r="H155" s="29"/>
      <c r="I155" s="14"/>
      <c r="K155" s="3"/>
      <c r="M155" s="3"/>
      <c r="N155" s="3"/>
      <c r="O155" s="52"/>
      <c r="P155" s="3"/>
    </row>
    <row r="156" spans="2:16" ht="15.75" customHeight="1">
      <c r="B156" s="28"/>
      <c r="C156" s="3"/>
      <c r="E156" s="35"/>
      <c r="F156" s="28"/>
      <c r="G156" s="28"/>
      <c r="H156" s="29"/>
      <c r="I156" s="14"/>
      <c r="K156" s="3"/>
      <c r="M156" s="3"/>
      <c r="N156" s="3"/>
      <c r="O156" s="52"/>
      <c r="P156" s="3"/>
    </row>
    <row r="157" spans="2:16" ht="15.75" customHeight="1">
      <c r="B157" s="28"/>
      <c r="C157" s="3"/>
      <c r="E157" s="35"/>
      <c r="F157" s="28"/>
      <c r="G157" s="28"/>
      <c r="H157" s="29"/>
      <c r="I157" s="14"/>
      <c r="K157" s="3"/>
      <c r="M157" s="3"/>
      <c r="N157" s="3"/>
      <c r="O157" s="52"/>
      <c r="P157" s="3"/>
    </row>
    <row r="158" spans="2:16" ht="15.75" customHeight="1">
      <c r="B158" s="28"/>
      <c r="C158" s="3"/>
      <c r="E158" s="35"/>
      <c r="F158" s="28"/>
      <c r="G158" s="28"/>
      <c r="H158" s="29"/>
      <c r="I158" s="14"/>
      <c r="K158" s="3"/>
      <c r="M158" s="3"/>
      <c r="N158" s="3"/>
      <c r="O158" s="52"/>
      <c r="P158" s="3"/>
    </row>
    <row r="159" spans="2:16" ht="15.75" customHeight="1">
      <c r="B159" s="28"/>
      <c r="C159" s="3"/>
      <c r="E159" s="35"/>
      <c r="F159" s="28"/>
      <c r="G159" s="28"/>
      <c r="H159" s="29"/>
      <c r="I159" s="14"/>
      <c r="K159" s="3"/>
      <c r="M159" s="3"/>
      <c r="N159" s="3"/>
      <c r="O159" s="52"/>
      <c r="P159" s="3"/>
    </row>
    <row r="160" spans="2:16" ht="15.75" customHeight="1">
      <c r="B160" s="28"/>
      <c r="C160" s="3"/>
      <c r="E160" s="35"/>
      <c r="F160" s="28"/>
      <c r="G160" s="28"/>
      <c r="H160" s="29"/>
      <c r="I160" s="14"/>
      <c r="K160" s="3"/>
      <c r="M160" s="3"/>
      <c r="N160" s="3"/>
      <c r="O160" s="52"/>
      <c r="P160" s="3"/>
    </row>
    <row r="161" spans="2:16" ht="15.75" customHeight="1">
      <c r="B161" s="28"/>
      <c r="C161" s="3"/>
      <c r="E161" s="35"/>
      <c r="F161" s="28"/>
      <c r="G161" s="28"/>
      <c r="H161" s="29"/>
      <c r="I161" s="14"/>
      <c r="K161" s="3"/>
      <c r="M161" s="3"/>
      <c r="N161" s="3"/>
      <c r="O161" s="52"/>
      <c r="P161" s="3"/>
    </row>
    <row r="162" spans="2:16" ht="15.75" customHeight="1">
      <c r="B162" s="28"/>
      <c r="C162" s="3"/>
      <c r="E162" s="35"/>
      <c r="F162" s="28"/>
      <c r="G162" s="28"/>
      <c r="H162" s="29"/>
      <c r="I162" s="14"/>
      <c r="K162" s="3"/>
      <c r="M162" s="3"/>
      <c r="N162" s="3"/>
      <c r="O162" s="52"/>
      <c r="P162" s="3"/>
    </row>
    <row r="163" spans="2:16" ht="15.75" customHeight="1">
      <c r="B163" s="28"/>
      <c r="C163" s="3"/>
      <c r="E163" s="35"/>
      <c r="F163" s="28"/>
      <c r="G163" s="28"/>
      <c r="H163" s="29"/>
      <c r="I163" s="14"/>
      <c r="K163" s="3"/>
      <c r="M163" s="3"/>
      <c r="N163" s="3"/>
      <c r="O163" s="52"/>
      <c r="P163" s="3"/>
    </row>
    <row r="164" spans="2:16" ht="15.75" customHeight="1">
      <c r="B164" s="28"/>
      <c r="C164" s="3"/>
      <c r="E164" s="35"/>
      <c r="F164" s="28"/>
      <c r="G164" s="28"/>
      <c r="H164" s="29"/>
      <c r="I164" s="14"/>
      <c r="K164" s="3"/>
      <c r="M164" s="3"/>
      <c r="N164" s="3"/>
      <c r="O164" s="52"/>
      <c r="P164" s="3"/>
    </row>
    <row r="165" spans="2:16" ht="15.75" customHeight="1">
      <c r="B165" s="28"/>
      <c r="C165" s="3"/>
      <c r="E165" s="35"/>
      <c r="F165" s="28"/>
      <c r="G165" s="28"/>
      <c r="H165" s="29"/>
      <c r="I165" s="14"/>
      <c r="K165" s="3"/>
      <c r="M165" s="3"/>
      <c r="N165" s="3"/>
      <c r="O165" s="52"/>
      <c r="P165" s="3"/>
    </row>
    <row r="166" spans="2:16" ht="15.75" customHeight="1">
      <c r="B166" s="28"/>
      <c r="C166" s="3"/>
      <c r="E166" s="35"/>
      <c r="F166" s="28"/>
      <c r="G166" s="28"/>
      <c r="H166" s="29"/>
      <c r="I166" s="14"/>
      <c r="K166" s="3"/>
      <c r="M166" s="3"/>
      <c r="N166" s="3"/>
      <c r="O166" s="52"/>
      <c r="P166" s="3"/>
    </row>
    <row r="167" spans="2:16" ht="15.75" customHeight="1">
      <c r="B167" s="28"/>
      <c r="C167" s="3"/>
      <c r="E167" s="35"/>
      <c r="F167" s="28"/>
      <c r="G167" s="28"/>
      <c r="H167" s="29"/>
      <c r="I167" s="14"/>
      <c r="K167" s="3"/>
      <c r="M167" s="3"/>
      <c r="N167" s="3"/>
      <c r="O167" s="52"/>
      <c r="P167" s="3"/>
    </row>
    <row r="168" spans="2:16" ht="15.75" customHeight="1">
      <c r="B168" s="28"/>
      <c r="C168" s="3"/>
      <c r="E168" s="35"/>
      <c r="F168" s="28"/>
      <c r="G168" s="28"/>
      <c r="H168" s="29"/>
      <c r="I168" s="14"/>
      <c r="K168" s="3"/>
      <c r="M168" s="3"/>
      <c r="N168" s="3"/>
      <c r="O168" s="52"/>
      <c r="P168" s="3"/>
    </row>
    <row r="169" spans="2:16" ht="15.75" customHeight="1">
      <c r="B169" s="28"/>
      <c r="C169" s="3"/>
      <c r="E169" s="35"/>
      <c r="F169" s="28"/>
      <c r="G169" s="28"/>
      <c r="H169" s="29"/>
      <c r="I169" s="14"/>
      <c r="K169" s="3"/>
      <c r="M169" s="3"/>
      <c r="N169" s="3"/>
      <c r="O169" s="52"/>
      <c r="P169" s="3"/>
    </row>
    <row r="170" spans="2:16" ht="15.75" customHeight="1">
      <c r="B170" s="28"/>
      <c r="C170" s="3"/>
      <c r="E170" s="35"/>
      <c r="F170" s="28"/>
      <c r="G170" s="28"/>
      <c r="H170" s="29"/>
      <c r="I170" s="14"/>
      <c r="K170" s="3"/>
      <c r="M170" s="3"/>
      <c r="N170" s="3"/>
      <c r="O170" s="52"/>
      <c r="P170" s="3"/>
    </row>
    <row r="171" spans="2:16" ht="15.75" customHeight="1">
      <c r="B171" s="28"/>
      <c r="C171" s="3"/>
      <c r="E171" s="35"/>
      <c r="F171" s="28"/>
      <c r="G171" s="28"/>
      <c r="H171" s="29"/>
      <c r="I171" s="14"/>
      <c r="K171" s="3"/>
      <c r="M171" s="3"/>
      <c r="N171" s="3"/>
      <c r="O171" s="52"/>
      <c r="P171" s="3"/>
    </row>
    <row r="172" spans="2:16" ht="15.75" customHeight="1">
      <c r="B172" s="28"/>
      <c r="C172" s="3"/>
      <c r="E172" s="35"/>
      <c r="F172" s="28"/>
      <c r="G172" s="28"/>
      <c r="H172" s="29"/>
      <c r="I172" s="14"/>
      <c r="K172" s="3"/>
      <c r="M172" s="3"/>
      <c r="N172" s="3"/>
      <c r="O172" s="52"/>
      <c r="P172" s="3"/>
    </row>
    <row r="173" spans="2:16" ht="15.75" customHeight="1">
      <c r="B173" s="28"/>
      <c r="C173" s="3"/>
      <c r="E173" s="35"/>
      <c r="F173" s="28"/>
      <c r="G173" s="28"/>
      <c r="H173" s="29"/>
      <c r="I173" s="14"/>
      <c r="K173" s="3"/>
      <c r="M173" s="3"/>
      <c r="N173" s="3"/>
      <c r="O173" s="52"/>
      <c r="P173" s="3"/>
    </row>
    <row r="174" spans="2:16" ht="15.75" customHeight="1">
      <c r="B174" s="28"/>
      <c r="C174" s="3"/>
      <c r="E174" s="35"/>
      <c r="F174" s="28"/>
      <c r="G174" s="28"/>
      <c r="H174" s="29"/>
      <c r="I174" s="14"/>
      <c r="K174" s="3"/>
      <c r="M174" s="3"/>
      <c r="N174" s="3"/>
      <c r="O174" s="52"/>
      <c r="P174" s="3"/>
    </row>
    <row r="175" spans="2:16" ht="15.75" customHeight="1">
      <c r="B175" s="28"/>
      <c r="C175" s="3"/>
      <c r="E175" s="35"/>
      <c r="F175" s="28"/>
      <c r="G175" s="28"/>
      <c r="H175" s="29"/>
      <c r="I175" s="14"/>
      <c r="K175" s="3"/>
      <c r="M175" s="3"/>
      <c r="N175" s="3"/>
      <c r="O175" s="52"/>
      <c r="P175" s="3"/>
    </row>
    <row r="176" spans="2:16" ht="15.75" customHeight="1">
      <c r="B176" s="28"/>
      <c r="C176" s="3"/>
      <c r="E176" s="35"/>
      <c r="F176" s="28"/>
      <c r="G176" s="28"/>
      <c r="H176" s="29"/>
      <c r="I176" s="14"/>
      <c r="K176" s="3"/>
      <c r="M176" s="3"/>
      <c r="N176" s="3"/>
      <c r="O176" s="52"/>
      <c r="P176" s="3"/>
    </row>
    <row r="177" spans="2:16" ht="15.75" customHeight="1">
      <c r="B177" s="28"/>
      <c r="C177" s="3"/>
      <c r="E177" s="35"/>
      <c r="F177" s="28"/>
      <c r="G177" s="28"/>
      <c r="H177" s="29"/>
      <c r="I177" s="14"/>
      <c r="K177" s="3"/>
      <c r="M177" s="3"/>
      <c r="N177" s="3"/>
      <c r="O177" s="52"/>
      <c r="P177" s="3"/>
    </row>
    <row r="178" spans="2:16" ht="15.75" customHeight="1">
      <c r="B178" s="28"/>
      <c r="C178" s="3"/>
      <c r="E178" s="35"/>
      <c r="F178" s="28"/>
      <c r="G178" s="28"/>
      <c r="H178" s="29"/>
      <c r="I178" s="14"/>
      <c r="K178" s="3"/>
      <c r="M178" s="3"/>
      <c r="N178" s="3"/>
      <c r="O178" s="52"/>
      <c r="P178" s="3"/>
    </row>
    <row r="179" spans="2:16" ht="15.75" customHeight="1">
      <c r="B179" s="28"/>
      <c r="C179" s="3"/>
      <c r="E179" s="35"/>
      <c r="F179" s="28"/>
      <c r="G179" s="28"/>
      <c r="H179" s="29"/>
      <c r="I179" s="14"/>
      <c r="K179" s="3"/>
      <c r="M179" s="3"/>
      <c r="N179" s="3"/>
      <c r="O179" s="52"/>
      <c r="P179" s="3"/>
    </row>
    <row r="180" spans="2:16" ht="15.75" customHeight="1">
      <c r="B180" s="28"/>
      <c r="C180" s="3"/>
      <c r="E180" s="35"/>
      <c r="F180" s="28"/>
      <c r="G180" s="28"/>
      <c r="H180" s="29"/>
      <c r="I180" s="14"/>
      <c r="K180" s="3"/>
      <c r="M180" s="3"/>
      <c r="N180" s="3"/>
      <c r="O180" s="52"/>
      <c r="P180" s="3"/>
    </row>
    <row r="181" spans="2:16" ht="15.75" customHeight="1">
      <c r="B181" s="28"/>
      <c r="C181" s="3"/>
      <c r="E181" s="35"/>
      <c r="F181" s="28"/>
      <c r="G181" s="28"/>
      <c r="H181" s="29"/>
      <c r="I181" s="14"/>
      <c r="K181" s="3"/>
      <c r="M181" s="3"/>
      <c r="N181" s="3"/>
      <c r="O181" s="52"/>
      <c r="P181" s="3"/>
    </row>
    <row r="182" spans="2:16" ht="15.75" customHeight="1">
      <c r="B182" s="28"/>
      <c r="C182" s="3"/>
      <c r="E182" s="35"/>
      <c r="F182" s="28"/>
      <c r="G182" s="28"/>
      <c r="H182" s="29"/>
      <c r="I182" s="14"/>
      <c r="K182" s="3"/>
      <c r="M182" s="3"/>
      <c r="N182" s="3"/>
      <c r="O182" s="52"/>
      <c r="P182" s="3"/>
    </row>
    <row r="183" spans="2:16" ht="15.75" customHeight="1">
      <c r="B183" s="28"/>
      <c r="C183" s="3"/>
      <c r="E183" s="35"/>
      <c r="F183" s="28"/>
      <c r="G183" s="28"/>
      <c r="H183" s="29"/>
      <c r="I183" s="14"/>
      <c r="K183" s="3"/>
      <c r="M183" s="3"/>
      <c r="N183" s="3"/>
      <c r="O183" s="52"/>
      <c r="P183" s="3"/>
    </row>
    <row r="184" spans="2:16" ht="15.75" customHeight="1">
      <c r="B184" s="28"/>
      <c r="C184" s="3"/>
      <c r="E184" s="35"/>
      <c r="F184" s="28"/>
      <c r="G184" s="28"/>
      <c r="H184" s="29"/>
      <c r="I184" s="14"/>
      <c r="K184" s="3"/>
      <c r="M184" s="3"/>
      <c r="N184" s="3"/>
      <c r="O184" s="52"/>
      <c r="P184" s="3"/>
    </row>
    <row r="185" spans="2:16" ht="15.75" customHeight="1">
      <c r="B185" s="28"/>
      <c r="C185" s="3"/>
      <c r="E185" s="35"/>
      <c r="F185" s="28"/>
      <c r="G185" s="28"/>
      <c r="H185" s="29"/>
      <c r="I185" s="14"/>
      <c r="K185" s="3"/>
      <c r="M185" s="3"/>
      <c r="N185" s="3"/>
      <c r="O185" s="52"/>
      <c r="P185" s="3"/>
    </row>
    <row r="186" spans="2:16" ht="15.75" customHeight="1">
      <c r="B186" s="28"/>
      <c r="C186" s="3"/>
      <c r="E186" s="35"/>
      <c r="F186" s="28"/>
      <c r="G186" s="28"/>
      <c r="H186" s="29"/>
      <c r="I186" s="14"/>
      <c r="K186" s="3"/>
      <c r="M186" s="3"/>
      <c r="N186" s="3"/>
      <c r="O186" s="52"/>
      <c r="P186" s="3"/>
    </row>
    <row r="187" spans="2:16" ht="15.75" customHeight="1">
      <c r="B187" s="28"/>
      <c r="C187" s="3"/>
      <c r="E187" s="35"/>
      <c r="F187" s="28"/>
      <c r="G187" s="28"/>
      <c r="H187" s="29"/>
      <c r="I187" s="14"/>
      <c r="K187" s="3"/>
      <c r="M187" s="3"/>
      <c r="N187" s="3"/>
      <c r="O187" s="52"/>
      <c r="P187" s="3"/>
    </row>
    <row r="188" spans="2:16" ht="15.75" customHeight="1">
      <c r="B188" s="28"/>
      <c r="C188" s="3"/>
      <c r="E188" s="35"/>
      <c r="F188" s="28"/>
      <c r="G188" s="28"/>
      <c r="H188" s="29"/>
      <c r="I188" s="14"/>
      <c r="K188" s="3"/>
      <c r="M188" s="3"/>
      <c r="N188" s="3"/>
      <c r="O188" s="52"/>
      <c r="P188" s="3"/>
    </row>
    <row r="189" spans="2:16" ht="15.75" customHeight="1">
      <c r="B189" s="28"/>
      <c r="C189" s="3"/>
      <c r="E189" s="35"/>
      <c r="F189" s="28"/>
      <c r="G189" s="28"/>
      <c r="H189" s="29"/>
      <c r="I189" s="14"/>
      <c r="K189" s="3"/>
      <c r="M189" s="3"/>
      <c r="N189" s="3"/>
      <c r="O189" s="52"/>
      <c r="P189" s="3"/>
    </row>
    <row r="190" spans="2:16" ht="15.75" customHeight="1">
      <c r="B190" s="28"/>
      <c r="C190" s="3"/>
      <c r="E190" s="35"/>
      <c r="F190" s="28"/>
      <c r="G190" s="28"/>
      <c r="H190" s="29"/>
      <c r="I190" s="14"/>
      <c r="K190" s="3"/>
      <c r="M190" s="3"/>
      <c r="N190" s="3"/>
      <c r="O190" s="52"/>
      <c r="P190" s="3"/>
    </row>
    <row r="191" spans="2:16" ht="15.75" customHeight="1">
      <c r="B191" s="28"/>
      <c r="C191" s="3"/>
      <c r="E191" s="35"/>
      <c r="F191" s="28"/>
      <c r="G191" s="28"/>
      <c r="H191" s="29"/>
      <c r="I191" s="14"/>
      <c r="K191" s="3"/>
      <c r="M191" s="3"/>
      <c r="N191" s="3"/>
      <c r="O191" s="52"/>
      <c r="P191" s="3"/>
    </row>
    <row r="192" spans="2:16" ht="15.75" customHeight="1">
      <c r="B192" s="28"/>
      <c r="C192" s="3"/>
      <c r="E192" s="35"/>
      <c r="F192" s="28"/>
      <c r="G192" s="28"/>
      <c r="H192" s="29"/>
      <c r="I192" s="14"/>
      <c r="K192" s="3"/>
      <c r="M192" s="3"/>
      <c r="N192" s="3"/>
      <c r="O192" s="52"/>
      <c r="P192" s="3"/>
    </row>
    <row r="193" spans="2:16" ht="15.75" customHeight="1">
      <c r="B193" s="28"/>
      <c r="C193" s="3"/>
      <c r="E193" s="35"/>
      <c r="F193" s="28"/>
      <c r="G193" s="28"/>
      <c r="H193" s="29"/>
      <c r="I193" s="14"/>
      <c r="K193" s="3"/>
      <c r="M193" s="3"/>
      <c r="N193" s="3"/>
      <c r="O193" s="52"/>
      <c r="P193" s="3"/>
    </row>
    <row r="194" spans="2:16" ht="15.75" customHeight="1">
      <c r="B194" s="28"/>
      <c r="C194" s="3"/>
      <c r="E194" s="35"/>
      <c r="F194" s="28"/>
      <c r="G194" s="28"/>
      <c r="H194" s="29"/>
      <c r="I194" s="14"/>
      <c r="K194" s="3"/>
      <c r="M194" s="3"/>
      <c r="N194" s="3"/>
      <c r="O194" s="52"/>
      <c r="P194" s="3"/>
    </row>
    <row r="195" spans="2:16" ht="15.75" customHeight="1">
      <c r="B195" s="28"/>
      <c r="C195" s="3"/>
      <c r="E195" s="35"/>
      <c r="F195" s="28"/>
      <c r="G195" s="28"/>
      <c r="H195" s="29"/>
      <c r="I195" s="14"/>
      <c r="K195" s="3"/>
      <c r="M195" s="3"/>
      <c r="N195" s="3"/>
      <c r="O195" s="52"/>
      <c r="P195" s="3"/>
    </row>
    <row r="196" spans="2:16" ht="15.75" customHeight="1">
      <c r="B196" s="28"/>
      <c r="C196" s="3"/>
      <c r="E196" s="35"/>
      <c r="F196" s="28"/>
      <c r="G196" s="28"/>
      <c r="H196" s="29"/>
      <c r="I196" s="14"/>
      <c r="K196" s="3"/>
      <c r="M196" s="3"/>
      <c r="N196" s="3"/>
      <c r="O196" s="52"/>
      <c r="P196" s="3"/>
    </row>
    <row r="197" spans="2:16" ht="15.75" customHeight="1">
      <c r="B197" s="28"/>
      <c r="C197" s="3"/>
      <c r="E197" s="35"/>
      <c r="F197" s="28"/>
      <c r="G197" s="28"/>
      <c r="H197" s="29"/>
      <c r="I197" s="14"/>
      <c r="K197" s="3"/>
      <c r="M197" s="3"/>
      <c r="N197" s="3"/>
      <c r="O197" s="52"/>
      <c r="P197" s="3"/>
    </row>
    <row r="198" spans="2:16" ht="15.75" customHeight="1">
      <c r="B198" s="28"/>
      <c r="C198" s="3"/>
      <c r="E198" s="35"/>
      <c r="F198" s="28"/>
      <c r="G198" s="28"/>
      <c r="H198" s="29"/>
      <c r="I198" s="14"/>
      <c r="K198" s="3"/>
      <c r="M198" s="3"/>
      <c r="N198" s="3"/>
      <c r="O198" s="52"/>
      <c r="P198" s="3"/>
    </row>
    <row r="199" spans="2:16" ht="15.75" customHeight="1">
      <c r="B199" s="28"/>
      <c r="C199" s="3"/>
      <c r="E199" s="35"/>
      <c r="F199" s="28"/>
      <c r="G199" s="28"/>
      <c r="H199" s="29"/>
      <c r="I199" s="14"/>
      <c r="K199" s="3"/>
      <c r="M199" s="3"/>
      <c r="N199" s="3"/>
      <c r="O199" s="52"/>
      <c r="P199" s="3"/>
    </row>
    <row r="200" spans="2:16" ht="15.75" customHeight="1">
      <c r="B200" s="28"/>
      <c r="C200" s="3"/>
      <c r="E200" s="35"/>
      <c r="F200" s="28"/>
      <c r="G200" s="28"/>
      <c r="H200" s="29"/>
      <c r="I200" s="14"/>
      <c r="K200" s="3"/>
      <c r="M200" s="3"/>
      <c r="N200" s="3"/>
      <c r="O200" s="52"/>
      <c r="P200" s="3"/>
    </row>
    <row r="201" spans="2:16" ht="15.75" customHeight="1">
      <c r="B201" s="28"/>
      <c r="C201" s="3"/>
      <c r="E201" s="35"/>
      <c r="F201" s="28"/>
      <c r="G201" s="28"/>
      <c r="H201" s="29"/>
      <c r="I201" s="14"/>
      <c r="K201" s="3"/>
      <c r="M201" s="3"/>
      <c r="N201" s="3"/>
      <c r="O201" s="52"/>
      <c r="P201" s="3"/>
    </row>
    <row r="202" spans="2:16" ht="15.75" customHeight="1">
      <c r="B202" s="28"/>
      <c r="C202" s="3"/>
      <c r="E202" s="35"/>
      <c r="F202" s="28"/>
      <c r="G202" s="28"/>
      <c r="H202" s="29"/>
      <c r="I202" s="14"/>
      <c r="K202" s="3"/>
      <c r="M202" s="3"/>
      <c r="N202" s="3"/>
      <c r="O202" s="52"/>
      <c r="P202" s="3"/>
    </row>
    <row r="203" spans="2:16" ht="15.75" customHeight="1">
      <c r="B203" s="28"/>
      <c r="C203" s="3"/>
      <c r="E203" s="35"/>
      <c r="F203" s="28"/>
      <c r="G203" s="28"/>
      <c r="H203" s="29"/>
      <c r="I203" s="14"/>
      <c r="K203" s="3"/>
      <c r="M203" s="3"/>
      <c r="N203" s="3"/>
      <c r="O203" s="52"/>
      <c r="P203" s="3"/>
    </row>
    <row r="204" spans="2:16" ht="15.75" customHeight="1">
      <c r="B204" s="28"/>
      <c r="C204" s="3"/>
      <c r="E204" s="35"/>
      <c r="F204" s="28"/>
      <c r="G204" s="28"/>
      <c r="H204" s="29"/>
      <c r="I204" s="14"/>
      <c r="K204" s="3"/>
      <c r="M204" s="3"/>
      <c r="N204" s="3"/>
      <c r="O204" s="52"/>
      <c r="P204" s="3"/>
    </row>
    <row r="205" spans="2:16" ht="15.75" customHeight="1">
      <c r="B205" s="28"/>
      <c r="C205" s="3"/>
      <c r="E205" s="35"/>
      <c r="F205" s="28"/>
      <c r="G205" s="28"/>
      <c r="H205" s="29"/>
      <c r="I205" s="14"/>
      <c r="K205" s="3"/>
      <c r="M205" s="3"/>
      <c r="N205" s="3"/>
      <c r="O205" s="52"/>
      <c r="P205" s="3"/>
    </row>
    <row r="206" spans="2:16" ht="15.75" customHeight="1">
      <c r="B206" s="28"/>
      <c r="C206" s="3"/>
      <c r="E206" s="35"/>
      <c r="F206" s="28"/>
      <c r="G206" s="28"/>
      <c r="H206" s="29"/>
      <c r="I206" s="14"/>
      <c r="K206" s="3"/>
      <c r="M206" s="3"/>
      <c r="N206" s="3"/>
      <c r="O206" s="52"/>
      <c r="P206" s="3"/>
    </row>
    <row r="207" spans="2:16" ht="15.75" customHeight="1">
      <c r="B207" s="28"/>
      <c r="C207" s="3"/>
      <c r="E207" s="35"/>
      <c r="F207" s="28"/>
      <c r="G207" s="28"/>
      <c r="H207" s="29"/>
      <c r="I207" s="14"/>
      <c r="K207" s="3"/>
      <c r="M207" s="3"/>
      <c r="N207" s="3"/>
      <c r="O207" s="52"/>
      <c r="P207" s="3"/>
    </row>
    <row r="208" spans="2:16" ht="15.75" customHeight="1">
      <c r="B208" s="28"/>
      <c r="C208" s="3"/>
      <c r="E208" s="35"/>
      <c r="F208" s="28"/>
      <c r="G208" s="28"/>
      <c r="H208" s="29"/>
      <c r="I208" s="14"/>
      <c r="K208" s="3"/>
      <c r="M208" s="3"/>
      <c r="N208" s="3"/>
      <c r="O208" s="52"/>
      <c r="P208" s="3"/>
    </row>
    <row r="209" spans="2:16" ht="15.75" customHeight="1">
      <c r="B209" s="28"/>
      <c r="C209" s="3"/>
      <c r="E209" s="35"/>
      <c r="F209" s="28"/>
      <c r="G209" s="28"/>
      <c r="H209" s="29"/>
      <c r="I209" s="14"/>
      <c r="K209" s="3"/>
      <c r="M209" s="3"/>
      <c r="N209" s="3"/>
      <c r="O209" s="52"/>
      <c r="P209" s="3"/>
    </row>
    <row r="210" spans="2:16" ht="15.75" customHeight="1">
      <c r="B210" s="28"/>
      <c r="C210" s="3"/>
      <c r="E210" s="35"/>
      <c r="F210" s="28"/>
      <c r="G210" s="28"/>
      <c r="H210" s="29"/>
      <c r="I210" s="14"/>
      <c r="K210" s="3"/>
      <c r="M210" s="3"/>
      <c r="N210" s="3"/>
      <c r="O210" s="52"/>
      <c r="P210" s="3"/>
    </row>
    <row r="211" spans="2:16" ht="15.75" customHeight="1">
      <c r="B211" s="28"/>
      <c r="C211" s="3"/>
      <c r="E211" s="35"/>
      <c r="F211" s="28"/>
      <c r="G211" s="28"/>
      <c r="H211" s="29"/>
      <c r="I211" s="14"/>
      <c r="K211" s="3"/>
      <c r="M211" s="3"/>
      <c r="N211" s="3"/>
      <c r="O211" s="52"/>
      <c r="P211" s="3"/>
    </row>
    <row r="212" spans="2:16" ht="15.75" customHeight="1">
      <c r="E212" s="2"/>
      <c r="H212" s="29"/>
      <c r="I212" s="30"/>
    </row>
    <row r="213" spans="2:16" ht="15.75" customHeight="1">
      <c r="E213" s="2"/>
      <c r="H213" s="29"/>
      <c r="I213" s="30"/>
    </row>
    <row r="214" spans="2:16" ht="15.75" customHeight="1">
      <c r="E214" s="2"/>
      <c r="H214" s="29"/>
      <c r="I214" s="30"/>
    </row>
    <row r="215" spans="2:16" ht="15.75" customHeight="1">
      <c r="E215" s="2"/>
      <c r="H215" s="29"/>
      <c r="I215" s="30"/>
    </row>
    <row r="216" spans="2:16" ht="15.75" customHeight="1">
      <c r="E216" s="2"/>
      <c r="H216" s="29"/>
      <c r="I216" s="30"/>
    </row>
    <row r="217" spans="2:16" ht="15.75" customHeight="1">
      <c r="E217" s="2"/>
      <c r="H217" s="29"/>
      <c r="I217" s="30"/>
    </row>
    <row r="218" spans="2:16" ht="15.75" customHeight="1">
      <c r="E218" s="2"/>
      <c r="H218" s="29"/>
      <c r="I218" s="30"/>
    </row>
    <row r="219" spans="2:16" ht="15.75" customHeight="1">
      <c r="E219" s="2"/>
      <c r="H219" s="29"/>
      <c r="I219" s="30"/>
    </row>
    <row r="220" spans="2:16" ht="15.75" customHeight="1">
      <c r="E220" s="2"/>
      <c r="H220" s="29"/>
      <c r="I220" s="30"/>
    </row>
    <row r="221" spans="2:16" ht="15.75" customHeight="1">
      <c r="E221" s="2"/>
      <c r="H221" s="29"/>
      <c r="I221" s="30"/>
    </row>
    <row r="222" spans="2:16" ht="15.75" customHeight="1">
      <c r="E222" s="2"/>
      <c r="H222" s="29"/>
      <c r="I222" s="30"/>
    </row>
    <row r="223" spans="2:16" ht="15.75" customHeight="1">
      <c r="E223" s="2"/>
      <c r="H223" s="29"/>
      <c r="I223" s="30"/>
    </row>
    <row r="224" spans="2:16" ht="15.75" customHeight="1">
      <c r="E224" s="2"/>
      <c r="H224" s="29"/>
      <c r="I224" s="30"/>
    </row>
    <row r="225" spans="5:9" ht="15.75" customHeight="1">
      <c r="E225" s="2"/>
      <c r="H225" s="29"/>
      <c r="I225" s="30"/>
    </row>
    <row r="226" spans="5:9" ht="15.75" customHeight="1">
      <c r="E226" s="2"/>
      <c r="H226" s="29"/>
      <c r="I226" s="30"/>
    </row>
    <row r="227" spans="5:9" ht="15.75" customHeight="1">
      <c r="E227" s="2"/>
      <c r="H227" s="29"/>
      <c r="I227" s="30"/>
    </row>
    <row r="228" spans="5:9" ht="15.75" customHeight="1">
      <c r="E228" s="2"/>
      <c r="H228" s="29"/>
      <c r="I228" s="30"/>
    </row>
    <row r="229" spans="5:9" ht="15.75" customHeight="1">
      <c r="E229" s="2"/>
      <c r="H229" s="29"/>
      <c r="I229" s="30"/>
    </row>
    <row r="230" spans="5:9" ht="15.75" customHeight="1">
      <c r="E230" s="2"/>
      <c r="H230" s="29"/>
      <c r="I230" s="30"/>
    </row>
    <row r="231" spans="5:9" ht="15.75" customHeight="1">
      <c r="E231" s="2"/>
      <c r="H231" s="29"/>
      <c r="I231" s="30"/>
    </row>
    <row r="232" spans="5:9" ht="15.75" customHeight="1">
      <c r="E232" s="2"/>
      <c r="H232" s="29"/>
      <c r="I232" s="30"/>
    </row>
    <row r="233" spans="5:9" ht="15.75" customHeight="1">
      <c r="E233" s="2"/>
      <c r="H233" s="29"/>
      <c r="I233" s="30"/>
    </row>
    <row r="234" spans="5:9" ht="15.75" customHeight="1">
      <c r="E234" s="2"/>
      <c r="H234" s="29"/>
      <c r="I234" s="30"/>
    </row>
    <row r="235" spans="5:9" ht="15.75" customHeight="1">
      <c r="E235" s="2"/>
      <c r="H235" s="29"/>
      <c r="I235" s="30"/>
    </row>
    <row r="236" spans="5:9" ht="15.75" customHeight="1">
      <c r="E236" s="2"/>
      <c r="H236" s="29"/>
      <c r="I236" s="30"/>
    </row>
    <row r="237" spans="5:9" ht="15.75" customHeight="1">
      <c r="E237" s="2"/>
      <c r="H237" s="29"/>
      <c r="I237" s="30"/>
    </row>
    <row r="238" spans="5:9" ht="15.75" customHeight="1">
      <c r="E238" s="2"/>
      <c r="H238" s="29"/>
      <c r="I238" s="30"/>
    </row>
    <row r="239" spans="5:9" ht="15.75" customHeight="1">
      <c r="E239" s="2"/>
      <c r="H239" s="29"/>
      <c r="I239" s="30"/>
    </row>
    <row r="240" spans="5:9" ht="15.75" customHeight="1">
      <c r="E240" s="2"/>
      <c r="H240" s="29"/>
      <c r="I240" s="30"/>
    </row>
    <row r="241" spans="5:9" ht="15.75" customHeight="1">
      <c r="E241" s="2"/>
      <c r="H241" s="29"/>
      <c r="I241" s="30"/>
    </row>
    <row r="242" spans="5:9" ht="15.75" customHeight="1">
      <c r="E242" s="2"/>
      <c r="H242" s="29"/>
      <c r="I242" s="30"/>
    </row>
    <row r="243" spans="5:9" ht="15.75" customHeight="1">
      <c r="E243" s="2"/>
      <c r="H243" s="29"/>
      <c r="I243" s="30"/>
    </row>
    <row r="244" spans="5:9" ht="15.75" customHeight="1">
      <c r="E244" s="2"/>
      <c r="H244" s="29"/>
      <c r="I244" s="30"/>
    </row>
    <row r="245" spans="5:9" ht="15.75" customHeight="1">
      <c r="E245" s="2"/>
      <c r="H245" s="29"/>
      <c r="I245" s="30"/>
    </row>
    <row r="246" spans="5:9" ht="15.75" customHeight="1">
      <c r="E246" s="2"/>
      <c r="H246" s="29"/>
      <c r="I246" s="30"/>
    </row>
    <row r="247" spans="5:9" ht="15.75" customHeight="1">
      <c r="E247" s="2"/>
      <c r="H247" s="29"/>
      <c r="I247" s="30"/>
    </row>
    <row r="248" spans="5:9" ht="15.75" customHeight="1">
      <c r="E248" s="2"/>
      <c r="H248" s="29"/>
      <c r="I248" s="30"/>
    </row>
    <row r="249" spans="5:9" ht="15.75" customHeight="1">
      <c r="E249" s="2"/>
      <c r="H249" s="29"/>
      <c r="I249" s="30"/>
    </row>
    <row r="250" spans="5:9" ht="15.75" customHeight="1">
      <c r="E250" s="2"/>
      <c r="H250" s="29"/>
      <c r="I250" s="30"/>
    </row>
    <row r="251" spans="5:9" ht="15.75" customHeight="1">
      <c r="E251" s="2"/>
      <c r="H251" s="29"/>
      <c r="I251" s="30"/>
    </row>
    <row r="252" spans="5:9" ht="15.75" customHeight="1">
      <c r="E252" s="2"/>
      <c r="H252" s="29"/>
      <c r="I252" s="30"/>
    </row>
    <row r="253" spans="5:9" ht="15.75" customHeight="1">
      <c r="E253" s="2"/>
      <c r="H253" s="29"/>
      <c r="I253" s="30"/>
    </row>
    <row r="254" spans="5:9" ht="15.75" customHeight="1">
      <c r="E254" s="2"/>
      <c r="H254" s="29"/>
      <c r="I254" s="30"/>
    </row>
    <row r="255" spans="5:9" ht="15.75" customHeight="1">
      <c r="E255" s="2"/>
      <c r="H255" s="29"/>
      <c r="I255" s="30"/>
    </row>
    <row r="256" spans="5:9" ht="15.75" customHeight="1">
      <c r="E256" s="2"/>
      <c r="H256" s="29"/>
      <c r="I256" s="30"/>
    </row>
    <row r="257" spans="5:9" ht="15.75" customHeight="1">
      <c r="E257" s="2"/>
      <c r="H257" s="29"/>
      <c r="I257" s="30"/>
    </row>
    <row r="258" spans="5:9" ht="15.75" customHeight="1">
      <c r="E258" s="2"/>
      <c r="H258" s="29"/>
      <c r="I258" s="30"/>
    </row>
    <row r="259" spans="5:9" ht="15.75" customHeight="1">
      <c r="E259" s="2"/>
      <c r="H259" s="29"/>
      <c r="I259" s="30"/>
    </row>
    <row r="260" spans="5:9" ht="15.75" customHeight="1">
      <c r="E260" s="2"/>
      <c r="H260" s="29"/>
      <c r="I260" s="30"/>
    </row>
    <row r="261" spans="5:9" ht="15.75" customHeight="1">
      <c r="E261" s="2"/>
      <c r="H261" s="29"/>
      <c r="I261" s="30"/>
    </row>
    <row r="262" spans="5:9" ht="15.75" customHeight="1">
      <c r="E262" s="2"/>
      <c r="H262" s="29"/>
      <c r="I262" s="30"/>
    </row>
    <row r="263" spans="5:9" ht="15.75" customHeight="1">
      <c r="E263" s="2"/>
      <c r="H263" s="29"/>
      <c r="I263" s="30"/>
    </row>
    <row r="264" spans="5:9" ht="15.75" customHeight="1">
      <c r="E264" s="2"/>
      <c r="H264" s="29"/>
      <c r="I264" s="30"/>
    </row>
    <row r="265" spans="5:9" ht="15.75" customHeight="1">
      <c r="E265" s="2"/>
      <c r="H265" s="29"/>
      <c r="I265" s="30"/>
    </row>
    <row r="266" spans="5:9" ht="15.75" customHeight="1">
      <c r="E266" s="2"/>
      <c r="H266" s="29"/>
      <c r="I266" s="30"/>
    </row>
    <row r="267" spans="5:9" ht="15.75" customHeight="1">
      <c r="E267" s="2"/>
      <c r="H267" s="29"/>
      <c r="I267" s="30"/>
    </row>
    <row r="268" spans="5:9" ht="15.75" customHeight="1">
      <c r="E268" s="2"/>
      <c r="H268" s="29"/>
      <c r="I268" s="30"/>
    </row>
    <row r="269" spans="5:9" ht="15.75" customHeight="1">
      <c r="E269" s="2"/>
      <c r="H269" s="29"/>
      <c r="I269" s="30"/>
    </row>
    <row r="270" spans="5:9" ht="15.75" customHeight="1">
      <c r="E270" s="2"/>
      <c r="H270" s="29"/>
      <c r="I270" s="30"/>
    </row>
    <row r="271" spans="5:9" ht="15.75" customHeight="1">
      <c r="E271" s="2"/>
      <c r="H271" s="29"/>
      <c r="I271" s="30"/>
    </row>
    <row r="272" spans="5:9" ht="15.75" customHeight="1">
      <c r="E272" s="2"/>
      <c r="H272" s="29"/>
      <c r="I272" s="30"/>
    </row>
    <row r="273" spans="5:9" ht="15.75" customHeight="1">
      <c r="E273" s="2"/>
      <c r="H273" s="29"/>
      <c r="I273" s="30"/>
    </row>
    <row r="274" spans="5:9" ht="15.75" customHeight="1">
      <c r="E274" s="2"/>
      <c r="H274" s="29"/>
      <c r="I274" s="30"/>
    </row>
    <row r="275" spans="5:9" ht="15.75" customHeight="1">
      <c r="E275" s="2"/>
      <c r="H275" s="29"/>
      <c r="I275" s="30"/>
    </row>
    <row r="276" spans="5:9" ht="15.75" customHeight="1">
      <c r="E276" s="2"/>
      <c r="H276" s="29"/>
      <c r="I276" s="30"/>
    </row>
    <row r="277" spans="5:9" ht="15.75" customHeight="1">
      <c r="E277" s="2"/>
      <c r="H277" s="29"/>
      <c r="I277" s="30"/>
    </row>
    <row r="278" spans="5:9" ht="15.75" customHeight="1">
      <c r="E278" s="2"/>
      <c r="H278" s="29"/>
      <c r="I278" s="30"/>
    </row>
    <row r="279" spans="5:9" ht="15.75" customHeight="1">
      <c r="E279" s="2"/>
      <c r="H279" s="29"/>
      <c r="I279" s="30"/>
    </row>
    <row r="280" spans="5:9" ht="15.75" customHeight="1">
      <c r="E280" s="2"/>
      <c r="H280" s="29"/>
      <c r="I280" s="30"/>
    </row>
    <row r="281" spans="5:9" ht="15.75" customHeight="1">
      <c r="E281" s="2"/>
      <c r="H281" s="29"/>
      <c r="I281" s="30"/>
    </row>
    <row r="282" spans="5:9" ht="15.75" customHeight="1">
      <c r="E282" s="2"/>
      <c r="H282" s="29"/>
      <c r="I282" s="30"/>
    </row>
    <row r="283" spans="5:9" ht="15.75" customHeight="1">
      <c r="E283" s="2"/>
      <c r="H283" s="29"/>
      <c r="I283" s="30"/>
    </row>
    <row r="284" spans="5:9" ht="15.75" customHeight="1">
      <c r="E284" s="2"/>
      <c r="H284" s="29"/>
      <c r="I284" s="30"/>
    </row>
    <row r="285" spans="5:9" ht="15.75" customHeight="1">
      <c r="E285" s="2"/>
      <c r="H285" s="29"/>
      <c r="I285" s="30"/>
    </row>
    <row r="286" spans="5:9" ht="15.75" customHeight="1">
      <c r="E286" s="2"/>
      <c r="H286" s="29"/>
      <c r="I286" s="30"/>
    </row>
    <row r="287" spans="5:9" ht="15.75" customHeight="1">
      <c r="E287" s="2"/>
      <c r="H287" s="29"/>
      <c r="I287" s="30"/>
    </row>
    <row r="288" spans="5:9" ht="15.75" customHeight="1">
      <c r="E288" s="2"/>
      <c r="H288" s="29"/>
      <c r="I288" s="30"/>
    </row>
    <row r="289" spans="5:9" ht="15.75" customHeight="1">
      <c r="E289" s="2"/>
      <c r="H289" s="29"/>
      <c r="I289" s="30"/>
    </row>
    <row r="290" spans="5:9" ht="15.75" customHeight="1">
      <c r="E290" s="2"/>
      <c r="H290" s="29"/>
      <c r="I290" s="30"/>
    </row>
    <row r="291" spans="5:9" ht="15.75" customHeight="1">
      <c r="E291" s="2"/>
      <c r="H291" s="29"/>
      <c r="I291" s="30"/>
    </row>
    <row r="292" spans="5:9" ht="15.75" customHeight="1">
      <c r="E292" s="2"/>
      <c r="H292" s="29"/>
      <c r="I292" s="30"/>
    </row>
    <row r="293" spans="5:9" ht="15.75" customHeight="1">
      <c r="E293" s="2"/>
      <c r="H293" s="29"/>
      <c r="I293" s="30"/>
    </row>
    <row r="294" spans="5:9" ht="15.75" customHeight="1">
      <c r="E294" s="2"/>
      <c r="H294" s="29"/>
      <c r="I294" s="30"/>
    </row>
    <row r="295" spans="5:9" ht="15.75" customHeight="1">
      <c r="E295" s="2"/>
      <c r="H295" s="29"/>
      <c r="I295" s="30"/>
    </row>
    <row r="296" spans="5:9" ht="15.75" customHeight="1">
      <c r="E296" s="2"/>
      <c r="H296" s="29"/>
      <c r="I296" s="30"/>
    </row>
    <row r="297" spans="5:9" ht="15.75" customHeight="1">
      <c r="E297" s="2"/>
      <c r="H297" s="29"/>
      <c r="I297" s="30"/>
    </row>
    <row r="298" spans="5:9" ht="15.75" customHeight="1">
      <c r="E298" s="2"/>
      <c r="H298" s="29"/>
      <c r="I298" s="30"/>
    </row>
    <row r="299" spans="5:9" ht="15.75" customHeight="1">
      <c r="E299" s="2"/>
      <c r="H299" s="29"/>
      <c r="I299" s="30"/>
    </row>
    <row r="300" spans="5:9" ht="15.75" customHeight="1">
      <c r="E300" s="2"/>
      <c r="H300" s="29"/>
      <c r="I300" s="30"/>
    </row>
    <row r="301" spans="5:9" ht="15.75" customHeight="1">
      <c r="E301" s="2"/>
      <c r="H301" s="29"/>
      <c r="I301" s="30"/>
    </row>
    <row r="302" spans="5:9" ht="15.75" customHeight="1">
      <c r="E302" s="2"/>
      <c r="H302" s="29"/>
      <c r="I302" s="30"/>
    </row>
    <row r="303" spans="5:9" ht="15.75" customHeight="1">
      <c r="E303" s="2"/>
      <c r="H303" s="29"/>
      <c r="I303" s="30"/>
    </row>
    <row r="304" spans="5:9" ht="15.75" customHeight="1">
      <c r="E304" s="2"/>
      <c r="H304" s="29"/>
      <c r="I304" s="30"/>
    </row>
    <row r="305" spans="5:9" ht="15.75" customHeight="1">
      <c r="E305" s="2"/>
      <c r="H305" s="29"/>
      <c r="I305" s="30"/>
    </row>
    <row r="306" spans="5:9" ht="15.75" customHeight="1">
      <c r="E306" s="2"/>
      <c r="H306" s="29"/>
      <c r="I306" s="30"/>
    </row>
    <row r="307" spans="5:9" ht="15.75" customHeight="1">
      <c r="E307" s="2"/>
      <c r="H307" s="29"/>
      <c r="I307" s="30"/>
    </row>
    <row r="308" spans="5:9" ht="15.75" customHeight="1">
      <c r="E308" s="2"/>
      <c r="H308" s="29"/>
      <c r="I308" s="30"/>
    </row>
    <row r="309" spans="5:9" ht="15.75" customHeight="1">
      <c r="E309" s="2"/>
      <c r="H309" s="29"/>
      <c r="I309" s="30"/>
    </row>
    <row r="310" spans="5:9" ht="15.75" customHeight="1">
      <c r="E310" s="2"/>
      <c r="H310" s="29"/>
      <c r="I310" s="30"/>
    </row>
    <row r="311" spans="5:9" ht="15.75" customHeight="1">
      <c r="E311" s="2"/>
      <c r="H311" s="29"/>
      <c r="I311" s="30"/>
    </row>
    <row r="312" spans="5:9" ht="15.75" customHeight="1">
      <c r="E312" s="2"/>
      <c r="H312" s="29"/>
      <c r="I312" s="30"/>
    </row>
    <row r="313" spans="5:9" ht="15.75" customHeight="1">
      <c r="E313" s="2"/>
      <c r="H313" s="29"/>
      <c r="I313" s="30"/>
    </row>
    <row r="314" spans="5:9" ht="15.75" customHeight="1">
      <c r="E314" s="2"/>
      <c r="H314" s="29"/>
      <c r="I314" s="30"/>
    </row>
    <row r="315" spans="5:9" ht="15.75" customHeight="1">
      <c r="E315" s="2"/>
      <c r="H315" s="29"/>
      <c r="I315" s="30"/>
    </row>
    <row r="316" spans="5:9" ht="15.75" customHeight="1">
      <c r="E316" s="2"/>
      <c r="H316" s="29"/>
      <c r="I316" s="30"/>
    </row>
    <row r="317" spans="5:9" ht="15.75" customHeight="1">
      <c r="E317" s="2"/>
      <c r="H317" s="29"/>
      <c r="I317" s="30"/>
    </row>
    <row r="318" spans="5:9" ht="15.75" customHeight="1">
      <c r="E318" s="2"/>
      <c r="H318" s="29"/>
      <c r="I318" s="30"/>
    </row>
    <row r="319" spans="5:9" ht="15.75" customHeight="1">
      <c r="E319" s="2"/>
      <c r="H319" s="29"/>
      <c r="I319" s="30"/>
    </row>
    <row r="320" spans="5:9" ht="15.75" customHeight="1">
      <c r="E320" s="2"/>
      <c r="H320" s="29"/>
      <c r="I320" s="30"/>
    </row>
    <row r="321" spans="5:9" ht="15.75" customHeight="1">
      <c r="E321" s="2"/>
      <c r="H321" s="29"/>
      <c r="I321" s="30"/>
    </row>
    <row r="322" spans="5:9" ht="15.75" customHeight="1">
      <c r="E322" s="2"/>
      <c r="H322" s="29"/>
      <c r="I322" s="30"/>
    </row>
    <row r="323" spans="5:9" ht="15.75" customHeight="1">
      <c r="E323" s="2"/>
      <c r="H323" s="29"/>
      <c r="I323" s="30"/>
    </row>
    <row r="324" spans="5:9" ht="15.75" customHeight="1">
      <c r="E324" s="2"/>
      <c r="H324" s="29"/>
      <c r="I324" s="30"/>
    </row>
    <row r="325" spans="5:9" ht="15.75" customHeight="1">
      <c r="E325" s="2"/>
      <c r="H325" s="29"/>
      <c r="I325" s="30"/>
    </row>
    <row r="326" spans="5:9" ht="15.75" customHeight="1">
      <c r="E326" s="2"/>
      <c r="H326" s="29"/>
      <c r="I326" s="30"/>
    </row>
    <row r="327" spans="5:9" ht="15.75" customHeight="1">
      <c r="E327" s="2"/>
      <c r="H327" s="29"/>
      <c r="I327" s="30"/>
    </row>
    <row r="328" spans="5:9" ht="15.75" customHeight="1">
      <c r="E328" s="2"/>
      <c r="H328" s="29"/>
      <c r="I328" s="30"/>
    </row>
    <row r="329" spans="5:9" ht="15.75" customHeight="1">
      <c r="E329" s="2"/>
      <c r="H329" s="29"/>
      <c r="I329" s="30"/>
    </row>
    <row r="330" spans="5:9" ht="15.75" customHeight="1">
      <c r="E330" s="2"/>
      <c r="H330" s="29"/>
      <c r="I330" s="30"/>
    </row>
    <row r="331" spans="5:9" ht="15.75" customHeight="1">
      <c r="E331" s="2"/>
      <c r="H331" s="29"/>
      <c r="I331" s="30"/>
    </row>
    <row r="332" spans="5:9" ht="15.75" customHeight="1">
      <c r="E332" s="2"/>
      <c r="H332" s="29"/>
      <c r="I332" s="30"/>
    </row>
    <row r="333" spans="5:9" ht="15.75" customHeight="1">
      <c r="E333" s="2"/>
      <c r="H333" s="29"/>
      <c r="I333" s="30"/>
    </row>
    <row r="334" spans="5:9" ht="15.75" customHeight="1">
      <c r="E334" s="2"/>
      <c r="H334" s="29"/>
      <c r="I334" s="30"/>
    </row>
    <row r="335" spans="5:9" ht="15.75" customHeight="1">
      <c r="E335" s="2"/>
      <c r="H335" s="29"/>
      <c r="I335" s="30"/>
    </row>
    <row r="336" spans="5:9" ht="15.75" customHeight="1">
      <c r="E336" s="2"/>
      <c r="H336" s="29"/>
      <c r="I336" s="30"/>
    </row>
    <row r="337" spans="5:9" ht="15.75" customHeight="1">
      <c r="E337" s="2"/>
      <c r="H337" s="29"/>
      <c r="I337" s="30"/>
    </row>
    <row r="338" spans="5:9" ht="15.75" customHeight="1">
      <c r="E338" s="2"/>
      <c r="H338" s="29"/>
      <c r="I338" s="30"/>
    </row>
    <row r="339" spans="5:9" ht="15.75" customHeight="1">
      <c r="E339" s="2"/>
      <c r="H339" s="29"/>
      <c r="I339" s="30"/>
    </row>
    <row r="340" spans="5:9" ht="15.75" customHeight="1">
      <c r="E340" s="2"/>
      <c r="H340" s="29"/>
      <c r="I340" s="30"/>
    </row>
    <row r="341" spans="5:9" ht="15.75" customHeight="1">
      <c r="E341" s="2"/>
      <c r="H341" s="29"/>
      <c r="I341" s="30"/>
    </row>
    <row r="342" spans="5:9" ht="15.75" customHeight="1">
      <c r="E342" s="2"/>
      <c r="H342" s="29"/>
      <c r="I342" s="30"/>
    </row>
    <row r="343" spans="5:9" ht="15.75" customHeight="1">
      <c r="E343" s="2"/>
      <c r="H343" s="29"/>
      <c r="I343" s="30"/>
    </row>
    <row r="344" spans="5:9" ht="15.75" customHeight="1">
      <c r="E344" s="2"/>
      <c r="H344" s="29"/>
      <c r="I344" s="30"/>
    </row>
    <row r="345" spans="5:9" ht="15.75" customHeight="1">
      <c r="E345" s="2"/>
      <c r="H345" s="29"/>
      <c r="I345" s="30"/>
    </row>
    <row r="346" spans="5:9" ht="15.75" customHeight="1">
      <c r="E346" s="2"/>
      <c r="H346" s="29"/>
      <c r="I346" s="30"/>
    </row>
    <row r="347" spans="5:9" ht="15.75" customHeight="1">
      <c r="E347" s="2"/>
      <c r="H347" s="29"/>
      <c r="I347" s="30"/>
    </row>
    <row r="348" spans="5:9" ht="15.75" customHeight="1">
      <c r="E348" s="2"/>
      <c r="H348" s="29"/>
      <c r="I348" s="30"/>
    </row>
    <row r="349" spans="5:9" ht="15.75" customHeight="1">
      <c r="E349" s="2"/>
      <c r="H349" s="29"/>
      <c r="I349" s="30"/>
    </row>
    <row r="350" spans="5:9" ht="15.75" customHeight="1">
      <c r="E350" s="2"/>
      <c r="H350" s="29"/>
      <c r="I350" s="30"/>
    </row>
    <row r="351" spans="5:9" ht="15.75" customHeight="1">
      <c r="E351" s="2"/>
      <c r="H351" s="29"/>
      <c r="I351" s="30"/>
    </row>
    <row r="352" spans="5:9" ht="15.75" customHeight="1">
      <c r="E352" s="2"/>
      <c r="H352" s="29"/>
      <c r="I352" s="30"/>
    </row>
    <row r="353" spans="5:9" ht="15.75" customHeight="1">
      <c r="E353" s="2"/>
      <c r="H353" s="29"/>
      <c r="I353" s="30"/>
    </row>
    <row r="354" spans="5:9" ht="15.75" customHeight="1">
      <c r="E354" s="2"/>
      <c r="H354" s="29"/>
      <c r="I354" s="30"/>
    </row>
    <row r="355" spans="5:9" ht="15.75" customHeight="1">
      <c r="E355" s="2"/>
      <c r="H355" s="29"/>
      <c r="I355" s="30"/>
    </row>
    <row r="356" spans="5:9" ht="15.75" customHeight="1">
      <c r="E356" s="2"/>
      <c r="H356" s="29"/>
      <c r="I356" s="30"/>
    </row>
    <row r="357" spans="5:9" ht="15.75" customHeight="1">
      <c r="E357" s="2"/>
      <c r="H357" s="29"/>
      <c r="I357" s="30"/>
    </row>
    <row r="358" spans="5:9" ht="15.75" customHeight="1">
      <c r="E358" s="2"/>
      <c r="H358" s="29"/>
      <c r="I358" s="30"/>
    </row>
    <row r="359" spans="5:9" ht="15.75" customHeight="1">
      <c r="E359" s="2"/>
      <c r="H359" s="29"/>
      <c r="I359" s="30"/>
    </row>
    <row r="360" spans="5:9" ht="15.75" customHeight="1">
      <c r="E360" s="2"/>
      <c r="H360" s="29"/>
      <c r="I360" s="30"/>
    </row>
    <row r="361" spans="5:9" ht="15.75" customHeight="1">
      <c r="E361" s="2"/>
      <c r="H361" s="29"/>
      <c r="I361" s="30"/>
    </row>
    <row r="362" spans="5:9" ht="15.75" customHeight="1">
      <c r="E362" s="2"/>
      <c r="H362" s="29"/>
      <c r="I362" s="30"/>
    </row>
    <row r="363" spans="5:9" ht="15.75" customHeight="1">
      <c r="E363" s="2"/>
      <c r="H363" s="29"/>
      <c r="I363" s="30"/>
    </row>
    <row r="364" spans="5:9" ht="15.75" customHeight="1">
      <c r="E364" s="2"/>
      <c r="H364" s="29"/>
      <c r="I364" s="30"/>
    </row>
    <row r="365" spans="5:9" ht="15.75" customHeight="1">
      <c r="E365" s="2"/>
      <c r="H365" s="29"/>
      <c r="I365" s="30"/>
    </row>
    <row r="366" spans="5:9" ht="15.75" customHeight="1">
      <c r="E366" s="2"/>
      <c r="H366" s="29"/>
      <c r="I366" s="30"/>
    </row>
    <row r="367" spans="5:9" ht="15.75" customHeight="1">
      <c r="E367" s="2"/>
      <c r="H367" s="29"/>
      <c r="I367" s="30"/>
    </row>
    <row r="368" spans="5:9" ht="15.75" customHeight="1">
      <c r="E368" s="2"/>
      <c r="H368" s="29"/>
      <c r="I368" s="30"/>
    </row>
    <row r="369" spans="5:9" ht="15.75" customHeight="1">
      <c r="E369" s="2"/>
      <c r="H369" s="29"/>
      <c r="I369" s="30"/>
    </row>
    <row r="370" spans="5:9" ht="15.75" customHeight="1">
      <c r="E370" s="2"/>
      <c r="H370" s="29"/>
      <c r="I370" s="30"/>
    </row>
    <row r="371" spans="5:9" ht="15.75" customHeight="1">
      <c r="E371" s="2"/>
      <c r="H371" s="29"/>
      <c r="I371" s="30"/>
    </row>
    <row r="372" spans="5:9" ht="15.75" customHeight="1">
      <c r="E372" s="2"/>
      <c r="H372" s="29"/>
      <c r="I372" s="30"/>
    </row>
    <row r="373" spans="5:9" ht="15.75" customHeight="1">
      <c r="E373" s="2"/>
      <c r="H373" s="29"/>
      <c r="I373" s="30"/>
    </row>
    <row r="374" spans="5:9" ht="15.75" customHeight="1">
      <c r="E374" s="2"/>
      <c r="H374" s="29"/>
      <c r="I374" s="30"/>
    </row>
    <row r="375" spans="5:9" ht="15.75" customHeight="1">
      <c r="E375" s="2"/>
      <c r="H375" s="29"/>
      <c r="I375" s="30"/>
    </row>
    <row r="376" spans="5:9" ht="15.75" customHeight="1">
      <c r="E376" s="2"/>
      <c r="H376" s="29"/>
      <c r="I376" s="30"/>
    </row>
    <row r="377" spans="5:9" ht="15.75" customHeight="1">
      <c r="E377" s="2"/>
      <c r="H377" s="29"/>
      <c r="I377" s="30"/>
    </row>
    <row r="378" spans="5:9" ht="15.75" customHeight="1">
      <c r="E378" s="2"/>
      <c r="H378" s="29"/>
      <c r="I378" s="30"/>
    </row>
    <row r="379" spans="5:9" ht="15.75" customHeight="1">
      <c r="E379" s="2"/>
      <c r="H379" s="29"/>
      <c r="I379" s="30"/>
    </row>
    <row r="380" spans="5:9" ht="15.75" customHeight="1">
      <c r="E380" s="2"/>
      <c r="H380" s="29"/>
      <c r="I380" s="30"/>
    </row>
    <row r="381" spans="5:9" ht="15.75" customHeight="1">
      <c r="E381" s="2"/>
      <c r="H381" s="29"/>
      <c r="I381" s="30"/>
    </row>
    <row r="382" spans="5:9" ht="15.75" customHeight="1">
      <c r="E382" s="2"/>
      <c r="H382" s="29"/>
      <c r="I382" s="30"/>
    </row>
    <row r="383" spans="5:9" ht="15.75" customHeight="1">
      <c r="E383" s="2"/>
      <c r="H383" s="29"/>
      <c r="I383" s="30"/>
    </row>
    <row r="384" spans="5:9" ht="15.75" customHeight="1">
      <c r="E384" s="2"/>
      <c r="H384" s="29"/>
      <c r="I384" s="30"/>
    </row>
    <row r="385" spans="5:9" ht="15.75" customHeight="1">
      <c r="E385" s="2"/>
      <c r="H385" s="29"/>
      <c r="I385" s="30"/>
    </row>
    <row r="386" spans="5:9" ht="15.75" customHeight="1">
      <c r="E386" s="2"/>
      <c r="H386" s="29"/>
      <c r="I386" s="30"/>
    </row>
    <row r="387" spans="5:9" ht="15.75" customHeight="1">
      <c r="E387" s="2"/>
      <c r="H387" s="29"/>
      <c r="I387" s="30"/>
    </row>
    <row r="388" spans="5:9" ht="15.75" customHeight="1">
      <c r="E388" s="2"/>
      <c r="H388" s="29"/>
      <c r="I388" s="30"/>
    </row>
    <row r="389" spans="5:9" ht="15.75" customHeight="1">
      <c r="E389" s="2"/>
      <c r="H389" s="29"/>
      <c r="I389" s="30"/>
    </row>
    <row r="390" spans="5:9" ht="15.75" customHeight="1">
      <c r="E390" s="2"/>
      <c r="H390" s="29"/>
      <c r="I390" s="30"/>
    </row>
    <row r="391" spans="5:9" ht="15.75" customHeight="1">
      <c r="E391" s="2"/>
      <c r="H391" s="29"/>
      <c r="I391" s="30"/>
    </row>
    <row r="392" spans="5:9" ht="15.75" customHeight="1">
      <c r="E392" s="2"/>
      <c r="H392" s="29"/>
      <c r="I392" s="30"/>
    </row>
    <row r="393" spans="5:9" ht="15.75" customHeight="1">
      <c r="E393" s="2"/>
      <c r="H393" s="29"/>
      <c r="I393" s="30"/>
    </row>
    <row r="394" spans="5:9" ht="15.75" customHeight="1">
      <c r="E394" s="2"/>
      <c r="H394" s="29"/>
      <c r="I394" s="30"/>
    </row>
    <row r="395" spans="5:9" ht="15.75" customHeight="1">
      <c r="E395" s="2"/>
      <c r="H395" s="29"/>
      <c r="I395" s="30"/>
    </row>
    <row r="396" spans="5:9" ht="15.75" customHeight="1">
      <c r="E396" s="2"/>
      <c r="H396" s="29"/>
      <c r="I396" s="30"/>
    </row>
    <row r="397" spans="5:9" ht="15.75" customHeight="1">
      <c r="E397" s="2"/>
      <c r="H397" s="29"/>
      <c r="I397" s="30"/>
    </row>
    <row r="398" spans="5:9" ht="15.75" customHeight="1">
      <c r="E398" s="2"/>
      <c r="H398" s="29"/>
      <c r="I398" s="30"/>
    </row>
    <row r="399" spans="5:9" ht="15.75" customHeight="1">
      <c r="E399" s="2"/>
      <c r="H399" s="29"/>
      <c r="I399" s="30"/>
    </row>
    <row r="400" spans="5:9" ht="15.75" customHeight="1">
      <c r="E400" s="2"/>
      <c r="H400" s="29"/>
      <c r="I400" s="30"/>
    </row>
    <row r="401" spans="5:9" ht="15.75" customHeight="1">
      <c r="E401" s="2"/>
      <c r="H401" s="29"/>
      <c r="I401" s="30"/>
    </row>
    <row r="402" spans="5:9" ht="15.75" customHeight="1">
      <c r="E402" s="2"/>
      <c r="H402" s="29"/>
      <c r="I402" s="30"/>
    </row>
    <row r="403" spans="5:9" ht="15.75" customHeight="1">
      <c r="E403" s="2"/>
      <c r="H403" s="29"/>
      <c r="I403" s="30"/>
    </row>
    <row r="404" spans="5:9" ht="15.75" customHeight="1">
      <c r="E404" s="2"/>
      <c r="H404" s="29"/>
      <c r="I404" s="30"/>
    </row>
    <row r="405" spans="5:9" ht="15.75" customHeight="1">
      <c r="E405" s="2"/>
      <c r="H405" s="29"/>
      <c r="I405" s="30"/>
    </row>
    <row r="406" spans="5:9" ht="15.75" customHeight="1">
      <c r="E406" s="2"/>
      <c r="H406" s="29"/>
      <c r="I406" s="30"/>
    </row>
    <row r="407" spans="5:9" ht="15.75" customHeight="1">
      <c r="E407" s="2"/>
      <c r="H407" s="29"/>
      <c r="I407" s="30"/>
    </row>
    <row r="408" spans="5:9" ht="15.75" customHeight="1">
      <c r="E408" s="2"/>
      <c r="H408" s="29"/>
      <c r="I408" s="30"/>
    </row>
    <row r="409" spans="5:9" ht="15.75" customHeight="1">
      <c r="E409" s="2"/>
      <c r="H409" s="29"/>
      <c r="I409" s="30"/>
    </row>
    <row r="410" spans="5:9" ht="15.75" customHeight="1">
      <c r="E410" s="2"/>
      <c r="H410" s="29"/>
      <c r="I410" s="30"/>
    </row>
    <row r="411" spans="5:9" ht="15.75" customHeight="1">
      <c r="E411" s="2"/>
      <c r="H411" s="29"/>
      <c r="I411" s="30"/>
    </row>
    <row r="412" spans="5:9" ht="15.75" customHeight="1">
      <c r="E412" s="2"/>
      <c r="H412" s="29"/>
      <c r="I412" s="30"/>
    </row>
    <row r="413" spans="5:9" ht="15.75" customHeight="1">
      <c r="E413" s="2"/>
      <c r="H413" s="29"/>
      <c r="I413" s="30"/>
    </row>
    <row r="414" spans="5:9" ht="15.75" customHeight="1">
      <c r="E414" s="2"/>
      <c r="H414" s="29"/>
      <c r="I414" s="30"/>
    </row>
    <row r="415" spans="5:9" ht="15.75" customHeight="1">
      <c r="E415" s="2"/>
      <c r="H415" s="29"/>
      <c r="I415" s="30"/>
    </row>
    <row r="416" spans="5:9" ht="15.75" customHeight="1">
      <c r="E416" s="2"/>
      <c r="H416" s="29"/>
      <c r="I416" s="30"/>
    </row>
    <row r="417" spans="5:9" ht="15.75" customHeight="1">
      <c r="E417" s="2"/>
      <c r="H417" s="29"/>
      <c r="I417" s="30"/>
    </row>
    <row r="418" spans="5:9" ht="15.75" customHeight="1">
      <c r="E418" s="2"/>
      <c r="H418" s="29"/>
      <c r="I418" s="30"/>
    </row>
    <row r="419" spans="5:9" ht="15.75" customHeight="1">
      <c r="E419" s="2"/>
      <c r="H419" s="29"/>
      <c r="I419" s="30"/>
    </row>
    <row r="420" spans="5:9" ht="15.75" customHeight="1">
      <c r="E420" s="2"/>
      <c r="H420" s="29"/>
      <c r="I420" s="30"/>
    </row>
    <row r="421" spans="5:9" ht="15.75" customHeight="1">
      <c r="E421" s="2"/>
      <c r="H421" s="29"/>
      <c r="I421" s="30"/>
    </row>
    <row r="422" spans="5:9" ht="15.75" customHeight="1">
      <c r="E422" s="2"/>
      <c r="H422" s="29"/>
      <c r="I422" s="30"/>
    </row>
    <row r="423" spans="5:9" ht="15.75" customHeight="1">
      <c r="E423" s="2"/>
      <c r="H423" s="29"/>
      <c r="I423" s="30"/>
    </row>
    <row r="424" spans="5:9" ht="15.75" customHeight="1">
      <c r="E424" s="2"/>
      <c r="H424" s="29"/>
      <c r="I424" s="30"/>
    </row>
    <row r="425" spans="5:9" ht="15.75" customHeight="1">
      <c r="E425" s="2"/>
      <c r="H425" s="29"/>
      <c r="I425" s="30"/>
    </row>
    <row r="426" spans="5:9" ht="15.75" customHeight="1">
      <c r="E426" s="2"/>
      <c r="H426" s="29"/>
      <c r="I426" s="30"/>
    </row>
    <row r="427" spans="5:9" ht="15.75" customHeight="1">
      <c r="E427" s="2"/>
      <c r="H427" s="29"/>
      <c r="I427" s="30"/>
    </row>
    <row r="428" spans="5:9" ht="15.75" customHeight="1">
      <c r="E428" s="2"/>
      <c r="H428" s="29"/>
      <c r="I428" s="30"/>
    </row>
    <row r="429" spans="5:9" ht="15.75" customHeight="1">
      <c r="E429" s="2"/>
      <c r="H429" s="29"/>
      <c r="I429" s="30"/>
    </row>
    <row r="430" spans="5:9" ht="15.75" customHeight="1">
      <c r="E430" s="2"/>
      <c r="H430" s="29"/>
      <c r="I430" s="30"/>
    </row>
    <row r="431" spans="5:9" ht="15.75" customHeight="1">
      <c r="E431" s="2"/>
      <c r="H431" s="29"/>
      <c r="I431" s="30"/>
    </row>
    <row r="432" spans="5:9" ht="15.75" customHeight="1">
      <c r="E432" s="2"/>
      <c r="H432" s="29"/>
      <c r="I432" s="30"/>
    </row>
    <row r="433" spans="5:9" ht="15.75" customHeight="1">
      <c r="E433" s="2"/>
      <c r="H433" s="29"/>
      <c r="I433" s="30"/>
    </row>
    <row r="434" spans="5:9" ht="15.75" customHeight="1">
      <c r="E434" s="2"/>
      <c r="H434" s="29"/>
      <c r="I434" s="30"/>
    </row>
    <row r="435" spans="5:9" ht="15.75" customHeight="1">
      <c r="E435" s="2"/>
      <c r="H435" s="29"/>
      <c r="I435" s="30"/>
    </row>
    <row r="436" spans="5:9" ht="15.75" customHeight="1">
      <c r="E436" s="2"/>
      <c r="H436" s="29"/>
      <c r="I436" s="30"/>
    </row>
    <row r="437" spans="5:9" ht="15.75" customHeight="1">
      <c r="E437" s="2"/>
      <c r="H437" s="29"/>
      <c r="I437" s="30"/>
    </row>
    <row r="438" spans="5:9" ht="15.75" customHeight="1">
      <c r="E438" s="2"/>
      <c r="H438" s="29"/>
      <c r="I438" s="30"/>
    </row>
    <row r="439" spans="5:9" ht="15.75" customHeight="1">
      <c r="E439" s="2"/>
      <c r="H439" s="29"/>
      <c r="I439" s="30"/>
    </row>
    <row r="440" spans="5:9" ht="15.75" customHeight="1">
      <c r="E440" s="2"/>
      <c r="H440" s="29"/>
      <c r="I440" s="30"/>
    </row>
    <row r="441" spans="5:9" ht="15.75" customHeight="1">
      <c r="E441" s="2"/>
      <c r="H441" s="29"/>
      <c r="I441" s="30"/>
    </row>
    <row r="442" spans="5:9" ht="15.75" customHeight="1">
      <c r="E442" s="2"/>
      <c r="H442" s="29"/>
      <c r="I442" s="30"/>
    </row>
    <row r="443" spans="5:9" ht="15.75" customHeight="1">
      <c r="E443" s="2"/>
      <c r="H443" s="29"/>
      <c r="I443" s="30"/>
    </row>
    <row r="444" spans="5:9" ht="15.75" customHeight="1">
      <c r="E444" s="2"/>
      <c r="H444" s="29"/>
      <c r="I444" s="30"/>
    </row>
    <row r="445" spans="5:9" ht="15.75" customHeight="1">
      <c r="E445" s="2"/>
      <c r="H445" s="29"/>
      <c r="I445" s="30"/>
    </row>
    <row r="446" spans="5:9" ht="15.75" customHeight="1">
      <c r="E446" s="2"/>
      <c r="H446" s="29"/>
      <c r="I446" s="30"/>
    </row>
    <row r="447" spans="5:9" ht="15.75" customHeight="1">
      <c r="E447" s="2"/>
      <c r="H447" s="29"/>
      <c r="I447" s="30"/>
    </row>
    <row r="448" spans="5:9" ht="15.75" customHeight="1">
      <c r="E448" s="2"/>
      <c r="H448" s="29"/>
      <c r="I448" s="30"/>
    </row>
    <row r="449" spans="5:9" ht="15.75" customHeight="1">
      <c r="E449" s="2"/>
      <c r="H449" s="29"/>
      <c r="I449" s="30"/>
    </row>
    <row r="450" spans="5:9" ht="15.75" customHeight="1">
      <c r="E450" s="2"/>
      <c r="H450" s="29"/>
      <c r="I450" s="30"/>
    </row>
    <row r="451" spans="5:9" ht="15.75" customHeight="1">
      <c r="E451" s="2"/>
      <c r="H451" s="29"/>
      <c r="I451" s="30"/>
    </row>
    <row r="452" spans="5:9" ht="15.75" customHeight="1">
      <c r="E452" s="2"/>
      <c r="H452" s="29"/>
      <c r="I452" s="30"/>
    </row>
    <row r="453" spans="5:9" ht="15.75" customHeight="1">
      <c r="E453" s="2"/>
      <c r="H453" s="29"/>
      <c r="I453" s="30"/>
    </row>
    <row r="454" spans="5:9" ht="15.75" customHeight="1">
      <c r="E454" s="2"/>
      <c r="H454" s="29"/>
      <c r="I454" s="30"/>
    </row>
    <row r="455" spans="5:9" ht="15.75" customHeight="1">
      <c r="E455" s="2"/>
      <c r="H455" s="29"/>
      <c r="I455" s="30"/>
    </row>
    <row r="456" spans="5:9" ht="15.75" customHeight="1">
      <c r="E456" s="2"/>
      <c r="H456" s="29"/>
      <c r="I456" s="30"/>
    </row>
    <row r="457" spans="5:9" ht="15.75" customHeight="1">
      <c r="E457" s="2"/>
      <c r="H457" s="29"/>
      <c r="I457" s="30"/>
    </row>
    <row r="458" spans="5:9" ht="15.75" customHeight="1">
      <c r="E458" s="2"/>
      <c r="H458" s="29"/>
      <c r="I458" s="30"/>
    </row>
    <row r="459" spans="5:9" ht="15.75" customHeight="1">
      <c r="E459" s="2"/>
      <c r="H459" s="29"/>
      <c r="I459" s="30"/>
    </row>
    <row r="460" spans="5:9" ht="15.75" customHeight="1">
      <c r="E460" s="2"/>
      <c r="H460" s="29"/>
      <c r="I460" s="30"/>
    </row>
    <row r="461" spans="5:9" ht="15.75" customHeight="1">
      <c r="E461" s="2"/>
      <c r="H461" s="29"/>
      <c r="I461" s="30"/>
    </row>
    <row r="462" spans="5:9" ht="15.75" customHeight="1">
      <c r="E462" s="2"/>
      <c r="H462" s="29"/>
      <c r="I462" s="30"/>
    </row>
    <row r="463" spans="5:9" ht="15.75" customHeight="1">
      <c r="E463" s="2"/>
      <c r="H463" s="29"/>
      <c r="I463" s="30"/>
    </row>
    <row r="464" spans="5:9" ht="15.75" customHeight="1">
      <c r="E464" s="2"/>
      <c r="H464" s="29"/>
      <c r="I464" s="30"/>
    </row>
    <row r="465" spans="5:9" ht="15.75" customHeight="1">
      <c r="E465" s="2"/>
      <c r="H465" s="29"/>
      <c r="I465" s="30"/>
    </row>
    <row r="466" spans="5:9" ht="15.75" customHeight="1">
      <c r="E466" s="2"/>
      <c r="H466" s="29"/>
      <c r="I466" s="30"/>
    </row>
    <row r="467" spans="5:9" ht="15.75" customHeight="1">
      <c r="E467" s="2"/>
      <c r="H467" s="29"/>
      <c r="I467" s="30"/>
    </row>
    <row r="468" spans="5:9" ht="15.75" customHeight="1">
      <c r="E468" s="2"/>
      <c r="H468" s="29"/>
      <c r="I468" s="30"/>
    </row>
    <row r="469" spans="5:9" ht="15.75" customHeight="1">
      <c r="E469" s="2"/>
      <c r="H469" s="29"/>
      <c r="I469" s="30"/>
    </row>
    <row r="470" spans="5:9" ht="15.75" customHeight="1">
      <c r="E470" s="2"/>
      <c r="H470" s="29"/>
      <c r="I470" s="30"/>
    </row>
    <row r="471" spans="5:9" ht="15.75" customHeight="1">
      <c r="E471" s="2"/>
      <c r="H471" s="29"/>
      <c r="I471" s="30"/>
    </row>
    <row r="472" spans="5:9" ht="15.75" customHeight="1">
      <c r="E472" s="2"/>
      <c r="H472" s="29"/>
      <c r="I472" s="30"/>
    </row>
    <row r="473" spans="5:9" ht="15.75" customHeight="1">
      <c r="E473" s="2"/>
      <c r="H473" s="29"/>
      <c r="I473" s="30"/>
    </row>
    <row r="474" spans="5:9" ht="15.75" customHeight="1">
      <c r="E474" s="2"/>
      <c r="H474" s="29"/>
      <c r="I474" s="30"/>
    </row>
    <row r="475" spans="5:9" ht="15.75" customHeight="1">
      <c r="E475" s="2"/>
      <c r="H475" s="29"/>
      <c r="I475" s="30"/>
    </row>
    <row r="476" spans="5:9" ht="15.75" customHeight="1">
      <c r="E476" s="2"/>
      <c r="H476" s="29"/>
      <c r="I476" s="30"/>
    </row>
    <row r="477" spans="5:9" ht="15.75" customHeight="1">
      <c r="E477" s="2"/>
      <c r="H477" s="29"/>
      <c r="I477" s="30"/>
    </row>
    <row r="478" spans="5:9" ht="15.75" customHeight="1">
      <c r="E478" s="2"/>
      <c r="H478" s="29"/>
      <c r="I478" s="30"/>
    </row>
    <row r="479" spans="5:9" ht="15.75" customHeight="1">
      <c r="E479" s="2"/>
      <c r="H479" s="29"/>
      <c r="I479" s="30"/>
    </row>
    <row r="480" spans="5:9" ht="15.75" customHeight="1">
      <c r="E480" s="2"/>
      <c r="H480" s="29"/>
      <c r="I480" s="30"/>
    </row>
    <row r="481" spans="5:9" ht="15.75" customHeight="1">
      <c r="E481" s="2"/>
      <c r="H481" s="29"/>
      <c r="I481" s="30"/>
    </row>
    <row r="482" spans="5:9" ht="15.75" customHeight="1">
      <c r="E482" s="2"/>
      <c r="H482" s="29"/>
      <c r="I482" s="30"/>
    </row>
    <row r="483" spans="5:9" ht="15.75" customHeight="1">
      <c r="E483" s="2"/>
      <c r="H483" s="29"/>
      <c r="I483" s="30"/>
    </row>
    <row r="484" spans="5:9" ht="15.75" customHeight="1">
      <c r="E484" s="2"/>
      <c r="H484" s="29"/>
      <c r="I484" s="30"/>
    </row>
    <row r="485" spans="5:9" ht="15.75" customHeight="1">
      <c r="E485" s="2"/>
      <c r="H485" s="29"/>
      <c r="I485" s="30"/>
    </row>
    <row r="486" spans="5:9" ht="15.75" customHeight="1">
      <c r="E486" s="2"/>
      <c r="H486" s="29"/>
      <c r="I486" s="30"/>
    </row>
    <row r="487" spans="5:9" ht="15.75" customHeight="1">
      <c r="E487" s="2"/>
      <c r="H487" s="29"/>
      <c r="I487" s="30"/>
    </row>
    <row r="488" spans="5:9" ht="15.75" customHeight="1">
      <c r="E488" s="2"/>
      <c r="H488" s="29"/>
      <c r="I488" s="30"/>
    </row>
    <row r="489" spans="5:9" ht="15.75" customHeight="1">
      <c r="E489" s="2"/>
      <c r="H489" s="29"/>
      <c r="I489" s="30"/>
    </row>
    <row r="490" spans="5:9" ht="15.75" customHeight="1">
      <c r="E490" s="2"/>
      <c r="H490" s="29"/>
      <c r="I490" s="30"/>
    </row>
    <row r="491" spans="5:9" ht="15.75" customHeight="1">
      <c r="E491" s="2"/>
      <c r="H491" s="29"/>
      <c r="I491" s="30"/>
    </row>
    <row r="492" spans="5:9" ht="15.75" customHeight="1">
      <c r="E492" s="2"/>
      <c r="H492" s="29"/>
      <c r="I492" s="30"/>
    </row>
    <row r="493" spans="5:9" ht="15.75" customHeight="1">
      <c r="E493" s="2"/>
      <c r="H493" s="29"/>
      <c r="I493" s="30"/>
    </row>
    <row r="494" spans="5:9" ht="15.75" customHeight="1">
      <c r="E494" s="2"/>
      <c r="H494" s="29"/>
      <c r="I494" s="30"/>
    </row>
    <row r="495" spans="5:9" ht="15.75" customHeight="1">
      <c r="E495" s="2"/>
      <c r="H495" s="29"/>
      <c r="I495" s="30"/>
    </row>
    <row r="496" spans="5:9" ht="15.75" customHeight="1">
      <c r="E496" s="2"/>
      <c r="H496" s="29"/>
      <c r="I496" s="30"/>
    </row>
    <row r="497" spans="5:9" ht="15.75" customHeight="1">
      <c r="E497" s="2"/>
      <c r="H497" s="29"/>
      <c r="I497" s="30"/>
    </row>
    <row r="498" spans="5:9" ht="15.75" customHeight="1">
      <c r="E498" s="2"/>
      <c r="H498" s="29"/>
      <c r="I498" s="30"/>
    </row>
    <row r="499" spans="5:9" ht="15.75" customHeight="1">
      <c r="E499" s="2"/>
      <c r="H499" s="29"/>
      <c r="I499" s="30"/>
    </row>
    <row r="500" spans="5:9" ht="15.75" customHeight="1">
      <c r="E500" s="2"/>
      <c r="H500" s="29"/>
      <c r="I500" s="30"/>
    </row>
    <row r="501" spans="5:9" ht="15.75" customHeight="1">
      <c r="E501" s="2"/>
      <c r="H501" s="29"/>
      <c r="I501" s="30"/>
    </row>
    <row r="502" spans="5:9" ht="15.75" customHeight="1">
      <c r="E502" s="2"/>
      <c r="H502" s="29"/>
      <c r="I502" s="30"/>
    </row>
    <row r="503" spans="5:9" ht="15.75" customHeight="1">
      <c r="E503" s="2"/>
      <c r="H503" s="29"/>
      <c r="I503" s="30"/>
    </row>
    <row r="504" spans="5:9" ht="15.75" customHeight="1">
      <c r="E504" s="2"/>
      <c r="H504" s="29"/>
      <c r="I504" s="30"/>
    </row>
    <row r="505" spans="5:9" ht="15.75" customHeight="1">
      <c r="E505" s="2"/>
      <c r="H505" s="29"/>
      <c r="I505" s="30"/>
    </row>
    <row r="506" spans="5:9" ht="15.75" customHeight="1">
      <c r="E506" s="2"/>
      <c r="H506" s="29"/>
      <c r="I506" s="30"/>
    </row>
    <row r="507" spans="5:9" ht="15.75" customHeight="1">
      <c r="E507" s="2"/>
      <c r="H507" s="29"/>
      <c r="I507" s="30"/>
    </row>
    <row r="508" spans="5:9" ht="15.75" customHeight="1">
      <c r="E508" s="2"/>
      <c r="H508" s="29"/>
      <c r="I508" s="30"/>
    </row>
    <row r="509" spans="5:9" ht="15.75" customHeight="1">
      <c r="E509" s="2"/>
      <c r="H509" s="29"/>
      <c r="I509" s="30"/>
    </row>
    <row r="510" spans="5:9" ht="15.75" customHeight="1">
      <c r="E510" s="2"/>
      <c r="H510" s="29"/>
      <c r="I510" s="30"/>
    </row>
    <row r="511" spans="5:9" ht="15.75" customHeight="1">
      <c r="E511" s="2"/>
      <c r="H511" s="29"/>
      <c r="I511" s="30"/>
    </row>
    <row r="512" spans="5:9" ht="15.75" customHeight="1">
      <c r="E512" s="2"/>
      <c r="H512" s="29"/>
      <c r="I512" s="30"/>
    </row>
    <row r="513" spans="5:9" ht="15.75" customHeight="1">
      <c r="E513" s="2"/>
      <c r="H513" s="29"/>
      <c r="I513" s="30"/>
    </row>
    <row r="514" spans="5:9" ht="15.75" customHeight="1">
      <c r="E514" s="2"/>
      <c r="H514" s="29"/>
      <c r="I514" s="30"/>
    </row>
    <row r="515" spans="5:9" ht="15.75" customHeight="1">
      <c r="E515" s="2"/>
      <c r="H515" s="29"/>
      <c r="I515" s="30"/>
    </row>
    <row r="516" spans="5:9" ht="15.75" customHeight="1">
      <c r="E516" s="2"/>
      <c r="H516" s="29"/>
      <c r="I516" s="30"/>
    </row>
    <row r="517" spans="5:9" ht="15.75" customHeight="1">
      <c r="E517" s="2"/>
      <c r="H517" s="29"/>
      <c r="I517" s="30"/>
    </row>
    <row r="518" spans="5:9" ht="15.75" customHeight="1">
      <c r="E518" s="2"/>
      <c r="H518" s="29"/>
      <c r="I518" s="30"/>
    </row>
    <row r="519" spans="5:9" ht="15.75" customHeight="1">
      <c r="E519" s="2"/>
      <c r="H519" s="29"/>
      <c r="I519" s="30"/>
    </row>
    <row r="520" spans="5:9" ht="15.75" customHeight="1">
      <c r="E520" s="2"/>
      <c r="H520" s="29"/>
      <c r="I520" s="30"/>
    </row>
    <row r="521" spans="5:9" ht="15.75" customHeight="1">
      <c r="E521" s="2"/>
      <c r="H521" s="29"/>
      <c r="I521" s="30"/>
    </row>
    <row r="522" spans="5:9" ht="15.75" customHeight="1">
      <c r="E522" s="2"/>
      <c r="H522" s="29"/>
      <c r="I522" s="30"/>
    </row>
    <row r="523" spans="5:9" ht="15.75" customHeight="1">
      <c r="E523" s="2"/>
      <c r="H523" s="29"/>
      <c r="I523" s="30"/>
    </row>
    <row r="524" spans="5:9" ht="15.75" customHeight="1">
      <c r="E524" s="2"/>
      <c r="H524" s="29"/>
      <c r="I524" s="30"/>
    </row>
    <row r="525" spans="5:9" ht="15.75" customHeight="1">
      <c r="E525" s="2"/>
      <c r="H525" s="29"/>
      <c r="I525" s="30"/>
    </row>
    <row r="526" spans="5:9" ht="15.75" customHeight="1">
      <c r="E526" s="2"/>
      <c r="H526" s="29"/>
      <c r="I526" s="30"/>
    </row>
    <row r="527" spans="5:9" ht="15.75" customHeight="1">
      <c r="E527" s="2"/>
      <c r="H527" s="29"/>
      <c r="I527" s="30"/>
    </row>
    <row r="528" spans="5:9" ht="15.75" customHeight="1">
      <c r="E528" s="2"/>
      <c r="H528" s="29"/>
      <c r="I528" s="30"/>
    </row>
    <row r="529" spans="5:9" ht="15.75" customHeight="1">
      <c r="E529" s="2"/>
      <c r="H529" s="29"/>
      <c r="I529" s="30"/>
    </row>
    <row r="530" spans="5:9" ht="15.75" customHeight="1">
      <c r="E530" s="2"/>
      <c r="H530" s="29"/>
      <c r="I530" s="30"/>
    </row>
    <row r="531" spans="5:9" ht="15.75" customHeight="1">
      <c r="E531" s="2"/>
      <c r="H531" s="29"/>
      <c r="I531" s="30"/>
    </row>
    <row r="532" spans="5:9" ht="15.75" customHeight="1">
      <c r="E532" s="2"/>
      <c r="H532" s="29"/>
      <c r="I532" s="30"/>
    </row>
    <row r="533" spans="5:9" ht="15.75" customHeight="1">
      <c r="E533" s="2"/>
      <c r="H533" s="29"/>
      <c r="I533" s="30"/>
    </row>
    <row r="534" spans="5:9" ht="15.75" customHeight="1">
      <c r="E534" s="2"/>
      <c r="H534" s="29"/>
      <c r="I534" s="30"/>
    </row>
    <row r="535" spans="5:9" ht="15.75" customHeight="1">
      <c r="E535" s="2"/>
      <c r="H535" s="29"/>
      <c r="I535" s="30"/>
    </row>
    <row r="536" spans="5:9" ht="15.75" customHeight="1">
      <c r="E536" s="2"/>
      <c r="H536" s="29"/>
      <c r="I536" s="30"/>
    </row>
    <row r="537" spans="5:9" ht="15.75" customHeight="1">
      <c r="E537" s="2"/>
      <c r="H537" s="29"/>
      <c r="I537" s="30"/>
    </row>
    <row r="538" spans="5:9" ht="15.75" customHeight="1">
      <c r="E538" s="2"/>
      <c r="H538" s="29"/>
      <c r="I538" s="30"/>
    </row>
    <row r="539" spans="5:9" ht="15.75" customHeight="1">
      <c r="E539" s="2"/>
      <c r="H539" s="29"/>
      <c r="I539" s="30"/>
    </row>
    <row r="540" spans="5:9" ht="15.75" customHeight="1">
      <c r="E540" s="2"/>
      <c r="H540" s="29"/>
      <c r="I540" s="30"/>
    </row>
    <row r="541" spans="5:9" ht="15.75" customHeight="1">
      <c r="E541" s="2"/>
      <c r="H541" s="29"/>
      <c r="I541" s="30"/>
    </row>
    <row r="542" spans="5:9" ht="15.75" customHeight="1">
      <c r="E542" s="2"/>
      <c r="H542" s="29"/>
      <c r="I542" s="30"/>
    </row>
    <row r="543" spans="5:9" ht="15.75" customHeight="1">
      <c r="E543" s="2"/>
      <c r="H543" s="29"/>
      <c r="I543" s="30"/>
    </row>
    <row r="544" spans="5:9" ht="15.75" customHeight="1">
      <c r="E544" s="2"/>
      <c r="H544" s="29"/>
      <c r="I544" s="30"/>
    </row>
    <row r="545" spans="5:9" ht="15.75" customHeight="1">
      <c r="E545" s="2"/>
      <c r="H545" s="29"/>
      <c r="I545" s="30"/>
    </row>
    <row r="546" spans="5:9" ht="15.75" customHeight="1">
      <c r="E546" s="2"/>
      <c r="H546" s="29"/>
      <c r="I546" s="30"/>
    </row>
    <row r="547" spans="5:9" ht="15.75" customHeight="1">
      <c r="E547" s="2"/>
      <c r="H547" s="29"/>
      <c r="I547" s="30"/>
    </row>
    <row r="548" spans="5:9" ht="15.75" customHeight="1">
      <c r="E548" s="2"/>
      <c r="H548" s="29"/>
      <c r="I548" s="30"/>
    </row>
    <row r="549" spans="5:9" ht="15.75" customHeight="1">
      <c r="E549" s="2"/>
      <c r="H549" s="29"/>
      <c r="I549" s="30"/>
    </row>
    <row r="550" spans="5:9" ht="15.75" customHeight="1">
      <c r="E550" s="2"/>
      <c r="H550" s="29"/>
      <c r="I550" s="30"/>
    </row>
    <row r="551" spans="5:9" ht="15.75" customHeight="1">
      <c r="E551" s="2"/>
      <c r="H551" s="29"/>
      <c r="I551" s="30"/>
    </row>
    <row r="552" spans="5:9" ht="15.75" customHeight="1">
      <c r="E552" s="2"/>
      <c r="H552" s="29"/>
      <c r="I552" s="30"/>
    </row>
    <row r="553" spans="5:9" ht="15.75" customHeight="1">
      <c r="E553" s="2"/>
      <c r="H553" s="29"/>
      <c r="I553" s="30"/>
    </row>
    <row r="554" spans="5:9" ht="15.75" customHeight="1">
      <c r="E554" s="2"/>
      <c r="H554" s="29"/>
      <c r="I554" s="30"/>
    </row>
    <row r="555" spans="5:9" ht="15.75" customHeight="1">
      <c r="E555" s="2"/>
      <c r="H555" s="29"/>
      <c r="I555" s="30"/>
    </row>
    <row r="556" spans="5:9" ht="15.75" customHeight="1">
      <c r="E556" s="2"/>
      <c r="H556" s="29"/>
      <c r="I556" s="30"/>
    </row>
    <row r="557" spans="5:9" ht="15.75" customHeight="1">
      <c r="E557" s="2"/>
      <c r="H557" s="29"/>
      <c r="I557" s="30"/>
    </row>
    <row r="558" spans="5:9" ht="15.75" customHeight="1">
      <c r="E558" s="2"/>
      <c r="H558" s="29"/>
      <c r="I558" s="30"/>
    </row>
    <row r="559" spans="5:9" ht="15.75" customHeight="1">
      <c r="E559" s="2"/>
      <c r="H559" s="29"/>
      <c r="I559" s="30"/>
    </row>
    <row r="560" spans="5:9" ht="15.75" customHeight="1">
      <c r="E560" s="2"/>
      <c r="H560" s="29"/>
      <c r="I560" s="30"/>
    </row>
    <row r="561" spans="5:9" ht="15.75" customHeight="1">
      <c r="E561" s="2"/>
      <c r="H561" s="29"/>
      <c r="I561" s="30"/>
    </row>
    <row r="562" spans="5:9" ht="15.75" customHeight="1">
      <c r="E562" s="2"/>
      <c r="H562" s="29"/>
      <c r="I562" s="30"/>
    </row>
    <row r="563" spans="5:9" ht="15.75" customHeight="1">
      <c r="E563" s="2"/>
      <c r="H563" s="29"/>
      <c r="I563" s="30"/>
    </row>
    <row r="564" spans="5:9" ht="15.75" customHeight="1">
      <c r="E564" s="2"/>
      <c r="H564" s="29"/>
      <c r="I564" s="30"/>
    </row>
    <row r="565" spans="5:9" ht="15.75" customHeight="1">
      <c r="E565" s="2"/>
      <c r="H565" s="29"/>
      <c r="I565" s="30"/>
    </row>
    <row r="566" spans="5:9" ht="15.75" customHeight="1">
      <c r="E566" s="2"/>
      <c r="H566" s="29"/>
      <c r="I566" s="30"/>
    </row>
    <row r="567" spans="5:9" ht="15.75" customHeight="1">
      <c r="E567" s="2"/>
      <c r="H567" s="29"/>
      <c r="I567" s="30"/>
    </row>
    <row r="568" spans="5:9" ht="15.75" customHeight="1">
      <c r="E568" s="2"/>
      <c r="H568" s="29"/>
      <c r="I568" s="30"/>
    </row>
    <row r="569" spans="5:9" ht="15.75" customHeight="1">
      <c r="E569" s="2"/>
      <c r="H569" s="29"/>
      <c r="I569" s="30"/>
    </row>
    <row r="570" spans="5:9" ht="15.75" customHeight="1">
      <c r="E570" s="2"/>
      <c r="H570" s="29"/>
      <c r="I570" s="30"/>
    </row>
    <row r="571" spans="5:9" ht="15.75" customHeight="1">
      <c r="E571" s="2"/>
      <c r="H571" s="29"/>
      <c r="I571" s="30"/>
    </row>
    <row r="572" spans="5:9" ht="15.75" customHeight="1">
      <c r="E572" s="2"/>
      <c r="H572" s="29"/>
      <c r="I572" s="30"/>
    </row>
    <row r="573" spans="5:9" ht="15.75" customHeight="1">
      <c r="E573" s="2"/>
      <c r="H573" s="29"/>
      <c r="I573" s="30"/>
    </row>
    <row r="574" spans="5:9" ht="15.75" customHeight="1">
      <c r="E574" s="2"/>
      <c r="H574" s="29"/>
      <c r="I574" s="30"/>
    </row>
    <row r="575" spans="5:9" ht="15.75" customHeight="1">
      <c r="E575" s="2"/>
      <c r="H575" s="29"/>
      <c r="I575" s="30"/>
    </row>
    <row r="576" spans="5:9" ht="15.75" customHeight="1">
      <c r="E576" s="2"/>
      <c r="H576" s="29"/>
      <c r="I576" s="30"/>
    </row>
    <row r="577" spans="5:9" ht="15.75" customHeight="1">
      <c r="E577" s="2"/>
      <c r="H577" s="29"/>
      <c r="I577" s="30"/>
    </row>
    <row r="578" spans="5:9" ht="15.75" customHeight="1">
      <c r="E578" s="2"/>
      <c r="H578" s="29"/>
      <c r="I578" s="30"/>
    </row>
    <row r="579" spans="5:9" ht="15.75" customHeight="1">
      <c r="E579" s="2"/>
      <c r="H579" s="29"/>
      <c r="I579" s="30"/>
    </row>
    <row r="580" spans="5:9" ht="15.75" customHeight="1">
      <c r="E580" s="2"/>
      <c r="H580" s="29"/>
      <c r="I580" s="30"/>
    </row>
    <row r="581" spans="5:9" ht="15.75" customHeight="1">
      <c r="E581" s="2"/>
      <c r="H581" s="29"/>
      <c r="I581" s="30"/>
    </row>
    <row r="582" spans="5:9" ht="15.75" customHeight="1">
      <c r="E582" s="2"/>
      <c r="H582" s="29"/>
      <c r="I582" s="30"/>
    </row>
    <row r="583" spans="5:9" ht="15.75" customHeight="1">
      <c r="E583" s="2"/>
      <c r="H583" s="29"/>
      <c r="I583" s="30"/>
    </row>
    <row r="584" spans="5:9" ht="15.75" customHeight="1">
      <c r="E584" s="2"/>
      <c r="H584" s="29"/>
      <c r="I584" s="30"/>
    </row>
    <row r="585" spans="5:9" ht="15.75" customHeight="1">
      <c r="E585" s="2"/>
      <c r="H585" s="29"/>
      <c r="I585" s="30"/>
    </row>
    <row r="586" spans="5:9" ht="15.75" customHeight="1">
      <c r="E586" s="2"/>
      <c r="H586" s="29"/>
      <c r="I586" s="30"/>
    </row>
    <row r="587" spans="5:9" ht="15.75" customHeight="1">
      <c r="E587" s="2"/>
      <c r="H587" s="29"/>
      <c r="I587" s="30"/>
    </row>
    <row r="588" spans="5:9" ht="15.75" customHeight="1">
      <c r="E588" s="2"/>
      <c r="H588" s="29"/>
      <c r="I588" s="30"/>
    </row>
    <row r="589" spans="5:9" ht="15.75" customHeight="1">
      <c r="E589" s="2"/>
      <c r="H589" s="29"/>
      <c r="I589" s="30"/>
    </row>
    <row r="590" spans="5:9" ht="15.75" customHeight="1">
      <c r="E590" s="2"/>
      <c r="H590" s="29"/>
      <c r="I590" s="30"/>
    </row>
    <row r="591" spans="5:9" ht="15.75" customHeight="1">
      <c r="E591" s="2"/>
      <c r="H591" s="29"/>
      <c r="I591" s="30"/>
    </row>
    <row r="592" spans="5:9" ht="15.75" customHeight="1">
      <c r="E592" s="2"/>
      <c r="H592" s="29"/>
      <c r="I592" s="30"/>
    </row>
    <row r="593" spans="5:9" ht="15.75" customHeight="1">
      <c r="E593" s="2"/>
      <c r="H593" s="29"/>
      <c r="I593" s="30"/>
    </row>
    <row r="594" spans="5:9" ht="15.75" customHeight="1">
      <c r="E594" s="2"/>
      <c r="H594" s="29"/>
      <c r="I594" s="30"/>
    </row>
    <row r="595" spans="5:9" ht="15.75" customHeight="1">
      <c r="E595" s="2"/>
      <c r="H595" s="29"/>
      <c r="I595" s="30"/>
    </row>
    <row r="596" spans="5:9" ht="15.75" customHeight="1">
      <c r="E596" s="2"/>
      <c r="H596" s="29"/>
      <c r="I596" s="30"/>
    </row>
    <row r="597" spans="5:9" ht="15.75" customHeight="1">
      <c r="E597" s="2"/>
      <c r="H597" s="29"/>
      <c r="I597" s="30"/>
    </row>
    <row r="598" spans="5:9" ht="15.75" customHeight="1">
      <c r="E598" s="2"/>
      <c r="H598" s="29"/>
      <c r="I598" s="30"/>
    </row>
    <row r="599" spans="5:9" ht="15.75" customHeight="1">
      <c r="E599" s="2"/>
      <c r="H599" s="29"/>
      <c r="I599" s="30"/>
    </row>
    <row r="600" spans="5:9" ht="15.75" customHeight="1">
      <c r="E600" s="2"/>
      <c r="H600" s="29"/>
      <c r="I600" s="30"/>
    </row>
    <row r="601" spans="5:9" ht="15.75" customHeight="1">
      <c r="E601" s="2"/>
      <c r="H601" s="29"/>
      <c r="I601" s="30"/>
    </row>
    <row r="602" spans="5:9" ht="15.75" customHeight="1">
      <c r="E602" s="2"/>
      <c r="H602" s="29"/>
      <c r="I602" s="30"/>
    </row>
    <row r="603" spans="5:9" ht="15.75" customHeight="1">
      <c r="E603" s="2"/>
      <c r="H603" s="29"/>
      <c r="I603" s="30"/>
    </row>
    <row r="604" spans="5:9" ht="15.75" customHeight="1">
      <c r="E604" s="2"/>
      <c r="H604" s="29"/>
      <c r="I604" s="30"/>
    </row>
    <row r="605" spans="5:9" ht="15.75" customHeight="1">
      <c r="E605" s="2"/>
      <c r="H605" s="29"/>
      <c r="I605" s="30"/>
    </row>
    <row r="606" spans="5:9" ht="15.75" customHeight="1">
      <c r="E606" s="2"/>
      <c r="H606" s="29"/>
      <c r="I606" s="30"/>
    </row>
    <row r="607" spans="5:9" ht="15.75" customHeight="1">
      <c r="E607" s="2"/>
      <c r="H607" s="29"/>
      <c r="I607" s="30"/>
    </row>
    <row r="608" spans="5:9" ht="15.75" customHeight="1">
      <c r="E608" s="2"/>
      <c r="H608" s="29"/>
      <c r="I608" s="30"/>
    </row>
    <row r="609" spans="5:9" ht="15.75" customHeight="1">
      <c r="E609" s="2"/>
      <c r="H609" s="29"/>
      <c r="I609" s="30"/>
    </row>
    <row r="610" spans="5:9" ht="15.75" customHeight="1">
      <c r="E610" s="2"/>
      <c r="H610" s="29"/>
      <c r="I610" s="30"/>
    </row>
    <row r="611" spans="5:9" ht="15.75" customHeight="1">
      <c r="E611" s="2"/>
      <c r="H611" s="29"/>
      <c r="I611" s="30"/>
    </row>
    <row r="612" spans="5:9" ht="15.75" customHeight="1">
      <c r="E612" s="2"/>
      <c r="H612" s="29"/>
      <c r="I612" s="30"/>
    </row>
    <row r="613" spans="5:9" ht="15.75" customHeight="1">
      <c r="E613" s="2"/>
      <c r="H613" s="29"/>
      <c r="I613" s="30"/>
    </row>
    <row r="614" spans="5:9" ht="15.75" customHeight="1">
      <c r="E614" s="2"/>
      <c r="H614" s="29"/>
      <c r="I614" s="30"/>
    </row>
    <row r="615" spans="5:9" ht="15.75" customHeight="1">
      <c r="E615" s="2"/>
      <c r="H615" s="29"/>
      <c r="I615" s="30"/>
    </row>
    <row r="616" spans="5:9" ht="15.75" customHeight="1">
      <c r="E616" s="2"/>
      <c r="H616" s="29"/>
      <c r="I616" s="30"/>
    </row>
    <row r="617" spans="5:9" ht="15.75" customHeight="1">
      <c r="E617" s="2"/>
      <c r="H617" s="29"/>
      <c r="I617" s="30"/>
    </row>
    <row r="618" spans="5:9" ht="15.75" customHeight="1">
      <c r="E618" s="2"/>
      <c r="H618" s="29"/>
      <c r="I618" s="30"/>
    </row>
    <row r="619" spans="5:9" ht="15.75" customHeight="1">
      <c r="E619" s="2"/>
      <c r="H619" s="29"/>
      <c r="I619" s="30"/>
    </row>
    <row r="620" spans="5:9" ht="15.75" customHeight="1">
      <c r="E620" s="2"/>
      <c r="H620" s="29"/>
      <c r="I620" s="30"/>
    </row>
    <row r="621" spans="5:9" ht="15.75" customHeight="1">
      <c r="E621" s="2"/>
      <c r="H621" s="29"/>
      <c r="I621" s="30"/>
    </row>
    <row r="622" spans="5:9" ht="15.75" customHeight="1">
      <c r="E622" s="2"/>
      <c r="H622" s="29"/>
      <c r="I622" s="30"/>
    </row>
    <row r="623" spans="5:9" ht="15.75" customHeight="1">
      <c r="E623" s="2"/>
      <c r="H623" s="29"/>
      <c r="I623" s="30"/>
    </row>
    <row r="624" spans="5:9" ht="15.75" customHeight="1">
      <c r="E624" s="2"/>
      <c r="H624" s="29"/>
      <c r="I624" s="30"/>
    </row>
    <row r="625" spans="5:9" ht="15.75" customHeight="1">
      <c r="E625" s="2"/>
      <c r="H625" s="29"/>
      <c r="I625" s="30"/>
    </row>
    <row r="626" spans="5:9" ht="15.75" customHeight="1">
      <c r="E626" s="2"/>
      <c r="H626" s="29"/>
      <c r="I626" s="30"/>
    </row>
    <row r="627" spans="5:9" ht="15.75" customHeight="1">
      <c r="E627" s="2"/>
      <c r="H627" s="29"/>
      <c r="I627" s="30"/>
    </row>
    <row r="628" spans="5:9" ht="15.75" customHeight="1">
      <c r="E628" s="2"/>
      <c r="H628" s="29"/>
      <c r="I628" s="30"/>
    </row>
    <row r="629" spans="5:9" ht="15.75" customHeight="1">
      <c r="E629" s="2"/>
      <c r="H629" s="29"/>
      <c r="I629" s="30"/>
    </row>
    <row r="630" spans="5:9" ht="15.75" customHeight="1">
      <c r="E630" s="2"/>
      <c r="H630" s="29"/>
      <c r="I630" s="30"/>
    </row>
    <row r="631" spans="5:9" ht="15.75" customHeight="1">
      <c r="E631" s="2"/>
      <c r="H631" s="29"/>
      <c r="I631" s="30"/>
    </row>
    <row r="632" spans="5:9" ht="15.75" customHeight="1">
      <c r="E632" s="2"/>
      <c r="H632" s="29"/>
      <c r="I632" s="30"/>
    </row>
    <row r="633" spans="5:9" ht="15.75" customHeight="1">
      <c r="E633" s="2"/>
      <c r="H633" s="29"/>
      <c r="I633" s="30"/>
    </row>
    <row r="634" spans="5:9" ht="15.75" customHeight="1">
      <c r="E634" s="2"/>
      <c r="H634" s="29"/>
      <c r="I634" s="30"/>
    </row>
    <row r="635" spans="5:9" ht="15.75" customHeight="1">
      <c r="E635" s="2"/>
      <c r="H635" s="29"/>
      <c r="I635" s="30"/>
    </row>
    <row r="636" spans="5:9" ht="15.75" customHeight="1">
      <c r="E636" s="2"/>
      <c r="H636" s="29"/>
      <c r="I636" s="30"/>
    </row>
    <row r="637" spans="5:9" ht="15.75" customHeight="1">
      <c r="E637" s="2"/>
      <c r="H637" s="29"/>
      <c r="I637" s="30"/>
    </row>
    <row r="638" spans="5:9" ht="15.75" customHeight="1">
      <c r="E638" s="2"/>
      <c r="H638" s="29"/>
      <c r="I638" s="30"/>
    </row>
    <row r="639" spans="5:9" ht="15.75" customHeight="1">
      <c r="E639" s="2"/>
      <c r="H639" s="29"/>
      <c r="I639" s="30"/>
    </row>
    <row r="640" spans="5:9" ht="15.75" customHeight="1">
      <c r="E640" s="2"/>
      <c r="H640" s="29"/>
      <c r="I640" s="30"/>
    </row>
    <row r="641" spans="5:9" ht="15.75" customHeight="1">
      <c r="E641" s="2"/>
      <c r="H641" s="29"/>
      <c r="I641" s="30"/>
    </row>
    <row r="642" spans="5:9" ht="15.75" customHeight="1">
      <c r="E642" s="2"/>
      <c r="H642" s="29"/>
      <c r="I642" s="30"/>
    </row>
    <row r="643" spans="5:9" ht="15.75" customHeight="1">
      <c r="E643" s="2"/>
      <c r="H643" s="29"/>
      <c r="I643" s="30"/>
    </row>
    <row r="644" spans="5:9" ht="15.75" customHeight="1">
      <c r="E644" s="2"/>
      <c r="H644" s="29"/>
      <c r="I644" s="30"/>
    </row>
    <row r="645" spans="5:9" ht="15.75" customHeight="1">
      <c r="E645" s="2"/>
      <c r="H645" s="29"/>
      <c r="I645" s="30"/>
    </row>
    <row r="646" spans="5:9" ht="15.75" customHeight="1">
      <c r="E646" s="2"/>
      <c r="H646" s="29"/>
      <c r="I646" s="30"/>
    </row>
    <row r="647" spans="5:9" ht="15.75" customHeight="1">
      <c r="E647" s="2"/>
      <c r="H647" s="29"/>
      <c r="I647" s="30"/>
    </row>
    <row r="648" spans="5:9" ht="15.75" customHeight="1">
      <c r="E648" s="2"/>
      <c r="H648" s="29"/>
      <c r="I648" s="30"/>
    </row>
    <row r="649" spans="5:9" ht="15.75" customHeight="1">
      <c r="E649" s="2"/>
      <c r="H649" s="29"/>
      <c r="I649" s="30"/>
    </row>
    <row r="650" spans="5:9" ht="15.75" customHeight="1">
      <c r="E650" s="2"/>
      <c r="H650" s="29"/>
      <c r="I650" s="30"/>
    </row>
    <row r="651" spans="5:9" ht="15.75" customHeight="1">
      <c r="E651" s="2"/>
      <c r="H651" s="29"/>
      <c r="I651" s="30"/>
    </row>
    <row r="652" spans="5:9" ht="15.75" customHeight="1">
      <c r="E652" s="2"/>
      <c r="H652" s="29"/>
      <c r="I652" s="30"/>
    </row>
    <row r="653" spans="5:9" ht="15.75" customHeight="1">
      <c r="E653" s="2"/>
      <c r="H653" s="29"/>
      <c r="I653" s="30"/>
    </row>
    <row r="654" spans="5:9" ht="15.75" customHeight="1">
      <c r="E654" s="2"/>
      <c r="H654" s="29"/>
      <c r="I654" s="30"/>
    </row>
    <row r="655" spans="5:9" ht="15.75" customHeight="1">
      <c r="E655" s="2"/>
      <c r="H655" s="29"/>
      <c r="I655" s="30"/>
    </row>
    <row r="656" spans="5:9" ht="15.75" customHeight="1">
      <c r="E656" s="2"/>
      <c r="H656" s="29"/>
      <c r="I656" s="30"/>
    </row>
    <row r="657" spans="5:9" ht="15.75" customHeight="1">
      <c r="E657" s="2"/>
      <c r="H657" s="29"/>
      <c r="I657" s="30"/>
    </row>
    <row r="658" spans="5:9" ht="15.75" customHeight="1">
      <c r="E658" s="2"/>
      <c r="H658" s="29"/>
      <c r="I658" s="30"/>
    </row>
    <row r="659" spans="5:9" ht="15.75" customHeight="1">
      <c r="E659" s="2"/>
      <c r="H659" s="29"/>
      <c r="I659" s="30"/>
    </row>
    <row r="660" spans="5:9" ht="15.75" customHeight="1">
      <c r="E660" s="2"/>
      <c r="H660" s="29"/>
      <c r="I660" s="30"/>
    </row>
    <row r="661" spans="5:9" ht="15.75" customHeight="1">
      <c r="E661" s="2"/>
      <c r="H661" s="29"/>
      <c r="I661" s="30"/>
    </row>
    <row r="662" spans="5:9" ht="15.75" customHeight="1">
      <c r="E662" s="2"/>
      <c r="H662" s="29"/>
      <c r="I662" s="30"/>
    </row>
    <row r="663" spans="5:9" ht="15.75" customHeight="1">
      <c r="E663" s="2"/>
      <c r="H663" s="29"/>
      <c r="I663" s="30"/>
    </row>
    <row r="664" spans="5:9" ht="15.75" customHeight="1">
      <c r="E664" s="2"/>
      <c r="H664" s="29"/>
      <c r="I664" s="30"/>
    </row>
    <row r="665" spans="5:9" ht="15.75" customHeight="1">
      <c r="E665" s="2"/>
      <c r="H665" s="29"/>
      <c r="I665" s="30"/>
    </row>
    <row r="666" spans="5:9" ht="15.75" customHeight="1">
      <c r="E666" s="2"/>
      <c r="H666" s="29"/>
      <c r="I666" s="30"/>
    </row>
    <row r="667" spans="5:9" ht="15.75" customHeight="1">
      <c r="E667" s="2"/>
      <c r="H667" s="29"/>
      <c r="I667" s="30"/>
    </row>
    <row r="668" spans="5:9" ht="15.75" customHeight="1">
      <c r="E668" s="2"/>
      <c r="H668" s="29"/>
      <c r="I668" s="30"/>
    </row>
    <row r="669" spans="5:9" ht="15.75" customHeight="1">
      <c r="E669" s="2"/>
      <c r="H669" s="29"/>
      <c r="I669" s="30"/>
    </row>
    <row r="670" spans="5:9" ht="15.75" customHeight="1">
      <c r="E670" s="2"/>
      <c r="H670" s="29"/>
      <c r="I670" s="30"/>
    </row>
    <row r="671" spans="5:9" ht="15.75" customHeight="1">
      <c r="E671" s="2"/>
      <c r="H671" s="29"/>
      <c r="I671" s="30"/>
    </row>
    <row r="672" spans="5:9" ht="15.75" customHeight="1">
      <c r="E672" s="2"/>
      <c r="H672" s="29"/>
      <c r="I672" s="30"/>
    </row>
    <row r="673" spans="5:9" ht="15.75" customHeight="1">
      <c r="E673" s="2"/>
      <c r="H673" s="29"/>
      <c r="I673" s="30"/>
    </row>
    <row r="674" spans="5:9" ht="15.75" customHeight="1">
      <c r="E674" s="2"/>
      <c r="H674" s="29"/>
      <c r="I674" s="30"/>
    </row>
    <row r="675" spans="5:9" ht="15.75" customHeight="1">
      <c r="E675" s="2"/>
      <c r="H675" s="29"/>
      <c r="I675" s="30"/>
    </row>
    <row r="676" spans="5:9" ht="15.75" customHeight="1">
      <c r="E676" s="2"/>
      <c r="H676" s="29"/>
      <c r="I676" s="30"/>
    </row>
    <row r="677" spans="5:9" ht="15.75" customHeight="1">
      <c r="E677" s="2"/>
      <c r="H677" s="29"/>
      <c r="I677" s="30"/>
    </row>
    <row r="678" spans="5:9" ht="15.75" customHeight="1">
      <c r="E678" s="2"/>
      <c r="H678" s="29"/>
      <c r="I678" s="30"/>
    </row>
    <row r="679" spans="5:9" ht="15.75" customHeight="1">
      <c r="E679" s="2"/>
      <c r="H679" s="29"/>
      <c r="I679" s="30"/>
    </row>
    <row r="680" spans="5:9" ht="15.75" customHeight="1">
      <c r="E680" s="2"/>
      <c r="H680" s="29"/>
      <c r="I680" s="30"/>
    </row>
    <row r="681" spans="5:9" ht="15.75" customHeight="1">
      <c r="E681" s="2"/>
      <c r="H681" s="29"/>
      <c r="I681" s="30"/>
    </row>
    <row r="682" spans="5:9" ht="15.75" customHeight="1">
      <c r="E682" s="2"/>
      <c r="H682" s="29"/>
      <c r="I682" s="30"/>
    </row>
    <row r="683" spans="5:9" ht="15.75" customHeight="1">
      <c r="E683" s="2"/>
      <c r="H683" s="29"/>
      <c r="I683" s="30"/>
    </row>
    <row r="684" spans="5:9" ht="15.75" customHeight="1">
      <c r="E684" s="2"/>
      <c r="H684" s="29"/>
      <c r="I684" s="30"/>
    </row>
    <row r="685" spans="5:9" ht="15.75" customHeight="1">
      <c r="E685" s="2"/>
      <c r="H685" s="29"/>
      <c r="I685" s="30"/>
    </row>
    <row r="686" spans="5:9" ht="15.75" customHeight="1">
      <c r="E686" s="2"/>
      <c r="H686" s="29"/>
      <c r="I686" s="30"/>
    </row>
    <row r="687" spans="5:9" ht="15.75" customHeight="1">
      <c r="E687" s="2"/>
      <c r="H687" s="29"/>
      <c r="I687" s="30"/>
    </row>
    <row r="688" spans="5:9" ht="15.75" customHeight="1">
      <c r="E688" s="2"/>
      <c r="H688" s="29"/>
      <c r="I688" s="30"/>
    </row>
    <row r="689" spans="5:9" ht="15.75" customHeight="1">
      <c r="E689" s="2"/>
      <c r="H689" s="29"/>
      <c r="I689" s="30"/>
    </row>
    <row r="690" spans="5:9" ht="15.75" customHeight="1">
      <c r="E690" s="2"/>
      <c r="H690" s="29"/>
      <c r="I690" s="30"/>
    </row>
    <row r="691" spans="5:9" ht="15.75" customHeight="1">
      <c r="E691" s="2"/>
      <c r="H691" s="29"/>
      <c r="I691" s="30"/>
    </row>
    <row r="692" spans="5:9" ht="15.75" customHeight="1">
      <c r="E692" s="2"/>
      <c r="H692" s="29"/>
      <c r="I692" s="30"/>
    </row>
    <row r="693" spans="5:9" ht="15.75" customHeight="1">
      <c r="E693" s="2"/>
      <c r="H693" s="29"/>
      <c r="I693" s="30"/>
    </row>
    <row r="694" spans="5:9" ht="15.75" customHeight="1">
      <c r="E694" s="2"/>
      <c r="H694" s="29"/>
      <c r="I694" s="30"/>
    </row>
    <row r="695" spans="5:9" ht="15.75" customHeight="1">
      <c r="E695" s="2"/>
      <c r="H695" s="29"/>
      <c r="I695" s="30"/>
    </row>
    <row r="696" spans="5:9" ht="15.75" customHeight="1">
      <c r="E696" s="2"/>
      <c r="H696" s="29"/>
      <c r="I696" s="30"/>
    </row>
    <row r="697" spans="5:9" ht="15.75" customHeight="1">
      <c r="E697" s="2"/>
      <c r="H697" s="29"/>
      <c r="I697" s="30"/>
    </row>
    <row r="698" spans="5:9" ht="15.75" customHeight="1">
      <c r="E698" s="2"/>
      <c r="H698" s="29"/>
      <c r="I698" s="30"/>
    </row>
    <row r="699" spans="5:9" ht="15.75" customHeight="1">
      <c r="E699" s="2"/>
      <c r="H699" s="29"/>
      <c r="I699" s="30"/>
    </row>
    <row r="700" spans="5:9" ht="15.75" customHeight="1">
      <c r="E700" s="2"/>
      <c r="H700" s="29"/>
      <c r="I700" s="30"/>
    </row>
    <row r="701" spans="5:9" ht="15.75" customHeight="1">
      <c r="E701" s="2"/>
      <c r="H701" s="29"/>
      <c r="I701" s="30"/>
    </row>
    <row r="702" spans="5:9" ht="15.75" customHeight="1">
      <c r="E702" s="2"/>
      <c r="H702" s="29"/>
      <c r="I702" s="30"/>
    </row>
    <row r="703" spans="5:9" ht="15.75" customHeight="1">
      <c r="E703" s="2"/>
      <c r="H703" s="29"/>
      <c r="I703" s="30"/>
    </row>
    <row r="704" spans="5:9" ht="15.75" customHeight="1">
      <c r="E704" s="2"/>
      <c r="H704" s="29"/>
      <c r="I704" s="30"/>
    </row>
    <row r="705" spans="5:9" ht="15.75" customHeight="1">
      <c r="E705" s="2"/>
      <c r="H705" s="29"/>
      <c r="I705" s="30"/>
    </row>
    <row r="706" spans="5:9" ht="15.75" customHeight="1">
      <c r="E706" s="2"/>
      <c r="H706" s="29"/>
      <c r="I706" s="30"/>
    </row>
    <row r="707" spans="5:9" ht="15.75" customHeight="1">
      <c r="E707" s="2"/>
      <c r="H707" s="29"/>
      <c r="I707" s="30"/>
    </row>
    <row r="708" spans="5:9" ht="15.75" customHeight="1">
      <c r="E708" s="2"/>
      <c r="H708" s="29"/>
      <c r="I708" s="30"/>
    </row>
    <row r="709" spans="5:9" ht="15.75" customHeight="1">
      <c r="E709" s="2"/>
      <c r="H709" s="29"/>
      <c r="I709" s="30"/>
    </row>
    <row r="710" spans="5:9" ht="15.75" customHeight="1">
      <c r="E710" s="2"/>
      <c r="H710" s="29"/>
      <c r="I710" s="30"/>
    </row>
    <row r="711" spans="5:9" ht="15.75" customHeight="1">
      <c r="E711" s="2"/>
      <c r="H711" s="29"/>
      <c r="I711" s="30"/>
    </row>
    <row r="712" spans="5:9" ht="15.75" customHeight="1">
      <c r="E712" s="2"/>
      <c r="H712" s="29"/>
      <c r="I712" s="30"/>
    </row>
    <row r="713" spans="5:9" ht="15.75" customHeight="1">
      <c r="E713" s="2"/>
      <c r="H713" s="29"/>
      <c r="I713" s="30"/>
    </row>
    <row r="714" spans="5:9" ht="15.75" customHeight="1">
      <c r="E714" s="2"/>
      <c r="H714" s="29"/>
      <c r="I714" s="30"/>
    </row>
    <row r="715" spans="5:9" ht="15.75" customHeight="1">
      <c r="E715" s="2"/>
      <c r="H715" s="29"/>
      <c r="I715" s="30"/>
    </row>
    <row r="716" spans="5:9" ht="15.75" customHeight="1">
      <c r="E716" s="2"/>
      <c r="H716" s="29"/>
      <c r="I716" s="30"/>
    </row>
    <row r="717" spans="5:9" ht="15.75" customHeight="1">
      <c r="E717" s="2"/>
      <c r="H717" s="29"/>
      <c r="I717" s="30"/>
    </row>
    <row r="718" spans="5:9" ht="15.75" customHeight="1">
      <c r="E718" s="2"/>
      <c r="H718" s="29"/>
      <c r="I718" s="30"/>
    </row>
    <row r="719" spans="5:9" ht="15.75" customHeight="1">
      <c r="E719" s="2"/>
      <c r="H719" s="29"/>
      <c r="I719" s="30"/>
    </row>
    <row r="720" spans="5:9" ht="15.75" customHeight="1">
      <c r="E720" s="2"/>
      <c r="H720" s="29"/>
      <c r="I720" s="30"/>
    </row>
    <row r="721" spans="5:9" ht="15.75" customHeight="1">
      <c r="E721" s="2"/>
      <c r="H721" s="29"/>
      <c r="I721" s="30"/>
    </row>
    <row r="722" spans="5:9" ht="15.75" customHeight="1">
      <c r="E722" s="2"/>
      <c r="H722" s="29"/>
      <c r="I722" s="30"/>
    </row>
    <row r="723" spans="5:9" ht="15.75" customHeight="1">
      <c r="E723" s="2"/>
      <c r="H723" s="29"/>
      <c r="I723" s="30"/>
    </row>
    <row r="724" spans="5:9" ht="15.75" customHeight="1">
      <c r="E724" s="2"/>
      <c r="H724" s="29"/>
      <c r="I724" s="30"/>
    </row>
    <row r="725" spans="5:9" ht="15.75" customHeight="1">
      <c r="E725" s="2"/>
      <c r="H725" s="29"/>
      <c r="I725" s="30"/>
    </row>
    <row r="726" spans="5:9" ht="15.75" customHeight="1">
      <c r="E726" s="2"/>
      <c r="H726" s="29"/>
      <c r="I726" s="30"/>
    </row>
    <row r="727" spans="5:9" ht="15.75" customHeight="1">
      <c r="E727" s="2"/>
      <c r="H727" s="29"/>
      <c r="I727" s="30"/>
    </row>
    <row r="728" spans="5:9" ht="15.75" customHeight="1">
      <c r="E728" s="2"/>
      <c r="H728" s="29"/>
      <c r="I728" s="30"/>
    </row>
    <row r="729" spans="5:9" ht="15.75" customHeight="1">
      <c r="E729" s="2"/>
      <c r="H729" s="29"/>
      <c r="I729" s="30"/>
    </row>
    <row r="730" spans="5:9" ht="15.75" customHeight="1">
      <c r="E730" s="2"/>
      <c r="H730" s="29"/>
      <c r="I730" s="30"/>
    </row>
    <row r="731" spans="5:9" ht="15.75" customHeight="1">
      <c r="E731" s="2"/>
      <c r="H731" s="29"/>
      <c r="I731" s="30"/>
    </row>
    <row r="732" spans="5:9" ht="15.75" customHeight="1">
      <c r="E732" s="2"/>
      <c r="H732" s="29"/>
      <c r="I732" s="30"/>
    </row>
    <row r="733" spans="5:9" ht="15.75" customHeight="1">
      <c r="E733" s="2"/>
      <c r="H733" s="29"/>
      <c r="I733" s="30"/>
    </row>
    <row r="734" spans="5:9" ht="15.75" customHeight="1">
      <c r="E734" s="2"/>
      <c r="H734" s="29"/>
      <c r="I734" s="30"/>
    </row>
    <row r="735" spans="5:9" ht="15.75" customHeight="1">
      <c r="E735" s="2"/>
      <c r="H735" s="29"/>
      <c r="I735" s="30"/>
    </row>
    <row r="736" spans="5:9" ht="15.75" customHeight="1">
      <c r="E736" s="2"/>
      <c r="H736" s="29"/>
      <c r="I736" s="30"/>
    </row>
    <row r="737" spans="5:9" ht="15.75" customHeight="1">
      <c r="E737" s="2"/>
      <c r="H737" s="29"/>
      <c r="I737" s="30"/>
    </row>
    <row r="738" spans="5:9" ht="15.75" customHeight="1">
      <c r="E738" s="2"/>
      <c r="H738" s="29"/>
      <c r="I738" s="30"/>
    </row>
    <row r="739" spans="5:9" ht="15.75" customHeight="1">
      <c r="E739" s="2"/>
      <c r="H739" s="29"/>
      <c r="I739" s="30"/>
    </row>
    <row r="740" spans="5:9" ht="15.75" customHeight="1">
      <c r="E740" s="2"/>
      <c r="H740" s="29"/>
      <c r="I740" s="30"/>
    </row>
    <row r="741" spans="5:9" ht="15.75" customHeight="1">
      <c r="E741" s="2"/>
      <c r="H741" s="29"/>
      <c r="I741" s="30"/>
    </row>
    <row r="742" spans="5:9" ht="15.75" customHeight="1">
      <c r="E742" s="2"/>
      <c r="H742" s="29"/>
      <c r="I742" s="30"/>
    </row>
    <row r="743" spans="5:9" ht="15.75" customHeight="1">
      <c r="E743" s="2"/>
      <c r="H743" s="29"/>
      <c r="I743" s="30"/>
    </row>
    <row r="744" spans="5:9" ht="15.75" customHeight="1">
      <c r="E744" s="2"/>
      <c r="H744" s="29"/>
      <c r="I744" s="30"/>
    </row>
    <row r="745" spans="5:9" ht="15.75" customHeight="1">
      <c r="E745" s="2"/>
      <c r="H745" s="29"/>
      <c r="I745" s="30"/>
    </row>
    <row r="746" spans="5:9" ht="15.75" customHeight="1">
      <c r="E746" s="2"/>
      <c r="H746" s="29"/>
      <c r="I746" s="30"/>
    </row>
    <row r="747" spans="5:9" ht="15.75" customHeight="1">
      <c r="E747" s="2"/>
      <c r="H747" s="29"/>
      <c r="I747" s="30"/>
    </row>
    <row r="748" spans="5:9" ht="15.75" customHeight="1">
      <c r="E748" s="2"/>
      <c r="H748" s="29"/>
      <c r="I748" s="30"/>
    </row>
    <row r="749" spans="5:9" ht="15.75" customHeight="1">
      <c r="E749" s="2"/>
      <c r="H749" s="29"/>
      <c r="I749" s="30"/>
    </row>
    <row r="750" spans="5:9" ht="15.75" customHeight="1">
      <c r="E750" s="2"/>
      <c r="H750" s="29"/>
      <c r="I750" s="30"/>
    </row>
    <row r="751" spans="5:9" ht="15.75" customHeight="1">
      <c r="E751" s="2"/>
      <c r="H751" s="29"/>
      <c r="I751" s="30"/>
    </row>
    <row r="752" spans="5:9" ht="15.75" customHeight="1">
      <c r="E752" s="2"/>
      <c r="H752" s="29"/>
      <c r="I752" s="30"/>
    </row>
    <row r="753" spans="5:9" ht="15.75" customHeight="1">
      <c r="E753" s="2"/>
      <c r="H753" s="29"/>
      <c r="I753" s="30"/>
    </row>
    <row r="754" spans="5:9" ht="15.75" customHeight="1">
      <c r="E754" s="2"/>
      <c r="H754" s="29"/>
      <c r="I754" s="30"/>
    </row>
    <row r="755" spans="5:9" ht="15.75" customHeight="1">
      <c r="E755" s="2"/>
      <c r="H755" s="29"/>
      <c r="I755" s="30"/>
    </row>
    <row r="756" spans="5:9" ht="15.75" customHeight="1">
      <c r="E756" s="2"/>
      <c r="H756" s="29"/>
      <c r="I756" s="30"/>
    </row>
    <row r="757" spans="5:9" ht="15.75" customHeight="1">
      <c r="E757" s="2"/>
      <c r="H757" s="29"/>
      <c r="I757" s="30"/>
    </row>
    <row r="758" spans="5:9" ht="15.75" customHeight="1">
      <c r="E758" s="2"/>
      <c r="H758" s="29"/>
      <c r="I758" s="30"/>
    </row>
    <row r="759" spans="5:9" ht="15.75" customHeight="1">
      <c r="E759" s="2"/>
      <c r="H759" s="29"/>
      <c r="I759" s="30"/>
    </row>
    <row r="760" spans="5:9" ht="15.75" customHeight="1">
      <c r="E760" s="2"/>
      <c r="H760" s="29"/>
      <c r="I760" s="30"/>
    </row>
    <row r="761" spans="5:9" ht="15.75" customHeight="1">
      <c r="E761" s="2"/>
      <c r="H761" s="29"/>
      <c r="I761" s="30"/>
    </row>
    <row r="762" spans="5:9" ht="15.75" customHeight="1">
      <c r="E762" s="2"/>
      <c r="H762" s="29"/>
      <c r="I762" s="30"/>
    </row>
    <row r="763" spans="5:9" ht="15.75" customHeight="1">
      <c r="E763" s="2"/>
      <c r="H763" s="29"/>
      <c r="I763" s="30"/>
    </row>
    <row r="764" spans="5:9" ht="15.75" customHeight="1">
      <c r="E764" s="2"/>
      <c r="H764" s="29"/>
      <c r="I764" s="30"/>
    </row>
    <row r="765" spans="5:9" ht="15.75" customHeight="1">
      <c r="E765" s="2"/>
      <c r="H765" s="29"/>
      <c r="I765" s="30"/>
    </row>
    <row r="766" spans="5:9" ht="15.75" customHeight="1">
      <c r="E766" s="2"/>
      <c r="H766" s="29"/>
      <c r="I766" s="30"/>
    </row>
    <row r="767" spans="5:9" ht="15.75" customHeight="1">
      <c r="E767" s="2"/>
      <c r="H767" s="29"/>
      <c r="I767" s="30"/>
    </row>
    <row r="768" spans="5:9" ht="15.75" customHeight="1">
      <c r="E768" s="2"/>
      <c r="H768" s="29"/>
      <c r="I768" s="30"/>
    </row>
    <row r="769" spans="5:9" ht="15.75" customHeight="1">
      <c r="E769" s="2"/>
      <c r="H769" s="29"/>
      <c r="I769" s="30"/>
    </row>
    <row r="770" spans="5:9" ht="15.75" customHeight="1">
      <c r="E770" s="2"/>
      <c r="H770" s="29"/>
      <c r="I770" s="30"/>
    </row>
    <row r="771" spans="5:9" ht="15.75" customHeight="1">
      <c r="E771" s="2"/>
      <c r="H771" s="29"/>
      <c r="I771" s="30"/>
    </row>
    <row r="772" spans="5:9" ht="15.75" customHeight="1">
      <c r="E772" s="2"/>
      <c r="H772" s="29"/>
      <c r="I772" s="30"/>
    </row>
    <row r="773" spans="5:9" ht="15.75" customHeight="1">
      <c r="E773" s="2"/>
      <c r="H773" s="29"/>
      <c r="I773" s="30"/>
    </row>
    <row r="774" spans="5:9" ht="15.75" customHeight="1">
      <c r="E774" s="2"/>
      <c r="H774" s="29"/>
      <c r="I774" s="30"/>
    </row>
    <row r="775" spans="5:9" ht="15.75" customHeight="1">
      <c r="E775" s="2"/>
      <c r="H775" s="29"/>
      <c r="I775" s="30"/>
    </row>
    <row r="776" spans="5:9" ht="15.75" customHeight="1">
      <c r="E776" s="2"/>
      <c r="H776" s="29"/>
      <c r="I776" s="30"/>
    </row>
    <row r="777" spans="5:9" ht="15.75" customHeight="1">
      <c r="E777" s="2"/>
      <c r="H777" s="29"/>
      <c r="I777" s="30"/>
    </row>
    <row r="778" spans="5:9" ht="15.75" customHeight="1">
      <c r="E778" s="2"/>
      <c r="H778" s="29"/>
      <c r="I778" s="30"/>
    </row>
    <row r="779" spans="5:9" ht="15.75" customHeight="1">
      <c r="E779" s="2"/>
      <c r="H779" s="29"/>
      <c r="I779" s="30"/>
    </row>
    <row r="780" spans="5:9" ht="15.75" customHeight="1">
      <c r="E780" s="2"/>
      <c r="H780" s="29"/>
      <c r="I780" s="30"/>
    </row>
    <row r="781" spans="5:9" ht="15.75" customHeight="1">
      <c r="E781" s="2"/>
      <c r="H781" s="29"/>
      <c r="I781" s="30"/>
    </row>
    <row r="782" spans="5:9" ht="15.75" customHeight="1">
      <c r="E782" s="2"/>
      <c r="H782" s="29"/>
      <c r="I782" s="30"/>
    </row>
    <row r="783" spans="5:9" ht="15.75" customHeight="1">
      <c r="E783" s="2"/>
      <c r="H783" s="29"/>
      <c r="I783" s="30"/>
    </row>
    <row r="784" spans="5:9" ht="15.75" customHeight="1">
      <c r="E784" s="2"/>
      <c r="H784" s="29"/>
      <c r="I784" s="30"/>
    </row>
    <row r="785" spans="5:9" ht="15.75" customHeight="1">
      <c r="E785" s="2"/>
      <c r="H785" s="29"/>
      <c r="I785" s="30"/>
    </row>
    <row r="786" spans="5:9" ht="15.75" customHeight="1">
      <c r="E786" s="2"/>
      <c r="H786" s="29"/>
      <c r="I786" s="30"/>
    </row>
    <row r="787" spans="5:9" ht="15.75" customHeight="1">
      <c r="E787" s="2"/>
      <c r="H787" s="29"/>
      <c r="I787" s="30"/>
    </row>
    <row r="788" spans="5:9" ht="15.75" customHeight="1">
      <c r="E788" s="2"/>
      <c r="H788" s="29"/>
      <c r="I788" s="30"/>
    </row>
    <row r="789" spans="5:9" ht="15.75" customHeight="1">
      <c r="E789" s="2"/>
      <c r="H789" s="29"/>
      <c r="I789" s="30"/>
    </row>
    <row r="790" spans="5:9" ht="15.75" customHeight="1">
      <c r="E790" s="2"/>
      <c r="H790" s="29"/>
      <c r="I790" s="30"/>
    </row>
    <row r="791" spans="5:9" ht="15.75" customHeight="1">
      <c r="E791" s="2"/>
      <c r="H791" s="29"/>
      <c r="I791" s="30"/>
    </row>
    <row r="792" spans="5:9" ht="15.75" customHeight="1">
      <c r="E792" s="2"/>
      <c r="H792" s="29"/>
      <c r="I792" s="30"/>
    </row>
    <row r="793" spans="5:9" ht="15.75" customHeight="1">
      <c r="E793" s="2"/>
      <c r="H793" s="29"/>
      <c r="I793" s="30"/>
    </row>
    <row r="794" spans="5:9" ht="15.75" customHeight="1">
      <c r="E794" s="2"/>
      <c r="H794" s="29"/>
      <c r="I794" s="30"/>
    </row>
    <row r="795" spans="5:9" ht="15.75" customHeight="1">
      <c r="E795" s="2"/>
      <c r="H795" s="29"/>
      <c r="I795" s="30"/>
    </row>
    <row r="796" spans="5:9" ht="15.75" customHeight="1">
      <c r="E796" s="2"/>
      <c r="H796" s="29"/>
      <c r="I796" s="30"/>
    </row>
    <row r="797" spans="5:9" ht="15.75" customHeight="1">
      <c r="E797" s="2"/>
      <c r="H797" s="29"/>
      <c r="I797" s="30"/>
    </row>
    <row r="798" spans="5:9" ht="15.75" customHeight="1">
      <c r="E798" s="2"/>
      <c r="H798" s="29"/>
      <c r="I798" s="30"/>
    </row>
    <row r="799" spans="5:9" ht="15.75" customHeight="1">
      <c r="E799" s="2"/>
      <c r="H799" s="29"/>
      <c r="I799" s="30"/>
    </row>
    <row r="800" spans="5:9" ht="15.75" customHeight="1">
      <c r="E800" s="2"/>
      <c r="H800" s="29"/>
      <c r="I800" s="30"/>
    </row>
    <row r="801" spans="5:9" ht="15.75" customHeight="1">
      <c r="E801" s="2"/>
      <c r="H801" s="29"/>
      <c r="I801" s="30"/>
    </row>
    <row r="802" spans="5:9" ht="15.75" customHeight="1">
      <c r="E802" s="2"/>
      <c r="H802" s="29"/>
      <c r="I802" s="30"/>
    </row>
    <row r="803" spans="5:9" ht="15.75" customHeight="1">
      <c r="E803" s="2"/>
      <c r="H803" s="29"/>
      <c r="I803" s="30"/>
    </row>
    <row r="804" spans="5:9" ht="15.75" customHeight="1">
      <c r="E804" s="2"/>
      <c r="H804" s="29"/>
      <c r="I804" s="30"/>
    </row>
    <row r="805" spans="5:9" ht="15.75" customHeight="1">
      <c r="E805" s="2"/>
      <c r="H805" s="29"/>
      <c r="I805" s="30"/>
    </row>
    <row r="806" spans="5:9" ht="15.75" customHeight="1">
      <c r="E806" s="2"/>
      <c r="H806" s="29"/>
      <c r="I806" s="30"/>
    </row>
    <row r="807" spans="5:9" ht="15.75" customHeight="1">
      <c r="E807" s="2"/>
      <c r="H807" s="29"/>
      <c r="I807" s="30"/>
    </row>
    <row r="808" spans="5:9" ht="15.75" customHeight="1">
      <c r="E808" s="2"/>
      <c r="H808" s="29"/>
      <c r="I808" s="30"/>
    </row>
    <row r="809" spans="5:9" ht="15.75" customHeight="1">
      <c r="E809" s="2"/>
      <c r="H809" s="29"/>
      <c r="I809" s="30"/>
    </row>
    <row r="810" spans="5:9" ht="15.75" customHeight="1">
      <c r="E810" s="2"/>
      <c r="H810" s="29"/>
      <c r="I810" s="30"/>
    </row>
    <row r="811" spans="5:9" ht="15.75" customHeight="1">
      <c r="E811" s="2"/>
      <c r="H811" s="29"/>
      <c r="I811" s="30"/>
    </row>
    <row r="812" spans="5:9" ht="15.75" customHeight="1">
      <c r="E812" s="2"/>
      <c r="H812" s="29"/>
      <c r="I812" s="30"/>
    </row>
    <row r="813" spans="5:9" ht="15.75" customHeight="1">
      <c r="E813" s="2"/>
      <c r="H813" s="29"/>
      <c r="I813" s="30"/>
    </row>
    <row r="814" spans="5:9" ht="15.75" customHeight="1">
      <c r="E814" s="2"/>
      <c r="H814" s="29"/>
      <c r="I814" s="30"/>
    </row>
    <row r="815" spans="5:9" ht="15.75" customHeight="1">
      <c r="E815" s="2"/>
      <c r="H815" s="29"/>
      <c r="I815" s="30"/>
    </row>
    <row r="816" spans="5:9" ht="15.75" customHeight="1">
      <c r="E816" s="2"/>
      <c r="H816" s="29"/>
      <c r="I816" s="30"/>
    </row>
    <row r="817" spans="5:9" ht="15.75" customHeight="1">
      <c r="E817" s="2"/>
      <c r="H817" s="29"/>
      <c r="I817" s="30"/>
    </row>
    <row r="818" spans="5:9" ht="15.75" customHeight="1">
      <c r="E818" s="2"/>
      <c r="H818" s="29"/>
      <c r="I818" s="30"/>
    </row>
    <row r="819" spans="5:9" ht="15.75" customHeight="1">
      <c r="E819" s="2"/>
      <c r="H819" s="29"/>
      <c r="I819" s="30"/>
    </row>
    <row r="820" spans="5:9" ht="15.75" customHeight="1">
      <c r="E820" s="2"/>
      <c r="H820" s="29"/>
      <c r="I820" s="30"/>
    </row>
    <row r="821" spans="5:9" ht="15.75" customHeight="1">
      <c r="E821" s="2"/>
      <c r="H821" s="29"/>
      <c r="I821" s="30"/>
    </row>
    <row r="822" spans="5:9" ht="15.75" customHeight="1">
      <c r="E822" s="2"/>
      <c r="H822" s="29"/>
      <c r="I822" s="30"/>
    </row>
    <row r="823" spans="5:9" ht="15.75" customHeight="1">
      <c r="E823" s="2"/>
      <c r="H823" s="29"/>
      <c r="I823" s="30"/>
    </row>
    <row r="824" spans="5:9" ht="15.75" customHeight="1">
      <c r="E824" s="2"/>
      <c r="H824" s="29"/>
      <c r="I824" s="30"/>
    </row>
    <row r="825" spans="5:9" ht="15.75" customHeight="1">
      <c r="E825" s="2"/>
      <c r="H825" s="29"/>
      <c r="I825" s="30"/>
    </row>
    <row r="826" spans="5:9" ht="15.75" customHeight="1">
      <c r="E826" s="2"/>
      <c r="H826" s="29"/>
      <c r="I826" s="30"/>
    </row>
    <row r="827" spans="5:9" ht="15.75" customHeight="1">
      <c r="E827" s="2"/>
      <c r="H827" s="29"/>
      <c r="I827" s="30"/>
    </row>
    <row r="828" spans="5:9" ht="15.75" customHeight="1">
      <c r="E828" s="2"/>
      <c r="H828" s="29"/>
      <c r="I828" s="30"/>
    </row>
    <row r="829" spans="5:9" ht="15.75" customHeight="1">
      <c r="E829" s="2"/>
      <c r="H829" s="29"/>
      <c r="I829" s="30"/>
    </row>
    <row r="830" spans="5:9" ht="15.75" customHeight="1">
      <c r="E830" s="2"/>
      <c r="H830" s="29"/>
      <c r="I830" s="30"/>
    </row>
    <row r="831" spans="5:9" ht="15.75" customHeight="1">
      <c r="E831" s="2"/>
      <c r="H831" s="29"/>
      <c r="I831" s="30"/>
    </row>
    <row r="832" spans="5:9" ht="15.75" customHeight="1">
      <c r="E832" s="2"/>
      <c r="H832" s="29"/>
      <c r="I832" s="30"/>
    </row>
    <row r="833" spans="5:9" ht="15.75" customHeight="1">
      <c r="E833" s="2"/>
      <c r="H833" s="29"/>
      <c r="I833" s="30"/>
    </row>
    <row r="834" spans="5:9" ht="15.75" customHeight="1">
      <c r="E834" s="2"/>
      <c r="H834" s="29"/>
      <c r="I834" s="30"/>
    </row>
    <row r="835" spans="5:9" ht="15.75" customHeight="1">
      <c r="E835" s="2"/>
      <c r="H835" s="29"/>
      <c r="I835" s="30"/>
    </row>
    <row r="836" spans="5:9" ht="15.75" customHeight="1">
      <c r="E836" s="2"/>
      <c r="H836" s="29"/>
      <c r="I836" s="30"/>
    </row>
    <row r="837" spans="5:9" ht="15.75" customHeight="1">
      <c r="E837" s="2"/>
      <c r="H837" s="29"/>
      <c r="I837" s="30"/>
    </row>
    <row r="838" spans="5:9" ht="15.75" customHeight="1">
      <c r="E838" s="2"/>
      <c r="H838" s="29"/>
      <c r="I838" s="30"/>
    </row>
    <row r="839" spans="5:9" ht="15.75" customHeight="1">
      <c r="E839" s="2"/>
      <c r="H839" s="29"/>
      <c r="I839" s="30"/>
    </row>
    <row r="840" spans="5:9" ht="15.75" customHeight="1">
      <c r="E840" s="2"/>
      <c r="H840" s="29"/>
      <c r="I840" s="30"/>
    </row>
    <row r="841" spans="5:9" ht="15.75" customHeight="1">
      <c r="E841" s="2"/>
      <c r="H841" s="29"/>
      <c r="I841" s="30"/>
    </row>
    <row r="842" spans="5:9" ht="15.75" customHeight="1">
      <c r="E842" s="2"/>
      <c r="H842" s="29"/>
      <c r="I842" s="30"/>
    </row>
    <row r="843" spans="5:9" ht="15.75" customHeight="1">
      <c r="E843" s="2"/>
      <c r="H843" s="29"/>
      <c r="I843" s="30"/>
    </row>
    <row r="844" spans="5:9" ht="15.75" customHeight="1">
      <c r="E844" s="2"/>
      <c r="H844" s="29"/>
      <c r="I844" s="30"/>
    </row>
    <row r="845" spans="5:9" ht="15.75" customHeight="1">
      <c r="E845" s="2"/>
      <c r="H845" s="29"/>
      <c r="I845" s="30"/>
    </row>
    <row r="846" spans="5:9" ht="15.75" customHeight="1">
      <c r="E846" s="2"/>
      <c r="H846" s="29"/>
      <c r="I846" s="30"/>
    </row>
    <row r="847" spans="5:9" ht="15.75" customHeight="1">
      <c r="E847" s="2"/>
      <c r="H847" s="29"/>
      <c r="I847" s="30"/>
    </row>
    <row r="848" spans="5:9" ht="15.75" customHeight="1">
      <c r="E848" s="2"/>
      <c r="H848" s="29"/>
      <c r="I848" s="30"/>
    </row>
    <row r="849" spans="5:9" ht="15.75" customHeight="1">
      <c r="E849" s="2"/>
      <c r="H849" s="29"/>
      <c r="I849" s="30"/>
    </row>
    <row r="850" spans="5:9" ht="15.75" customHeight="1">
      <c r="E850" s="2"/>
      <c r="H850" s="29"/>
      <c r="I850" s="30"/>
    </row>
    <row r="851" spans="5:9" ht="15.75" customHeight="1">
      <c r="E851" s="2"/>
      <c r="H851" s="29"/>
      <c r="I851" s="30"/>
    </row>
    <row r="852" spans="5:9" ht="15.75" customHeight="1">
      <c r="E852" s="2"/>
      <c r="H852" s="29"/>
      <c r="I852" s="30"/>
    </row>
    <row r="853" spans="5:9" ht="15.75" customHeight="1">
      <c r="E853" s="2"/>
      <c r="H853" s="29"/>
      <c r="I853" s="30"/>
    </row>
    <row r="854" spans="5:9" ht="15.75" customHeight="1">
      <c r="E854" s="2"/>
      <c r="H854" s="29"/>
      <c r="I854" s="30"/>
    </row>
    <row r="855" spans="5:9" ht="15.75" customHeight="1">
      <c r="E855" s="2"/>
      <c r="H855" s="29"/>
      <c r="I855" s="30"/>
    </row>
    <row r="856" spans="5:9" ht="15.75" customHeight="1">
      <c r="E856" s="2"/>
      <c r="H856" s="29"/>
      <c r="I856" s="30"/>
    </row>
    <row r="857" spans="5:9" ht="15.75" customHeight="1">
      <c r="E857" s="2"/>
      <c r="H857" s="29"/>
      <c r="I857" s="30"/>
    </row>
    <row r="858" spans="5:9" ht="15.75" customHeight="1">
      <c r="E858" s="2"/>
      <c r="H858" s="29"/>
      <c r="I858" s="30"/>
    </row>
    <row r="859" spans="5:9" ht="15.75" customHeight="1">
      <c r="E859" s="2"/>
      <c r="H859" s="29"/>
      <c r="I859" s="30"/>
    </row>
    <row r="860" spans="5:9" ht="15.75" customHeight="1">
      <c r="E860" s="2"/>
      <c r="H860" s="29"/>
      <c r="I860" s="30"/>
    </row>
    <row r="861" spans="5:9" ht="15.75" customHeight="1">
      <c r="E861" s="2"/>
      <c r="H861" s="29"/>
      <c r="I861" s="30"/>
    </row>
    <row r="862" spans="5:9" ht="15.75" customHeight="1">
      <c r="E862" s="2"/>
      <c r="H862" s="29"/>
      <c r="I862" s="30"/>
    </row>
    <row r="863" spans="5:9" ht="15.75" customHeight="1">
      <c r="E863" s="2"/>
      <c r="H863" s="29"/>
      <c r="I863" s="30"/>
    </row>
    <row r="864" spans="5:9" ht="15.75" customHeight="1">
      <c r="E864" s="2"/>
      <c r="H864" s="29"/>
      <c r="I864" s="30"/>
    </row>
    <row r="865" spans="5:9" ht="15.75" customHeight="1">
      <c r="E865" s="2"/>
      <c r="H865" s="29"/>
      <c r="I865" s="30"/>
    </row>
    <row r="866" spans="5:9" ht="15.75" customHeight="1">
      <c r="E866" s="2"/>
      <c r="H866" s="29"/>
      <c r="I866" s="30"/>
    </row>
    <row r="867" spans="5:9" ht="15.75" customHeight="1">
      <c r="E867" s="2"/>
      <c r="H867" s="29"/>
      <c r="I867" s="30"/>
    </row>
    <row r="868" spans="5:9" ht="15.75" customHeight="1">
      <c r="E868" s="2"/>
      <c r="H868" s="29"/>
      <c r="I868" s="30"/>
    </row>
    <row r="869" spans="5:9" ht="15.75" customHeight="1">
      <c r="E869" s="2"/>
      <c r="H869" s="29"/>
      <c r="I869" s="30"/>
    </row>
    <row r="870" spans="5:9" ht="15.75" customHeight="1">
      <c r="E870" s="2"/>
      <c r="H870" s="29"/>
      <c r="I870" s="30"/>
    </row>
    <row r="871" spans="5:9" ht="15.75" customHeight="1">
      <c r="E871" s="2"/>
      <c r="H871" s="29"/>
      <c r="I871" s="30"/>
    </row>
    <row r="872" spans="5:9" ht="15.75" customHeight="1">
      <c r="E872" s="2"/>
      <c r="H872" s="29"/>
      <c r="I872" s="30"/>
    </row>
    <row r="873" spans="5:9" ht="15.75" customHeight="1">
      <c r="E873" s="2"/>
      <c r="H873" s="29"/>
      <c r="I873" s="30"/>
    </row>
    <row r="874" spans="5:9" ht="15.75" customHeight="1">
      <c r="E874" s="2"/>
      <c r="H874" s="29"/>
      <c r="I874" s="30"/>
    </row>
    <row r="875" spans="5:9" ht="15.75" customHeight="1">
      <c r="E875" s="2"/>
      <c r="H875" s="29"/>
      <c r="I875" s="30"/>
    </row>
    <row r="876" spans="5:9" ht="15.75" customHeight="1">
      <c r="E876" s="2"/>
      <c r="H876" s="29"/>
      <c r="I876" s="30"/>
    </row>
    <row r="877" spans="5:9" ht="15.75" customHeight="1">
      <c r="E877" s="2"/>
      <c r="H877" s="29"/>
      <c r="I877" s="30"/>
    </row>
    <row r="878" spans="5:9" ht="15.75" customHeight="1">
      <c r="E878" s="2"/>
      <c r="H878" s="29"/>
      <c r="I878" s="30"/>
    </row>
    <row r="879" spans="5:9" ht="15.75" customHeight="1">
      <c r="E879" s="2"/>
      <c r="H879" s="29"/>
      <c r="I879" s="30"/>
    </row>
    <row r="880" spans="5:9" ht="15.75" customHeight="1">
      <c r="E880" s="2"/>
      <c r="H880" s="29"/>
      <c r="I880" s="30"/>
    </row>
    <row r="881" spans="5:9" ht="15.75" customHeight="1">
      <c r="E881" s="2"/>
      <c r="H881" s="29"/>
      <c r="I881" s="30"/>
    </row>
    <row r="882" spans="5:9" ht="15.75" customHeight="1">
      <c r="E882" s="2"/>
      <c r="H882" s="29"/>
      <c r="I882" s="30"/>
    </row>
    <row r="883" spans="5:9" ht="15.75" customHeight="1">
      <c r="E883" s="2"/>
      <c r="H883" s="29"/>
      <c r="I883" s="30"/>
    </row>
    <row r="884" spans="5:9" ht="15.75" customHeight="1">
      <c r="E884" s="2"/>
      <c r="H884" s="29"/>
      <c r="I884" s="30"/>
    </row>
    <row r="885" spans="5:9" ht="15.75" customHeight="1">
      <c r="E885" s="2"/>
      <c r="H885" s="29"/>
      <c r="I885" s="30"/>
    </row>
    <row r="886" spans="5:9" ht="15.75" customHeight="1">
      <c r="E886" s="2"/>
      <c r="H886" s="29"/>
      <c r="I886" s="30"/>
    </row>
    <row r="887" spans="5:9" ht="15.75" customHeight="1">
      <c r="E887" s="2"/>
      <c r="H887" s="29"/>
      <c r="I887" s="30"/>
    </row>
    <row r="888" spans="5:9" ht="15.75" customHeight="1">
      <c r="E888" s="2"/>
      <c r="H888" s="29"/>
      <c r="I888" s="30"/>
    </row>
    <row r="889" spans="5:9" ht="15.75" customHeight="1">
      <c r="E889" s="2"/>
      <c r="H889" s="29"/>
      <c r="I889" s="30"/>
    </row>
    <row r="890" spans="5:9" ht="15.75" customHeight="1">
      <c r="E890" s="2"/>
      <c r="H890" s="29"/>
      <c r="I890" s="30"/>
    </row>
    <row r="891" spans="5:9" ht="15.75" customHeight="1">
      <c r="E891" s="2"/>
      <c r="H891" s="29"/>
      <c r="I891" s="30"/>
    </row>
    <row r="892" spans="5:9" ht="15.75" customHeight="1">
      <c r="E892" s="2"/>
      <c r="H892" s="29"/>
      <c r="I892" s="30"/>
    </row>
    <row r="893" spans="5:9" ht="15.75" customHeight="1">
      <c r="E893" s="2"/>
      <c r="H893" s="29"/>
      <c r="I893" s="30"/>
    </row>
    <row r="894" spans="5:9" ht="15.75" customHeight="1">
      <c r="E894" s="2"/>
      <c r="H894" s="29"/>
      <c r="I894" s="30"/>
    </row>
    <row r="895" spans="5:9" ht="15.75" customHeight="1">
      <c r="E895" s="2"/>
      <c r="H895" s="29"/>
      <c r="I895" s="30"/>
    </row>
    <row r="896" spans="5:9" ht="15.75" customHeight="1">
      <c r="E896" s="2"/>
      <c r="H896" s="29"/>
      <c r="I896" s="30"/>
    </row>
    <row r="897" spans="5:9" ht="15.75" customHeight="1">
      <c r="E897" s="2"/>
      <c r="H897" s="29"/>
      <c r="I897" s="30"/>
    </row>
    <row r="898" spans="5:9" ht="15.75" customHeight="1">
      <c r="E898" s="2"/>
      <c r="H898" s="29"/>
      <c r="I898" s="30"/>
    </row>
    <row r="899" spans="5:9" ht="15.75" customHeight="1">
      <c r="E899" s="2"/>
      <c r="H899" s="29"/>
      <c r="I899" s="30"/>
    </row>
    <row r="900" spans="5:9" ht="15.75" customHeight="1">
      <c r="E900" s="2"/>
      <c r="H900" s="29"/>
      <c r="I900" s="30"/>
    </row>
    <row r="901" spans="5:9" ht="15.75" customHeight="1">
      <c r="E901" s="2"/>
      <c r="H901" s="29"/>
      <c r="I901" s="30"/>
    </row>
    <row r="902" spans="5:9" ht="15.75" customHeight="1">
      <c r="E902" s="2"/>
      <c r="H902" s="29"/>
      <c r="I902" s="30"/>
    </row>
    <row r="903" spans="5:9" ht="15.75" customHeight="1">
      <c r="E903" s="2"/>
      <c r="H903" s="29"/>
      <c r="I903" s="30"/>
    </row>
    <row r="904" spans="5:9" ht="15.75" customHeight="1">
      <c r="E904" s="2"/>
      <c r="H904" s="29"/>
      <c r="I904" s="30"/>
    </row>
    <row r="905" spans="5:9" ht="15.75" customHeight="1">
      <c r="E905" s="2"/>
      <c r="H905" s="29"/>
      <c r="I905" s="30"/>
    </row>
    <row r="906" spans="5:9" ht="15.75" customHeight="1">
      <c r="E906" s="2"/>
      <c r="H906" s="29"/>
      <c r="I906" s="30"/>
    </row>
    <row r="907" spans="5:9" ht="15.75" customHeight="1">
      <c r="E907" s="2"/>
      <c r="H907" s="29"/>
      <c r="I907" s="30"/>
    </row>
    <row r="908" spans="5:9" ht="15.75" customHeight="1">
      <c r="E908" s="2"/>
      <c r="H908" s="29"/>
      <c r="I908" s="30"/>
    </row>
    <row r="909" spans="5:9" ht="15.75" customHeight="1">
      <c r="E909" s="2"/>
      <c r="H909" s="29"/>
      <c r="I909" s="30"/>
    </row>
    <row r="910" spans="5:9" ht="15.75" customHeight="1">
      <c r="E910" s="2"/>
      <c r="H910" s="29"/>
      <c r="I910" s="30"/>
    </row>
    <row r="911" spans="5:9" ht="15.75" customHeight="1">
      <c r="E911" s="2"/>
      <c r="H911" s="29"/>
      <c r="I911" s="30"/>
    </row>
    <row r="912" spans="5:9" ht="15.75" customHeight="1">
      <c r="E912" s="2"/>
      <c r="H912" s="29"/>
      <c r="I912" s="30"/>
    </row>
    <row r="913" spans="5:9" ht="15.75" customHeight="1">
      <c r="E913" s="2"/>
      <c r="H913" s="29"/>
      <c r="I913" s="30"/>
    </row>
    <row r="914" spans="5:9" ht="15.75" customHeight="1">
      <c r="E914" s="2"/>
      <c r="H914" s="29"/>
      <c r="I914" s="30"/>
    </row>
    <row r="915" spans="5:9" ht="15.75" customHeight="1">
      <c r="E915" s="2"/>
      <c r="H915" s="29"/>
      <c r="I915" s="30"/>
    </row>
    <row r="916" spans="5:9" ht="15.75" customHeight="1">
      <c r="E916" s="2"/>
      <c r="H916" s="29"/>
      <c r="I916" s="30"/>
    </row>
    <row r="917" spans="5:9" ht="15.75" customHeight="1">
      <c r="E917" s="2"/>
      <c r="H917" s="29"/>
      <c r="I917" s="30"/>
    </row>
    <row r="918" spans="5:9" ht="15.75" customHeight="1">
      <c r="E918" s="2"/>
      <c r="H918" s="29"/>
      <c r="I918" s="30"/>
    </row>
    <row r="919" spans="5:9" ht="15.75" customHeight="1">
      <c r="E919" s="2"/>
      <c r="H919" s="29"/>
      <c r="I919" s="30"/>
    </row>
    <row r="920" spans="5:9" ht="15.75" customHeight="1">
      <c r="E920" s="2"/>
      <c r="H920" s="29"/>
      <c r="I920" s="30"/>
    </row>
    <row r="921" spans="5:9" ht="15.75" customHeight="1">
      <c r="E921" s="2"/>
      <c r="H921" s="29"/>
      <c r="I921" s="30"/>
    </row>
    <row r="922" spans="5:9" ht="15.75" customHeight="1">
      <c r="E922" s="2"/>
      <c r="H922" s="29"/>
      <c r="I922" s="30"/>
    </row>
    <row r="923" spans="5:9" ht="15.75" customHeight="1">
      <c r="E923" s="2"/>
      <c r="H923" s="29"/>
      <c r="I923" s="30"/>
    </row>
    <row r="924" spans="5:9" ht="15.75" customHeight="1">
      <c r="E924" s="2"/>
      <c r="H924" s="29"/>
      <c r="I924" s="30"/>
    </row>
    <row r="925" spans="5:9" ht="15.75" customHeight="1">
      <c r="E925" s="2"/>
      <c r="H925" s="29"/>
      <c r="I925" s="30"/>
    </row>
    <row r="926" spans="5:9" ht="15.75" customHeight="1">
      <c r="E926" s="2"/>
      <c r="H926" s="29"/>
      <c r="I926" s="30"/>
    </row>
    <row r="927" spans="5:9" ht="15.75" customHeight="1">
      <c r="E927" s="2"/>
      <c r="H927" s="29"/>
      <c r="I927" s="30"/>
    </row>
    <row r="928" spans="5:9" ht="15.75" customHeight="1">
      <c r="E928" s="2"/>
      <c r="H928" s="29"/>
      <c r="I928" s="30"/>
    </row>
    <row r="929" spans="5:9" ht="15.75" customHeight="1">
      <c r="E929" s="2"/>
      <c r="H929" s="29"/>
      <c r="I929" s="30"/>
    </row>
    <row r="930" spans="5:9" ht="15.75" customHeight="1">
      <c r="E930" s="2"/>
      <c r="H930" s="29"/>
      <c r="I930" s="30"/>
    </row>
    <row r="931" spans="5:9" ht="15.75" customHeight="1">
      <c r="E931" s="2"/>
      <c r="H931" s="29"/>
      <c r="I931" s="30"/>
    </row>
    <row r="932" spans="5:9" ht="15.75" customHeight="1">
      <c r="E932" s="2"/>
      <c r="H932" s="29"/>
      <c r="I932" s="30"/>
    </row>
    <row r="933" spans="5:9" ht="15.75" customHeight="1">
      <c r="E933" s="2"/>
      <c r="H933" s="29"/>
      <c r="I933" s="30"/>
    </row>
    <row r="934" spans="5:9" ht="15.75" customHeight="1">
      <c r="E934" s="2"/>
      <c r="H934" s="29"/>
      <c r="I934" s="30"/>
    </row>
    <row r="935" spans="5:9" ht="15.75" customHeight="1">
      <c r="E935" s="2"/>
      <c r="H935" s="29"/>
      <c r="I935" s="30"/>
    </row>
    <row r="936" spans="5:9" ht="15.75" customHeight="1">
      <c r="E936" s="2"/>
      <c r="H936" s="29"/>
      <c r="I936" s="30"/>
    </row>
    <row r="937" spans="5:9" ht="15.75" customHeight="1">
      <c r="E937" s="2"/>
      <c r="H937" s="29"/>
      <c r="I937" s="30"/>
    </row>
    <row r="938" spans="5:9" ht="15.75" customHeight="1">
      <c r="E938" s="2"/>
      <c r="H938" s="29"/>
      <c r="I938" s="30"/>
    </row>
    <row r="939" spans="5:9" ht="15.75" customHeight="1">
      <c r="E939" s="2"/>
      <c r="H939" s="29"/>
      <c r="I939" s="30"/>
    </row>
    <row r="940" spans="5:9" ht="15.75" customHeight="1">
      <c r="E940" s="2"/>
      <c r="H940" s="29"/>
      <c r="I940" s="30"/>
    </row>
    <row r="941" spans="5:9" ht="15.75" customHeight="1">
      <c r="E941" s="2"/>
      <c r="H941" s="29"/>
      <c r="I941" s="30"/>
    </row>
    <row r="942" spans="5:9" ht="15.75" customHeight="1">
      <c r="E942" s="2"/>
      <c r="H942" s="29"/>
      <c r="I942" s="30"/>
    </row>
    <row r="943" spans="5:9" ht="15.75" customHeight="1">
      <c r="E943" s="2"/>
      <c r="H943" s="29"/>
      <c r="I943" s="30"/>
    </row>
    <row r="944" spans="5:9" ht="15.75" customHeight="1">
      <c r="E944" s="2"/>
      <c r="H944" s="29"/>
      <c r="I944" s="30"/>
    </row>
    <row r="945" spans="5:9" ht="15.75" customHeight="1">
      <c r="E945" s="2"/>
      <c r="H945" s="29"/>
      <c r="I945" s="30"/>
    </row>
    <row r="946" spans="5:9" ht="15.75" customHeight="1">
      <c r="E946" s="2"/>
      <c r="H946" s="29"/>
      <c r="I946" s="30"/>
    </row>
    <row r="947" spans="5:9" ht="15.75" customHeight="1">
      <c r="E947" s="2"/>
      <c r="H947" s="29"/>
      <c r="I947" s="30"/>
    </row>
    <row r="948" spans="5:9" ht="15.75" customHeight="1">
      <c r="E948" s="2"/>
      <c r="H948" s="29"/>
      <c r="I948" s="30"/>
    </row>
    <row r="949" spans="5:9" ht="15.75" customHeight="1">
      <c r="E949" s="2"/>
      <c r="H949" s="29"/>
      <c r="I949" s="30"/>
    </row>
    <row r="950" spans="5:9" ht="15.75" customHeight="1">
      <c r="E950" s="2"/>
      <c r="H950" s="29"/>
      <c r="I950" s="30"/>
    </row>
    <row r="951" spans="5:9" ht="15.75" customHeight="1">
      <c r="E951" s="2"/>
      <c r="H951" s="29"/>
      <c r="I951" s="30"/>
    </row>
    <row r="952" spans="5:9" ht="15.75" customHeight="1">
      <c r="E952" s="2"/>
      <c r="H952" s="29"/>
      <c r="I952" s="30"/>
    </row>
    <row r="953" spans="5:9" ht="15.75" customHeight="1">
      <c r="E953" s="2"/>
      <c r="H953" s="29"/>
      <c r="I953" s="30"/>
    </row>
    <row r="954" spans="5:9" ht="15.75" customHeight="1">
      <c r="E954" s="2"/>
      <c r="H954" s="29"/>
      <c r="I954" s="30"/>
    </row>
    <row r="955" spans="5:9" ht="15.75" customHeight="1">
      <c r="E955" s="2"/>
      <c r="H955" s="29"/>
      <c r="I955" s="30"/>
    </row>
    <row r="956" spans="5:9" ht="15.75" customHeight="1">
      <c r="E956" s="2"/>
      <c r="H956" s="29"/>
      <c r="I956" s="30"/>
    </row>
    <row r="957" spans="5:9" ht="15.75" customHeight="1">
      <c r="E957" s="2"/>
      <c r="H957" s="29"/>
      <c r="I957" s="30"/>
    </row>
    <row r="958" spans="5:9" ht="15.75" customHeight="1">
      <c r="E958" s="2"/>
      <c r="H958" s="29"/>
      <c r="I958" s="30"/>
    </row>
    <row r="959" spans="5:9" ht="15.75" customHeight="1">
      <c r="E959" s="2"/>
      <c r="H959" s="29"/>
      <c r="I959" s="30"/>
    </row>
    <row r="960" spans="5:9" ht="15.75" customHeight="1">
      <c r="E960" s="2"/>
      <c r="H960" s="29"/>
      <c r="I960" s="30"/>
    </row>
    <row r="961" spans="5:9" ht="15.75" customHeight="1">
      <c r="E961" s="2"/>
      <c r="H961" s="29"/>
      <c r="I961" s="30"/>
    </row>
    <row r="962" spans="5:9" ht="15.75" customHeight="1">
      <c r="E962" s="2"/>
      <c r="H962" s="29"/>
      <c r="I962" s="30"/>
    </row>
    <row r="963" spans="5:9" ht="15.75" customHeight="1">
      <c r="E963" s="2"/>
      <c r="H963" s="29"/>
      <c r="I963" s="30"/>
    </row>
    <row r="964" spans="5:9" ht="15.75" customHeight="1">
      <c r="E964" s="2"/>
      <c r="H964" s="29"/>
      <c r="I964" s="30"/>
    </row>
    <row r="965" spans="5:9" ht="15.75" customHeight="1">
      <c r="E965" s="2"/>
      <c r="H965" s="29"/>
      <c r="I965" s="30"/>
    </row>
    <row r="966" spans="5:9" ht="15.75" customHeight="1">
      <c r="E966" s="2"/>
      <c r="H966" s="29"/>
      <c r="I966" s="30"/>
    </row>
    <row r="967" spans="5:9" ht="15.75" customHeight="1">
      <c r="E967" s="2"/>
      <c r="H967" s="29"/>
      <c r="I967" s="30"/>
    </row>
    <row r="968" spans="5:9" ht="15.75" customHeight="1">
      <c r="E968" s="2"/>
      <c r="H968" s="29"/>
      <c r="I968" s="30"/>
    </row>
    <row r="969" spans="5:9" ht="15.75" customHeight="1">
      <c r="E969" s="2"/>
      <c r="H969" s="29"/>
      <c r="I969" s="30"/>
    </row>
    <row r="970" spans="5:9" ht="15.75" customHeight="1">
      <c r="E970" s="2"/>
      <c r="H970" s="29"/>
      <c r="I970" s="30"/>
    </row>
    <row r="971" spans="5:9" ht="15.75" customHeight="1">
      <c r="E971" s="2"/>
      <c r="H971" s="29"/>
      <c r="I971" s="30"/>
    </row>
    <row r="972" spans="5:9" ht="15.75" customHeight="1">
      <c r="E972" s="2"/>
      <c r="H972" s="29"/>
      <c r="I972" s="30"/>
    </row>
    <row r="973" spans="5:9" ht="15.75" customHeight="1">
      <c r="E973" s="2"/>
      <c r="H973" s="29"/>
      <c r="I973" s="30"/>
    </row>
    <row r="974" spans="5:9" ht="15.75" customHeight="1">
      <c r="E974" s="2"/>
      <c r="H974" s="29"/>
      <c r="I974" s="30"/>
    </row>
    <row r="975" spans="5:9" ht="15.75" customHeight="1">
      <c r="E975" s="2"/>
      <c r="H975" s="29"/>
      <c r="I975" s="30"/>
    </row>
    <row r="976" spans="5:9" ht="15.75" customHeight="1">
      <c r="E976" s="2"/>
      <c r="H976" s="29"/>
      <c r="I976" s="30"/>
    </row>
    <row r="977" spans="5:9" ht="15.75" customHeight="1">
      <c r="E977" s="2"/>
      <c r="H977" s="29"/>
      <c r="I977" s="30"/>
    </row>
    <row r="978" spans="5:9" ht="15.75" customHeight="1">
      <c r="E978" s="2"/>
      <c r="H978" s="29"/>
      <c r="I978" s="30"/>
    </row>
    <row r="979" spans="5:9" ht="15.75" customHeight="1">
      <c r="E979" s="2"/>
      <c r="H979" s="29"/>
      <c r="I979" s="30"/>
    </row>
    <row r="980" spans="5:9" ht="15.75" customHeight="1">
      <c r="E980" s="2"/>
      <c r="H980" s="29"/>
      <c r="I980" s="30"/>
    </row>
    <row r="981" spans="5:9" ht="15.75" customHeight="1">
      <c r="E981" s="2"/>
      <c r="H981" s="29"/>
      <c r="I981" s="30"/>
    </row>
    <row r="982" spans="5:9" ht="15.75" customHeight="1">
      <c r="E982" s="2"/>
      <c r="H982" s="29"/>
      <c r="I982" s="30"/>
    </row>
    <row r="983" spans="5:9" ht="15.75" customHeight="1">
      <c r="E983" s="2"/>
      <c r="H983" s="29"/>
      <c r="I983" s="30"/>
    </row>
    <row r="984" spans="5:9" ht="15.75" customHeight="1">
      <c r="E984" s="2"/>
      <c r="H984" s="29"/>
      <c r="I984" s="30"/>
    </row>
    <row r="985" spans="5:9" ht="15.75" customHeight="1">
      <c r="E985" s="2"/>
      <c r="H985" s="29"/>
      <c r="I985" s="30"/>
    </row>
    <row r="986" spans="5:9" ht="15.75" customHeight="1">
      <c r="E986" s="2"/>
      <c r="H986" s="29"/>
      <c r="I986" s="30"/>
    </row>
    <row r="987" spans="5:9" ht="15.75" customHeight="1">
      <c r="E987" s="2"/>
      <c r="H987" s="29"/>
      <c r="I987" s="30"/>
    </row>
    <row r="988" spans="5:9" ht="15.75" customHeight="1">
      <c r="E988" s="2"/>
      <c r="H988" s="29"/>
      <c r="I988" s="30"/>
    </row>
    <row r="989" spans="5:9" ht="15.75" customHeight="1">
      <c r="E989" s="2"/>
      <c r="H989" s="29"/>
      <c r="I989" s="30"/>
    </row>
    <row r="990" spans="5:9" ht="15.75" customHeight="1">
      <c r="E990" s="2"/>
      <c r="H990" s="29"/>
      <c r="I990" s="30"/>
    </row>
    <row r="991" spans="5:9" ht="15.75" customHeight="1">
      <c r="E991" s="2"/>
      <c r="H991" s="29"/>
      <c r="I991" s="30"/>
    </row>
  </sheetData>
  <dataValidations count="1">
    <dataValidation type="list" allowBlank="1" showErrorMessage="1" sqref="W3:W6" xr:uid="{17085C78-3807-4102-B3B9-8DCDB865CF54}">
      <formula1>"Open,Inprogress,Closed"</formula1>
    </dataValidation>
  </dataValidations>
  <hyperlinks>
    <hyperlink ref="M3" r:id="rId1" xr:uid="{90725D72-A6F6-442E-BA14-7B55360B5C87}"/>
    <hyperlink ref="M4" r:id="rId2" xr:uid="{17BE2BE1-626C-4971-9B89-1CCCE0870EB0}"/>
    <hyperlink ref="M5" r:id="rId3" xr:uid="{0CE0B3AA-4504-4566-ABAF-68372F46A7E8}"/>
    <hyperlink ref="M6" r:id="rId4" xr:uid="{5104B142-E034-4D77-80DE-87F308D8AE40}"/>
    <hyperlink ref="M7" r:id="rId5" xr:uid="{E257315F-D07C-41EB-9D3B-B7BF3BF23F31}"/>
  </hyperlinks>
  <pageMargins left="0" right="0" top="0" bottom="0" header="0" footer="0"/>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63BD9-5D0D-4D56-AA1B-AAEA3ED7144D}">
  <sheetPr>
    <outlinePr summaryBelow="0" summaryRight="0"/>
  </sheetPr>
  <dimension ref="A1:Z997"/>
  <sheetViews>
    <sheetView workbookViewId="0">
      <selection activeCell="A2" sqref="A2"/>
    </sheetView>
  </sheetViews>
  <sheetFormatPr defaultColWidth="12.5703125" defaultRowHeight="15" customHeight="1"/>
  <cols>
    <col min="1" max="1" width="11.140625" customWidth="1"/>
    <col min="2" max="2" width="17.28515625" customWidth="1"/>
    <col min="3" max="6" width="12.5703125" customWidth="1"/>
    <col min="7" max="7" width="12" customWidth="1"/>
    <col min="8" max="8" width="10.85546875" customWidth="1"/>
    <col min="9" max="9" width="11.85546875" customWidth="1"/>
    <col min="10" max="10" width="13" customWidth="1"/>
    <col min="11" max="11" width="27.7109375" customWidth="1"/>
  </cols>
  <sheetData>
    <row r="1" spans="1:26" ht="15.75" customHeight="1">
      <c r="A1" s="1" t="s">
        <v>254</v>
      </c>
      <c r="B1" s="31" t="s">
        <v>11</v>
      </c>
      <c r="C1" s="32" t="s">
        <v>322</v>
      </c>
      <c r="D1" s="31" t="s">
        <v>256</v>
      </c>
      <c r="E1" s="32" t="s">
        <v>324</v>
      </c>
      <c r="F1" s="32" t="s">
        <v>325</v>
      </c>
      <c r="G1" s="31" t="s">
        <v>326</v>
      </c>
      <c r="H1" s="31" t="s">
        <v>328</v>
      </c>
      <c r="I1" s="31" t="s">
        <v>259</v>
      </c>
      <c r="J1" s="33" t="s">
        <v>329</v>
      </c>
      <c r="K1" s="34" t="s">
        <v>280</v>
      </c>
      <c r="L1" s="35"/>
      <c r="M1" s="35"/>
      <c r="N1" s="35"/>
      <c r="O1" s="35"/>
      <c r="P1" s="35"/>
      <c r="Q1" s="35"/>
      <c r="R1" s="35"/>
      <c r="S1" s="35"/>
      <c r="T1" s="35"/>
      <c r="U1" s="35"/>
      <c r="V1" s="35"/>
      <c r="W1" s="35"/>
      <c r="X1" s="35"/>
      <c r="Y1" s="35"/>
      <c r="Z1" s="35"/>
    </row>
    <row r="2" spans="1:26" ht="15.75" customHeight="1">
      <c r="A2" s="24"/>
      <c r="B2" s="25"/>
      <c r="C2" s="27"/>
      <c r="D2" s="26"/>
      <c r="E2" s="26"/>
      <c r="F2" s="27"/>
      <c r="G2" s="26"/>
      <c r="H2" s="26"/>
      <c r="I2" s="26"/>
      <c r="J2" s="26"/>
      <c r="K2" s="26"/>
      <c r="L2" s="35"/>
      <c r="M2" s="35"/>
      <c r="N2" s="35"/>
      <c r="O2" s="35"/>
      <c r="P2" s="35"/>
      <c r="Q2" s="35"/>
      <c r="R2" s="35"/>
      <c r="S2" s="35"/>
      <c r="T2" s="35"/>
      <c r="U2" s="35"/>
      <c r="V2" s="35"/>
    </row>
    <row r="3" spans="1:26" ht="15.75" customHeight="1"/>
    <row r="4" spans="1:26" ht="15.75" customHeight="1"/>
    <row r="5" spans="1:26" ht="15.75" customHeight="1"/>
    <row r="6" spans="1:26" ht="15.75" customHeight="1"/>
    <row r="7" spans="1:26" ht="15.75" customHeight="1"/>
    <row r="8" spans="1:26" ht="15.75" customHeight="1"/>
    <row r="9" spans="1:26" ht="15.75" customHeight="1"/>
    <row r="10" spans="1:26" ht="15.75" customHeight="1"/>
    <row r="11" spans="1:26" ht="15.75" customHeight="1"/>
    <row r="12" spans="1:26" ht="15.75" customHeight="1"/>
    <row r="13" spans="1:26" ht="15.75" customHeight="1"/>
    <row r="14" spans="1:26" ht="15.75" customHeight="1"/>
    <row r="15" spans="1:26" ht="15.75" customHeight="1"/>
    <row r="16" spans="1:2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dataValidations count="4">
    <dataValidation type="list" allowBlank="1" showErrorMessage="1" sqref="G2" xr:uid="{5BCF05CA-3D0F-4C4D-813B-6124396AC0ED}">
      <formula1>"Minor,Significant,Major"</formula1>
    </dataValidation>
    <dataValidation type="list" allowBlank="1" showErrorMessage="1" sqref="I2" xr:uid="{BDA50C4B-5C51-42A0-806B-8DA112F5DAFE}">
      <formula1>"Open,Inprogress,Closed"</formula1>
    </dataValidation>
    <dataValidation type="list" allowBlank="1" showErrorMessage="1" sqref="E2" xr:uid="{B679EBC8-9879-49CD-9E8E-6E7948040F21}">
      <formula1>"Bounceback,Defect,None"</formula1>
    </dataValidation>
    <dataValidation type="list" allowBlank="1" showErrorMessage="1" sqref="H2" xr:uid="{984DD467-4A8D-494F-9353-53228CF64B63}">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C1714DEB-B9D3-40A6-89B5-5FA81206AA28}">
          <x14:formula1>
            <xm:f>Details!$A$2:$A$10</xm:f>
          </x14:formula1>
          <xm:sqref>J2</xm:sqref>
        </x14:dataValidation>
      </x14:dataValidations>
    </ext>
  </extLst>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0A0A7-3439-47A8-8F9C-F244D151D430}">
  <sheetPr>
    <outlinePr summaryBelow="0" summaryRight="0"/>
  </sheetPr>
  <dimension ref="A1:Z997"/>
  <sheetViews>
    <sheetView workbookViewId="0">
      <selection activeCell="F8" sqref="F8"/>
    </sheetView>
  </sheetViews>
  <sheetFormatPr defaultColWidth="12.5703125" defaultRowHeight="15" customHeight="1"/>
  <cols>
    <col min="1" max="1" width="11.140625" customWidth="1"/>
    <col min="2" max="2" width="17.28515625" customWidth="1"/>
    <col min="3" max="6" width="12.5703125" customWidth="1"/>
    <col min="7" max="10" width="9.140625"/>
    <col min="11" max="11" width="27.7109375" customWidth="1"/>
  </cols>
  <sheetData>
    <row r="1" spans="1:26" ht="15.75" customHeight="1">
      <c r="A1" s="1" t="s">
        <v>254</v>
      </c>
      <c r="B1" s="31" t="s">
        <v>11</v>
      </c>
      <c r="C1" s="32" t="s">
        <v>322</v>
      </c>
      <c r="D1" s="31" t="s">
        <v>256</v>
      </c>
      <c r="E1" s="32" t="s">
        <v>324</v>
      </c>
      <c r="F1" s="32" t="s">
        <v>325</v>
      </c>
      <c r="G1" s="31" t="s">
        <v>326</v>
      </c>
      <c r="H1" s="31" t="s">
        <v>328</v>
      </c>
      <c r="I1" s="31" t="s">
        <v>259</v>
      </c>
      <c r="J1" s="33" t="s">
        <v>329</v>
      </c>
      <c r="K1" s="34" t="s">
        <v>280</v>
      </c>
      <c r="L1" s="35"/>
      <c r="M1" s="35"/>
      <c r="N1" s="35"/>
      <c r="O1" s="35"/>
      <c r="P1" s="35"/>
      <c r="Q1" s="35"/>
      <c r="R1" s="35"/>
      <c r="S1" s="35"/>
      <c r="T1" s="35"/>
      <c r="U1" s="35"/>
      <c r="V1" s="35"/>
      <c r="W1" s="35"/>
      <c r="X1" s="35"/>
      <c r="Y1" s="35"/>
      <c r="Z1" s="35"/>
    </row>
    <row r="2" spans="1:26" ht="15.75" customHeight="1">
      <c r="A2" s="24"/>
      <c r="B2" s="25"/>
      <c r="C2" s="27"/>
      <c r="D2" s="26"/>
      <c r="E2" s="26"/>
      <c r="F2" s="27"/>
      <c r="G2" s="26"/>
      <c r="H2" s="26"/>
      <c r="I2" s="26"/>
      <c r="J2" s="26"/>
      <c r="K2" s="26"/>
      <c r="L2" s="35"/>
      <c r="M2" s="35"/>
      <c r="N2" s="35"/>
      <c r="O2" s="35"/>
      <c r="P2" s="35"/>
      <c r="Q2" s="35"/>
      <c r="R2" s="35"/>
      <c r="S2" s="35"/>
      <c r="T2" s="35"/>
      <c r="U2" s="35"/>
      <c r="V2" s="35"/>
    </row>
    <row r="3" spans="1:26" ht="15.75" customHeight="1"/>
    <row r="4" spans="1:26" ht="15.75" customHeight="1"/>
    <row r="5" spans="1:26" ht="15.75" customHeight="1"/>
    <row r="6" spans="1:26" ht="15.75" customHeight="1"/>
    <row r="7" spans="1:26" ht="15.75" customHeight="1"/>
    <row r="8" spans="1:26" ht="15.75" customHeight="1"/>
    <row r="9" spans="1:26" ht="15.75" customHeight="1"/>
    <row r="10" spans="1:26" ht="15.75" customHeight="1"/>
    <row r="11" spans="1:26" ht="15.75" customHeight="1"/>
    <row r="12" spans="1:26" ht="15.75" customHeight="1"/>
    <row r="13" spans="1:26" ht="15.75" customHeight="1"/>
    <row r="14" spans="1:26" ht="15.75" customHeight="1"/>
    <row r="15" spans="1:26" ht="15.75" customHeight="1"/>
    <row r="16" spans="1:2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dataValidations count="4">
    <dataValidation type="list" allowBlank="1" showErrorMessage="1" sqref="H2" xr:uid="{B46A4CEB-D4E6-47A3-B900-CFAF07F96558}">
      <formula1>"Internal,External"</formula1>
    </dataValidation>
    <dataValidation type="list" allowBlank="1" showErrorMessage="1" sqref="E2" xr:uid="{B8C3B0E9-9E87-456B-A6CD-2A939CBB85DE}">
      <formula1>"Bounceback,Defect,None"</formula1>
    </dataValidation>
    <dataValidation type="list" allowBlank="1" showErrorMessage="1" sqref="I2" xr:uid="{60772231-F26F-457F-8D44-6CF03B6CB16A}">
      <formula1>"Open,Inprogress,Closed"</formula1>
    </dataValidation>
    <dataValidation type="list" allowBlank="1" showErrorMessage="1" sqref="G2" xr:uid="{75C0BE28-1E12-4477-973D-71E842A8F625}">
      <formula1>"Minor,Significant,Major"</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0419B1B2-E937-4B55-96E1-A516F0636AB7}">
          <x14:formula1>
            <xm:f>Details!$A$2:$A$10</xm:f>
          </x14:formula1>
          <xm:sqref>J2</xm:sqref>
        </x14:dataValidation>
      </x14:dataValidations>
    </ext>
  </extLst>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X986"/>
  <sheetViews>
    <sheetView showGridLines="0" workbookViewId="0">
      <pane xSplit="5" ySplit="2" topLeftCell="L3" activePane="bottomRight" state="frozen"/>
      <selection pane="bottomRight" activeCell="E6" sqref="E6"/>
      <selection pane="bottomLeft" activeCell="A3" sqref="A3"/>
      <selection pane="topRight" activeCell="F1" sqref="F1"/>
    </sheetView>
  </sheetViews>
  <sheetFormatPr defaultColWidth="12.5703125" defaultRowHeight="12.75"/>
  <cols>
    <col min="1" max="1" width="7.140625" customWidth="1"/>
    <col min="2" max="2" width="34.42578125" customWidth="1"/>
    <col min="3" max="3" width="19.7109375" customWidth="1"/>
    <col min="4" max="4" width="12.42578125" style="47" customWidth="1"/>
    <col min="5" max="5" width="46.42578125" customWidth="1"/>
    <col min="6" max="7" width="23.140625" customWidth="1"/>
    <col min="8" max="8" width="11.42578125" customWidth="1"/>
    <col min="9" max="9" width="21" customWidth="1"/>
    <col min="10" max="10" width="40.140625" customWidth="1"/>
    <col min="11" max="11" width="12.5703125" customWidth="1"/>
    <col min="12" max="12" width="40" customWidth="1"/>
    <col min="13" max="13" width="63.5703125" customWidth="1"/>
    <col min="14" max="14" width="12.5703125" customWidth="1"/>
    <col min="15" max="15" width="12.5703125" style="53" customWidth="1"/>
    <col min="16" max="16" width="12.5703125" customWidth="1"/>
    <col min="17" max="17" width="46.28515625" customWidth="1"/>
    <col min="18" max="18" width="21.140625" customWidth="1"/>
    <col min="19" max="19" width="17.42578125" style="53" customWidth="1"/>
    <col min="20" max="20" width="29.42578125" customWidth="1"/>
    <col min="21" max="22" width="41.28515625" customWidth="1"/>
    <col min="23" max="23" width="9.85546875" bestFit="1" customWidth="1"/>
    <col min="24" max="24" width="42" customWidth="1"/>
  </cols>
  <sheetData>
    <row r="1" spans="1:24">
      <c r="A1" s="4"/>
      <c r="B1" s="4"/>
      <c r="C1" s="4"/>
      <c r="D1" s="5"/>
      <c r="E1" s="54"/>
      <c r="F1" s="4"/>
      <c r="G1" s="4"/>
      <c r="H1" s="5"/>
      <c r="I1" s="1"/>
      <c r="J1" s="4"/>
      <c r="K1" s="4"/>
      <c r="L1" s="4"/>
      <c r="M1" s="4"/>
      <c r="N1" s="4"/>
      <c r="O1" s="48"/>
      <c r="P1" s="4"/>
      <c r="Q1" s="4"/>
      <c r="R1" s="4"/>
      <c r="S1" s="48"/>
      <c r="T1" s="4"/>
      <c r="U1" s="4"/>
      <c r="V1" s="4"/>
      <c r="W1" s="4"/>
      <c r="X1" s="6"/>
    </row>
    <row r="2" spans="1:24" ht="27">
      <c r="A2" s="1" t="s">
        <v>254</v>
      </c>
      <c r="B2" s="1" t="s">
        <v>255</v>
      </c>
      <c r="C2" s="1" t="s">
        <v>256</v>
      </c>
      <c r="D2" s="7" t="s">
        <v>257</v>
      </c>
      <c r="E2" s="55" t="s">
        <v>258</v>
      </c>
      <c r="F2" s="1" t="s">
        <v>260</v>
      </c>
      <c r="G2" s="1" t="s">
        <v>261</v>
      </c>
      <c r="H2" s="7" t="s">
        <v>265</v>
      </c>
      <c r="I2" s="1" t="s">
        <v>266</v>
      </c>
      <c r="J2" s="1" t="s">
        <v>267</v>
      </c>
      <c r="K2" s="1" t="s">
        <v>268</v>
      </c>
      <c r="L2" s="1" t="s">
        <v>269</v>
      </c>
      <c r="M2" s="1" t="s">
        <v>270</v>
      </c>
      <c r="N2" s="1" t="s">
        <v>271</v>
      </c>
      <c r="O2" s="49" t="s">
        <v>272</v>
      </c>
      <c r="P2" s="1" t="s">
        <v>1708</v>
      </c>
      <c r="Q2" s="1" t="s">
        <v>274</v>
      </c>
      <c r="R2" s="1" t="s">
        <v>1709</v>
      </c>
      <c r="S2" s="49" t="s">
        <v>276</v>
      </c>
      <c r="T2" s="1" t="s">
        <v>274</v>
      </c>
      <c r="U2" s="1" t="s">
        <v>278</v>
      </c>
      <c r="V2" s="1" t="s">
        <v>279</v>
      </c>
      <c r="W2" s="1" t="s">
        <v>259</v>
      </c>
      <c r="X2" s="8" t="s">
        <v>280</v>
      </c>
    </row>
    <row r="3" spans="1:24" ht="23.25">
      <c r="A3" s="9">
        <v>1</v>
      </c>
      <c r="B3" s="126" t="s">
        <v>2033</v>
      </c>
      <c r="C3" s="10" t="s">
        <v>2034</v>
      </c>
      <c r="D3" s="42" t="s">
        <v>2035</v>
      </c>
      <c r="E3" s="41" t="s">
        <v>2036</v>
      </c>
      <c r="F3" s="11">
        <v>3</v>
      </c>
      <c r="G3" s="11">
        <v>3</v>
      </c>
      <c r="H3" s="12" t="s">
        <v>2009</v>
      </c>
      <c r="I3" s="13" t="s">
        <v>2034</v>
      </c>
      <c r="J3" s="14" t="s">
        <v>1694</v>
      </c>
      <c r="K3" s="14" t="s">
        <v>2037</v>
      </c>
      <c r="L3" s="14" t="s">
        <v>1694</v>
      </c>
      <c r="M3" s="15" t="s">
        <v>2038</v>
      </c>
      <c r="N3" s="16">
        <v>45301</v>
      </c>
      <c r="O3" s="50">
        <v>45302</v>
      </c>
      <c r="P3" s="10" t="s">
        <v>294</v>
      </c>
      <c r="Q3" s="17" t="s">
        <v>1694</v>
      </c>
      <c r="R3" s="18" t="s">
        <v>1860</v>
      </c>
      <c r="S3" s="123">
        <v>45302</v>
      </c>
      <c r="T3" s="10" t="s">
        <v>1694</v>
      </c>
      <c r="U3" s="18" t="s">
        <v>1728</v>
      </c>
      <c r="V3" s="18" t="s">
        <v>1694</v>
      </c>
      <c r="W3" s="19" t="s">
        <v>384</v>
      </c>
      <c r="X3" s="19"/>
    </row>
    <row r="4" spans="1:24" ht="23.25">
      <c r="A4" s="9">
        <v>2</v>
      </c>
      <c r="B4" s="126" t="s">
        <v>2033</v>
      </c>
      <c r="C4" s="10" t="s">
        <v>1861</v>
      </c>
      <c r="D4" s="43" t="s">
        <v>2039</v>
      </c>
      <c r="E4" s="56" t="s">
        <v>2040</v>
      </c>
      <c r="F4" s="11">
        <v>2</v>
      </c>
      <c r="G4" s="11">
        <v>2</v>
      </c>
      <c r="H4" s="12" t="s">
        <v>2009</v>
      </c>
      <c r="I4" s="20" t="s">
        <v>235</v>
      </c>
      <c r="J4" s="14" t="s">
        <v>1694</v>
      </c>
      <c r="K4" s="10" t="s">
        <v>2037</v>
      </c>
      <c r="L4" s="14" t="s">
        <v>1694</v>
      </c>
      <c r="M4" s="15" t="s">
        <v>2041</v>
      </c>
      <c r="N4" s="21">
        <v>45299</v>
      </c>
      <c r="O4" s="51">
        <v>45300</v>
      </c>
      <c r="P4" s="20" t="s">
        <v>294</v>
      </c>
      <c r="Q4" s="17" t="s">
        <v>1694</v>
      </c>
      <c r="R4" s="22" t="s">
        <v>1860</v>
      </c>
      <c r="S4" s="123">
        <v>45300</v>
      </c>
      <c r="T4" s="10" t="s">
        <v>1694</v>
      </c>
      <c r="U4" s="18" t="s">
        <v>1728</v>
      </c>
      <c r="V4" s="18" t="s">
        <v>1694</v>
      </c>
      <c r="W4" s="19" t="s">
        <v>384</v>
      </c>
      <c r="X4" s="19"/>
    </row>
    <row r="5" spans="1:24" ht="23.25">
      <c r="A5" s="9">
        <v>3</v>
      </c>
      <c r="B5" s="126" t="s">
        <v>2033</v>
      </c>
      <c r="C5" s="20" t="s">
        <v>1724</v>
      </c>
      <c r="D5" s="12" t="s">
        <v>2042</v>
      </c>
      <c r="E5" s="57" t="s">
        <v>2043</v>
      </c>
      <c r="F5" s="11">
        <v>1</v>
      </c>
      <c r="G5" s="11">
        <v>1</v>
      </c>
      <c r="H5" s="12" t="s">
        <v>2009</v>
      </c>
      <c r="I5" s="20" t="s">
        <v>235</v>
      </c>
      <c r="J5" s="14" t="s">
        <v>1694</v>
      </c>
      <c r="K5" s="13" t="s">
        <v>862</v>
      </c>
      <c r="L5" s="14" t="s">
        <v>1694</v>
      </c>
      <c r="M5" s="15" t="s">
        <v>2044</v>
      </c>
      <c r="N5" s="21">
        <v>45295</v>
      </c>
      <c r="O5" s="51">
        <v>45296</v>
      </c>
      <c r="P5" s="14" t="s">
        <v>294</v>
      </c>
      <c r="Q5" s="17" t="s">
        <v>1694</v>
      </c>
      <c r="R5" s="22" t="s">
        <v>1860</v>
      </c>
      <c r="S5" s="124">
        <v>45296</v>
      </c>
      <c r="T5" s="10" t="s">
        <v>1694</v>
      </c>
      <c r="U5" s="18" t="s">
        <v>1728</v>
      </c>
      <c r="V5" s="18" t="s">
        <v>1694</v>
      </c>
      <c r="W5" s="19" t="s">
        <v>384</v>
      </c>
      <c r="X5" s="19"/>
    </row>
    <row r="6" spans="1:24" ht="23.25">
      <c r="A6" s="9">
        <v>4</v>
      </c>
      <c r="B6" s="126" t="s">
        <v>2033</v>
      </c>
      <c r="C6" s="14" t="s">
        <v>2034</v>
      </c>
      <c r="D6" s="12" t="s">
        <v>2045</v>
      </c>
      <c r="E6" s="41" t="s">
        <v>2008</v>
      </c>
      <c r="F6" s="11">
        <v>5</v>
      </c>
      <c r="G6" s="11">
        <v>3</v>
      </c>
      <c r="H6" s="12" t="s">
        <v>2009</v>
      </c>
      <c r="I6" s="13" t="s">
        <v>2034</v>
      </c>
      <c r="J6" s="14" t="s">
        <v>1694</v>
      </c>
      <c r="K6" s="20" t="s">
        <v>1728</v>
      </c>
      <c r="L6" s="14" t="s">
        <v>1694</v>
      </c>
      <c r="M6" s="14" t="s">
        <v>1728</v>
      </c>
      <c r="N6" s="14"/>
      <c r="O6" s="9"/>
      <c r="P6" s="20"/>
      <c r="Q6" s="17" t="s">
        <v>1728</v>
      </c>
      <c r="R6" s="18"/>
      <c r="S6" s="125"/>
      <c r="T6" s="10" t="s">
        <v>1728</v>
      </c>
      <c r="U6" s="18" t="s">
        <v>1728</v>
      </c>
      <c r="V6" s="18" t="s">
        <v>1728</v>
      </c>
      <c r="W6" s="19" t="s">
        <v>500</v>
      </c>
      <c r="X6" s="19"/>
    </row>
    <row r="7" spans="1:24" ht="23.25">
      <c r="A7" s="9">
        <v>5</v>
      </c>
      <c r="B7" s="126" t="s">
        <v>2033</v>
      </c>
      <c r="C7" s="14" t="s">
        <v>862</v>
      </c>
      <c r="D7" s="44" t="s">
        <v>2046</v>
      </c>
      <c r="E7" s="41" t="s">
        <v>2047</v>
      </c>
      <c r="F7" s="11">
        <v>1</v>
      </c>
      <c r="G7" s="11">
        <v>1</v>
      </c>
      <c r="H7" s="22" t="s">
        <v>2009</v>
      </c>
      <c r="I7" s="14"/>
      <c r="J7" s="14" t="s">
        <v>1694</v>
      </c>
      <c r="K7" s="20" t="s">
        <v>1728</v>
      </c>
      <c r="L7" s="14" t="s">
        <v>1694</v>
      </c>
      <c r="M7" s="15" t="s">
        <v>2048</v>
      </c>
      <c r="N7" s="21">
        <v>45309</v>
      </c>
      <c r="O7" s="51">
        <v>45309</v>
      </c>
      <c r="P7" s="14" t="s">
        <v>294</v>
      </c>
      <c r="Q7" s="17" t="s">
        <v>1694</v>
      </c>
      <c r="R7" s="18" t="s">
        <v>1860</v>
      </c>
      <c r="S7" s="51">
        <v>45309</v>
      </c>
      <c r="T7" s="10" t="s">
        <v>1694</v>
      </c>
      <c r="U7" s="18" t="s">
        <v>1728</v>
      </c>
      <c r="V7" s="18" t="s">
        <v>1694</v>
      </c>
      <c r="W7" s="19" t="s">
        <v>384</v>
      </c>
      <c r="X7" s="19"/>
    </row>
    <row r="8" spans="1:24" ht="23.25">
      <c r="A8" s="9">
        <v>6</v>
      </c>
      <c r="B8" s="126" t="s">
        <v>2033</v>
      </c>
      <c r="C8" s="14" t="s">
        <v>1861</v>
      </c>
      <c r="D8" s="45" t="s">
        <v>2049</v>
      </c>
      <c r="E8" s="41" t="s">
        <v>2050</v>
      </c>
      <c r="F8" s="11">
        <v>1</v>
      </c>
      <c r="G8" s="11">
        <v>1</v>
      </c>
      <c r="H8" s="22" t="s">
        <v>2009</v>
      </c>
      <c r="I8" s="14" t="s">
        <v>235</v>
      </c>
      <c r="J8" s="14" t="s">
        <v>1694</v>
      </c>
      <c r="K8" s="14" t="s">
        <v>862</v>
      </c>
      <c r="L8" s="14" t="s">
        <v>1694</v>
      </c>
      <c r="M8" s="23" t="s">
        <v>2051</v>
      </c>
      <c r="N8" s="21">
        <v>45309</v>
      </c>
      <c r="O8" s="51">
        <v>45309</v>
      </c>
      <c r="P8" s="14" t="s">
        <v>294</v>
      </c>
      <c r="Q8" s="17" t="s">
        <v>1694</v>
      </c>
      <c r="R8" s="20" t="s">
        <v>1860</v>
      </c>
      <c r="S8" s="51">
        <v>45309</v>
      </c>
      <c r="T8" s="10" t="s">
        <v>1694</v>
      </c>
      <c r="U8" s="18" t="s">
        <v>1728</v>
      </c>
      <c r="V8" s="18" t="s">
        <v>1694</v>
      </c>
      <c r="W8" s="19" t="s">
        <v>384</v>
      </c>
      <c r="X8" s="19"/>
    </row>
    <row r="9" spans="1:24" ht="23.25">
      <c r="A9" s="9">
        <v>7</v>
      </c>
      <c r="B9" s="126" t="s">
        <v>2033</v>
      </c>
      <c r="C9" s="20" t="s">
        <v>2052</v>
      </c>
      <c r="D9" s="45" t="s">
        <v>2053</v>
      </c>
      <c r="E9" s="22" t="s">
        <v>2054</v>
      </c>
      <c r="F9" s="18">
        <v>1</v>
      </c>
      <c r="G9" s="18">
        <v>1</v>
      </c>
      <c r="H9" s="22" t="s">
        <v>2009</v>
      </c>
      <c r="I9" s="14" t="s">
        <v>2019</v>
      </c>
      <c r="J9" s="14" t="s">
        <v>1694</v>
      </c>
      <c r="K9" s="20" t="s">
        <v>862</v>
      </c>
      <c r="L9" s="14" t="s">
        <v>1694</v>
      </c>
      <c r="M9" s="15" t="s">
        <v>2055</v>
      </c>
      <c r="N9" s="21">
        <v>45309</v>
      </c>
      <c r="O9" s="51">
        <v>45309</v>
      </c>
      <c r="P9" s="20" t="s">
        <v>294</v>
      </c>
      <c r="Q9" s="17" t="s">
        <v>1694</v>
      </c>
      <c r="R9" s="22" t="s">
        <v>1860</v>
      </c>
      <c r="S9" s="51">
        <v>45309</v>
      </c>
      <c r="T9" s="10" t="s">
        <v>1694</v>
      </c>
      <c r="U9" s="18" t="s">
        <v>1728</v>
      </c>
      <c r="V9" s="18" t="s">
        <v>1694</v>
      </c>
      <c r="W9" s="19" t="s">
        <v>384</v>
      </c>
      <c r="X9" s="19"/>
    </row>
    <row r="10" spans="1:24">
      <c r="A10" s="19"/>
      <c r="B10" s="18"/>
      <c r="C10" s="14"/>
      <c r="D10" s="12"/>
      <c r="E10" s="19"/>
      <c r="F10" s="18"/>
      <c r="G10" s="18"/>
      <c r="H10" s="12"/>
      <c r="I10" s="14"/>
      <c r="J10" s="19"/>
      <c r="K10" s="14"/>
      <c r="L10" s="19"/>
      <c r="M10" s="14"/>
      <c r="N10" s="14"/>
      <c r="O10" s="9"/>
      <c r="P10" s="14"/>
      <c r="Q10" s="19"/>
      <c r="R10" s="19"/>
      <c r="S10" s="9"/>
      <c r="T10" s="19"/>
      <c r="U10" s="19"/>
      <c r="V10" s="19"/>
      <c r="W10" s="19"/>
      <c r="X10" s="19"/>
    </row>
    <row r="11" spans="1:24">
      <c r="B11" s="28"/>
      <c r="C11" s="3"/>
      <c r="E11" s="35"/>
      <c r="F11" s="28"/>
      <c r="G11" s="28"/>
      <c r="H11" s="29"/>
      <c r="I11" s="14"/>
      <c r="K11" s="3"/>
      <c r="M11" s="3"/>
      <c r="N11" s="3"/>
      <c r="O11" s="52"/>
      <c r="P11" s="3"/>
    </row>
    <row r="12" spans="1:24">
      <c r="B12" s="28"/>
      <c r="C12" s="3"/>
      <c r="E12" s="35"/>
      <c r="F12" s="28"/>
      <c r="G12" s="28"/>
      <c r="H12" s="29"/>
      <c r="I12" s="14"/>
      <c r="K12" s="3"/>
      <c r="M12" s="3"/>
      <c r="N12" s="3"/>
      <c r="O12" s="52"/>
      <c r="P12" s="3"/>
    </row>
    <row r="13" spans="1:24">
      <c r="B13" s="28"/>
      <c r="C13" s="3"/>
      <c r="E13" s="35"/>
      <c r="F13" s="28"/>
      <c r="G13" s="28"/>
      <c r="H13" s="29"/>
      <c r="I13" s="14"/>
      <c r="K13" s="3"/>
      <c r="M13" s="3"/>
      <c r="N13" s="3"/>
      <c r="O13" s="52"/>
      <c r="P13" s="3"/>
    </row>
    <row r="14" spans="1:24">
      <c r="B14" s="28"/>
      <c r="C14" s="3"/>
      <c r="E14" s="35"/>
      <c r="F14" s="28"/>
      <c r="G14" s="28"/>
      <c r="H14" s="29"/>
      <c r="I14" s="14"/>
      <c r="K14" s="3"/>
      <c r="M14" s="3"/>
      <c r="N14" s="3"/>
      <c r="O14" s="52"/>
      <c r="P14" s="3"/>
    </row>
    <row r="15" spans="1:24">
      <c r="B15" s="28"/>
      <c r="C15" s="3"/>
      <c r="E15" s="35"/>
      <c r="F15" s="28"/>
      <c r="G15" s="28"/>
      <c r="H15" s="29"/>
      <c r="I15" s="14"/>
      <c r="K15" s="3"/>
      <c r="M15" s="3"/>
      <c r="N15" s="3"/>
      <c r="O15" s="52"/>
      <c r="P15" s="3"/>
    </row>
    <row r="16" spans="1:24">
      <c r="B16" s="28"/>
      <c r="C16" s="3"/>
      <c r="E16" s="35"/>
      <c r="F16" s="28"/>
      <c r="G16" s="28"/>
      <c r="H16" s="29"/>
      <c r="I16" s="14"/>
      <c r="K16" s="3"/>
      <c r="M16" s="3"/>
      <c r="N16" s="3"/>
      <c r="O16" s="52"/>
      <c r="P16" s="3"/>
    </row>
    <row r="17" spans="2:16">
      <c r="B17" s="28"/>
      <c r="C17" s="3"/>
      <c r="E17" s="35"/>
      <c r="F17" s="28"/>
      <c r="G17" s="28"/>
      <c r="H17" s="29"/>
      <c r="I17" s="14"/>
      <c r="K17" s="3"/>
      <c r="M17" s="3"/>
      <c r="N17" s="3"/>
      <c r="O17" s="52"/>
      <c r="P17" s="3"/>
    </row>
    <row r="18" spans="2:16">
      <c r="B18" s="28"/>
      <c r="C18" s="3"/>
      <c r="E18" s="35"/>
      <c r="F18" s="28"/>
      <c r="G18" s="28"/>
      <c r="H18" s="29"/>
      <c r="I18" s="14"/>
      <c r="K18" s="3"/>
      <c r="M18" s="3"/>
      <c r="N18" s="3"/>
      <c r="O18" s="52"/>
      <c r="P18" s="3"/>
    </row>
    <row r="19" spans="2:16">
      <c r="B19" s="28"/>
      <c r="C19" s="3"/>
      <c r="E19" s="35"/>
      <c r="F19" s="28"/>
      <c r="G19" s="28"/>
      <c r="H19" s="29"/>
      <c r="I19" s="14"/>
      <c r="K19" s="3"/>
      <c r="M19" s="3"/>
      <c r="N19" s="3"/>
      <c r="O19" s="52"/>
      <c r="P19" s="3"/>
    </row>
    <row r="20" spans="2:16">
      <c r="B20" s="28"/>
      <c r="C20" s="3"/>
      <c r="E20" s="35"/>
      <c r="F20" s="28"/>
      <c r="G20" s="28"/>
      <c r="H20" s="29"/>
      <c r="I20" s="14"/>
      <c r="K20" s="3"/>
      <c r="M20" s="3"/>
      <c r="N20" s="3"/>
      <c r="O20" s="52"/>
      <c r="P20" s="3"/>
    </row>
    <row r="21" spans="2:16">
      <c r="B21" s="28"/>
      <c r="C21" s="3"/>
      <c r="E21" s="35"/>
      <c r="F21" s="28"/>
      <c r="G21" s="28"/>
      <c r="H21" s="29"/>
      <c r="I21" s="14"/>
      <c r="K21" s="3"/>
      <c r="M21" s="3"/>
      <c r="N21" s="3"/>
      <c r="O21" s="52"/>
      <c r="P21" s="3"/>
    </row>
    <row r="22" spans="2:16">
      <c r="B22" s="28"/>
      <c r="C22" s="3"/>
      <c r="E22" s="35"/>
      <c r="F22" s="28"/>
      <c r="G22" s="28"/>
      <c r="H22" s="29"/>
      <c r="I22" s="14"/>
      <c r="K22" s="3"/>
      <c r="M22" s="3"/>
      <c r="N22" s="3"/>
      <c r="O22" s="52"/>
      <c r="P22" s="3"/>
    </row>
    <row r="23" spans="2:16">
      <c r="B23" s="28"/>
      <c r="C23" s="3"/>
      <c r="E23" s="35"/>
      <c r="F23" s="28"/>
      <c r="G23" s="28"/>
      <c r="H23" s="29"/>
      <c r="I23" s="14"/>
      <c r="K23" s="3"/>
      <c r="M23" s="3"/>
      <c r="N23" s="3"/>
      <c r="O23" s="52"/>
      <c r="P23" s="3"/>
    </row>
    <row r="24" spans="2:16">
      <c r="B24" s="28"/>
      <c r="C24" s="3"/>
      <c r="E24" s="35"/>
      <c r="F24" s="28"/>
      <c r="G24" s="28"/>
      <c r="H24" s="29"/>
      <c r="I24" s="14"/>
      <c r="K24" s="3"/>
      <c r="M24" s="3"/>
      <c r="N24" s="3"/>
      <c r="O24" s="52"/>
      <c r="P24" s="3"/>
    </row>
    <row r="25" spans="2:16">
      <c r="B25" s="28"/>
      <c r="C25" s="3"/>
      <c r="E25" s="35"/>
      <c r="F25" s="28"/>
      <c r="G25" s="28"/>
      <c r="H25" s="29"/>
      <c r="I25" s="14"/>
      <c r="K25" s="3"/>
      <c r="M25" s="3"/>
      <c r="N25" s="3"/>
      <c r="O25" s="52"/>
      <c r="P25" s="3"/>
    </row>
    <row r="26" spans="2:16">
      <c r="B26" s="28"/>
      <c r="C26" s="3"/>
      <c r="E26" s="35"/>
      <c r="F26" s="28"/>
      <c r="G26" s="28"/>
      <c r="H26" s="29"/>
      <c r="I26" s="14"/>
      <c r="K26" s="3"/>
      <c r="M26" s="3"/>
      <c r="N26" s="3"/>
      <c r="O26" s="52"/>
      <c r="P26" s="3"/>
    </row>
    <row r="27" spans="2:16">
      <c r="B27" s="28"/>
      <c r="C27" s="3"/>
      <c r="E27" s="35"/>
      <c r="F27" s="28"/>
      <c r="G27" s="28"/>
      <c r="H27" s="29"/>
      <c r="I27" s="14"/>
      <c r="K27" s="3"/>
      <c r="M27" s="3"/>
      <c r="N27" s="3"/>
      <c r="O27" s="52"/>
      <c r="P27" s="3"/>
    </row>
    <row r="28" spans="2:16">
      <c r="B28" s="28"/>
      <c r="C28" s="3"/>
      <c r="E28" s="35"/>
      <c r="F28" s="28"/>
      <c r="G28" s="28"/>
      <c r="H28" s="29"/>
      <c r="I28" s="14"/>
      <c r="K28" s="3"/>
      <c r="M28" s="3"/>
      <c r="N28" s="3"/>
      <c r="O28" s="52"/>
      <c r="P28" s="3"/>
    </row>
    <row r="29" spans="2:16">
      <c r="B29" s="28"/>
      <c r="C29" s="3"/>
      <c r="E29" s="35"/>
      <c r="F29" s="28"/>
      <c r="G29" s="28"/>
      <c r="H29" s="29"/>
      <c r="I29" s="14"/>
      <c r="K29" s="3"/>
      <c r="M29" s="3"/>
      <c r="N29" s="3"/>
      <c r="O29" s="52"/>
      <c r="P29" s="3"/>
    </row>
    <row r="30" spans="2:16">
      <c r="B30" s="28"/>
      <c r="C30" s="3"/>
      <c r="E30" s="35"/>
      <c r="F30" s="28"/>
      <c r="G30" s="28"/>
      <c r="H30" s="29"/>
      <c r="I30" s="14"/>
      <c r="K30" s="3"/>
      <c r="M30" s="3"/>
      <c r="N30" s="3"/>
      <c r="O30" s="52"/>
      <c r="P30" s="3"/>
    </row>
    <row r="31" spans="2:16">
      <c r="B31" s="28"/>
      <c r="C31" s="3"/>
      <c r="E31" s="35"/>
      <c r="F31" s="28"/>
      <c r="G31" s="28"/>
      <c r="H31" s="29"/>
      <c r="I31" s="14"/>
      <c r="K31" s="3"/>
      <c r="M31" s="3"/>
      <c r="N31" s="3"/>
      <c r="O31" s="52"/>
      <c r="P31" s="3"/>
    </row>
    <row r="32" spans="2:16">
      <c r="B32" s="28"/>
      <c r="C32" s="3"/>
      <c r="E32" s="35"/>
      <c r="F32" s="28"/>
      <c r="G32" s="28"/>
      <c r="H32" s="29"/>
      <c r="I32" s="14"/>
      <c r="K32" s="3"/>
      <c r="M32" s="3"/>
      <c r="N32" s="3"/>
      <c r="O32" s="52"/>
      <c r="P32" s="3"/>
    </row>
    <row r="33" spans="2:16">
      <c r="B33" s="28"/>
      <c r="C33" s="3"/>
      <c r="E33" s="35"/>
      <c r="F33" s="28"/>
      <c r="G33" s="28"/>
      <c r="H33" s="29"/>
      <c r="I33" s="14"/>
      <c r="K33" s="3"/>
      <c r="M33" s="3"/>
      <c r="N33" s="3"/>
      <c r="O33" s="52"/>
      <c r="P33" s="3"/>
    </row>
    <row r="34" spans="2:16">
      <c r="B34" s="28"/>
      <c r="C34" s="3"/>
      <c r="E34" s="35"/>
      <c r="F34" s="28"/>
      <c r="G34" s="28"/>
      <c r="H34" s="29"/>
      <c r="I34" s="14"/>
      <c r="K34" s="3"/>
      <c r="M34" s="3"/>
      <c r="N34" s="3"/>
      <c r="O34" s="52"/>
      <c r="P34" s="3"/>
    </row>
    <row r="35" spans="2:16">
      <c r="B35" s="28"/>
      <c r="C35" s="3"/>
      <c r="E35" s="35"/>
      <c r="F35" s="28"/>
      <c r="G35" s="28"/>
      <c r="H35" s="29"/>
      <c r="I35" s="14"/>
      <c r="K35" s="3"/>
      <c r="M35" s="3"/>
      <c r="N35" s="3"/>
      <c r="O35" s="52"/>
      <c r="P35" s="3"/>
    </row>
    <row r="36" spans="2:16">
      <c r="B36" s="28"/>
      <c r="C36" s="3"/>
      <c r="E36" s="35"/>
      <c r="F36" s="28"/>
      <c r="G36" s="28"/>
      <c r="H36" s="29"/>
      <c r="I36" s="14"/>
      <c r="K36" s="3"/>
      <c r="M36" s="3"/>
      <c r="N36" s="3"/>
      <c r="O36" s="52"/>
      <c r="P36" s="3"/>
    </row>
    <row r="37" spans="2:16">
      <c r="B37" s="28"/>
      <c r="C37" s="3"/>
      <c r="E37" s="35"/>
      <c r="F37" s="28"/>
      <c r="G37" s="28"/>
      <c r="H37" s="29"/>
      <c r="I37" s="14"/>
      <c r="K37" s="3"/>
      <c r="M37" s="3"/>
      <c r="N37" s="3"/>
      <c r="O37" s="52"/>
      <c r="P37" s="3"/>
    </row>
    <row r="38" spans="2:16">
      <c r="B38" s="28"/>
      <c r="C38" s="3"/>
      <c r="E38" s="35"/>
      <c r="F38" s="28"/>
      <c r="G38" s="28"/>
      <c r="H38" s="29"/>
      <c r="I38" s="14"/>
      <c r="K38" s="3"/>
      <c r="M38" s="3"/>
      <c r="N38" s="3"/>
      <c r="O38" s="52"/>
      <c r="P38" s="3"/>
    </row>
    <row r="39" spans="2:16">
      <c r="B39" s="28"/>
      <c r="C39" s="3"/>
      <c r="E39" s="35"/>
      <c r="F39" s="28"/>
      <c r="G39" s="28"/>
      <c r="H39" s="29"/>
      <c r="I39" s="14"/>
      <c r="K39" s="3"/>
      <c r="M39" s="3"/>
      <c r="N39" s="3"/>
      <c r="O39" s="52"/>
      <c r="P39" s="3"/>
    </row>
    <row r="40" spans="2:16">
      <c r="B40" s="28"/>
      <c r="C40" s="3"/>
      <c r="E40" s="35"/>
      <c r="F40" s="28"/>
      <c r="G40" s="28"/>
      <c r="H40" s="29"/>
      <c r="I40" s="14"/>
      <c r="K40" s="3"/>
      <c r="M40" s="3"/>
      <c r="N40" s="3"/>
      <c r="O40" s="52"/>
      <c r="P40" s="3"/>
    </row>
    <row r="41" spans="2:16">
      <c r="B41" s="28"/>
      <c r="C41" s="3"/>
      <c r="E41" s="35"/>
      <c r="F41" s="28"/>
      <c r="G41" s="28"/>
      <c r="H41" s="29"/>
      <c r="I41" s="14"/>
      <c r="K41" s="3"/>
      <c r="M41" s="3"/>
      <c r="N41" s="3"/>
      <c r="O41" s="52"/>
      <c r="P41" s="3"/>
    </row>
    <row r="42" spans="2:16">
      <c r="B42" s="28"/>
      <c r="C42" s="3"/>
      <c r="E42" s="35"/>
      <c r="F42" s="28"/>
      <c r="G42" s="28"/>
      <c r="H42" s="29"/>
      <c r="I42" s="14"/>
      <c r="K42" s="3"/>
      <c r="M42" s="3"/>
      <c r="N42" s="3"/>
      <c r="O42" s="52"/>
      <c r="P42" s="3"/>
    </row>
    <row r="43" spans="2:16">
      <c r="B43" s="28"/>
      <c r="C43" s="3"/>
      <c r="E43" s="35"/>
      <c r="F43" s="28"/>
      <c r="G43" s="28"/>
      <c r="H43" s="29"/>
      <c r="I43" s="14"/>
      <c r="K43" s="3"/>
      <c r="M43" s="3"/>
      <c r="N43" s="3"/>
      <c r="O43" s="52"/>
      <c r="P43" s="3"/>
    </row>
    <row r="44" spans="2:16">
      <c r="B44" s="28"/>
      <c r="C44" s="3"/>
      <c r="E44" s="35"/>
      <c r="F44" s="28"/>
      <c r="G44" s="28"/>
      <c r="H44" s="29"/>
      <c r="I44" s="14"/>
      <c r="K44" s="3"/>
      <c r="M44" s="3"/>
      <c r="N44" s="3"/>
      <c r="O44" s="52"/>
      <c r="P44" s="3"/>
    </row>
    <row r="45" spans="2:16">
      <c r="B45" s="28"/>
      <c r="C45" s="3"/>
      <c r="E45" s="35"/>
      <c r="F45" s="28"/>
      <c r="G45" s="28"/>
      <c r="H45" s="29"/>
      <c r="I45" s="14"/>
      <c r="K45" s="3"/>
      <c r="M45" s="3"/>
      <c r="N45" s="3"/>
      <c r="O45" s="52"/>
      <c r="P45" s="3"/>
    </row>
    <row r="46" spans="2:16">
      <c r="B46" s="28"/>
      <c r="C46" s="3"/>
      <c r="E46" s="35"/>
      <c r="F46" s="28"/>
      <c r="G46" s="28"/>
      <c r="H46" s="29"/>
      <c r="I46" s="14"/>
      <c r="K46" s="3"/>
      <c r="M46" s="3"/>
      <c r="N46" s="3"/>
      <c r="O46" s="52"/>
      <c r="P46" s="3"/>
    </row>
    <row r="47" spans="2:16">
      <c r="B47" s="28"/>
      <c r="C47" s="3"/>
      <c r="E47" s="35"/>
      <c r="F47" s="28"/>
      <c r="G47" s="28"/>
      <c r="H47" s="29"/>
      <c r="I47" s="14"/>
      <c r="K47" s="3"/>
      <c r="M47" s="3"/>
      <c r="N47" s="3"/>
      <c r="O47" s="52"/>
      <c r="P47" s="3"/>
    </row>
    <row r="48" spans="2:16">
      <c r="B48" s="28"/>
      <c r="C48" s="3"/>
      <c r="E48" s="35"/>
      <c r="F48" s="28"/>
      <c r="G48" s="28"/>
      <c r="H48" s="29"/>
      <c r="I48" s="14"/>
      <c r="K48" s="3"/>
      <c r="M48" s="3"/>
      <c r="N48" s="3"/>
      <c r="O48" s="52"/>
      <c r="P48" s="3"/>
    </row>
    <row r="49" spans="2:16">
      <c r="B49" s="28"/>
      <c r="C49" s="3"/>
      <c r="E49" s="35"/>
      <c r="F49" s="28"/>
      <c r="G49" s="28"/>
      <c r="H49" s="29"/>
      <c r="I49" s="14"/>
      <c r="K49" s="3"/>
      <c r="M49" s="3"/>
      <c r="N49" s="3"/>
      <c r="O49" s="52"/>
      <c r="P49" s="3"/>
    </row>
    <row r="50" spans="2:16">
      <c r="B50" s="28"/>
      <c r="C50" s="3"/>
      <c r="E50" s="35"/>
      <c r="F50" s="28"/>
      <c r="G50" s="28"/>
      <c r="H50" s="29"/>
      <c r="I50" s="14"/>
      <c r="K50" s="3"/>
      <c r="M50" s="3"/>
      <c r="N50" s="3"/>
      <c r="O50" s="52"/>
      <c r="P50" s="3"/>
    </row>
    <row r="51" spans="2:16">
      <c r="B51" s="28"/>
      <c r="C51" s="3"/>
      <c r="E51" s="35"/>
      <c r="F51" s="28"/>
      <c r="G51" s="28"/>
      <c r="H51" s="29"/>
      <c r="I51" s="14"/>
      <c r="K51" s="3"/>
      <c r="M51" s="3"/>
      <c r="N51" s="3"/>
      <c r="O51" s="52"/>
      <c r="P51" s="3"/>
    </row>
    <row r="52" spans="2:16">
      <c r="B52" s="28"/>
      <c r="C52" s="3"/>
      <c r="E52" s="35"/>
      <c r="F52" s="28"/>
      <c r="G52" s="28"/>
      <c r="H52" s="29"/>
      <c r="I52" s="14"/>
      <c r="K52" s="3"/>
      <c r="M52" s="3"/>
      <c r="N52" s="3"/>
      <c r="O52" s="52"/>
      <c r="P52" s="3"/>
    </row>
    <row r="53" spans="2:16">
      <c r="B53" s="28"/>
      <c r="C53" s="3"/>
      <c r="E53" s="35"/>
      <c r="F53" s="28"/>
      <c r="G53" s="28"/>
      <c r="H53" s="29"/>
      <c r="I53" s="14"/>
      <c r="K53" s="3"/>
      <c r="M53" s="3"/>
      <c r="N53" s="3"/>
      <c r="O53" s="52"/>
      <c r="P53" s="3"/>
    </row>
    <row r="54" spans="2:16">
      <c r="B54" s="28"/>
      <c r="C54" s="3"/>
      <c r="E54" s="35"/>
      <c r="F54" s="28"/>
      <c r="G54" s="28"/>
      <c r="H54" s="29"/>
      <c r="I54" s="14"/>
      <c r="K54" s="3"/>
      <c r="M54" s="3"/>
      <c r="N54" s="3"/>
      <c r="O54" s="52"/>
      <c r="P54" s="3"/>
    </row>
    <row r="55" spans="2:16">
      <c r="B55" s="28"/>
      <c r="C55" s="3"/>
      <c r="E55" s="35"/>
      <c r="F55" s="28"/>
      <c r="G55" s="28"/>
      <c r="H55" s="29"/>
      <c r="I55" s="14"/>
      <c r="K55" s="3"/>
      <c r="M55" s="3"/>
      <c r="N55" s="3"/>
      <c r="O55" s="52"/>
      <c r="P55" s="3"/>
    </row>
    <row r="56" spans="2:16">
      <c r="B56" s="28"/>
      <c r="C56" s="3"/>
      <c r="E56" s="35"/>
      <c r="F56" s="28"/>
      <c r="G56" s="28"/>
      <c r="H56" s="29"/>
      <c r="I56" s="14"/>
      <c r="K56" s="3"/>
      <c r="M56" s="3"/>
      <c r="N56" s="3"/>
      <c r="O56" s="52"/>
      <c r="P56" s="3"/>
    </row>
    <row r="57" spans="2:16">
      <c r="B57" s="28"/>
      <c r="C57" s="3"/>
      <c r="E57" s="35"/>
      <c r="F57" s="28"/>
      <c r="G57" s="28"/>
      <c r="H57" s="29"/>
      <c r="I57" s="14"/>
      <c r="K57" s="3"/>
      <c r="M57" s="3"/>
      <c r="N57" s="3"/>
      <c r="O57" s="52"/>
      <c r="P57" s="3"/>
    </row>
    <row r="58" spans="2:16">
      <c r="B58" s="28"/>
      <c r="C58" s="3"/>
      <c r="E58" s="35"/>
      <c r="F58" s="28"/>
      <c r="G58" s="28"/>
      <c r="H58" s="29"/>
      <c r="I58" s="14"/>
      <c r="K58" s="3"/>
      <c r="M58" s="3"/>
      <c r="N58" s="3"/>
      <c r="O58" s="52"/>
      <c r="P58" s="3"/>
    </row>
    <row r="59" spans="2:16">
      <c r="B59" s="28"/>
      <c r="C59" s="3"/>
      <c r="E59" s="35"/>
      <c r="F59" s="28"/>
      <c r="G59" s="28"/>
      <c r="H59" s="29"/>
      <c r="I59" s="14"/>
      <c r="K59" s="3"/>
      <c r="M59" s="3"/>
      <c r="N59" s="3"/>
      <c r="O59" s="52"/>
      <c r="P59" s="3"/>
    </row>
    <row r="60" spans="2:16">
      <c r="B60" s="28"/>
      <c r="C60" s="3"/>
      <c r="E60" s="35"/>
      <c r="F60" s="28"/>
      <c r="G60" s="28"/>
      <c r="H60" s="29"/>
      <c r="I60" s="14"/>
      <c r="K60" s="3"/>
      <c r="M60" s="3"/>
      <c r="N60" s="3"/>
      <c r="O60" s="52"/>
      <c r="P60" s="3"/>
    </row>
    <row r="61" spans="2:16">
      <c r="B61" s="28"/>
      <c r="C61" s="3"/>
      <c r="E61" s="35"/>
      <c r="F61" s="28"/>
      <c r="G61" s="28"/>
      <c r="H61" s="29"/>
      <c r="I61" s="14"/>
      <c r="K61" s="3"/>
      <c r="M61" s="3"/>
      <c r="N61" s="3"/>
      <c r="O61" s="52"/>
      <c r="P61" s="3"/>
    </row>
    <row r="62" spans="2:16">
      <c r="B62" s="28"/>
      <c r="C62" s="3"/>
      <c r="E62" s="35"/>
      <c r="F62" s="28"/>
      <c r="G62" s="28"/>
      <c r="H62" s="29"/>
      <c r="I62" s="14"/>
      <c r="K62" s="3"/>
      <c r="M62" s="3"/>
      <c r="N62" s="3"/>
      <c r="O62" s="52"/>
      <c r="P62" s="3"/>
    </row>
    <row r="63" spans="2:16">
      <c r="B63" s="28"/>
      <c r="C63" s="3"/>
      <c r="E63" s="35"/>
      <c r="F63" s="28"/>
      <c r="G63" s="28"/>
      <c r="H63" s="29"/>
      <c r="I63" s="14"/>
      <c r="K63" s="3"/>
      <c r="M63" s="3"/>
      <c r="N63" s="3"/>
      <c r="O63" s="52"/>
      <c r="P63" s="3"/>
    </row>
    <row r="64" spans="2:16">
      <c r="B64" s="28"/>
      <c r="C64" s="3"/>
      <c r="E64" s="35"/>
      <c r="F64" s="28"/>
      <c r="G64" s="28"/>
      <c r="H64" s="29"/>
      <c r="I64" s="14"/>
      <c r="K64" s="3"/>
      <c r="M64" s="3"/>
      <c r="N64" s="3"/>
      <c r="O64" s="52"/>
      <c r="P64" s="3"/>
    </row>
    <row r="65" spans="2:16">
      <c r="B65" s="28"/>
      <c r="C65" s="3"/>
      <c r="E65" s="35"/>
      <c r="F65" s="28"/>
      <c r="G65" s="28"/>
      <c r="H65" s="29"/>
      <c r="I65" s="14"/>
      <c r="K65" s="3"/>
      <c r="M65" s="3"/>
      <c r="N65" s="3"/>
      <c r="O65" s="52"/>
      <c r="P65" s="3"/>
    </row>
    <row r="66" spans="2:16">
      <c r="B66" s="28"/>
      <c r="C66" s="3"/>
      <c r="E66" s="35"/>
      <c r="F66" s="28"/>
      <c r="G66" s="28"/>
      <c r="H66" s="29"/>
      <c r="I66" s="14"/>
      <c r="K66" s="3"/>
      <c r="M66" s="3"/>
      <c r="N66" s="3"/>
      <c r="O66" s="52"/>
      <c r="P66" s="3"/>
    </row>
    <row r="67" spans="2:16">
      <c r="B67" s="28"/>
      <c r="C67" s="3"/>
      <c r="E67" s="35"/>
      <c r="F67" s="28"/>
      <c r="G67" s="28"/>
      <c r="H67" s="29"/>
      <c r="I67" s="14"/>
      <c r="K67" s="3"/>
      <c r="M67" s="3"/>
      <c r="N67" s="3"/>
      <c r="O67" s="52"/>
      <c r="P67" s="3"/>
    </row>
    <row r="68" spans="2:16">
      <c r="B68" s="28"/>
      <c r="C68" s="3"/>
      <c r="E68" s="35"/>
      <c r="F68" s="28"/>
      <c r="G68" s="28"/>
      <c r="H68" s="29"/>
      <c r="I68" s="14"/>
      <c r="K68" s="3"/>
      <c r="M68" s="3"/>
      <c r="N68" s="3"/>
      <c r="O68" s="52"/>
      <c r="P68" s="3"/>
    </row>
    <row r="69" spans="2:16">
      <c r="B69" s="28"/>
      <c r="C69" s="3"/>
      <c r="E69" s="35"/>
      <c r="F69" s="28"/>
      <c r="G69" s="28"/>
      <c r="H69" s="29"/>
      <c r="I69" s="14"/>
      <c r="K69" s="3"/>
      <c r="M69" s="3"/>
      <c r="N69" s="3"/>
      <c r="O69" s="52"/>
      <c r="P69" s="3"/>
    </row>
    <row r="70" spans="2:16">
      <c r="B70" s="28"/>
      <c r="C70" s="3"/>
      <c r="E70" s="35"/>
      <c r="F70" s="28"/>
      <c r="G70" s="28"/>
      <c r="H70" s="29"/>
      <c r="I70" s="14"/>
      <c r="K70" s="3"/>
      <c r="M70" s="3"/>
      <c r="N70" s="3"/>
      <c r="O70" s="52"/>
      <c r="P70" s="3"/>
    </row>
    <row r="71" spans="2:16">
      <c r="B71" s="28"/>
      <c r="C71" s="3"/>
      <c r="E71" s="35"/>
      <c r="F71" s="28"/>
      <c r="G71" s="28"/>
      <c r="H71" s="29"/>
      <c r="I71" s="14"/>
      <c r="K71" s="3"/>
      <c r="M71" s="3"/>
      <c r="N71" s="3"/>
      <c r="O71" s="52"/>
      <c r="P71" s="3"/>
    </row>
    <row r="72" spans="2:16">
      <c r="B72" s="28"/>
      <c r="C72" s="3"/>
      <c r="E72" s="35"/>
      <c r="F72" s="28"/>
      <c r="G72" s="28"/>
      <c r="H72" s="29"/>
      <c r="I72" s="14"/>
      <c r="K72" s="3"/>
      <c r="M72" s="3"/>
      <c r="N72" s="3"/>
      <c r="O72" s="52"/>
      <c r="P72" s="3"/>
    </row>
    <row r="73" spans="2:16">
      <c r="B73" s="28"/>
      <c r="C73" s="3"/>
      <c r="E73" s="35"/>
      <c r="F73" s="28"/>
      <c r="G73" s="28"/>
      <c r="H73" s="29"/>
      <c r="I73" s="14"/>
      <c r="K73" s="3"/>
      <c r="M73" s="3"/>
      <c r="N73" s="3"/>
      <c r="O73" s="52"/>
      <c r="P73" s="3"/>
    </row>
    <row r="74" spans="2:16">
      <c r="B74" s="28"/>
      <c r="C74" s="3"/>
      <c r="E74" s="35"/>
      <c r="F74" s="28"/>
      <c r="G74" s="28"/>
      <c r="H74" s="29"/>
      <c r="I74" s="14"/>
      <c r="K74" s="3"/>
      <c r="M74" s="3"/>
      <c r="N74" s="3"/>
      <c r="O74" s="52"/>
      <c r="P74" s="3"/>
    </row>
    <row r="75" spans="2:16">
      <c r="B75" s="28"/>
      <c r="C75" s="3"/>
      <c r="E75" s="35"/>
      <c r="F75" s="28"/>
      <c r="G75" s="28"/>
      <c r="H75" s="29"/>
      <c r="I75" s="14"/>
      <c r="K75" s="3"/>
      <c r="M75" s="3"/>
      <c r="N75" s="3"/>
      <c r="O75" s="52"/>
      <c r="P75" s="3"/>
    </row>
    <row r="76" spans="2:16">
      <c r="B76" s="28"/>
      <c r="C76" s="3"/>
      <c r="E76" s="35"/>
      <c r="F76" s="28"/>
      <c r="G76" s="28"/>
      <c r="H76" s="29"/>
      <c r="I76" s="14"/>
      <c r="K76" s="3"/>
      <c r="M76" s="3"/>
      <c r="N76" s="3"/>
      <c r="O76" s="52"/>
      <c r="P76" s="3"/>
    </row>
    <row r="77" spans="2:16">
      <c r="B77" s="28"/>
      <c r="C77" s="3"/>
      <c r="E77" s="35"/>
      <c r="F77" s="28"/>
      <c r="G77" s="28"/>
      <c r="H77" s="29"/>
      <c r="I77" s="14"/>
      <c r="K77" s="3"/>
      <c r="M77" s="3"/>
      <c r="N77" s="3"/>
      <c r="O77" s="52"/>
      <c r="P77" s="3"/>
    </row>
    <row r="78" spans="2:16">
      <c r="B78" s="28"/>
      <c r="C78" s="3"/>
      <c r="E78" s="35"/>
      <c r="F78" s="28"/>
      <c r="G78" s="28"/>
      <c r="H78" s="29"/>
      <c r="I78" s="14"/>
      <c r="K78" s="3"/>
      <c r="M78" s="3"/>
      <c r="N78" s="3"/>
      <c r="O78" s="52"/>
      <c r="P78" s="3"/>
    </row>
    <row r="79" spans="2:16">
      <c r="B79" s="28"/>
      <c r="C79" s="3"/>
      <c r="E79" s="35"/>
      <c r="F79" s="28"/>
      <c r="G79" s="28"/>
      <c r="H79" s="29"/>
      <c r="I79" s="14"/>
      <c r="K79" s="3"/>
      <c r="M79" s="3"/>
      <c r="N79" s="3"/>
      <c r="O79" s="52"/>
      <c r="P79" s="3"/>
    </row>
    <row r="80" spans="2:16">
      <c r="B80" s="28"/>
      <c r="C80" s="3"/>
      <c r="E80" s="35"/>
      <c r="F80" s="28"/>
      <c r="G80" s="28"/>
      <c r="H80" s="29"/>
      <c r="I80" s="14"/>
      <c r="K80" s="3"/>
      <c r="M80" s="3"/>
      <c r="N80" s="3"/>
      <c r="O80" s="52"/>
      <c r="P80" s="3"/>
    </row>
    <row r="81" spans="2:16">
      <c r="B81" s="28"/>
      <c r="C81" s="3"/>
      <c r="E81" s="35"/>
      <c r="F81" s="28"/>
      <c r="G81" s="28"/>
      <c r="H81" s="29"/>
      <c r="I81" s="14"/>
      <c r="K81" s="3"/>
      <c r="M81" s="3"/>
      <c r="N81" s="3"/>
      <c r="O81" s="52"/>
      <c r="P81" s="3"/>
    </row>
    <row r="82" spans="2:16">
      <c r="B82" s="28"/>
      <c r="C82" s="3"/>
      <c r="E82" s="35"/>
      <c r="F82" s="28"/>
      <c r="G82" s="28"/>
      <c r="H82" s="29"/>
      <c r="I82" s="14"/>
      <c r="K82" s="3"/>
      <c r="M82" s="3"/>
      <c r="N82" s="3"/>
      <c r="O82" s="52"/>
      <c r="P82" s="3"/>
    </row>
    <row r="83" spans="2:16">
      <c r="B83" s="28"/>
      <c r="C83" s="3"/>
      <c r="E83" s="35"/>
      <c r="F83" s="28"/>
      <c r="G83" s="28"/>
      <c r="H83" s="29"/>
      <c r="I83" s="14"/>
      <c r="K83" s="3"/>
      <c r="M83" s="3"/>
      <c r="N83" s="3"/>
      <c r="O83" s="52"/>
      <c r="P83" s="3"/>
    </row>
    <row r="84" spans="2:16">
      <c r="B84" s="28"/>
      <c r="C84" s="3"/>
      <c r="E84" s="35"/>
      <c r="F84" s="28"/>
      <c r="G84" s="28"/>
      <c r="H84" s="29"/>
      <c r="I84" s="14"/>
      <c r="K84" s="3"/>
      <c r="M84" s="3"/>
      <c r="N84" s="3"/>
      <c r="O84" s="52"/>
      <c r="P84" s="3"/>
    </row>
    <row r="85" spans="2:16">
      <c r="B85" s="28"/>
      <c r="C85" s="3"/>
      <c r="E85" s="35"/>
      <c r="F85" s="28"/>
      <c r="G85" s="28"/>
      <c r="H85" s="29"/>
      <c r="I85" s="14"/>
      <c r="K85" s="3"/>
      <c r="M85" s="3"/>
      <c r="N85" s="3"/>
      <c r="O85" s="52"/>
      <c r="P85" s="3"/>
    </row>
    <row r="86" spans="2:16">
      <c r="B86" s="28"/>
      <c r="C86" s="3"/>
      <c r="E86" s="35"/>
      <c r="F86" s="28"/>
      <c r="G86" s="28"/>
      <c r="H86" s="29"/>
      <c r="I86" s="14"/>
      <c r="K86" s="3"/>
      <c r="M86" s="3"/>
      <c r="N86" s="3"/>
      <c r="O86" s="52"/>
      <c r="P86" s="3"/>
    </row>
    <row r="87" spans="2:16">
      <c r="B87" s="28"/>
      <c r="C87" s="3"/>
      <c r="E87" s="35"/>
      <c r="F87" s="28"/>
      <c r="G87" s="28"/>
      <c r="H87" s="29"/>
      <c r="I87" s="14"/>
      <c r="K87" s="3"/>
      <c r="M87" s="3"/>
      <c r="N87" s="3"/>
      <c r="O87" s="52"/>
      <c r="P87" s="3"/>
    </row>
    <row r="88" spans="2:16">
      <c r="B88" s="28"/>
      <c r="C88" s="3"/>
      <c r="E88" s="35"/>
      <c r="F88" s="28"/>
      <c r="G88" s="28"/>
      <c r="H88" s="29"/>
      <c r="I88" s="14"/>
      <c r="K88" s="3"/>
      <c r="M88" s="3"/>
      <c r="N88" s="3"/>
      <c r="O88" s="52"/>
      <c r="P88" s="3"/>
    </row>
    <row r="89" spans="2:16">
      <c r="B89" s="28"/>
      <c r="C89" s="3"/>
      <c r="E89" s="35"/>
      <c r="F89" s="28"/>
      <c r="G89" s="28"/>
      <c r="H89" s="29"/>
      <c r="I89" s="14"/>
      <c r="K89" s="3"/>
      <c r="M89" s="3"/>
      <c r="N89" s="3"/>
      <c r="O89" s="52"/>
      <c r="P89" s="3"/>
    </row>
    <row r="90" spans="2:16">
      <c r="B90" s="28"/>
      <c r="C90" s="3"/>
      <c r="E90" s="35"/>
      <c r="F90" s="28"/>
      <c r="G90" s="28"/>
      <c r="H90" s="29"/>
      <c r="I90" s="14"/>
      <c r="K90" s="3"/>
      <c r="M90" s="3"/>
      <c r="N90" s="3"/>
      <c r="O90" s="52"/>
      <c r="P90" s="3"/>
    </row>
    <row r="91" spans="2:16">
      <c r="B91" s="28"/>
      <c r="C91" s="3"/>
      <c r="E91" s="35"/>
      <c r="F91" s="28"/>
      <c r="G91" s="28"/>
      <c r="H91" s="29"/>
      <c r="I91" s="14"/>
      <c r="K91" s="3"/>
      <c r="M91" s="3"/>
      <c r="N91" s="3"/>
      <c r="O91" s="52"/>
      <c r="P91" s="3"/>
    </row>
    <row r="92" spans="2:16">
      <c r="B92" s="28"/>
      <c r="C92" s="3"/>
      <c r="E92" s="35"/>
      <c r="F92" s="28"/>
      <c r="G92" s="28"/>
      <c r="H92" s="29"/>
      <c r="I92" s="14"/>
      <c r="K92" s="3"/>
      <c r="M92" s="3"/>
      <c r="N92" s="3"/>
      <c r="O92" s="52"/>
      <c r="P92" s="3"/>
    </row>
    <row r="93" spans="2:16">
      <c r="B93" s="28"/>
      <c r="C93" s="3"/>
      <c r="E93" s="35"/>
      <c r="F93" s="28"/>
      <c r="G93" s="28"/>
      <c r="H93" s="29"/>
      <c r="I93" s="14"/>
      <c r="K93" s="3"/>
      <c r="M93" s="3"/>
      <c r="N93" s="3"/>
      <c r="O93" s="52"/>
      <c r="P93" s="3"/>
    </row>
    <row r="94" spans="2:16">
      <c r="B94" s="28"/>
      <c r="C94" s="3"/>
      <c r="E94" s="35"/>
      <c r="F94" s="28"/>
      <c r="G94" s="28"/>
      <c r="H94" s="29"/>
      <c r="I94" s="14"/>
      <c r="K94" s="3"/>
      <c r="M94" s="3"/>
      <c r="N94" s="3"/>
      <c r="O94" s="52"/>
      <c r="P94" s="3"/>
    </row>
    <row r="95" spans="2:16">
      <c r="B95" s="28"/>
      <c r="C95" s="3"/>
      <c r="E95" s="35"/>
      <c r="F95" s="28"/>
      <c r="G95" s="28"/>
      <c r="H95" s="29"/>
      <c r="I95" s="14"/>
      <c r="K95" s="3"/>
      <c r="M95" s="3"/>
      <c r="N95" s="3"/>
      <c r="O95" s="52"/>
      <c r="P95" s="3"/>
    </row>
    <row r="96" spans="2:16">
      <c r="B96" s="28"/>
      <c r="C96" s="3"/>
      <c r="E96" s="35"/>
      <c r="F96" s="28"/>
      <c r="G96" s="28"/>
      <c r="H96" s="29"/>
      <c r="I96" s="14"/>
      <c r="K96" s="3"/>
      <c r="M96" s="3"/>
      <c r="N96" s="3"/>
      <c r="O96" s="52"/>
      <c r="P96" s="3"/>
    </row>
    <row r="97" spans="2:16">
      <c r="B97" s="28"/>
      <c r="C97" s="3"/>
      <c r="E97" s="35"/>
      <c r="F97" s="28"/>
      <c r="G97" s="28"/>
      <c r="H97" s="29"/>
      <c r="I97" s="14"/>
      <c r="K97" s="3"/>
      <c r="M97" s="3"/>
      <c r="N97" s="3"/>
      <c r="O97" s="52"/>
      <c r="P97" s="3"/>
    </row>
    <row r="98" spans="2:16">
      <c r="B98" s="28"/>
      <c r="C98" s="3"/>
      <c r="E98" s="35"/>
      <c r="F98" s="28"/>
      <c r="G98" s="28"/>
      <c r="H98" s="29"/>
      <c r="I98" s="14"/>
      <c r="K98" s="3"/>
      <c r="M98" s="3"/>
      <c r="N98" s="3"/>
      <c r="O98" s="52"/>
      <c r="P98" s="3"/>
    </row>
    <row r="99" spans="2:16">
      <c r="B99" s="28"/>
      <c r="C99" s="3"/>
      <c r="E99" s="35"/>
      <c r="F99" s="28"/>
      <c r="G99" s="28"/>
      <c r="H99" s="29"/>
      <c r="I99" s="14"/>
      <c r="K99" s="3"/>
      <c r="M99" s="3"/>
      <c r="N99" s="3"/>
      <c r="O99" s="52"/>
      <c r="P99" s="3"/>
    </row>
    <row r="100" spans="2:16">
      <c r="B100" s="28"/>
      <c r="C100" s="3"/>
      <c r="E100" s="35"/>
      <c r="F100" s="28"/>
      <c r="G100" s="28"/>
      <c r="H100" s="29"/>
      <c r="I100" s="14"/>
      <c r="K100" s="3"/>
      <c r="M100" s="3"/>
      <c r="N100" s="3"/>
      <c r="O100" s="52"/>
      <c r="P100" s="3"/>
    </row>
    <row r="101" spans="2:16">
      <c r="B101" s="28"/>
      <c r="C101" s="3"/>
      <c r="E101" s="35"/>
      <c r="F101" s="28"/>
      <c r="G101" s="28"/>
      <c r="H101" s="29"/>
      <c r="I101" s="14"/>
      <c r="K101" s="3"/>
      <c r="M101" s="3"/>
      <c r="N101" s="3"/>
      <c r="O101" s="52"/>
      <c r="P101" s="3"/>
    </row>
    <row r="102" spans="2:16">
      <c r="B102" s="28"/>
      <c r="C102" s="3"/>
      <c r="E102" s="35"/>
      <c r="F102" s="28"/>
      <c r="G102" s="28"/>
      <c r="H102" s="29"/>
      <c r="I102" s="14"/>
      <c r="K102" s="3"/>
      <c r="M102" s="3"/>
      <c r="N102" s="3"/>
      <c r="O102" s="52"/>
      <c r="P102" s="3"/>
    </row>
    <row r="103" spans="2:16">
      <c r="B103" s="28"/>
      <c r="C103" s="3"/>
      <c r="E103" s="35"/>
      <c r="F103" s="28"/>
      <c r="G103" s="28"/>
      <c r="H103" s="29"/>
      <c r="I103" s="14"/>
      <c r="K103" s="3"/>
      <c r="M103" s="3"/>
      <c r="N103" s="3"/>
      <c r="O103" s="52"/>
      <c r="P103" s="3"/>
    </row>
    <row r="104" spans="2:16">
      <c r="B104" s="28"/>
      <c r="C104" s="3"/>
      <c r="E104" s="35"/>
      <c r="F104" s="28"/>
      <c r="G104" s="28"/>
      <c r="H104" s="29"/>
      <c r="I104" s="14"/>
      <c r="K104" s="3"/>
      <c r="M104" s="3"/>
      <c r="N104" s="3"/>
      <c r="O104" s="52"/>
      <c r="P104" s="3"/>
    </row>
    <row r="105" spans="2:16">
      <c r="B105" s="28"/>
      <c r="C105" s="3"/>
      <c r="E105" s="35"/>
      <c r="F105" s="28"/>
      <c r="G105" s="28"/>
      <c r="H105" s="29"/>
      <c r="I105" s="14"/>
      <c r="K105" s="3"/>
      <c r="M105" s="3"/>
      <c r="N105" s="3"/>
      <c r="O105" s="52"/>
      <c r="P105" s="3"/>
    </row>
    <row r="106" spans="2:16">
      <c r="B106" s="28"/>
      <c r="C106" s="3"/>
      <c r="E106" s="35"/>
      <c r="F106" s="28"/>
      <c r="G106" s="28"/>
      <c r="H106" s="29"/>
      <c r="I106" s="14"/>
      <c r="K106" s="3"/>
      <c r="M106" s="3"/>
      <c r="N106" s="3"/>
      <c r="O106" s="52"/>
      <c r="P106" s="3"/>
    </row>
    <row r="107" spans="2:16">
      <c r="B107" s="28"/>
      <c r="C107" s="3"/>
      <c r="E107" s="35"/>
      <c r="F107" s="28"/>
      <c r="G107" s="28"/>
      <c r="H107" s="29"/>
      <c r="I107" s="14"/>
      <c r="K107" s="3"/>
      <c r="M107" s="3"/>
      <c r="N107" s="3"/>
      <c r="O107" s="52"/>
      <c r="P107" s="3"/>
    </row>
    <row r="108" spans="2:16">
      <c r="B108" s="28"/>
      <c r="C108" s="3"/>
      <c r="E108" s="35"/>
      <c r="F108" s="28"/>
      <c r="G108" s="28"/>
      <c r="H108" s="29"/>
      <c r="I108" s="14"/>
      <c r="K108" s="3"/>
      <c r="M108" s="3"/>
      <c r="N108" s="3"/>
      <c r="O108" s="52"/>
      <c r="P108" s="3"/>
    </row>
    <row r="109" spans="2:16">
      <c r="B109" s="28"/>
      <c r="C109" s="3"/>
      <c r="E109" s="35"/>
      <c r="F109" s="28"/>
      <c r="G109" s="28"/>
      <c r="H109" s="29"/>
      <c r="I109" s="14"/>
      <c r="K109" s="3"/>
      <c r="M109" s="3"/>
      <c r="N109" s="3"/>
      <c r="O109" s="52"/>
      <c r="P109" s="3"/>
    </row>
    <row r="110" spans="2:16">
      <c r="B110" s="28"/>
      <c r="C110" s="3"/>
      <c r="E110" s="35"/>
      <c r="F110" s="28"/>
      <c r="G110" s="28"/>
      <c r="H110" s="29"/>
      <c r="I110" s="14"/>
      <c r="K110" s="3"/>
      <c r="M110" s="3"/>
      <c r="N110" s="3"/>
      <c r="O110" s="52"/>
      <c r="P110" s="3"/>
    </row>
    <row r="111" spans="2:16">
      <c r="B111" s="28"/>
      <c r="C111" s="3"/>
      <c r="E111" s="35"/>
      <c r="F111" s="28"/>
      <c r="G111" s="28"/>
      <c r="H111" s="29"/>
      <c r="I111" s="14"/>
      <c r="K111" s="3"/>
      <c r="M111" s="3"/>
      <c r="N111" s="3"/>
      <c r="O111" s="52"/>
      <c r="P111" s="3"/>
    </row>
    <row r="112" spans="2:16">
      <c r="B112" s="28"/>
      <c r="C112" s="3"/>
      <c r="E112" s="35"/>
      <c r="F112" s="28"/>
      <c r="G112" s="28"/>
      <c r="H112" s="29"/>
      <c r="I112" s="14"/>
      <c r="K112" s="3"/>
      <c r="M112" s="3"/>
      <c r="N112" s="3"/>
      <c r="O112" s="52"/>
      <c r="P112" s="3"/>
    </row>
    <row r="113" spans="2:16">
      <c r="B113" s="28"/>
      <c r="C113" s="3"/>
      <c r="E113" s="35"/>
      <c r="F113" s="28"/>
      <c r="G113" s="28"/>
      <c r="H113" s="29"/>
      <c r="I113" s="14"/>
      <c r="K113" s="3"/>
      <c r="M113" s="3"/>
      <c r="N113" s="3"/>
      <c r="O113" s="52"/>
      <c r="P113" s="3"/>
    </row>
    <row r="114" spans="2:16">
      <c r="B114" s="28"/>
      <c r="C114" s="3"/>
      <c r="E114" s="35"/>
      <c r="F114" s="28"/>
      <c r="G114" s="28"/>
      <c r="H114" s="29"/>
      <c r="I114" s="14"/>
      <c r="K114" s="3"/>
      <c r="M114" s="3"/>
      <c r="N114" s="3"/>
      <c r="O114" s="52"/>
      <c r="P114" s="3"/>
    </row>
    <row r="115" spans="2:16">
      <c r="B115" s="28"/>
      <c r="C115" s="3"/>
      <c r="E115" s="35"/>
      <c r="F115" s="28"/>
      <c r="G115" s="28"/>
      <c r="H115" s="29"/>
      <c r="I115" s="14"/>
      <c r="K115" s="3"/>
      <c r="M115" s="3"/>
      <c r="N115" s="3"/>
      <c r="O115" s="52"/>
      <c r="P115" s="3"/>
    </row>
    <row r="116" spans="2:16">
      <c r="B116" s="28"/>
      <c r="C116" s="3"/>
      <c r="E116" s="35"/>
      <c r="F116" s="28"/>
      <c r="G116" s="28"/>
      <c r="H116" s="29"/>
      <c r="I116" s="14"/>
      <c r="K116" s="3"/>
      <c r="M116" s="3"/>
      <c r="N116" s="3"/>
      <c r="O116" s="52"/>
      <c r="P116" s="3"/>
    </row>
    <row r="117" spans="2:16">
      <c r="B117" s="28"/>
      <c r="C117" s="3"/>
      <c r="E117" s="35"/>
      <c r="F117" s="28"/>
      <c r="G117" s="28"/>
      <c r="H117" s="29"/>
      <c r="I117" s="14"/>
      <c r="K117" s="3"/>
      <c r="M117" s="3"/>
      <c r="N117" s="3"/>
      <c r="O117" s="52"/>
      <c r="P117" s="3"/>
    </row>
    <row r="118" spans="2:16">
      <c r="B118" s="28"/>
      <c r="C118" s="3"/>
      <c r="E118" s="35"/>
      <c r="F118" s="28"/>
      <c r="G118" s="28"/>
      <c r="H118" s="29"/>
      <c r="I118" s="14"/>
      <c r="K118" s="3"/>
      <c r="M118" s="3"/>
      <c r="N118" s="3"/>
      <c r="O118" s="52"/>
      <c r="P118" s="3"/>
    </row>
    <row r="119" spans="2:16">
      <c r="B119" s="28"/>
      <c r="C119" s="3"/>
      <c r="E119" s="35"/>
      <c r="F119" s="28"/>
      <c r="G119" s="28"/>
      <c r="H119" s="29"/>
      <c r="I119" s="14"/>
      <c r="K119" s="3"/>
      <c r="M119" s="3"/>
      <c r="N119" s="3"/>
      <c r="O119" s="52"/>
      <c r="P119" s="3"/>
    </row>
    <row r="120" spans="2:16">
      <c r="B120" s="28"/>
      <c r="C120" s="3"/>
      <c r="E120" s="35"/>
      <c r="F120" s="28"/>
      <c r="G120" s="28"/>
      <c r="H120" s="29"/>
      <c r="I120" s="14"/>
      <c r="K120" s="3"/>
      <c r="M120" s="3"/>
      <c r="N120" s="3"/>
      <c r="O120" s="52"/>
      <c r="P120" s="3"/>
    </row>
    <row r="121" spans="2:16">
      <c r="B121" s="28"/>
      <c r="C121" s="3"/>
      <c r="E121" s="35"/>
      <c r="F121" s="28"/>
      <c r="G121" s="28"/>
      <c r="H121" s="29"/>
      <c r="I121" s="14"/>
      <c r="K121" s="3"/>
      <c r="M121" s="3"/>
      <c r="N121" s="3"/>
      <c r="O121" s="52"/>
      <c r="P121" s="3"/>
    </row>
    <row r="122" spans="2:16">
      <c r="B122" s="28"/>
      <c r="C122" s="3"/>
      <c r="E122" s="35"/>
      <c r="F122" s="28"/>
      <c r="G122" s="28"/>
      <c r="H122" s="29"/>
      <c r="I122" s="14"/>
      <c r="K122" s="3"/>
      <c r="M122" s="3"/>
      <c r="N122" s="3"/>
      <c r="O122" s="52"/>
      <c r="P122" s="3"/>
    </row>
    <row r="123" spans="2:16">
      <c r="B123" s="28"/>
      <c r="C123" s="3"/>
      <c r="E123" s="35"/>
      <c r="F123" s="28"/>
      <c r="G123" s="28"/>
      <c r="H123" s="29"/>
      <c r="I123" s="14"/>
      <c r="K123" s="3"/>
      <c r="M123" s="3"/>
      <c r="N123" s="3"/>
      <c r="O123" s="52"/>
      <c r="P123" s="3"/>
    </row>
    <row r="124" spans="2:16">
      <c r="B124" s="28"/>
      <c r="C124" s="3"/>
      <c r="E124" s="35"/>
      <c r="F124" s="28"/>
      <c r="G124" s="28"/>
      <c r="H124" s="29"/>
      <c r="I124" s="14"/>
      <c r="K124" s="3"/>
      <c r="M124" s="3"/>
      <c r="N124" s="3"/>
      <c r="O124" s="52"/>
      <c r="P124" s="3"/>
    </row>
    <row r="125" spans="2:16">
      <c r="B125" s="28"/>
      <c r="C125" s="3"/>
      <c r="E125" s="35"/>
      <c r="F125" s="28"/>
      <c r="G125" s="28"/>
      <c r="H125" s="29"/>
      <c r="I125" s="14"/>
      <c r="K125" s="3"/>
      <c r="M125" s="3"/>
      <c r="N125" s="3"/>
      <c r="O125" s="52"/>
      <c r="P125" s="3"/>
    </row>
    <row r="126" spans="2:16">
      <c r="B126" s="28"/>
      <c r="C126" s="3"/>
      <c r="E126" s="35"/>
      <c r="F126" s="28"/>
      <c r="G126" s="28"/>
      <c r="H126" s="29"/>
      <c r="I126" s="14"/>
      <c r="K126" s="3"/>
      <c r="M126" s="3"/>
      <c r="N126" s="3"/>
      <c r="O126" s="52"/>
      <c r="P126" s="3"/>
    </row>
    <row r="127" spans="2:16">
      <c r="B127" s="28"/>
      <c r="C127" s="3"/>
      <c r="E127" s="35"/>
      <c r="F127" s="28"/>
      <c r="G127" s="28"/>
      <c r="H127" s="29"/>
      <c r="I127" s="14"/>
      <c r="K127" s="3"/>
      <c r="M127" s="3"/>
      <c r="N127" s="3"/>
      <c r="O127" s="52"/>
      <c r="P127" s="3"/>
    </row>
    <row r="128" spans="2:16">
      <c r="B128" s="28"/>
      <c r="C128" s="3"/>
      <c r="E128" s="35"/>
      <c r="F128" s="28"/>
      <c r="G128" s="28"/>
      <c r="H128" s="29"/>
      <c r="I128" s="14"/>
      <c r="K128" s="3"/>
      <c r="M128" s="3"/>
      <c r="N128" s="3"/>
      <c r="O128" s="52"/>
      <c r="P128" s="3"/>
    </row>
    <row r="129" spans="2:16">
      <c r="B129" s="28"/>
      <c r="C129" s="3"/>
      <c r="E129" s="35"/>
      <c r="F129" s="28"/>
      <c r="G129" s="28"/>
      <c r="H129" s="29"/>
      <c r="I129" s="14"/>
      <c r="K129" s="3"/>
      <c r="M129" s="3"/>
      <c r="N129" s="3"/>
      <c r="O129" s="52"/>
      <c r="P129" s="3"/>
    </row>
    <row r="130" spans="2:16">
      <c r="B130" s="28"/>
      <c r="C130" s="3"/>
      <c r="E130" s="35"/>
      <c r="F130" s="28"/>
      <c r="G130" s="28"/>
      <c r="H130" s="29"/>
      <c r="I130" s="14"/>
      <c r="K130" s="3"/>
      <c r="M130" s="3"/>
      <c r="N130" s="3"/>
      <c r="O130" s="52"/>
      <c r="P130" s="3"/>
    </row>
    <row r="131" spans="2:16">
      <c r="B131" s="28"/>
      <c r="C131" s="3"/>
      <c r="E131" s="35"/>
      <c r="F131" s="28"/>
      <c r="G131" s="28"/>
      <c r="H131" s="29"/>
      <c r="I131" s="14"/>
      <c r="K131" s="3"/>
      <c r="M131" s="3"/>
      <c r="N131" s="3"/>
      <c r="O131" s="52"/>
      <c r="P131" s="3"/>
    </row>
    <row r="132" spans="2:16">
      <c r="B132" s="28"/>
      <c r="C132" s="3"/>
      <c r="E132" s="35"/>
      <c r="F132" s="28"/>
      <c r="G132" s="28"/>
      <c r="H132" s="29"/>
      <c r="I132" s="14"/>
      <c r="K132" s="3"/>
      <c r="M132" s="3"/>
      <c r="N132" s="3"/>
      <c r="O132" s="52"/>
      <c r="P132" s="3"/>
    </row>
    <row r="133" spans="2:16">
      <c r="B133" s="28"/>
      <c r="C133" s="3"/>
      <c r="E133" s="35"/>
      <c r="F133" s="28"/>
      <c r="G133" s="28"/>
      <c r="H133" s="29"/>
      <c r="I133" s="14"/>
      <c r="K133" s="3"/>
      <c r="M133" s="3"/>
      <c r="N133" s="3"/>
      <c r="O133" s="52"/>
      <c r="P133" s="3"/>
    </row>
    <row r="134" spans="2:16">
      <c r="B134" s="28"/>
      <c r="C134" s="3"/>
      <c r="E134" s="35"/>
      <c r="F134" s="28"/>
      <c r="G134" s="28"/>
      <c r="H134" s="29"/>
      <c r="I134" s="14"/>
      <c r="K134" s="3"/>
      <c r="M134" s="3"/>
      <c r="N134" s="3"/>
      <c r="O134" s="52"/>
      <c r="P134" s="3"/>
    </row>
    <row r="135" spans="2:16">
      <c r="B135" s="28"/>
      <c r="C135" s="3"/>
      <c r="E135" s="35"/>
      <c r="F135" s="28"/>
      <c r="G135" s="28"/>
      <c r="H135" s="29"/>
      <c r="I135" s="14"/>
      <c r="K135" s="3"/>
      <c r="M135" s="3"/>
      <c r="N135" s="3"/>
      <c r="O135" s="52"/>
      <c r="P135" s="3"/>
    </row>
    <row r="136" spans="2:16">
      <c r="B136" s="28"/>
      <c r="C136" s="3"/>
      <c r="E136" s="35"/>
      <c r="F136" s="28"/>
      <c r="G136" s="28"/>
      <c r="H136" s="29"/>
      <c r="I136" s="14"/>
      <c r="K136" s="3"/>
      <c r="M136" s="3"/>
      <c r="N136" s="3"/>
      <c r="O136" s="52"/>
      <c r="P136" s="3"/>
    </row>
    <row r="137" spans="2:16">
      <c r="B137" s="28"/>
      <c r="C137" s="3"/>
      <c r="E137" s="35"/>
      <c r="F137" s="28"/>
      <c r="G137" s="28"/>
      <c r="H137" s="29"/>
      <c r="I137" s="14"/>
      <c r="K137" s="3"/>
      <c r="M137" s="3"/>
      <c r="N137" s="3"/>
      <c r="O137" s="52"/>
      <c r="P137" s="3"/>
    </row>
    <row r="138" spans="2:16">
      <c r="B138" s="28"/>
      <c r="C138" s="3"/>
      <c r="E138" s="35"/>
      <c r="F138" s="28"/>
      <c r="G138" s="28"/>
      <c r="H138" s="29"/>
      <c r="I138" s="14"/>
      <c r="K138" s="3"/>
      <c r="M138" s="3"/>
      <c r="N138" s="3"/>
      <c r="O138" s="52"/>
      <c r="P138" s="3"/>
    </row>
    <row r="139" spans="2:16">
      <c r="B139" s="28"/>
      <c r="C139" s="3"/>
      <c r="E139" s="35"/>
      <c r="F139" s="28"/>
      <c r="G139" s="28"/>
      <c r="H139" s="29"/>
      <c r="I139" s="14"/>
      <c r="K139" s="3"/>
      <c r="M139" s="3"/>
      <c r="N139" s="3"/>
      <c r="O139" s="52"/>
      <c r="P139" s="3"/>
    </row>
    <row r="140" spans="2:16">
      <c r="B140" s="28"/>
      <c r="C140" s="3"/>
      <c r="E140" s="35"/>
      <c r="F140" s="28"/>
      <c r="G140" s="28"/>
      <c r="H140" s="29"/>
      <c r="I140" s="14"/>
      <c r="K140" s="3"/>
      <c r="M140" s="3"/>
      <c r="N140" s="3"/>
      <c r="O140" s="52"/>
      <c r="P140" s="3"/>
    </row>
    <row r="141" spans="2:16">
      <c r="B141" s="28"/>
      <c r="C141" s="3"/>
      <c r="E141" s="35"/>
      <c r="F141" s="28"/>
      <c r="G141" s="28"/>
      <c r="H141" s="29"/>
      <c r="I141" s="14"/>
      <c r="K141" s="3"/>
      <c r="M141" s="3"/>
      <c r="N141" s="3"/>
      <c r="O141" s="52"/>
      <c r="P141" s="3"/>
    </row>
    <row r="142" spans="2:16">
      <c r="B142" s="28"/>
      <c r="C142" s="3"/>
      <c r="E142" s="35"/>
      <c r="F142" s="28"/>
      <c r="G142" s="28"/>
      <c r="H142" s="29"/>
      <c r="I142" s="14"/>
      <c r="K142" s="3"/>
      <c r="M142" s="3"/>
      <c r="N142" s="3"/>
      <c r="O142" s="52"/>
      <c r="P142" s="3"/>
    </row>
    <row r="143" spans="2:16">
      <c r="B143" s="28"/>
      <c r="C143" s="3"/>
      <c r="E143" s="35"/>
      <c r="F143" s="28"/>
      <c r="G143" s="28"/>
      <c r="H143" s="29"/>
      <c r="I143" s="14"/>
      <c r="K143" s="3"/>
      <c r="M143" s="3"/>
      <c r="N143" s="3"/>
      <c r="O143" s="52"/>
      <c r="P143" s="3"/>
    </row>
    <row r="144" spans="2:16">
      <c r="B144" s="28"/>
      <c r="C144" s="3"/>
      <c r="E144" s="35"/>
      <c r="F144" s="28"/>
      <c r="G144" s="28"/>
      <c r="H144" s="29"/>
      <c r="I144" s="14"/>
      <c r="K144" s="3"/>
      <c r="M144" s="3"/>
      <c r="N144" s="3"/>
      <c r="O144" s="52"/>
      <c r="P144" s="3"/>
    </row>
    <row r="145" spans="2:16">
      <c r="B145" s="28"/>
      <c r="C145" s="3"/>
      <c r="E145" s="35"/>
      <c r="F145" s="28"/>
      <c r="G145" s="28"/>
      <c r="H145" s="29"/>
      <c r="I145" s="14"/>
      <c r="K145" s="3"/>
      <c r="M145" s="3"/>
      <c r="N145" s="3"/>
      <c r="O145" s="52"/>
      <c r="P145" s="3"/>
    </row>
    <row r="146" spans="2:16">
      <c r="B146" s="28"/>
      <c r="C146" s="3"/>
      <c r="E146" s="35"/>
      <c r="F146" s="28"/>
      <c r="G146" s="28"/>
      <c r="H146" s="29"/>
      <c r="I146" s="14"/>
      <c r="K146" s="3"/>
      <c r="M146" s="3"/>
      <c r="N146" s="3"/>
      <c r="O146" s="52"/>
      <c r="P146" s="3"/>
    </row>
    <row r="147" spans="2:16">
      <c r="B147" s="28"/>
      <c r="C147" s="3"/>
      <c r="E147" s="35"/>
      <c r="F147" s="28"/>
      <c r="G147" s="28"/>
      <c r="H147" s="29"/>
      <c r="I147" s="14"/>
      <c r="K147" s="3"/>
      <c r="M147" s="3"/>
      <c r="N147" s="3"/>
      <c r="O147" s="52"/>
      <c r="P147" s="3"/>
    </row>
    <row r="148" spans="2:16">
      <c r="B148" s="28"/>
      <c r="C148" s="3"/>
      <c r="E148" s="35"/>
      <c r="F148" s="28"/>
      <c r="G148" s="28"/>
      <c r="H148" s="29"/>
      <c r="I148" s="14"/>
      <c r="K148" s="3"/>
      <c r="M148" s="3"/>
      <c r="N148" s="3"/>
      <c r="O148" s="52"/>
      <c r="P148" s="3"/>
    </row>
    <row r="149" spans="2:16">
      <c r="B149" s="28"/>
      <c r="C149" s="3"/>
      <c r="E149" s="35"/>
      <c r="F149" s="28"/>
      <c r="G149" s="28"/>
      <c r="H149" s="29"/>
      <c r="I149" s="14"/>
      <c r="K149" s="3"/>
      <c r="M149" s="3"/>
      <c r="N149" s="3"/>
      <c r="O149" s="52"/>
      <c r="P149" s="3"/>
    </row>
    <row r="150" spans="2:16">
      <c r="B150" s="28"/>
      <c r="C150" s="3"/>
      <c r="E150" s="35"/>
      <c r="F150" s="28"/>
      <c r="G150" s="28"/>
      <c r="H150" s="29"/>
      <c r="I150" s="14"/>
      <c r="K150" s="3"/>
      <c r="M150" s="3"/>
      <c r="N150" s="3"/>
      <c r="O150" s="52"/>
      <c r="P150" s="3"/>
    </row>
    <row r="151" spans="2:16">
      <c r="B151" s="28"/>
      <c r="C151" s="3"/>
      <c r="E151" s="35"/>
      <c r="F151" s="28"/>
      <c r="G151" s="28"/>
      <c r="H151" s="29"/>
      <c r="I151" s="14"/>
      <c r="K151" s="3"/>
      <c r="M151" s="3"/>
      <c r="N151" s="3"/>
      <c r="O151" s="52"/>
      <c r="P151" s="3"/>
    </row>
    <row r="152" spans="2:16">
      <c r="B152" s="28"/>
      <c r="C152" s="3"/>
      <c r="E152" s="35"/>
      <c r="F152" s="28"/>
      <c r="G152" s="28"/>
      <c r="H152" s="29"/>
      <c r="I152" s="14"/>
      <c r="K152" s="3"/>
      <c r="M152" s="3"/>
      <c r="N152" s="3"/>
      <c r="O152" s="52"/>
      <c r="P152" s="3"/>
    </row>
    <row r="153" spans="2:16">
      <c r="B153" s="28"/>
      <c r="C153" s="3"/>
      <c r="E153" s="35"/>
      <c r="F153" s="28"/>
      <c r="G153" s="28"/>
      <c r="H153" s="29"/>
      <c r="I153" s="14"/>
      <c r="K153" s="3"/>
      <c r="M153" s="3"/>
      <c r="N153" s="3"/>
      <c r="O153" s="52"/>
      <c r="P153" s="3"/>
    </row>
    <row r="154" spans="2:16">
      <c r="B154" s="28"/>
      <c r="C154" s="3"/>
      <c r="E154" s="35"/>
      <c r="F154" s="28"/>
      <c r="G154" s="28"/>
      <c r="H154" s="29"/>
      <c r="I154" s="14"/>
      <c r="K154" s="3"/>
      <c r="M154" s="3"/>
      <c r="N154" s="3"/>
      <c r="O154" s="52"/>
      <c r="P154" s="3"/>
    </row>
    <row r="155" spans="2:16">
      <c r="B155" s="28"/>
      <c r="C155" s="3"/>
      <c r="E155" s="35"/>
      <c r="F155" s="28"/>
      <c r="G155" s="28"/>
      <c r="H155" s="29"/>
      <c r="I155" s="14"/>
      <c r="K155" s="3"/>
      <c r="M155" s="3"/>
      <c r="N155" s="3"/>
      <c r="O155" s="52"/>
      <c r="P155" s="3"/>
    </row>
    <row r="156" spans="2:16">
      <c r="B156" s="28"/>
      <c r="C156" s="3"/>
      <c r="E156" s="35"/>
      <c r="F156" s="28"/>
      <c r="G156" s="28"/>
      <c r="H156" s="29"/>
      <c r="I156" s="14"/>
      <c r="K156" s="3"/>
      <c r="M156" s="3"/>
      <c r="N156" s="3"/>
      <c r="O156" s="52"/>
      <c r="P156" s="3"/>
    </row>
    <row r="157" spans="2:16">
      <c r="B157" s="28"/>
      <c r="C157" s="3"/>
      <c r="E157" s="35"/>
      <c r="F157" s="28"/>
      <c r="G157" s="28"/>
      <c r="H157" s="29"/>
      <c r="I157" s="14"/>
      <c r="K157" s="3"/>
      <c r="M157" s="3"/>
      <c r="N157" s="3"/>
      <c r="O157" s="52"/>
      <c r="P157" s="3"/>
    </row>
    <row r="158" spans="2:16">
      <c r="B158" s="28"/>
      <c r="C158" s="3"/>
      <c r="E158" s="35"/>
      <c r="F158" s="28"/>
      <c r="G158" s="28"/>
      <c r="H158" s="29"/>
      <c r="I158" s="14"/>
      <c r="K158" s="3"/>
      <c r="M158" s="3"/>
      <c r="N158" s="3"/>
      <c r="O158" s="52"/>
      <c r="P158" s="3"/>
    </row>
    <row r="159" spans="2:16">
      <c r="B159" s="28"/>
      <c r="C159" s="3"/>
      <c r="E159" s="35"/>
      <c r="F159" s="28"/>
      <c r="G159" s="28"/>
      <c r="H159" s="29"/>
      <c r="I159" s="14"/>
      <c r="K159" s="3"/>
      <c r="M159" s="3"/>
      <c r="N159" s="3"/>
      <c r="O159" s="52"/>
      <c r="P159" s="3"/>
    </row>
    <row r="160" spans="2:16">
      <c r="B160" s="28"/>
      <c r="C160" s="3"/>
      <c r="E160" s="35"/>
      <c r="F160" s="28"/>
      <c r="G160" s="28"/>
      <c r="H160" s="29"/>
      <c r="I160" s="14"/>
      <c r="K160" s="3"/>
      <c r="M160" s="3"/>
      <c r="N160" s="3"/>
      <c r="O160" s="52"/>
      <c r="P160" s="3"/>
    </row>
    <row r="161" spans="2:16">
      <c r="B161" s="28"/>
      <c r="C161" s="3"/>
      <c r="E161" s="35"/>
      <c r="F161" s="28"/>
      <c r="G161" s="28"/>
      <c r="H161" s="29"/>
      <c r="I161" s="14"/>
      <c r="K161" s="3"/>
      <c r="M161" s="3"/>
      <c r="N161" s="3"/>
      <c r="O161" s="52"/>
      <c r="P161" s="3"/>
    </row>
    <row r="162" spans="2:16">
      <c r="B162" s="28"/>
      <c r="C162" s="3"/>
      <c r="E162" s="35"/>
      <c r="F162" s="28"/>
      <c r="G162" s="28"/>
      <c r="H162" s="29"/>
      <c r="I162" s="14"/>
      <c r="K162" s="3"/>
      <c r="M162" s="3"/>
      <c r="N162" s="3"/>
      <c r="O162" s="52"/>
      <c r="P162" s="3"/>
    </row>
    <row r="163" spans="2:16">
      <c r="B163" s="28"/>
      <c r="C163" s="3"/>
      <c r="E163" s="35"/>
      <c r="F163" s="28"/>
      <c r="G163" s="28"/>
      <c r="H163" s="29"/>
      <c r="I163" s="14"/>
      <c r="K163" s="3"/>
      <c r="M163" s="3"/>
      <c r="N163" s="3"/>
      <c r="O163" s="52"/>
      <c r="P163" s="3"/>
    </row>
    <row r="164" spans="2:16">
      <c r="B164" s="28"/>
      <c r="C164" s="3"/>
      <c r="E164" s="35"/>
      <c r="F164" s="28"/>
      <c r="G164" s="28"/>
      <c r="H164" s="29"/>
      <c r="I164" s="14"/>
      <c r="K164" s="3"/>
      <c r="M164" s="3"/>
      <c r="N164" s="3"/>
      <c r="O164" s="52"/>
      <c r="P164" s="3"/>
    </row>
    <row r="165" spans="2:16">
      <c r="B165" s="28"/>
      <c r="C165" s="3"/>
      <c r="E165" s="35"/>
      <c r="F165" s="28"/>
      <c r="G165" s="28"/>
      <c r="H165" s="29"/>
      <c r="I165" s="14"/>
      <c r="K165" s="3"/>
      <c r="M165" s="3"/>
      <c r="N165" s="3"/>
      <c r="O165" s="52"/>
      <c r="P165" s="3"/>
    </row>
    <row r="166" spans="2:16">
      <c r="B166" s="28"/>
      <c r="C166" s="3"/>
      <c r="E166" s="35"/>
      <c r="F166" s="28"/>
      <c r="G166" s="28"/>
      <c r="H166" s="29"/>
      <c r="I166" s="14"/>
      <c r="K166" s="3"/>
      <c r="M166" s="3"/>
      <c r="N166" s="3"/>
      <c r="O166" s="52"/>
      <c r="P166" s="3"/>
    </row>
    <row r="167" spans="2:16">
      <c r="B167" s="28"/>
      <c r="C167" s="3"/>
      <c r="E167" s="35"/>
      <c r="F167" s="28"/>
      <c r="G167" s="28"/>
      <c r="H167" s="29"/>
      <c r="I167" s="14"/>
      <c r="K167" s="3"/>
      <c r="M167" s="3"/>
      <c r="N167" s="3"/>
      <c r="O167" s="52"/>
      <c r="P167" s="3"/>
    </row>
    <row r="168" spans="2:16">
      <c r="B168" s="28"/>
      <c r="C168" s="3"/>
      <c r="E168" s="35"/>
      <c r="F168" s="28"/>
      <c r="G168" s="28"/>
      <c r="H168" s="29"/>
      <c r="I168" s="14"/>
      <c r="K168" s="3"/>
      <c r="M168" s="3"/>
      <c r="N168" s="3"/>
      <c r="O168" s="52"/>
      <c r="P168" s="3"/>
    </row>
    <row r="169" spans="2:16">
      <c r="B169" s="28"/>
      <c r="C169" s="3"/>
      <c r="E169" s="35"/>
      <c r="F169" s="28"/>
      <c r="G169" s="28"/>
      <c r="H169" s="29"/>
      <c r="I169" s="14"/>
      <c r="K169" s="3"/>
      <c r="M169" s="3"/>
      <c r="N169" s="3"/>
      <c r="O169" s="52"/>
      <c r="P169" s="3"/>
    </row>
    <row r="170" spans="2:16">
      <c r="B170" s="28"/>
      <c r="C170" s="3"/>
      <c r="E170" s="35"/>
      <c r="F170" s="28"/>
      <c r="G170" s="28"/>
      <c r="H170" s="29"/>
      <c r="I170" s="14"/>
      <c r="K170" s="3"/>
      <c r="M170" s="3"/>
      <c r="N170" s="3"/>
      <c r="O170" s="52"/>
      <c r="P170" s="3"/>
    </row>
    <row r="171" spans="2:16">
      <c r="B171" s="28"/>
      <c r="C171" s="3"/>
      <c r="E171" s="35"/>
      <c r="F171" s="28"/>
      <c r="G171" s="28"/>
      <c r="H171" s="29"/>
      <c r="I171" s="14"/>
      <c r="K171" s="3"/>
      <c r="M171" s="3"/>
      <c r="N171" s="3"/>
      <c r="O171" s="52"/>
      <c r="P171" s="3"/>
    </row>
    <row r="172" spans="2:16">
      <c r="B172" s="28"/>
      <c r="C172" s="3"/>
      <c r="E172" s="35"/>
      <c r="F172" s="28"/>
      <c r="G172" s="28"/>
      <c r="H172" s="29"/>
      <c r="I172" s="14"/>
      <c r="K172" s="3"/>
      <c r="M172" s="3"/>
      <c r="N172" s="3"/>
      <c r="O172" s="52"/>
      <c r="P172" s="3"/>
    </row>
    <row r="173" spans="2:16">
      <c r="B173" s="28"/>
      <c r="C173" s="3"/>
      <c r="E173" s="35"/>
      <c r="F173" s="28"/>
      <c r="G173" s="28"/>
      <c r="H173" s="29"/>
      <c r="I173" s="14"/>
      <c r="K173" s="3"/>
      <c r="M173" s="3"/>
      <c r="N173" s="3"/>
      <c r="O173" s="52"/>
      <c r="P173" s="3"/>
    </row>
    <row r="174" spans="2:16">
      <c r="B174" s="28"/>
      <c r="C174" s="3"/>
      <c r="E174" s="35"/>
      <c r="F174" s="28"/>
      <c r="G174" s="28"/>
      <c r="H174" s="29"/>
      <c r="I174" s="14"/>
      <c r="K174" s="3"/>
      <c r="M174" s="3"/>
      <c r="N174" s="3"/>
      <c r="O174" s="52"/>
      <c r="P174" s="3"/>
    </row>
    <row r="175" spans="2:16">
      <c r="B175" s="28"/>
      <c r="C175" s="3"/>
      <c r="E175" s="35"/>
      <c r="F175" s="28"/>
      <c r="G175" s="28"/>
      <c r="H175" s="29"/>
      <c r="I175" s="14"/>
      <c r="K175" s="3"/>
      <c r="M175" s="3"/>
      <c r="N175" s="3"/>
      <c r="O175" s="52"/>
      <c r="P175" s="3"/>
    </row>
    <row r="176" spans="2:16">
      <c r="B176" s="28"/>
      <c r="C176" s="3"/>
      <c r="E176" s="35"/>
      <c r="F176" s="28"/>
      <c r="G176" s="28"/>
      <c r="H176" s="29"/>
      <c r="I176" s="14"/>
      <c r="K176" s="3"/>
      <c r="M176" s="3"/>
      <c r="N176" s="3"/>
      <c r="O176" s="52"/>
      <c r="P176" s="3"/>
    </row>
    <row r="177" spans="2:16">
      <c r="B177" s="28"/>
      <c r="C177" s="3"/>
      <c r="E177" s="35"/>
      <c r="F177" s="28"/>
      <c r="G177" s="28"/>
      <c r="H177" s="29"/>
      <c r="I177" s="14"/>
      <c r="K177" s="3"/>
      <c r="M177" s="3"/>
      <c r="N177" s="3"/>
      <c r="O177" s="52"/>
      <c r="P177" s="3"/>
    </row>
    <row r="178" spans="2:16">
      <c r="B178" s="28"/>
      <c r="C178" s="3"/>
      <c r="E178" s="35"/>
      <c r="F178" s="28"/>
      <c r="G178" s="28"/>
      <c r="H178" s="29"/>
      <c r="I178" s="14"/>
      <c r="K178" s="3"/>
      <c r="M178" s="3"/>
      <c r="N178" s="3"/>
      <c r="O178" s="52"/>
      <c r="P178" s="3"/>
    </row>
    <row r="179" spans="2:16">
      <c r="B179" s="28"/>
      <c r="C179" s="3"/>
      <c r="E179" s="35"/>
      <c r="F179" s="28"/>
      <c r="G179" s="28"/>
      <c r="H179" s="29"/>
      <c r="I179" s="14"/>
      <c r="K179" s="3"/>
      <c r="M179" s="3"/>
      <c r="N179" s="3"/>
      <c r="O179" s="52"/>
      <c r="P179" s="3"/>
    </row>
    <row r="180" spans="2:16">
      <c r="B180" s="28"/>
      <c r="C180" s="3"/>
      <c r="E180" s="35"/>
      <c r="F180" s="28"/>
      <c r="G180" s="28"/>
      <c r="H180" s="29"/>
      <c r="I180" s="14"/>
      <c r="K180" s="3"/>
      <c r="M180" s="3"/>
      <c r="N180" s="3"/>
      <c r="O180" s="52"/>
      <c r="P180" s="3"/>
    </row>
    <row r="181" spans="2:16">
      <c r="B181" s="28"/>
      <c r="C181" s="3"/>
      <c r="E181" s="35"/>
      <c r="F181" s="28"/>
      <c r="G181" s="28"/>
      <c r="H181" s="29"/>
      <c r="I181" s="14"/>
      <c r="K181" s="3"/>
      <c r="M181" s="3"/>
      <c r="N181" s="3"/>
      <c r="O181" s="52"/>
      <c r="P181" s="3"/>
    </row>
    <row r="182" spans="2:16">
      <c r="B182" s="28"/>
      <c r="C182" s="3"/>
      <c r="E182" s="35"/>
      <c r="F182" s="28"/>
      <c r="G182" s="28"/>
      <c r="H182" s="29"/>
      <c r="I182" s="14"/>
      <c r="K182" s="3"/>
      <c r="M182" s="3"/>
      <c r="N182" s="3"/>
      <c r="O182" s="52"/>
      <c r="P182" s="3"/>
    </row>
    <row r="183" spans="2:16">
      <c r="B183" s="28"/>
      <c r="C183" s="3"/>
      <c r="E183" s="35"/>
      <c r="F183" s="28"/>
      <c r="G183" s="28"/>
      <c r="H183" s="29"/>
      <c r="I183" s="14"/>
      <c r="K183" s="3"/>
      <c r="M183" s="3"/>
      <c r="N183" s="3"/>
      <c r="O183" s="52"/>
      <c r="P183" s="3"/>
    </row>
    <row r="184" spans="2:16">
      <c r="B184" s="28"/>
      <c r="C184" s="3"/>
      <c r="E184" s="35"/>
      <c r="F184" s="28"/>
      <c r="G184" s="28"/>
      <c r="H184" s="29"/>
      <c r="I184" s="14"/>
      <c r="K184" s="3"/>
      <c r="M184" s="3"/>
      <c r="N184" s="3"/>
      <c r="O184" s="52"/>
      <c r="P184" s="3"/>
    </row>
    <row r="185" spans="2:16">
      <c r="B185" s="28"/>
      <c r="C185" s="3"/>
      <c r="E185" s="35"/>
      <c r="F185" s="28"/>
      <c r="G185" s="28"/>
      <c r="H185" s="29"/>
      <c r="I185" s="14"/>
      <c r="K185" s="3"/>
      <c r="M185" s="3"/>
      <c r="N185" s="3"/>
      <c r="O185" s="52"/>
      <c r="P185" s="3"/>
    </row>
    <row r="186" spans="2:16">
      <c r="B186" s="28"/>
      <c r="C186" s="3"/>
      <c r="E186" s="35"/>
      <c r="F186" s="28"/>
      <c r="G186" s="28"/>
      <c r="H186" s="29"/>
      <c r="I186" s="14"/>
      <c r="K186" s="3"/>
      <c r="M186" s="3"/>
      <c r="N186" s="3"/>
      <c r="O186" s="52"/>
      <c r="P186" s="3"/>
    </row>
    <row r="187" spans="2:16">
      <c r="B187" s="28"/>
      <c r="C187" s="3"/>
      <c r="E187" s="35"/>
      <c r="F187" s="28"/>
      <c r="G187" s="28"/>
      <c r="H187" s="29"/>
      <c r="I187" s="14"/>
      <c r="K187" s="3"/>
      <c r="M187" s="3"/>
      <c r="N187" s="3"/>
      <c r="O187" s="52"/>
      <c r="P187" s="3"/>
    </row>
    <row r="188" spans="2:16">
      <c r="B188" s="28"/>
      <c r="C188" s="3"/>
      <c r="E188" s="35"/>
      <c r="F188" s="28"/>
      <c r="G188" s="28"/>
      <c r="H188" s="29"/>
      <c r="I188" s="14"/>
      <c r="K188" s="3"/>
      <c r="M188" s="3"/>
      <c r="N188" s="3"/>
      <c r="O188" s="52"/>
      <c r="P188" s="3"/>
    </row>
    <row r="189" spans="2:16">
      <c r="B189" s="28"/>
      <c r="C189" s="3"/>
      <c r="E189" s="35"/>
      <c r="F189" s="28"/>
      <c r="G189" s="28"/>
      <c r="H189" s="29"/>
      <c r="I189" s="14"/>
      <c r="K189" s="3"/>
      <c r="M189" s="3"/>
      <c r="N189" s="3"/>
      <c r="O189" s="52"/>
      <c r="P189" s="3"/>
    </row>
    <row r="190" spans="2:16">
      <c r="B190" s="28"/>
      <c r="C190" s="3"/>
      <c r="E190" s="35"/>
      <c r="F190" s="28"/>
      <c r="G190" s="28"/>
      <c r="H190" s="29"/>
      <c r="I190" s="14"/>
      <c r="K190" s="3"/>
      <c r="M190" s="3"/>
      <c r="N190" s="3"/>
      <c r="O190" s="52"/>
      <c r="P190" s="3"/>
    </row>
    <row r="191" spans="2:16">
      <c r="B191" s="28"/>
      <c r="C191" s="3"/>
      <c r="E191" s="35"/>
      <c r="F191" s="28"/>
      <c r="G191" s="28"/>
      <c r="H191" s="29"/>
      <c r="I191" s="14"/>
      <c r="K191" s="3"/>
      <c r="M191" s="3"/>
      <c r="N191" s="3"/>
      <c r="O191" s="52"/>
      <c r="P191" s="3"/>
    </row>
    <row r="192" spans="2:16">
      <c r="B192" s="28"/>
      <c r="C192" s="3"/>
      <c r="E192" s="35"/>
      <c r="F192" s="28"/>
      <c r="G192" s="28"/>
      <c r="H192" s="29"/>
      <c r="I192" s="14"/>
      <c r="K192" s="3"/>
      <c r="M192" s="3"/>
      <c r="N192" s="3"/>
      <c r="O192" s="52"/>
      <c r="P192" s="3"/>
    </row>
    <row r="193" spans="2:16">
      <c r="B193" s="28"/>
      <c r="C193" s="3"/>
      <c r="E193" s="35"/>
      <c r="F193" s="28"/>
      <c r="G193" s="28"/>
      <c r="H193" s="29"/>
      <c r="I193" s="14"/>
      <c r="K193" s="3"/>
      <c r="M193" s="3"/>
      <c r="N193" s="3"/>
      <c r="O193" s="52"/>
      <c r="P193" s="3"/>
    </row>
    <row r="194" spans="2:16">
      <c r="B194" s="28"/>
      <c r="C194" s="3"/>
      <c r="E194" s="35"/>
      <c r="F194" s="28"/>
      <c r="G194" s="28"/>
      <c r="H194" s="29"/>
      <c r="I194" s="14"/>
      <c r="K194" s="3"/>
      <c r="M194" s="3"/>
      <c r="N194" s="3"/>
      <c r="O194" s="52"/>
      <c r="P194" s="3"/>
    </row>
    <row r="195" spans="2:16">
      <c r="B195" s="28"/>
      <c r="C195" s="3"/>
      <c r="E195" s="35"/>
      <c r="F195" s="28"/>
      <c r="G195" s="28"/>
      <c r="H195" s="29"/>
      <c r="I195" s="14"/>
      <c r="K195" s="3"/>
      <c r="M195" s="3"/>
      <c r="N195" s="3"/>
      <c r="O195" s="52"/>
      <c r="P195" s="3"/>
    </row>
    <row r="196" spans="2:16">
      <c r="B196" s="28"/>
      <c r="C196" s="3"/>
      <c r="E196" s="35"/>
      <c r="F196" s="28"/>
      <c r="G196" s="28"/>
      <c r="H196" s="29"/>
      <c r="I196" s="14"/>
      <c r="K196" s="3"/>
      <c r="M196" s="3"/>
      <c r="N196" s="3"/>
      <c r="O196" s="52"/>
      <c r="P196" s="3"/>
    </row>
    <row r="197" spans="2:16">
      <c r="B197" s="28"/>
      <c r="C197" s="3"/>
      <c r="E197" s="35"/>
      <c r="F197" s="28"/>
      <c r="G197" s="28"/>
      <c r="H197" s="29"/>
      <c r="I197" s="14"/>
      <c r="K197" s="3"/>
      <c r="M197" s="3"/>
      <c r="N197" s="3"/>
      <c r="O197" s="52"/>
      <c r="P197" s="3"/>
    </row>
    <row r="198" spans="2:16">
      <c r="B198" s="28"/>
      <c r="C198" s="3"/>
      <c r="E198" s="35"/>
      <c r="F198" s="28"/>
      <c r="G198" s="28"/>
      <c r="H198" s="29"/>
      <c r="I198" s="14"/>
      <c r="K198" s="3"/>
      <c r="M198" s="3"/>
      <c r="N198" s="3"/>
      <c r="O198" s="52"/>
      <c r="P198" s="3"/>
    </row>
    <row r="199" spans="2:16">
      <c r="B199" s="28"/>
      <c r="C199" s="3"/>
      <c r="E199" s="35"/>
      <c r="F199" s="28"/>
      <c r="G199" s="28"/>
      <c r="H199" s="29"/>
      <c r="I199" s="14"/>
      <c r="K199" s="3"/>
      <c r="M199" s="3"/>
      <c r="N199" s="3"/>
      <c r="O199" s="52"/>
      <c r="P199" s="3"/>
    </row>
    <row r="200" spans="2:16">
      <c r="B200" s="28"/>
      <c r="C200" s="3"/>
      <c r="E200" s="35"/>
      <c r="F200" s="28"/>
      <c r="G200" s="28"/>
      <c r="H200" s="29"/>
      <c r="I200" s="14"/>
      <c r="K200" s="3"/>
      <c r="M200" s="3"/>
      <c r="N200" s="3"/>
      <c r="O200" s="52"/>
      <c r="P200" s="3"/>
    </row>
    <row r="201" spans="2:16">
      <c r="B201" s="28"/>
      <c r="C201" s="3"/>
      <c r="E201" s="35"/>
      <c r="F201" s="28"/>
      <c r="G201" s="28"/>
      <c r="H201" s="29"/>
      <c r="I201" s="14"/>
      <c r="K201" s="3"/>
      <c r="M201" s="3"/>
      <c r="N201" s="3"/>
      <c r="O201" s="52"/>
      <c r="P201" s="3"/>
    </row>
    <row r="202" spans="2:16">
      <c r="B202" s="28"/>
      <c r="C202" s="3"/>
      <c r="E202" s="35"/>
      <c r="F202" s="28"/>
      <c r="G202" s="28"/>
      <c r="H202" s="29"/>
      <c r="I202" s="14"/>
      <c r="K202" s="3"/>
      <c r="M202" s="3"/>
      <c r="N202" s="3"/>
      <c r="O202" s="52"/>
      <c r="P202" s="3"/>
    </row>
    <row r="203" spans="2:16">
      <c r="B203" s="28"/>
      <c r="C203" s="3"/>
      <c r="E203" s="35"/>
      <c r="F203" s="28"/>
      <c r="G203" s="28"/>
      <c r="H203" s="29"/>
      <c r="I203" s="14"/>
      <c r="K203" s="3"/>
      <c r="M203" s="3"/>
      <c r="N203" s="3"/>
      <c r="O203" s="52"/>
      <c r="P203" s="3"/>
    </row>
    <row r="204" spans="2:16">
      <c r="B204" s="28"/>
      <c r="C204" s="3"/>
      <c r="E204" s="35"/>
      <c r="F204" s="28"/>
      <c r="G204" s="28"/>
      <c r="H204" s="29"/>
      <c r="I204" s="14"/>
      <c r="K204" s="3"/>
      <c r="M204" s="3"/>
      <c r="N204" s="3"/>
      <c r="O204" s="52"/>
      <c r="P204" s="3"/>
    </row>
    <row r="205" spans="2:16">
      <c r="B205" s="28"/>
      <c r="C205" s="3"/>
      <c r="E205" s="35"/>
      <c r="F205" s="28"/>
      <c r="G205" s="28"/>
      <c r="H205" s="29"/>
      <c r="I205" s="14"/>
      <c r="K205" s="3"/>
      <c r="M205" s="3"/>
      <c r="N205" s="3"/>
      <c r="O205" s="52"/>
      <c r="P205" s="3"/>
    </row>
    <row r="206" spans="2:16">
      <c r="B206" s="28"/>
      <c r="C206" s="3"/>
      <c r="E206" s="35"/>
      <c r="F206" s="28"/>
      <c r="G206" s="28"/>
      <c r="H206" s="29"/>
      <c r="I206" s="14"/>
      <c r="K206" s="3"/>
      <c r="M206" s="3"/>
      <c r="N206" s="3"/>
      <c r="O206" s="52"/>
      <c r="P206" s="3"/>
    </row>
    <row r="207" spans="2:16">
      <c r="E207" s="2"/>
      <c r="H207" s="29"/>
      <c r="I207" s="30"/>
    </row>
    <row r="208" spans="2:16">
      <c r="E208" s="2"/>
      <c r="H208" s="29"/>
      <c r="I208" s="30"/>
    </row>
    <row r="209" spans="5:9">
      <c r="E209" s="2"/>
      <c r="H209" s="29"/>
      <c r="I209" s="30"/>
    </row>
    <row r="210" spans="5:9">
      <c r="E210" s="2"/>
      <c r="H210" s="29"/>
      <c r="I210" s="30"/>
    </row>
    <row r="211" spans="5:9">
      <c r="E211" s="2"/>
      <c r="H211" s="29"/>
      <c r="I211" s="30"/>
    </row>
    <row r="212" spans="5:9">
      <c r="E212" s="2"/>
      <c r="H212" s="29"/>
      <c r="I212" s="30"/>
    </row>
    <row r="213" spans="5:9">
      <c r="E213" s="2"/>
      <c r="H213" s="29"/>
      <c r="I213" s="30"/>
    </row>
    <row r="214" spans="5:9">
      <c r="E214" s="2"/>
      <c r="H214" s="29"/>
      <c r="I214" s="30"/>
    </row>
    <row r="215" spans="5:9">
      <c r="E215" s="2"/>
      <c r="H215" s="29"/>
      <c r="I215" s="30"/>
    </row>
    <row r="216" spans="5:9">
      <c r="E216" s="2"/>
      <c r="H216" s="29"/>
      <c r="I216" s="30"/>
    </row>
    <row r="217" spans="5:9">
      <c r="E217" s="2"/>
      <c r="H217" s="29"/>
      <c r="I217" s="30"/>
    </row>
    <row r="218" spans="5:9">
      <c r="E218" s="2"/>
      <c r="H218" s="29"/>
      <c r="I218" s="30"/>
    </row>
    <row r="219" spans="5:9">
      <c r="E219" s="2"/>
      <c r="H219" s="29"/>
      <c r="I219" s="30"/>
    </row>
    <row r="220" spans="5:9">
      <c r="E220" s="2"/>
      <c r="H220" s="29"/>
      <c r="I220" s="30"/>
    </row>
    <row r="221" spans="5:9">
      <c r="E221" s="2"/>
      <c r="H221" s="29"/>
      <c r="I221" s="30"/>
    </row>
    <row r="222" spans="5:9">
      <c r="E222" s="2"/>
      <c r="H222" s="29"/>
      <c r="I222" s="30"/>
    </row>
    <row r="223" spans="5:9">
      <c r="E223" s="2"/>
      <c r="H223" s="29"/>
      <c r="I223" s="30"/>
    </row>
    <row r="224" spans="5:9">
      <c r="E224" s="2"/>
      <c r="H224" s="29"/>
      <c r="I224" s="30"/>
    </row>
    <row r="225" spans="5:9">
      <c r="E225" s="2"/>
      <c r="H225" s="29"/>
      <c r="I225" s="30"/>
    </row>
    <row r="226" spans="5:9">
      <c r="E226" s="2"/>
      <c r="H226" s="29"/>
      <c r="I226" s="30"/>
    </row>
    <row r="227" spans="5:9">
      <c r="E227" s="2"/>
      <c r="H227" s="29"/>
      <c r="I227" s="30"/>
    </row>
    <row r="228" spans="5:9">
      <c r="E228" s="2"/>
      <c r="H228" s="29"/>
      <c r="I228" s="30"/>
    </row>
    <row r="229" spans="5:9">
      <c r="E229" s="2"/>
      <c r="H229" s="29"/>
      <c r="I229" s="30"/>
    </row>
    <row r="230" spans="5:9">
      <c r="E230" s="2"/>
      <c r="H230" s="29"/>
      <c r="I230" s="30"/>
    </row>
    <row r="231" spans="5:9">
      <c r="E231" s="2"/>
      <c r="H231" s="29"/>
      <c r="I231" s="30"/>
    </row>
    <row r="232" spans="5:9">
      <c r="E232" s="2"/>
      <c r="H232" s="29"/>
      <c r="I232" s="30"/>
    </row>
    <row r="233" spans="5:9">
      <c r="E233" s="2"/>
      <c r="H233" s="29"/>
      <c r="I233" s="30"/>
    </row>
    <row r="234" spans="5:9">
      <c r="E234" s="2"/>
      <c r="H234" s="29"/>
      <c r="I234" s="30"/>
    </row>
    <row r="235" spans="5:9">
      <c r="E235" s="2"/>
      <c r="H235" s="29"/>
      <c r="I235" s="30"/>
    </row>
    <row r="236" spans="5:9">
      <c r="E236" s="2"/>
      <c r="H236" s="29"/>
      <c r="I236" s="30"/>
    </row>
    <row r="237" spans="5:9">
      <c r="E237" s="2"/>
      <c r="H237" s="29"/>
      <c r="I237" s="30"/>
    </row>
    <row r="238" spans="5:9">
      <c r="E238" s="2"/>
      <c r="H238" s="29"/>
      <c r="I238" s="30"/>
    </row>
    <row r="239" spans="5:9">
      <c r="E239" s="2"/>
      <c r="H239" s="29"/>
      <c r="I239" s="30"/>
    </row>
    <row r="240" spans="5:9">
      <c r="E240" s="2"/>
      <c r="H240" s="29"/>
      <c r="I240" s="30"/>
    </row>
    <row r="241" spans="5:9">
      <c r="E241" s="2"/>
      <c r="H241" s="29"/>
      <c r="I241" s="30"/>
    </row>
    <row r="242" spans="5:9">
      <c r="E242" s="2"/>
      <c r="H242" s="29"/>
      <c r="I242" s="30"/>
    </row>
    <row r="243" spans="5:9">
      <c r="E243" s="2"/>
      <c r="H243" s="29"/>
      <c r="I243" s="30"/>
    </row>
    <row r="244" spans="5:9">
      <c r="E244" s="2"/>
      <c r="H244" s="29"/>
      <c r="I244" s="30"/>
    </row>
    <row r="245" spans="5:9">
      <c r="E245" s="2"/>
      <c r="H245" s="29"/>
      <c r="I245" s="30"/>
    </row>
    <row r="246" spans="5:9">
      <c r="E246" s="2"/>
      <c r="H246" s="29"/>
      <c r="I246" s="30"/>
    </row>
    <row r="247" spans="5:9">
      <c r="E247" s="2"/>
      <c r="H247" s="29"/>
      <c r="I247" s="30"/>
    </row>
    <row r="248" spans="5:9">
      <c r="E248" s="2"/>
      <c r="H248" s="29"/>
      <c r="I248" s="30"/>
    </row>
    <row r="249" spans="5:9">
      <c r="E249" s="2"/>
      <c r="H249" s="29"/>
      <c r="I249" s="30"/>
    </row>
    <row r="250" spans="5:9">
      <c r="E250" s="2"/>
      <c r="H250" s="29"/>
      <c r="I250" s="30"/>
    </row>
    <row r="251" spans="5:9">
      <c r="E251" s="2"/>
      <c r="H251" s="29"/>
      <c r="I251" s="30"/>
    </row>
    <row r="252" spans="5:9">
      <c r="E252" s="2"/>
      <c r="H252" s="29"/>
      <c r="I252" s="30"/>
    </row>
    <row r="253" spans="5:9">
      <c r="E253" s="2"/>
      <c r="H253" s="29"/>
      <c r="I253" s="30"/>
    </row>
    <row r="254" spans="5:9">
      <c r="E254" s="2"/>
      <c r="H254" s="29"/>
      <c r="I254" s="30"/>
    </row>
    <row r="255" spans="5:9">
      <c r="E255" s="2"/>
      <c r="H255" s="29"/>
      <c r="I255" s="30"/>
    </row>
    <row r="256" spans="5:9">
      <c r="E256" s="2"/>
      <c r="H256" s="29"/>
      <c r="I256" s="30"/>
    </row>
    <row r="257" spans="5:9">
      <c r="E257" s="2"/>
      <c r="H257" s="29"/>
      <c r="I257" s="30"/>
    </row>
    <row r="258" spans="5:9">
      <c r="E258" s="2"/>
      <c r="H258" s="29"/>
      <c r="I258" s="30"/>
    </row>
    <row r="259" spans="5:9">
      <c r="E259" s="2"/>
      <c r="H259" s="29"/>
      <c r="I259" s="30"/>
    </row>
    <row r="260" spans="5:9">
      <c r="E260" s="2"/>
      <c r="H260" s="29"/>
      <c r="I260" s="30"/>
    </row>
    <row r="261" spans="5:9">
      <c r="E261" s="2"/>
      <c r="H261" s="29"/>
      <c r="I261" s="30"/>
    </row>
    <row r="262" spans="5:9">
      <c r="E262" s="2"/>
      <c r="H262" s="29"/>
      <c r="I262" s="30"/>
    </row>
    <row r="263" spans="5:9">
      <c r="E263" s="2"/>
      <c r="H263" s="29"/>
      <c r="I263" s="30"/>
    </row>
    <row r="264" spans="5:9">
      <c r="E264" s="2"/>
      <c r="H264" s="29"/>
      <c r="I264" s="30"/>
    </row>
    <row r="265" spans="5:9">
      <c r="E265" s="2"/>
      <c r="H265" s="29"/>
      <c r="I265" s="30"/>
    </row>
    <row r="266" spans="5:9">
      <c r="E266" s="2"/>
      <c r="H266" s="29"/>
      <c r="I266" s="30"/>
    </row>
    <row r="267" spans="5:9">
      <c r="E267" s="2"/>
      <c r="H267" s="29"/>
      <c r="I267" s="30"/>
    </row>
    <row r="268" spans="5:9">
      <c r="E268" s="2"/>
      <c r="H268" s="29"/>
      <c r="I268" s="30"/>
    </row>
    <row r="269" spans="5:9">
      <c r="E269" s="2"/>
      <c r="H269" s="29"/>
      <c r="I269" s="30"/>
    </row>
    <row r="270" spans="5:9">
      <c r="E270" s="2"/>
      <c r="H270" s="29"/>
      <c r="I270" s="30"/>
    </row>
    <row r="271" spans="5:9">
      <c r="E271" s="2"/>
      <c r="H271" s="29"/>
      <c r="I271" s="30"/>
    </row>
    <row r="272" spans="5:9">
      <c r="E272" s="2"/>
      <c r="H272" s="29"/>
      <c r="I272" s="30"/>
    </row>
    <row r="273" spans="5:9">
      <c r="E273" s="2"/>
      <c r="H273" s="29"/>
      <c r="I273" s="30"/>
    </row>
    <row r="274" spans="5:9">
      <c r="E274" s="2"/>
      <c r="H274" s="29"/>
      <c r="I274" s="30"/>
    </row>
    <row r="275" spans="5:9">
      <c r="E275" s="2"/>
      <c r="H275" s="29"/>
      <c r="I275" s="30"/>
    </row>
    <row r="276" spans="5:9">
      <c r="E276" s="2"/>
      <c r="H276" s="29"/>
      <c r="I276" s="30"/>
    </row>
    <row r="277" spans="5:9">
      <c r="E277" s="2"/>
      <c r="H277" s="29"/>
      <c r="I277" s="30"/>
    </row>
    <row r="278" spans="5:9">
      <c r="E278" s="2"/>
      <c r="H278" s="29"/>
      <c r="I278" s="30"/>
    </row>
    <row r="279" spans="5:9">
      <c r="E279" s="2"/>
      <c r="H279" s="29"/>
      <c r="I279" s="30"/>
    </row>
    <row r="280" spans="5:9">
      <c r="E280" s="2"/>
      <c r="H280" s="29"/>
      <c r="I280" s="30"/>
    </row>
    <row r="281" spans="5:9">
      <c r="E281" s="2"/>
      <c r="H281" s="29"/>
      <c r="I281" s="30"/>
    </row>
    <row r="282" spans="5:9">
      <c r="E282" s="2"/>
      <c r="H282" s="29"/>
      <c r="I282" s="30"/>
    </row>
    <row r="283" spans="5:9">
      <c r="E283" s="2"/>
      <c r="H283" s="29"/>
      <c r="I283" s="30"/>
    </row>
    <row r="284" spans="5:9">
      <c r="E284" s="2"/>
      <c r="H284" s="29"/>
      <c r="I284" s="30"/>
    </row>
    <row r="285" spans="5:9">
      <c r="E285" s="2"/>
      <c r="H285" s="29"/>
      <c r="I285" s="30"/>
    </row>
    <row r="286" spans="5:9">
      <c r="E286" s="2"/>
      <c r="H286" s="29"/>
      <c r="I286" s="30"/>
    </row>
    <row r="287" spans="5:9">
      <c r="E287" s="2"/>
      <c r="H287" s="29"/>
      <c r="I287" s="30"/>
    </row>
    <row r="288" spans="5:9">
      <c r="E288" s="2"/>
      <c r="H288" s="29"/>
      <c r="I288" s="30"/>
    </row>
    <row r="289" spans="5:9">
      <c r="E289" s="2"/>
      <c r="H289" s="29"/>
      <c r="I289" s="30"/>
    </row>
    <row r="290" spans="5:9">
      <c r="E290" s="2"/>
      <c r="H290" s="29"/>
      <c r="I290" s="30"/>
    </row>
    <row r="291" spans="5:9">
      <c r="E291" s="2"/>
      <c r="H291" s="29"/>
      <c r="I291" s="30"/>
    </row>
    <row r="292" spans="5:9">
      <c r="E292" s="2"/>
      <c r="H292" s="29"/>
      <c r="I292" s="30"/>
    </row>
    <row r="293" spans="5:9">
      <c r="E293" s="2"/>
      <c r="H293" s="29"/>
      <c r="I293" s="30"/>
    </row>
    <row r="294" spans="5:9">
      <c r="E294" s="2"/>
      <c r="H294" s="29"/>
      <c r="I294" s="30"/>
    </row>
    <row r="295" spans="5:9">
      <c r="E295" s="2"/>
      <c r="H295" s="29"/>
      <c r="I295" s="30"/>
    </row>
    <row r="296" spans="5:9">
      <c r="E296" s="2"/>
      <c r="H296" s="29"/>
      <c r="I296" s="30"/>
    </row>
    <row r="297" spans="5:9">
      <c r="E297" s="2"/>
      <c r="H297" s="29"/>
      <c r="I297" s="30"/>
    </row>
    <row r="298" spans="5:9">
      <c r="E298" s="2"/>
      <c r="H298" s="29"/>
      <c r="I298" s="30"/>
    </row>
    <row r="299" spans="5:9">
      <c r="E299" s="2"/>
      <c r="H299" s="29"/>
      <c r="I299" s="30"/>
    </row>
    <row r="300" spans="5:9">
      <c r="E300" s="2"/>
      <c r="H300" s="29"/>
      <c r="I300" s="30"/>
    </row>
    <row r="301" spans="5:9">
      <c r="E301" s="2"/>
      <c r="H301" s="29"/>
      <c r="I301" s="30"/>
    </row>
    <row r="302" spans="5:9">
      <c r="E302" s="2"/>
      <c r="H302" s="29"/>
      <c r="I302" s="30"/>
    </row>
    <row r="303" spans="5:9">
      <c r="E303" s="2"/>
      <c r="H303" s="29"/>
      <c r="I303" s="30"/>
    </row>
    <row r="304" spans="5:9">
      <c r="E304" s="2"/>
      <c r="H304" s="29"/>
      <c r="I304" s="30"/>
    </row>
    <row r="305" spans="5:9">
      <c r="E305" s="2"/>
      <c r="H305" s="29"/>
      <c r="I305" s="30"/>
    </row>
    <row r="306" spans="5:9">
      <c r="E306" s="2"/>
      <c r="H306" s="29"/>
      <c r="I306" s="30"/>
    </row>
    <row r="307" spans="5:9">
      <c r="E307" s="2"/>
      <c r="H307" s="29"/>
      <c r="I307" s="30"/>
    </row>
    <row r="308" spans="5:9">
      <c r="E308" s="2"/>
      <c r="H308" s="29"/>
      <c r="I308" s="30"/>
    </row>
    <row r="309" spans="5:9">
      <c r="E309" s="2"/>
      <c r="H309" s="29"/>
      <c r="I309" s="30"/>
    </row>
    <row r="310" spans="5:9">
      <c r="E310" s="2"/>
      <c r="H310" s="29"/>
      <c r="I310" s="30"/>
    </row>
    <row r="311" spans="5:9">
      <c r="E311" s="2"/>
      <c r="H311" s="29"/>
      <c r="I311" s="30"/>
    </row>
    <row r="312" spans="5:9">
      <c r="E312" s="2"/>
      <c r="H312" s="29"/>
      <c r="I312" s="30"/>
    </row>
    <row r="313" spans="5:9">
      <c r="E313" s="2"/>
      <c r="H313" s="29"/>
      <c r="I313" s="30"/>
    </row>
    <row r="314" spans="5:9">
      <c r="E314" s="2"/>
      <c r="H314" s="29"/>
      <c r="I314" s="30"/>
    </row>
    <row r="315" spans="5:9">
      <c r="E315" s="2"/>
      <c r="H315" s="29"/>
      <c r="I315" s="30"/>
    </row>
    <row r="316" spans="5:9">
      <c r="E316" s="2"/>
      <c r="H316" s="29"/>
      <c r="I316" s="30"/>
    </row>
    <row r="317" spans="5:9">
      <c r="E317" s="2"/>
      <c r="H317" s="29"/>
      <c r="I317" s="30"/>
    </row>
    <row r="318" spans="5:9">
      <c r="E318" s="2"/>
      <c r="H318" s="29"/>
      <c r="I318" s="30"/>
    </row>
    <row r="319" spans="5:9">
      <c r="E319" s="2"/>
      <c r="H319" s="29"/>
      <c r="I319" s="30"/>
    </row>
    <row r="320" spans="5:9">
      <c r="E320" s="2"/>
      <c r="H320" s="29"/>
      <c r="I320" s="30"/>
    </row>
    <row r="321" spans="5:9">
      <c r="E321" s="2"/>
      <c r="H321" s="29"/>
      <c r="I321" s="30"/>
    </row>
    <row r="322" spans="5:9">
      <c r="E322" s="2"/>
      <c r="H322" s="29"/>
      <c r="I322" s="30"/>
    </row>
    <row r="323" spans="5:9">
      <c r="E323" s="2"/>
      <c r="H323" s="29"/>
      <c r="I323" s="30"/>
    </row>
    <row r="324" spans="5:9">
      <c r="E324" s="2"/>
      <c r="H324" s="29"/>
      <c r="I324" s="30"/>
    </row>
    <row r="325" spans="5:9">
      <c r="E325" s="2"/>
      <c r="H325" s="29"/>
      <c r="I325" s="30"/>
    </row>
    <row r="326" spans="5:9">
      <c r="E326" s="2"/>
      <c r="H326" s="29"/>
      <c r="I326" s="30"/>
    </row>
    <row r="327" spans="5:9">
      <c r="E327" s="2"/>
      <c r="H327" s="29"/>
      <c r="I327" s="30"/>
    </row>
    <row r="328" spans="5:9">
      <c r="E328" s="2"/>
      <c r="H328" s="29"/>
      <c r="I328" s="30"/>
    </row>
    <row r="329" spans="5:9">
      <c r="E329" s="2"/>
      <c r="H329" s="29"/>
      <c r="I329" s="30"/>
    </row>
    <row r="330" spans="5:9">
      <c r="E330" s="2"/>
      <c r="H330" s="29"/>
      <c r="I330" s="30"/>
    </row>
    <row r="331" spans="5:9">
      <c r="E331" s="2"/>
      <c r="H331" s="29"/>
      <c r="I331" s="30"/>
    </row>
    <row r="332" spans="5:9">
      <c r="E332" s="2"/>
      <c r="H332" s="29"/>
      <c r="I332" s="30"/>
    </row>
    <row r="333" spans="5:9">
      <c r="E333" s="2"/>
      <c r="H333" s="29"/>
      <c r="I333" s="30"/>
    </row>
    <row r="334" spans="5:9">
      <c r="E334" s="2"/>
      <c r="H334" s="29"/>
      <c r="I334" s="30"/>
    </row>
    <row r="335" spans="5:9">
      <c r="E335" s="2"/>
      <c r="H335" s="29"/>
      <c r="I335" s="30"/>
    </row>
    <row r="336" spans="5:9">
      <c r="E336" s="2"/>
      <c r="H336" s="29"/>
      <c r="I336" s="30"/>
    </row>
    <row r="337" spans="5:9">
      <c r="E337" s="2"/>
      <c r="H337" s="29"/>
      <c r="I337" s="30"/>
    </row>
    <row r="338" spans="5:9">
      <c r="E338" s="2"/>
      <c r="H338" s="29"/>
      <c r="I338" s="30"/>
    </row>
    <row r="339" spans="5:9">
      <c r="E339" s="2"/>
      <c r="H339" s="29"/>
      <c r="I339" s="30"/>
    </row>
    <row r="340" spans="5:9">
      <c r="E340" s="2"/>
      <c r="H340" s="29"/>
      <c r="I340" s="30"/>
    </row>
    <row r="341" spans="5:9">
      <c r="E341" s="2"/>
      <c r="H341" s="29"/>
      <c r="I341" s="30"/>
    </row>
    <row r="342" spans="5:9">
      <c r="E342" s="2"/>
      <c r="H342" s="29"/>
      <c r="I342" s="30"/>
    </row>
    <row r="343" spans="5:9">
      <c r="E343" s="2"/>
      <c r="H343" s="29"/>
      <c r="I343" s="30"/>
    </row>
    <row r="344" spans="5:9">
      <c r="E344" s="2"/>
      <c r="H344" s="29"/>
      <c r="I344" s="30"/>
    </row>
    <row r="345" spans="5:9">
      <c r="E345" s="2"/>
      <c r="H345" s="29"/>
      <c r="I345" s="30"/>
    </row>
    <row r="346" spans="5:9">
      <c r="E346" s="2"/>
      <c r="H346" s="29"/>
      <c r="I346" s="30"/>
    </row>
    <row r="347" spans="5:9">
      <c r="E347" s="2"/>
      <c r="H347" s="29"/>
      <c r="I347" s="30"/>
    </row>
    <row r="348" spans="5:9">
      <c r="E348" s="2"/>
      <c r="H348" s="29"/>
      <c r="I348" s="30"/>
    </row>
    <row r="349" spans="5:9">
      <c r="E349" s="2"/>
      <c r="H349" s="29"/>
      <c r="I349" s="30"/>
    </row>
    <row r="350" spans="5:9">
      <c r="E350" s="2"/>
      <c r="H350" s="29"/>
      <c r="I350" s="30"/>
    </row>
    <row r="351" spans="5:9">
      <c r="E351" s="2"/>
      <c r="H351" s="29"/>
      <c r="I351" s="30"/>
    </row>
    <row r="352" spans="5:9">
      <c r="E352" s="2"/>
      <c r="H352" s="29"/>
      <c r="I352" s="30"/>
    </row>
    <row r="353" spans="5:9">
      <c r="E353" s="2"/>
      <c r="H353" s="29"/>
      <c r="I353" s="30"/>
    </row>
    <row r="354" spans="5:9">
      <c r="E354" s="2"/>
      <c r="H354" s="29"/>
      <c r="I354" s="30"/>
    </row>
    <row r="355" spans="5:9">
      <c r="E355" s="2"/>
      <c r="H355" s="29"/>
      <c r="I355" s="30"/>
    </row>
    <row r="356" spans="5:9">
      <c r="E356" s="2"/>
      <c r="H356" s="29"/>
      <c r="I356" s="30"/>
    </row>
    <row r="357" spans="5:9">
      <c r="E357" s="2"/>
      <c r="H357" s="29"/>
      <c r="I357" s="30"/>
    </row>
    <row r="358" spans="5:9">
      <c r="E358" s="2"/>
      <c r="H358" s="29"/>
      <c r="I358" s="30"/>
    </row>
    <row r="359" spans="5:9">
      <c r="E359" s="2"/>
      <c r="H359" s="29"/>
      <c r="I359" s="30"/>
    </row>
    <row r="360" spans="5:9">
      <c r="E360" s="2"/>
      <c r="H360" s="29"/>
      <c r="I360" s="30"/>
    </row>
    <row r="361" spans="5:9">
      <c r="E361" s="2"/>
      <c r="H361" s="29"/>
      <c r="I361" s="30"/>
    </row>
    <row r="362" spans="5:9">
      <c r="E362" s="2"/>
      <c r="H362" s="29"/>
      <c r="I362" s="30"/>
    </row>
    <row r="363" spans="5:9">
      <c r="E363" s="2"/>
      <c r="H363" s="29"/>
      <c r="I363" s="30"/>
    </row>
    <row r="364" spans="5:9">
      <c r="E364" s="2"/>
      <c r="H364" s="29"/>
      <c r="I364" s="30"/>
    </row>
    <row r="365" spans="5:9">
      <c r="E365" s="2"/>
      <c r="H365" s="29"/>
      <c r="I365" s="30"/>
    </row>
    <row r="366" spans="5:9">
      <c r="E366" s="2"/>
      <c r="H366" s="29"/>
      <c r="I366" s="30"/>
    </row>
    <row r="367" spans="5:9">
      <c r="E367" s="2"/>
      <c r="H367" s="29"/>
      <c r="I367" s="30"/>
    </row>
    <row r="368" spans="5:9">
      <c r="E368" s="2"/>
      <c r="H368" s="29"/>
      <c r="I368" s="30"/>
    </row>
    <row r="369" spans="5:9">
      <c r="E369" s="2"/>
      <c r="H369" s="29"/>
      <c r="I369" s="30"/>
    </row>
    <row r="370" spans="5:9">
      <c r="E370" s="2"/>
      <c r="H370" s="29"/>
      <c r="I370" s="30"/>
    </row>
    <row r="371" spans="5:9">
      <c r="E371" s="2"/>
      <c r="H371" s="29"/>
      <c r="I371" s="30"/>
    </row>
    <row r="372" spans="5:9">
      <c r="E372" s="2"/>
      <c r="H372" s="29"/>
      <c r="I372" s="30"/>
    </row>
    <row r="373" spans="5:9">
      <c r="E373" s="2"/>
      <c r="H373" s="29"/>
      <c r="I373" s="30"/>
    </row>
    <row r="374" spans="5:9">
      <c r="E374" s="2"/>
      <c r="H374" s="29"/>
      <c r="I374" s="30"/>
    </row>
    <row r="375" spans="5:9">
      <c r="E375" s="2"/>
      <c r="H375" s="29"/>
      <c r="I375" s="30"/>
    </row>
    <row r="376" spans="5:9">
      <c r="E376" s="2"/>
      <c r="H376" s="29"/>
      <c r="I376" s="30"/>
    </row>
    <row r="377" spans="5:9">
      <c r="E377" s="2"/>
      <c r="H377" s="29"/>
      <c r="I377" s="30"/>
    </row>
    <row r="378" spans="5:9">
      <c r="E378" s="2"/>
      <c r="H378" s="29"/>
      <c r="I378" s="30"/>
    </row>
    <row r="379" spans="5:9">
      <c r="E379" s="2"/>
      <c r="H379" s="29"/>
      <c r="I379" s="30"/>
    </row>
    <row r="380" spans="5:9">
      <c r="E380" s="2"/>
      <c r="H380" s="29"/>
      <c r="I380" s="30"/>
    </row>
    <row r="381" spans="5:9">
      <c r="E381" s="2"/>
      <c r="H381" s="29"/>
      <c r="I381" s="30"/>
    </row>
    <row r="382" spans="5:9">
      <c r="E382" s="2"/>
      <c r="H382" s="29"/>
      <c r="I382" s="30"/>
    </row>
    <row r="383" spans="5:9">
      <c r="E383" s="2"/>
      <c r="H383" s="29"/>
      <c r="I383" s="30"/>
    </row>
    <row r="384" spans="5:9">
      <c r="E384" s="2"/>
      <c r="H384" s="29"/>
      <c r="I384" s="30"/>
    </row>
    <row r="385" spans="5:9">
      <c r="E385" s="2"/>
      <c r="H385" s="29"/>
      <c r="I385" s="30"/>
    </row>
    <row r="386" spans="5:9">
      <c r="E386" s="2"/>
      <c r="H386" s="29"/>
      <c r="I386" s="30"/>
    </row>
    <row r="387" spans="5:9">
      <c r="E387" s="2"/>
      <c r="H387" s="29"/>
      <c r="I387" s="30"/>
    </row>
    <row r="388" spans="5:9">
      <c r="E388" s="2"/>
      <c r="H388" s="29"/>
      <c r="I388" s="30"/>
    </row>
    <row r="389" spans="5:9">
      <c r="E389" s="2"/>
      <c r="H389" s="29"/>
      <c r="I389" s="30"/>
    </row>
    <row r="390" spans="5:9">
      <c r="E390" s="2"/>
      <c r="H390" s="29"/>
      <c r="I390" s="30"/>
    </row>
    <row r="391" spans="5:9">
      <c r="E391" s="2"/>
      <c r="H391" s="29"/>
      <c r="I391" s="30"/>
    </row>
    <row r="392" spans="5:9">
      <c r="E392" s="2"/>
      <c r="H392" s="29"/>
      <c r="I392" s="30"/>
    </row>
    <row r="393" spans="5:9">
      <c r="E393" s="2"/>
      <c r="H393" s="29"/>
      <c r="I393" s="30"/>
    </row>
    <row r="394" spans="5:9">
      <c r="E394" s="2"/>
      <c r="H394" s="29"/>
      <c r="I394" s="30"/>
    </row>
    <row r="395" spans="5:9">
      <c r="E395" s="2"/>
      <c r="H395" s="29"/>
      <c r="I395" s="30"/>
    </row>
    <row r="396" spans="5:9">
      <c r="E396" s="2"/>
      <c r="H396" s="29"/>
      <c r="I396" s="30"/>
    </row>
    <row r="397" spans="5:9">
      <c r="E397" s="2"/>
      <c r="H397" s="29"/>
      <c r="I397" s="30"/>
    </row>
    <row r="398" spans="5:9">
      <c r="E398" s="2"/>
      <c r="H398" s="29"/>
      <c r="I398" s="30"/>
    </row>
    <row r="399" spans="5:9">
      <c r="E399" s="2"/>
      <c r="H399" s="29"/>
      <c r="I399" s="30"/>
    </row>
    <row r="400" spans="5:9">
      <c r="E400" s="2"/>
      <c r="H400" s="29"/>
      <c r="I400" s="30"/>
    </row>
    <row r="401" spans="5:9">
      <c r="E401" s="2"/>
      <c r="H401" s="29"/>
      <c r="I401" s="30"/>
    </row>
    <row r="402" spans="5:9">
      <c r="E402" s="2"/>
      <c r="H402" s="29"/>
      <c r="I402" s="30"/>
    </row>
    <row r="403" spans="5:9">
      <c r="E403" s="2"/>
      <c r="H403" s="29"/>
      <c r="I403" s="30"/>
    </row>
    <row r="404" spans="5:9">
      <c r="E404" s="2"/>
      <c r="H404" s="29"/>
      <c r="I404" s="30"/>
    </row>
    <row r="405" spans="5:9">
      <c r="E405" s="2"/>
      <c r="H405" s="29"/>
      <c r="I405" s="30"/>
    </row>
    <row r="406" spans="5:9">
      <c r="E406" s="2"/>
      <c r="H406" s="29"/>
      <c r="I406" s="30"/>
    </row>
    <row r="407" spans="5:9">
      <c r="E407" s="2"/>
      <c r="H407" s="29"/>
      <c r="I407" s="30"/>
    </row>
    <row r="408" spans="5:9">
      <c r="E408" s="2"/>
      <c r="H408" s="29"/>
      <c r="I408" s="30"/>
    </row>
    <row r="409" spans="5:9">
      <c r="E409" s="2"/>
      <c r="H409" s="29"/>
      <c r="I409" s="30"/>
    </row>
    <row r="410" spans="5:9">
      <c r="E410" s="2"/>
      <c r="H410" s="29"/>
      <c r="I410" s="30"/>
    </row>
    <row r="411" spans="5:9">
      <c r="E411" s="2"/>
      <c r="H411" s="29"/>
      <c r="I411" s="30"/>
    </row>
    <row r="412" spans="5:9">
      <c r="E412" s="2"/>
      <c r="H412" s="29"/>
      <c r="I412" s="30"/>
    </row>
    <row r="413" spans="5:9">
      <c r="E413" s="2"/>
      <c r="H413" s="29"/>
      <c r="I413" s="30"/>
    </row>
    <row r="414" spans="5:9">
      <c r="E414" s="2"/>
      <c r="H414" s="29"/>
      <c r="I414" s="30"/>
    </row>
    <row r="415" spans="5:9">
      <c r="E415" s="2"/>
      <c r="H415" s="29"/>
      <c r="I415" s="30"/>
    </row>
    <row r="416" spans="5:9">
      <c r="E416" s="2"/>
      <c r="H416" s="29"/>
      <c r="I416" s="30"/>
    </row>
    <row r="417" spans="5:9">
      <c r="E417" s="2"/>
      <c r="H417" s="29"/>
      <c r="I417" s="30"/>
    </row>
    <row r="418" spans="5:9">
      <c r="E418" s="2"/>
      <c r="H418" s="29"/>
      <c r="I418" s="30"/>
    </row>
    <row r="419" spans="5:9">
      <c r="E419" s="2"/>
      <c r="H419" s="29"/>
      <c r="I419" s="30"/>
    </row>
    <row r="420" spans="5:9">
      <c r="E420" s="2"/>
      <c r="H420" s="29"/>
      <c r="I420" s="30"/>
    </row>
    <row r="421" spans="5:9">
      <c r="E421" s="2"/>
      <c r="H421" s="29"/>
      <c r="I421" s="30"/>
    </row>
    <row r="422" spans="5:9">
      <c r="E422" s="2"/>
      <c r="H422" s="29"/>
      <c r="I422" s="30"/>
    </row>
    <row r="423" spans="5:9">
      <c r="E423" s="2"/>
      <c r="H423" s="29"/>
      <c r="I423" s="30"/>
    </row>
    <row r="424" spans="5:9">
      <c r="E424" s="2"/>
      <c r="H424" s="29"/>
      <c r="I424" s="30"/>
    </row>
    <row r="425" spans="5:9">
      <c r="E425" s="2"/>
      <c r="H425" s="29"/>
      <c r="I425" s="30"/>
    </row>
    <row r="426" spans="5:9">
      <c r="E426" s="2"/>
      <c r="H426" s="29"/>
      <c r="I426" s="30"/>
    </row>
    <row r="427" spans="5:9">
      <c r="E427" s="2"/>
      <c r="H427" s="29"/>
      <c r="I427" s="30"/>
    </row>
    <row r="428" spans="5:9">
      <c r="E428" s="2"/>
      <c r="H428" s="29"/>
      <c r="I428" s="30"/>
    </row>
    <row r="429" spans="5:9">
      <c r="E429" s="2"/>
      <c r="H429" s="29"/>
      <c r="I429" s="30"/>
    </row>
    <row r="430" spans="5:9">
      <c r="E430" s="2"/>
      <c r="H430" s="29"/>
      <c r="I430" s="30"/>
    </row>
    <row r="431" spans="5:9">
      <c r="E431" s="2"/>
      <c r="H431" s="29"/>
      <c r="I431" s="30"/>
    </row>
    <row r="432" spans="5:9">
      <c r="E432" s="2"/>
      <c r="H432" s="29"/>
      <c r="I432" s="30"/>
    </row>
    <row r="433" spans="5:9">
      <c r="E433" s="2"/>
      <c r="H433" s="29"/>
      <c r="I433" s="30"/>
    </row>
    <row r="434" spans="5:9">
      <c r="E434" s="2"/>
      <c r="H434" s="29"/>
      <c r="I434" s="30"/>
    </row>
    <row r="435" spans="5:9">
      <c r="E435" s="2"/>
      <c r="H435" s="29"/>
      <c r="I435" s="30"/>
    </row>
    <row r="436" spans="5:9">
      <c r="E436" s="2"/>
      <c r="H436" s="29"/>
      <c r="I436" s="30"/>
    </row>
    <row r="437" spans="5:9">
      <c r="E437" s="2"/>
      <c r="H437" s="29"/>
      <c r="I437" s="30"/>
    </row>
    <row r="438" spans="5:9">
      <c r="E438" s="2"/>
      <c r="H438" s="29"/>
      <c r="I438" s="30"/>
    </row>
    <row r="439" spans="5:9">
      <c r="E439" s="2"/>
      <c r="H439" s="29"/>
      <c r="I439" s="30"/>
    </row>
    <row r="440" spans="5:9">
      <c r="E440" s="2"/>
      <c r="H440" s="29"/>
      <c r="I440" s="30"/>
    </row>
    <row r="441" spans="5:9">
      <c r="E441" s="2"/>
      <c r="H441" s="29"/>
      <c r="I441" s="30"/>
    </row>
    <row r="442" spans="5:9">
      <c r="E442" s="2"/>
      <c r="H442" s="29"/>
      <c r="I442" s="30"/>
    </row>
    <row r="443" spans="5:9">
      <c r="E443" s="2"/>
      <c r="H443" s="29"/>
      <c r="I443" s="30"/>
    </row>
    <row r="444" spans="5:9">
      <c r="E444" s="2"/>
      <c r="H444" s="29"/>
      <c r="I444" s="30"/>
    </row>
    <row r="445" spans="5:9">
      <c r="E445" s="2"/>
      <c r="H445" s="29"/>
      <c r="I445" s="30"/>
    </row>
    <row r="446" spans="5:9">
      <c r="E446" s="2"/>
      <c r="H446" s="29"/>
      <c r="I446" s="30"/>
    </row>
    <row r="447" spans="5:9">
      <c r="E447" s="2"/>
      <c r="H447" s="29"/>
      <c r="I447" s="30"/>
    </row>
    <row r="448" spans="5:9">
      <c r="E448" s="2"/>
      <c r="H448" s="29"/>
      <c r="I448" s="30"/>
    </row>
    <row r="449" spans="5:9">
      <c r="E449" s="2"/>
      <c r="H449" s="29"/>
      <c r="I449" s="30"/>
    </row>
    <row r="450" spans="5:9">
      <c r="E450" s="2"/>
      <c r="H450" s="29"/>
      <c r="I450" s="30"/>
    </row>
    <row r="451" spans="5:9">
      <c r="E451" s="2"/>
      <c r="H451" s="29"/>
      <c r="I451" s="30"/>
    </row>
    <row r="452" spans="5:9">
      <c r="E452" s="2"/>
      <c r="H452" s="29"/>
      <c r="I452" s="30"/>
    </row>
    <row r="453" spans="5:9">
      <c r="E453" s="2"/>
      <c r="H453" s="29"/>
      <c r="I453" s="30"/>
    </row>
    <row r="454" spans="5:9">
      <c r="E454" s="2"/>
      <c r="H454" s="29"/>
      <c r="I454" s="30"/>
    </row>
    <row r="455" spans="5:9">
      <c r="E455" s="2"/>
      <c r="H455" s="29"/>
      <c r="I455" s="30"/>
    </row>
    <row r="456" spans="5:9">
      <c r="E456" s="2"/>
      <c r="H456" s="29"/>
      <c r="I456" s="30"/>
    </row>
    <row r="457" spans="5:9">
      <c r="E457" s="2"/>
      <c r="H457" s="29"/>
      <c r="I457" s="30"/>
    </row>
    <row r="458" spans="5:9">
      <c r="E458" s="2"/>
      <c r="H458" s="29"/>
      <c r="I458" s="30"/>
    </row>
    <row r="459" spans="5:9">
      <c r="E459" s="2"/>
      <c r="H459" s="29"/>
      <c r="I459" s="30"/>
    </row>
    <row r="460" spans="5:9">
      <c r="E460" s="2"/>
      <c r="H460" s="29"/>
      <c r="I460" s="30"/>
    </row>
    <row r="461" spans="5:9">
      <c r="E461" s="2"/>
      <c r="H461" s="29"/>
      <c r="I461" s="30"/>
    </row>
    <row r="462" spans="5:9">
      <c r="E462" s="2"/>
      <c r="H462" s="29"/>
      <c r="I462" s="30"/>
    </row>
    <row r="463" spans="5:9">
      <c r="E463" s="2"/>
      <c r="H463" s="29"/>
      <c r="I463" s="30"/>
    </row>
    <row r="464" spans="5:9">
      <c r="E464" s="2"/>
      <c r="H464" s="29"/>
      <c r="I464" s="30"/>
    </row>
    <row r="465" spans="5:9">
      <c r="E465" s="2"/>
      <c r="H465" s="29"/>
      <c r="I465" s="30"/>
    </row>
    <row r="466" spans="5:9">
      <c r="E466" s="2"/>
      <c r="H466" s="29"/>
      <c r="I466" s="30"/>
    </row>
    <row r="467" spans="5:9">
      <c r="E467" s="2"/>
      <c r="H467" s="29"/>
      <c r="I467" s="30"/>
    </row>
    <row r="468" spans="5:9">
      <c r="E468" s="2"/>
      <c r="H468" s="29"/>
      <c r="I468" s="30"/>
    </row>
    <row r="469" spans="5:9">
      <c r="E469" s="2"/>
      <c r="H469" s="29"/>
      <c r="I469" s="30"/>
    </row>
    <row r="470" spans="5:9">
      <c r="E470" s="2"/>
      <c r="H470" s="29"/>
      <c r="I470" s="30"/>
    </row>
    <row r="471" spans="5:9">
      <c r="E471" s="2"/>
      <c r="H471" s="29"/>
      <c r="I471" s="30"/>
    </row>
    <row r="472" spans="5:9">
      <c r="E472" s="2"/>
      <c r="H472" s="29"/>
      <c r="I472" s="30"/>
    </row>
    <row r="473" spans="5:9">
      <c r="E473" s="2"/>
      <c r="H473" s="29"/>
      <c r="I473" s="30"/>
    </row>
    <row r="474" spans="5:9">
      <c r="E474" s="2"/>
      <c r="H474" s="29"/>
      <c r="I474" s="30"/>
    </row>
    <row r="475" spans="5:9">
      <c r="E475" s="2"/>
      <c r="H475" s="29"/>
      <c r="I475" s="30"/>
    </row>
    <row r="476" spans="5:9">
      <c r="E476" s="2"/>
      <c r="H476" s="29"/>
      <c r="I476" s="30"/>
    </row>
    <row r="477" spans="5:9">
      <c r="E477" s="2"/>
      <c r="H477" s="29"/>
      <c r="I477" s="30"/>
    </row>
    <row r="478" spans="5:9">
      <c r="E478" s="2"/>
      <c r="H478" s="29"/>
      <c r="I478" s="30"/>
    </row>
    <row r="479" spans="5:9">
      <c r="E479" s="2"/>
      <c r="H479" s="29"/>
      <c r="I479" s="30"/>
    </row>
    <row r="480" spans="5:9">
      <c r="E480" s="2"/>
      <c r="H480" s="29"/>
      <c r="I480" s="30"/>
    </row>
    <row r="481" spans="5:9">
      <c r="E481" s="2"/>
      <c r="H481" s="29"/>
      <c r="I481" s="30"/>
    </row>
    <row r="482" spans="5:9">
      <c r="E482" s="2"/>
      <c r="H482" s="29"/>
      <c r="I482" s="30"/>
    </row>
    <row r="483" spans="5:9">
      <c r="E483" s="2"/>
      <c r="H483" s="29"/>
      <c r="I483" s="30"/>
    </row>
    <row r="484" spans="5:9">
      <c r="E484" s="2"/>
      <c r="H484" s="29"/>
      <c r="I484" s="30"/>
    </row>
    <row r="485" spans="5:9">
      <c r="E485" s="2"/>
      <c r="H485" s="29"/>
      <c r="I485" s="30"/>
    </row>
    <row r="486" spans="5:9">
      <c r="E486" s="2"/>
      <c r="H486" s="29"/>
      <c r="I486" s="30"/>
    </row>
    <row r="487" spans="5:9">
      <c r="E487" s="2"/>
      <c r="H487" s="29"/>
      <c r="I487" s="30"/>
    </row>
    <row r="488" spans="5:9">
      <c r="E488" s="2"/>
      <c r="H488" s="29"/>
      <c r="I488" s="30"/>
    </row>
    <row r="489" spans="5:9">
      <c r="E489" s="2"/>
      <c r="H489" s="29"/>
      <c r="I489" s="30"/>
    </row>
    <row r="490" spans="5:9">
      <c r="E490" s="2"/>
      <c r="H490" s="29"/>
      <c r="I490" s="30"/>
    </row>
    <row r="491" spans="5:9">
      <c r="E491" s="2"/>
      <c r="H491" s="29"/>
      <c r="I491" s="30"/>
    </row>
    <row r="492" spans="5:9">
      <c r="E492" s="2"/>
      <c r="H492" s="29"/>
      <c r="I492" s="30"/>
    </row>
    <row r="493" spans="5:9">
      <c r="E493" s="2"/>
      <c r="H493" s="29"/>
      <c r="I493" s="30"/>
    </row>
    <row r="494" spans="5:9">
      <c r="E494" s="2"/>
      <c r="H494" s="29"/>
      <c r="I494" s="30"/>
    </row>
    <row r="495" spans="5:9">
      <c r="E495" s="2"/>
      <c r="H495" s="29"/>
      <c r="I495" s="30"/>
    </row>
    <row r="496" spans="5:9">
      <c r="E496" s="2"/>
      <c r="H496" s="29"/>
      <c r="I496" s="30"/>
    </row>
    <row r="497" spans="5:9">
      <c r="E497" s="2"/>
      <c r="H497" s="29"/>
      <c r="I497" s="30"/>
    </row>
    <row r="498" spans="5:9">
      <c r="E498" s="2"/>
      <c r="H498" s="29"/>
      <c r="I498" s="30"/>
    </row>
    <row r="499" spans="5:9">
      <c r="E499" s="2"/>
      <c r="H499" s="29"/>
      <c r="I499" s="30"/>
    </row>
    <row r="500" spans="5:9">
      <c r="E500" s="2"/>
      <c r="H500" s="29"/>
      <c r="I500" s="30"/>
    </row>
    <row r="501" spans="5:9">
      <c r="E501" s="2"/>
      <c r="H501" s="29"/>
      <c r="I501" s="30"/>
    </row>
    <row r="502" spans="5:9">
      <c r="E502" s="2"/>
      <c r="H502" s="29"/>
      <c r="I502" s="30"/>
    </row>
    <row r="503" spans="5:9">
      <c r="E503" s="2"/>
      <c r="H503" s="29"/>
      <c r="I503" s="30"/>
    </row>
    <row r="504" spans="5:9">
      <c r="E504" s="2"/>
      <c r="H504" s="29"/>
      <c r="I504" s="30"/>
    </row>
    <row r="505" spans="5:9">
      <c r="E505" s="2"/>
      <c r="H505" s="29"/>
      <c r="I505" s="30"/>
    </row>
    <row r="506" spans="5:9">
      <c r="E506" s="2"/>
      <c r="H506" s="29"/>
      <c r="I506" s="30"/>
    </row>
    <row r="507" spans="5:9">
      <c r="E507" s="2"/>
      <c r="H507" s="29"/>
      <c r="I507" s="30"/>
    </row>
    <row r="508" spans="5:9">
      <c r="E508" s="2"/>
      <c r="H508" s="29"/>
      <c r="I508" s="30"/>
    </row>
    <row r="509" spans="5:9">
      <c r="E509" s="2"/>
      <c r="H509" s="29"/>
      <c r="I509" s="30"/>
    </row>
    <row r="510" spans="5:9">
      <c r="E510" s="2"/>
      <c r="H510" s="29"/>
      <c r="I510" s="30"/>
    </row>
    <row r="511" spans="5:9">
      <c r="E511" s="2"/>
      <c r="H511" s="29"/>
      <c r="I511" s="30"/>
    </row>
    <row r="512" spans="5:9">
      <c r="E512" s="2"/>
      <c r="H512" s="29"/>
      <c r="I512" s="30"/>
    </row>
    <row r="513" spans="5:9">
      <c r="E513" s="2"/>
      <c r="H513" s="29"/>
      <c r="I513" s="30"/>
    </row>
    <row r="514" spans="5:9">
      <c r="E514" s="2"/>
      <c r="H514" s="29"/>
      <c r="I514" s="30"/>
    </row>
    <row r="515" spans="5:9">
      <c r="E515" s="2"/>
      <c r="H515" s="29"/>
      <c r="I515" s="30"/>
    </row>
    <row r="516" spans="5:9">
      <c r="E516" s="2"/>
      <c r="H516" s="29"/>
      <c r="I516" s="30"/>
    </row>
    <row r="517" spans="5:9">
      <c r="E517" s="2"/>
      <c r="H517" s="29"/>
      <c r="I517" s="30"/>
    </row>
    <row r="518" spans="5:9">
      <c r="E518" s="2"/>
      <c r="H518" s="29"/>
      <c r="I518" s="30"/>
    </row>
    <row r="519" spans="5:9">
      <c r="E519" s="2"/>
      <c r="H519" s="29"/>
      <c r="I519" s="30"/>
    </row>
    <row r="520" spans="5:9">
      <c r="E520" s="2"/>
      <c r="H520" s="29"/>
      <c r="I520" s="30"/>
    </row>
    <row r="521" spans="5:9">
      <c r="E521" s="2"/>
      <c r="H521" s="29"/>
      <c r="I521" s="30"/>
    </row>
    <row r="522" spans="5:9">
      <c r="E522" s="2"/>
      <c r="H522" s="29"/>
      <c r="I522" s="30"/>
    </row>
    <row r="523" spans="5:9">
      <c r="E523" s="2"/>
      <c r="H523" s="29"/>
      <c r="I523" s="30"/>
    </row>
    <row r="524" spans="5:9">
      <c r="E524" s="2"/>
      <c r="H524" s="29"/>
      <c r="I524" s="30"/>
    </row>
    <row r="525" spans="5:9">
      <c r="E525" s="2"/>
      <c r="H525" s="29"/>
      <c r="I525" s="30"/>
    </row>
    <row r="526" spans="5:9">
      <c r="E526" s="2"/>
      <c r="H526" s="29"/>
      <c r="I526" s="30"/>
    </row>
    <row r="527" spans="5:9">
      <c r="E527" s="2"/>
      <c r="H527" s="29"/>
      <c r="I527" s="30"/>
    </row>
    <row r="528" spans="5:9">
      <c r="E528" s="2"/>
      <c r="H528" s="29"/>
      <c r="I528" s="30"/>
    </row>
    <row r="529" spans="5:9">
      <c r="E529" s="2"/>
      <c r="H529" s="29"/>
      <c r="I529" s="30"/>
    </row>
    <row r="530" spans="5:9">
      <c r="E530" s="2"/>
      <c r="H530" s="29"/>
      <c r="I530" s="30"/>
    </row>
    <row r="531" spans="5:9">
      <c r="E531" s="2"/>
      <c r="H531" s="29"/>
      <c r="I531" s="30"/>
    </row>
    <row r="532" spans="5:9">
      <c r="E532" s="2"/>
      <c r="H532" s="29"/>
      <c r="I532" s="30"/>
    </row>
    <row r="533" spans="5:9">
      <c r="E533" s="2"/>
      <c r="H533" s="29"/>
      <c r="I533" s="30"/>
    </row>
    <row r="534" spans="5:9">
      <c r="E534" s="2"/>
      <c r="H534" s="29"/>
      <c r="I534" s="30"/>
    </row>
    <row r="535" spans="5:9">
      <c r="E535" s="2"/>
      <c r="H535" s="29"/>
      <c r="I535" s="30"/>
    </row>
    <row r="536" spans="5:9">
      <c r="E536" s="2"/>
      <c r="H536" s="29"/>
      <c r="I536" s="30"/>
    </row>
    <row r="537" spans="5:9">
      <c r="E537" s="2"/>
      <c r="H537" s="29"/>
      <c r="I537" s="30"/>
    </row>
    <row r="538" spans="5:9">
      <c r="E538" s="2"/>
      <c r="H538" s="29"/>
      <c r="I538" s="30"/>
    </row>
    <row r="539" spans="5:9">
      <c r="E539" s="2"/>
      <c r="H539" s="29"/>
      <c r="I539" s="30"/>
    </row>
    <row r="540" spans="5:9">
      <c r="E540" s="2"/>
      <c r="H540" s="29"/>
      <c r="I540" s="30"/>
    </row>
    <row r="541" spans="5:9">
      <c r="E541" s="2"/>
      <c r="H541" s="29"/>
      <c r="I541" s="30"/>
    </row>
    <row r="542" spans="5:9">
      <c r="E542" s="2"/>
      <c r="H542" s="29"/>
      <c r="I542" s="30"/>
    </row>
    <row r="543" spans="5:9">
      <c r="E543" s="2"/>
      <c r="H543" s="29"/>
      <c r="I543" s="30"/>
    </row>
    <row r="544" spans="5:9">
      <c r="E544" s="2"/>
      <c r="H544" s="29"/>
      <c r="I544" s="30"/>
    </row>
    <row r="545" spans="5:9">
      <c r="E545" s="2"/>
      <c r="H545" s="29"/>
      <c r="I545" s="30"/>
    </row>
    <row r="546" spans="5:9">
      <c r="E546" s="2"/>
      <c r="H546" s="29"/>
      <c r="I546" s="30"/>
    </row>
    <row r="547" spans="5:9">
      <c r="E547" s="2"/>
      <c r="H547" s="29"/>
      <c r="I547" s="30"/>
    </row>
    <row r="548" spans="5:9">
      <c r="E548" s="2"/>
      <c r="H548" s="29"/>
      <c r="I548" s="30"/>
    </row>
    <row r="549" spans="5:9">
      <c r="E549" s="2"/>
      <c r="H549" s="29"/>
      <c r="I549" s="30"/>
    </row>
    <row r="550" spans="5:9">
      <c r="E550" s="2"/>
      <c r="H550" s="29"/>
      <c r="I550" s="30"/>
    </row>
    <row r="551" spans="5:9">
      <c r="E551" s="2"/>
      <c r="H551" s="29"/>
      <c r="I551" s="30"/>
    </row>
    <row r="552" spans="5:9">
      <c r="E552" s="2"/>
      <c r="H552" s="29"/>
      <c r="I552" s="30"/>
    </row>
    <row r="553" spans="5:9">
      <c r="E553" s="2"/>
      <c r="H553" s="29"/>
      <c r="I553" s="30"/>
    </row>
    <row r="554" spans="5:9">
      <c r="E554" s="2"/>
      <c r="H554" s="29"/>
      <c r="I554" s="30"/>
    </row>
    <row r="555" spans="5:9">
      <c r="E555" s="2"/>
      <c r="H555" s="29"/>
      <c r="I555" s="30"/>
    </row>
    <row r="556" spans="5:9">
      <c r="E556" s="2"/>
      <c r="H556" s="29"/>
      <c r="I556" s="30"/>
    </row>
    <row r="557" spans="5:9">
      <c r="E557" s="2"/>
      <c r="H557" s="29"/>
      <c r="I557" s="30"/>
    </row>
    <row r="558" spans="5:9">
      <c r="E558" s="2"/>
      <c r="H558" s="29"/>
      <c r="I558" s="30"/>
    </row>
    <row r="559" spans="5:9">
      <c r="E559" s="2"/>
      <c r="H559" s="29"/>
      <c r="I559" s="30"/>
    </row>
    <row r="560" spans="5:9">
      <c r="E560" s="2"/>
      <c r="H560" s="29"/>
      <c r="I560" s="30"/>
    </row>
    <row r="561" spans="5:9">
      <c r="E561" s="2"/>
      <c r="H561" s="29"/>
      <c r="I561" s="30"/>
    </row>
    <row r="562" spans="5:9">
      <c r="E562" s="2"/>
      <c r="H562" s="29"/>
      <c r="I562" s="30"/>
    </row>
    <row r="563" spans="5:9">
      <c r="E563" s="2"/>
      <c r="H563" s="29"/>
      <c r="I563" s="30"/>
    </row>
    <row r="564" spans="5:9">
      <c r="E564" s="2"/>
      <c r="H564" s="29"/>
      <c r="I564" s="30"/>
    </row>
    <row r="565" spans="5:9">
      <c r="E565" s="2"/>
      <c r="H565" s="29"/>
      <c r="I565" s="30"/>
    </row>
    <row r="566" spans="5:9">
      <c r="E566" s="2"/>
      <c r="H566" s="29"/>
      <c r="I566" s="30"/>
    </row>
    <row r="567" spans="5:9">
      <c r="E567" s="2"/>
      <c r="H567" s="29"/>
      <c r="I567" s="30"/>
    </row>
    <row r="568" spans="5:9">
      <c r="E568" s="2"/>
      <c r="H568" s="29"/>
      <c r="I568" s="30"/>
    </row>
    <row r="569" spans="5:9">
      <c r="E569" s="2"/>
      <c r="H569" s="29"/>
      <c r="I569" s="30"/>
    </row>
    <row r="570" spans="5:9">
      <c r="E570" s="2"/>
      <c r="H570" s="29"/>
      <c r="I570" s="30"/>
    </row>
    <row r="571" spans="5:9">
      <c r="E571" s="2"/>
      <c r="H571" s="29"/>
      <c r="I571" s="30"/>
    </row>
    <row r="572" spans="5:9">
      <c r="E572" s="2"/>
      <c r="H572" s="29"/>
      <c r="I572" s="30"/>
    </row>
    <row r="573" spans="5:9">
      <c r="E573" s="2"/>
      <c r="H573" s="29"/>
      <c r="I573" s="30"/>
    </row>
    <row r="574" spans="5:9">
      <c r="E574" s="2"/>
      <c r="H574" s="29"/>
      <c r="I574" s="30"/>
    </row>
    <row r="575" spans="5:9">
      <c r="E575" s="2"/>
      <c r="H575" s="29"/>
      <c r="I575" s="30"/>
    </row>
    <row r="576" spans="5:9">
      <c r="E576" s="2"/>
      <c r="H576" s="29"/>
      <c r="I576" s="30"/>
    </row>
    <row r="577" spans="5:9">
      <c r="E577" s="2"/>
      <c r="H577" s="29"/>
      <c r="I577" s="30"/>
    </row>
    <row r="578" spans="5:9">
      <c r="E578" s="2"/>
      <c r="H578" s="29"/>
      <c r="I578" s="30"/>
    </row>
    <row r="579" spans="5:9">
      <c r="E579" s="2"/>
      <c r="H579" s="29"/>
      <c r="I579" s="30"/>
    </row>
    <row r="580" spans="5:9">
      <c r="E580" s="2"/>
      <c r="H580" s="29"/>
      <c r="I580" s="30"/>
    </row>
    <row r="581" spans="5:9">
      <c r="E581" s="2"/>
      <c r="H581" s="29"/>
      <c r="I581" s="30"/>
    </row>
    <row r="582" spans="5:9">
      <c r="E582" s="2"/>
      <c r="H582" s="29"/>
      <c r="I582" s="30"/>
    </row>
    <row r="583" spans="5:9">
      <c r="E583" s="2"/>
      <c r="H583" s="29"/>
      <c r="I583" s="30"/>
    </row>
    <row r="584" spans="5:9">
      <c r="E584" s="2"/>
      <c r="H584" s="29"/>
      <c r="I584" s="30"/>
    </row>
    <row r="585" spans="5:9">
      <c r="E585" s="2"/>
      <c r="H585" s="29"/>
      <c r="I585" s="30"/>
    </row>
    <row r="586" spans="5:9">
      <c r="E586" s="2"/>
      <c r="H586" s="29"/>
      <c r="I586" s="30"/>
    </row>
    <row r="587" spans="5:9">
      <c r="E587" s="2"/>
      <c r="H587" s="29"/>
      <c r="I587" s="30"/>
    </row>
    <row r="588" spans="5:9">
      <c r="E588" s="2"/>
      <c r="H588" s="29"/>
      <c r="I588" s="30"/>
    </row>
    <row r="589" spans="5:9">
      <c r="E589" s="2"/>
      <c r="H589" s="29"/>
      <c r="I589" s="30"/>
    </row>
    <row r="590" spans="5:9">
      <c r="E590" s="2"/>
      <c r="H590" s="29"/>
      <c r="I590" s="30"/>
    </row>
    <row r="591" spans="5:9">
      <c r="E591" s="2"/>
      <c r="H591" s="29"/>
      <c r="I591" s="30"/>
    </row>
    <row r="592" spans="5:9">
      <c r="E592" s="2"/>
      <c r="H592" s="29"/>
      <c r="I592" s="30"/>
    </row>
    <row r="593" spans="5:9">
      <c r="E593" s="2"/>
      <c r="H593" s="29"/>
      <c r="I593" s="30"/>
    </row>
    <row r="594" spans="5:9">
      <c r="E594" s="2"/>
      <c r="H594" s="29"/>
      <c r="I594" s="30"/>
    </row>
    <row r="595" spans="5:9">
      <c r="E595" s="2"/>
      <c r="H595" s="29"/>
      <c r="I595" s="30"/>
    </row>
    <row r="596" spans="5:9">
      <c r="E596" s="2"/>
      <c r="H596" s="29"/>
      <c r="I596" s="30"/>
    </row>
    <row r="597" spans="5:9">
      <c r="E597" s="2"/>
      <c r="H597" s="29"/>
      <c r="I597" s="30"/>
    </row>
    <row r="598" spans="5:9">
      <c r="E598" s="2"/>
      <c r="H598" s="29"/>
      <c r="I598" s="30"/>
    </row>
    <row r="599" spans="5:9">
      <c r="E599" s="2"/>
      <c r="H599" s="29"/>
      <c r="I599" s="30"/>
    </row>
    <row r="600" spans="5:9">
      <c r="E600" s="2"/>
      <c r="H600" s="29"/>
      <c r="I600" s="30"/>
    </row>
    <row r="601" spans="5:9">
      <c r="E601" s="2"/>
      <c r="H601" s="29"/>
      <c r="I601" s="30"/>
    </row>
    <row r="602" spans="5:9">
      <c r="E602" s="2"/>
      <c r="H602" s="29"/>
      <c r="I602" s="30"/>
    </row>
    <row r="603" spans="5:9">
      <c r="E603" s="2"/>
      <c r="H603" s="29"/>
      <c r="I603" s="30"/>
    </row>
    <row r="604" spans="5:9">
      <c r="E604" s="2"/>
      <c r="H604" s="29"/>
      <c r="I604" s="30"/>
    </row>
    <row r="605" spans="5:9">
      <c r="E605" s="2"/>
      <c r="H605" s="29"/>
      <c r="I605" s="30"/>
    </row>
    <row r="606" spans="5:9">
      <c r="E606" s="2"/>
      <c r="H606" s="29"/>
      <c r="I606" s="30"/>
    </row>
    <row r="607" spans="5:9">
      <c r="E607" s="2"/>
      <c r="H607" s="29"/>
      <c r="I607" s="30"/>
    </row>
    <row r="608" spans="5:9">
      <c r="E608" s="2"/>
      <c r="H608" s="29"/>
      <c r="I608" s="30"/>
    </row>
    <row r="609" spans="5:9">
      <c r="E609" s="2"/>
      <c r="H609" s="29"/>
      <c r="I609" s="30"/>
    </row>
    <row r="610" spans="5:9">
      <c r="E610" s="2"/>
      <c r="H610" s="29"/>
      <c r="I610" s="30"/>
    </row>
    <row r="611" spans="5:9">
      <c r="E611" s="2"/>
      <c r="H611" s="29"/>
      <c r="I611" s="30"/>
    </row>
    <row r="612" spans="5:9">
      <c r="E612" s="2"/>
      <c r="H612" s="29"/>
      <c r="I612" s="30"/>
    </row>
    <row r="613" spans="5:9">
      <c r="E613" s="2"/>
      <c r="H613" s="29"/>
      <c r="I613" s="30"/>
    </row>
    <row r="614" spans="5:9">
      <c r="E614" s="2"/>
      <c r="H614" s="29"/>
      <c r="I614" s="30"/>
    </row>
    <row r="615" spans="5:9">
      <c r="E615" s="2"/>
      <c r="H615" s="29"/>
      <c r="I615" s="30"/>
    </row>
    <row r="616" spans="5:9">
      <c r="E616" s="2"/>
      <c r="H616" s="29"/>
      <c r="I616" s="30"/>
    </row>
    <row r="617" spans="5:9">
      <c r="E617" s="2"/>
      <c r="H617" s="29"/>
      <c r="I617" s="30"/>
    </row>
    <row r="618" spans="5:9">
      <c r="E618" s="2"/>
      <c r="H618" s="29"/>
      <c r="I618" s="30"/>
    </row>
    <row r="619" spans="5:9">
      <c r="E619" s="2"/>
      <c r="H619" s="29"/>
      <c r="I619" s="30"/>
    </row>
    <row r="620" spans="5:9">
      <c r="E620" s="2"/>
      <c r="H620" s="29"/>
      <c r="I620" s="30"/>
    </row>
    <row r="621" spans="5:9">
      <c r="E621" s="2"/>
      <c r="H621" s="29"/>
      <c r="I621" s="30"/>
    </row>
    <row r="622" spans="5:9">
      <c r="E622" s="2"/>
      <c r="H622" s="29"/>
      <c r="I622" s="30"/>
    </row>
    <row r="623" spans="5:9">
      <c r="E623" s="2"/>
      <c r="H623" s="29"/>
      <c r="I623" s="30"/>
    </row>
    <row r="624" spans="5:9">
      <c r="E624" s="2"/>
      <c r="H624" s="29"/>
      <c r="I624" s="30"/>
    </row>
    <row r="625" spans="5:9">
      <c r="E625" s="2"/>
      <c r="H625" s="29"/>
      <c r="I625" s="30"/>
    </row>
    <row r="626" spans="5:9">
      <c r="E626" s="2"/>
      <c r="H626" s="29"/>
      <c r="I626" s="30"/>
    </row>
    <row r="627" spans="5:9">
      <c r="E627" s="2"/>
      <c r="H627" s="29"/>
      <c r="I627" s="30"/>
    </row>
    <row r="628" spans="5:9">
      <c r="E628" s="2"/>
      <c r="H628" s="29"/>
      <c r="I628" s="30"/>
    </row>
    <row r="629" spans="5:9">
      <c r="E629" s="2"/>
      <c r="H629" s="29"/>
      <c r="I629" s="30"/>
    </row>
    <row r="630" spans="5:9">
      <c r="E630" s="2"/>
      <c r="H630" s="29"/>
      <c r="I630" s="30"/>
    </row>
    <row r="631" spans="5:9">
      <c r="E631" s="2"/>
      <c r="H631" s="29"/>
      <c r="I631" s="30"/>
    </row>
    <row r="632" spans="5:9">
      <c r="E632" s="2"/>
      <c r="H632" s="29"/>
      <c r="I632" s="30"/>
    </row>
    <row r="633" spans="5:9">
      <c r="E633" s="2"/>
      <c r="H633" s="29"/>
      <c r="I633" s="30"/>
    </row>
    <row r="634" spans="5:9">
      <c r="E634" s="2"/>
      <c r="H634" s="29"/>
      <c r="I634" s="30"/>
    </row>
    <row r="635" spans="5:9">
      <c r="E635" s="2"/>
      <c r="H635" s="29"/>
      <c r="I635" s="30"/>
    </row>
    <row r="636" spans="5:9">
      <c r="E636" s="2"/>
      <c r="H636" s="29"/>
      <c r="I636" s="30"/>
    </row>
    <row r="637" spans="5:9">
      <c r="E637" s="2"/>
      <c r="H637" s="29"/>
      <c r="I637" s="30"/>
    </row>
    <row r="638" spans="5:9">
      <c r="E638" s="2"/>
      <c r="H638" s="29"/>
      <c r="I638" s="30"/>
    </row>
    <row r="639" spans="5:9">
      <c r="E639" s="2"/>
      <c r="H639" s="29"/>
      <c r="I639" s="30"/>
    </row>
    <row r="640" spans="5:9">
      <c r="E640" s="2"/>
      <c r="H640" s="29"/>
      <c r="I640" s="30"/>
    </row>
    <row r="641" spans="5:9">
      <c r="E641" s="2"/>
      <c r="H641" s="29"/>
      <c r="I641" s="30"/>
    </row>
    <row r="642" spans="5:9">
      <c r="E642" s="2"/>
      <c r="H642" s="29"/>
      <c r="I642" s="30"/>
    </row>
    <row r="643" spans="5:9">
      <c r="E643" s="2"/>
      <c r="H643" s="29"/>
      <c r="I643" s="30"/>
    </row>
    <row r="644" spans="5:9">
      <c r="E644" s="2"/>
      <c r="H644" s="29"/>
      <c r="I644" s="30"/>
    </row>
    <row r="645" spans="5:9">
      <c r="E645" s="2"/>
      <c r="H645" s="29"/>
      <c r="I645" s="30"/>
    </row>
    <row r="646" spans="5:9">
      <c r="E646" s="2"/>
      <c r="H646" s="29"/>
      <c r="I646" s="30"/>
    </row>
    <row r="647" spans="5:9">
      <c r="E647" s="2"/>
      <c r="H647" s="29"/>
      <c r="I647" s="30"/>
    </row>
    <row r="648" spans="5:9">
      <c r="E648" s="2"/>
      <c r="H648" s="29"/>
      <c r="I648" s="30"/>
    </row>
    <row r="649" spans="5:9">
      <c r="E649" s="2"/>
      <c r="H649" s="29"/>
      <c r="I649" s="30"/>
    </row>
    <row r="650" spans="5:9">
      <c r="E650" s="2"/>
      <c r="H650" s="29"/>
      <c r="I650" s="30"/>
    </row>
    <row r="651" spans="5:9">
      <c r="E651" s="2"/>
      <c r="H651" s="29"/>
      <c r="I651" s="30"/>
    </row>
    <row r="652" spans="5:9">
      <c r="E652" s="2"/>
      <c r="H652" s="29"/>
      <c r="I652" s="30"/>
    </row>
    <row r="653" spans="5:9">
      <c r="E653" s="2"/>
      <c r="H653" s="29"/>
      <c r="I653" s="30"/>
    </row>
    <row r="654" spans="5:9">
      <c r="E654" s="2"/>
      <c r="H654" s="29"/>
      <c r="I654" s="30"/>
    </row>
    <row r="655" spans="5:9">
      <c r="E655" s="2"/>
      <c r="H655" s="29"/>
      <c r="I655" s="30"/>
    </row>
    <row r="656" spans="5:9">
      <c r="E656" s="2"/>
      <c r="H656" s="29"/>
      <c r="I656" s="30"/>
    </row>
    <row r="657" spans="5:9">
      <c r="E657" s="2"/>
      <c r="H657" s="29"/>
      <c r="I657" s="30"/>
    </row>
    <row r="658" spans="5:9">
      <c r="E658" s="2"/>
      <c r="H658" s="29"/>
      <c r="I658" s="30"/>
    </row>
    <row r="659" spans="5:9">
      <c r="E659" s="2"/>
      <c r="H659" s="29"/>
      <c r="I659" s="30"/>
    </row>
    <row r="660" spans="5:9">
      <c r="E660" s="2"/>
      <c r="H660" s="29"/>
      <c r="I660" s="30"/>
    </row>
    <row r="661" spans="5:9">
      <c r="E661" s="2"/>
      <c r="H661" s="29"/>
      <c r="I661" s="30"/>
    </row>
    <row r="662" spans="5:9">
      <c r="E662" s="2"/>
      <c r="H662" s="29"/>
      <c r="I662" s="30"/>
    </row>
    <row r="663" spans="5:9">
      <c r="E663" s="2"/>
      <c r="H663" s="29"/>
      <c r="I663" s="30"/>
    </row>
    <row r="664" spans="5:9">
      <c r="E664" s="2"/>
      <c r="H664" s="29"/>
      <c r="I664" s="30"/>
    </row>
    <row r="665" spans="5:9">
      <c r="E665" s="2"/>
      <c r="H665" s="29"/>
      <c r="I665" s="30"/>
    </row>
    <row r="666" spans="5:9">
      <c r="E666" s="2"/>
      <c r="H666" s="29"/>
      <c r="I666" s="30"/>
    </row>
    <row r="667" spans="5:9">
      <c r="E667" s="2"/>
      <c r="H667" s="29"/>
      <c r="I667" s="30"/>
    </row>
    <row r="668" spans="5:9">
      <c r="E668" s="2"/>
      <c r="H668" s="29"/>
      <c r="I668" s="30"/>
    </row>
    <row r="669" spans="5:9">
      <c r="E669" s="2"/>
      <c r="H669" s="29"/>
      <c r="I669" s="30"/>
    </row>
    <row r="670" spans="5:9">
      <c r="E670" s="2"/>
      <c r="H670" s="29"/>
      <c r="I670" s="30"/>
    </row>
    <row r="671" spans="5:9">
      <c r="E671" s="2"/>
      <c r="H671" s="29"/>
      <c r="I671" s="30"/>
    </row>
    <row r="672" spans="5:9">
      <c r="E672" s="2"/>
      <c r="H672" s="29"/>
      <c r="I672" s="30"/>
    </row>
    <row r="673" spans="5:9">
      <c r="E673" s="2"/>
      <c r="H673" s="29"/>
      <c r="I673" s="30"/>
    </row>
    <row r="674" spans="5:9">
      <c r="E674" s="2"/>
      <c r="H674" s="29"/>
      <c r="I674" s="30"/>
    </row>
    <row r="675" spans="5:9">
      <c r="E675" s="2"/>
      <c r="H675" s="29"/>
      <c r="I675" s="30"/>
    </row>
    <row r="676" spans="5:9">
      <c r="E676" s="2"/>
      <c r="H676" s="29"/>
      <c r="I676" s="30"/>
    </row>
    <row r="677" spans="5:9">
      <c r="E677" s="2"/>
      <c r="H677" s="29"/>
      <c r="I677" s="30"/>
    </row>
    <row r="678" spans="5:9">
      <c r="E678" s="2"/>
      <c r="H678" s="29"/>
      <c r="I678" s="30"/>
    </row>
    <row r="679" spans="5:9">
      <c r="E679" s="2"/>
      <c r="H679" s="29"/>
      <c r="I679" s="30"/>
    </row>
    <row r="680" spans="5:9">
      <c r="E680" s="2"/>
      <c r="H680" s="29"/>
      <c r="I680" s="30"/>
    </row>
    <row r="681" spans="5:9">
      <c r="E681" s="2"/>
      <c r="H681" s="29"/>
      <c r="I681" s="30"/>
    </row>
    <row r="682" spans="5:9">
      <c r="E682" s="2"/>
      <c r="H682" s="29"/>
      <c r="I682" s="30"/>
    </row>
    <row r="683" spans="5:9">
      <c r="E683" s="2"/>
      <c r="H683" s="29"/>
      <c r="I683" s="30"/>
    </row>
    <row r="684" spans="5:9">
      <c r="E684" s="2"/>
      <c r="H684" s="29"/>
      <c r="I684" s="30"/>
    </row>
    <row r="685" spans="5:9">
      <c r="E685" s="2"/>
      <c r="H685" s="29"/>
      <c r="I685" s="30"/>
    </row>
    <row r="686" spans="5:9">
      <c r="E686" s="2"/>
      <c r="H686" s="29"/>
      <c r="I686" s="30"/>
    </row>
    <row r="687" spans="5:9">
      <c r="E687" s="2"/>
      <c r="H687" s="29"/>
      <c r="I687" s="30"/>
    </row>
    <row r="688" spans="5:9">
      <c r="E688" s="2"/>
      <c r="H688" s="29"/>
      <c r="I688" s="30"/>
    </row>
    <row r="689" spans="5:9">
      <c r="E689" s="2"/>
      <c r="H689" s="29"/>
      <c r="I689" s="30"/>
    </row>
    <row r="690" spans="5:9">
      <c r="E690" s="2"/>
      <c r="H690" s="29"/>
      <c r="I690" s="30"/>
    </row>
    <row r="691" spans="5:9">
      <c r="E691" s="2"/>
      <c r="H691" s="29"/>
      <c r="I691" s="30"/>
    </row>
    <row r="692" spans="5:9">
      <c r="E692" s="2"/>
      <c r="H692" s="29"/>
      <c r="I692" s="30"/>
    </row>
    <row r="693" spans="5:9">
      <c r="E693" s="2"/>
      <c r="H693" s="29"/>
      <c r="I693" s="30"/>
    </row>
    <row r="694" spans="5:9">
      <c r="E694" s="2"/>
      <c r="H694" s="29"/>
      <c r="I694" s="30"/>
    </row>
    <row r="695" spans="5:9">
      <c r="E695" s="2"/>
      <c r="H695" s="29"/>
      <c r="I695" s="30"/>
    </row>
    <row r="696" spans="5:9">
      <c r="E696" s="2"/>
      <c r="H696" s="29"/>
      <c r="I696" s="30"/>
    </row>
    <row r="697" spans="5:9">
      <c r="E697" s="2"/>
      <c r="H697" s="29"/>
      <c r="I697" s="30"/>
    </row>
    <row r="698" spans="5:9">
      <c r="E698" s="2"/>
      <c r="H698" s="29"/>
      <c r="I698" s="30"/>
    </row>
    <row r="699" spans="5:9">
      <c r="E699" s="2"/>
      <c r="H699" s="29"/>
      <c r="I699" s="30"/>
    </row>
    <row r="700" spans="5:9">
      <c r="E700" s="2"/>
      <c r="H700" s="29"/>
      <c r="I700" s="30"/>
    </row>
    <row r="701" spans="5:9">
      <c r="E701" s="2"/>
      <c r="H701" s="29"/>
      <c r="I701" s="30"/>
    </row>
    <row r="702" spans="5:9">
      <c r="E702" s="2"/>
      <c r="H702" s="29"/>
      <c r="I702" s="30"/>
    </row>
    <row r="703" spans="5:9">
      <c r="E703" s="2"/>
      <c r="H703" s="29"/>
      <c r="I703" s="30"/>
    </row>
    <row r="704" spans="5:9">
      <c r="E704" s="2"/>
      <c r="H704" s="29"/>
      <c r="I704" s="30"/>
    </row>
    <row r="705" spans="5:9">
      <c r="E705" s="2"/>
      <c r="H705" s="29"/>
      <c r="I705" s="30"/>
    </row>
    <row r="706" spans="5:9">
      <c r="E706" s="2"/>
      <c r="H706" s="29"/>
      <c r="I706" s="30"/>
    </row>
    <row r="707" spans="5:9">
      <c r="E707" s="2"/>
      <c r="H707" s="29"/>
      <c r="I707" s="30"/>
    </row>
    <row r="708" spans="5:9">
      <c r="E708" s="2"/>
      <c r="H708" s="29"/>
      <c r="I708" s="30"/>
    </row>
    <row r="709" spans="5:9">
      <c r="E709" s="2"/>
      <c r="H709" s="29"/>
      <c r="I709" s="30"/>
    </row>
    <row r="710" spans="5:9">
      <c r="E710" s="2"/>
      <c r="H710" s="29"/>
      <c r="I710" s="30"/>
    </row>
    <row r="711" spans="5:9">
      <c r="E711" s="2"/>
      <c r="H711" s="29"/>
      <c r="I711" s="30"/>
    </row>
    <row r="712" spans="5:9">
      <c r="E712" s="2"/>
      <c r="H712" s="29"/>
      <c r="I712" s="30"/>
    </row>
    <row r="713" spans="5:9">
      <c r="E713" s="2"/>
      <c r="H713" s="29"/>
      <c r="I713" s="30"/>
    </row>
    <row r="714" spans="5:9">
      <c r="E714" s="2"/>
      <c r="H714" s="29"/>
      <c r="I714" s="30"/>
    </row>
    <row r="715" spans="5:9">
      <c r="E715" s="2"/>
      <c r="H715" s="29"/>
      <c r="I715" s="30"/>
    </row>
    <row r="716" spans="5:9">
      <c r="E716" s="2"/>
      <c r="H716" s="29"/>
      <c r="I716" s="30"/>
    </row>
    <row r="717" spans="5:9">
      <c r="E717" s="2"/>
      <c r="H717" s="29"/>
      <c r="I717" s="30"/>
    </row>
    <row r="718" spans="5:9">
      <c r="E718" s="2"/>
      <c r="H718" s="29"/>
      <c r="I718" s="30"/>
    </row>
    <row r="719" spans="5:9">
      <c r="E719" s="2"/>
      <c r="H719" s="29"/>
      <c r="I719" s="30"/>
    </row>
    <row r="720" spans="5:9">
      <c r="E720" s="2"/>
      <c r="H720" s="29"/>
      <c r="I720" s="30"/>
    </row>
    <row r="721" spans="5:9">
      <c r="E721" s="2"/>
      <c r="H721" s="29"/>
      <c r="I721" s="30"/>
    </row>
    <row r="722" spans="5:9">
      <c r="E722" s="2"/>
      <c r="H722" s="29"/>
      <c r="I722" s="30"/>
    </row>
    <row r="723" spans="5:9">
      <c r="E723" s="2"/>
      <c r="H723" s="29"/>
      <c r="I723" s="30"/>
    </row>
    <row r="724" spans="5:9">
      <c r="E724" s="2"/>
      <c r="H724" s="29"/>
      <c r="I724" s="30"/>
    </row>
    <row r="725" spans="5:9">
      <c r="E725" s="2"/>
      <c r="H725" s="29"/>
      <c r="I725" s="30"/>
    </row>
    <row r="726" spans="5:9">
      <c r="E726" s="2"/>
      <c r="H726" s="29"/>
      <c r="I726" s="30"/>
    </row>
    <row r="727" spans="5:9">
      <c r="E727" s="2"/>
      <c r="H727" s="29"/>
      <c r="I727" s="30"/>
    </row>
    <row r="728" spans="5:9">
      <c r="E728" s="2"/>
      <c r="H728" s="29"/>
      <c r="I728" s="30"/>
    </row>
    <row r="729" spans="5:9">
      <c r="E729" s="2"/>
      <c r="H729" s="29"/>
      <c r="I729" s="30"/>
    </row>
    <row r="730" spans="5:9">
      <c r="E730" s="2"/>
      <c r="H730" s="29"/>
      <c r="I730" s="30"/>
    </row>
    <row r="731" spans="5:9">
      <c r="E731" s="2"/>
      <c r="H731" s="29"/>
      <c r="I731" s="30"/>
    </row>
    <row r="732" spans="5:9">
      <c r="E732" s="2"/>
      <c r="H732" s="29"/>
      <c r="I732" s="30"/>
    </row>
    <row r="733" spans="5:9">
      <c r="E733" s="2"/>
      <c r="H733" s="29"/>
      <c r="I733" s="30"/>
    </row>
    <row r="734" spans="5:9">
      <c r="E734" s="2"/>
      <c r="H734" s="29"/>
      <c r="I734" s="30"/>
    </row>
    <row r="735" spans="5:9">
      <c r="E735" s="2"/>
      <c r="H735" s="29"/>
      <c r="I735" s="30"/>
    </row>
    <row r="736" spans="5:9">
      <c r="E736" s="2"/>
      <c r="H736" s="29"/>
      <c r="I736" s="30"/>
    </row>
    <row r="737" spans="5:9">
      <c r="E737" s="2"/>
      <c r="H737" s="29"/>
      <c r="I737" s="30"/>
    </row>
    <row r="738" spans="5:9">
      <c r="E738" s="2"/>
      <c r="H738" s="29"/>
      <c r="I738" s="30"/>
    </row>
    <row r="739" spans="5:9">
      <c r="E739" s="2"/>
      <c r="H739" s="29"/>
      <c r="I739" s="30"/>
    </row>
    <row r="740" spans="5:9">
      <c r="E740" s="2"/>
      <c r="H740" s="29"/>
      <c r="I740" s="30"/>
    </row>
    <row r="741" spans="5:9">
      <c r="E741" s="2"/>
      <c r="H741" s="29"/>
      <c r="I741" s="30"/>
    </row>
    <row r="742" spans="5:9">
      <c r="E742" s="2"/>
      <c r="H742" s="29"/>
      <c r="I742" s="30"/>
    </row>
    <row r="743" spans="5:9">
      <c r="E743" s="2"/>
      <c r="H743" s="29"/>
      <c r="I743" s="30"/>
    </row>
    <row r="744" spans="5:9">
      <c r="E744" s="2"/>
      <c r="H744" s="29"/>
      <c r="I744" s="30"/>
    </row>
    <row r="745" spans="5:9">
      <c r="E745" s="2"/>
      <c r="H745" s="29"/>
      <c r="I745" s="30"/>
    </row>
    <row r="746" spans="5:9">
      <c r="E746" s="2"/>
      <c r="H746" s="29"/>
      <c r="I746" s="30"/>
    </row>
    <row r="747" spans="5:9">
      <c r="E747" s="2"/>
      <c r="H747" s="29"/>
      <c r="I747" s="30"/>
    </row>
    <row r="748" spans="5:9">
      <c r="E748" s="2"/>
      <c r="H748" s="29"/>
      <c r="I748" s="30"/>
    </row>
    <row r="749" spans="5:9">
      <c r="E749" s="2"/>
      <c r="H749" s="29"/>
      <c r="I749" s="30"/>
    </row>
    <row r="750" spans="5:9">
      <c r="E750" s="2"/>
      <c r="H750" s="29"/>
      <c r="I750" s="30"/>
    </row>
    <row r="751" spans="5:9">
      <c r="E751" s="2"/>
      <c r="H751" s="29"/>
      <c r="I751" s="30"/>
    </row>
    <row r="752" spans="5:9">
      <c r="E752" s="2"/>
      <c r="H752" s="29"/>
      <c r="I752" s="30"/>
    </row>
    <row r="753" spans="5:9">
      <c r="E753" s="2"/>
      <c r="H753" s="29"/>
      <c r="I753" s="30"/>
    </row>
    <row r="754" spans="5:9">
      <c r="E754" s="2"/>
      <c r="H754" s="29"/>
      <c r="I754" s="30"/>
    </row>
    <row r="755" spans="5:9">
      <c r="E755" s="2"/>
      <c r="H755" s="29"/>
      <c r="I755" s="30"/>
    </row>
    <row r="756" spans="5:9">
      <c r="E756" s="2"/>
      <c r="H756" s="29"/>
      <c r="I756" s="30"/>
    </row>
    <row r="757" spans="5:9">
      <c r="E757" s="2"/>
      <c r="H757" s="29"/>
      <c r="I757" s="30"/>
    </row>
    <row r="758" spans="5:9">
      <c r="E758" s="2"/>
      <c r="H758" s="29"/>
      <c r="I758" s="30"/>
    </row>
    <row r="759" spans="5:9">
      <c r="E759" s="2"/>
      <c r="H759" s="29"/>
      <c r="I759" s="30"/>
    </row>
    <row r="760" spans="5:9">
      <c r="E760" s="2"/>
      <c r="H760" s="29"/>
      <c r="I760" s="30"/>
    </row>
    <row r="761" spans="5:9">
      <c r="E761" s="2"/>
      <c r="H761" s="29"/>
      <c r="I761" s="30"/>
    </row>
    <row r="762" spans="5:9">
      <c r="E762" s="2"/>
      <c r="H762" s="29"/>
      <c r="I762" s="30"/>
    </row>
    <row r="763" spans="5:9">
      <c r="E763" s="2"/>
      <c r="H763" s="29"/>
      <c r="I763" s="30"/>
    </row>
    <row r="764" spans="5:9">
      <c r="E764" s="2"/>
      <c r="H764" s="29"/>
      <c r="I764" s="30"/>
    </row>
    <row r="765" spans="5:9">
      <c r="E765" s="2"/>
      <c r="H765" s="29"/>
      <c r="I765" s="30"/>
    </row>
    <row r="766" spans="5:9">
      <c r="E766" s="2"/>
      <c r="H766" s="29"/>
      <c r="I766" s="30"/>
    </row>
    <row r="767" spans="5:9">
      <c r="E767" s="2"/>
      <c r="H767" s="29"/>
      <c r="I767" s="30"/>
    </row>
    <row r="768" spans="5:9">
      <c r="E768" s="2"/>
      <c r="H768" s="29"/>
      <c r="I768" s="30"/>
    </row>
    <row r="769" spans="5:9">
      <c r="E769" s="2"/>
      <c r="H769" s="29"/>
      <c r="I769" s="30"/>
    </row>
    <row r="770" spans="5:9">
      <c r="E770" s="2"/>
      <c r="H770" s="29"/>
      <c r="I770" s="30"/>
    </row>
    <row r="771" spans="5:9">
      <c r="E771" s="2"/>
      <c r="H771" s="29"/>
      <c r="I771" s="30"/>
    </row>
    <row r="772" spans="5:9">
      <c r="E772" s="2"/>
      <c r="H772" s="29"/>
      <c r="I772" s="30"/>
    </row>
    <row r="773" spans="5:9">
      <c r="E773" s="2"/>
      <c r="H773" s="29"/>
      <c r="I773" s="30"/>
    </row>
    <row r="774" spans="5:9">
      <c r="E774" s="2"/>
      <c r="H774" s="29"/>
      <c r="I774" s="30"/>
    </row>
    <row r="775" spans="5:9">
      <c r="E775" s="2"/>
      <c r="H775" s="29"/>
      <c r="I775" s="30"/>
    </row>
    <row r="776" spans="5:9">
      <c r="E776" s="2"/>
      <c r="H776" s="29"/>
      <c r="I776" s="30"/>
    </row>
    <row r="777" spans="5:9">
      <c r="E777" s="2"/>
      <c r="H777" s="29"/>
      <c r="I777" s="30"/>
    </row>
    <row r="778" spans="5:9">
      <c r="E778" s="2"/>
      <c r="H778" s="29"/>
      <c r="I778" s="30"/>
    </row>
    <row r="779" spans="5:9">
      <c r="E779" s="2"/>
      <c r="H779" s="29"/>
      <c r="I779" s="30"/>
    </row>
    <row r="780" spans="5:9">
      <c r="E780" s="2"/>
      <c r="H780" s="29"/>
      <c r="I780" s="30"/>
    </row>
    <row r="781" spans="5:9">
      <c r="E781" s="2"/>
      <c r="H781" s="29"/>
      <c r="I781" s="30"/>
    </row>
    <row r="782" spans="5:9">
      <c r="E782" s="2"/>
      <c r="H782" s="29"/>
      <c r="I782" s="30"/>
    </row>
    <row r="783" spans="5:9">
      <c r="E783" s="2"/>
      <c r="H783" s="29"/>
      <c r="I783" s="30"/>
    </row>
    <row r="784" spans="5:9">
      <c r="E784" s="2"/>
      <c r="H784" s="29"/>
      <c r="I784" s="30"/>
    </row>
    <row r="785" spans="5:9">
      <c r="E785" s="2"/>
      <c r="H785" s="29"/>
      <c r="I785" s="30"/>
    </row>
    <row r="786" spans="5:9">
      <c r="E786" s="2"/>
      <c r="H786" s="29"/>
      <c r="I786" s="30"/>
    </row>
    <row r="787" spans="5:9">
      <c r="E787" s="2"/>
      <c r="H787" s="29"/>
      <c r="I787" s="30"/>
    </row>
    <row r="788" spans="5:9">
      <c r="E788" s="2"/>
      <c r="H788" s="29"/>
      <c r="I788" s="30"/>
    </row>
    <row r="789" spans="5:9">
      <c r="E789" s="2"/>
      <c r="H789" s="29"/>
      <c r="I789" s="30"/>
    </row>
    <row r="790" spans="5:9">
      <c r="E790" s="2"/>
      <c r="H790" s="29"/>
      <c r="I790" s="30"/>
    </row>
    <row r="791" spans="5:9">
      <c r="E791" s="2"/>
      <c r="H791" s="29"/>
      <c r="I791" s="30"/>
    </row>
    <row r="792" spans="5:9">
      <c r="E792" s="2"/>
      <c r="H792" s="29"/>
      <c r="I792" s="30"/>
    </row>
    <row r="793" spans="5:9">
      <c r="E793" s="2"/>
      <c r="H793" s="29"/>
      <c r="I793" s="30"/>
    </row>
    <row r="794" spans="5:9">
      <c r="E794" s="2"/>
      <c r="H794" s="29"/>
      <c r="I794" s="30"/>
    </row>
    <row r="795" spans="5:9">
      <c r="E795" s="2"/>
      <c r="H795" s="29"/>
      <c r="I795" s="30"/>
    </row>
    <row r="796" spans="5:9">
      <c r="E796" s="2"/>
      <c r="H796" s="29"/>
      <c r="I796" s="30"/>
    </row>
    <row r="797" spans="5:9">
      <c r="E797" s="2"/>
      <c r="H797" s="29"/>
      <c r="I797" s="30"/>
    </row>
    <row r="798" spans="5:9">
      <c r="E798" s="2"/>
      <c r="H798" s="29"/>
      <c r="I798" s="30"/>
    </row>
    <row r="799" spans="5:9">
      <c r="E799" s="2"/>
      <c r="H799" s="29"/>
      <c r="I799" s="30"/>
    </row>
    <row r="800" spans="5:9">
      <c r="E800" s="2"/>
      <c r="H800" s="29"/>
      <c r="I800" s="30"/>
    </row>
    <row r="801" spans="5:9">
      <c r="E801" s="2"/>
      <c r="H801" s="29"/>
      <c r="I801" s="30"/>
    </row>
    <row r="802" spans="5:9">
      <c r="E802" s="2"/>
      <c r="H802" s="29"/>
      <c r="I802" s="30"/>
    </row>
    <row r="803" spans="5:9">
      <c r="E803" s="2"/>
      <c r="H803" s="29"/>
      <c r="I803" s="30"/>
    </row>
    <row r="804" spans="5:9">
      <c r="E804" s="2"/>
      <c r="H804" s="29"/>
      <c r="I804" s="30"/>
    </row>
    <row r="805" spans="5:9">
      <c r="E805" s="2"/>
      <c r="H805" s="29"/>
      <c r="I805" s="30"/>
    </row>
    <row r="806" spans="5:9">
      <c r="E806" s="2"/>
      <c r="H806" s="29"/>
      <c r="I806" s="30"/>
    </row>
    <row r="807" spans="5:9">
      <c r="E807" s="2"/>
      <c r="H807" s="29"/>
      <c r="I807" s="30"/>
    </row>
    <row r="808" spans="5:9">
      <c r="E808" s="2"/>
      <c r="H808" s="29"/>
      <c r="I808" s="30"/>
    </row>
    <row r="809" spans="5:9">
      <c r="E809" s="2"/>
      <c r="H809" s="29"/>
      <c r="I809" s="30"/>
    </row>
    <row r="810" spans="5:9">
      <c r="E810" s="2"/>
      <c r="H810" s="29"/>
      <c r="I810" s="30"/>
    </row>
    <row r="811" spans="5:9">
      <c r="E811" s="2"/>
      <c r="H811" s="29"/>
      <c r="I811" s="30"/>
    </row>
    <row r="812" spans="5:9">
      <c r="E812" s="2"/>
      <c r="H812" s="29"/>
      <c r="I812" s="30"/>
    </row>
    <row r="813" spans="5:9">
      <c r="E813" s="2"/>
      <c r="H813" s="29"/>
      <c r="I813" s="30"/>
    </row>
    <row r="814" spans="5:9">
      <c r="E814" s="2"/>
      <c r="H814" s="29"/>
      <c r="I814" s="30"/>
    </row>
    <row r="815" spans="5:9">
      <c r="E815" s="2"/>
      <c r="H815" s="29"/>
      <c r="I815" s="30"/>
    </row>
    <row r="816" spans="5:9">
      <c r="E816" s="2"/>
      <c r="H816" s="29"/>
      <c r="I816" s="30"/>
    </row>
    <row r="817" spans="5:9">
      <c r="E817" s="2"/>
      <c r="H817" s="29"/>
      <c r="I817" s="30"/>
    </row>
    <row r="818" spans="5:9">
      <c r="E818" s="2"/>
      <c r="H818" s="29"/>
      <c r="I818" s="30"/>
    </row>
    <row r="819" spans="5:9">
      <c r="E819" s="2"/>
      <c r="H819" s="29"/>
      <c r="I819" s="30"/>
    </row>
    <row r="820" spans="5:9">
      <c r="E820" s="2"/>
      <c r="H820" s="29"/>
      <c r="I820" s="30"/>
    </row>
    <row r="821" spans="5:9">
      <c r="E821" s="2"/>
      <c r="H821" s="29"/>
      <c r="I821" s="30"/>
    </row>
    <row r="822" spans="5:9">
      <c r="E822" s="2"/>
      <c r="H822" s="29"/>
      <c r="I822" s="30"/>
    </row>
    <row r="823" spans="5:9">
      <c r="E823" s="2"/>
      <c r="H823" s="29"/>
      <c r="I823" s="30"/>
    </row>
    <row r="824" spans="5:9">
      <c r="E824" s="2"/>
      <c r="H824" s="29"/>
      <c r="I824" s="30"/>
    </row>
    <row r="825" spans="5:9">
      <c r="E825" s="2"/>
      <c r="H825" s="29"/>
      <c r="I825" s="30"/>
    </row>
    <row r="826" spans="5:9">
      <c r="E826" s="2"/>
      <c r="H826" s="29"/>
      <c r="I826" s="30"/>
    </row>
    <row r="827" spans="5:9">
      <c r="E827" s="2"/>
      <c r="H827" s="29"/>
      <c r="I827" s="30"/>
    </row>
    <row r="828" spans="5:9">
      <c r="E828" s="2"/>
      <c r="H828" s="29"/>
      <c r="I828" s="30"/>
    </row>
    <row r="829" spans="5:9">
      <c r="E829" s="2"/>
      <c r="H829" s="29"/>
      <c r="I829" s="30"/>
    </row>
    <row r="830" spans="5:9">
      <c r="E830" s="2"/>
      <c r="H830" s="29"/>
      <c r="I830" s="30"/>
    </row>
    <row r="831" spans="5:9">
      <c r="E831" s="2"/>
      <c r="H831" s="29"/>
      <c r="I831" s="30"/>
    </row>
    <row r="832" spans="5:9">
      <c r="E832" s="2"/>
      <c r="H832" s="29"/>
      <c r="I832" s="30"/>
    </row>
    <row r="833" spans="5:9">
      <c r="E833" s="2"/>
      <c r="H833" s="29"/>
      <c r="I833" s="30"/>
    </row>
    <row r="834" spans="5:9">
      <c r="E834" s="2"/>
      <c r="H834" s="29"/>
      <c r="I834" s="30"/>
    </row>
    <row r="835" spans="5:9">
      <c r="E835" s="2"/>
      <c r="H835" s="29"/>
      <c r="I835" s="30"/>
    </row>
    <row r="836" spans="5:9">
      <c r="E836" s="2"/>
      <c r="H836" s="29"/>
      <c r="I836" s="30"/>
    </row>
    <row r="837" spans="5:9">
      <c r="E837" s="2"/>
      <c r="H837" s="29"/>
      <c r="I837" s="30"/>
    </row>
    <row r="838" spans="5:9">
      <c r="E838" s="2"/>
      <c r="H838" s="29"/>
      <c r="I838" s="30"/>
    </row>
    <row r="839" spans="5:9">
      <c r="E839" s="2"/>
      <c r="H839" s="29"/>
      <c r="I839" s="30"/>
    </row>
    <row r="840" spans="5:9">
      <c r="E840" s="2"/>
      <c r="H840" s="29"/>
      <c r="I840" s="30"/>
    </row>
    <row r="841" spans="5:9">
      <c r="E841" s="2"/>
      <c r="H841" s="29"/>
      <c r="I841" s="30"/>
    </row>
    <row r="842" spans="5:9">
      <c r="E842" s="2"/>
      <c r="H842" s="29"/>
      <c r="I842" s="30"/>
    </row>
    <row r="843" spans="5:9">
      <c r="E843" s="2"/>
      <c r="H843" s="29"/>
      <c r="I843" s="30"/>
    </row>
    <row r="844" spans="5:9">
      <c r="E844" s="2"/>
      <c r="H844" s="29"/>
      <c r="I844" s="30"/>
    </row>
    <row r="845" spans="5:9">
      <c r="E845" s="2"/>
      <c r="H845" s="29"/>
      <c r="I845" s="30"/>
    </row>
    <row r="846" spans="5:9">
      <c r="E846" s="2"/>
      <c r="H846" s="29"/>
      <c r="I846" s="30"/>
    </row>
    <row r="847" spans="5:9">
      <c r="E847" s="2"/>
      <c r="H847" s="29"/>
      <c r="I847" s="30"/>
    </row>
    <row r="848" spans="5:9">
      <c r="E848" s="2"/>
      <c r="H848" s="29"/>
      <c r="I848" s="30"/>
    </row>
    <row r="849" spans="5:9">
      <c r="E849" s="2"/>
      <c r="H849" s="29"/>
      <c r="I849" s="30"/>
    </row>
    <row r="850" spans="5:9">
      <c r="E850" s="2"/>
      <c r="H850" s="29"/>
      <c r="I850" s="30"/>
    </row>
    <row r="851" spans="5:9">
      <c r="E851" s="2"/>
      <c r="H851" s="29"/>
      <c r="I851" s="30"/>
    </row>
    <row r="852" spans="5:9">
      <c r="E852" s="2"/>
      <c r="H852" s="29"/>
      <c r="I852" s="30"/>
    </row>
    <row r="853" spans="5:9">
      <c r="E853" s="2"/>
      <c r="H853" s="29"/>
      <c r="I853" s="30"/>
    </row>
    <row r="854" spans="5:9">
      <c r="E854" s="2"/>
      <c r="H854" s="29"/>
      <c r="I854" s="30"/>
    </row>
    <row r="855" spans="5:9">
      <c r="E855" s="2"/>
      <c r="H855" s="29"/>
      <c r="I855" s="30"/>
    </row>
    <row r="856" spans="5:9">
      <c r="E856" s="2"/>
      <c r="H856" s="29"/>
      <c r="I856" s="30"/>
    </row>
    <row r="857" spans="5:9">
      <c r="E857" s="2"/>
      <c r="H857" s="29"/>
      <c r="I857" s="30"/>
    </row>
    <row r="858" spans="5:9">
      <c r="E858" s="2"/>
      <c r="H858" s="29"/>
      <c r="I858" s="30"/>
    </row>
    <row r="859" spans="5:9">
      <c r="E859" s="2"/>
      <c r="H859" s="29"/>
      <c r="I859" s="30"/>
    </row>
    <row r="860" spans="5:9">
      <c r="E860" s="2"/>
      <c r="H860" s="29"/>
      <c r="I860" s="30"/>
    </row>
    <row r="861" spans="5:9">
      <c r="E861" s="2"/>
      <c r="H861" s="29"/>
      <c r="I861" s="30"/>
    </row>
    <row r="862" spans="5:9">
      <c r="E862" s="2"/>
      <c r="H862" s="29"/>
      <c r="I862" s="30"/>
    </row>
    <row r="863" spans="5:9">
      <c r="E863" s="2"/>
      <c r="H863" s="29"/>
      <c r="I863" s="30"/>
    </row>
    <row r="864" spans="5:9">
      <c r="E864" s="2"/>
      <c r="H864" s="29"/>
      <c r="I864" s="30"/>
    </row>
    <row r="865" spans="5:9">
      <c r="E865" s="2"/>
      <c r="H865" s="29"/>
      <c r="I865" s="30"/>
    </row>
    <row r="866" spans="5:9">
      <c r="E866" s="2"/>
      <c r="H866" s="29"/>
      <c r="I866" s="30"/>
    </row>
    <row r="867" spans="5:9">
      <c r="E867" s="2"/>
      <c r="H867" s="29"/>
      <c r="I867" s="30"/>
    </row>
    <row r="868" spans="5:9">
      <c r="E868" s="2"/>
      <c r="H868" s="29"/>
      <c r="I868" s="30"/>
    </row>
    <row r="869" spans="5:9">
      <c r="E869" s="2"/>
      <c r="H869" s="29"/>
      <c r="I869" s="30"/>
    </row>
    <row r="870" spans="5:9">
      <c r="E870" s="2"/>
      <c r="H870" s="29"/>
      <c r="I870" s="30"/>
    </row>
    <row r="871" spans="5:9">
      <c r="E871" s="2"/>
      <c r="H871" s="29"/>
      <c r="I871" s="30"/>
    </row>
    <row r="872" spans="5:9">
      <c r="E872" s="2"/>
      <c r="H872" s="29"/>
      <c r="I872" s="30"/>
    </row>
    <row r="873" spans="5:9">
      <c r="E873" s="2"/>
      <c r="H873" s="29"/>
      <c r="I873" s="30"/>
    </row>
    <row r="874" spans="5:9">
      <c r="E874" s="2"/>
      <c r="H874" s="29"/>
      <c r="I874" s="30"/>
    </row>
    <row r="875" spans="5:9">
      <c r="E875" s="2"/>
      <c r="H875" s="29"/>
      <c r="I875" s="30"/>
    </row>
    <row r="876" spans="5:9">
      <c r="E876" s="2"/>
      <c r="H876" s="29"/>
      <c r="I876" s="30"/>
    </row>
    <row r="877" spans="5:9">
      <c r="E877" s="2"/>
      <c r="H877" s="29"/>
      <c r="I877" s="30"/>
    </row>
    <row r="878" spans="5:9">
      <c r="E878" s="2"/>
      <c r="H878" s="29"/>
      <c r="I878" s="30"/>
    </row>
    <row r="879" spans="5:9">
      <c r="E879" s="2"/>
      <c r="H879" s="29"/>
      <c r="I879" s="30"/>
    </row>
    <row r="880" spans="5:9">
      <c r="E880" s="2"/>
      <c r="H880" s="29"/>
      <c r="I880" s="30"/>
    </row>
    <row r="881" spans="5:9">
      <c r="E881" s="2"/>
      <c r="H881" s="29"/>
      <c r="I881" s="30"/>
    </row>
    <row r="882" spans="5:9">
      <c r="E882" s="2"/>
      <c r="H882" s="29"/>
      <c r="I882" s="30"/>
    </row>
    <row r="883" spans="5:9">
      <c r="E883" s="2"/>
      <c r="H883" s="29"/>
      <c r="I883" s="30"/>
    </row>
    <row r="884" spans="5:9">
      <c r="E884" s="2"/>
      <c r="H884" s="29"/>
      <c r="I884" s="30"/>
    </row>
    <row r="885" spans="5:9">
      <c r="E885" s="2"/>
      <c r="H885" s="29"/>
      <c r="I885" s="30"/>
    </row>
    <row r="886" spans="5:9">
      <c r="E886" s="2"/>
      <c r="H886" s="29"/>
      <c r="I886" s="30"/>
    </row>
    <row r="887" spans="5:9">
      <c r="E887" s="2"/>
      <c r="H887" s="29"/>
      <c r="I887" s="30"/>
    </row>
    <row r="888" spans="5:9">
      <c r="E888" s="2"/>
      <c r="H888" s="29"/>
      <c r="I888" s="30"/>
    </row>
    <row r="889" spans="5:9">
      <c r="E889" s="2"/>
      <c r="H889" s="29"/>
      <c r="I889" s="30"/>
    </row>
    <row r="890" spans="5:9">
      <c r="E890" s="2"/>
      <c r="H890" s="29"/>
      <c r="I890" s="30"/>
    </row>
    <row r="891" spans="5:9">
      <c r="E891" s="2"/>
      <c r="H891" s="29"/>
      <c r="I891" s="30"/>
    </row>
    <row r="892" spans="5:9">
      <c r="E892" s="2"/>
      <c r="H892" s="29"/>
      <c r="I892" s="30"/>
    </row>
    <row r="893" spans="5:9">
      <c r="E893" s="2"/>
      <c r="H893" s="29"/>
      <c r="I893" s="30"/>
    </row>
    <row r="894" spans="5:9">
      <c r="E894" s="2"/>
      <c r="H894" s="29"/>
      <c r="I894" s="30"/>
    </row>
    <row r="895" spans="5:9">
      <c r="E895" s="2"/>
      <c r="H895" s="29"/>
      <c r="I895" s="30"/>
    </row>
    <row r="896" spans="5:9">
      <c r="E896" s="2"/>
      <c r="H896" s="29"/>
      <c r="I896" s="30"/>
    </row>
    <row r="897" spans="5:9">
      <c r="E897" s="2"/>
      <c r="H897" s="29"/>
      <c r="I897" s="30"/>
    </row>
    <row r="898" spans="5:9">
      <c r="E898" s="2"/>
      <c r="H898" s="29"/>
      <c r="I898" s="30"/>
    </row>
    <row r="899" spans="5:9">
      <c r="E899" s="2"/>
      <c r="H899" s="29"/>
      <c r="I899" s="30"/>
    </row>
    <row r="900" spans="5:9">
      <c r="E900" s="2"/>
      <c r="H900" s="29"/>
      <c r="I900" s="30"/>
    </row>
    <row r="901" spans="5:9">
      <c r="E901" s="2"/>
      <c r="H901" s="29"/>
      <c r="I901" s="30"/>
    </row>
    <row r="902" spans="5:9">
      <c r="E902" s="2"/>
      <c r="H902" s="29"/>
      <c r="I902" s="30"/>
    </row>
    <row r="903" spans="5:9">
      <c r="E903" s="2"/>
      <c r="H903" s="29"/>
      <c r="I903" s="30"/>
    </row>
    <row r="904" spans="5:9">
      <c r="E904" s="2"/>
      <c r="H904" s="29"/>
      <c r="I904" s="30"/>
    </row>
    <row r="905" spans="5:9">
      <c r="E905" s="2"/>
      <c r="H905" s="29"/>
      <c r="I905" s="30"/>
    </row>
    <row r="906" spans="5:9">
      <c r="E906" s="2"/>
      <c r="H906" s="29"/>
      <c r="I906" s="30"/>
    </row>
    <row r="907" spans="5:9">
      <c r="E907" s="2"/>
      <c r="H907" s="29"/>
      <c r="I907" s="30"/>
    </row>
    <row r="908" spans="5:9">
      <c r="E908" s="2"/>
      <c r="H908" s="29"/>
      <c r="I908" s="30"/>
    </row>
    <row r="909" spans="5:9">
      <c r="E909" s="2"/>
      <c r="H909" s="29"/>
      <c r="I909" s="30"/>
    </row>
    <row r="910" spans="5:9">
      <c r="E910" s="2"/>
      <c r="H910" s="29"/>
      <c r="I910" s="30"/>
    </row>
    <row r="911" spans="5:9">
      <c r="E911" s="2"/>
      <c r="H911" s="29"/>
      <c r="I911" s="30"/>
    </row>
    <row r="912" spans="5:9">
      <c r="E912" s="2"/>
      <c r="H912" s="29"/>
      <c r="I912" s="30"/>
    </row>
    <row r="913" spans="5:9">
      <c r="E913" s="2"/>
      <c r="H913" s="29"/>
      <c r="I913" s="30"/>
    </row>
    <row r="914" spans="5:9">
      <c r="E914" s="2"/>
      <c r="H914" s="29"/>
      <c r="I914" s="30"/>
    </row>
    <row r="915" spans="5:9">
      <c r="E915" s="2"/>
      <c r="H915" s="29"/>
      <c r="I915" s="30"/>
    </row>
    <row r="916" spans="5:9">
      <c r="E916" s="2"/>
      <c r="H916" s="29"/>
      <c r="I916" s="30"/>
    </row>
    <row r="917" spans="5:9">
      <c r="E917" s="2"/>
      <c r="H917" s="29"/>
      <c r="I917" s="30"/>
    </row>
    <row r="918" spans="5:9">
      <c r="E918" s="2"/>
      <c r="H918" s="29"/>
      <c r="I918" s="30"/>
    </row>
    <row r="919" spans="5:9">
      <c r="E919" s="2"/>
      <c r="H919" s="29"/>
      <c r="I919" s="30"/>
    </row>
    <row r="920" spans="5:9">
      <c r="E920" s="2"/>
      <c r="H920" s="29"/>
      <c r="I920" s="30"/>
    </row>
    <row r="921" spans="5:9">
      <c r="E921" s="2"/>
      <c r="H921" s="29"/>
      <c r="I921" s="30"/>
    </row>
    <row r="922" spans="5:9">
      <c r="E922" s="2"/>
      <c r="H922" s="29"/>
      <c r="I922" s="30"/>
    </row>
    <row r="923" spans="5:9">
      <c r="E923" s="2"/>
      <c r="H923" s="29"/>
      <c r="I923" s="30"/>
    </row>
    <row r="924" spans="5:9">
      <c r="E924" s="2"/>
      <c r="H924" s="29"/>
      <c r="I924" s="30"/>
    </row>
    <row r="925" spans="5:9">
      <c r="E925" s="2"/>
      <c r="H925" s="29"/>
      <c r="I925" s="30"/>
    </row>
    <row r="926" spans="5:9">
      <c r="E926" s="2"/>
      <c r="H926" s="29"/>
      <c r="I926" s="30"/>
    </row>
    <row r="927" spans="5:9">
      <c r="E927" s="2"/>
      <c r="H927" s="29"/>
      <c r="I927" s="30"/>
    </row>
    <row r="928" spans="5:9">
      <c r="E928" s="2"/>
      <c r="H928" s="29"/>
      <c r="I928" s="30"/>
    </row>
    <row r="929" spans="5:9">
      <c r="E929" s="2"/>
      <c r="H929" s="29"/>
      <c r="I929" s="30"/>
    </row>
    <row r="930" spans="5:9">
      <c r="E930" s="2"/>
      <c r="H930" s="29"/>
      <c r="I930" s="30"/>
    </row>
    <row r="931" spans="5:9">
      <c r="E931" s="2"/>
      <c r="H931" s="29"/>
      <c r="I931" s="30"/>
    </row>
    <row r="932" spans="5:9">
      <c r="E932" s="2"/>
      <c r="H932" s="29"/>
      <c r="I932" s="30"/>
    </row>
    <row r="933" spans="5:9">
      <c r="E933" s="2"/>
      <c r="H933" s="29"/>
      <c r="I933" s="30"/>
    </row>
    <row r="934" spans="5:9">
      <c r="E934" s="2"/>
      <c r="H934" s="29"/>
      <c r="I934" s="30"/>
    </row>
    <row r="935" spans="5:9">
      <c r="E935" s="2"/>
      <c r="H935" s="29"/>
      <c r="I935" s="30"/>
    </row>
    <row r="936" spans="5:9">
      <c r="E936" s="2"/>
      <c r="H936" s="29"/>
      <c r="I936" s="30"/>
    </row>
    <row r="937" spans="5:9">
      <c r="E937" s="2"/>
      <c r="H937" s="29"/>
      <c r="I937" s="30"/>
    </row>
    <row r="938" spans="5:9">
      <c r="E938" s="2"/>
      <c r="H938" s="29"/>
      <c r="I938" s="30"/>
    </row>
    <row r="939" spans="5:9">
      <c r="E939" s="2"/>
      <c r="H939" s="29"/>
      <c r="I939" s="30"/>
    </row>
    <row r="940" spans="5:9">
      <c r="E940" s="2"/>
      <c r="H940" s="29"/>
      <c r="I940" s="30"/>
    </row>
    <row r="941" spans="5:9">
      <c r="E941" s="2"/>
      <c r="H941" s="29"/>
      <c r="I941" s="30"/>
    </row>
    <row r="942" spans="5:9">
      <c r="E942" s="2"/>
      <c r="H942" s="29"/>
      <c r="I942" s="30"/>
    </row>
    <row r="943" spans="5:9">
      <c r="E943" s="2"/>
      <c r="H943" s="29"/>
      <c r="I943" s="30"/>
    </row>
    <row r="944" spans="5:9">
      <c r="E944" s="2"/>
      <c r="H944" s="29"/>
      <c r="I944" s="30"/>
    </row>
    <row r="945" spans="5:9">
      <c r="E945" s="2"/>
      <c r="H945" s="29"/>
      <c r="I945" s="30"/>
    </row>
    <row r="946" spans="5:9">
      <c r="E946" s="2"/>
      <c r="H946" s="29"/>
      <c r="I946" s="30"/>
    </row>
    <row r="947" spans="5:9">
      <c r="E947" s="2"/>
      <c r="H947" s="29"/>
      <c r="I947" s="30"/>
    </row>
    <row r="948" spans="5:9">
      <c r="E948" s="2"/>
      <c r="H948" s="29"/>
      <c r="I948" s="30"/>
    </row>
    <row r="949" spans="5:9">
      <c r="E949" s="2"/>
      <c r="H949" s="29"/>
      <c r="I949" s="30"/>
    </row>
    <row r="950" spans="5:9">
      <c r="E950" s="2"/>
      <c r="H950" s="29"/>
      <c r="I950" s="30"/>
    </row>
    <row r="951" spans="5:9">
      <c r="E951" s="2"/>
      <c r="H951" s="29"/>
      <c r="I951" s="30"/>
    </row>
    <row r="952" spans="5:9">
      <c r="E952" s="2"/>
      <c r="H952" s="29"/>
      <c r="I952" s="30"/>
    </row>
    <row r="953" spans="5:9">
      <c r="E953" s="2"/>
      <c r="H953" s="29"/>
      <c r="I953" s="30"/>
    </row>
    <row r="954" spans="5:9">
      <c r="E954" s="2"/>
      <c r="H954" s="29"/>
      <c r="I954" s="30"/>
    </row>
    <row r="955" spans="5:9">
      <c r="E955" s="2"/>
      <c r="H955" s="29"/>
      <c r="I955" s="30"/>
    </row>
    <row r="956" spans="5:9">
      <c r="E956" s="2"/>
      <c r="H956" s="29"/>
      <c r="I956" s="30"/>
    </row>
    <row r="957" spans="5:9">
      <c r="E957" s="2"/>
      <c r="H957" s="29"/>
      <c r="I957" s="30"/>
    </row>
    <row r="958" spans="5:9">
      <c r="E958" s="2"/>
      <c r="H958" s="29"/>
      <c r="I958" s="30"/>
    </row>
    <row r="959" spans="5:9">
      <c r="E959" s="2"/>
      <c r="H959" s="29"/>
      <c r="I959" s="30"/>
    </row>
    <row r="960" spans="5:9">
      <c r="E960" s="2"/>
      <c r="H960" s="29"/>
      <c r="I960" s="30"/>
    </row>
    <row r="961" spans="5:9">
      <c r="E961" s="2"/>
      <c r="H961" s="29"/>
      <c r="I961" s="30"/>
    </row>
    <row r="962" spans="5:9">
      <c r="E962" s="2"/>
      <c r="H962" s="29"/>
      <c r="I962" s="30"/>
    </row>
    <row r="963" spans="5:9">
      <c r="E963" s="2"/>
      <c r="H963" s="29"/>
      <c r="I963" s="30"/>
    </row>
    <row r="964" spans="5:9">
      <c r="E964" s="2"/>
      <c r="H964" s="29"/>
      <c r="I964" s="30"/>
    </row>
    <row r="965" spans="5:9">
      <c r="E965" s="2"/>
      <c r="H965" s="29"/>
      <c r="I965" s="30"/>
    </row>
    <row r="966" spans="5:9">
      <c r="E966" s="2"/>
      <c r="H966" s="29"/>
      <c r="I966" s="30"/>
    </row>
    <row r="967" spans="5:9">
      <c r="E967" s="2"/>
      <c r="H967" s="29"/>
      <c r="I967" s="30"/>
    </row>
    <row r="968" spans="5:9">
      <c r="E968" s="2"/>
      <c r="H968" s="29"/>
      <c r="I968" s="30"/>
    </row>
    <row r="969" spans="5:9">
      <c r="E969" s="2"/>
      <c r="H969" s="29"/>
      <c r="I969" s="30"/>
    </row>
    <row r="970" spans="5:9">
      <c r="E970" s="2"/>
      <c r="H970" s="29"/>
      <c r="I970" s="30"/>
    </row>
    <row r="971" spans="5:9">
      <c r="E971" s="2"/>
      <c r="H971" s="29"/>
      <c r="I971" s="30"/>
    </row>
    <row r="972" spans="5:9">
      <c r="E972" s="2"/>
      <c r="H972" s="29"/>
      <c r="I972" s="30"/>
    </row>
    <row r="973" spans="5:9">
      <c r="E973" s="2"/>
      <c r="H973" s="29"/>
      <c r="I973" s="30"/>
    </row>
    <row r="974" spans="5:9">
      <c r="E974" s="2"/>
      <c r="H974" s="29"/>
      <c r="I974" s="30"/>
    </row>
    <row r="975" spans="5:9">
      <c r="E975" s="2"/>
      <c r="H975" s="29"/>
      <c r="I975" s="30"/>
    </row>
    <row r="976" spans="5:9">
      <c r="E976" s="2"/>
      <c r="H976" s="29"/>
      <c r="I976" s="30"/>
    </row>
    <row r="977" spans="5:9">
      <c r="E977" s="2"/>
      <c r="H977" s="29"/>
      <c r="I977" s="30"/>
    </row>
    <row r="978" spans="5:9">
      <c r="E978" s="2"/>
      <c r="H978" s="29"/>
      <c r="I978" s="30"/>
    </row>
    <row r="979" spans="5:9">
      <c r="E979" s="2"/>
      <c r="H979" s="29"/>
      <c r="I979" s="30"/>
    </row>
    <row r="980" spans="5:9">
      <c r="E980" s="2"/>
      <c r="H980" s="29"/>
      <c r="I980" s="30"/>
    </row>
    <row r="981" spans="5:9">
      <c r="E981" s="2"/>
      <c r="H981" s="29"/>
      <c r="I981" s="30"/>
    </row>
    <row r="982" spans="5:9">
      <c r="E982" s="2"/>
      <c r="H982" s="29"/>
      <c r="I982" s="30"/>
    </row>
    <row r="983" spans="5:9">
      <c r="E983" s="2"/>
      <c r="H983" s="29"/>
      <c r="I983" s="30"/>
    </row>
    <row r="984" spans="5:9">
      <c r="E984" s="2"/>
      <c r="H984" s="29"/>
      <c r="I984" s="30"/>
    </row>
    <row r="985" spans="5:9">
      <c r="E985" s="2"/>
      <c r="H985" s="29"/>
      <c r="I985" s="30"/>
    </row>
    <row r="986" spans="5:9">
      <c r="E986" s="2"/>
      <c r="H986" s="29"/>
      <c r="I986" s="30"/>
    </row>
  </sheetData>
  <dataValidations count="1">
    <dataValidation type="list" allowBlank="1" showErrorMessage="1" sqref="W3:W9" xr:uid="{00000000-0002-0000-0100-000000000000}">
      <formula1>"Open,Inprogress,Closed"</formula1>
    </dataValidation>
  </dataValidations>
  <hyperlinks>
    <hyperlink ref="M3" r:id="rId1" xr:uid="{00000000-0004-0000-0100-000000000000}"/>
    <hyperlink ref="M4" r:id="rId2" xr:uid="{00000000-0004-0000-0100-000001000000}"/>
    <hyperlink ref="M5" r:id="rId3" xr:uid="{00000000-0004-0000-0100-000002000000}"/>
    <hyperlink ref="M7" r:id="rId4" xr:uid="{00000000-0004-0000-0100-000003000000}"/>
    <hyperlink ref="M8" r:id="rId5" xr:uid="{00000000-0004-0000-0100-000004000000}"/>
    <hyperlink ref="M9" r:id="rId6" xr:uid="{00000000-0004-0000-0100-000005000000}"/>
  </hyperlinks>
  <pageMargins left="0" right="0" top="0" bottom="0" header="0" footer="0"/>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997"/>
  <sheetViews>
    <sheetView workbookViewId="0">
      <selection activeCell="H7" sqref="H7"/>
    </sheetView>
  </sheetViews>
  <sheetFormatPr defaultColWidth="12.5703125" defaultRowHeight="15" customHeight="1"/>
  <cols>
    <col min="1" max="1" width="11.140625" customWidth="1"/>
    <col min="2" max="2" width="21.28515625" customWidth="1"/>
    <col min="3" max="6" width="12.5703125" customWidth="1"/>
    <col min="11" max="11" width="27.7109375" customWidth="1"/>
  </cols>
  <sheetData>
    <row r="1" spans="1:26" ht="15.75" customHeight="1">
      <c r="A1" s="1" t="s">
        <v>254</v>
      </c>
      <c r="B1" s="31" t="s">
        <v>11</v>
      </c>
      <c r="C1" s="32" t="s">
        <v>322</v>
      </c>
      <c r="D1" s="31" t="s">
        <v>256</v>
      </c>
      <c r="E1" s="32" t="s">
        <v>324</v>
      </c>
      <c r="F1" s="32" t="s">
        <v>325</v>
      </c>
      <c r="G1" s="31" t="s">
        <v>326</v>
      </c>
      <c r="H1" s="31" t="s">
        <v>328</v>
      </c>
      <c r="I1" s="31" t="s">
        <v>259</v>
      </c>
      <c r="J1" s="33" t="s">
        <v>329</v>
      </c>
      <c r="K1" s="34" t="s">
        <v>280</v>
      </c>
      <c r="L1" s="35"/>
      <c r="M1" s="35"/>
      <c r="N1" s="35"/>
      <c r="O1" s="35"/>
      <c r="P1" s="35"/>
      <c r="Q1" s="35"/>
      <c r="R1" s="35"/>
      <c r="S1" s="35"/>
      <c r="T1" s="35"/>
      <c r="U1" s="35"/>
      <c r="V1" s="35"/>
      <c r="W1" s="35"/>
      <c r="X1" s="35"/>
      <c r="Y1" s="35"/>
      <c r="Z1" s="35"/>
    </row>
    <row r="2" spans="1:26" ht="15.75" customHeight="1">
      <c r="A2" s="109">
        <v>1</v>
      </c>
      <c r="B2" s="25" t="s">
        <v>2056</v>
      </c>
      <c r="C2" s="27" t="s">
        <v>2057</v>
      </c>
      <c r="D2" s="26" t="s">
        <v>1714</v>
      </c>
      <c r="E2" s="26" t="s">
        <v>380</v>
      </c>
      <c r="F2" s="27" t="s">
        <v>2058</v>
      </c>
      <c r="G2" s="26" t="s">
        <v>381</v>
      </c>
      <c r="H2" s="26" t="s">
        <v>383</v>
      </c>
      <c r="I2" s="26" t="s">
        <v>384</v>
      </c>
      <c r="J2" s="26" t="s">
        <v>385</v>
      </c>
      <c r="K2" s="26" t="s">
        <v>1757</v>
      </c>
      <c r="L2" s="35"/>
      <c r="M2" s="35"/>
      <c r="N2" s="35"/>
      <c r="O2" s="35"/>
      <c r="P2" s="35"/>
      <c r="Q2" s="35"/>
      <c r="R2" s="35"/>
      <c r="S2" s="35"/>
      <c r="T2" s="35"/>
      <c r="U2" s="35"/>
      <c r="V2" s="35"/>
    </row>
    <row r="3" spans="1:26" ht="15.75" customHeight="1"/>
    <row r="4" spans="1:26" ht="15.75" customHeight="1"/>
    <row r="5" spans="1:26" ht="15.75" customHeight="1"/>
    <row r="6" spans="1:26" ht="15.75" customHeight="1"/>
    <row r="7" spans="1:26" ht="15.75" customHeight="1"/>
    <row r="8" spans="1:26" ht="15.75" customHeight="1"/>
    <row r="9" spans="1:26" ht="15.75" customHeight="1"/>
    <row r="10" spans="1:26" ht="15.75" customHeight="1"/>
    <row r="11" spans="1:26" ht="15.75" customHeight="1"/>
    <row r="12" spans="1:26" ht="15.75" customHeight="1"/>
    <row r="13" spans="1:26" ht="15.75" customHeight="1"/>
    <row r="14" spans="1:26" ht="15.75" customHeight="1"/>
    <row r="15" spans="1:26" ht="15.75" customHeight="1"/>
    <row r="16" spans="1:26" ht="15.75" customHeight="1"/>
    <row r="17" customFormat="1" ht="15.75" customHeight="1"/>
    <row r="18" customFormat="1" ht="15.75" customHeight="1"/>
    <row r="19" customFormat="1" ht="15.75" customHeight="1"/>
    <row r="20" customFormat="1" ht="15.75" customHeight="1"/>
    <row r="21" customFormat="1" ht="15.75" customHeight="1"/>
    <row r="22" customFormat="1" ht="15.75" customHeight="1"/>
    <row r="23" customFormat="1" ht="15.75" customHeight="1"/>
    <row r="24" customFormat="1" ht="15.75" customHeight="1"/>
    <row r="25" customFormat="1" ht="15.75" customHeight="1"/>
    <row r="26" customFormat="1" ht="15.75" customHeight="1"/>
    <row r="27" customFormat="1" ht="15.75" customHeight="1"/>
    <row r="28" customFormat="1" ht="15.75" customHeight="1"/>
    <row r="29" customFormat="1" ht="15.75" customHeight="1"/>
    <row r="30" customFormat="1" ht="15.75" customHeight="1"/>
    <row r="31" customFormat="1" ht="15.75" customHeight="1"/>
    <row r="32" customFormat="1" ht="15.75" customHeight="1"/>
    <row r="33" customFormat="1" ht="15.75" customHeight="1"/>
    <row r="34" customFormat="1" ht="15.75" customHeight="1"/>
    <row r="35" customFormat="1" ht="15.75" customHeight="1"/>
    <row r="36" customFormat="1" ht="15.75" customHeight="1"/>
    <row r="37" customFormat="1" ht="15.75" customHeight="1"/>
    <row r="38" customFormat="1" ht="15.75" customHeight="1"/>
    <row r="39" customFormat="1" ht="15.75" customHeight="1"/>
    <row r="40" customFormat="1" ht="15.75" customHeight="1"/>
    <row r="41" customFormat="1" ht="15.75" customHeight="1"/>
    <row r="42" customFormat="1" ht="15.75" customHeight="1"/>
    <row r="43" customFormat="1" ht="15.75" customHeight="1"/>
    <row r="44" customFormat="1" ht="15.75" customHeight="1"/>
    <row r="45" customFormat="1" ht="15.75" customHeight="1"/>
    <row r="46" customFormat="1" ht="15.75" customHeight="1"/>
    <row r="47" customFormat="1" ht="15.75" customHeight="1"/>
    <row r="48" customFormat="1" ht="15.75" customHeight="1"/>
    <row r="49" customFormat="1" ht="15.75" customHeight="1"/>
    <row r="50" customFormat="1" ht="15.75" customHeight="1"/>
    <row r="51" customFormat="1" ht="15.75" customHeight="1"/>
    <row r="52" customFormat="1" ht="15.75" customHeight="1"/>
    <row r="53" customFormat="1" ht="15.75" customHeight="1"/>
    <row r="54" customFormat="1" ht="15.75" customHeight="1"/>
    <row r="55" customFormat="1" ht="15.75" customHeight="1"/>
    <row r="56" customFormat="1" ht="15.75" customHeight="1"/>
    <row r="57" customFormat="1" ht="15.75" customHeight="1"/>
    <row r="58" customFormat="1" ht="15.75" customHeight="1"/>
    <row r="59" customFormat="1" ht="15.75" customHeight="1"/>
    <row r="60" customFormat="1" ht="15.75" customHeight="1"/>
    <row r="61" customFormat="1" ht="15.75" customHeight="1"/>
    <row r="62" customFormat="1" ht="15.75" customHeight="1"/>
    <row r="63" customFormat="1" ht="15.75" customHeight="1"/>
    <row r="64" customFormat="1" ht="15.75" customHeight="1"/>
    <row r="65" customFormat="1" ht="15.75" customHeight="1"/>
    <row r="66" customFormat="1" ht="15.75" customHeight="1"/>
    <row r="67" customFormat="1" ht="15.75" customHeight="1"/>
    <row r="68" customFormat="1" ht="15.75" customHeight="1"/>
    <row r="69" customFormat="1" ht="15.75" customHeight="1"/>
    <row r="70" customFormat="1" ht="15.75" customHeight="1"/>
    <row r="71" customFormat="1" ht="15.75" customHeight="1"/>
    <row r="72" customFormat="1" ht="15.75" customHeight="1"/>
    <row r="73" customFormat="1" ht="15.75" customHeight="1"/>
    <row r="74" customFormat="1" ht="15.75" customHeight="1"/>
    <row r="75" customFormat="1" ht="15.75" customHeight="1"/>
    <row r="76" customFormat="1" ht="15.75" customHeight="1"/>
    <row r="77" customFormat="1" ht="15.75" customHeight="1"/>
    <row r="78" customFormat="1" ht="15.75" customHeight="1"/>
    <row r="79" customFormat="1" ht="15.75" customHeight="1"/>
    <row r="80" customFormat="1" ht="15.75" customHeight="1"/>
    <row r="81" customFormat="1" ht="15.75" customHeight="1"/>
    <row r="82" customFormat="1" ht="15.75" customHeight="1"/>
    <row r="83" customFormat="1" ht="15.75" customHeight="1"/>
    <row r="84" customFormat="1" ht="15.75" customHeight="1"/>
    <row r="85" customFormat="1" ht="15.75" customHeight="1"/>
    <row r="86" customFormat="1" ht="15.75" customHeight="1"/>
    <row r="87" customFormat="1" ht="15.75" customHeight="1"/>
    <row r="88" customFormat="1" ht="15.75" customHeight="1"/>
    <row r="89" customFormat="1" ht="15.75" customHeight="1"/>
    <row r="90" customFormat="1" ht="15.75" customHeight="1"/>
    <row r="91" customFormat="1" ht="15.75" customHeight="1"/>
    <row r="92" customFormat="1" ht="15.75" customHeight="1"/>
    <row r="93" customFormat="1" ht="15.75" customHeight="1"/>
    <row r="94" customFormat="1" ht="15.75" customHeight="1"/>
    <row r="95" customFormat="1" ht="15.75" customHeight="1"/>
    <row r="96" customFormat="1" ht="15.75" customHeight="1"/>
    <row r="97" customFormat="1" ht="15.75" customHeight="1"/>
    <row r="98" customFormat="1" ht="15.75" customHeight="1"/>
    <row r="99" customFormat="1" ht="15.75" customHeight="1"/>
    <row r="100" customFormat="1" ht="15.75" customHeight="1"/>
    <row r="101" customFormat="1" ht="15.75" customHeight="1"/>
    <row r="102" customFormat="1" ht="15.75" customHeight="1"/>
    <row r="103" customFormat="1" ht="15.75" customHeight="1"/>
    <row r="104" customFormat="1" ht="15.75" customHeight="1"/>
    <row r="105" customFormat="1" ht="15.75" customHeight="1"/>
    <row r="106" customFormat="1" ht="15.75" customHeight="1"/>
    <row r="107" customFormat="1" ht="15.75" customHeight="1"/>
    <row r="108" customFormat="1" ht="15.75" customHeight="1"/>
    <row r="109" customFormat="1" ht="15.75" customHeight="1"/>
    <row r="110" customFormat="1" ht="15.75" customHeight="1"/>
    <row r="111" customFormat="1" ht="15.75" customHeight="1"/>
    <row r="112" customFormat="1" ht="15.75" customHeight="1"/>
    <row r="113" customFormat="1" ht="15.75" customHeight="1"/>
    <row r="114" customFormat="1" ht="15.75" customHeight="1"/>
    <row r="115" customFormat="1" ht="15.75" customHeight="1"/>
    <row r="116" customFormat="1" ht="15.75" customHeight="1"/>
    <row r="117" customFormat="1" ht="15.75" customHeight="1"/>
    <row r="118" customFormat="1" ht="15.75" customHeight="1"/>
    <row r="119" customFormat="1" ht="15.75" customHeight="1"/>
    <row r="120" customFormat="1" ht="15.75" customHeight="1"/>
    <row r="121" customFormat="1" ht="15.75" customHeight="1"/>
    <row r="122" customFormat="1" ht="15.75" customHeight="1"/>
    <row r="123" customFormat="1" ht="15.75" customHeight="1"/>
    <row r="124" customFormat="1" ht="15.75" customHeight="1"/>
    <row r="125" customFormat="1" ht="15.75" customHeight="1"/>
    <row r="126" customFormat="1" ht="15.75" customHeight="1"/>
    <row r="127" customFormat="1" ht="15.75" customHeight="1"/>
    <row r="128" customFormat="1" ht="15.75" customHeight="1"/>
    <row r="129" customFormat="1" ht="15.75" customHeight="1"/>
    <row r="130" customFormat="1" ht="15.75" customHeight="1"/>
    <row r="131" customFormat="1" ht="15.75" customHeight="1"/>
    <row r="132" customFormat="1" ht="15.75" customHeight="1"/>
    <row r="133" customFormat="1" ht="15.75" customHeight="1"/>
    <row r="134" customFormat="1" ht="15.75" customHeight="1"/>
    <row r="135" customFormat="1" ht="15.75" customHeight="1"/>
    <row r="136" customFormat="1" ht="15.75" customHeight="1"/>
    <row r="137" customFormat="1" ht="15.75" customHeight="1"/>
    <row r="138" customFormat="1" ht="15.75" customHeight="1"/>
    <row r="139" customFormat="1" ht="15.75" customHeight="1"/>
    <row r="140" customFormat="1" ht="15.75" customHeight="1"/>
    <row r="141" customFormat="1" ht="15.75" customHeight="1"/>
    <row r="142" customFormat="1" ht="15.75" customHeight="1"/>
    <row r="143" customFormat="1" ht="15.75" customHeight="1"/>
    <row r="144" customFormat="1" ht="15.75" customHeight="1"/>
    <row r="145" customFormat="1" ht="15.75" customHeight="1"/>
    <row r="146" customFormat="1" ht="15.75" customHeight="1"/>
    <row r="147" customFormat="1" ht="15.75" customHeight="1"/>
    <row r="148" customFormat="1" ht="15.75" customHeight="1"/>
    <row r="149" customFormat="1" ht="15.75" customHeight="1"/>
    <row r="150" customFormat="1" ht="15.75" customHeight="1"/>
    <row r="151" customFormat="1" ht="15.75" customHeight="1"/>
    <row r="152" customFormat="1" ht="15.75" customHeight="1"/>
    <row r="153" customFormat="1" ht="15.75" customHeight="1"/>
    <row r="154" customFormat="1" ht="15.75" customHeight="1"/>
    <row r="155" customFormat="1" ht="15.75" customHeight="1"/>
    <row r="156" customFormat="1" ht="15.75" customHeight="1"/>
    <row r="157" customFormat="1" ht="15.75" customHeight="1"/>
    <row r="158" customFormat="1" ht="15.75" customHeight="1"/>
    <row r="159" customFormat="1" ht="15.75" customHeight="1"/>
    <row r="160" customFormat="1" ht="15.75" customHeight="1"/>
    <row r="161" customFormat="1" ht="15.75" customHeight="1"/>
    <row r="162" customFormat="1" ht="15.75" customHeight="1"/>
    <row r="163" customFormat="1" ht="15.75" customHeight="1"/>
    <row r="164" customFormat="1" ht="15.75" customHeight="1"/>
    <row r="165" customFormat="1" ht="15.75" customHeight="1"/>
    <row r="166" customFormat="1" ht="15.75" customHeight="1"/>
    <row r="167" customFormat="1" ht="15.75" customHeight="1"/>
    <row r="168" customFormat="1" ht="15.75" customHeight="1"/>
    <row r="169" customFormat="1" ht="15.75" customHeight="1"/>
    <row r="170" customFormat="1" ht="15.75" customHeight="1"/>
    <row r="171" customFormat="1" ht="15.75" customHeight="1"/>
    <row r="172" customFormat="1" ht="15.75" customHeight="1"/>
    <row r="173" customFormat="1" ht="15.75" customHeight="1"/>
    <row r="174" customFormat="1" ht="15.75" customHeight="1"/>
    <row r="175" customFormat="1" ht="15.75" customHeight="1"/>
    <row r="176" customFormat="1" ht="15.75" customHeight="1"/>
    <row r="177" customFormat="1" ht="15.75" customHeight="1"/>
    <row r="178" customFormat="1" ht="15.75" customHeight="1"/>
    <row r="179" customFormat="1" ht="15.75" customHeight="1"/>
    <row r="180" customFormat="1" ht="15.75" customHeight="1"/>
    <row r="181" customFormat="1" ht="15.75" customHeight="1"/>
    <row r="182" customFormat="1" ht="15.75" customHeight="1"/>
    <row r="183" customFormat="1" ht="15.75" customHeight="1"/>
    <row r="184" customFormat="1" ht="15.75" customHeight="1"/>
    <row r="185" customFormat="1" ht="15.75" customHeight="1"/>
    <row r="186" customFormat="1" ht="15.75" customHeight="1"/>
    <row r="187" customFormat="1" ht="15.75" customHeight="1"/>
    <row r="188" customFormat="1" ht="15.75" customHeight="1"/>
    <row r="189" customFormat="1" ht="15.75" customHeight="1"/>
    <row r="190" customFormat="1" ht="15.75" customHeight="1"/>
    <row r="191" customFormat="1" ht="15.75" customHeight="1"/>
    <row r="192" customFormat="1" ht="15.75" customHeight="1"/>
    <row r="193" customFormat="1" ht="15.75" customHeight="1"/>
    <row r="194" customFormat="1" ht="15.75" customHeight="1"/>
    <row r="195" customFormat="1" ht="15.75" customHeight="1"/>
    <row r="196" customFormat="1" ht="15.75" customHeight="1"/>
    <row r="197" customFormat="1" ht="15.75" customHeight="1"/>
    <row r="198" customFormat="1" ht="15.75" customHeight="1"/>
    <row r="199" customFormat="1" ht="15.75" customHeight="1"/>
    <row r="200" customFormat="1" ht="15.75" customHeight="1"/>
    <row r="201" customFormat="1" ht="15.75" customHeight="1"/>
    <row r="202" customFormat="1" ht="15.75" customHeight="1"/>
    <row r="203" customFormat="1" ht="15.75" customHeight="1"/>
    <row r="204" customFormat="1" ht="15.75" customHeight="1"/>
    <row r="205" customFormat="1" ht="15.75" customHeight="1"/>
    <row r="206" customFormat="1" ht="15.75" customHeight="1"/>
    <row r="207" customFormat="1" ht="15.75" customHeight="1"/>
    <row r="208" customFormat="1" ht="15.75" customHeight="1"/>
    <row r="209" customFormat="1" ht="15.75" customHeight="1"/>
    <row r="210" customFormat="1" ht="15.75" customHeight="1"/>
    <row r="211" customFormat="1" ht="15.75" customHeight="1"/>
    <row r="212" customFormat="1" ht="15.75" customHeight="1"/>
    <row r="213" customFormat="1" ht="15.75" customHeight="1"/>
    <row r="214" customFormat="1" ht="15.75" customHeight="1"/>
    <row r="215" customFormat="1" ht="15.75" customHeight="1"/>
    <row r="216" customFormat="1" ht="15.75" customHeight="1"/>
    <row r="217" customFormat="1" ht="15.75" customHeight="1"/>
    <row r="218" customFormat="1" ht="15.75" customHeight="1"/>
    <row r="219" customFormat="1" ht="15.75" customHeight="1"/>
    <row r="220" customFormat="1" ht="15.75" customHeight="1"/>
    <row r="221" customFormat="1" ht="15.75" customHeight="1"/>
    <row r="222" customFormat="1" ht="15.75" customHeight="1"/>
    <row r="223" customFormat="1" ht="15.75" customHeight="1"/>
    <row r="224" customFormat="1" ht="15.75" customHeight="1"/>
    <row r="225" customFormat="1" ht="15.75" customHeight="1"/>
    <row r="226" customFormat="1" ht="15.75" customHeight="1"/>
    <row r="227" customFormat="1" ht="15.75" customHeight="1"/>
    <row r="228" customFormat="1" ht="15.75" customHeight="1"/>
    <row r="229" customFormat="1" ht="15.75" customHeight="1"/>
    <row r="230" customFormat="1" ht="15.75" customHeight="1"/>
    <row r="231" customFormat="1" ht="15.75" customHeight="1"/>
    <row r="232" customFormat="1" ht="15.75" customHeight="1"/>
    <row r="233" customFormat="1" ht="15.75" customHeight="1"/>
    <row r="234" customFormat="1" ht="15.75" customHeight="1"/>
    <row r="235" customFormat="1" ht="15.75" customHeight="1"/>
    <row r="236" customFormat="1" ht="15.75" customHeight="1"/>
    <row r="237" customFormat="1" ht="15.75" customHeight="1"/>
    <row r="238" customFormat="1" ht="15.75" customHeight="1"/>
    <row r="239" customFormat="1" ht="15.75" customHeight="1"/>
    <row r="240" customFormat="1" ht="15.75" customHeight="1"/>
    <row r="241" customFormat="1" ht="15.75" customHeight="1"/>
    <row r="242" customFormat="1" ht="15.75" customHeight="1"/>
    <row r="243" customFormat="1" ht="15.75" customHeight="1"/>
    <row r="244" customFormat="1" ht="15.75" customHeight="1"/>
    <row r="245" customFormat="1" ht="15.75" customHeight="1"/>
    <row r="246" customFormat="1" ht="15.75" customHeight="1"/>
    <row r="247" customFormat="1" ht="15.75" customHeight="1"/>
    <row r="248" customFormat="1" ht="15.75" customHeight="1"/>
    <row r="249" customFormat="1" ht="15.75" customHeight="1"/>
    <row r="250" customFormat="1" ht="15.75" customHeight="1"/>
    <row r="251" customFormat="1" ht="15.75" customHeight="1"/>
    <row r="252" customFormat="1" ht="15.75" customHeight="1"/>
    <row r="253" customFormat="1" ht="15.75" customHeight="1"/>
    <row r="254" customFormat="1" ht="15.75" customHeight="1"/>
    <row r="255" customFormat="1" ht="15.75" customHeight="1"/>
    <row r="256" customFormat="1" ht="15.75" customHeight="1"/>
    <row r="257" customFormat="1" ht="15.75" customHeight="1"/>
    <row r="258" customFormat="1" ht="15.75" customHeight="1"/>
    <row r="259" customFormat="1" ht="15.75" customHeight="1"/>
    <row r="260" customFormat="1" ht="15.75" customHeight="1"/>
    <row r="261" customFormat="1" ht="15.75" customHeight="1"/>
    <row r="262" customFormat="1" ht="15.75" customHeight="1"/>
    <row r="263" customFormat="1" ht="15.75" customHeight="1"/>
    <row r="264" customFormat="1" ht="15.75" customHeight="1"/>
    <row r="265" customFormat="1" ht="15.75" customHeight="1"/>
    <row r="266" customFormat="1" ht="15.75" customHeight="1"/>
    <row r="267" customFormat="1" ht="15.75" customHeight="1"/>
    <row r="268" customFormat="1" ht="15.75" customHeight="1"/>
    <row r="269" customFormat="1" ht="15.75" customHeight="1"/>
    <row r="270" customFormat="1" ht="15.75" customHeight="1"/>
    <row r="271" customFormat="1" ht="15.75" customHeight="1"/>
    <row r="272" customFormat="1" ht="15.75" customHeight="1"/>
    <row r="273" customFormat="1" ht="15.75" customHeight="1"/>
    <row r="274" customFormat="1" ht="15.75" customHeight="1"/>
    <row r="275" customFormat="1" ht="15.75" customHeight="1"/>
    <row r="276" customFormat="1" ht="15.75" customHeight="1"/>
    <row r="277" customFormat="1" ht="15.75" customHeight="1"/>
    <row r="278" customFormat="1" ht="15.75" customHeight="1"/>
    <row r="279" customFormat="1" ht="15.75" customHeight="1"/>
    <row r="280" customFormat="1" ht="15.75" customHeight="1"/>
    <row r="281" customFormat="1" ht="15.75" customHeight="1"/>
    <row r="282" customFormat="1" ht="15.75" customHeight="1"/>
    <row r="283" customFormat="1" ht="15.75" customHeight="1"/>
    <row r="284" customFormat="1" ht="15.75" customHeight="1"/>
    <row r="285" customFormat="1" ht="15.75" customHeight="1"/>
    <row r="286" customFormat="1" ht="15.75" customHeight="1"/>
    <row r="287" customFormat="1" ht="15.75" customHeight="1"/>
    <row r="288" customFormat="1" ht="15.75" customHeight="1"/>
    <row r="289" customFormat="1" ht="15.75" customHeight="1"/>
    <row r="290" customFormat="1" ht="15.75" customHeight="1"/>
    <row r="291" customFormat="1" ht="15.75" customHeight="1"/>
    <row r="292" customFormat="1" ht="15.75" customHeight="1"/>
    <row r="293" customFormat="1" ht="15.75" customHeight="1"/>
    <row r="294" customFormat="1" ht="15.75" customHeight="1"/>
    <row r="295" customFormat="1" ht="15.75" customHeight="1"/>
    <row r="296" customFormat="1" ht="15.75" customHeight="1"/>
    <row r="297" customFormat="1" ht="15.75" customHeight="1"/>
    <row r="298" customFormat="1" ht="15.75" customHeight="1"/>
    <row r="299" customFormat="1" ht="15.75" customHeight="1"/>
    <row r="300" customFormat="1" ht="15.75" customHeight="1"/>
    <row r="301" customFormat="1" ht="15.75" customHeight="1"/>
    <row r="302" customFormat="1" ht="15.75" customHeight="1"/>
    <row r="303" customFormat="1" ht="15.75" customHeight="1"/>
    <row r="304" customFormat="1" ht="15.75" customHeight="1"/>
    <row r="305" customFormat="1" ht="15.75" customHeight="1"/>
    <row r="306" customFormat="1" ht="15.75" customHeight="1"/>
    <row r="307" customFormat="1" ht="15.75" customHeight="1"/>
    <row r="308" customFormat="1" ht="15.75" customHeight="1"/>
    <row r="309" customFormat="1" ht="15.75" customHeight="1"/>
    <row r="310" customFormat="1" ht="15.75" customHeight="1"/>
    <row r="311" customFormat="1" ht="15.75" customHeight="1"/>
    <row r="312" customFormat="1" ht="15.75" customHeight="1"/>
    <row r="313" customFormat="1" ht="15.75" customHeight="1"/>
    <row r="314" customFormat="1" ht="15.75" customHeight="1"/>
    <row r="315" customFormat="1" ht="15.75" customHeight="1"/>
    <row r="316" customFormat="1" ht="15.75" customHeight="1"/>
    <row r="317" customFormat="1" ht="15.75" customHeight="1"/>
    <row r="318" customFormat="1" ht="15.75" customHeight="1"/>
    <row r="319" customFormat="1" ht="15.75" customHeight="1"/>
    <row r="320" customFormat="1" ht="15.75" customHeight="1"/>
    <row r="321" customFormat="1" ht="15.75" customHeight="1"/>
    <row r="322" customFormat="1" ht="15.75" customHeight="1"/>
    <row r="323" customFormat="1" ht="15.75" customHeight="1"/>
    <row r="324" customFormat="1" ht="15.75" customHeight="1"/>
    <row r="325" customFormat="1" ht="15.75" customHeight="1"/>
    <row r="326" customFormat="1" ht="15.75" customHeight="1"/>
    <row r="327" customFormat="1" ht="15.75" customHeight="1"/>
    <row r="328" customFormat="1" ht="15.75" customHeight="1"/>
    <row r="329" customFormat="1" ht="15.75" customHeight="1"/>
    <row r="330" customFormat="1" ht="15.75" customHeight="1"/>
    <row r="331" customFormat="1" ht="15.75" customHeight="1"/>
    <row r="332" customFormat="1" ht="15.75" customHeight="1"/>
    <row r="333" customFormat="1" ht="15.75" customHeight="1"/>
    <row r="334" customFormat="1" ht="15.75" customHeight="1"/>
    <row r="335" customFormat="1" ht="15.75" customHeight="1"/>
    <row r="336" customFormat="1" ht="15.75" customHeight="1"/>
    <row r="337" customFormat="1" ht="15.75" customHeight="1"/>
    <row r="338" customFormat="1" ht="15.75" customHeight="1"/>
    <row r="339" customFormat="1" ht="15.75" customHeight="1"/>
    <row r="340" customFormat="1" ht="15.75" customHeight="1"/>
    <row r="341" customFormat="1" ht="15.75" customHeight="1"/>
    <row r="342" customFormat="1" ht="15.75" customHeight="1"/>
    <row r="343" customFormat="1" ht="15.75" customHeight="1"/>
    <row r="344" customFormat="1" ht="15.75" customHeight="1"/>
    <row r="345" customFormat="1" ht="15.75" customHeight="1"/>
    <row r="346" customFormat="1" ht="15.75" customHeight="1"/>
    <row r="347" customFormat="1" ht="15.75" customHeight="1"/>
    <row r="348" customFormat="1" ht="15.75" customHeight="1"/>
    <row r="349" customFormat="1" ht="15.75" customHeight="1"/>
    <row r="350" customFormat="1" ht="15.75" customHeight="1"/>
    <row r="351" customFormat="1" ht="15.75" customHeight="1"/>
    <row r="352" customFormat="1" ht="15.75" customHeight="1"/>
    <row r="353" customFormat="1" ht="15.75" customHeight="1"/>
    <row r="354" customFormat="1" ht="15.75" customHeight="1"/>
    <row r="355" customFormat="1" ht="15.75" customHeight="1"/>
    <row r="356" customFormat="1" ht="15.75" customHeight="1"/>
    <row r="357" customFormat="1" ht="15.75" customHeight="1"/>
    <row r="358" customFormat="1" ht="15.75" customHeight="1"/>
    <row r="359" customFormat="1" ht="15.75" customHeight="1"/>
    <row r="360" customFormat="1" ht="15.75" customHeight="1"/>
    <row r="361" customFormat="1" ht="15.75" customHeight="1"/>
    <row r="362" customFormat="1" ht="15.75" customHeight="1"/>
    <row r="363" customFormat="1" ht="15.75" customHeight="1"/>
    <row r="364" customFormat="1" ht="15.75" customHeight="1"/>
    <row r="365" customFormat="1" ht="15.75" customHeight="1"/>
    <row r="366" customFormat="1" ht="15.75" customHeight="1"/>
    <row r="367" customFormat="1" ht="15.75" customHeight="1"/>
    <row r="368" customFormat="1" ht="15.75" customHeight="1"/>
    <row r="369" customFormat="1" ht="15.75" customHeight="1"/>
    <row r="370" customFormat="1" ht="15.75" customHeight="1"/>
    <row r="371" customFormat="1" ht="15.75" customHeight="1"/>
    <row r="372" customFormat="1" ht="15.75" customHeight="1"/>
    <row r="373" customFormat="1" ht="15.75" customHeight="1"/>
    <row r="374" customFormat="1" ht="15.75" customHeight="1"/>
    <row r="375" customFormat="1" ht="15.75" customHeight="1"/>
    <row r="376" customFormat="1" ht="15.75" customHeight="1"/>
    <row r="377" customFormat="1" ht="15.75" customHeight="1"/>
    <row r="378" customFormat="1" ht="15.75" customHeight="1"/>
    <row r="379" customFormat="1" ht="15.75" customHeight="1"/>
    <row r="380" customFormat="1" ht="15.75" customHeight="1"/>
    <row r="381" customFormat="1" ht="15.75" customHeight="1"/>
    <row r="382" customFormat="1" ht="15.75" customHeight="1"/>
    <row r="383" customFormat="1" ht="15.75" customHeight="1"/>
    <row r="384" customFormat="1" ht="15.75" customHeight="1"/>
    <row r="385" customFormat="1" ht="15.75" customHeight="1"/>
    <row r="386" customFormat="1" ht="15.75" customHeight="1"/>
    <row r="387" customFormat="1" ht="15.75" customHeight="1"/>
    <row r="388" customFormat="1" ht="15.75" customHeight="1"/>
    <row r="389" customFormat="1" ht="15.75" customHeight="1"/>
    <row r="390" customFormat="1" ht="15.75" customHeight="1"/>
    <row r="391" customFormat="1" ht="15.75" customHeight="1"/>
    <row r="392" customFormat="1" ht="15.75" customHeight="1"/>
    <row r="393" customFormat="1" ht="15.75" customHeight="1"/>
    <row r="394" customFormat="1" ht="15.75" customHeight="1"/>
    <row r="395" customFormat="1" ht="15.75" customHeight="1"/>
    <row r="396" customFormat="1" ht="15.75" customHeight="1"/>
    <row r="397" customFormat="1" ht="15.75" customHeight="1"/>
    <row r="398" customFormat="1" ht="15.75" customHeight="1"/>
    <row r="399" customFormat="1" ht="15.75" customHeight="1"/>
    <row r="400" customFormat="1" ht="15.75" customHeight="1"/>
    <row r="401" customFormat="1" ht="15.75" customHeight="1"/>
    <row r="402" customFormat="1" ht="15.75" customHeight="1"/>
    <row r="403" customFormat="1" ht="15.75" customHeight="1"/>
    <row r="404" customFormat="1" ht="15.75" customHeight="1"/>
    <row r="405" customFormat="1" ht="15.75" customHeight="1"/>
    <row r="406" customFormat="1" ht="15.75" customHeight="1"/>
    <row r="407" customFormat="1" ht="15.75" customHeight="1"/>
    <row r="408" customFormat="1" ht="15.75" customHeight="1"/>
    <row r="409" customFormat="1" ht="15.75" customHeight="1"/>
    <row r="410" customFormat="1" ht="15.75" customHeight="1"/>
    <row r="411" customFormat="1" ht="15.75" customHeight="1"/>
    <row r="412" customFormat="1" ht="15.75" customHeight="1"/>
    <row r="413" customFormat="1" ht="15.75" customHeight="1"/>
    <row r="414" customFormat="1" ht="15.75" customHeight="1"/>
    <row r="415" customFormat="1" ht="15.75" customHeight="1"/>
    <row r="416" customFormat="1" ht="15.75" customHeight="1"/>
    <row r="417" customFormat="1" ht="15.75" customHeight="1"/>
    <row r="418" customFormat="1" ht="15.75" customHeight="1"/>
    <row r="419" customFormat="1" ht="15.75" customHeight="1"/>
    <row r="420" customFormat="1" ht="15.75" customHeight="1"/>
    <row r="421" customFormat="1" ht="15.75" customHeight="1"/>
    <row r="422" customFormat="1" ht="15.75" customHeight="1"/>
    <row r="423" customFormat="1" ht="15.75" customHeight="1"/>
    <row r="424" customFormat="1" ht="15.75" customHeight="1"/>
    <row r="425" customFormat="1" ht="15.75" customHeight="1"/>
    <row r="426" customFormat="1" ht="15.75" customHeight="1"/>
    <row r="427" customFormat="1" ht="15.75" customHeight="1"/>
    <row r="428" customFormat="1" ht="15.75" customHeight="1"/>
    <row r="429" customFormat="1" ht="15.75" customHeight="1"/>
    <row r="430" customFormat="1" ht="15.75" customHeight="1"/>
    <row r="431" customFormat="1" ht="15.75" customHeight="1"/>
    <row r="432" customFormat="1" ht="15.75" customHeight="1"/>
    <row r="433" customFormat="1" ht="15.75" customHeight="1"/>
    <row r="434" customFormat="1" ht="15.75" customHeight="1"/>
    <row r="435" customFormat="1" ht="15.75" customHeight="1"/>
    <row r="436" customFormat="1" ht="15.75" customHeight="1"/>
    <row r="437" customFormat="1" ht="15.75" customHeight="1"/>
    <row r="438" customFormat="1" ht="15.75" customHeight="1"/>
    <row r="439" customFormat="1" ht="15.75" customHeight="1"/>
    <row r="440" customFormat="1" ht="15.75" customHeight="1"/>
    <row r="441" customFormat="1" ht="15.75" customHeight="1"/>
    <row r="442" customFormat="1" ht="15.75" customHeight="1"/>
    <row r="443" customFormat="1" ht="15.75" customHeight="1"/>
    <row r="444" customFormat="1" ht="15.75" customHeight="1"/>
    <row r="445" customFormat="1" ht="15.75" customHeight="1"/>
    <row r="446" customFormat="1" ht="15.75" customHeight="1"/>
    <row r="447" customFormat="1" ht="15.75" customHeight="1"/>
    <row r="448" customFormat="1" ht="15.75" customHeight="1"/>
    <row r="449" customFormat="1" ht="15.75" customHeight="1"/>
    <row r="450" customFormat="1" ht="15.75" customHeight="1"/>
    <row r="451" customFormat="1" ht="15.75" customHeight="1"/>
    <row r="452" customFormat="1" ht="15.75" customHeight="1"/>
    <row r="453" customFormat="1" ht="15.75" customHeight="1"/>
    <row r="454" customFormat="1" ht="15.75" customHeight="1"/>
    <row r="455" customFormat="1" ht="15.75" customHeight="1"/>
    <row r="456" customFormat="1" ht="15.75" customHeight="1"/>
    <row r="457" customFormat="1" ht="15.75" customHeight="1"/>
    <row r="458" customFormat="1" ht="15.75" customHeight="1"/>
    <row r="459" customFormat="1" ht="15.75" customHeight="1"/>
    <row r="460" customFormat="1" ht="15.75" customHeight="1"/>
    <row r="461" customFormat="1" ht="15.75" customHeight="1"/>
    <row r="462" customFormat="1" ht="15.75" customHeight="1"/>
    <row r="463" customFormat="1" ht="15.75" customHeight="1"/>
    <row r="464" customFormat="1" ht="15.75" customHeight="1"/>
    <row r="465" customFormat="1" ht="15.75" customHeight="1"/>
    <row r="466" customFormat="1" ht="15.75" customHeight="1"/>
    <row r="467" customFormat="1" ht="15.75" customHeight="1"/>
    <row r="468" customFormat="1" ht="15.75" customHeight="1"/>
    <row r="469" customFormat="1" ht="15.75" customHeight="1"/>
    <row r="470" customFormat="1" ht="15.75" customHeight="1"/>
    <row r="471" customFormat="1" ht="15.75" customHeight="1"/>
    <row r="472" customFormat="1" ht="15.75" customHeight="1"/>
    <row r="473" customFormat="1" ht="15.75" customHeight="1"/>
    <row r="474" customFormat="1" ht="15.75" customHeight="1"/>
    <row r="475" customFormat="1" ht="15.75" customHeight="1"/>
    <row r="476" customFormat="1" ht="15.75" customHeight="1"/>
    <row r="477" customFormat="1" ht="15.75" customHeight="1"/>
    <row r="478" customFormat="1" ht="15.75" customHeight="1"/>
    <row r="479" customFormat="1" ht="15.75" customHeight="1"/>
    <row r="480" customFormat="1" ht="15.75" customHeight="1"/>
    <row r="481" customFormat="1" ht="15.75" customHeight="1"/>
    <row r="482" customFormat="1" ht="15.75" customHeight="1"/>
    <row r="483" customFormat="1" ht="15.75" customHeight="1"/>
    <row r="484" customFormat="1" ht="15.75" customHeight="1"/>
    <row r="485" customFormat="1" ht="15.75" customHeight="1"/>
    <row r="486" customFormat="1" ht="15.75" customHeight="1"/>
    <row r="487" customFormat="1" ht="15.75" customHeight="1"/>
    <row r="488" customFormat="1" ht="15.75" customHeight="1"/>
    <row r="489" customFormat="1" ht="15.75" customHeight="1"/>
    <row r="490" customFormat="1" ht="15.75" customHeight="1"/>
    <row r="491" customFormat="1" ht="15.75" customHeight="1"/>
    <row r="492" customFormat="1" ht="15.75" customHeight="1"/>
    <row r="493" customFormat="1" ht="15.75" customHeight="1"/>
    <row r="494" customFormat="1" ht="15.75" customHeight="1"/>
    <row r="495" customFormat="1" ht="15.75" customHeight="1"/>
    <row r="496" customFormat="1" ht="15.75" customHeight="1"/>
    <row r="497" customFormat="1" ht="15.75" customHeight="1"/>
    <row r="498" customFormat="1" ht="15.75" customHeight="1"/>
    <row r="499" customFormat="1" ht="15.75" customHeight="1"/>
    <row r="500" customFormat="1" ht="15.75" customHeight="1"/>
    <row r="501" customFormat="1" ht="15.75" customHeight="1"/>
    <row r="502" customFormat="1" ht="15.75" customHeight="1"/>
    <row r="503" customFormat="1" ht="15.75" customHeight="1"/>
    <row r="504" customFormat="1" ht="15.75" customHeight="1"/>
    <row r="505" customFormat="1" ht="15.75" customHeight="1"/>
    <row r="506" customFormat="1" ht="15.75" customHeight="1"/>
    <row r="507" customFormat="1" ht="15.75" customHeight="1"/>
    <row r="508" customFormat="1" ht="15.75" customHeight="1"/>
    <row r="509" customFormat="1" ht="15.75" customHeight="1"/>
    <row r="510" customFormat="1" ht="15.75" customHeight="1"/>
    <row r="511" customFormat="1" ht="15.75" customHeight="1"/>
    <row r="512" customFormat="1" ht="15.75" customHeight="1"/>
    <row r="513" customFormat="1" ht="15.75" customHeight="1"/>
    <row r="514" customFormat="1" ht="15.75" customHeight="1"/>
    <row r="515" customFormat="1" ht="15.75" customHeight="1"/>
    <row r="516" customFormat="1" ht="15.75" customHeight="1"/>
    <row r="517" customFormat="1" ht="15.75" customHeight="1"/>
    <row r="518" customFormat="1" ht="15.75" customHeight="1"/>
    <row r="519" customFormat="1" ht="15.75" customHeight="1"/>
    <row r="520" customFormat="1" ht="15.75" customHeight="1"/>
    <row r="521" customFormat="1" ht="15.75" customHeight="1"/>
    <row r="522" customFormat="1" ht="15.75" customHeight="1"/>
    <row r="523" customFormat="1" ht="15.75" customHeight="1"/>
    <row r="524" customFormat="1" ht="15.75" customHeight="1"/>
    <row r="525" customFormat="1" ht="15.75" customHeight="1"/>
    <row r="526" customFormat="1" ht="15.75" customHeight="1"/>
    <row r="527" customFormat="1" ht="15.75" customHeight="1"/>
    <row r="528" customFormat="1" ht="15.75" customHeight="1"/>
    <row r="529" customFormat="1" ht="15.75" customHeight="1"/>
    <row r="530" customFormat="1" ht="15.75" customHeight="1"/>
    <row r="531" customFormat="1" ht="15.75" customHeight="1"/>
    <row r="532" customFormat="1" ht="15.75" customHeight="1"/>
    <row r="533" customFormat="1" ht="15.75" customHeight="1"/>
    <row r="534" customFormat="1" ht="15.75" customHeight="1"/>
    <row r="535" customFormat="1" ht="15.75" customHeight="1"/>
    <row r="536" customFormat="1" ht="15.75" customHeight="1"/>
    <row r="537" customFormat="1" ht="15.75" customHeight="1"/>
    <row r="538" customFormat="1" ht="15.75" customHeight="1"/>
    <row r="539" customFormat="1" ht="15.75" customHeight="1"/>
    <row r="540" customFormat="1" ht="15.75" customHeight="1"/>
    <row r="541" customFormat="1" ht="15.75" customHeight="1"/>
    <row r="542" customFormat="1" ht="15.75" customHeight="1"/>
    <row r="543" customFormat="1" ht="15.75" customHeight="1"/>
    <row r="544" customFormat="1" ht="15.75" customHeight="1"/>
    <row r="545" customFormat="1" ht="15.75" customHeight="1"/>
    <row r="546" customFormat="1" ht="15.75" customHeight="1"/>
    <row r="547" customFormat="1" ht="15.75" customHeight="1"/>
    <row r="548" customFormat="1" ht="15.75" customHeight="1"/>
    <row r="549" customFormat="1" ht="15.75" customHeight="1"/>
    <row r="550" customFormat="1" ht="15.75" customHeight="1"/>
    <row r="551" customFormat="1" ht="15.75" customHeight="1"/>
    <row r="552" customFormat="1" ht="15.75" customHeight="1"/>
    <row r="553" customFormat="1" ht="15.75" customHeight="1"/>
    <row r="554" customFormat="1" ht="15.75" customHeight="1"/>
    <row r="555" customFormat="1" ht="15.75" customHeight="1"/>
    <row r="556" customFormat="1" ht="15.75" customHeight="1"/>
    <row r="557" customFormat="1" ht="15.75" customHeight="1"/>
    <row r="558" customFormat="1" ht="15.75" customHeight="1"/>
    <row r="559" customFormat="1" ht="15.75" customHeight="1"/>
    <row r="560" customFormat="1" ht="15.75" customHeight="1"/>
    <row r="561" customFormat="1" ht="15.75" customHeight="1"/>
    <row r="562" customFormat="1" ht="15.75" customHeight="1"/>
    <row r="563" customFormat="1" ht="15.75" customHeight="1"/>
    <row r="564" customFormat="1" ht="15.75" customHeight="1"/>
    <row r="565" customFormat="1" ht="15.75" customHeight="1"/>
    <row r="566" customFormat="1" ht="15.75" customHeight="1"/>
    <row r="567" customFormat="1" ht="15.75" customHeight="1"/>
    <row r="568" customFormat="1" ht="15.75" customHeight="1"/>
    <row r="569" customFormat="1" ht="15.75" customHeight="1"/>
    <row r="570" customFormat="1" ht="15.75" customHeight="1"/>
    <row r="571" customFormat="1" ht="15.75" customHeight="1"/>
    <row r="572" customFormat="1" ht="15.75" customHeight="1"/>
    <row r="573" customFormat="1" ht="15.75" customHeight="1"/>
    <row r="574" customFormat="1" ht="15.75" customHeight="1"/>
    <row r="575" customFormat="1" ht="15.75" customHeight="1"/>
    <row r="576" customFormat="1" ht="15.75" customHeight="1"/>
    <row r="577" customFormat="1" ht="15.75" customHeight="1"/>
    <row r="578" customFormat="1" ht="15.75" customHeight="1"/>
    <row r="579" customFormat="1" ht="15.75" customHeight="1"/>
    <row r="580" customFormat="1" ht="15.75" customHeight="1"/>
    <row r="581" customFormat="1" ht="15.75" customHeight="1"/>
    <row r="582" customFormat="1" ht="15.75" customHeight="1"/>
    <row r="583" customFormat="1" ht="15.75" customHeight="1"/>
    <row r="584" customFormat="1" ht="15.75" customHeight="1"/>
    <row r="585" customFormat="1" ht="15.75" customHeight="1"/>
    <row r="586" customFormat="1" ht="15.75" customHeight="1"/>
    <row r="587" customFormat="1" ht="15.75" customHeight="1"/>
    <row r="588" customFormat="1" ht="15.75" customHeight="1"/>
    <row r="589" customFormat="1" ht="15.75" customHeight="1"/>
    <row r="590" customFormat="1" ht="15.75" customHeight="1"/>
    <row r="591" customFormat="1" ht="15.75" customHeight="1"/>
    <row r="592" customFormat="1" ht="15.75" customHeight="1"/>
    <row r="593" customFormat="1" ht="15.75" customHeight="1"/>
    <row r="594" customFormat="1" ht="15.75" customHeight="1"/>
    <row r="595" customFormat="1" ht="15.75" customHeight="1"/>
    <row r="596" customFormat="1" ht="15.75" customHeight="1"/>
    <row r="597" customFormat="1" ht="15.75" customHeight="1"/>
    <row r="598" customFormat="1" ht="15.75" customHeight="1"/>
    <row r="599" customFormat="1" ht="15.75" customHeight="1"/>
    <row r="600" customFormat="1" ht="15.75" customHeight="1"/>
    <row r="601" customFormat="1" ht="15.75" customHeight="1"/>
    <row r="602" customFormat="1" ht="15.75" customHeight="1"/>
    <row r="603" customFormat="1" ht="15.75" customHeight="1"/>
    <row r="604" customFormat="1" ht="15.75" customHeight="1"/>
    <row r="605" customFormat="1" ht="15.75" customHeight="1"/>
    <row r="606" customFormat="1" ht="15.75" customHeight="1"/>
    <row r="607" customFormat="1" ht="15.75" customHeight="1"/>
    <row r="608" customFormat="1" ht="15.75" customHeight="1"/>
    <row r="609" customFormat="1" ht="15.75" customHeight="1"/>
    <row r="610" customFormat="1" ht="15.75" customHeight="1"/>
    <row r="611" customFormat="1" ht="15.75" customHeight="1"/>
    <row r="612" customFormat="1" ht="15.75" customHeight="1"/>
    <row r="613" customFormat="1" ht="15.75" customHeight="1"/>
    <row r="614" customFormat="1" ht="15.75" customHeight="1"/>
    <row r="615" customFormat="1" ht="15.75" customHeight="1"/>
    <row r="616" customFormat="1" ht="15.75" customHeight="1"/>
    <row r="617" customFormat="1" ht="15.75" customHeight="1"/>
    <row r="618" customFormat="1" ht="15.75" customHeight="1"/>
    <row r="619" customFormat="1" ht="15.75" customHeight="1"/>
    <row r="620" customFormat="1" ht="15.75" customHeight="1"/>
    <row r="621" customFormat="1" ht="15.75" customHeight="1"/>
    <row r="622" customFormat="1" ht="15.75" customHeight="1"/>
    <row r="623" customFormat="1" ht="15.75" customHeight="1"/>
    <row r="624" customFormat="1" ht="15.75" customHeight="1"/>
    <row r="625" customFormat="1" ht="15.75" customHeight="1"/>
    <row r="626" customFormat="1" ht="15.75" customHeight="1"/>
    <row r="627" customFormat="1" ht="15.75" customHeight="1"/>
    <row r="628" customFormat="1" ht="15.75" customHeight="1"/>
    <row r="629" customFormat="1" ht="15.75" customHeight="1"/>
    <row r="630" customFormat="1" ht="15.75" customHeight="1"/>
    <row r="631" customFormat="1" ht="15.75" customHeight="1"/>
    <row r="632" customFormat="1" ht="15.75" customHeight="1"/>
    <row r="633" customFormat="1" ht="15.75" customHeight="1"/>
    <row r="634" customFormat="1" ht="15.75" customHeight="1"/>
    <row r="635" customFormat="1" ht="15.75" customHeight="1"/>
    <row r="636" customFormat="1" ht="15.75" customHeight="1"/>
    <row r="637" customFormat="1" ht="15.75" customHeight="1"/>
    <row r="638" customFormat="1" ht="15.75" customHeight="1"/>
    <row r="639" customFormat="1" ht="15.75" customHeight="1"/>
    <row r="640" customFormat="1" ht="15.75" customHeight="1"/>
    <row r="641" customFormat="1" ht="15.75" customHeight="1"/>
    <row r="642" customFormat="1" ht="15.75" customHeight="1"/>
    <row r="643" customFormat="1" ht="15.75" customHeight="1"/>
    <row r="644" customFormat="1" ht="15.75" customHeight="1"/>
    <row r="645" customFormat="1" ht="15.75" customHeight="1"/>
    <row r="646" customFormat="1" ht="15.75" customHeight="1"/>
    <row r="647" customFormat="1" ht="15.75" customHeight="1"/>
    <row r="648" customFormat="1" ht="15.75" customHeight="1"/>
    <row r="649" customFormat="1" ht="15.75" customHeight="1"/>
    <row r="650" customFormat="1" ht="15.75" customHeight="1"/>
    <row r="651" customFormat="1" ht="15.75" customHeight="1"/>
    <row r="652" customFormat="1" ht="15.75" customHeight="1"/>
    <row r="653" customFormat="1" ht="15.75" customHeight="1"/>
    <row r="654" customFormat="1" ht="15.75" customHeight="1"/>
    <row r="655" customFormat="1" ht="15.75" customHeight="1"/>
    <row r="656" customFormat="1" ht="15.75" customHeight="1"/>
    <row r="657" customFormat="1" ht="15.75" customHeight="1"/>
    <row r="658" customFormat="1" ht="15.75" customHeight="1"/>
    <row r="659" customFormat="1" ht="15.75" customHeight="1"/>
    <row r="660" customFormat="1" ht="15.75" customHeight="1"/>
    <row r="661" customFormat="1" ht="15.75" customHeight="1"/>
    <row r="662" customFormat="1" ht="15.75" customHeight="1"/>
    <row r="663" customFormat="1" ht="15.75" customHeight="1"/>
    <row r="664" customFormat="1" ht="15.75" customHeight="1"/>
    <row r="665" customFormat="1" ht="15.75" customHeight="1"/>
    <row r="666" customFormat="1" ht="15.75" customHeight="1"/>
    <row r="667" customFormat="1" ht="15.75" customHeight="1"/>
    <row r="668" customFormat="1" ht="15.75" customHeight="1"/>
    <row r="669" customFormat="1" ht="15.75" customHeight="1"/>
    <row r="670" customFormat="1" ht="15.75" customHeight="1"/>
    <row r="671" customFormat="1" ht="15.75" customHeight="1"/>
    <row r="672" customFormat="1" ht="15.75" customHeight="1"/>
    <row r="673" customFormat="1" ht="15.75" customHeight="1"/>
    <row r="674" customFormat="1" ht="15.75" customHeight="1"/>
    <row r="675" customFormat="1" ht="15.75" customHeight="1"/>
    <row r="676" customFormat="1" ht="15.75" customHeight="1"/>
    <row r="677" customFormat="1" ht="15.75" customHeight="1"/>
    <row r="678" customFormat="1" ht="15.75" customHeight="1"/>
    <row r="679" customFormat="1" ht="15.75" customHeight="1"/>
    <row r="680" customFormat="1" ht="15.75" customHeight="1"/>
    <row r="681" customFormat="1" ht="15.75" customHeight="1"/>
    <row r="682" customFormat="1" ht="15.75" customHeight="1"/>
    <row r="683" customFormat="1" ht="15.75" customHeight="1"/>
    <row r="684" customFormat="1" ht="15.75" customHeight="1"/>
    <row r="685" customFormat="1" ht="15.75" customHeight="1"/>
    <row r="686" customFormat="1" ht="15.75" customHeight="1"/>
    <row r="687" customFormat="1" ht="15.75" customHeight="1"/>
    <row r="688" customFormat="1" ht="15.75" customHeight="1"/>
    <row r="689" customFormat="1" ht="15.75" customHeight="1"/>
    <row r="690" customFormat="1" ht="15.75" customHeight="1"/>
    <row r="691" customFormat="1" ht="15.75" customHeight="1"/>
    <row r="692" customFormat="1" ht="15.75" customHeight="1"/>
    <row r="693" customFormat="1" ht="15.75" customHeight="1"/>
    <row r="694" customFormat="1" ht="15.75" customHeight="1"/>
    <row r="695" customFormat="1" ht="15.75" customHeight="1"/>
    <row r="696" customFormat="1" ht="15.75" customHeight="1"/>
    <row r="697" customFormat="1" ht="15.75" customHeight="1"/>
    <row r="698" customFormat="1" ht="15.75" customHeight="1"/>
    <row r="699" customFormat="1" ht="15.75" customHeight="1"/>
    <row r="700" customFormat="1" ht="15.75" customHeight="1"/>
    <row r="701" customFormat="1" ht="15.75" customHeight="1"/>
    <row r="702" customFormat="1" ht="15.75" customHeight="1"/>
    <row r="703" customFormat="1" ht="15.75" customHeight="1"/>
    <row r="704" customFormat="1" ht="15.75" customHeight="1"/>
    <row r="705" customFormat="1" ht="15.75" customHeight="1"/>
    <row r="706" customFormat="1" ht="15.75" customHeight="1"/>
    <row r="707" customFormat="1" ht="15.75" customHeight="1"/>
    <row r="708" customFormat="1" ht="15.75" customHeight="1"/>
    <row r="709" customFormat="1" ht="15.75" customHeight="1"/>
    <row r="710" customFormat="1" ht="15.75" customHeight="1"/>
    <row r="711" customFormat="1" ht="15.75" customHeight="1"/>
    <row r="712" customFormat="1" ht="15.75" customHeight="1"/>
    <row r="713" customFormat="1" ht="15.75" customHeight="1"/>
    <row r="714" customFormat="1" ht="15.75" customHeight="1"/>
    <row r="715" customFormat="1" ht="15.75" customHeight="1"/>
    <row r="716" customFormat="1" ht="15.75" customHeight="1"/>
    <row r="717" customFormat="1" ht="15.75" customHeight="1"/>
    <row r="718" customFormat="1" ht="15.75" customHeight="1"/>
    <row r="719" customFormat="1" ht="15.75" customHeight="1"/>
    <row r="720" customFormat="1" ht="15.75" customHeight="1"/>
    <row r="721" customFormat="1" ht="15.75" customHeight="1"/>
    <row r="722" customFormat="1" ht="15.75" customHeight="1"/>
    <row r="723" customFormat="1" ht="15.75" customHeight="1"/>
    <row r="724" customFormat="1" ht="15.75" customHeight="1"/>
    <row r="725" customFormat="1" ht="15.75" customHeight="1"/>
    <row r="726" customFormat="1" ht="15.75" customHeight="1"/>
    <row r="727" customFormat="1" ht="15.75" customHeight="1"/>
    <row r="728" customFormat="1" ht="15.75" customHeight="1"/>
    <row r="729" customFormat="1" ht="15.75" customHeight="1"/>
    <row r="730" customFormat="1" ht="15.75" customHeight="1"/>
    <row r="731" customFormat="1" ht="15.75" customHeight="1"/>
    <row r="732" customFormat="1" ht="15.75" customHeight="1"/>
    <row r="733" customFormat="1" ht="15.75" customHeight="1"/>
    <row r="734" customFormat="1" ht="15.75" customHeight="1"/>
    <row r="735" customFormat="1" ht="15.75" customHeight="1"/>
    <row r="736" customFormat="1" ht="15.75" customHeight="1"/>
    <row r="737" customFormat="1" ht="15.75" customHeight="1"/>
    <row r="738" customFormat="1" ht="15.75" customHeight="1"/>
    <row r="739" customFormat="1" ht="15.75" customHeight="1"/>
    <row r="740" customFormat="1" ht="15.75" customHeight="1"/>
    <row r="741" customFormat="1" ht="15.75" customHeight="1"/>
    <row r="742" customFormat="1" ht="15.75" customHeight="1"/>
    <row r="743" customFormat="1" ht="15.75" customHeight="1"/>
    <row r="744" customFormat="1" ht="15.75" customHeight="1"/>
    <row r="745" customFormat="1" ht="15.75" customHeight="1"/>
    <row r="746" customFormat="1" ht="15.75" customHeight="1"/>
    <row r="747" customFormat="1" ht="15.75" customHeight="1"/>
    <row r="748" customFormat="1" ht="15.75" customHeight="1"/>
    <row r="749" customFormat="1" ht="15.75" customHeight="1"/>
    <row r="750" customFormat="1" ht="15.75" customHeight="1"/>
    <row r="751" customFormat="1" ht="15.75" customHeight="1"/>
    <row r="752" customFormat="1" ht="15.75" customHeight="1"/>
    <row r="753" customFormat="1" ht="15.75" customHeight="1"/>
    <row r="754" customFormat="1" ht="15.75" customHeight="1"/>
    <row r="755" customFormat="1" ht="15.75" customHeight="1"/>
    <row r="756" customFormat="1" ht="15.75" customHeight="1"/>
    <row r="757" customFormat="1" ht="15.75" customHeight="1"/>
    <row r="758" customFormat="1" ht="15.75" customHeight="1"/>
    <row r="759" customFormat="1" ht="15.75" customHeight="1"/>
    <row r="760" customFormat="1" ht="15.75" customHeight="1"/>
    <row r="761" customFormat="1" ht="15.75" customHeight="1"/>
    <row r="762" customFormat="1" ht="15.75" customHeight="1"/>
    <row r="763" customFormat="1" ht="15.75" customHeight="1"/>
    <row r="764" customFormat="1" ht="15.75" customHeight="1"/>
    <row r="765" customFormat="1" ht="15.75" customHeight="1"/>
    <row r="766" customFormat="1" ht="15.75" customHeight="1"/>
    <row r="767" customFormat="1" ht="15.75" customHeight="1"/>
    <row r="768" customFormat="1" ht="15.75" customHeight="1"/>
    <row r="769" customFormat="1" ht="15.75" customHeight="1"/>
    <row r="770" customFormat="1" ht="15.75" customHeight="1"/>
    <row r="771" customFormat="1" ht="15.75" customHeight="1"/>
    <row r="772" customFormat="1" ht="15.75" customHeight="1"/>
    <row r="773" customFormat="1" ht="15.75" customHeight="1"/>
    <row r="774" customFormat="1" ht="15.75" customHeight="1"/>
    <row r="775" customFormat="1" ht="15.75" customHeight="1"/>
    <row r="776" customFormat="1" ht="15.75" customHeight="1"/>
    <row r="777" customFormat="1" ht="15.75" customHeight="1"/>
    <row r="778" customFormat="1" ht="15.75" customHeight="1"/>
    <row r="779" customFormat="1" ht="15.75" customHeight="1"/>
    <row r="780" customFormat="1" ht="15.75" customHeight="1"/>
    <row r="781" customFormat="1" ht="15.75" customHeight="1"/>
    <row r="782" customFormat="1" ht="15.75" customHeight="1"/>
    <row r="783" customFormat="1" ht="15.75" customHeight="1"/>
    <row r="784" customFormat="1" ht="15.75" customHeight="1"/>
    <row r="785" customFormat="1" ht="15.75" customHeight="1"/>
    <row r="786" customFormat="1" ht="15.75" customHeight="1"/>
    <row r="787" customFormat="1" ht="15.75" customHeight="1"/>
    <row r="788" customFormat="1" ht="15.75" customHeight="1"/>
    <row r="789" customFormat="1" ht="15.75" customHeight="1"/>
    <row r="790" customFormat="1" ht="15.75" customHeight="1"/>
    <row r="791" customFormat="1" ht="15.75" customHeight="1"/>
    <row r="792" customFormat="1" ht="15.75" customHeight="1"/>
    <row r="793" customFormat="1" ht="15.75" customHeight="1"/>
    <row r="794" customFormat="1" ht="15.75" customHeight="1"/>
    <row r="795" customFormat="1" ht="15.75" customHeight="1"/>
    <row r="796" customFormat="1" ht="15.75" customHeight="1"/>
    <row r="797" customFormat="1" ht="15.75" customHeight="1"/>
    <row r="798" customFormat="1" ht="15.75" customHeight="1"/>
    <row r="799" customFormat="1" ht="15.75" customHeight="1"/>
    <row r="800" customFormat="1" ht="15.75" customHeight="1"/>
    <row r="801" customFormat="1" ht="15.75" customHeight="1"/>
    <row r="802" customFormat="1" ht="15.75" customHeight="1"/>
    <row r="803" customFormat="1" ht="15.75" customHeight="1"/>
    <row r="804" customFormat="1" ht="15.75" customHeight="1"/>
    <row r="805" customFormat="1" ht="15.75" customHeight="1"/>
    <row r="806" customFormat="1" ht="15.75" customHeight="1"/>
    <row r="807" customFormat="1" ht="15.75" customHeight="1"/>
    <row r="808" customFormat="1" ht="15.75" customHeight="1"/>
    <row r="809" customFormat="1" ht="15.75" customHeight="1"/>
    <row r="810" customFormat="1" ht="15.75" customHeight="1"/>
    <row r="811" customFormat="1" ht="15.75" customHeight="1"/>
    <row r="812" customFormat="1" ht="15.75" customHeight="1"/>
    <row r="813" customFormat="1" ht="15.75" customHeight="1"/>
    <row r="814" customFormat="1" ht="15.75" customHeight="1"/>
    <row r="815" customFormat="1" ht="15.75" customHeight="1"/>
    <row r="816" customFormat="1" ht="15.75" customHeight="1"/>
    <row r="817" customFormat="1" ht="15.75" customHeight="1"/>
    <row r="818" customFormat="1" ht="15.75" customHeight="1"/>
    <row r="819" customFormat="1" ht="15.75" customHeight="1"/>
    <row r="820" customFormat="1" ht="15.75" customHeight="1"/>
    <row r="821" customFormat="1" ht="15.75" customHeight="1"/>
    <row r="822" customFormat="1" ht="15.75" customHeight="1"/>
    <row r="823" customFormat="1" ht="15.75" customHeight="1"/>
    <row r="824" customFormat="1" ht="15.75" customHeight="1"/>
    <row r="825" customFormat="1" ht="15.75" customHeight="1"/>
    <row r="826" customFormat="1" ht="15.75" customHeight="1"/>
    <row r="827" customFormat="1" ht="15.75" customHeight="1"/>
    <row r="828" customFormat="1" ht="15.75" customHeight="1"/>
    <row r="829" customFormat="1" ht="15.75" customHeight="1"/>
    <row r="830" customFormat="1" ht="15.75" customHeight="1"/>
    <row r="831" customFormat="1" ht="15.75" customHeight="1"/>
    <row r="832" customFormat="1" ht="15.75" customHeight="1"/>
    <row r="833" customFormat="1" ht="15.75" customHeight="1"/>
    <row r="834" customFormat="1" ht="15.75" customHeight="1"/>
    <row r="835" customFormat="1" ht="15.75" customHeight="1"/>
    <row r="836" customFormat="1" ht="15.75" customHeight="1"/>
    <row r="837" customFormat="1" ht="15.75" customHeight="1"/>
    <row r="838" customFormat="1" ht="15.75" customHeight="1"/>
    <row r="839" customFormat="1" ht="15.75" customHeight="1"/>
    <row r="840" customFormat="1" ht="15.75" customHeight="1"/>
    <row r="841" customFormat="1" ht="15.75" customHeight="1"/>
    <row r="842" customFormat="1" ht="15.75" customHeight="1"/>
    <row r="843" customFormat="1" ht="15.75" customHeight="1"/>
    <row r="844" customFormat="1" ht="15.75" customHeight="1"/>
    <row r="845" customFormat="1" ht="15.75" customHeight="1"/>
    <row r="846" customFormat="1" ht="15.75" customHeight="1"/>
    <row r="847" customFormat="1" ht="15.75" customHeight="1"/>
    <row r="848" customFormat="1" ht="15.75" customHeight="1"/>
    <row r="849" customFormat="1" ht="15.75" customHeight="1"/>
    <row r="850" customFormat="1" ht="15.75" customHeight="1"/>
    <row r="851" customFormat="1" ht="15.75" customHeight="1"/>
    <row r="852" customFormat="1" ht="15.75" customHeight="1"/>
    <row r="853" customFormat="1" ht="15.75" customHeight="1"/>
    <row r="854" customFormat="1" ht="15.75" customHeight="1"/>
    <row r="855" customFormat="1" ht="15.75" customHeight="1"/>
    <row r="856" customFormat="1" ht="15.75" customHeight="1"/>
    <row r="857" customFormat="1" ht="15.75" customHeight="1"/>
    <row r="858" customFormat="1" ht="15.75" customHeight="1"/>
    <row r="859" customFormat="1" ht="15.75" customHeight="1"/>
    <row r="860" customFormat="1" ht="15.75" customHeight="1"/>
    <row r="861" customFormat="1" ht="15.75" customHeight="1"/>
    <row r="862" customFormat="1" ht="15.75" customHeight="1"/>
    <row r="863" customFormat="1" ht="15.75" customHeight="1"/>
    <row r="864" customFormat="1" ht="15.75" customHeight="1"/>
    <row r="865" customFormat="1" ht="15.75" customHeight="1"/>
    <row r="866" customFormat="1" ht="15.75" customHeight="1"/>
    <row r="867" customFormat="1" ht="15.75" customHeight="1"/>
    <row r="868" customFormat="1" ht="15.75" customHeight="1"/>
    <row r="869" customFormat="1" ht="15.75" customHeight="1"/>
    <row r="870" customFormat="1" ht="15.75" customHeight="1"/>
    <row r="871" customFormat="1" ht="15.75" customHeight="1"/>
    <row r="872" customFormat="1" ht="15.75" customHeight="1"/>
    <row r="873" customFormat="1" ht="15.75" customHeight="1"/>
    <row r="874" customFormat="1" ht="15.75" customHeight="1"/>
    <row r="875" customFormat="1" ht="15.75" customHeight="1"/>
    <row r="876" customFormat="1" ht="15.75" customHeight="1"/>
    <row r="877" customFormat="1" ht="15.75" customHeight="1"/>
    <row r="878" customFormat="1" ht="15.75" customHeight="1"/>
    <row r="879" customFormat="1" ht="15.75" customHeight="1"/>
    <row r="880" customFormat="1" ht="15.75" customHeight="1"/>
    <row r="881" customFormat="1" ht="15.75" customHeight="1"/>
    <row r="882" customFormat="1" ht="15.75" customHeight="1"/>
    <row r="883" customFormat="1" ht="15.75" customHeight="1"/>
    <row r="884" customFormat="1" ht="15.75" customHeight="1"/>
    <row r="885" customFormat="1" ht="15.75" customHeight="1"/>
    <row r="886" customFormat="1" ht="15.75" customHeight="1"/>
    <row r="887" customFormat="1" ht="15.75" customHeight="1"/>
    <row r="888" customFormat="1" ht="15.75" customHeight="1"/>
    <row r="889" customFormat="1" ht="15.75" customHeight="1"/>
    <row r="890" customFormat="1" ht="15.75" customHeight="1"/>
    <row r="891" customFormat="1" ht="15.75" customHeight="1"/>
    <row r="892" customFormat="1" ht="15.75" customHeight="1"/>
    <row r="893" customFormat="1" ht="15.75" customHeight="1"/>
    <row r="894" customFormat="1" ht="15.75" customHeight="1"/>
    <row r="895" customFormat="1" ht="15.75" customHeight="1"/>
    <row r="896" customFormat="1" ht="15.75" customHeight="1"/>
    <row r="897" customFormat="1" ht="15.75" customHeight="1"/>
    <row r="898" customFormat="1" ht="15.75" customHeight="1"/>
    <row r="899" customFormat="1" ht="15.75" customHeight="1"/>
    <row r="900" customFormat="1" ht="15.75" customHeight="1"/>
    <row r="901" customFormat="1" ht="15.75" customHeight="1"/>
    <row r="902" customFormat="1" ht="15.75" customHeight="1"/>
    <row r="903" customFormat="1" ht="15.75" customHeight="1"/>
    <row r="904" customFormat="1" ht="15.75" customHeight="1"/>
    <row r="905" customFormat="1" ht="15.75" customHeight="1"/>
    <row r="906" customFormat="1" ht="15.75" customHeight="1"/>
    <row r="907" customFormat="1" ht="15.75" customHeight="1"/>
    <row r="908" customFormat="1" ht="15.75" customHeight="1"/>
    <row r="909" customFormat="1" ht="15.75" customHeight="1"/>
    <row r="910" customFormat="1" ht="15.75" customHeight="1"/>
    <row r="911" customFormat="1" ht="15.75" customHeight="1"/>
    <row r="912" customFormat="1" ht="15.75" customHeight="1"/>
    <row r="913" customFormat="1" ht="15.75" customHeight="1"/>
    <row r="914" customFormat="1" ht="15.75" customHeight="1"/>
    <row r="915" customFormat="1" ht="15.75" customHeight="1"/>
    <row r="916" customFormat="1" ht="15.75" customHeight="1"/>
    <row r="917" customFormat="1" ht="15.75" customHeight="1"/>
    <row r="918" customFormat="1" ht="15.75" customHeight="1"/>
    <row r="919" customFormat="1" ht="15.75" customHeight="1"/>
    <row r="920" customFormat="1" ht="15.75" customHeight="1"/>
    <row r="921" customFormat="1" ht="15.75" customHeight="1"/>
    <row r="922" customFormat="1" ht="15.75" customHeight="1"/>
    <row r="923" customFormat="1" ht="15.75" customHeight="1"/>
    <row r="924" customFormat="1" ht="15.75" customHeight="1"/>
    <row r="925" customFormat="1" ht="15.75" customHeight="1"/>
    <row r="926" customFormat="1" ht="15.75" customHeight="1"/>
    <row r="927" customFormat="1" ht="15.75" customHeight="1"/>
    <row r="928" customFormat="1" ht="15.75" customHeight="1"/>
    <row r="929" customFormat="1" ht="15.75" customHeight="1"/>
    <row r="930" customFormat="1" ht="15.75" customHeight="1"/>
    <row r="931" customFormat="1" ht="15.75" customHeight="1"/>
    <row r="932" customFormat="1" ht="15.75" customHeight="1"/>
    <row r="933" customFormat="1" ht="15.75" customHeight="1"/>
    <row r="934" customFormat="1" ht="15.75" customHeight="1"/>
    <row r="935" customFormat="1" ht="15.75" customHeight="1"/>
    <row r="936" customFormat="1" ht="15.75" customHeight="1"/>
    <row r="937" customFormat="1" ht="15.75" customHeight="1"/>
    <row r="938" customFormat="1" ht="15.75" customHeight="1"/>
    <row r="939" customFormat="1" ht="15.75" customHeight="1"/>
    <row r="940" customFormat="1" ht="15.75" customHeight="1"/>
    <row r="941" customFormat="1" ht="15.75" customHeight="1"/>
    <row r="942" customFormat="1" ht="15.75" customHeight="1"/>
    <row r="943" customFormat="1" ht="15.75" customHeight="1"/>
    <row r="944" customFormat="1" ht="15.75" customHeight="1"/>
    <row r="945" customFormat="1" ht="15.75" customHeight="1"/>
    <row r="946" customFormat="1" ht="15.75" customHeight="1"/>
    <row r="947" customFormat="1" ht="15.75" customHeight="1"/>
    <row r="948" customFormat="1" ht="15.75" customHeight="1"/>
    <row r="949" customFormat="1" ht="15.75" customHeight="1"/>
    <row r="950" customFormat="1" ht="15.75" customHeight="1"/>
    <row r="951" customFormat="1" ht="15.75" customHeight="1"/>
    <row r="952" customFormat="1" ht="15.75" customHeight="1"/>
    <row r="953" customFormat="1" ht="15.75" customHeight="1"/>
    <row r="954" customFormat="1" ht="15.75" customHeight="1"/>
    <row r="955" customFormat="1" ht="15.75" customHeight="1"/>
    <row r="956" customFormat="1" ht="15.75" customHeight="1"/>
    <row r="957" customFormat="1" ht="15.75" customHeight="1"/>
    <row r="958" customFormat="1" ht="15.75" customHeight="1"/>
    <row r="959" customFormat="1" ht="15.75" customHeight="1"/>
    <row r="960" customFormat="1" ht="15.75" customHeight="1"/>
    <row r="961" customFormat="1" ht="15.75" customHeight="1"/>
    <row r="962" customFormat="1" ht="15.75" customHeight="1"/>
    <row r="963" customFormat="1" ht="15.75" customHeight="1"/>
    <row r="964" customFormat="1" ht="15.75" customHeight="1"/>
    <row r="965" customFormat="1" ht="15.75" customHeight="1"/>
    <row r="966" customFormat="1" ht="15.75" customHeight="1"/>
    <row r="967" customFormat="1" ht="15.75" customHeight="1"/>
    <row r="968" customFormat="1" ht="15.75" customHeight="1"/>
    <row r="969" customFormat="1" ht="15.75" customHeight="1"/>
    <row r="970" customFormat="1" ht="15.75" customHeight="1"/>
    <row r="971" customFormat="1" ht="15.75" customHeight="1"/>
    <row r="972" customFormat="1" ht="15.75" customHeight="1"/>
    <row r="973" customFormat="1" ht="15.75" customHeight="1"/>
    <row r="974" customFormat="1" ht="15.75" customHeight="1"/>
    <row r="975" customFormat="1" ht="15.75" customHeight="1"/>
    <row r="976" customFormat="1" ht="15.75" customHeight="1"/>
    <row r="977" customFormat="1" ht="15.75" customHeight="1"/>
    <row r="978" customFormat="1" ht="15.75" customHeight="1"/>
    <row r="979" customFormat="1" ht="15.75" customHeight="1"/>
    <row r="980" customFormat="1" ht="15.75" customHeight="1"/>
    <row r="981" customFormat="1" ht="15.75" customHeight="1"/>
    <row r="982" customFormat="1" ht="15.75" customHeight="1"/>
    <row r="983" customFormat="1" ht="15.75" customHeight="1"/>
    <row r="984" customFormat="1" ht="15.75" customHeight="1"/>
    <row r="985" customFormat="1" ht="15.75" customHeight="1"/>
    <row r="986" customFormat="1" ht="15.75" customHeight="1"/>
    <row r="987" customFormat="1" ht="15.75" customHeight="1"/>
    <row r="988" customFormat="1" ht="15.75" customHeight="1"/>
    <row r="989" customFormat="1" ht="15.75" customHeight="1"/>
    <row r="990" customFormat="1" ht="15.75" customHeight="1"/>
    <row r="991" customFormat="1" ht="15.75" customHeight="1"/>
    <row r="992" customFormat="1" ht="15.75" customHeight="1"/>
    <row r="993" customFormat="1" ht="15.75" customHeight="1"/>
    <row r="994" customFormat="1" ht="15.75" customHeight="1"/>
    <row r="995" customFormat="1" ht="15.75" customHeight="1"/>
    <row r="996" customFormat="1" ht="15.75" customHeight="1"/>
    <row r="997" customFormat="1" ht="15.75" customHeight="1"/>
  </sheetData>
  <dataValidations count="4">
    <dataValidation type="list" allowBlank="1" showErrorMessage="1" sqref="G2" xr:uid="{00000000-0002-0000-0200-000000000000}">
      <formula1>"Minor,Significant,Major"</formula1>
    </dataValidation>
    <dataValidation type="list" allowBlank="1" showErrorMessage="1" sqref="I2" xr:uid="{00000000-0002-0000-0200-000001000000}">
      <formula1>"Open,Inprogress,Closed"</formula1>
    </dataValidation>
    <dataValidation type="list" allowBlank="1" showErrorMessage="1" sqref="E2" xr:uid="{00000000-0002-0000-0200-000003000000}">
      <formula1>"Bounceback,Defect,None"</formula1>
    </dataValidation>
    <dataValidation type="list" allowBlank="1" showErrorMessage="1" sqref="H2" xr:uid="{00000000-0002-0000-0200-000004000000}">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00000000-0002-0000-0200-000002000000}">
          <x14:formula1>
            <xm:f>Details!$A$2:$A$10</xm:f>
          </x14:formula1>
          <xm:sqref>J2</xm:sqref>
        </x14:dataValidation>
      </x14:dataValidations>
    </ext>
  </extLst>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14726-A9B5-4AA9-92FC-E1E08376B0D6}">
  <dimension ref="C3:C10"/>
  <sheetViews>
    <sheetView workbookViewId="0">
      <selection activeCell="C3" sqref="C3:C10"/>
    </sheetView>
  </sheetViews>
  <sheetFormatPr defaultRowHeight="12.75"/>
  <sheetData>
    <row r="3" spans="3:3">
      <c r="C3" t="s">
        <v>285</v>
      </c>
    </row>
    <row r="4" spans="3:3">
      <c r="C4" t="s">
        <v>2059</v>
      </c>
    </row>
    <row r="5" spans="3:3">
      <c r="C5" t="s">
        <v>301</v>
      </c>
    </row>
    <row r="6" spans="3:3">
      <c r="C6" t="s">
        <v>532</v>
      </c>
    </row>
    <row r="7" spans="3:3">
      <c r="C7" t="s">
        <v>1283</v>
      </c>
    </row>
    <row r="8" spans="3:3">
      <c r="C8" t="s">
        <v>1174</v>
      </c>
    </row>
    <row r="9" spans="3:3">
      <c r="C9" t="s">
        <v>549</v>
      </c>
    </row>
    <row r="10" spans="3:3">
      <c r="C10" t="s">
        <v>289</v>
      </c>
    </row>
  </sheetData>
  <pageMargins left="0.7" right="0.7" top="0.75" bottom="0.75" header="0.3" footer="0.3"/>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45E3F-7927-4F0B-8F25-FA1CD2CDC444}">
  <dimension ref="A1:AB147"/>
  <sheetViews>
    <sheetView workbookViewId="0"/>
  </sheetViews>
  <sheetFormatPr defaultRowHeight="12.75"/>
  <sheetData>
    <row r="1" spans="1:28">
      <c r="A1">
        <v>1</v>
      </c>
      <c r="B1" t="s">
        <v>5</v>
      </c>
      <c r="C1">
        <v>45576</v>
      </c>
      <c r="D1">
        <v>45589</v>
      </c>
      <c r="E1" t="s">
        <v>1452</v>
      </c>
      <c r="F1" t="s">
        <v>519</v>
      </c>
      <c r="G1" t="s">
        <v>1433</v>
      </c>
      <c r="H1" t="s">
        <v>1434</v>
      </c>
      <c r="I1" t="s">
        <v>1453</v>
      </c>
      <c r="J1">
        <v>3</v>
      </c>
      <c r="AB1" t="s">
        <v>1454</v>
      </c>
    </row>
    <row r="2" spans="1:28">
      <c r="A2">
        <v>2</v>
      </c>
      <c r="B2" t="s">
        <v>5</v>
      </c>
      <c r="C2">
        <v>45576</v>
      </c>
      <c r="D2">
        <v>45589</v>
      </c>
      <c r="E2" t="s">
        <v>84</v>
      </c>
      <c r="F2" t="s">
        <v>292</v>
      </c>
      <c r="G2" t="s">
        <v>1455</v>
      </c>
      <c r="H2" t="s">
        <v>1456</v>
      </c>
      <c r="I2" t="s">
        <v>289</v>
      </c>
      <c r="J2">
        <v>2</v>
      </c>
      <c r="K2">
        <v>2</v>
      </c>
      <c r="M2" t="s">
        <v>290</v>
      </c>
      <c r="N2" t="s">
        <v>298</v>
      </c>
      <c r="O2" t="s">
        <v>291</v>
      </c>
      <c r="P2" t="s">
        <v>426</v>
      </c>
      <c r="Q2" t="s">
        <v>1457</v>
      </c>
      <c r="R2" t="s">
        <v>1458</v>
      </c>
      <c r="S2">
        <v>45635</v>
      </c>
      <c r="T2">
        <v>45635</v>
      </c>
      <c r="U2" t="s">
        <v>426</v>
      </c>
      <c r="V2" t="s">
        <v>860</v>
      </c>
      <c r="W2" t="s">
        <v>1059</v>
      </c>
      <c r="X2">
        <v>45636</v>
      </c>
      <c r="Y2" t="s">
        <v>291</v>
      </c>
      <c r="Z2" t="s">
        <v>291</v>
      </c>
      <c r="AA2" t="s">
        <v>291</v>
      </c>
    </row>
    <row r="3" spans="1:28">
      <c r="A3">
        <v>3</v>
      </c>
      <c r="B3" t="s">
        <v>5</v>
      </c>
      <c r="C3">
        <v>45576</v>
      </c>
      <c r="D3">
        <v>45589</v>
      </c>
      <c r="E3" t="s">
        <v>84</v>
      </c>
      <c r="F3" t="s">
        <v>1459</v>
      </c>
      <c r="G3" t="s">
        <v>1460</v>
      </c>
      <c r="H3" t="s">
        <v>1461</v>
      </c>
      <c r="I3" t="s">
        <v>289</v>
      </c>
      <c r="J3">
        <v>3</v>
      </c>
      <c r="K3">
        <v>3</v>
      </c>
      <c r="M3" t="s">
        <v>290</v>
      </c>
      <c r="N3" t="s">
        <v>1462</v>
      </c>
      <c r="O3" t="s">
        <v>291</v>
      </c>
      <c r="P3" t="s">
        <v>1463</v>
      </c>
      <c r="Q3" t="s">
        <v>291</v>
      </c>
      <c r="R3" t="s">
        <v>1464</v>
      </c>
      <c r="S3">
        <v>45635</v>
      </c>
      <c r="T3">
        <v>45635</v>
      </c>
      <c r="U3" t="s">
        <v>1463</v>
      </c>
      <c r="V3" t="s">
        <v>291</v>
      </c>
      <c r="W3" t="s">
        <v>1315</v>
      </c>
      <c r="X3">
        <v>45636</v>
      </c>
      <c r="Y3" t="s">
        <v>291</v>
      </c>
      <c r="Z3" t="s">
        <v>291</v>
      </c>
      <c r="AA3" t="s">
        <v>291</v>
      </c>
    </row>
    <row r="4" spans="1:28">
      <c r="A4">
        <v>4</v>
      </c>
      <c r="B4" t="s">
        <v>5</v>
      </c>
      <c r="C4">
        <v>45576</v>
      </c>
      <c r="D4">
        <v>45589</v>
      </c>
      <c r="E4" t="s">
        <v>84</v>
      </c>
      <c r="F4" t="s">
        <v>1462</v>
      </c>
      <c r="G4" t="s">
        <v>1465</v>
      </c>
      <c r="H4" t="s">
        <v>1466</v>
      </c>
      <c r="I4" t="s">
        <v>289</v>
      </c>
      <c r="J4">
        <v>2</v>
      </c>
      <c r="K4">
        <v>2</v>
      </c>
      <c r="M4" t="s">
        <v>290</v>
      </c>
      <c r="N4" t="s">
        <v>1459</v>
      </c>
      <c r="O4" t="s">
        <v>291</v>
      </c>
      <c r="P4" t="s">
        <v>1463</v>
      </c>
      <c r="Q4" t="s">
        <v>291</v>
      </c>
      <c r="R4" t="s">
        <v>1467</v>
      </c>
      <c r="S4">
        <v>45635</v>
      </c>
      <c r="T4">
        <v>45636</v>
      </c>
      <c r="U4" t="s">
        <v>1463</v>
      </c>
      <c r="V4" t="s">
        <v>860</v>
      </c>
      <c r="W4" t="s">
        <v>1315</v>
      </c>
      <c r="X4">
        <v>45636</v>
      </c>
      <c r="Y4" t="s">
        <v>291</v>
      </c>
      <c r="Z4" t="s">
        <v>291</v>
      </c>
      <c r="AA4" t="s">
        <v>291</v>
      </c>
    </row>
    <row r="5" spans="1:28">
      <c r="A5">
        <v>5</v>
      </c>
      <c r="B5" t="s">
        <v>5</v>
      </c>
      <c r="C5">
        <v>45576</v>
      </c>
      <c r="D5">
        <v>45589</v>
      </c>
      <c r="E5" t="s">
        <v>84</v>
      </c>
      <c r="F5" t="s">
        <v>298</v>
      </c>
      <c r="G5" t="s">
        <v>1211</v>
      </c>
      <c r="H5" t="s">
        <v>1468</v>
      </c>
      <c r="I5" t="s">
        <v>289</v>
      </c>
      <c r="J5">
        <v>1</v>
      </c>
      <c r="K5">
        <v>1</v>
      </c>
      <c r="M5" t="s">
        <v>290</v>
      </c>
      <c r="N5" t="s">
        <v>292</v>
      </c>
      <c r="O5" t="s">
        <v>291</v>
      </c>
      <c r="P5" t="s">
        <v>426</v>
      </c>
      <c r="Q5" t="s">
        <v>1469</v>
      </c>
      <c r="R5" t="s">
        <v>1470</v>
      </c>
      <c r="S5">
        <v>45643</v>
      </c>
      <c r="T5">
        <v>45645</v>
      </c>
      <c r="U5" t="s">
        <v>426</v>
      </c>
      <c r="V5" t="s">
        <v>860</v>
      </c>
      <c r="W5" t="s">
        <v>295</v>
      </c>
      <c r="X5">
        <v>45645</v>
      </c>
      <c r="Y5" t="s">
        <v>291</v>
      </c>
      <c r="Z5" t="s">
        <v>291</v>
      </c>
      <c r="AA5" t="s">
        <v>291</v>
      </c>
    </row>
    <row r="6" spans="1:28">
      <c r="A6">
        <v>6</v>
      </c>
      <c r="B6" t="s">
        <v>5</v>
      </c>
      <c r="C6">
        <v>45576</v>
      </c>
      <c r="D6">
        <v>45589</v>
      </c>
      <c r="E6" t="s">
        <v>1471</v>
      </c>
      <c r="F6" t="s">
        <v>1459</v>
      </c>
      <c r="G6" t="s">
        <v>1472</v>
      </c>
      <c r="H6" t="s">
        <v>1473</v>
      </c>
      <c r="I6" t="s">
        <v>1474</v>
      </c>
      <c r="J6">
        <v>3</v>
      </c>
      <c r="K6">
        <v>3</v>
      </c>
      <c r="M6" t="s">
        <v>290</v>
      </c>
      <c r="N6" t="s">
        <v>1462</v>
      </c>
      <c r="O6" t="s">
        <v>291</v>
      </c>
      <c r="P6" t="s">
        <v>1463</v>
      </c>
      <c r="Q6" t="s">
        <v>291</v>
      </c>
      <c r="R6" t="s">
        <v>1475</v>
      </c>
      <c r="S6">
        <v>45643</v>
      </c>
      <c r="T6">
        <v>45645</v>
      </c>
      <c r="U6" t="s">
        <v>1463</v>
      </c>
      <c r="V6" t="s">
        <v>860</v>
      </c>
      <c r="W6" t="s">
        <v>295</v>
      </c>
      <c r="X6">
        <v>45645</v>
      </c>
      <c r="Y6" t="s">
        <v>291</v>
      </c>
      <c r="Z6" t="s">
        <v>291</v>
      </c>
      <c r="AA6" t="s">
        <v>291</v>
      </c>
      <c r="AB6" t="s">
        <v>1476</v>
      </c>
    </row>
    <row r="7" spans="1:28">
      <c r="A7">
        <v>7</v>
      </c>
      <c r="B7" t="s">
        <v>5</v>
      </c>
      <c r="C7">
        <v>45576</v>
      </c>
      <c r="D7">
        <v>45589</v>
      </c>
      <c r="E7" t="s">
        <v>1471</v>
      </c>
      <c r="F7" t="s">
        <v>890</v>
      </c>
      <c r="G7" t="s">
        <v>1436</v>
      </c>
      <c r="H7" t="s">
        <v>1437</v>
      </c>
      <c r="I7" t="s">
        <v>1453</v>
      </c>
      <c r="J7">
        <v>5</v>
      </c>
      <c r="AB7" t="s">
        <v>1477</v>
      </c>
    </row>
    <row r="8" spans="1:28">
      <c r="A8">
        <v>8</v>
      </c>
      <c r="B8" t="s">
        <v>5</v>
      </c>
      <c r="C8">
        <v>45576</v>
      </c>
      <c r="D8">
        <v>45589</v>
      </c>
      <c r="E8" t="s">
        <v>1471</v>
      </c>
      <c r="F8" t="s">
        <v>1459</v>
      </c>
      <c r="G8" t="s">
        <v>1478</v>
      </c>
      <c r="H8" t="s">
        <v>1479</v>
      </c>
      <c r="I8" t="s">
        <v>532</v>
      </c>
      <c r="J8">
        <v>2</v>
      </c>
      <c r="K8">
        <v>2</v>
      </c>
      <c r="M8" t="s">
        <v>290</v>
      </c>
      <c r="N8" t="s">
        <v>1462</v>
      </c>
      <c r="O8" t="s">
        <v>291</v>
      </c>
      <c r="P8" t="s">
        <v>426</v>
      </c>
      <c r="R8" t="s">
        <v>1480</v>
      </c>
      <c r="S8">
        <v>45656</v>
      </c>
      <c r="T8">
        <v>45657</v>
      </c>
      <c r="U8" t="s">
        <v>426</v>
      </c>
      <c r="V8" t="s">
        <v>1481</v>
      </c>
      <c r="W8" t="s">
        <v>295</v>
      </c>
      <c r="X8">
        <v>45659</v>
      </c>
      <c r="Y8" t="s">
        <v>291</v>
      </c>
      <c r="Z8" t="s">
        <v>291</v>
      </c>
      <c r="AA8" t="s">
        <v>291</v>
      </c>
      <c r="AB8" t="s">
        <v>1482</v>
      </c>
    </row>
    <row r="9" spans="1:28">
      <c r="A9">
        <v>9</v>
      </c>
      <c r="B9" t="s">
        <v>5</v>
      </c>
      <c r="C9">
        <v>45576</v>
      </c>
      <c r="D9">
        <v>45589</v>
      </c>
      <c r="E9" t="s">
        <v>1471</v>
      </c>
      <c r="F9" t="s">
        <v>1462</v>
      </c>
      <c r="G9" t="s">
        <v>1483</v>
      </c>
      <c r="H9" t="s">
        <v>1484</v>
      </c>
      <c r="I9" t="s">
        <v>532</v>
      </c>
      <c r="J9">
        <v>3</v>
      </c>
      <c r="K9">
        <v>3</v>
      </c>
      <c r="M9" t="s">
        <v>290</v>
      </c>
      <c r="N9" t="s">
        <v>1459</v>
      </c>
      <c r="O9" t="s">
        <v>291</v>
      </c>
      <c r="P9" t="s">
        <v>426</v>
      </c>
      <c r="R9" t="s">
        <v>1485</v>
      </c>
      <c r="S9">
        <v>45656</v>
      </c>
      <c r="T9">
        <v>45657</v>
      </c>
      <c r="U9" t="s">
        <v>426</v>
      </c>
      <c r="W9" t="s">
        <v>295</v>
      </c>
      <c r="X9">
        <v>45659</v>
      </c>
      <c r="Y9" t="s">
        <v>291</v>
      </c>
      <c r="Z9" t="s">
        <v>291</v>
      </c>
      <c r="AA9" t="s">
        <v>291</v>
      </c>
      <c r="AB9" t="s">
        <v>1482</v>
      </c>
    </row>
    <row r="10" spans="1:28">
      <c r="A10">
        <v>1</v>
      </c>
      <c r="B10" t="s">
        <v>5</v>
      </c>
      <c r="C10">
        <v>45576</v>
      </c>
      <c r="D10">
        <v>45589</v>
      </c>
      <c r="E10" t="s">
        <v>1432</v>
      </c>
      <c r="F10" t="s">
        <v>519</v>
      </c>
      <c r="G10" t="s">
        <v>1433</v>
      </c>
      <c r="H10" t="s">
        <v>1434</v>
      </c>
      <c r="I10" t="s">
        <v>289</v>
      </c>
      <c r="J10">
        <v>3</v>
      </c>
      <c r="K10">
        <v>3</v>
      </c>
      <c r="AB10" t="s">
        <v>1435</v>
      </c>
    </row>
    <row r="11" spans="1:28">
      <c r="A11">
        <v>2</v>
      </c>
      <c r="B11" t="s">
        <v>5</v>
      </c>
      <c r="C11">
        <v>45576</v>
      </c>
      <c r="D11">
        <v>45589</v>
      </c>
      <c r="E11" t="s">
        <v>88</v>
      </c>
      <c r="F11" t="s">
        <v>890</v>
      </c>
      <c r="G11" t="s">
        <v>1436</v>
      </c>
      <c r="H11" t="s">
        <v>1437</v>
      </c>
      <c r="I11" t="s">
        <v>301</v>
      </c>
      <c r="J11">
        <v>3</v>
      </c>
      <c r="AB11" t="s">
        <v>1438</v>
      </c>
    </row>
    <row r="12" spans="1:28">
      <c r="A12">
        <v>3</v>
      </c>
      <c r="B12" t="s">
        <v>5</v>
      </c>
      <c r="C12">
        <v>45576</v>
      </c>
      <c r="D12">
        <v>45589</v>
      </c>
      <c r="E12" t="s">
        <v>88</v>
      </c>
      <c r="F12" t="s">
        <v>519</v>
      </c>
      <c r="G12" t="s">
        <v>1419</v>
      </c>
      <c r="H12" t="s">
        <v>1420</v>
      </c>
      <c r="I12" t="s">
        <v>289</v>
      </c>
      <c r="J12">
        <v>3</v>
      </c>
      <c r="K12">
        <v>3</v>
      </c>
      <c r="M12" t="s">
        <v>290</v>
      </c>
      <c r="N12" t="s">
        <v>292</v>
      </c>
      <c r="O12" t="s">
        <v>291</v>
      </c>
      <c r="P12" t="s">
        <v>292</v>
      </c>
      <c r="Q12" t="s">
        <v>291</v>
      </c>
      <c r="R12" t="s">
        <v>1439</v>
      </c>
      <c r="S12">
        <v>45672</v>
      </c>
      <c r="T12">
        <v>45673</v>
      </c>
      <c r="U12" t="s">
        <v>426</v>
      </c>
      <c r="V12" t="s">
        <v>1440</v>
      </c>
      <c r="W12" t="s">
        <v>295</v>
      </c>
      <c r="X12">
        <v>45673</v>
      </c>
      <c r="Y12" t="s">
        <v>291</v>
      </c>
      <c r="Z12" t="s">
        <v>291</v>
      </c>
      <c r="AA12" t="s">
        <v>291</v>
      </c>
    </row>
    <row r="13" spans="1:28">
      <c r="A13">
        <v>4</v>
      </c>
      <c r="B13" t="s">
        <v>5</v>
      </c>
      <c r="C13">
        <v>45576</v>
      </c>
      <c r="D13">
        <v>45589</v>
      </c>
      <c r="E13" t="s">
        <v>88</v>
      </c>
      <c r="F13" t="s">
        <v>292</v>
      </c>
      <c r="G13" t="s">
        <v>1422</v>
      </c>
      <c r="H13" t="s">
        <v>1423</v>
      </c>
      <c r="I13" t="s">
        <v>289</v>
      </c>
      <c r="J13">
        <v>2</v>
      </c>
      <c r="K13">
        <v>2</v>
      </c>
      <c r="M13" t="s">
        <v>290</v>
      </c>
      <c r="N13" t="s">
        <v>298</v>
      </c>
      <c r="O13" t="s">
        <v>291</v>
      </c>
      <c r="P13" t="s">
        <v>298</v>
      </c>
      <c r="Q13" t="s">
        <v>291</v>
      </c>
      <c r="R13" t="s">
        <v>1441</v>
      </c>
      <c r="S13">
        <v>45666</v>
      </c>
      <c r="T13">
        <v>45667</v>
      </c>
      <c r="U13" t="s">
        <v>426</v>
      </c>
      <c r="V13" t="s">
        <v>291</v>
      </c>
      <c r="W13" t="s">
        <v>295</v>
      </c>
      <c r="X13">
        <v>45667</v>
      </c>
      <c r="Y13" t="s">
        <v>291</v>
      </c>
      <c r="Z13" t="s">
        <v>291</v>
      </c>
      <c r="AA13" t="s">
        <v>291</v>
      </c>
    </row>
    <row r="14" spans="1:28">
      <c r="A14">
        <v>5</v>
      </c>
      <c r="B14" t="s">
        <v>5</v>
      </c>
      <c r="C14">
        <v>45576</v>
      </c>
      <c r="D14">
        <v>45589</v>
      </c>
      <c r="E14" t="s">
        <v>88</v>
      </c>
      <c r="F14" t="s">
        <v>519</v>
      </c>
      <c r="G14" t="s">
        <v>1442</v>
      </c>
      <c r="H14" t="s">
        <v>1443</v>
      </c>
      <c r="I14" t="s">
        <v>289</v>
      </c>
      <c r="J14">
        <v>1</v>
      </c>
      <c r="K14">
        <v>1</v>
      </c>
      <c r="M14" t="s">
        <v>290</v>
      </c>
      <c r="N14" t="s">
        <v>292</v>
      </c>
      <c r="O14" t="s">
        <v>291</v>
      </c>
      <c r="P14" t="s">
        <v>292</v>
      </c>
      <c r="Q14" t="s">
        <v>291</v>
      </c>
      <c r="R14" t="s">
        <v>1444</v>
      </c>
      <c r="S14">
        <v>45671</v>
      </c>
      <c r="T14">
        <v>45671</v>
      </c>
      <c r="U14" t="s">
        <v>426</v>
      </c>
      <c r="V14" t="s">
        <v>1445</v>
      </c>
      <c r="W14" t="s">
        <v>295</v>
      </c>
      <c r="X14">
        <v>45672</v>
      </c>
      <c r="Y14" t="s">
        <v>291</v>
      </c>
      <c r="Z14" t="s">
        <v>291</v>
      </c>
      <c r="AA14" t="s">
        <v>291</v>
      </c>
    </row>
    <row r="15" spans="1:28">
      <c r="A15">
        <v>6</v>
      </c>
      <c r="B15" t="s">
        <v>5</v>
      </c>
      <c r="C15">
        <v>45576</v>
      </c>
      <c r="D15">
        <v>45589</v>
      </c>
      <c r="E15" t="s">
        <v>88</v>
      </c>
      <c r="F15" t="s">
        <v>1187</v>
      </c>
      <c r="G15" t="s">
        <v>1446</v>
      </c>
      <c r="H15" t="s">
        <v>1447</v>
      </c>
      <c r="I15" t="s">
        <v>289</v>
      </c>
      <c r="J15">
        <v>2</v>
      </c>
      <c r="K15">
        <v>2</v>
      </c>
      <c r="M15" t="s">
        <v>290</v>
      </c>
      <c r="N15" t="s">
        <v>426</v>
      </c>
      <c r="O15" t="s">
        <v>291</v>
      </c>
      <c r="P15" t="s">
        <v>426</v>
      </c>
      <c r="Q15" t="s">
        <v>291</v>
      </c>
      <c r="R15" t="s">
        <v>1448</v>
      </c>
      <c r="S15">
        <v>45671</v>
      </c>
      <c r="T15">
        <v>45672</v>
      </c>
      <c r="U15" t="s">
        <v>294</v>
      </c>
      <c r="V15" t="s">
        <v>291</v>
      </c>
      <c r="W15" t="s">
        <v>295</v>
      </c>
      <c r="X15">
        <v>45672</v>
      </c>
      <c r="Y15" t="s">
        <v>291</v>
      </c>
      <c r="Z15" t="s">
        <v>291</v>
      </c>
      <c r="AA15" t="s">
        <v>291</v>
      </c>
    </row>
    <row r="16" spans="1:28">
      <c r="A16">
        <v>7</v>
      </c>
      <c r="B16" t="s">
        <v>5</v>
      </c>
      <c r="C16">
        <v>45576</v>
      </c>
      <c r="D16">
        <v>45589</v>
      </c>
      <c r="E16" t="s">
        <v>88</v>
      </c>
      <c r="F16" t="s">
        <v>1187</v>
      </c>
      <c r="G16" t="s">
        <v>1449</v>
      </c>
      <c r="H16" t="s">
        <v>1450</v>
      </c>
      <c r="I16" t="s">
        <v>289</v>
      </c>
      <c r="J16">
        <v>2</v>
      </c>
      <c r="K16">
        <v>2</v>
      </c>
      <c r="M16" t="s">
        <v>290</v>
      </c>
      <c r="N16" t="s">
        <v>298</v>
      </c>
      <c r="O16" t="s">
        <v>291</v>
      </c>
      <c r="P16" t="s">
        <v>298</v>
      </c>
      <c r="Q16" t="s">
        <v>291</v>
      </c>
      <c r="R16" t="s">
        <v>1451</v>
      </c>
      <c r="S16">
        <v>45671</v>
      </c>
      <c r="T16">
        <v>45672</v>
      </c>
      <c r="U16" t="s">
        <v>426</v>
      </c>
      <c r="V16" t="s">
        <v>291</v>
      </c>
      <c r="W16" t="s">
        <v>295</v>
      </c>
      <c r="X16">
        <v>45671</v>
      </c>
      <c r="Y16" t="s">
        <v>291</v>
      </c>
      <c r="Z16" t="s">
        <v>291</v>
      </c>
      <c r="AA16" t="s">
        <v>291</v>
      </c>
    </row>
    <row r="17" spans="1:28">
      <c r="A17">
        <v>1</v>
      </c>
      <c r="B17" t="s">
        <v>5</v>
      </c>
      <c r="C17">
        <v>45576</v>
      </c>
      <c r="D17">
        <v>45589</v>
      </c>
      <c r="E17" t="s">
        <v>91</v>
      </c>
      <c r="F17" t="s">
        <v>286</v>
      </c>
      <c r="G17" t="s">
        <v>1385</v>
      </c>
      <c r="H17" t="s">
        <v>1386</v>
      </c>
      <c r="I17" t="s">
        <v>301</v>
      </c>
      <c r="J17">
        <v>8</v>
      </c>
      <c r="AB17" t="s">
        <v>1412</v>
      </c>
    </row>
    <row r="18" spans="1:28">
      <c r="A18">
        <v>2</v>
      </c>
      <c r="B18" t="s">
        <v>5</v>
      </c>
      <c r="C18">
        <v>45576</v>
      </c>
      <c r="D18">
        <v>45589</v>
      </c>
      <c r="E18" t="s">
        <v>91</v>
      </c>
      <c r="F18" t="s">
        <v>292</v>
      </c>
      <c r="G18" t="s">
        <v>1392</v>
      </c>
      <c r="H18" t="s">
        <v>1393</v>
      </c>
      <c r="I18" t="s">
        <v>289</v>
      </c>
      <c r="J18">
        <v>3</v>
      </c>
      <c r="K18">
        <v>3</v>
      </c>
      <c r="M18" t="s">
        <v>1413</v>
      </c>
      <c r="AB18" t="s">
        <v>1414</v>
      </c>
    </row>
    <row r="19" spans="1:28">
      <c r="A19">
        <v>3</v>
      </c>
      <c r="B19" t="s">
        <v>5</v>
      </c>
      <c r="C19">
        <v>45576</v>
      </c>
      <c r="D19">
        <v>45589</v>
      </c>
      <c r="E19" t="s">
        <v>91</v>
      </c>
      <c r="F19" t="s">
        <v>294</v>
      </c>
      <c r="G19" t="s">
        <v>1415</v>
      </c>
      <c r="H19" t="s">
        <v>1416</v>
      </c>
      <c r="I19" t="s">
        <v>301</v>
      </c>
      <c r="J19">
        <v>3</v>
      </c>
      <c r="AB19" t="s">
        <v>1417</v>
      </c>
    </row>
    <row r="20" spans="1:28">
      <c r="A20">
        <v>4</v>
      </c>
      <c r="B20" t="s">
        <v>5</v>
      </c>
      <c r="C20">
        <v>45576</v>
      </c>
      <c r="D20">
        <v>45589</v>
      </c>
      <c r="E20" t="s">
        <v>91</v>
      </c>
      <c r="F20" t="s">
        <v>1418</v>
      </c>
      <c r="G20" t="s">
        <v>1419</v>
      </c>
      <c r="H20" t="s">
        <v>1420</v>
      </c>
      <c r="I20" t="s">
        <v>289</v>
      </c>
      <c r="J20">
        <v>0.5</v>
      </c>
      <c r="K20">
        <v>0.5</v>
      </c>
      <c r="M20" t="s">
        <v>290</v>
      </c>
      <c r="N20" t="s">
        <v>457</v>
      </c>
      <c r="P20" t="s">
        <v>291</v>
      </c>
      <c r="Q20" t="s">
        <v>291</v>
      </c>
      <c r="R20" t="s">
        <v>291</v>
      </c>
      <c r="S20" t="s">
        <v>291</v>
      </c>
      <c r="T20" t="s">
        <v>291</v>
      </c>
      <c r="U20" t="s">
        <v>291</v>
      </c>
      <c r="V20" t="s">
        <v>291</v>
      </c>
      <c r="W20" t="s">
        <v>291</v>
      </c>
      <c r="AB20" t="s">
        <v>1421</v>
      </c>
    </row>
    <row r="21" spans="1:28">
      <c r="A21">
        <v>5</v>
      </c>
      <c r="B21" t="s">
        <v>5</v>
      </c>
      <c r="C21">
        <v>45576</v>
      </c>
      <c r="D21">
        <v>45589</v>
      </c>
      <c r="E21" t="s">
        <v>91</v>
      </c>
      <c r="F21" t="s">
        <v>1418</v>
      </c>
      <c r="G21" t="s">
        <v>1422</v>
      </c>
      <c r="H21" t="s">
        <v>1423</v>
      </c>
      <c r="I21" t="s">
        <v>289</v>
      </c>
      <c r="J21">
        <v>0.5</v>
      </c>
      <c r="K21">
        <v>0.5</v>
      </c>
      <c r="M21" t="s">
        <v>290</v>
      </c>
      <c r="N21" t="s">
        <v>457</v>
      </c>
      <c r="P21" t="s">
        <v>291</v>
      </c>
      <c r="Q21" t="s">
        <v>291</v>
      </c>
      <c r="R21" t="s">
        <v>291</v>
      </c>
      <c r="S21" t="s">
        <v>291</v>
      </c>
      <c r="T21" t="s">
        <v>291</v>
      </c>
      <c r="U21" t="s">
        <v>291</v>
      </c>
      <c r="V21" t="s">
        <v>291</v>
      </c>
      <c r="W21" t="s">
        <v>291</v>
      </c>
      <c r="AB21" t="s">
        <v>1421</v>
      </c>
    </row>
    <row r="22" spans="1:28">
      <c r="A22">
        <v>6</v>
      </c>
      <c r="B22" t="s">
        <v>5</v>
      </c>
      <c r="C22">
        <v>45576</v>
      </c>
      <c r="D22">
        <v>45589</v>
      </c>
      <c r="E22" t="s">
        <v>91</v>
      </c>
      <c r="F22" t="s">
        <v>1418</v>
      </c>
      <c r="G22" t="s">
        <v>1424</v>
      </c>
      <c r="H22" t="s">
        <v>1425</v>
      </c>
      <c r="I22" t="s">
        <v>289</v>
      </c>
      <c r="J22">
        <v>1</v>
      </c>
      <c r="K22">
        <v>1</v>
      </c>
      <c r="M22" t="s">
        <v>290</v>
      </c>
      <c r="N22" t="s">
        <v>457</v>
      </c>
      <c r="P22" t="s">
        <v>291</v>
      </c>
      <c r="Q22" t="s">
        <v>291</v>
      </c>
      <c r="R22" t="s">
        <v>291</v>
      </c>
      <c r="S22" t="s">
        <v>291</v>
      </c>
      <c r="T22" t="s">
        <v>291</v>
      </c>
      <c r="U22" t="s">
        <v>291</v>
      </c>
      <c r="V22" t="s">
        <v>291</v>
      </c>
      <c r="W22" t="s">
        <v>291</v>
      </c>
      <c r="AB22" t="s">
        <v>1421</v>
      </c>
    </row>
    <row r="23" spans="1:28">
      <c r="A23">
        <v>1</v>
      </c>
      <c r="B23" t="s">
        <v>5</v>
      </c>
      <c r="C23">
        <v>45576</v>
      </c>
      <c r="D23">
        <v>45589</v>
      </c>
      <c r="E23" t="s">
        <v>94</v>
      </c>
      <c r="F23" t="s">
        <v>286</v>
      </c>
      <c r="G23" t="s">
        <v>1385</v>
      </c>
      <c r="H23" t="s">
        <v>1386</v>
      </c>
      <c r="I23" t="s">
        <v>289</v>
      </c>
      <c r="J23">
        <v>5</v>
      </c>
      <c r="K23">
        <v>11.25</v>
      </c>
      <c r="L23">
        <v>45</v>
      </c>
      <c r="M23" t="s">
        <v>290</v>
      </c>
      <c r="N23" t="s">
        <v>457</v>
      </c>
      <c r="O23" s="144" t="s">
        <v>1387</v>
      </c>
      <c r="P23" t="s">
        <v>437</v>
      </c>
      <c r="Q23" t="s">
        <v>1388</v>
      </c>
      <c r="R23" t="s">
        <v>1389</v>
      </c>
      <c r="S23">
        <v>45695</v>
      </c>
      <c r="T23">
        <v>45698</v>
      </c>
      <c r="U23" t="s">
        <v>294</v>
      </c>
      <c r="V23" t="s">
        <v>1390</v>
      </c>
      <c r="W23" t="s">
        <v>295</v>
      </c>
      <c r="X23">
        <v>45698</v>
      </c>
      <c r="Y23" t="s">
        <v>291</v>
      </c>
      <c r="Z23" t="s">
        <v>291</v>
      </c>
      <c r="AA23" t="s">
        <v>291</v>
      </c>
      <c r="AB23" t="s">
        <v>1391</v>
      </c>
    </row>
    <row r="24" spans="1:28">
      <c r="A24">
        <v>2</v>
      </c>
      <c r="B24" t="s">
        <v>5</v>
      </c>
      <c r="C24">
        <v>45576</v>
      </c>
      <c r="D24">
        <v>45589</v>
      </c>
      <c r="E24" t="s">
        <v>94</v>
      </c>
      <c r="F24" t="s">
        <v>437</v>
      </c>
      <c r="G24" t="s">
        <v>1392</v>
      </c>
      <c r="H24" t="s">
        <v>1393</v>
      </c>
      <c r="I24" t="s">
        <v>289</v>
      </c>
      <c r="J24">
        <v>3</v>
      </c>
      <c r="K24">
        <v>11.25</v>
      </c>
      <c r="L24">
        <v>45</v>
      </c>
      <c r="M24" t="s">
        <v>290</v>
      </c>
      <c r="N24" t="s">
        <v>457</v>
      </c>
      <c r="O24" t="s">
        <v>1394</v>
      </c>
      <c r="P24" t="s">
        <v>286</v>
      </c>
      <c r="Q24" t="s">
        <v>1395</v>
      </c>
      <c r="R24" t="s">
        <v>1396</v>
      </c>
      <c r="S24">
        <v>45699</v>
      </c>
      <c r="T24">
        <v>45700</v>
      </c>
      <c r="U24" t="s">
        <v>294</v>
      </c>
      <c r="V24" t="s">
        <v>1397</v>
      </c>
      <c r="W24" t="s">
        <v>295</v>
      </c>
      <c r="X24">
        <v>45700</v>
      </c>
      <c r="Y24" t="s">
        <v>291</v>
      </c>
      <c r="Z24" t="s">
        <v>291</v>
      </c>
      <c r="AA24" t="s">
        <v>291</v>
      </c>
      <c r="AB24" t="s">
        <v>1398</v>
      </c>
    </row>
    <row r="25" spans="1:28">
      <c r="A25">
        <v>3</v>
      </c>
      <c r="B25" t="s">
        <v>5</v>
      </c>
      <c r="C25">
        <v>45576</v>
      </c>
      <c r="D25">
        <v>45589</v>
      </c>
      <c r="E25" t="s">
        <v>94</v>
      </c>
      <c r="F25" t="s">
        <v>392</v>
      </c>
      <c r="G25" t="s">
        <v>1399</v>
      </c>
      <c r="H25" t="s">
        <v>1364</v>
      </c>
      <c r="I25" t="s">
        <v>301</v>
      </c>
      <c r="J25">
        <v>3</v>
      </c>
      <c r="AA25" t="s">
        <v>291</v>
      </c>
      <c r="AB25" t="s">
        <v>1400</v>
      </c>
    </row>
    <row r="26" spans="1:28">
      <c r="A26">
        <v>4</v>
      </c>
      <c r="B26" t="s">
        <v>5</v>
      </c>
      <c r="C26">
        <v>45576</v>
      </c>
      <c r="D26">
        <v>45589</v>
      </c>
      <c r="E26" t="s">
        <v>94</v>
      </c>
      <c r="F26" t="s">
        <v>392</v>
      </c>
      <c r="G26" t="s">
        <v>1401</v>
      </c>
      <c r="H26" t="s">
        <v>1402</v>
      </c>
      <c r="I26" t="s">
        <v>289</v>
      </c>
      <c r="J26">
        <v>3</v>
      </c>
      <c r="K26">
        <v>3</v>
      </c>
      <c r="AA26" t="s">
        <v>291</v>
      </c>
      <c r="AB26" t="s">
        <v>1403</v>
      </c>
    </row>
    <row r="27" spans="1:28">
      <c r="A27">
        <v>1</v>
      </c>
      <c r="B27" t="s">
        <v>5</v>
      </c>
      <c r="C27">
        <v>45576</v>
      </c>
      <c r="D27">
        <v>45589</v>
      </c>
      <c r="E27" t="s">
        <v>97</v>
      </c>
      <c r="F27" t="s">
        <v>298</v>
      </c>
      <c r="G27" t="s">
        <v>1357</v>
      </c>
      <c r="H27" t="s">
        <v>1358</v>
      </c>
      <c r="I27" t="s">
        <v>289</v>
      </c>
      <c r="J27">
        <v>2</v>
      </c>
      <c r="K27">
        <v>5</v>
      </c>
      <c r="L27">
        <v>19.75</v>
      </c>
      <c r="M27" t="s">
        <v>290</v>
      </c>
      <c r="N27" t="s">
        <v>457</v>
      </c>
      <c r="O27" t="s">
        <v>291</v>
      </c>
      <c r="P27" t="s">
        <v>292</v>
      </c>
      <c r="Q27" t="s">
        <v>291</v>
      </c>
      <c r="R27" t="s">
        <v>1359</v>
      </c>
      <c r="S27">
        <v>45705</v>
      </c>
      <c r="T27">
        <v>45708</v>
      </c>
      <c r="U27" t="s">
        <v>294</v>
      </c>
      <c r="V27" t="s">
        <v>291</v>
      </c>
      <c r="W27" t="s">
        <v>295</v>
      </c>
      <c r="X27">
        <v>45708</v>
      </c>
      <c r="Y27" t="s">
        <v>291</v>
      </c>
      <c r="Z27" t="s">
        <v>291</v>
      </c>
      <c r="AA27" t="s">
        <v>291</v>
      </c>
    </row>
    <row r="28" spans="1:28">
      <c r="A28">
        <v>2</v>
      </c>
      <c r="B28" t="s">
        <v>5</v>
      </c>
      <c r="C28">
        <v>45576</v>
      </c>
      <c r="D28">
        <v>45589</v>
      </c>
      <c r="E28" t="s">
        <v>97</v>
      </c>
      <c r="F28" t="s">
        <v>292</v>
      </c>
      <c r="G28" t="s">
        <v>1360</v>
      </c>
      <c r="H28" t="s">
        <v>1361</v>
      </c>
      <c r="I28" t="s">
        <v>289</v>
      </c>
      <c r="J28">
        <v>3</v>
      </c>
      <c r="K28">
        <v>8</v>
      </c>
      <c r="L28">
        <v>32</v>
      </c>
      <c r="M28" t="s">
        <v>290</v>
      </c>
      <c r="N28" t="s">
        <v>457</v>
      </c>
      <c r="O28" t="s">
        <v>291</v>
      </c>
      <c r="P28" t="s">
        <v>298</v>
      </c>
      <c r="Q28" t="s">
        <v>291</v>
      </c>
      <c r="R28" t="s">
        <v>1362</v>
      </c>
      <c r="S28">
        <v>45707</v>
      </c>
      <c r="T28">
        <v>45708</v>
      </c>
      <c r="U28" t="s">
        <v>294</v>
      </c>
      <c r="V28" t="s">
        <v>291</v>
      </c>
      <c r="W28" t="s">
        <v>295</v>
      </c>
      <c r="X28">
        <v>45708</v>
      </c>
      <c r="Y28" t="s">
        <v>291</v>
      </c>
      <c r="Z28" t="s">
        <v>291</v>
      </c>
      <c r="AA28" t="s">
        <v>291</v>
      </c>
    </row>
    <row r="29" spans="1:28">
      <c r="A29">
        <v>3</v>
      </c>
      <c r="B29" t="s">
        <v>5</v>
      </c>
      <c r="C29">
        <v>45576</v>
      </c>
      <c r="D29">
        <v>45589</v>
      </c>
      <c r="E29" t="s">
        <v>97</v>
      </c>
      <c r="F29" t="s">
        <v>294</v>
      </c>
      <c r="G29" t="s">
        <v>1363</v>
      </c>
      <c r="H29" t="s">
        <v>1364</v>
      </c>
      <c r="I29" t="s">
        <v>301</v>
      </c>
      <c r="J29">
        <v>3</v>
      </c>
      <c r="K29">
        <v>5.5</v>
      </c>
      <c r="L29">
        <v>22</v>
      </c>
      <c r="AB29" t="s">
        <v>1365</v>
      </c>
    </row>
    <row r="30" spans="1:28">
      <c r="A30">
        <v>4</v>
      </c>
      <c r="B30" t="s">
        <v>5</v>
      </c>
      <c r="C30">
        <v>45576</v>
      </c>
      <c r="D30">
        <v>45589</v>
      </c>
      <c r="E30" t="s">
        <v>1366</v>
      </c>
      <c r="F30" t="s">
        <v>1367</v>
      </c>
      <c r="G30" t="s">
        <v>1368</v>
      </c>
      <c r="H30" t="s">
        <v>1308</v>
      </c>
      <c r="I30" t="s">
        <v>301</v>
      </c>
      <c r="J30">
        <v>3</v>
      </c>
      <c r="K30">
        <v>19.5</v>
      </c>
      <c r="L30">
        <v>78</v>
      </c>
      <c r="AB30" t="s">
        <v>1369</v>
      </c>
    </row>
    <row r="31" spans="1:28">
      <c r="A31">
        <v>5</v>
      </c>
      <c r="B31" t="s">
        <v>5</v>
      </c>
      <c r="C31">
        <v>45576</v>
      </c>
      <c r="D31">
        <v>45589</v>
      </c>
      <c r="E31" t="s">
        <v>1366</v>
      </c>
      <c r="F31" t="s">
        <v>292</v>
      </c>
      <c r="G31" t="s">
        <v>1370</v>
      </c>
      <c r="H31" t="s">
        <v>1371</v>
      </c>
      <c r="I31" t="s">
        <v>289</v>
      </c>
      <c r="J31">
        <v>1</v>
      </c>
      <c r="K31">
        <v>1</v>
      </c>
      <c r="L31">
        <v>5.5</v>
      </c>
      <c r="M31" t="s">
        <v>290</v>
      </c>
      <c r="N31" t="s">
        <v>298</v>
      </c>
      <c r="O31" t="s">
        <v>291</v>
      </c>
      <c r="P31" t="s">
        <v>298</v>
      </c>
      <c r="Q31" t="s">
        <v>291</v>
      </c>
      <c r="R31" t="s">
        <v>1372</v>
      </c>
      <c r="S31">
        <v>45708</v>
      </c>
      <c r="T31">
        <v>45708</v>
      </c>
      <c r="U31" t="s">
        <v>294</v>
      </c>
      <c r="V31" t="s">
        <v>291</v>
      </c>
      <c r="W31" t="s">
        <v>295</v>
      </c>
      <c r="X31">
        <v>45708</v>
      </c>
      <c r="Y31" t="s">
        <v>358</v>
      </c>
      <c r="Z31" t="s">
        <v>291</v>
      </c>
      <c r="AA31" t="s">
        <v>291</v>
      </c>
    </row>
    <row r="32" spans="1:28">
      <c r="A32">
        <v>6</v>
      </c>
      <c r="B32" t="s">
        <v>5</v>
      </c>
      <c r="C32">
        <v>45576</v>
      </c>
      <c r="D32">
        <v>45589</v>
      </c>
      <c r="E32" t="s">
        <v>1366</v>
      </c>
      <c r="F32" s="144" t="s">
        <v>1373</v>
      </c>
      <c r="G32" t="s">
        <v>1374</v>
      </c>
      <c r="H32" t="s">
        <v>1375</v>
      </c>
      <c r="I32" t="s">
        <v>289</v>
      </c>
      <c r="J32">
        <v>1</v>
      </c>
      <c r="K32">
        <v>1</v>
      </c>
      <c r="L32">
        <v>12</v>
      </c>
    </row>
    <row r="33" spans="1:28">
      <c r="A33">
        <v>7</v>
      </c>
      <c r="B33" t="s">
        <v>5</v>
      </c>
      <c r="C33">
        <v>45576</v>
      </c>
      <c r="D33">
        <v>45589</v>
      </c>
      <c r="E33" t="s">
        <v>97</v>
      </c>
      <c r="F33" s="144" t="s">
        <v>1373</v>
      </c>
      <c r="G33" t="s">
        <v>1376</v>
      </c>
      <c r="H33" t="s">
        <v>1377</v>
      </c>
      <c r="I33" t="s">
        <v>289</v>
      </c>
      <c r="J33">
        <v>1</v>
      </c>
      <c r="K33">
        <v>1</v>
      </c>
      <c r="L33">
        <v>8.25</v>
      </c>
    </row>
    <row r="34" spans="1:28">
      <c r="A34">
        <v>1</v>
      </c>
      <c r="B34" t="s">
        <v>5</v>
      </c>
      <c r="C34">
        <v>45576</v>
      </c>
      <c r="D34">
        <v>45589</v>
      </c>
      <c r="E34" t="s">
        <v>101</v>
      </c>
      <c r="F34" t="s">
        <v>1310</v>
      </c>
      <c r="G34" t="s">
        <v>1307</v>
      </c>
      <c r="H34" t="s">
        <v>1308</v>
      </c>
      <c r="I34" t="s">
        <v>532</v>
      </c>
      <c r="J34">
        <v>3</v>
      </c>
      <c r="L34">
        <v>64</v>
      </c>
      <c r="AB34" t="s">
        <v>1337</v>
      </c>
    </row>
    <row r="35" spans="1:28">
      <c r="A35">
        <v>2</v>
      </c>
      <c r="B35" t="s">
        <v>5</v>
      </c>
      <c r="C35">
        <v>45576</v>
      </c>
      <c r="D35">
        <v>45589</v>
      </c>
      <c r="E35" t="s">
        <v>101</v>
      </c>
      <c r="F35" t="s">
        <v>292</v>
      </c>
      <c r="G35" t="s">
        <v>1338</v>
      </c>
      <c r="H35" t="s">
        <v>1339</v>
      </c>
      <c r="I35" t="s">
        <v>289</v>
      </c>
      <c r="J35">
        <v>3</v>
      </c>
      <c r="L35">
        <v>51.5</v>
      </c>
      <c r="AB35" t="s">
        <v>1340</v>
      </c>
    </row>
    <row r="36" spans="1:28">
      <c r="A36">
        <v>3</v>
      </c>
      <c r="B36" t="s">
        <v>5</v>
      </c>
      <c r="C36">
        <v>45576</v>
      </c>
      <c r="D36">
        <v>45589</v>
      </c>
      <c r="E36" t="s">
        <v>101</v>
      </c>
      <c r="F36" t="s">
        <v>298</v>
      </c>
      <c r="G36" t="s">
        <v>1341</v>
      </c>
      <c r="H36" t="s">
        <v>1342</v>
      </c>
      <c r="I36" t="s">
        <v>289</v>
      </c>
      <c r="J36">
        <v>3</v>
      </c>
      <c r="K36">
        <v>3</v>
      </c>
      <c r="L36">
        <v>62</v>
      </c>
      <c r="M36" t="s">
        <v>290</v>
      </c>
      <c r="N36" t="s">
        <v>457</v>
      </c>
      <c r="O36" t="s">
        <v>1343</v>
      </c>
      <c r="P36" t="s">
        <v>292</v>
      </c>
      <c r="Q36" t="s">
        <v>291</v>
      </c>
      <c r="R36" t="s">
        <v>1344</v>
      </c>
      <c r="S36">
        <v>45727</v>
      </c>
      <c r="T36">
        <v>45728</v>
      </c>
      <c r="U36" t="s">
        <v>426</v>
      </c>
      <c r="V36" t="s">
        <v>1345</v>
      </c>
      <c r="W36" t="s">
        <v>295</v>
      </c>
      <c r="X36">
        <v>45728</v>
      </c>
      <c r="Y36" t="s">
        <v>291</v>
      </c>
      <c r="Z36" t="s">
        <v>291</v>
      </c>
      <c r="AA36" t="s">
        <v>291</v>
      </c>
    </row>
    <row r="37" spans="1:28">
      <c r="A37">
        <v>4</v>
      </c>
      <c r="B37" t="s">
        <v>5</v>
      </c>
      <c r="C37">
        <v>45576</v>
      </c>
      <c r="D37">
        <v>45589</v>
      </c>
      <c r="E37" t="s">
        <v>101</v>
      </c>
      <c r="F37" t="s">
        <v>286</v>
      </c>
      <c r="G37" t="s">
        <v>1346</v>
      </c>
      <c r="H37" t="s">
        <v>1347</v>
      </c>
      <c r="I37" t="s">
        <v>289</v>
      </c>
      <c r="J37">
        <v>2</v>
      </c>
      <c r="L37">
        <v>24.75</v>
      </c>
      <c r="AB37" t="s">
        <v>1348</v>
      </c>
    </row>
    <row r="38" spans="1:28">
      <c r="A38">
        <v>1</v>
      </c>
      <c r="B38" t="s">
        <v>5</v>
      </c>
      <c r="C38">
        <v>45576</v>
      </c>
      <c r="D38">
        <v>45589</v>
      </c>
      <c r="E38" t="s">
        <v>104</v>
      </c>
      <c r="F38" t="s">
        <v>426</v>
      </c>
      <c r="G38" t="s">
        <v>1307</v>
      </c>
      <c r="H38" t="s">
        <v>1308</v>
      </c>
      <c r="I38" t="s">
        <v>289</v>
      </c>
      <c r="J38">
        <v>1</v>
      </c>
      <c r="K38">
        <v>1</v>
      </c>
      <c r="L38">
        <v>35.25</v>
      </c>
      <c r="M38" t="s">
        <v>290</v>
      </c>
      <c r="N38" t="s">
        <v>457</v>
      </c>
      <c r="O38" t="s">
        <v>291</v>
      </c>
      <c r="P38" t="s">
        <v>292</v>
      </c>
      <c r="Q38" t="s">
        <v>291</v>
      </c>
      <c r="R38" s="144" t="s">
        <v>1309</v>
      </c>
      <c r="S38">
        <v>45729</v>
      </c>
      <c r="T38">
        <v>45730</v>
      </c>
      <c r="U38" t="s">
        <v>426</v>
      </c>
      <c r="V38" t="s">
        <v>291</v>
      </c>
      <c r="W38" t="s">
        <v>295</v>
      </c>
      <c r="X38">
        <v>45730</v>
      </c>
      <c r="Y38" t="s">
        <v>291</v>
      </c>
      <c r="Z38" t="s">
        <v>291</v>
      </c>
      <c r="AA38" t="s">
        <v>291</v>
      </c>
    </row>
    <row r="39" spans="1:28">
      <c r="A39">
        <v>2</v>
      </c>
      <c r="B39" t="s">
        <v>5</v>
      </c>
      <c r="C39">
        <v>45576</v>
      </c>
      <c r="D39">
        <v>45589</v>
      </c>
      <c r="E39" t="s">
        <v>104</v>
      </c>
      <c r="F39" t="s">
        <v>1310</v>
      </c>
      <c r="G39" t="s">
        <v>1311</v>
      </c>
      <c r="H39" t="s">
        <v>1312</v>
      </c>
      <c r="I39" t="s">
        <v>289</v>
      </c>
      <c r="J39">
        <v>2</v>
      </c>
      <c r="K39">
        <v>2</v>
      </c>
      <c r="L39">
        <v>16.75</v>
      </c>
      <c r="M39" t="s">
        <v>290</v>
      </c>
      <c r="N39" t="s">
        <v>1313</v>
      </c>
      <c r="O39" t="s">
        <v>291</v>
      </c>
      <c r="P39" t="s">
        <v>292</v>
      </c>
      <c r="Q39" t="s">
        <v>291</v>
      </c>
      <c r="R39" t="s">
        <v>1314</v>
      </c>
      <c r="S39">
        <v>45733</v>
      </c>
      <c r="T39">
        <v>45734</v>
      </c>
      <c r="U39" t="s">
        <v>426</v>
      </c>
      <c r="V39" t="s">
        <v>291</v>
      </c>
      <c r="W39" t="s">
        <v>1315</v>
      </c>
      <c r="X39">
        <v>45734</v>
      </c>
      <c r="Y39" t="s">
        <v>291</v>
      </c>
      <c r="Z39" t="s">
        <v>291</v>
      </c>
      <c r="AA39" t="s">
        <v>291</v>
      </c>
    </row>
    <row r="40" spans="1:28">
      <c r="A40">
        <v>3</v>
      </c>
      <c r="B40" t="s">
        <v>5</v>
      </c>
      <c r="C40">
        <v>45576</v>
      </c>
      <c r="D40">
        <v>45589</v>
      </c>
      <c r="E40" t="s">
        <v>104</v>
      </c>
      <c r="F40" t="s">
        <v>1316</v>
      </c>
      <c r="G40" t="s">
        <v>1317</v>
      </c>
      <c r="H40" t="s">
        <v>1318</v>
      </c>
      <c r="I40" t="s">
        <v>289</v>
      </c>
      <c r="J40">
        <v>2</v>
      </c>
      <c r="K40">
        <v>2</v>
      </c>
      <c r="L40">
        <v>46.25</v>
      </c>
      <c r="M40" t="s">
        <v>290</v>
      </c>
      <c r="N40" t="s">
        <v>457</v>
      </c>
      <c r="O40" t="s">
        <v>291</v>
      </c>
      <c r="P40" t="s">
        <v>298</v>
      </c>
      <c r="Q40" t="s">
        <v>291</v>
      </c>
      <c r="R40" t="s">
        <v>1319</v>
      </c>
      <c r="S40">
        <v>45734</v>
      </c>
      <c r="T40">
        <v>45736</v>
      </c>
      <c r="U40" t="s">
        <v>426</v>
      </c>
      <c r="V40" t="s">
        <v>291</v>
      </c>
      <c r="W40" t="s">
        <v>1315</v>
      </c>
      <c r="X40">
        <v>45736</v>
      </c>
      <c r="Y40" t="s">
        <v>291</v>
      </c>
      <c r="Z40" t="s">
        <v>291</v>
      </c>
      <c r="AA40" t="s">
        <v>291</v>
      </c>
    </row>
    <row r="41" spans="1:28">
      <c r="A41">
        <v>4</v>
      </c>
      <c r="B41" t="s">
        <v>5</v>
      </c>
      <c r="C41">
        <v>45576</v>
      </c>
      <c r="D41">
        <v>45589</v>
      </c>
      <c r="E41" t="s">
        <v>104</v>
      </c>
      <c r="F41" t="s">
        <v>1320</v>
      </c>
      <c r="G41" t="s">
        <v>1321</v>
      </c>
      <c r="H41" t="s">
        <v>1322</v>
      </c>
      <c r="I41" t="s">
        <v>289</v>
      </c>
      <c r="J41">
        <v>8</v>
      </c>
      <c r="K41">
        <v>8</v>
      </c>
      <c r="L41">
        <v>99</v>
      </c>
      <c r="M41" t="s">
        <v>290</v>
      </c>
      <c r="N41" t="s">
        <v>457</v>
      </c>
      <c r="O41" t="s">
        <v>291</v>
      </c>
      <c r="P41" t="s">
        <v>437</v>
      </c>
      <c r="Q41" t="s">
        <v>291</v>
      </c>
      <c r="R41" t="s">
        <v>1323</v>
      </c>
      <c r="S41">
        <v>45741</v>
      </c>
      <c r="T41">
        <v>45742</v>
      </c>
      <c r="U41" t="s">
        <v>426</v>
      </c>
      <c r="V41" t="s">
        <v>1324</v>
      </c>
      <c r="W41" t="s">
        <v>1315</v>
      </c>
      <c r="X41">
        <v>45742</v>
      </c>
      <c r="Y41" t="s">
        <v>291</v>
      </c>
      <c r="Z41" t="s">
        <v>291</v>
      </c>
      <c r="AA41" t="s">
        <v>291</v>
      </c>
    </row>
    <row r="42" spans="1:28">
      <c r="A42">
        <v>5</v>
      </c>
      <c r="B42" t="s">
        <v>5</v>
      </c>
      <c r="C42">
        <v>45576</v>
      </c>
      <c r="D42">
        <v>45589</v>
      </c>
      <c r="E42" t="s">
        <v>104</v>
      </c>
      <c r="F42" t="s">
        <v>426</v>
      </c>
      <c r="G42" t="s">
        <v>1325</v>
      </c>
      <c r="H42" t="s">
        <v>1326</v>
      </c>
      <c r="I42" t="s">
        <v>289</v>
      </c>
      <c r="J42">
        <v>1</v>
      </c>
      <c r="K42">
        <v>11.5</v>
      </c>
    </row>
    <row r="43" spans="1:28">
      <c r="A43">
        <v>6</v>
      </c>
      <c r="B43" t="s">
        <v>5</v>
      </c>
      <c r="C43">
        <v>45576</v>
      </c>
      <c r="D43">
        <v>45589</v>
      </c>
      <c r="E43" t="s">
        <v>1327</v>
      </c>
      <c r="F43" t="s">
        <v>1310</v>
      </c>
      <c r="G43" t="s">
        <v>1328</v>
      </c>
      <c r="H43" t="s">
        <v>1329</v>
      </c>
      <c r="I43" t="s">
        <v>289</v>
      </c>
      <c r="J43">
        <v>2</v>
      </c>
      <c r="K43">
        <v>9.25</v>
      </c>
      <c r="M43" t="s">
        <v>290</v>
      </c>
      <c r="N43" t="s">
        <v>457</v>
      </c>
      <c r="O43" t="s">
        <v>291</v>
      </c>
      <c r="P43" t="s">
        <v>298</v>
      </c>
      <c r="Q43" t="s">
        <v>291</v>
      </c>
      <c r="R43" t="s">
        <v>1323</v>
      </c>
      <c r="S43">
        <v>45741</v>
      </c>
      <c r="T43">
        <v>45742</v>
      </c>
      <c r="U43" t="s">
        <v>426</v>
      </c>
      <c r="V43" t="s">
        <v>291</v>
      </c>
      <c r="W43" t="s">
        <v>1315</v>
      </c>
      <c r="X43">
        <v>45742</v>
      </c>
      <c r="Y43" t="s">
        <v>291</v>
      </c>
      <c r="Z43" t="s">
        <v>291</v>
      </c>
      <c r="AA43" t="s">
        <v>291</v>
      </c>
    </row>
    <row r="44" spans="1:28">
      <c r="A44">
        <v>7</v>
      </c>
      <c r="B44" t="s">
        <v>5</v>
      </c>
      <c r="C44">
        <v>45576</v>
      </c>
      <c r="D44">
        <v>45589</v>
      </c>
      <c r="E44" t="s">
        <v>1327</v>
      </c>
      <c r="F44" t="s">
        <v>1330</v>
      </c>
      <c r="G44" t="s">
        <v>1331</v>
      </c>
      <c r="H44" t="s">
        <v>1332</v>
      </c>
      <c r="I44" t="s">
        <v>289</v>
      </c>
      <c r="J44">
        <v>3</v>
      </c>
      <c r="K44">
        <v>17.5</v>
      </c>
      <c r="M44" t="s">
        <v>290</v>
      </c>
      <c r="N44" t="s">
        <v>457</v>
      </c>
      <c r="O44" t="s">
        <v>291</v>
      </c>
      <c r="P44" t="s">
        <v>292</v>
      </c>
      <c r="Q44" t="s">
        <v>291</v>
      </c>
      <c r="R44" t="s">
        <v>1333</v>
      </c>
      <c r="S44">
        <v>45742</v>
      </c>
      <c r="T44">
        <v>45743</v>
      </c>
      <c r="U44" t="s">
        <v>426</v>
      </c>
      <c r="V44" t="s">
        <v>291</v>
      </c>
      <c r="W44" t="s">
        <v>295</v>
      </c>
      <c r="X44">
        <v>45743</v>
      </c>
      <c r="Y44" t="s">
        <v>291</v>
      </c>
      <c r="Z44" t="s">
        <v>291</v>
      </c>
      <c r="AA44" t="s">
        <v>291</v>
      </c>
    </row>
    <row r="45" spans="1:28">
      <c r="A45">
        <v>1</v>
      </c>
      <c r="B45" t="s">
        <v>5</v>
      </c>
      <c r="C45">
        <v>45744</v>
      </c>
      <c r="D45">
        <v>45757</v>
      </c>
      <c r="E45" t="s">
        <v>108</v>
      </c>
      <c r="F45" t="s">
        <v>437</v>
      </c>
      <c r="G45" t="s">
        <v>1277</v>
      </c>
      <c r="H45" t="s">
        <v>1278</v>
      </c>
      <c r="I45" t="s">
        <v>289</v>
      </c>
      <c r="J45">
        <v>8</v>
      </c>
      <c r="L45">
        <v>168</v>
      </c>
      <c r="M45" t="s">
        <v>290</v>
      </c>
      <c r="N45" t="s">
        <v>457</v>
      </c>
      <c r="O45" s="144" t="s">
        <v>1279</v>
      </c>
      <c r="P45" t="s">
        <v>286</v>
      </c>
      <c r="Q45" t="s">
        <v>291</v>
      </c>
      <c r="R45" t="s">
        <v>1280</v>
      </c>
      <c r="S45">
        <v>45755</v>
      </c>
      <c r="T45">
        <v>45756</v>
      </c>
      <c r="U45" t="s">
        <v>426</v>
      </c>
      <c r="V45" t="s">
        <v>291</v>
      </c>
      <c r="W45" t="s">
        <v>1281</v>
      </c>
      <c r="X45">
        <v>45756</v>
      </c>
      <c r="Y45" t="s">
        <v>291</v>
      </c>
      <c r="Z45" t="s">
        <v>291</v>
      </c>
      <c r="AA45" t="s">
        <v>291</v>
      </c>
      <c r="AB45" s="144" t="s">
        <v>1282</v>
      </c>
    </row>
    <row r="46" spans="1:28">
      <c r="A46">
        <v>2</v>
      </c>
      <c r="B46" t="s">
        <v>5</v>
      </c>
      <c r="C46">
        <v>45744</v>
      </c>
      <c r="D46">
        <v>45757</v>
      </c>
      <c r="E46" t="s">
        <v>108</v>
      </c>
      <c r="F46" t="s">
        <v>426</v>
      </c>
      <c r="G46" t="s">
        <v>1269</v>
      </c>
      <c r="H46" t="s">
        <v>1270</v>
      </c>
      <c r="I46" t="s">
        <v>1283</v>
      </c>
      <c r="J46">
        <v>3</v>
      </c>
      <c r="L46">
        <v>24.5</v>
      </c>
      <c r="M46" t="s">
        <v>290</v>
      </c>
      <c r="N46" t="s">
        <v>426</v>
      </c>
      <c r="O46" t="s">
        <v>291</v>
      </c>
      <c r="P46" t="s">
        <v>294</v>
      </c>
      <c r="Q46" t="s">
        <v>291</v>
      </c>
      <c r="R46" t="s">
        <v>1284</v>
      </c>
      <c r="S46">
        <v>45757</v>
      </c>
      <c r="T46">
        <v>45757</v>
      </c>
      <c r="U46" t="s">
        <v>294</v>
      </c>
      <c r="V46" t="s">
        <v>291</v>
      </c>
      <c r="W46" t="s">
        <v>1281</v>
      </c>
      <c r="X46">
        <v>45757</v>
      </c>
      <c r="Y46" t="s">
        <v>291</v>
      </c>
      <c r="Z46" t="s">
        <v>291</v>
      </c>
      <c r="AA46" t="s">
        <v>291</v>
      </c>
      <c r="AB46" s="144" t="s">
        <v>1285</v>
      </c>
    </row>
    <row r="47" spans="1:28">
      <c r="A47">
        <v>3</v>
      </c>
      <c r="B47" t="s">
        <v>5</v>
      </c>
      <c r="C47">
        <v>45744</v>
      </c>
      <c r="D47">
        <v>45757</v>
      </c>
      <c r="E47" t="s">
        <v>108</v>
      </c>
      <c r="F47" t="s">
        <v>298</v>
      </c>
      <c r="G47" t="s">
        <v>1286</v>
      </c>
      <c r="H47" t="s">
        <v>1287</v>
      </c>
      <c r="I47" t="s">
        <v>289</v>
      </c>
      <c r="L47">
        <v>11.5</v>
      </c>
      <c r="M47" t="s">
        <v>290</v>
      </c>
      <c r="N47" t="s">
        <v>457</v>
      </c>
      <c r="O47" t="s">
        <v>291</v>
      </c>
      <c r="P47" t="s">
        <v>426</v>
      </c>
      <c r="Q47" t="s">
        <v>291</v>
      </c>
      <c r="R47" t="s">
        <v>1288</v>
      </c>
      <c r="S47">
        <v>45756</v>
      </c>
      <c r="T47">
        <v>45757</v>
      </c>
      <c r="U47" t="s">
        <v>426</v>
      </c>
      <c r="V47" t="s">
        <v>291</v>
      </c>
      <c r="W47" t="s">
        <v>1281</v>
      </c>
      <c r="X47">
        <v>45757</v>
      </c>
      <c r="Y47" t="s">
        <v>291</v>
      </c>
      <c r="Z47" t="s">
        <v>291</v>
      </c>
      <c r="AA47" t="s">
        <v>291</v>
      </c>
      <c r="AB47" s="144" t="s">
        <v>1289</v>
      </c>
    </row>
    <row r="48" spans="1:28">
      <c r="A48">
        <v>4</v>
      </c>
      <c r="B48" t="s">
        <v>5</v>
      </c>
      <c r="C48">
        <v>45744</v>
      </c>
      <c r="D48">
        <v>45757</v>
      </c>
      <c r="E48" t="s">
        <v>108</v>
      </c>
      <c r="F48" s="144" t="s">
        <v>1290</v>
      </c>
      <c r="G48" t="s">
        <v>1291</v>
      </c>
      <c r="H48" t="s">
        <v>1292</v>
      </c>
      <c r="I48" t="s">
        <v>289</v>
      </c>
      <c r="J48">
        <v>1</v>
      </c>
      <c r="K48">
        <v>1</v>
      </c>
      <c r="L48">
        <v>21.5</v>
      </c>
      <c r="AB48" t="s">
        <v>1293</v>
      </c>
    </row>
    <row r="49" spans="1:28">
      <c r="A49">
        <v>5</v>
      </c>
      <c r="B49" t="s">
        <v>5</v>
      </c>
      <c r="C49">
        <v>45744</v>
      </c>
      <c r="D49">
        <v>45757</v>
      </c>
      <c r="E49" t="s">
        <v>108</v>
      </c>
      <c r="F49" t="s">
        <v>426</v>
      </c>
      <c r="G49" t="s">
        <v>1294</v>
      </c>
      <c r="H49" t="s">
        <v>1295</v>
      </c>
      <c r="I49" t="s">
        <v>289</v>
      </c>
      <c r="J49">
        <v>1</v>
      </c>
      <c r="K49">
        <v>1</v>
      </c>
      <c r="L49">
        <v>25.25</v>
      </c>
    </row>
    <row r="50" spans="1:28">
      <c r="A50">
        <v>1</v>
      </c>
      <c r="B50" t="s">
        <v>5</v>
      </c>
      <c r="C50">
        <v>45757</v>
      </c>
      <c r="D50">
        <v>45771</v>
      </c>
      <c r="E50" t="s">
        <v>112</v>
      </c>
      <c r="F50" t="s">
        <v>292</v>
      </c>
      <c r="G50" t="s">
        <v>1257</v>
      </c>
      <c r="H50" t="s">
        <v>1258</v>
      </c>
      <c r="I50" t="s">
        <v>289</v>
      </c>
      <c r="J50">
        <v>3</v>
      </c>
      <c r="L50">
        <v>25.73</v>
      </c>
      <c r="N50" t="s">
        <v>457</v>
      </c>
      <c r="O50" t="s">
        <v>291</v>
      </c>
      <c r="P50" t="s">
        <v>298</v>
      </c>
      <c r="Q50" t="s">
        <v>291</v>
      </c>
      <c r="R50" t="s">
        <v>1259</v>
      </c>
      <c r="S50">
        <v>45762</v>
      </c>
      <c r="T50">
        <v>45763</v>
      </c>
      <c r="U50" t="s">
        <v>426</v>
      </c>
      <c r="V50" t="s">
        <v>291</v>
      </c>
      <c r="W50" t="s">
        <v>295</v>
      </c>
      <c r="X50">
        <v>45763</v>
      </c>
      <c r="Y50" t="s">
        <v>291</v>
      </c>
      <c r="Z50" t="s">
        <v>291</v>
      </c>
      <c r="AA50" t="s">
        <v>291</v>
      </c>
      <c r="AB50" s="144" t="s">
        <v>1260</v>
      </c>
    </row>
    <row r="51" spans="1:28">
      <c r="A51">
        <v>2</v>
      </c>
      <c r="B51" t="s">
        <v>5</v>
      </c>
      <c r="C51">
        <v>45757</v>
      </c>
      <c r="D51">
        <v>45771</v>
      </c>
      <c r="E51" t="s">
        <v>112</v>
      </c>
      <c r="F51" t="s">
        <v>298</v>
      </c>
      <c r="G51" t="s">
        <v>1261</v>
      </c>
      <c r="H51" t="s">
        <v>1262</v>
      </c>
      <c r="I51" t="s">
        <v>289</v>
      </c>
      <c r="J51">
        <v>2</v>
      </c>
      <c r="K51">
        <v>2</v>
      </c>
      <c r="L51">
        <v>2.25</v>
      </c>
      <c r="M51" t="s">
        <v>1263</v>
      </c>
      <c r="P51" t="s">
        <v>1264</v>
      </c>
    </row>
    <row r="52" spans="1:28">
      <c r="A52">
        <v>3</v>
      </c>
      <c r="B52" t="s">
        <v>5</v>
      </c>
      <c r="C52">
        <v>45757</v>
      </c>
      <c r="D52">
        <v>45771</v>
      </c>
      <c r="E52" t="s">
        <v>112</v>
      </c>
      <c r="F52" t="s">
        <v>519</v>
      </c>
      <c r="G52" t="s">
        <v>1265</v>
      </c>
      <c r="H52" t="s">
        <v>1266</v>
      </c>
      <c r="I52" t="s">
        <v>289</v>
      </c>
      <c r="J52">
        <v>2</v>
      </c>
      <c r="K52">
        <v>2</v>
      </c>
      <c r="L52">
        <v>26.5</v>
      </c>
      <c r="M52" t="s">
        <v>290</v>
      </c>
      <c r="N52" t="s">
        <v>457</v>
      </c>
      <c r="O52" t="s">
        <v>291</v>
      </c>
      <c r="P52" t="s">
        <v>292</v>
      </c>
      <c r="Q52" t="s">
        <v>291</v>
      </c>
      <c r="R52" t="s">
        <v>1267</v>
      </c>
      <c r="S52">
        <v>45765</v>
      </c>
      <c r="T52">
        <v>45768</v>
      </c>
      <c r="U52" t="s">
        <v>294</v>
      </c>
      <c r="V52" t="s">
        <v>291</v>
      </c>
      <c r="W52" t="s">
        <v>295</v>
      </c>
      <c r="X52">
        <v>45768</v>
      </c>
      <c r="Y52" t="s">
        <v>291</v>
      </c>
      <c r="Z52" t="s">
        <v>291</v>
      </c>
      <c r="AA52" t="s">
        <v>291</v>
      </c>
      <c r="AB52" s="144" t="s">
        <v>1268</v>
      </c>
    </row>
    <row r="53" spans="1:28">
      <c r="A53">
        <v>4</v>
      </c>
      <c r="B53" t="s">
        <v>5</v>
      </c>
      <c r="C53">
        <v>45757</v>
      </c>
      <c r="D53">
        <v>45771</v>
      </c>
      <c r="E53" t="s">
        <v>112</v>
      </c>
      <c r="F53" t="s">
        <v>1177</v>
      </c>
      <c r="G53" t="s">
        <v>1269</v>
      </c>
      <c r="H53" t="s">
        <v>1270</v>
      </c>
      <c r="I53" t="s">
        <v>289</v>
      </c>
      <c r="J53">
        <v>2</v>
      </c>
      <c r="K53">
        <v>2</v>
      </c>
      <c r="L53">
        <v>18.5</v>
      </c>
      <c r="AB53" t="s">
        <v>1271</v>
      </c>
    </row>
    <row r="54" spans="1:28">
      <c r="A54">
        <v>5</v>
      </c>
      <c r="B54" t="s">
        <v>5</v>
      </c>
      <c r="C54">
        <v>45757</v>
      </c>
      <c r="D54">
        <v>45771</v>
      </c>
      <c r="E54" t="s">
        <v>1272</v>
      </c>
      <c r="F54" t="s">
        <v>895</v>
      </c>
      <c r="G54" t="s">
        <v>1273</v>
      </c>
      <c r="H54" t="s">
        <v>1274</v>
      </c>
      <c r="I54" t="s">
        <v>289</v>
      </c>
      <c r="J54">
        <v>5</v>
      </c>
      <c r="K54">
        <v>5</v>
      </c>
      <c r="L54">
        <v>77</v>
      </c>
      <c r="AB54" t="s">
        <v>1275</v>
      </c>
    </row>
    <row r="55" spans="1:28">
      <c r="A55">
        <v>1</v>
      </c>
      <c r="B55" t="s">
        <v>5</v>
      </c>
      <c r="C55">
        <v>45771</v>
      </c>
      <c r="D55">
        <v>45785</v>
      </c>
      <c r="E55" t="s">
        <v>116</v>
      </c>
      <c r="F55" t="s">
        <v>298</v>
      </c>
      <c r="G55" t="s">
        <v>1239</v>
      </c>
      <c r="H55" t="s">
        <v>1240</v>
      </c>
      <c r="I55" t="s">
        <v>289</v>
      </c>
      <c r="J55">
        <v>3</v>
      </c>
      <c r="L55">
        <v>50</v>
      </c>
      <c r="AB55" s="144" t="s">
        <v>1241</v>
      </c>
    </row>
    <row r="56" spans="1:28">
      <c r="A56">
        <v>2</v>
      </c>
      <c r="B56" t="s">
        <v>5</v>
      </c>
      <c r="C56">
        <v>45771</v>
      </c>
      <c r="D56">
        <v>45785</v>
      </c>
      <c r="E56" t="s">
        <v>116</v>
      </c>
      <c r="F56" t="s">
        <v>292</v>
      </c>
      <c r="G56" t="s">
        <v>1242</v>
      </c>
      <c r="H56" t="s">
        <v>1243</v>
      </c>
      <c r="I56" t="s">
        <v>289</v>
      </c>
      <c r="J56">
        <v>2</v>
      </c>
      <c r="K56">
        <v>2</v>
      </c>
      <c r="L56">
        <v>47.25</v>
      </c>
      <c r="M56" t="s">
        <v>290</v>
      </c>
      <c r="N56" t="s">
        <v>457</v>
      </c>
      <c r="O56" t="s">
        <v>1244</v>
      </c>
      <c r="P56" t="s">
        <v>298</v>
      </c>
      <c r="Q56" t="s">
        <v>291</v>
      </c>
      <c r="R56" t="s">
        <v>1245</v>
      </c>
      <c r="S56">
        <v>45776</v>
      </c>
      <c r="T56">
        <v>45778</v>
      </c>
      <c r="U56" t="s">
        <v>426</v>
      </c>
      <c r="V56" t="s">
        <v>291</v>
      </c>
      <c r="W56" t="s">
        <v>295</v>
      </c>
      <c r="X56">
        <v>45778</v>
      </c>
      <c r="Y56" t="s">
        <v>1246</v>
      </c>
      <c r="Z56" t="s">
        <v>291</v>
      </c>
      <c r="AA56" t="s">
        <v>291</v>
      </c>
      <c r="AB56" s="144" t="s">
        <v>1247</v>
      </c>
    </row>
    <row r="57" spans="1:28">
      <c r="A57">
        <v>3</v>
      </c>
      <c r="B57" t="s">
        <v>5</v>
      </c>
      <c r="C57">
        <v>45771</v>
      </c>
      <c r="D57">
        <v>45785</v>
      </c>
      <c r="E57" t="s">
        <v>116</v>
      </c>
      <c r="F57" t="s">
        <v>426</v>
      </c>
      <c r="G57" t="s">
        <v>1215</v>
      </c>
      <c r="H57" t="s">
        <v>1216</v>
      </c>
      <c r="I57" t="s">
        <v>301</v>
      </c>
      <c r="J57">
        <v>2</v>
      </c>
      <c r="L57">
        <v>2.5</v>
      </c>
    </row>
    <row r="58" spans="1:28">
      <c r="A58">
        <v>4</v>
      </c>
      <c r="B58" t="s">
        <v>5</v>
      </c>
      <c r="C58">
        <v>45771</v>
      </c>
      <c r="D58">
        <v>45785</v>
      </c>
      <c r="E58" t="s">
        <v>116</v>
      </c>
      <c r="F58" t="s">
        <v>1187</v>
      </c>
      <c r="G58" t="s">
        <v>1218</v>
      </c>
      <c r="H58" t="s">
        <v>1219</v>
      </c>
      <c r="I58" t="s">
        <v>1174</v>
      </c>
      <c r="J58">
        <v>5</v>
      </c>
      <c r="K58">
        <v>3</v>
      </c>
      <c r="L58">
        <v>65.25</v>
      </c>
      <c r="M58" t="s">
        <v>290</v>
      </c>
      <c r="N58" t="s">
        <v>457</v>
      </c>
      <c r="P58" t="s">
        <v>298</v>
      </c>
      <c r="Q58" t="s">
        <v>291</v>
      </c>
      <c r="R58" t="s">
        <v>1248</v>
      </c>
      <c r="S58">
        <v>45784</v>
      </c>
      <c r="T58">
        <v>45785</v>
      </c>
      <c r="U58" t="s">
        <v>294</v>
      </c>
      <c r="V58" t="s">
        <v>291</v>
      </c>
      <c r="W58" t="s">
        <v>295</v>
      </c>
      <c r="X58">
        <v>45785</v>
      </c>
      <c r="Y58" s="144" t="s">
        <v>1249</v>
      </c>
      <c r="Z58" t="s">
        <v>291</v>
      </c>
      <c r="AA58" t="s">
        <v>291</v>
      </c>
      <c r="AB58" s="144" t="s">
        <v>1250</v>
      </c>
    </row>
    <row r="59" spans="1:28">
      <c r="A59">
        <v>5</v>
      </c>
      <c r="B59" t="s">
        <v>5</v>
      </c>
      <c r="C59">
        <v>45771</v>
      </c>
      <c r="D59">
        <v>45785</v>
      </c>
      <c r="E59" t="s">
        <v>116</v>
      </c>
      <c r="F59" t="s">
        <v>1251</v>
      </c>
      <c r="G59" t="s">
        <v>1252</v>
      </c>
      <c r="H59" t="s">
        <v>1253</v>
      </c>
      <c r="I59" t="s">
        <v>289</v>
      </c>
      <c r="J59">
        <v>3</v>
      </c>
      <c r="L59">
        <v>16</v>
      </c>
      <c r="M59" t="s">
        <v>290</v>
      </c>
      <c r="N59" t="s">
        <v>457</v>
      </c>
      <c r="O59" t="s">
        <v>1254</v>
      </c>
      <c r="P59" t="s">
        <v>298</v>
      </c>
      <c r="Q59" t="s">
        <v>291</v>
      </c>
      <c r="R59" t="s">
        <v>1255</v>
      </c>
      <c r="S59">
        <v>45782</v>
      </c>
      <c r="T59">
        <v>45784</v>
      </c>
      <c r="U59" t="s">
        <v>294</v>
      </c>
      <c r="V59" t="s">
        <v>291</v>
      </c>
      <c r="W59" t="s">
        <v>295</v>
      </c>
      <c r="X59">
        <v>45784</v>
      </c>
      <c r="Y59" t="s">
        <v>291</v>
      </c>
      <c r="Z59" t="s">
        <v>291</v>
      </c>
      <c r="AA59" t="s">
        <v>291</v>
      </c>
      <c r="AB59" t="s">
        <v>1256</v>
      </c>
    </row>
    <row r="60" spans="1:28">
      <c r="A60">
        <v>1</v>
      </c>
      <c r="B60" t="s">
        <v>5</v>
      </c>
      <c r="C60">
        <v>45786</v>
      </c>
      <c r="D60">
        <v>45799</v>
      </c>
      <c r="E60" t="s">
        <v>120</v>
      </c>
      <c r="F60" t="s">
        <v>286</v>
      </c>
      <c r="G60" t="s">
        <v>1213</v>
      </c>
      <c r="H60" t="s">
        <v>897</v>
      </c>
      <c r="I60" t="s">
        <v>289</v>
      </c>
      <c r="J60">
        <v>3</v>
      </c>
      <c r="K60">
        <v>3</v>
      </c>
      <c r="L60">
        <v>58.25</v>
      </c>
      <c r="AB60" s="144" t="s">
        <v>1214</v>
      </c>
    </row>
    <row r="61" spans="1:28">
      <c r="A61">
        <v>2</v>
      </c>
      <c r="B61" t="s">
        <v>5</v>
      </c>
      <c r="C61">
        <v>45786</v>
      </c>
      <c r="D61">
        <v>45799</v>
      </c>
      <c r="E61" t="s">
        <v>120</v>
      </c>
      <c r="F61" t="s">
        <v>426</v>
      </c>
      <c r="G61" t="s">
        <v>1215</v>
      </c>
      <c r="H61" t="s">
        <v>1216</v>
      </c>
      <c r="I61" t="s">
        <v>289</v>
      </c>
      <c r="J61">
        <v>2</v>
      </c>
      <c r="K61">
        <v>2</v>
      </c>
      <c r="L61">
        <v>13</v>
      </c>
      <c r="M61" t="s">
        <v>290</v>
      </c>
      <c r="N61" t="s">
        <v>457</v>
      </c>
      <c r="O61" t="s">
        <v>291</v>
      </c>
      <c r="P61" t="s">
        <v>294</v>
      </c>
      <c r="Q61" t="s">
        <v>291</v>
      </c>
      <c r="R61" t="s">
        <v>1217</v>
      </c>
      <c r="S61">
        <v>45798</v>
      </c>
      <c r="T61">
        <v>45798</v>
      </c>
      <c r="U61" t="s">
        <v>294</v>
      </c>
      <c r="V61" t="s">
        <v>291</v>
      </c>
      <c r="W61" t="s">
        <v>295</v>
      </c>
      <c r="X61">
        <v>45798</v>
      </c>
      <c r="Y61" t="s">
        <v>291</v>
      </c>
      <c r="Z61" t="s">
        <v>291</v>
      </c>
      <c r="AA61" t="s">
        <v>291</v>
      </c>
    </row>
    <row r="62" spans="1:28">
      <c r="A62">
        <v>3</v>
      </c>
      <c r="B62" t="s">
        <v>5</v>
      </c>
      <c r="C62">
        <v>45786</v>
      </c>
      <c r="D62">
        <v>45799</v>
      </c>
      <c r="E62" t="s">
        <v>120</v>
      </c>
      <c r="F62" t="s">
        <v>426</v>
      </c>
      <c r="G62" t="s">
        <v>1218</v>
      </c>
      <c r="H62" t="s">
        <v>1219</v>
      </c>
      <c r="I62" t="s">
        <v>289</v>
      </c>
      <c r="J62">
        <v>2</v>
      </c>
      <c r="K62">
        <v>2</v>
      </c>
      <c r="L62">
        <v>50.75</v>
      </c>
      <c r="AB62" t="s">
        <v>1220</v>
      </c>
    </row>
    <row r="63" spans="1:28">
      <c r="A63">
        <v>4</v>
      </c>
      <c r="B63" t="s">
        <v>5</v>
      </c>
      <c r="C63">
        <v>45786</v>
      </c>
      <c r="D63">
        <v>45799</v>
      </c>
      <c r="E63" t="s">
        <v>120</v>
      </c>
      <c r="F63" t="s">
        <v>298</v>
      </c>
      <c r="G63" t="s">
        <v>1221</v>
      </c>
      <c r="H63" t="s">
        <v>1222</v>
      </c>
      <c r="I63" t="s">
        <v>289</v>
      </c>
      <c r="L63">
        <v>23.5</v>
      </c>
      <c r="M63" t="s">
        <v>290</v>
      </c>
      <c r="N63" t="s">
        <v>457</v>
      </c>
      <c r="O63" t="s">
        <v>291</v>
      </c>
      <c r="P63" t="s">
        <v>292</v>
      </c>
      <c r="Q63" t="s">
        <v>291</v>
      </c>
      <c r="R63" t="s">
        <v>1223</v>
      </c>
      <c r="S63">
        <v>45786</v>
      </c>
      <c r="T63">
        <v>45787</v>
      </c>
      <c r="U63" t="s">
        <v>426</v>
      </c>
      <c r="V63" t="s">
        <v>291</v>
      </c>
      <c r="W63" t="s">
        <v>295</v>
      </c>
      <c r="X63">
        <v>45787</v>
      </c>
      <c r="Y63" t="s">
        <v>291</v>
      </c>
      <c r="Z63" t="s">
        <v>291</v>
      </c>
      <c r="AA63" t="s">
        <v>291</v>
      </c>
      <c r="AB63" t="s">
        <v>1224</v>
      </c>
    </row>
    <row r="64" spans="1:28">
      <c r="A64">
        <v>5</v>
      </c>
      <c r="B64" t="s">
        <v>5</v>
      </c>
      <c r="C64">
        <v>45786</v>
      </c>
      <c r="D64">
        <v>45799</v>
      </c>
      <c r="E64" t="s">
        <v>120</v>
      </c>
      <c r="F64" t="s">
        <v>1187</v>
      </c>
      <c r="G64" t="s">
        <v>1225</v>
      </c>
      <c r="H64" t="s">
        <v>1226</v>
      </c>
      <c r="I64" t="s">
        <v>289</v>
      </c>
      <c r="J64">
        <v>3</v>
      </c>
      <c r="K64">
        <v>3</v>
      </c>
      <c r="L64">
        <v>72</v>
      </c>
      <c r="M64" t="s">
        <v>290</v>
      </c>
      <c r="N64" t="s">
        <v>457</v>
      </c>
      <c r="O64" t="s">
        <v>291</v>
      </c>
      <c r="P64" t="s">
        <v>294</v>
      </c>
      <c r="Q64" t="s">
        <v>291</v>
      </c>
      <c r="R64" t="s">
        <v>1227</v>
      </c>
      <c r="S64">
        <v>45798</v>
      </c>
      <c r="T64">
        <v>45799</v>
      </c>
      <c r="U64" t="s">
        <v>426</v>
      </c>
      <c r="V64" t="s">
        <v>1228</v>
      </c>
      <c r="W64" t="s">
        <v>295</v>
      </c>
      <c r="X64">
        <v>45799</v>
      </c>
      <c r="Y64" t="s">
        <v>291</v>
      </c>
      <c r="Z64" t="s">
        <v>291</v>
      </c>
      <c r="AA64" t="s">
        <v>291</v>
      </c>
      <c r="AB64" t="s">
        <v>1229</v>
      </c>
    </row>
    <row r="65" spans="1:28">
      <c r="A65">
        <v>6</v>
      </c>
      <c r="B65" t="s">
        <v>5</v>
      </c>
      <c r="C65">
        <v>45786</v>
      </c>
      <c r="D65">
        <v>45799</v>
      </c>
      <c r="E65" t="s">
        <v>120</v>
      </c>
      <c r="F65" t="s">
        <v>426</v>
      </c>
      <c r="G65" t="s">
        <v>1230</v>
      </c>
      <c r="H65" t="s">
        <v>1231</v>
      </c>
      <c r="I65" t="s">
        <v>289</v>
      </c>
      <c r="J65">
        <v>3</v>
      </c>
      <c r="K65">
        <v>3</v>
      </c>
      <c r="L65">
        <v>38.5</v>
      </c>
      <c r="M65" t="s">
        <v>290</v>
      </c>
      <c r="N65" t="s">
        <v>457</v>
      </c>
      <c r="O65" t="s">
        <v>291</v>
      </c>
      <c r="P65" t="s">
        <v>294</v>
      </c>
      <c r="Q65" t="s">
        <v>291</v>
      </c>
      <c r="R65" t="s">
        <v>1232</v>
      </c>
      <c r="S65">
        <v>45796</v>
      </c>
      <c r="T65">
        <v>45798</v>
      </c>
      <c r="U65" t="s">
        <v>294</v>
      </c>
      <c r="V65" t="s">
        <v>291</v>
      </c>
      <c r="W65" t="s">
        <v>295</v>
      </c>
      <c r="X65">
        <v>45798</v>
      </c>
      <c r="Y65" t="s">
        <v>291</v>
      </c>
      <c r="Z65" t="s">
        <v>291</v>
      </c>
      <c r="AA65" t="s">
        <v>291</v>
      </c>
    </row>
    <row r="66" spans="1:28">
      <c r="A66">
        <v>1</v>
      </c>
      <c r="B66" t="s">
        <v>5</v>
      </c>
      <c r="C66">
        <v>45800</v>
      </c>
      <c r="D66">
        <v>45813</v>
      </c>
      <c r="E66" t="s">
        <v>124</v>
      </c>
      <c r="F66" t="s">
        <v>298</v>
      </c>
      <c r="G66" t="s">
        <v>1185</v>
      </c>
      <c r="H66" t="s">
        <v>897</v>
      </c>
      <c r="I66" t="s">
        <v>289</v>
      </c>
      <c r="J66">
        <v>3</v>
      </c>
      <c r="K66">
        <v>3</v>
      </c>
      <c r="L66">
        <v>57</v>
      </c>
      <c r="AB66" s="144" t="s">
        <v>1186</v>
      </c>
    </row>
    <row r="67" spans="1:28">
      <c r="A67">
        <v>2</v>
      </c>
      <c r="B67" t="s">
        <v>5</v>
      </c>
      <c r="C67">
        <v>45800</v>
      </c>
      <c r="D67">
        <v>45813</v>
      </c>
      <c r="E67" t="s">
        <v>124</v>
      </c>
      <c r="F67" t="s">
        <v>1187</v>
      </c>
      <c r="G67" t="s">
        <v>1160</v>
      </c>
      <c r="H67" t="s">
        <v>1161</v>
      </c>
      <c r="I67" t="s">
        <v>532</v>
      </c>
      <c r="J67">
        <v>5</v>
      </c>
      <c r="L67">
        <v>141.75</v>
      </c>
      <c r="M67" t="s">
        <v>290</v>
      </c>
      <c r="N67" t="s">
        <v>457</v>
      </c>
      <c r="O67" t="s">
        <v>1188</v>
      </c>
      <c r="P67" t="s">
        <v>519</v>
      </c>
      <c r="Q67" t="s">
        <v>291</v>
      </c>
      <c r="R67" t="s">
        <v>1189</v>
      </c>
      <c r="S67">
        <v>45812</v>
      </c>
      <c r="T67">
        <v>45813</v>
      </c>
      <c r="U67" t="s">
        <v>426</v>
      </c>
      <c r="V67" t="s">
        <v>291</v>
      </c>
      <c r="W67" t="s">
        <v>295</v>
      </c>
      <c r="X67">
        <v>45813</v>
      </c>
      <c r="Y67" s="144" t="s">
        <v>1190</v>
      </c>
      <c r="AB67" s="144" t="s">
        <v>1191</v>
      </c>
    </row>
    <row r="68" spans="1:28">
      <c r="A68">
        <v>3</v>
      </c>
      <c r="B68" t="s">
        <v>5</v>
      </c>
      <c r="C68">
        <v>45800</v>
      </c>
      <c r="D68">
        <v>45813</v>
      </c>
      <c r="E68" t="s">
        <v>124</v>
      </c>
      <c r="F68" t="s">
        <v>292</v>
      </c>
      <c r="G68" t="s">
        <v>1192</v>
      </c>
      <c r="H68" t="s">
        <v>1193</v>
      </c>
      <c r="I68" t="s">
        <v>289</v>
      </c>
      <c r="J68">
        <v>2</v>
      </c>
      <c r="K68">
        <v>2</v>
      </c>
      <c r="L68">
        <v>39.25</v>
      </c>
      <c r="M68" t="s">
        <v>290</v>
      </c>
      <c r="N68" t="s">
        <v>457</v>
      </c>
      <c r="O68" t="s">
        <v>291</v>
      </c>
      <c r="P68" t="s">
        <v>298</v>
      </c>
      <c r="Q68" t="s">
        <v>291</v>
      </c>
      <c r="R68" t="s">
        <v>1194</v>
      </c>
      <c r="S68">
        <v>45803</v>
      </c>
      <c r="T68">
        <v>45805</v>
      </c>
      <c r="U68" t="s">
        <v>426</v>
      </c>
      <c r="V68" t="s">
        <v>291</v>
      </c>
      <c r="W68" t="s">
        <v>295</v>
      </c>
      <c r="X68">
        <v>45805</v>
      </c>
      <c r="Y68" t="s">
        <v>291</v>
      </c>
      <c r="Z68" t="s">
        <v>291</v>
      </c>
      <c r="AA68" t="s">
        <v>291</v>
      </c>
      <c r="AB68" s="144" t="s">
        <v>1195</v>
      </c>
    </row>
    <row r="69" spans="1:28">
      <c r="A69">
        <v>4</v>
      </c>
      <c r="B69" t="s">
        <v>5</v>
      </c>
      <c r="C69">
        <v>45800</v>
      </c>
      <c r="D69">
        <v>45813</v>
      </c>
      <c r="E69" t="s">
        <v>124</v>
      </c>
      <c r="F69" t="s">
        <v>1196</v>
      </c>
      <c r="G69" t="s">
        <v>1197</v>
      </c>
      <c r="H69" t="s">
        <v>1198</v>
      </c>
      <c r="I69" t="s">
        <v>289</v>
      </c>
      <c r="J69">
        <v>1</v>
      </c>
      <c r="K69">
        <v>1</v>
      </c>
      <c r="L69">
        <v>24.75</v>
      </c>
      <c r="AB69" s="144" t="s">
        <v>1199</v>
      </c>
    </row>
    <row r="70" spans="1:28">
      <c r="A70">
        <v>5</v>
      </c>
      <c r="B70" t="s">
        <v>5</v>
      </c>
      <c r="C70">
        <v>45800</v>
      </c>
      <c r="D70">
        <v>45813</v>
      </c>
      <c r="E70" t="s">
        <v>124</v>
      </c>
      <c r="F70" t="s">
        <v>1200</v>
      </c>
      <c r="G70" t="s">
        <v>1201</v>
      </c>
      <c r="H70" t="s">
        <v>1202</v>
      </c>
      <c r="I70" t="s">
        <v>289</v>
      </c>
      <c r="J70">
        <v>5</v>
      </c>
      <c r="K70">
        <v>5</v>
      </c>
      <c r="L70">
        <v>66</v>
      </c>
      <c r="AB70" s="144" t="s">
        <v>1199</v>
      </c>
    </row>
    <row r="71" spans="1:28">
      <c r="A71">
        <v>6</v>
      </c>
      <c r="B71" t="s">
        <v>5</v>
      </c>
      <c r="C71">
        <v>45800</v>
      </c>
      <c r="D71">
        <v>45813</v>
      </c>
      <c r="E71" t="s">
        <v>1203</v>
      </c>
      <c r="F71" t="s">
        <v>1204</v>
      </c>
      <c r="G71" t="s">
        <v>1205</v>
      </c>
      <c r="H71" t="s">
        <v>1206</v>
      </c>
      <c r="I71" t="s">
        <v>301</v>
      </c>
      <c r="J71">
        <v>3</v>
      </c>
      <c r="L71">
        <v>102.5</v>
      </c>
      <c r="AB71" s="144" t="s">
        <v>1207</v>
      </c>
    </row>
    <row r="72" spans="1:28">
      <c r="A72">
        <v>7</v>
      </c>
      <c r="B72" t="s">
        <v>5</v>
      </c>
      <c r="C72">
        <v>45800</v>
      </c>
      <c r="D72">
        <v>45813</v>
      </c>
      <c r="E72" t="s">
        <v>1203</v>
      </c>
      <c r="F72" t="s">
        <v>426</v>
      </c>
      <c r="G72" t="s">
        <v>1208</v>
      </c>
      <c r="H72" t="s">
        <v>1209</v>
      </c>
      <c r="I72" t="s">
        <v>289</v>
      </c>
      <c r="J72">
        <v>2</v>
      </c>
      <c r="K72">
        <v>2</v>
      </c>
      <c r="L72">
        <v>7.25</v>
      </c>
      <c r="AB72" s="144" t="s">
        <v>1210</v>
      </c>
    </row>
    <row r="73" spans="1:28">
      <c r="A73">
        <v>1</v>
      </c>
      <c r="B73" t="s">
        <v>5</v>
      </c>
      <c r="C73">
        <v>45813</v>
      </c>
      <c r="D73">
        <v>45826</v>
      </c>
      <c r="E73" t="s">
        <v>128</v>
      </c>
      <c r="F73" t="s">
        <v>890</v>
      </c>
      <c r="G73" t="s">
        <v>1160</v>
      </c>
      <c r="H73" t="s">
        <v>1161</v>
      </c>
      <c r="I73" t="s">
        <v>289</v>
      </c>
      <c r="J73">
        <v>3</v>
      </c>
      <c r="L73">
        <v>50.75</v>
      </c>
      <c r="M73" t="s">
        <v>290</v>
      </c>
      <c r="N73" t="s">
        <v>457</v>
      </c>
      <c r="O73" t="s">
        <v>291</v>
      </c>
      <c r="P73" t="s">
        <v>426</v>
      </c>
      <c r="Q73" t="s">
        <v>291</v>
      </c>
      <c r="R73" t="s">
        <v>1162</v>
      </c>
      <c r="S73">
        <v>45819</v>
      </c>
      <c r="T73">
        <v>45820</v>
      </c>
      <c r="U73" t="s">
        <v>426</v>
      </c>
      <c r="V73" t="s">
        <v>291</v>
      </c>
      <c r="W73" t="s">
        <v>295</v>
      </c>
      <c r="X73">
        <v>45820</v>
      </c>
      <c r="Y73" t="s">
        <v>291</v>
      </c>
      <c r="Z73" t="s">
        <v>291</v>
      </c>
      <c r="AA73" t="s">
        <v>291</v>
      </c>
      <c r="AB73" t="s">
        <v>1163</v>
      </c>
    </row>
    <row r="74" spans="1:28">
      <c r="A74">
        <v>3</v>
      </c>
      <c r="B74" t="s">
        <v>5</v>
      </c>
      <c r="C74">
        <v>45813</v>
      </c>
      <c r="D74">
        <v>45826</v>
      </c>
      <c r="E74" t="s">
        <v>128</v>
      </c>
      <c r="F74" t="s">
        <v>426</v>
      </c>
      <c r="G74" t="s">
        <v>1164</v>
      </c>
      <c r="H74" t="s">
        <v>1165</v>
      </c>
      <c r="I74" t="s">
        <v>289</v>
      </c>
      <c r="J74">
        <v>1</v>
      </c>
      <c r="L74">
        <v>1.25</v>
      </c>
      <c r="AB74" t="s">
        <v>1166</v>
      </c>
    </row>
    <row r="75" spans="1:28">
      <c r="A75">
        <v>4</v>
      </c>
      <c r="B75" t="s">
        <v>5</v>
      </c>
      <c r="C75">
        <v>45813</v>
      </c>
      <c r="D75">
        <v>45826</v>
      </c>
      <c r="E75" t="s">
        <v>128</v>
      </c>
      <c r="F75" t="s">
        <v>298</v>
      </c>
      <c r="G75" t="s">
        <v>1167</v>
      </c>
      <c r="H75" t="s">
        <v>1168</v>
      </c>
      <c r="I75" t="s">
        <v>289</v>
      </c>
      <c r="J75">
        <v>5</v>
      </c>
      <c r="L75">
        <v>63</v>
      </c>
      <c r="M75" t="s">
        <v>290</v>
      </c>
      <c r="N75" t="s">
        <v>457</v>
      </c>
      <c r="O75" t="s">
        <v>1169</v>
      </c>
      <c r="P75" t="s">
        <v>292</v>
      </c>
      <c r="Q75" t="s">
        <v>1170</v>
      </c>
      <c r="R75" t="s">
        <v>1171</v>
      </c>
      <c r="S75">
        <v>45819</v>
      </c>
      <c r="T75">
        <v>45821</v>
      </c>
      <c r="U75" t="s">
        <v>426</v>
      </c>
      <c r="V75" t="s">
        <v>1172</v>
      </c>
      <c r="W75" t="s">
        <v>295</v>
      </c>
      <c r="X75">
        <v>45821</v>
      </c>
      <c r="Y75" t="s">
        <v>291</v>
      </c>
      <c r="Z75" t="s">
        <v>291</v>
      </c>
      <c r="AA75" t="s">
        <v>291</v>
      </c>
      <c r="AB75" s="144" t="s">
        <v>1173</v>
      </c>
    </row>
    <row r="76" spans="1:28">
      <c r="A76">
        <v>5</v>
      </c>
      <c r="B76" t="s">
        <v>5</v>
      </c>
      <c r="C76">
        <v>45813</v>
      </c>
      <c r="D76">
        <v>45826</v>
      </c>
      <c r="E76" t="s">
        <v>128</v>
      </c>
      <c r="F76" t="s">
        <v>437</v>
      </c>
      <c r="G76" t="s">
        <v>1141</v>
      </c>
      <c r="H76" t="s">
        <v>1142</v>
      </c>
      <c r="I76" t="s">
        <v>1174</v>
      </c>
      <c r="J76">
        <v>5</v>
      </c>
      <c r="L76">
        <v>47.5</v>
      </c>
      <c r="N76" t="s">
        <v>457</v>
      </c>
      <c r="R76" t="s">
        <v>1175</v>
      </c>
      <c r="S76">
        <v>45825</v>
      </c>
      <c r="T76">
        <v>45826</v>
      </c>
      <c r="U76" t="s">
        <v>294</v>
      </c>
      <c r="V76" t="s">
        <v>291</v>
      </c>
      <c r="W76" t="s">
        <v>295</v>
      </c>
      <c r="X76">
        <v>45826</v>
      </c>
      <c r="Y76" t="s">
        <v>291</v>
      </c>
      <c r="Z76" t="s">
        <v>291</v>
      </c>
      <c r="AA76" t="s">
        <v>291</v>
      </c>
      <c r="AB76" s="144" t="s">
        <v>1176</v>
      </c>
    </row>
    <row r="77" spans="1:28">
      <c r="A77">
        <v>6</v>
      </c>
      <c r="B77" t="s">
        <v>5</v>
      </c>
      <c r="C77">
        <v>45813</v>
      </c>
      <c r="D77">
        <v>45826</v>
      </c>
      <c r="E77" t="s">
        <v>128</v>
      </c>
      <c r="F77" t="s">
        <v>1177</v>
      </c>
      <c r="G77" t="s">
        <v>1178</v>
      </c>
      <c r="H77" t="s">
        <v>1179</v>
      </c>
      <c r="I77" t="s">
        <v>289</v>
      </c>
      <c r="J77">
        <v>1</v>
      </c>
      <c r="K77">
        <v>1</v>
      </c>
      <c r="L77">
        <v>42.75</v>
      </c>
      <c r="N77" t="s">
        <v>457</v>
      </c>
      <c r="AB77" t="s">
        <v>1180</v>
      </c>
    </row>
    <row r="78" spans="1:28">
      <c r="A78">
        <v>7</v>
      </c>
      <c r="B78" t="s">
        <v>5</v>
      </c>
      <c r="C78">
        <v>45813</v>
      </c>
      <c r="D78">
        <v>45826</v>
      </c>
      <c r="E78" t="s">
        <v>128</v>
      </c>
      <c r="F78" t="s">
        <v>1177</v>
      </c>
      <c r="G78" t="s">
        <v>1181</v>
      </c>
      <c r="H78" t="s">
        <v>1182</v>
      </c>
      <c r="I78" t="s">
        <v>289</v>
      </c>
      <c r="J78">
        <v>3</v>
      </c>
      <c r="K78">
        <v>1</v>
      </c>
      <c r="L78">
        <v>25.5</v>
      </c>
    </row>
    <row r="79" spans="1:28">
      <c r="A79">
        <v>8</v>
      </c>
      <c r="B79" t="s">
        <v>5</v>
      </c>
      <c r="C79">
        <v>45813</v>
      </c>
      <c r="D79">
        <v>45826</v>
      </c>
      <c r="E79" t="s">
        <v>128</v>
      </c>
      <c r="F79" t="s">
        <v>1177</v>
      </c>
      <c r="G79" t="s">
        <v>1157</v>
      </c>
      <c r="H79" t="s">
        <v>1158</v>
      </c>
      <c r="I79" t="s">
        <v>549</v>
      </c>
      <c r="J79">
        <v>2</v>
      </c>
      <c r="K79">
        <v>1</v>
      </c>
      <c r="L79">
        <v>16</v>
      </c>
    </row>
    <row r="80" spans="1:28">
      <c r="A80">
        <v>1</v>
      </c>
      <c r="B80" t="s">
        <v>5</v>
      </c>
      <c r="C80">
        <v>45826</v>
      </c>
      <c r="D80">
        <v>45841</v>
      </c>
      <c r="E80" t="s">
        <v>132</v>
      </c>
      <c r="F80" t="s">
        <v>1140</v>
      </c>
      <c r="G80" t="s">
        <v>1141</v>
      </c>
      <c r="H80" t="s">
        <v>1142</v>
      </c>
      <c r="I80" t="s">
        <v>289</v>
      </c>
      <c r="J80">
        <v>1</v>
      </c>
      <c r="L80">
        <v>12.25</v>
      </c>
      <c r="AB80" t="s">
        <v>1143</v>
      </c>
    </row>
    <row r="81" spans="1:28">
      <c r="A81">
        <v>2</v>
      </c>
      <c r="B81" t="s">
        <v>5</v>
      </c>
      <c r="C81">
        <v>45826</v>
      </c>
      <c r="D81">
        <v>45841</v>
      </c>
      <c r="E81" t="s">
        <v>132</v>
      </c>
      <c r="F81" t="s">
        <v>298</v>
      </c>
      <c r="G81" t="s">
        <v>1144</v>
      </c>
      <c r="H81" t="s">
        <v>1145</v>
      </c>
      <c r="I81" t="s">
        <v>289</v>
      </c>
      <c r="J81">
        <v>5</v>
      </c>
      <c r="L81">
        <v>106.5</v>
      </c>
      <c r="M81" t="s">
        <v>290</v>
      </c>
      <c r="N81" t="s">
        <v>457</v>
      </c>
      <c r="O81" s="144" t="s">
        <v>1146</v>
      </c>
      <c r="P81" t="s">
        <v>292</v>
      </c>
      <c r="Q81" t="s">
        <v>291</v>
      </c>
      <c r="R81" t="s">
        <v>1147</v>
      </c>
      <c r="S81">
        <v>45838</v>
      </c>
      <c r="T81">
        <v>45839</v>
      </c>
      <c r="U81" t="s">
        <v>426</v>
      </c>
      <c r="V81" t="s">
        <v>291</v>
      </c>
      <c r="W81" t="s">
        <v>295</v>
      </c>
      <c r="X81">
        <v>45839</v>
      </c>
      <c r="Y81" t="s">
        <v>291</v>
      </c>
      <c r="Z81" t="s">
        <v>291</v>
      </c>
      <c r="AA81" t="s">
        <v>291</v>
      </c>
      <c r="AB81" s="144" t="s">
        <v>1148</v>
      </c>
    </row>
    <row r="82" spans="1:28">
      <c r="A82">
        <v>3</v>
      </c>
      <c r="B82" t="s">
        <v>5</v>
      </c>
      <c r="C82">
        <v>45826</v>
      </c>
      <c r="D82">
        <v>45841</v>
      </c>
      <c r="E82" t="s">
        <v>132</v>
      </c>
      <c r="F82" t="s">
        <v>292</v>
      </c>
      <c r="G82" t="s">
        <v>1149</v>
      </c>
      <c r="H82" t="s">
        <v>1150</v>
      </c>
      <c r="I82" t="s">
        <v>289</v>
      </c>
      <c r="J82">
        <v>8</v>
      </c>
      <c r="L82">
        <v>99.75</v>
      </c>
      <c r="M82" t="s">
        <v>290</v>
      </c>
      <c r="N82" t="s">
        <v>457</v>
      </c>
      <c r="O82" s="144" t="s">
        <v>1151</v>
      </c>
      <c r="P82" t="s">
        <v>298</v>
      </c>
      <c r="Q82" t="s">
        <v>291</v>
      </c>
      <c r="R82" t="s">
        <v>1152</v>
      </c>
      <c r="S82">
        <v>45838</v>
      </c>
      <c r="T82">
        <v>45841</v>
      </c>
      <c r="U82" t="s">
        <v>426</v>
      </c>
      <c r="V82" t="s">
        <v>291</v>
      </c>
      <c r="W82" t="s">
        <v>295</v>
      </c>
      <c r="X82">
        <v>45841</v>
      </c>
      <c r="Y82" t="s">
        <v>291</v>
      </c>
      <c r="Z82" t="s">
        <v>291</v>
      </c>
      <c r="AA82" t="s">
        <v>291</v>
      </c>
      <c r="AB82" s="144" t="s">
        <v>1153</v>
      </c>
    </row>
    <row r="83" spans="1:28">
      <c r="A83">
        <v>4</v>
      </c>
      <c r="B83" t="s">
        <v>5</v>
      </c>
      <c r="C83">
        <v>45826</v>
      </c>
      <c r="D83">
        <v>45841</v>
      </c>
      <c r="E83" t="s">
        <v>132</v>
      </c>
      <c r="F83" t="s">
        <v>298</v>
      </c>
      <c r="G83" t="s">
        <v>1154</v>
      </c>
      <c r="H83" t="s">
        <v>897</v>
      </c>
      <c r="I83" t="s">
        <v>289</v>
      </c>
      <c r="J83">
        <v>1</v>
      </c>
      <c r="L83">
        <v>10</v>
      </c>
      <c r="AB83" t="s">
        <v>1155</v>
      </c>
    </row>
    <row r="84" spans="1:28">
      <c r="A84">
        <v>5</v>
      </c>
      <c r="B84" t="s">
        <v>5</v>
      </c>
      <c r="C84">
        <v>45826</v>
      </c>
      <c r="D84">
        <v>45841</v>
      </c>
      <c r="E84" t="s">
        <v>2060</v>
      </c>
      <c r="F84" t="s">
        <v>292</v>
      </c>
      <c r="G84" t="s">
        <v>1110</v>
      </c>
      <c r="H84" t="s">
        <v>1111</v>
      </c>
      <c r="I84" t="s">
        <v>301</v>
      </c>
      <c r="J84">
        <v>5</v>
      </c>
      <c r="L84">
        <v>18</v>
      </c>
    </row>
    <row r="85" spans="1:28">
      <c r="A85">
        <v>6</v>
      </c>
      <c r="B85" t="s">
        <v>5</v>
      </c>
      <c r="C85">
        <v>45826</v>
      </c>
      <c r="D85">
        <v>45841</v>
      </c>
      <c r="E85" t="s">
        <v>132</v>
      </c>
      <c r="F85" t="s">
        <v>1140</v>
      </c>
      <c r="G85" t="s">
        <v>1157</v>
      </c>
      <c r="H85" t="s">
        <v>1158</v>
      </c>
      <c r="I85" t="s">
        <v>289</v>
      </c>
      <c r="J85">
        <v>2</v>
      </c>
      <c r="AB85" t="s">
        <v>1159</v>
      </c>
    </row>
    <row r="86" spans="1:28">
      <c r="A86">
        <v>1</v>
      </c>
      <c r="B86" t="s">
        <v>5</v>
      </c>
      <c r="C86">
        <v>45841</v>
      </c>
      <c r="D86">
        <v>45855</v>
      </c>
      <c r="E86" t="s">
        <v>136</v>
      </c>
      <c r="F86" t="s">
        <v>292</v>
      </c>
      <c r="G86" t="s">
        <v>1110</v>
      </c>
      <c r="H86" t="s">
        <v>1111</v>
      </c>
      <c r="I86" t="s">
        <v>289</v>
      </c>
      <c r="J86">
        <v>5</v>
      </c>
      <c r="K86">
        <v>5</v>
      </c>
      <c r="L86">
        <v>70</v>
      </c>
      <c r="M86">
        <v>45842</v>
      </c>
      <c r="N86">
        <v>45849</v>
      </c>
      <c r="O86" t="s">
        <v>290</v>
      </c>
      <c r="P86" t="s">
        <v>457</v>
      </c>
      <c r="R86" t="s">
        <v>298</v>
      </c>
      <c r="S86" t="s">
        <v>291</v>
      </c>
      <c r="T86" t="s">
        <v>1112</v>
      </c>
      <c r="U86">
        <v>45848</v>
      </c>
      <c r="V86">
        <v>45849</v>
      </c>
      <c r="W86" t="s">
        <v>426</v>
      </c>
      <c r="X86" t="s">
        <v>291</v>
      </c>
      <c r="Y86" t="s">
        <v>295</v>
      </c>
      <c r="Z86">
        <v>45849</v>
      </c>
      <c r="AA86" t="s">
        <v>291</v>
      </c>
      <c r="AB86" t="s">
        <v>291</v>
      </c>
    </row>
    <row r="87" spans="1:28">
      <c r="A87">
        <v>2</v>
      </c>
      <c r="B87" t="s">
        <v>5</v>
      </c>
      <c r="C87">
        <v>45841</v>
      </c>
      <c r="D87">
        <v>45855</v>
      </c>
      <c r="E87" t="s">
        <v>136</v>
      </c>
      <c r="F87" t="s">
        <v>298</v>
      </c>
      <c r="G87" t="s">
        <v>1114</v>
      </c>
      <c r="H87" t="s">
        <v>1115</v>
      </c>
      <c r="I87" t="s">
        <v>289</v>
      </c>
      <c r="J87">
        <v>3</v>
      </c>
      <c r="K87">
        <v>3</v>
      </c>
      <c r="L87">
        <v>58.75</v>
      </c>
      <c r="M87">
        <v>45842</v>
      </c>
      <c r="N87">
        <v>45849</v>
      </c>
      <c r="O87" t="s">
        <v>290</v>
      </c>
      <c r="P87" t="s">
        <v>457</v>
      </c>
      <c r="Q87" s="144" t="s">
        <v>1116</v>
      </c>
      <c r="R87" t="s">
        <v>292</v>
      </c>
      <c r="S87" t="s">
        <v>291</v>
      </c>
      <c r="T87" t="s">
        <v>1117</v>
      </c>
      <c r="U87">
        <v>45848</v>
      </c>
      <c r="V87">
        <v>45852</v>
      </c>
      <c r="W87" t="s">
        <v>426</v>
      </c>
      <c r="X87" t="s">
        <v>291</v>
      </c>
      <c r="Y87" t="s">
        <v>295</v>
      </c>
      <c r="Z87">
        <v>45852</v>
      </c>
      <c r="AA87" t="s">
        <v>291</v>
      </c>
      <c r="AB87" t="s">
        <v>291</v>
      </c>
    </row>
    <row r="88" spans="1:28">
      <c r="A88">
        <v>3</v>
      </c>
      <c r="B88" t="s">
        <v>5</v>
      </c>
      <c r="C88">
        <v>45841</v>
      </c>
      <c r="D88">
        <v>45855</v>
      </c>
      <c r="E88" t="s">
        <v>136</v>
      </c>
      <c r="F88" t="s">
        <v>426</v>
      </c>
      <c r="G88" t="s">
        <v>1100</v>
      </c>
      <c r="H88" t="s">
        <v>1101</v>
      </c>
      <c r="I88" t="s">
        <v>301</v>
      </c>
      <c r="J88">
        <v>3</v>
      </c>
      <c r="L88">
        <v>19.75</v>
      </c>
      <c r="M88">
        <v>45847</v>
      </c>
    </row>
    <row r="89" spans="1:28">
      <c r="A89">
        <v>4</v>
      </c>
      <c r="B89" t="s">
        <v>5</v>
      </c>
      <c r="C89">
        <v>45841</v>
      </c>
      <c r="D89">
        <v>45855</v>
      </c>
      <c r="E89" t="s">
        <v>136</v>
      </c>
      <c r="F89" t="s">
        <v>286</v>
      </c>
      <c r="G89" t="s">
        <v>1120</v>
      </c>
      <c r="H89" t="s">
        <v>1121</v>
      </c>
      <c r="I89" t="s">
        <v>289</v>
      </c>
      <c r="J89">
        <v>1</v>
      </c>
      <c r="K89">
        <v>1</v>
      </c>
      <c r="L89">
        <v>25</v>
      </c>
      <c r="M89">
        <v>45853</v>
      </c>
    </row>
    <row r="90" spans="1:28">
      <c r="A90">
        <v>5</v>
      </c>
      <c r="B90" t="s">
        <v>5</v>
      </c>
      <c r="C90">
        <v>45841</v>
      </c>
      <c r="D90">
        <v>45855</v>
      </c>
      <c r="E90" t="s">
        <v>136</v>
      </c>
      <c r="F90" t="s">
        <v>292</v>
      </c>
      <c r="G90" t="s">
        <v>1123</v>
      </c>
      <c r="H90" t="s">
        <v>1124</v>
      </c>
      <c r="I90" t="s">
        <v>289</v>
      </c>
      <c r="J90">
        <v>5</v>
      </c>
      <c r="K90">
        <v>5</v>
      </c>
      <c r="L90">
        <v>39.25</v>
      </c>
      <c r="M90">
        <v>45848</v>
      </c>
      <c r="N90">
        <v>45852</v>
      </c>
      <c r="O90" t="s">
        <v>290</v>
      </c>
      <c r="P90" t="s">
        <v>457</v>
      </c>
      <c r="Q90" t="s">
        <v>1125</v>
      </c>
      <c r="R90" t="s">
        <v>298</v>
      </c>
      <c r="S90" t="s">
        <v>291</v>
      </c>
      <c r="T90" t="s">
        <v>1126</v>
      </c>
      <c r="U90">
        <v>45852</v>
      </c>
      <c r="V90">
        <v>45854</v>
      </c>
      <c r="W90" t="s">
        <v>426</v>
      </c>
      <c r="X90" t="s">
        <v>291</v>
      </c>
      <c r="Y90" t="s">
        <v>295</v>
      </c>
      <c r="Z90">
        <v>45853</v>
      </c>
      <c r="AA90" t="s">
        <v>291</v>
      </c>
      <c r="AB90" t="s">
        <v>291</v>
      </c>
    </row>
    <row r="91" spans="1:28">
      <c r="A91">
        <v>6</v>
      </c>
      <c r="B91" t="s">
        <v>5</v>
      </c>
      <c r="C91">
        <v>45841</v>
      </c>
      <c r="D91">
        <v>45855</v>
      </c>
      <c r="E91" t="s">
        <v>2061</v>
      </c>
      <c r="F91" t="s">
        <v>298</v>
      </c>
      <c r="G91" t="s">
        <v>1129</v>
      </c>
      <c r="H91" t="s">
        <v>1130</v>
      </c>
      <c r="I91" t="s">
        <v>289</v>
      </c>
      <c r="J91">
        <v>2</v>
      </c>
      <c r="K91">
        <v>2</v>
      </c>
      <c r="L91">
        <v>7.25</v>
      </c>
      <c r="M91">
        <v>45849</v>
      </c>
      <c r="N91">
        <v>45852</v>
      </c>
      <c r="O91" t="s">
        <v>290</v>
      </c>
      <c r="P91" t="s">
        <v>457</v>
      </c>
      <c r="Q91" t="s">
        <v>1131</v>
      </c>
      <c r="R91" t="s">
        <v>292</v>
      </c>
      <c r="S91" t="s">
        <v>291</v>
      </c>
      <c r="T91" t="s">
        <v>1132</v>
      </c>
      <c r="U91">
        <v>45852</v>
      </c>
      <c r="V91">
        <v>45854</v>
      </c>
      <c r="W91" t="s">
        <v>426</v>
      </c>
      <c r="X91" t="s">
        <v>291</v>
      </c>
      <c r="Y91" t="s">
        <v>295</v>
      </c>
      <c r="Z91">
        <v>45853</v>
      </c>
      <c r="AA91" t="s">
        <v>291</v>
      </c>
      <c r="AB91" t="s">
        <v>291</v>
      </c>
    </row>
    <row r="92" spans="1:28">
      <c r="A92">
        <v>7</v>
      </c>
      <c r="B92" t="s">
        <v>5</v>
      </c>
      <c r="C92">
        <v>45841</v>
      </c>
      <c r="D92">
        <v>45855</v>
      </c>
      <c r="E92" t="s">
        <v>136</v>
      </c>
      <c r="F92" t="s">
        <v>298</v>
      </c>
      <c r="G92" t="s">
        <v>1133</v>
      </c>
      <c r="H92" t="s">
        <v>1134</v>
      </c>
      <c r="I92" t="s">
        <v>289</v>
      </c>
      <c r="L92">
        <v>6.5</v>
      </c>
      <c r="M92">
        <v>45854</v>
      </c>
      <c r="N92">
        <v>45854</v>
      </c>
      <c r="O92" t="s">
        <v>290</v>
      </c>
      <c r="P92" t="s">
        <v>457</v>
      </c>
      <c r="Q92" t="s">
        <v>291</v>
      </c>
      <c r="R92" t="s">
        <v>292</v>
      </c>
      <c r="S92" t="s">
        <v>291</v>
      </c>
      <c r="T92" t="s">
        <v>1135</v>
      </c>
      <c r="U92">
        <v>45854</v>
      </c>
      <c r="V92">
        <v>45854</v>
      </c>
      <c r="W92" t="s">
        <v>426</v>
      </c>
      <c r="X92" t="s">
        <v>291</v>
      </c>
      <c r="Y92" t="s">
        <v>295</v>
      </c>
      <c r="Z92">
        <v>45854</v>
      </c>
      <c r="AA92" t="s">
        <v>291</v>
      </c>
      <c r="AB92" t="s">
        <v>291</v>
      </c>
    </row>
    <row r="93" spans="1:28">
      <c r="A93">
        <v>1</v>
      </c>
      <c r="B93" t="s">
        <v>5</v>
      </c>
      <c r="C93">
        <v>45855</v>
      </c>
      <c r="D93">
        <v>45869</v>
      </c>
      <c r="E93" t="s">
        <v>140</v>
      </c>
      <c r="F93" t="s">
        <v>286</v>
      </c>
      <c r="G93" t="s">
        <v>1054</v>
      </c>
      <c r="H93" t="s">
        <v>1055</v>
      </c>
      <c r="I93" t="s">
        <v>532</v>
      </c>
      <c r="J93">
        <v>8</v>
      </c>
      <c r="L93">
        <v>89</v>
      </c>
      <c r="M93">
        <v>45856</v>
      </c>
      <c r="N93">
        <v>45862</v>
      </c>
      <c r="O93" t="s">
        <v>290</v>
      </c>
      <c r="P93" t="s">
        <v>457</v>
      </c>
      <c r="Q93" t="s">
        <v>1095</v>
      </c>
      <c r="R93" t="s">
        <v>437</v>
      </c>
      <c r="S93" t="s">
        <v>291</v>
      </c>
      <c r="T93" t="s">
        <v>1058</v>
      </c>
      <c r="U93">
        <v>45862</v>
      </c>
      <c r="W93" t="s">
        <v>426</v>
      </c>
      <c r="X93" t="s">
        <v>291</v>
      </c>
      <c r="Y93" t="s">
        <v>1059</v>
      </c>
    </row>
    <row r="94" spans="1:28">
      <c r="A94">
        <v>2</v>
      </c>
      <c r="B94" t="s">
        <v>5</v>
      </c>
      <c r="C94">
        <v>45855</v>
      </c>
      <c r="D94">
        <v>45869</v>
      </c>
      <c r="E94" t="s">
        <v>140</v>
      </c>
      <c r="F94" t="s">
        <v>437</v>
      </c>
      <c r="G94" t="s">
        <v>1061</v>
      </c>
      <c r="H94" t="s">
        <v>1062</v>
      </c>
      <c r="I94" t="s">
        <v>532</v>
      </c>
      <c r="J94">
        <v>3</v>
      </c>
      <c r="L94">
        <v>35.25</v>
      </c>
      <c r="M94">
        <v>45862</v>
      </c>
      <c r="N94">
        <v>45863</v>
      </c>
      <c r="O94" t="s">
        <v>290</v>
      </c>
      <c r="P94" t="s">
        <v>457</v>
      </c>
      <c r="Q94" t="s">
        <v>1097</v>
      </c>
      <c r="R94" t="s">
        <v>286</v>
      </c>
      <c r="S94" t="s">
        <v>291</v>
      </c>
      <c r="T94" t="s">
        <v>1063</v>
      </c>
      <c r="U94">
        <v>45863</v>
      </c>
      <c r="W94" t="s">
        <v>426</v>
      </c>
      <c r="X94" t="s">
        <v>291</v>
      </c>
      <c r="Y94" t="s">
        <v>1059</v>
      </c>
    </row>
    <row r="95" spans="1:28">
      <c r="A95">
        <v>3</v>
      </c>
      <c r="B95" t="s">
        <v>5</v>
      </c>
      <c r="C95">
        <v>45855</v>
      </c>
      <c r="D95">
        <v>45869</v>
      </c>
      <c r="E95" t="s">
        <v>140</v>
      </c>
      <c r="F95" t="s">
        <v>437</v>
      </c>
      <c r="G95" t="s">
        <v>1099</v>
      </c>
      <c r="H95" t="s">
        <v>1065</v>
      </c>
      <c r="I95" t="s">
        <v>289</v>
      </c>
      <c r="J95">
        <v>1</v>
      </c>
      <c r="L95">
        <v>13</v>
      </c>
      <c r="M95">
        <v>45868</v>
      </c>
    </row>
    <row r="96" spans="1:28">
      <c r="A96">
        <v>4</v>
      </c>
      <c r="B96" t="s">
        <v>5</v>
      </c>
      <c r="C96">
        <v>45855</v>
      </c>
      <c r="D96">
        <v>45869</v>
      </c>
      <c r="E96" t="s">
        <v>140</v>
      </c>
      <c r="F96" t="s">
        <v>426</v>
      </c>
      <c r="G96" t="s">
        <v>1100</v>
      </c>
      <c r="H96" t="s">
        <v>1101</v>
      </c>
      <c r="I96" t="s">
        <v>289</v>
      </c>
      <c r="J96">
        <v>1</v>
      </c>
      <c r="L96">
        <v>47.25</v>
      </c>
      <c r="M96">
        <v>45856</v>
      </c>
      <c r="N96">
        <v>45861</v>
      </c>
      <c r="O96" t="s">
        <v>290</v>
      </c>
      <c r="P96" t="s">
        <v>457</v>
      </c>
      <c r="Q96" t="s">
        <v>1102</v>
      </c>
      <c r="R96" t="s">
        <v>298</v>
      </c>
      <c r="S96" t="s">
        <v>291</v>
      </c>
      <c r="T96" t="s">
        <v>1103</v>
      </c>
      <c r="U96">
        <v>45860</v>
      </c>
      <c r="V96">
        <v>45861</v>
      </c>
      <c r="W96" t="s">
        <v>294</v>
      </c>
      <c r="X96" t="s">
        <v>291</v>
      </c>
      <c r="Y96" t="s">
        <v>295</v>
      </c>
      <c r="Z96">
        <v>45861</v>
      </c>
      <c r="AA96" t="s">
        <v>291</v>
      </c>
      <c r="AB96" t="s">
        <v>291</v>
      </c>
    </row>
    <row r="97" spans="1:28">
      <c r="A97">
        <v>5</v>
      </c>
      <c r="B97" t="s">
        <v>5</v>
      </c>
      <c r="C97">
        <v>45855</v>
      </c>
      <c r="D97">
        <v>45869</v>
      </c>
      <c r="E97" t="s">
        <v>140</v>
      </c>
      <c r="F97" t="s">
        <v>295</v>
      </c>
      <c r="G97" t="s">
        <v>1105</v>
      </c>
      <c r="H97" t="s">
        <v>1106</v>
      </c>
      <c r="I97" t="s">
        <v>289</v>
      </c>
      <c r="J97">
        <v>1</v>
      </c>
      <c r="L97">
        <v>72.5</v>
      </c>
    </row>
    <row r="98" spans="1:28">
      <c r="A98">
        <v>6</v>
      </c>
      <c r="B98" t="s">
        <v>5</v>
      </c>
      <c r="C98">
        <v>45855</v>
      </c>
      <c r="D98">
        <v>45869</v>
      </c>
      <c r="E98" t="s">
        <v>2062</v>
      </c>
      <c r="F98" t="s">
        <v>426</v>
      </c>
      <c r="G98" t="s">
        <v>1077</v>
      </c>
      <c r="H98" t="s">
        <v>1109</v>
      </c>
      <c r="I98" t="s">
        <v>301</v>
      </c>
      <c r="J98">
        <v>1</v>
      </c>
      <c r="L98">
        <v>29.25</v>
      </c>
    </row>
    <row r="99" spans="1:28">
      <c r="A99">
        <v>1</v>
      </c>
      <c r="B99" t="s">
        <v>5</v>
      </c>
      <c r="C99">
        <v>45869</v>
      </c>
      <c r="D99">
        <v>45883</v>
      </c>
      <c r="E99" t="s">
        <v>144</v>
      </c>
      <c r="F99" t="s">
        <v>286</v>
      </c>
      <c r="G99" t="s">
        <v>1054</v>
      </c>
      <c r="H99" t="s">
        <v>1055</v>
      </c>
      <c r="I99" t="s">
        <v>289</v>
      </c>
      <c r="J99">
        <v>2</v>
      </c>
      <c r="L99">
        <v>26.75</v>
      </c>
      <c r="M99" t="s">
        <v>1056</v>
      </c>
      <c r="N99" t="s">
        <v>1056</v>
      </c>
      <c r="O99" t="s">
        <v>290</v>
      </c>
      <c r="P99" t="s">
        <v>457</v>
      </c>
      <c r="Q99" t="s">
        <v>1057</v>
      </c>
      <c r="R99" t="s">
        <v>437</v>
      </c>
      <c r="S99" t="s">
        <v>291</v>
      </c>
      <c r="T99" t="s">
        <v>1058</v>
      </c>
      <c r="U99">
        <v>45863</v>
      </c>
      <c r="V99">
        <v>45867</v>
      </c>
      <c r="W99" t="s">
        <v>426</v>
      </c>
      <c r="X99" t="s">
        <v>291</v>
      </c>
      <c r="Y99" t="s">
        <v>1059</v>
      </c>
      <c r="Z99">
        <v>45867</v>
      </c>
      <c r="AA99" t="s">
        <v>291</v>
      </c>
      <c r="AB99" t="s">
        <v>291</v>
      </c>
    </row>
    <row r="100" spans="1:28">
      <c r="A100">
        <v>2</v>
      </c>
      <c r="B100" t="s">
        <v>5</v>
      </c>
      <c r="C100">
        <v>45869</v>
      </c>
      <c r="D100">
        <v>45883</v>
      </c>
      <c r="E100" t="s">
        <v>144</v>
      </c>
      <c r="F100" t="s">
        <v>437</v>
      </c>
      <c r="G100" t="s">
        <v>1061</v>
      </c>
      <c r="H100" t="s">
        <v>1062</v>
      </c>
      <c r="I100" t="s">
        <v>289</v>
      </c>
      <c r="J100">
        <v>2</v>
      </c>
      <c r="L100">
        <v>16.5</v>
      </c>
      <c r="M100" t="s">
        <v>1056</v>
      </c>
      <c r="N100" t="s">
        <v>1056</v>
      </c>
      <c r="O100" t="s">
        <v>290</v>
      </c>
      <c r="P100" t="s">
        <v>457</v>
      </c>
      <c r="Q100" t="s">
        <v>1057</v>
      </c>
      <c r="R100" t="s">
        <v>286</v>
      </c>
      <c r="S100" t="s">
        <v>291</v>
      </c>
      <c r="T100" t="s">
        <v>1063</v>
      </c>
      <c r="U100">
        <v>45866</v>
      </c>
      <c r="V100">
        <v>45869</v>
      </c>
      <c r="W100" t="s">
        <v>426</v>
      </c>
      <c r="X100" t="s">
        <v>291</v>
      </c>
      <c r="Y100" t="s">
        <v>1059</v>
      </c>
      <c r="Z100">
        <v>45869</v>
      </c>
      <c r="AA100" t="s">
        <v>291</v>
      </c>
      <c r="AB100" t="s">
        <v>291</v>
      </c>
    </row>
    <row r="101" spans="1:28">
      <c r="A101">
        <v>3</v>
      </c>
      <c r="B101" t="s">
        <v>5</v>
      </c>
      <c r="C101">
        <v>45869</v>
      </c>
      <c r="D101">
        <v>45883</v>
      </c>
      <c r="E101" t="s">
        <v>144</v>
      </c>
      <c r="F101" t="s">
        <v>437</v>
      </c>
      <c r="G101" t="s">
        <v>1064</v>
      </c>
      <c r="H101" t="s">
        <v>1065</v>
      </c>
      <c r="I101" t="s">
        <v>289</v>
      </c>
      <c r="J101">
        <v>3</v>
      </c>
      <c r="L101">
        <v>18.25</v>
      </c>
    </row>
    <row r="102" spans="1:28">
      <c r="A102">
        <v>4</v>
      </c>
      <c r="B102" t="s">
        <v>5</v>
      </c>
      <c r="C102">
        <v>45869</v>
      </c>
      <c r="D102">
        <v>45883</v>
      </c>
      <c r="E102" t="s">
        <v>144</v>
      </c>
      <c r="F102" t="s">
        <v>292</v>
      </c>
      <c r="G102" t="s">
        <v>1066</v>
      </c>
      <c r="H102" t="s">
        <v>1067</v>
      </c>
      <c r="I102" t="s">
        <v>289</v>
      </c>
      <c r="J102">
        <v>2</v>
      </c>
      <c r="L102">
        <v>31</v>
      </c>
      <c r="M102">
        <v>45873</v>
      </c>
      <c r="N102">
        <v>45876</v>
      </c>
      <c r="O102" t="s">
        <v>290</v>
      </c>
      <c r="P102" t="s">
        <v>457</v>
      </c>
      <c r="Q102" t="s">
        <v>291</v>
      </c>
      <c r="R102" t="s">
        <v>298</v>
      </c>
      <c r="S102" t="s">
        <v>291</v>
      </c>
      <c r="T102" t="s">
        <v>1068</v>
      </c>
      <c r="U102">
        <v>45877</v>
      </c>
      <c r="V102">
        <v>45880</v>
      </c>
      <c r="W102" t="s">
        <v>426</v>
      </c>
      <c r="X102" t="s">
        <v>291</v>
      </c>
      <c r="Y102" t="s">
        <v>295</v>
      </c>
      <c r="Z102">
        <v>45880</v>
      </c>
      <c r="AA102" t="s">
        <v>291</v>
      </c>
      <c r="AB102" t="s">
        <v>291</v>
      </c>
    </row>
    <row r="103" spans="1:28">
      <c r="A103">
        <v>5</v>
      </c>
      <c r="B103" t="s">
        <v>5</v>
      </c>
      <c r="C103">
        <v>45869</v>
      </c>
      <c r="D103">
        <v>45883</v>
      </c>
      <c r="E103" t="s">
        <v>144</v>
      </c>
      <c r="F103" t="s">
        <v>292</v>
      </c>
      <c r="G103" t="s">
        <v>1069</v>
      </c>
      <c r="H103" t="s">
        <v>1070</v>
      </c>
      <c r="I103" t="s">
        <v>289</v>
      </c>
      <c r="J103">
        <v>2</v>
      </c>
      <c r="L103">
        <v>22.25</v>
      </c>
      <c r="M103">
        <v>45870</v>
      </c>
      <c r="N103">
        <v>45876</v>
      </c>
      <c r="O103" t="s">
        <v>290</v>
      </c>
      <c r="P103" t="s">
        <v>457</v>
      </c>
      <c r="Q103" t="s">
        <v>291</v>
      </c>
      <c r="R103" t="s">
        <v>298</v>
      </c>
      <c r="S103" t="s">
        <v>291</v>
      </c>
      <c r="T103" t="s">
        <v>1071</v>
      </c>
      <c r="U103">
        <v>45876</v>
      </c>
      <c r="V103">
        <v>45877</v>
      </c>
      <c r="W103" t="s">
        <v>426</v>
      </c>
      <c r="X103" t="s">
        <v>291</v>
      </c>
      <c r="Y103" t="s">
        <v>295</v>
      </c>
      <c r="Z103">
        <v>45877</v>
      </c>
      <c r="AA103" t="s">
        <v>291</v>
      </c>
      <c r="AB103" t="s">
        <v>291</v>
      </c>
    </row>
    <row r="104" spans="1:28">
      <c r="A104">
        <v>6</v>
      </c>
      <c r="B104" t="s">
        <v>5</v>
      </c>
      <c r="C104">
        <v>45869</v>
      </c>
      <c r="D104">
        <v>45883</v>
      </c>
      <c r="E104" t="s">
        <v>144</v>
      </c>
      <c r="F104" t="s">
        <v>298</v>
      </c>
      <c r="G104" t="s">
        <v>1072</v>
      </c>
      <c r="H104" t="s">
        <v>1073</v>
      </c>
      <c r="I104" t="s">
        <v>289</v>
      </c>
      <c r="J104">
        <v>5</v>
      </c>
      <c r="L104">
        <v>53.25</v>
      </c>
      <c r="M104">
        <v>45870</v>
      </c>
      <c r="N104">
        <v>45882</v>
      </c>
      <c r="O104" t="s">
        <v>290</v>
      </c>
      <c r="P104" t="s">
        <v>457</v>
      </c>
      <c r="Q104" t="s">
        <v>291</v>
      </c>
      <c r="R104" t="s">
        <v>1074</v>
      </c>
      <c r="S104" t="s">
        <v>291</v>
      </c>
      <c r="T104" t="s">
        <v>1075</v>
      </c>
      <c r="U104">
        <v>45882</v>
      </c>
      <c r="V104">
        <v>45882</v>
      </c>
      <c r="W104" t="s">
        <v>426</v>
      </c>
      <c r="X104" t="s">
        <v>291</v>
      </c>
      <c r="Y104" t="s">
        <v>295</v>
      </c>
      <c r="Z104">
        <v>45882</v>
      </c>
      <c r="AA104" t="s">
        <v>291</v>
      </c>
      <c r="AB104" t="s">
        <v>291</v>
      </c>
    </row>
    <row r="105" spans="1:28">
      <c r="A105">
        <v>7</v>
      </c>
      <c r="B105" t="s">
        <v>5</v>
      </c>
      <c r="C105">
        <v>45869</v>
      </c>
      <c r="D105">
        <v>45883</v>
      </c>
      <c r="E105" t="s">
        <v>144</v>
      </c>
      <c r="F105" t="s">
        <v>426</v>
      </c>
      <c r="G105" t="s">
        <v>1077</v>
      </c>
      <c r="H105" t="s">
        <v>1078</v>
      </c>
      <c r="I105" t="s">
        <v>289</v>
      </c>
      <c r="J105">
        <v>1</v>
      </c>
      <c r="L105">
        <v>7.25</v>
      </c>
      <c r="M105">
        <v>45870</v>
      </c>
      <c r="N105">
        <v>45873</v>
      </c>
      <c r="O105" t="s">
        <v>290</v>
      </c>
      <c r="P105" t="s">
        <v>298</v>
      </c>
      <c r="Q105" t="s">
        <v>291</v>
      </c>
      <c r="R105" t="s">
        <v>294</v>
      </c>
      <c r="S105" t="s">
        <v>291</v>
      </c>
      <c r="T105" t="s">
        <v>1079</v>
      </c>
      <c r="U105">
        <v>45870</v>
      </c>
      <c r="V105">
        <v>45874</v>
      </c>
      <c r="W105" t="s">
        <v>294</v>
      </c>
      <c r="X105" t="s">
        <v>291</v>
      </c>
      <c r="Y105" t="s">
        <v>1059</v>
      </c>
      <c r="Z105">
        <v>45874</v>
      </c>
      <c r="AA105" t="s">
        <v>291</v>
      </c>
      <c r="AB105" t="s">
        <v>291</v>
      </c>
    </row>
    <row r="106" spans="1:28">
      <c r="A106">
        <v>8</v>
      </c>
      <c r="B106" t="s">
        <v>5</v>
      </c>
      <c r="C106">
        <v>45869</v>
      </c>
      <c r="D106">
        <v>45883</v>
      </c>
      <c r="E106" t="s">
        <v>144</v>
      </c>
      <c r="F106" t="s">
        <v>286</v>
      </c>
      <c r="G106" t="s">
        <v>1080</v>
      </c>
      <c r="H106" t="s">
        <v>1081</v>
      </c>
      <c r="I106" t="s">
        <v>289</v>
      </c>
      <c r="L106">
        <v>2.75</v>
      </c>
      <c r="M106">
        <v>45874</v>
      </c>
      <c r="N106">
        <v>45874</v>
      </c>
      <c r="O106" t="s">
        <v>290</v>
      </c>
      <c r="P106" t="s">
        <v>457</v>
      </c>
      <c r="Q106" t="s">
        <v>291</v>
      </c>
      <c r="R106" t="s">
        <v>437</v>
      </c>
      <c r="S106" t="s">
        <v>291</v>
      </c>
      <c r="T106" t="s">
        <v>1082</v>
      </c>
      <c r="U106">
        <v>45874</v>
      </c>
      <c r="V106">
        <v>45875</v>
      </c>
      <c r="W106" t="s">
        <v>426</v>
      </c>
      <c r="X106" t="s">
        <v>291</v>
      </c>
      <c r="Y106" t="s">
        <v>295</v>
      </c>
      <c r="Z106">
        <v>45876</v>
      </c>
      <c r="AA106" t="s">
        <v>291</v>
      </c>
      <c r="AB106" t="s">
        <v>291</v>
      </c>
    </row>
    <row r="107" spans="1:28">
      <c r="A107">
        <v>9</v>
      </c>
      <c r="B107" t="s">
        <v>5</v>
      </c>
      <c r="C107">
        <v>45869</v>
      </c>
      <c r="D107">
        <v>45883</v>
      </c>
      <c r="E107" t="s">
        <v>144</v>
      </c>
      <c r="F107" t="s">
        <v>298</v>
      </c>
      <c r="G107" t="s">
        <v>1084</v>
      </c>
      <c r="H107" t="s">
        <v>1085</v>
      </c>
      <c r="I107" t="s">
        <v>289</v>
      </c>
      <c r="L107">
        <v>5</v>
      </c>
      <c r="M107">
        <v>45874</v>
      </c>
      <c r="N107">
        <v>45874</v>
      </c>
      <c r="O107" t="s">
        <v>290</v>
      </c>
      <c r="P107" t="s">
        <v>457</v>
      </c>
      <c r="Q107" t="s">
        <v>291</v>
      </c>
      <c r="R107" t="s">
        <v>437</v>
      </c>
      <c r="S107" t="s">
        <v>291</v>
      </c>
      <c r="T107" t="s">
        <v>1086</v>
      </c>
      <c r="U107">
        <v>45874</v>
      </c>
      <c r="V107">
        <v>45875</v>
      </c>
      <c r="W107" t="s">
        <v>426</v>
      </c>
      <c r="X107" t="s">
        <v>291</v>
      </c>
      <c r="Y107" t="s">
        <v>295</v>
      </c>
      <c r="Z107">
        <v>45876</v>
      </c>
      <c r="AA107" t="s">
        <v>291</v>
      </c>
      <c r="AB107" t="s">
        <v>291</v>
      </c>
    </row>
    <row r="108" spans="1:28">
      <c r="A108">
        <v>10</v>
      </c>
      <c r="B108" t="s">
        <v>5</v>
      </c>
      <c r="C108">
        <v>45869</v>
      </c>
      <c r="D108">
        <v>45883</v>
      </c>
      <c r="E108" t="s">
        <v>144</v>
      </c>
      <c r="F108" t="s">
        <v>457</v>
      </c>
      <c r="G108" t="s">
        <v>1031</v>
      </c>
      <c r="H108" t="s">
        <v>1032</v>
      </c>
      <c r="I108" t="s">
        <v>549</v>
      </c>
      <c r="J108">
        <v>3</v>
      </c>
      <c r="L108">
        <v>21</v>
      </c>
    </row>
    <row r="109" spans="1:28">
      <c r="A109">
        <v>1</v>
      </c>
      <c r="B109" t="s">
        <v>5</v>
      </c>
      <c r="C109">
        <v>45883</v>
      </c>
      <c r="D109">
        <v>45897</v>
      </c>
      <c r="E109" t="s">
        <v>148</v>
      </c>
      <c r="F109" t="s">
        <v>1030</v>
      </c>
      <c r="G109" t="s">
        <v>1031</v>
      </c>
      <c r="H109" t="s">
        <v>1032</v>
      </c>
      <c r="I109" t="s">
        <v>289</v>
      </c>
      <c r="J109">
        <v>3</v>
      </c>
      <c r="L109">
        <v>26</v>
      </c>
    </row>
    <row r="110" spans="1:28">
      <c r="A110">
        <v>2</v>
      </c>
      <c r="B110" t="s">
        <v>5</v>
      </c>
      <c r="C110">
        <v>45883</v>
      </c>
      <c r="D110">
        <v>45897</v>
      </c>
      <c r="E110" t="s">
        <v>148</v>
      </c>
      <c r="F110" t="s">
        <v>292</v>
      </c>
      <c r="G110" t="s">
        <v>1034</v>
      </c>
      <c r="H110" t="s">
        <v>1035</v>
      </c>
      <c r="I110" t="s">
        <v>289</v>
      </c>
      <c r="J110">
        <v>2</v>
      </c>
      <c r="K110">
        <v>2</v>
      </c>
      <c r="L110">
        <v>20</v>
      </c>
      <c r="M110">
        <v>45887</v>
      </c>
      <c r="N110">
        <v>45887</v>
      </c>
      <c r="O110" t="s">
        <v>290</v>
      </c>
      <c r="P110" t="s">
        <v>457</v>
      </c>
      <c r="Q110" t="s">
        <v>291</v>
      </c>
      <c r="R110" t="s">
        <v>298</v>
      </c>
      <c r="S110" t="s">
        <v>291</v>
      </c>
      <c r="T110" t="s">
        <v>1036</v>
      </c>
      <c r="U110">
        <v>45888</v>
      </c>
      <c r="V110">
        <v>45889</v>
      </c>
      <c r="W110" t="s">
        <v>426</v>
      </c>
      <c r="X110" t="s">
        <v>1037</v>
      </c>
      <c r="Y110" t="s">
        <v>295</v>
      </c>
      <c r="Z110">
        <v>45889</v>
      </c>
      <c r="AA110" t="s">
        <v>291</v>
      </c>
      <c r="AB110" t="s">
        <v>291</v>
      </c>
    </row>
    <row r="111" spans="1:28">
      <c r="A111">
        <v>3</v>
      </c>
      <c r="B111" t="s">
        <v>5</v>
      </c>
      <c r="C111">
        <v>45883</v>
      </c>
      <c r="D111">
        <v>45897</v>
      </c>
      <c r="E111" t="s">
        <v>148</v>
      </c>
      <c r="F111" t="s">
        <v>895</v>
      </c>
      <c r="G111" t="s">
        <v>1039</v>
      </c>
      <c r="H111" t="s">
        <v>1040</v>
      </c>
      <c r="I111" t="s">
        <v>289</v>
      </c>
      <c r="J111">
        <v>8</v>
      </c>
      <c r="K111">
        <v>8</v>
      </c>
      <c r="L111">
        <v>65.5</v>
      </c>
      <c r="M111">
        <v>45887</v>
      </c>
      <c r="N111">
        <v>45895</v>
      </c>
      <c r="O111" t="s">
        <v>290</v>
      </c>
      <c r="P111" t="s">
        <v>457</v>
      </c>
      <c r="Q111" s="144" t="s">
        <v>1041</v>
      </c>
      <c r="R111" t="s">
        <v>292</v>
      </c>
      <c r="S111" t="s">
        <v>291</v>
      </c>
      <c r="T111" t="s">
        <v>1042</v>
      </c>
      <c r="U111">
        <v>45894</v>
      </c>
      <c r="V111">
        <v>45896</v>
      </c>
      <c r="W111" t="s">
        <v>426</v>
      </c>
      <c r="Y111" t="s">
        <v>295</v>
      </c>
      <c r="Z111">
        <v>45896</v>
      </c>
      <c r="AA111" t="s">
        <v>291</v>
      </c>
      <c r="AB111" t="s">
        <v>291</v>
      </c>
    </row>
    <row r="112" spans="1:28">
      <c r="A112">
        <v>4</v>
      </c>
      <c r="B112" t="s">
        <v>5</v>
      </c>
      <c r="C112">
        <v>45883</v>
      </c>
      <c r="D112">
        <v>45897</v>
      </c>
      <c r="E112" t="s">
        <v>148</v>
      </c>
      <c r="F112" t="s">
        <v>1016</v>
      </c>
      <c r="G112" t="s">
        <v>1044</v>
      </c>
      <c r="H112" t="s">
        <v>1045</v>
      </c>
      <c r="I112" t="s">
        <v>289</v>
      </c>
      <c r="J112">
        <v>3</v>
      </c>
      <c r="K112">
        <v>3</v>
      </c>
      <c r="L112">
        <v>60</v>
      </c>
      <c r="M112">
        <v>45888</v>
      </c>
      <c r="N112">
        <v>45895</v>
      </c>
      <c r="O112" t="s">
        <v>290</v>
      </c>
      <c r="P112" t="s">
        <v>457</v>
      </c>
      <c r="Q112" t="s">
        <v>1046</v>
      </c>
      <c r="R112" t="s">
        <v>298</v>
      </c>
      <c r="S112" t="s">
        <v>291</v>
      </c>
      <c r="T112" t="s">
        <v>1047</v>
      </c>
      <c r="U112">
        <v>45894</v>
      </c>
      <c r="V112">
        <v>45896</v>
      </c>
      <c r="W112" t="s">
        <v>426</v>
      </c>
      <c r="X112" s="144" t="s">
        <v>1048</v>
      </c>
      <c r="Y112" t="s">
        <v>295</v>
      </c>
      <c r="Z112">
        <v>45896</v>
      </c>
      <c r="AA112" t="s">
        <v>291</v>
      </c>
      <c r="AB112" t="s">
        <v>291</v>
      </c>
    </row>
    <row r="113" spans="1:28">
      <c r="A113">
        <v>5</v>
      </c>
      <c r="B113" t="s">
        <v>5</v>
      </c>
      <c r="C113">
        <v>45883</v>
      </c>
      <c r="D113">
        <v>45897</v>
      </c>
      <c r="E113" t="s">
        <v>148</v>
      </c>
      <c r="F113" t="s">
        <v>437</v>
      </c>
      <c r="G113" t="s">
        <v>1050</v>
      </c>
      <c r="H113" t="s">
        <v>897</v>
      </c>
      <c r="I113" t="s">
        <v>289</v>
      </c>
      <c r="J113">
        <v>1</v>
      </c>
      <c r="K113">
        <v>1</v>
      </c>
      <c r="L113">
        <v>7.75</v>
      </c>
      <c r="M113">
        <v>45897</v>
      </c>
    </row>
    <row r="114" spans="1:28">
      <c r="A114">
        <v>6</v>
      </c>
      <c r="B114" t="s">
        <v>5</v>
      </c>
      <c r="C114">
        <v>45883</v>
      </c>
      <c r="D114">
        <v>45897</v>
      </c>
      <c r="E114" t="s">
        <v>1052</v>
      </c>
      <c r="F114" t="s">
        <v>437</v>
      </c>
      <c r="G114" t="s">
        <v>975</v>
      </c>
      <c r="H114" t="s">
        <v>976</v>
      </c>
      <c r="I114" t="s">
        <v>301</v>
      </c>
      <c r="J114">
        <v>5</v>
      </c>
      <c r="L114">
        <v>15.25</v>
      </c>
      <c r="M114">
        <v>45895</v>
      </c>
      <c r="N114">
        <v>45897</v>
      </c>
      <c r="O114" t="s">
        <v>290</v>
      </c>
      <c r="P114" t="s">
        <v>457</v>
      </c>
      <c r="R114" t="s">
        <v>292</v>
      </c>
      <c r="T114" t="s">
        <v>1003</v>
      </c>
      <c r="U114">
        <v>45897</v>
      </c>
      <c r="W114" t="s">
        <v>426</v>
      </c>
      <c r="Y114" t="s">
        <v>295</v>
      </c>
    </row>
    <row r="115" spans="1:28">
      <c r="A115">
        <v>1</v>
      </c>
      <c r="B115" t="s">
        <v>5</v>
      </c>
      <c r="C115">
        <v>45897</v>
      </c>
      <c r="D115">
        <v>45911</v>
      </c>
      <c r="E115" t="s">
        <v>152</v>
      </c>
      <c r="F115" t="s">
        <v>298</v>
      </c>
      <c r="G115" t="s">
        <v>975</v>
      </c>
      <c r="H115" t="s">
        <v>976</v>
      </c>
      <c r="I115" t="s">
        <v>532</v>
      </c>
      <c r="J115">
        <v>3</v>
      </c>
      <c r="L115">
        <v>45.75</v>
      </c>
      <c r="M115">
        <v>45905</v>
      </c>
      <c r="O115" t="s">
        <v>290</v>
      </c>
      <c r="P115" t="s">
        <v>457</v>
      </c>
      <c r="Q115" s="144" t="s">
        <v>1002</v>
      </c>
      <c r="R115" t="s">
        <v>292</v>
      </c>
      <c r="S115" t="s">
        <v>291</v>
      </c>
      <c r="T115" t="s">
        <v>1003</v>
      </c>
      <c r="U115">
        <v>45910</v>
      </c>
      <c r="W115" t="s">
        <v>426</v>
      </c>
      <c r="X115" t="s">
        <v>1004</v>
      </c>
      <c r="Y115" t="s">
        <v>295</v>
      </c>
    </row>
    <row r="116" spans="1:28">
      <c r="A116">
        <v>2</v>
      </c>
      <c r="B116" t="s">
        <v>5</v>
      </c>
      <c r="C116">
        <v>45897</v>
      </c>
      <c r="D116">
        <v>45911</v>
      </c>
      <c r="E116" t="s">
        <v>152</v>
      </c>
      <c r="F116" t="s">
        <v>292</v>
      </c>
      <c r="G116" t="s">
        <v>1006</v>
      </c>
      <c r="H116" t="s">
        <v>1007</v>
      </c>
      <c r="I116" t="s">
        <v>289</v>
      </c>
      <c r="J116">
        <v>8</v>
      </c>
      <c r="L116">
        <v>98.25</v>
      </c>
      <c r="M116">
        <v>45898</v>
      </c>
      <c r="N116">
        <v>45911</v>
      </c>
      <c r="O116" t="s">
        <v>290</v>
      </c>
      <c r="P116" t="s">
        <v>457</v>
      </c>
      <c r="Q116" s="144" t="s">
        <v>1008</v>
      </c>
      <c r="R116" t="s">
        <v>298</v>
      </c>
      <c r="S116" t="s">
        <v>291</v>
      </c>
      <c r="T116" t="s">
        <v>1009</v>
      </c>
      <c r="U116">
        <v>45910</v>
      </c>
      <c r="V116">
        <v>45910</v>
      </c>
      <c r="W116" t="s">
        <v>426</v>
      </c>
      <c r="X116" t="s">
        <v>291</v>
      </c>
      <c r="Y116" t="s">
        <v>295</v>
      </c>
      <c r="Z116">
        <v>45910</v>
      </c>
      <c r="AA116" t="s">
        <v>291</v>
      </c>
      <c r="AB116" t="s">
        <v>291</v>
      </c>
    </row>
    <row r="117" spans="1:28">
      <c r="A117">
        <v>3</v>
      </c>
      <c r="B117" t="s">
        <v>5</v>
      </c>
      <c r="C117">
        <v>45897</v>
      </c>
      <c r="D117">
        <v>45911</v>
      </c>
      <c r="E117" t="s">
        <v>152</v>
      </c>
      <c r="F117" t="s">
        <v>298</v>
      </c>
      <c r="G117" t="s">
        <v>1011</v>
      </c>
      <c r="H117" t="s">
        <v>1012</v>
      </c>
      <c r="I117" t="s">
        <v>289</v>
      </c>
      <c r="J117">
        <v>8</v>
      </c>
      <c r="L117">
        <v>66.5</v>
      </c>
      <c r="M117">
        <v>45898</v>
      </c>
      <c r="N117">
        <v>45911</v>
      </c>
      <c r="O117" t="s">
        <v>290</v>
      </c>
      <c r="P117" t="s">
        <v>457</v>
      </c>
      <c r="Q117" s="144" t="s">
        <v>1013</v>
      </c>
      <c r="R117" t="s">
        <v>292</v>
      </c>
      <c r="S117" t="s">
        <v>291</v>
      </c>
      <c r="T117" t="s">
        <v>1014</v>
      </c>
      <c r="U117">
        <v>45909</v>
      </c>
      <c r="V117">
        <v>45910</v>
      </c>
      <c r="W117" t="s">
        <v>426</v>
      </c>
      <c r="X117" t="s">
        <v>291</v>
      </c>
      <c r="Y117" t="s">
        <v>295</v>
      </c>
      <c r="Z117">
        <v>45910</v>
      </c>
      <c r="AA117" t="s">
        <v>291</v>
      </c>
      <c r="AB117" t="s">
        <v>291</v>
      </c>
    </row>
    <row r="118" spans="1:28">
      <c r="A118">
        <v>4</v>
      </c>
      <c r="B118" t="s">
        <v>5</v>
      </c>
      <c r="C118">
        <v>45897</v>
      </c>
      <c r="D118">
        <v>45911</v>
      </c>
      <c r="E118" t="s">
        <v>152</v>
      </c>
      <c r="F118" t="s">
        <v>1016</v>
      </c>
      <c r="G118" t="s">
        <v>1017</v>
      </c>
      <c r="H118" t="s">
        <v>897</v>
      </c>
      <c r="I118" t="s">
        <v>289</v>
      </c>
      <c r="J118">
        <v>1</v>
      </c>
      <c r="L118">
        <v>4</v>
      </c>
      <c r="M118">
        <v>45911</v>
      </c>
      <c r="N118">
        <v>45912</v>
      </c>
    </row>
    <row r="119" spans="1:28">
      <c r="A119">
        <v>5</v>
      </c>
      <c r="B119" t="s">
        <v>5</v>
      </c>
      <c r="C119">
        <v>45897</v>
      </c>
      <c r="D119">
        <v>45897</v>
      </c>
      <c r="E119" t="s">
        <v>152</v>
      </c>
      <c r="F119" t="s">
        <v>298</v>
      </c>
      <c r="G119" t="s">
        <v>1018</v>
      </c>
      <c r="H119" t="s">
        <v>1019</v>
      </c>
      <c r="I119" t="s">
        <v>289</v>
      </c>
      <c r="L119">
        <v>4.25</v>
      </c>
      <c r="M119">
        <v>45911</v>
      </c>
      <c r="N119">
        <v>45911</v>
      </c>
      <c r="O119" t="s">
        <v>290</v>
      </c>
      <c r="P119" t="s">
        <v>457</v>
      </c>
      <c r="Q119" t="s">
        <v>291</v>
      </c>
      <c r="R119" t="s">
        <v>292</v>
      </c>
      <c r="S119" t="s">
        <v>291</v>
      </c>
      <c r="T119" t="s">
        <v>1020</v>
      </c>
      <c r="U119">
        <v>45911</v>
      </c>
      <c r="V119">
        <v>45911</v>
      </c>
      <c r="W119" t="s">
        <v>426</v>
      </c>
      <c r="X119" t="s">
        <v>291</v>
      </c>
      <c r="Y119" t="s">
        <v>295</v>
      </c>
      <c r="Z119">
        <v>45911</v>
      </c>
      <c r="AA119" t="s">
        <v>291</v>
      </c>
      <c r="AB119" t="s">
        <v>291</v>
      </c>
    </row>
    <row r="120" spans="1:28">
      <c r="A120">
        <v>6</v>
      </c>
      <c r="B120" t="s">
        <v>5</v>
      </c>
      <c r="C120">
        <v>45897</v>
      </c>
      <c r="D120">
        <v>45897</v>
      </c>
      <c r="E120" t="s">
        <v>152</v>
      </c>
      <c r="F120" t="s">
        <v>292</v>
      </c>
      <c r="G120" t="s">
        <v>1021</v>
      </c>
      <c r="H120" t="s">
        <v>1022</v>
      </c>
      <c r="I120" t="s">
        <v>289</v>
      </c>
      <c r="L120">
        <v>4</v>
      </c>
      <c r="M120">
        <v>45911</v>
      </c>
      <c r="N120">
        <v>45911</v>
      </c>
      <c r="O120" t="s">
        <v>290</v>
      </c>
      <c r="P120" t="s">
        <v>457</v>
      </c>
      <c r="Q120" t="s">
        <v>291</v>
      </c>
      <c r="R120" t="s">
        <v>298</v>
      </c>
      <c r="S120" t="s">
        <v>291</v>
      </c>
      <c r="T120" t="s">
        <v>1023</v>
      </c>
      <c r="U120">
        <v>45911</v>
      </c>
      <c r="V120">
        <v>45911</v>
      </c>
      <c r="W120" t="s">
        <v>426</v>
      </c>
      <c r="X120" t="s">
        <v>291</v>
      </c>
      <c r="Y120" t="s">
        <v>295</v>
      </c>
      <c r="Z120">
        <v>45911</v>
      </c>
      <c r="AA120" t="s">
        <v>291</v>
      </c>
      <c r="AB120" t="s">
        <v>291</v>
      </c>
    </row>
    <row r="121" spans="1:28">
      <c r="A121">
        <v>1</v>
      </c>
      <c r="B121" t="s">
        <v>5</v>
      </c>
      <c r="C121">
        <v>45911</v>
      </c>
      <c r="D121">
        <v>45925</v>
      </c>
      <c r="E121" t="s">
        <v>156</v>
      </c>
      <c r="F121" t="s">
        <v>298</v>
      </c>
      <c r="G121" t="s">
        <v>975</v>
      </c>
      <c r="H121" t="s">
        <v>976</v>
      </c>
      <c r="I121" t="s">
        <v>289</v>
      </c>
      <c r="J121">
        <v>2</v>
      </c>
      <c r="L121">
        <v>60.75</v>
      </c>
      <c r="M121">
        <v>45912</v>
      </c>
      <c r="N121">
        <v>45918</v>
      </c>
      <c r="O121" t="s">
        <v>290</v>
      </c>
      <c r="P121" t="s">
        <v>457</v>
      </c>
      <c r="Q121" s="144" t="s">
        <v>977</v>
      </c>
      <c r="R121" t="s">
        <v>292</v>
      </c>
      <c r="S121" t="s">
        <v>291</v>
      </c>
      <c r="T121" t="s">
        <v>978</v>
      </c>
      <c r="U121">
        <v>45918</v>
      </c>
      <c r="V121">
        <v>45922</v>
      </c>
      <c r="W121" t="s">
        <v>426</v>
      </c>
      <c r="X121" t="s">
        <v>291</v>
      </c>
      <c r="Y121" t="s">
        <v>295</v>
      </c>
      <c r="Z121">
        <v>45922</v>
      </c>
      <c r="AA121" s="144" t="s">
        <v>979</v>
      </c>
      <c r="AB121" t="s">
        <v>291</v>
      </c>
    </row>
    <row r="122" spans="1:28">
      <c r="A122">
        <v>2</v>
      </c>
      <c r="B122" t="s">
        <v>5</v>
      </c>
      <c r="C122">
        <v>45911</v>
      </c>
      <c r="D122">
        <v>45925</v>
      </c>
      <c r="E122" t="s">
        <v>156</v>
      </c>
      <c r="F122" t="s">
        <v>298</v>
      </c>
      <c r="G122" t="s">
        <v>981</v>
      </c>
      <c r="H122" t="s">
        <v>982</v>
      </c>
      <c r="I122" t="s">
        <v>289</v>
      </c>
      <c r="J122">
        <v>3</v>
      </c>
      <c r="L122">
        <v>31</v>
      </c>
      <c r="M122">
        <v>45918</v>
      </c>
      <c r="N122">
        <v>45922</v>
      </c>
      <c r="O122" t="s">
        <v>290</v>
      </c>
      <c r="P122" t="s">
        <v>457</v>
      </c>
      <c r="Q122" t="s">
        <v>983</v>
      </c>
      <c r="R122" t="s">
        <v>292</v>
      </c>
      <c r="S122" t="s">
        <v>291</v>
      </c>
      <c r="T122" t="s">
        <v>984</v>
      </c>
      <c r="U122">
        <v>45922</v>
      </c>
      <c r="V122">
        <v>45923</v>
      </c>
      <c r="W122" t="s">
        <v>426</v>
      </c>
      <c r="X122" t="s">
        <v>291</v>
      </c>
      <c r="Y122" t="s">
        <v>295</v>
      </c>
      <c r="Z122">
        <v>45923</v>
      </c>
      <c r="AA122" t="s">
        <v>291</v>
      </c>
      <c r="AB122" t="s">
        <v>291</v>
      </c>
    </row>
    <row r="123" spans="1:28">
      <c r="A123">
        <v>3</v>
      </c>
      <c r="B123" t="s">
        <v>5</v>
      </c>
      <c r="C123">
        <v>45911</v>
      </c>
      <c r="D123">
        <v>45925</v>
      </c>
      <c r="E123" t="s">
        <v>156</v>
      </c>
      <c r="F123" t="s">
        <v>292</v>
      </c>
      <c r="G123" t="s">
        <v>986</v>
      </c>
      <c r="H123" t="s">
        <v>956</v>
      </c>
      <c r="I123" t="s">
        <v>289</v>
      </c>
      <c r="J123">
        <v>3</v>
      </c>
      <c r="L123">
        <v>30.25</v>
      </c>
      <c r="M123">
        <v>45912</v>
      </c>
      <c r="N123">
        <v>45918</v>
      </c>
      <c r="O123" t="s">
        <v>290</v>
      </c>
      <c r="P123" t="s">
        <v>457</v>
      </c>
      <c r="R123" t="s">
        <v>298</v>
      </c>
      <c r="S123" t="s">
        <v>291</v>
      </c>
      <c r="T123" t="s">
        <v>987</v>
      </c>
      <c r="U123">
        <v>45918</v>
      </c>
      <c r="V123">
        <v>45923</v>
      </c>
      <c r="W123" t="s">
        <v>426</v>
      </c>
      <c r="X123" t="s">
        <v>291</v>
      </c>
      <c r="Y123" t="s">
        <v>295</v>
      </c>
      <c r="Z123">
        <v>45923</v>
      </c>
      <c r="AA123" t="s">
        <v>291</v>
      </c>
      <c r="AB123" t="s">
        <v>291</v>
      </c>
    </row>
    <row r="124" spans="1:28">
      <c r="A124">
        <v>4</v>
      </c>
      <c r="B124" t="s">
        <v>5</v>
      </c>
      <c r="C124">
        <v>45911</v>
      </c>
      <c r="D124">
        <v>45925</v>
      </c>
      <c r="E124" t="s">
        <v>156</v>
      </c>
      <c r="F124" t="s">
        <v>437</v>
      </c>
      <c r="G124" t="s">
        <v>988</v>
      </c>
      <c r="H124" t="s">
        <v>897</v>
      </c>
      <c r="I124" t="s">
        <v>289</v>
      </c>
      <c r="J124">
        <v>1</v>
      </c>
      <c r="L124">
        <v>12</v>
      </c>
      <c r="M124">
        <v>45925</v>
      </c>
    </row>
    <row r="125" spans="1:28">
      <c r="A125">
        <v>5</v>
      </c>
      <c r="B125" t="s">
        <v>5</v>
      </c>
      <c r="C125">
        <v>45911</v>
      </c>
      <c r="D125">
        <v>45925</v>
      </c>
      <c r="E125" t="s">
        <v>990</v>
      </c>
      <c r="F125" t="s">
        <v>298</v>
      </c>
      <c r="G125" t="s">
        <v>991</v>
      </c>
      <c r="H125" t="s">
        <v>992</v>
      </c>
      <c r="I125" t="s">
        <v>289</v>
      </c>
      <c r="J125">
        <v>3</v>
      </c>
      <c r="L125">
        <v>43.25</v>
      </c>
      <c r="M125">
        <v>45919</v>
      </c>
      <c r="N125">
        <v>45924</v>
      </c>
      <c r="O125" t="s">
        <v>290</v>
      </c>
      <c r="P125" t="s">
        <v>457</v>
      </c>
      <c r="Q125" s="144" t="s">
        <v>993</v>
      </c>
      <c r="R125" t="s">
        <v>292</v>
      </c>
      <c r="S125" t="s">
        <v>291</v>
      </c>
      <c r="T125" t="s">
        <v>994</v>
      </c>
      <c r="U125">
        <v>45924</v>
      </c>
      <c r="V125">
        <v>45925</v>
      </c>
      <c r="W125" t="s">
        <v>426</v>
      </c>
      <c r="X125" t="s">
        <v>995</v>
      </c>
      <c r="Y125" t="s">
        <v>295</v>
      </c>
      <c r="Z125">
        <v>45925</v>
      </c>
      <c r="AA125" t="s">
        <v>291</v>
      </c>
      <c r="AB125" t="s">
        <v>291</v>
      </c>
    </row>
    <row r="126" spans="1:28">
      <c r="A126">
        <v>6</v>
      </c>
      <c r="B126" t="s">
        <v>5</v>
      </c>
      <c r="C126">
        <v>45911</v>
      </c>
      <c r="D126">
        <v>45925</v>
      </c>
      <c r="E126" t="s">
        <v>990</v>
      </c>
      <c r="F126" t="s">
        <v>292</v>
      </c>
      <c r="G126" t="s">
        <v>997</v>
      </c>
      <c r="H126" t="s">
        <v>998</v>
      </c>
      <c r="I126" t="s">
        <v>289</v>
      </c>
      <c r="J126">
        <v>5</v>
      </c>
      <c r="L126">
        <v>42.75</v>
      </c>
      <c r="M126">
        <v>45919</v>
      </c>
      <c r="N126">
        <v>45924</v>
      </c>
      <c r="O126" t="s">
        <v>290</v>
      </c>
      <c r="P126" t="s">
        <v>457</v>
      </c>
      <c r="Q126" t="s">
        <v>999</v>
      </c>
      <c r="R126" t="s">
        <v>298</v>
      </c>
      <c r="S126" t="s">
        <v>291</v>
      </c>
      <c r="T126" t="s">
        <v>1000</v>
      </c>
      <c r="U126">
        <v>45924</v>
      </c>
      <c r="V126">
        <v>45925</v>
      </c>
      <c r="W126" t="s">
        <v>426</v>
      </c>
      <c r="X126" t="s">
        <v>291</v>
      </c>
      <c r="Y126" t="s">
        <v>295</v>
      </c>
      <c r="Z126">
        <v>45925</v>
      </c>
      <c r="AA126" t="s">
        <v>291</v>
      </c>
      <c r="AB126" t="s">
        <v>291</v>
      </c>
    </row>
    <row r="127" spans="1:28">
      <c r="A127">
        <v>1</v>
      </c>
      <c r="B127" t="s">
        <v>5</v>
      </c>
      <c r="C127">
        <v>45925</v>
      </c>
      <c r="D127">
        <v>45939</v>
      </c>
      <c r="E127" t="s">
        <v>160</v>
      </c>
      <c r="F127" t="s">
        <v>292</v>
      </c>
      <c r="G127" t="s">
        <v>947</v>
      </c>
      <c r="H127" t="s">
        <v>948</v>
      </c>
      <c r="I127" t="s">
        <v>289</v>
      </c>
      <c r="J127">
        <v>2</v>
      </c>
      <c r="L127">
        <v>13</v>
      </c>
      <c r="M127">
        <v>45926</v>
      </c>
      <c r="N127">
        <v>45926</v>
      </c>
      <c r="O127" t="s">
        <v>290</v>
      </c>
      <c r="P127" t="s">
        <v>457</v>
      </c>
      <c r="Q127" t="s">
        <v>291</v>
      </c>
      <c r="R127" t="s">
        <v>298</v>
      </c>
      <c r="S127" t="s">
        <v>291</v>
      </c>
      <c r="T127" t="s">
        <v>949</v>
      </c>
      <c r="U127">
        <v>45926</v>
      </c>
      <c r="V127">
        <v>45927</v>
      </c>
      <c r="W127" t="s">
        <v>426</v>
      </c>
      <c r="X127" t="s">
        <v>291</v>
      </c>
      <c r="Y127" t="s">
        <v>295</v>
      </c>
      <c r="Z127">
        <v>45927</v>
      </c>
      <c r="AA127" t="s">
        <v>291</v>
      </c>
      <c r="AB127" t="s">
        <v>291</v>
      </c>
    </row>
    <row r="128" spans="1:28">
      <c r="A128">
        <v>2</v>
      </c>
      <c r="B128" t="s">
        <v>5</v>
      </c>
      <c r="C128">
        <v>45925</v>
      </c>
      <c r="D128">
        <v>45939</v>
      </c>
      <c r="E128" t="s">
        <v>160</v>
      </c>
      <c r="F128" t="s">
        <v>298</v>
      </c>
      <c r="G128" t="s">
        <v>951</v>
      </c>
      <c r="H128" t="s">
        <v>952</v>
      </c>
      <c r="I128" t="s">
        <v>289</v>
      </c>
      <c r="J128">
        <v>3</v>
      </c>
      <c r="L128">
        <v>44.75</v>
      </c>
      <c r="M128">
        <v>45926</v>
      </c>
      <c r="N128">
        <v>45937</v>
      </c>
      <c r="O128" t="s">
        <v>290</v>
      </c>
      <c r="P128" t="s">
        <v>457</v>
      </c>
      <c r="Q128" t="s">
        <v>291</v>
      </c>
      <c r="R128" t="s">
        <v>292</v>
      </c>
      <c r="S128" t="s">
        <v>291</v>
      </c>
      <c r="T128" t="s">
        <v>953</v>
      </c>
      <c r="U128">
        <v>45936</v>
      </c>
      <c r="V128">
        <v>45938</v>
      </c>
      <c r="W128" t="s">
        <v>426</v>
      </c>
      <c r="X128" t="s">
        <v>291</v>
      </c>
      <c r="Y128" t="s">
        <v>295</v>
      </c>
      <c r="Z128">
        <v>45938</v>
      </c>
      <c r="AA128" t="s">
        <v>291</v>
      </c>
      <c r="AB128" t="s">
        <v>291</v>
      </c>
    </row>
    <row r="129" spans="1:28">
      <c r="A129">
        <v>3</v>
      </c>
      <c r="B129" t="s">
        <v>5</v>
      </c>
      <c r="C129">
        <v>45925</v>
      </c>
      <c r="D129">
        <v>45939</v>
      </c>
      <c r="E129" t="s">
        <v>160</v>
      </c>
      <c r="F129" t="s">
        <v>292</v>
      </c>
      <c r="G129" t="s">
        <v>955</v>
      </c>
      <c r="H129" t="s">
        <v>956</v>
      </c>
      <c r="I129" t="s">
        <v>289</v>
      </c>
      <c r="J129">
        <v>2</v>
      </c>
      <c r="L129">
        <v>34.25</v>
      </c>
      <c r="M129">
        <v>45929</v>
      </c>
      <c r="N129">
        <v>45936</v>
      </c>
      <c r="O129" t="s">
        <v>290</v>
      </c>
      <c r="P129" t="s">
        <v>457</v>
      </c>
      <c r="Q129" t="s">
        <v>291</v>
      </c>
      <c r="R129" t="s">
        <v>298</v>
      </c>
      <c r="S129" t="s">
        <v>291</v>
      </c>
      <c r="T129" t="s">
        <v>957</v>
      </c>
      <c r="U129">
        <v>45930</v>
      </c>
      <c r="V129">
        <v>45936</v>
      </c>
      <c r="W129" t="s">
        <v>426</v>
      </c>
      <c r="X129" t="s">
        <v>291</v>
      </c>
      <c r="Y129" t="s">
        <v>295</v>
      </c>
      <c r="Z129">
        <v>45937</v>
      </c>
      <c r="AA129" t="s">
        <v>291</v>
      </c>
      <c r="AB129" t="s">
        <v>291</v>
      </c>
    </row>
    <row r="130" spans="1:28">
      <c r="A130">
        <v>4</v>
      </c>
      <c r="B130" t="s">
        <v>5</v>
      </c>
      <c r="C130">
        <v>45925</v>
      </c>
      <c r="D130">
        <v>45939</v>
      </c>
      <c r="E130" t="s">
        <v>160</v>
      </c>
      <c r="F130" t="s">
        <v>298</v>
      </c>
      <c r="G130" t="s">
        <v>959</v>
      </c>
      <c r="H130" t="s">
        <v>960</v>
      </c>
      <c r="I130" t="s">
        <v>289</v>
      </c>
      <c r="J130">
        <v>5</v>
      </c>
      <c r="L130">
        <v>30</v>
      </c>
      <c r="M130">
        <v>45933</v>
      </c>
      <c r="N130">
        <v>45937</v>
      </c>
      <c r="O130" t="s">
        <v>290</v>
      </c>
      <c r="P130" t="s">
        <v>457</v>
      </c>
      <c r="Q130" t="s">
        <v>961</v>
      </c>
      <c r="R130" t="s">
        <v>292</v>
      </c>
      <c r="S130" t="s">
        <v>291</v>
      </c>
      <c r="T130" t="s">
        <v>962</v>
      </c>
      <c r="U130">
        <v>45937</v>
      </c>
      <c r="V130">
        <v>45938</v>
      </c>
      <c r="W130" t="s">
        <v>426</v>
      </c>
      <c r="X130" t="s">
        <v>291</v>
      </c>
      <c r="Y130" t="s">
        <v>295</v>
      </c>
      <c r="Z130">
        <v>45938</v>
      </c>
      <c r="AA130" t="s">
        <v>291</v>
      </c>
      <c r="AB130" t="s">
        <v>291</v>
      </c>
    </row>
    <row r="131" spans="1:28">
      <c r="A131">
        <v>5</v>
      </c>
      <c r="B131" t="s">
        <v>5</v>
      </c>
      <c r="C131">
        <v>45925</v>
      </c>
      <c r="D131">
        <v>45939</v>
      </c>
      <c r="E131" t="s">
        <v>160</v>
      </c>
      <c r="F131" t="s">
        <v>437</v>
      </c>
      <c r="G131" t="s">
        <v>964</v>
      </c>
      <c r="H131" t="s">
        <v>897</v>
      </c>
      <c r="I131" t="s">
        <v>289</v>
      </c>
      <c r="J131">
        <v>1</v>
      </c>
      <c r="L131">
        <v>21</v>
      </c>
      <c r="M131">
        <v>45938</v>
      </c>
      <c r="N131">
        <v>45939</v>
      </c>
    </row>
    <row r="132" spans="1:28">
      <c r="A132">
        <v>6</v>
      </c>
      <c r="B132" t="s">
        <v>5</v>
      </c>
      <c r="C132">
        <v>45925</v>
      </c>
      <c r="D132">
        <v>45939</v>
      </c>
      <c r="E132" t="s">
        <v>160</v>
      </c>
      <c r="F132" t="s">
        <v>966</v>
      </c>
      <c r="G132" t="s">
        <v>967</v>
      </c>
      <c r="H132" t="s">
        <v>968</v>
      </c>
      <c r="I132" t="s">
        <v>289</v>
      </c>
      <c r="J132">
        <v>3</v>
      </c>
      <c r="L132">
        <v>39</v>
      </c>
    </row>
    <row r="133" spans="1:28">
      <c r="A133">
        <v>1</v>
      </c>
      <c r="B133" t="s">
        <v>5</v>
      </c>
      <c r="C133">
        <v>45939</v>
      </c>
      <c r="D133">
        <v>45953</v>
      </c>
      <c r="E133" t="s">
        <v>164</v>
      </c>
      <c r="F133" t="s">
        <v>298</v>
      </c>
      <c r="G133" t="s">
        <v>909</v>
      </c>
      <c r="H133" t="s">
        <v>910</v>
      </c>
      <c r="I133" t="s">
        <v>289</v>
      </c>
      <c r="J133">
        <v>3</v>
      </c>
      <c r="L133">
        <v>45.75</v>
      </c>
      <c r="M133">
        <v>45940</v>
      </c>
      <c r="N133">
        <v>45947</v>
      </c>
      <c r="O133" t="s">
        <v>290</v>
      </c>
      <c r="P133" t="s">
        <v>457</v>
      </c>
      <c r="Q133" s="144" t="s">
        <v>911</v>
      </c>
      <c r="R133" t="s">
        <v>292</v>
      </c>
      <c r="S133" t="s">
        <v>291</v>
      </c>
      <c r="T133" t="s">
        <v>912</v>
      </c>
      <c r="U133">
        <v>45946</v>
      </c>
      <c r="V133">
        <v>45951</v>
      </c>
      <c r="W133" t="s">
        <v>426</v>
      </c>
      <c r="X133" t="s">
        <v>291</v>
      </c>
      <c r="Y133" t="s">
        <v>295</v>
      </c>
      <c r="Z133">
        <v>45951</v>
      </c>
      <c r="AA133" t="s">
        <v>291</v>
      </c>
      <c r="AB133" t="s">
        <v>291</v>
      </c>
    </row>
    <row r="134" spans="1:28">
      <c r="A134">
        <v>2</v>
      </c>
      <c r="B134" t="s">
        <v>5</v>
      </c>
      <c r="C134">
        <v>45939</v>
      </c>
      <c r="D134">
        <v>45953</v>
      </c>
      <c r="E134" t="s">
        <v>164</v>
      </c>
      <c r="F134" t="s">
        <v>292</v>
      </c>
      <c r="G134" t="s">
        <v>914</v>
      </c>
      <c r="H134" t="s">
        <v>915</v>
      </c>
      <c r="I134" t="s">
        <v>289</v>
      </c>
      <c r="J134">
        <v>5</v>
      </c>
      <c r="L134">
        <v>62</v>
      </c>
      <c r="M134">
        <v>45940</v>
      </c>
      <c r="N134">
        <v>45951</v>
      </c>
      <c r="O134" t="s">
        <v>290</v>
      </c>
      <c r="P134" t="s">
        <v>457</v>
      </c>
      <c r="Q134" t="s">
        <v>291</v>
      </c>
      <c r="R134" t="s">
        <v>298</v>
      </c>
      <c r="S134" t="s">
        <v>291</v>
      </c>
      <c r="T134" t="s">
        <v>916</v>
      </c>
      <c r="U134">
        <v>45946</v>
      </c>
      <c r="V134">
        <v>45952</v>
      </c>
      <c r="W134" t="s">
        <v>426</v>
      </c>
      <c r="X134" t="s">
        <v>291</v>
      </c>
      <c r="Y134" t="s">
        <v>295</v>
      </c>
      <c r="Z134">
        <v>45952</v>
      </c>
      <c r="AA134" t="s">
        <v>291</v>
      </c>
      <c r="AB134" t="s">
        <v>291</v>
      </c>
    </row>
    <row r="135" spans="1:28">
      <c r="A135">
        <v>3</v>
      </c>
      <c r="B135" t="s">
        <v>5</v>
      </c>
      <c r="C135">
        <v>45939</v>
      </c>
      <c r="D135">
        <v>45953</v>
      </c>
      <c r="E135" t="s">
        <v>918</v>
      </c>
      <c r="F135" t="s">
        <v>426</v>
      </c>
      <c r="G135" t="s">
        <v>919</v>
      </c>
      <c r="H135" t="s">
        <v>920</v>
      </c>
      <c r="I135" t="s">
        <v>289</v>
      </c>
      <c r="J135">
        <v>3</v>
      </c>
      <c r="L135">
        <v>2.75</v>
      </c>
      <c r="M135">
        <v>45939</v>
      </c>
      <c r="N135">
        <v>45953</v>
      </c>
    </row>
    <row r="136" spans="1:28">
      <c r="A136">
        <v>4</v>
      </c>
      <c r="B136" t="s">
        <v>5</v>
      </c>
      <c r="C136">
        <v>45939</v>
      </c>
      <c r="D136">
        <v>45953</v>
      </c>
      <c r="E136" t="s">
        <v>164</v>
      </c>
      <c r="F136" t="s">
        <v>298</v>
      </c>
      <c r="G136" t="s">
        <v>922</v>
      </c>
      <c r="H136" t="s">
        <v>923</v>
      </c>
      <c r="I136" t="s">
        <v>289</v>
      </c>
      <c r="J136">
        <v>5</v>
      </c>
      <c r="L136">
        <v>36.25</v>
      </c>
      <c r="M136">
        <v>45945</v>
      </c>
      <c r="N136">
        <v>45952</v>
      </c>
      <c r="O136" t="s">
        <v>290</v>
      </c>
      <c r="P136" t="s">
        <v>457</v>
      </c>
      <c r="Q136" t="s">
        <v>291</v>
      </c>
      <c r="R136" t="s">
        <v>292</v>
      </c>
      <c r="S136" t="s">
        <v>291</v>
      </c>
      <c r="T136" t="s">
        <v>924</v>
      </c>
      <c r="U136">
        <v>45947</v>
      </c>
      <c r="V136">
        <v>45952</v>
      </c>
      <c r="W136" t="s">
        <v>426</v>
      </c>
      <c r="X136" t="s">
        <v>291</v>
      </c>
      <c r="Y136" t="s">
        <v>295</v>
      </c>
      <c r="Z136">
        <v>45952</v>
      </c>
      <c r="AA136" t="s">
        <v>291</v>
      </c>
      <c r="AB136" t="s">
        <v>291</v>
      </c>
    </row>
    <row r="137" spans="1:28">
      <c r="A137">
        <v>5</v>
      </c>
      <c r="B137" t="s">
        <v>5</v>
      </c>
      <c r="C137">
        <v>45939</v>
      </c>
      <c r="D137">
        <v>45953</v>
      </c>
      <c r="E137" t="s">
        <v>164</v>
      </c>
      <c r="F137" t="s">
        <v>298</v>
      </c>
      <c r="G137" t="s">
        <v>926</v>
      </c>
      <c r="H137" t="s">
        <v>927</v>
      </c>
      <c r="I137" t="s">
        <v>289</v>
      </c>
      <c r="J137">
        <v>1</v>
      </c>
      <c r="L137">
        <v>9</v>
      </c>
      <c r="M137">
        <v>45951</v>
      </c>
      <c r="N137">
        <v>45953</v>
      </c>
    </row>
    <row r="138" spans="1:28">
      <c r="A138">
        <v>6</v>
      </c>
      <c r="B138" t="s">
        <v>5</v>
      </c>
      <c r="C138">
        <v>45939</v>
      </c>
      <c r="D138">
        <v>45953</v>
      </c>
      <c r="E138" t="s">
        <v>929</v>
      </c>
      <c r="F138" t="s">
        <v>292</v>
      </c>
      <c r="G138" t="s">
        <v>930</v>
      </c>
      <c r="H138" t="s">
        <v>931</v>
      </c>
      <c r="I138" t="s">
        <v>289</v>
      </c>
      <c r="J138">
        <v>1</v>
      </c>
      <c r="L138">
        <v>20.5</v>
      </c>
      <c r="M138">
        <v>45947</v>
      </c>
      <c r="N138">
        <v>45951</v>
      </c>
      <c r="O138" t="s">
        <v>290</v>
      </c>
      <c r="P138" t="s">
        <v>457</v>
      </c>
      <c r="Q138" t="s">
        <v>932</v>
      </c>
      <c r="R138" t="s">
        <v>298</v>
      </c>
      <c r="S138" t="s">
        <v>291</v>
      </c>
      <c r="T138" t="s">
        <v>933</v>
      </c>
      <c r="U138">
        <v>45951</v>
      </c>
      <c r="V138">
        <v>45952</v>
      </c>
      <c r="W138" t="s">
        <v>426</v>
      </c>
      <c r="X138" t="s">
        <v>291</v>
      </c>
      <c r="Y138" t="s">
        <v>295</v>
      </c>
      <c r="Z138">
        <v>45952</v>
      </c>
      <c r="AA138" t="s">
        <v>291</v>
      </c>
      <c r="AB138" t="s">
        <v>291</v>
      </c>
    </row>
    <row r="139" spans="1:28">
      <c r="A139">
        <v>7</v>
      </c>
      <c r="B139" t="s">
        <v>5</v>
      </c>
      <c r="C139">
        <v>45939</v>
      </c>
      <c r="D139">
        <v>45953</v>
      </c>
      <c r="E139" t="s">
        <v>929</v>
      </c>
      <c r="F139" t="s">
        <v>292</v>
      </c>
      <c r="G139" t="s">
        <v>935</v>
      </c>
      <c r="H139" t="s">
        <v>936</v>
      </c>
      <c r="I139" t="s">
        <v>289</v>
      </c>
      <c r="J139">
        <v>1</v>
      </c>
      <c r="L139">
        <v>6.75</v>
      </c>
      <c r="M139">
        <v>45947</v>
      </c>
      <c r="N139">
        <v>45951</v>
      </c>
      <c r="O139" t="s">
        <v>290</v>
      </c>
      <c r="P139" t="s">
        <v>457</v>
      </c>
      <c r="Q139" t="s">
        <v>937</v>
      </c>
      <c r="R139" t="s">
        <v>298</v>
      </c>
      <c r="S139" t="s">
        <v>291</v>
      </c>
      <c r="T139" t="s">
        <v>938</v>
      </c>
      <c r="U139">
        <v>45951</v>
      </c>
      <c r="V139">
        <v>45952</v>
      </c>
      <c r="W139" t="s">
        <v>426</v>
      </c>
      <c r="X139" t="s">
        <v>291</v>
      </c>
      <c r="Y139" t="s">
        <v>295</v>
      </c>
      <c r="Z139">
        <v>45952</v>
      </c>
      <c r="AA139" t="s">
        <v>291</v>
      </c>
      <c r="AB139" t="s">
        <v>291</v>
      </c>
    </row>
    <row r="140" spans="1:28">
      <c r="A140">
        <v>8</v>
      </c>
      <c r="B140" t="s">
        <v>5</v>
      </c>
      <c r="C140">
        <v>45939</v>
      </c>
      <c r="D140">
        <v>45953</v>
      </c>
      <c r="E140" t="s">
        <v>929</v>
      </c>
      <c r="F140" t="s">
        <v>292</v>
      </c>
      <c r="G140" t="s">
        <v>812</v>
      </c>
      <c r="H140" t="s">
        <v>813</v>
      </c>
      <c r="I140" t="s">
        <v>301</v>
      </c>
      <c r="J140">
        <v>2</v>
      </c>
      <c r="L140">
        <v>15</v>
      </c>
      <c r="M140">
        <v>45947</v>
      </c>
    </row>
    <row r="141" spans="1:28">
      <c r="A141">
        <v>9</v>
      </c>
      <c r="B141" t="s">
        <v>5</v>
      </c>
      <c r="C141">
        <v>45939</v>
      </c>
      <c r="D141">
        <v>45953</v>
      </c>
      <c r="E141" t="s">
        <v>164</v>
      </c>
      <c r="F141" t="s">
        <v>298</v>
      </c>
      <c r="G141" t="s">
        <v>940</v>
      </c>
      <c r="H141" t="s">
        <v>941</v>
      </c>
      <c r="I141" t="s">
        <v>289</v>
      </c>
      <c r="L141">
        <v>8.5</v>
      </c>
      <c r="M141">
        <v>45952</v>
      </c>
      <c r="N141">
        <v>45952</v>
      </c>
      <c r="O141" t="s">
        <v>290</v>
      </c>
      <c r="P141" t="s">
        <v>457</v>
      </c>
      <c r="Q141" t="s">
        <v>291</v>
      </c>
      <c r="R141" t="s">
        <v>426</v>
      </c>
      <c r="S141" t="s">
        <v>291</v>
      </c>
      <c r="T141" t="s">
        <v>942</v>
      </c>
      <c r="U141">
        <v>45952</v>
      </c>
      <c r="V141">
        <v>45952</v>
      </c>
      <c r="W141" t="s">
        <v>426</v>
      </c>
      <c r="X141" t="s">
        <v>291</v>
      </c>
      <c r="Y141" t="s">
        <v>295</v>
      </c>
      <c r="Z141">
        <v>45952</v>
      </c>
      <c r="AA141" t="s">
        <v>291</v>
      </c>
      <c r="AB141" t="s">
        <v>291</v>
      </c>
    </row>
    <row r="142" spans="1:28">
      <c r="A142">
        <v>1</v>
      </c>
      <c r="B142" t="s">
        <v>5</v>
      </c>
      <c r="C142">
        <v>45953</v>
      </c>
      <c r="D142">
        <v>45967</v>
      </c>
      <c r="E142" t="s">
        <v>169</v>
      </c>
      <c r="F142" t="s">
        <v>298</v>
      </c>
      <c r="G142" t="s">
        <v>869</v>
      </c>
      <c r="H142" t="s">
        <v>870</v>
      </c>
      <c r="I142" t="s">
        <v>301</v>
      </c>
      <c r="J142">
        <v>3</v>
      </c>
      <c r="M142">
        <v>45954</v>
      </c>
      <c r="P142" t="s">
        <v>457</v>
      </c>
      <c r="Q142" s="144" t="s">
        <v>2063</v>
      </c>
    </row>
    <row r="143" spans="1:28">
      <c r="A143">
        <v>2</v>
      </c>
      <c r="B143" t="s">
        <v>5</v>
      </c>
      <c r="C143">
        <v>45953</v>
      </c>
      <c r="D143">
        <v>45967</v>
      </c>
      <c r="E143" t="s">
        <v>169</v>
      </c>
      <c r="F143" t="s">
        <v>292</v>
      </c>
      <c r="G143" t="s">
        <v>876</v>
      </c>
      <c r="H143" t="s">
        <v>877</v>
      </c>
      <c r="I143" t="s">
        <v>301</v>
      </c>
      <c r="J143">
        <v>1</v>
      </c>
      <c r="M143">
        <v>45954</v>
      </c>
      <c r="N143">
        <v>45954</v>
      </c>
      <c r="O143" t="s">
        <v>290</v>
      </c>
      <c r="P143" t="s">
        <v>457</v>
      </c>
      <c r="Q143" t="s">
        <v>878</v>
      </c>
      <c r="R143" t="s">
        <v>298</v>
      </c>
      <c r="S143" t="s">
        <v>291</v>
      </c>
      <c r="T143" t="s">
        <v>879</v>
      </c>
      <c r="U143">
        <v>45954</v>
      </c>
      <c r="V143">
        <v>45955</v>
      </c>
      <c r="W143" t="s">
        <v>426</v>
      </c>
      <c r="X143" t="s">
        <v>291</v>
      </c>
      <c r="Y143" t="s">
        <v>295</v>
      </c>
      <c r="Z143">
        <v>45955</v>
      </c>
      <c r="AA143" t="s">
        <v>291</v>
      </c>
      <c r="AB143" t="s">
        <v>291</v>
      </c>
    </row>
    <row r="144" spans="1:28">
      <c r="A144">
        <v>3</v>
      </c>
      <c r="B144" t="s">
        <v>5</v>
      </c>
      <c r="C144">
        <v>45953</v>
      </c>
      <c r="D144">
        <v>45967</v>
      </c>
      <c r="E144" t="s">
        <v>169</v>
      </c>
      <c r="F144" t="s">
        <v>292</v>
      </c>
      <c r="G144" t="s">
        <v>881</v>
      </c>
      <c r="H144" t="s">
        <v>882</v>
      </c>
      <c r="I144" t="s">
        <v>301</v>
      </c>
      <c r="J144">
        <v>2</v>
      </c>
      <c r="M144">
        <v>45954</v>
      </c>
    </row>
    <row r="145" spans="1:10">
      <c r="A145">
        <v>4</v>
      </c>
      <c r="B145" t="s">
        <v>5</v>
      </c>
      <c r="C145">
        <v>45953</v>
      </c>
      <c r="D145">
        <v>45967</v>
      </c>
      <c r="E145" t="s">
        <v>169</v>
      </c>
      <c r="F145" t="s">
        <v>292</v>
      </c>
      <c r="G145" t="s">
        <v>885</v>
      </c>
      <c r="H145" t="s">
        <v>886</v>
      </c>
      <c r="I145" t="s">
        <v>2059</v>
      </c>
      <c r="J145">
        <v>1</v>
      </c>
    </row>
    <row r="146" spans="1:10">
      <c r="A146">
        <v>5</v>
      </c>
      <c r="B146" t="s">
        <v>5</v>
      </c>
      <c r="C146">
        <v>45953</v>
      </c>
      <c r="D146">
        <v>45967</v>
      </c>
      <c r="E146" t="s">
        <v>169</v>
      </c>
      <c r="F146" t="s">
        <v>426</v>
      </c>
      <c r="G146" t="s">
        <v>891</v>
      </c>
      <c r="H146" t="s">
        <v>892</v>
      </c>
      <c r="I146" t="s">
        <v>2059</v>
      </c>
      <c r="J146">
        <v>3</v>
      </c>
    </row>
    <row r="147" spans="1:10">
      <c r="A147">
        <v>6</v>
      </c>
      <c r="B147" t="s">
        <v>5</v>
      </c>
      <c r="C147">
        <v>45953</v>
      </c>
      <c r="D147">
        <v>45967</v>
      </c>
      <c r="E147" t="s">
        <v>169</v>
      </c>
      <c r="F147" t="s">
        <v>895</v>
      </c>
      <c r="G147" t="s">
        <v>896</v>
      </c>
      <c r="H147" t="s">
        <v>897</v>
      </c>
      <c r="I147" t="s">
        <v>285</v>
      </c>
      <c r="J147">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i:0#.f|membership|ganapathiraman.balasubramanian@relevantz.com</cp:lastModifiedBy>
  <cp:revision/>
  <dcterms:created xsi:type="dcterms:W3CDTF">2024-02-16T13:03:59Z</dcterms:created>
  <dcterms:modified xsi:type="dcterms:W3CDTF">2026-05-17T10:32:06Z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2025-03-21T15:33:36Z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fe66d7b1-c17e-4ba8-a08d-2e146117dc7e</vt:lpwstr>
  </property>
  <property fmtid="{D5CDD505-2E9C-101B-9397-08002B2CF9AE}" pid="7" name="MSIP_Label_defa4170-0d19-0005-0004-bc88714345d2_ActionId">
    <vt:lpwstr>c74c1a27-b994-45d6-8604-28ace9e57865</vt:lpwstr>
  </property>
  <property fmtid="{D5CDD505-2E9C-101B-9397-08002B2CF9AE}" pid="8" name="MSIP_Label_defa4170-0d19-0005-0004-bc88714345d2_ContentBits">
    <vt:lpwstr>0</vt:lpwstr>
  </property>
  <property fmtid="{D5CDD505-2E9C-101B-9397-08002B2CF9AE}" pid="9" name="MSIP_Label_defa4170-0d19-0005-0004-bc88714345d2_Tag">
    <vt:lpwstr>10, 3, 0, 2</vt:lpwstr>
  </property>
</Properties>
</file>