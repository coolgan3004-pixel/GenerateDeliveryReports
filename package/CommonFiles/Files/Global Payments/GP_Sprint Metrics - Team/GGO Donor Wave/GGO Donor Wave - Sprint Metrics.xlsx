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19429" documentId="11_3E50C548091918D3294A050B0A3A282E0E7A03C9" xr6:coauthVersionLast="47" xr6:coauthVersionMax="47" xr10:uidLastSave="{4C287B38-7A72-42B0-B6E1-3AF1359DA0EB}"/>
  <bookViews>
    <workbookView xWindow="0" yWindow="0" windowWidth="0" windowHeight="0" firstSheet="2" activeTab="2" xr2:uid="{00000000-000D-0000-FFFF-FFFF00000000}"/>
  </bookViews>
  <sheets>
    <sheet name="Dashboard" sheetId="1" r:id="rId1"/>
    <sheet name="Unplanned Leaves" sheetId="131" r:id="rId2"/>
    <sheet name=" GGO 8.4.0 Sprint 4-Status" sheetId="144" r:id="rId3"/>
    <sheet name="GGO 8.4.0 Sprint 3-Status" sheetId="143" r:id="rId4"/>
    <sheet name="GGO 8.4.0 Sprint 2-Status" sheetId="142" r:id="rId5"/>
    <sheet name="GGO 8.4.0 Sprint 1-Status" sheetId="141" r:id="rId6"/>
    <sheet name="GGO 8.3.0 Sprint 4-Status" sheetId="139" r:id="rId7"/>
    <sheet name="GGO 8.3.0 Sprint 4-Defect" sheetId="140" r:id="rId8"/>
    <sheet name="GGO 8.3.0 Sprint 3-Status" sheetId="137" r:id="rId9"/>
    <sheet name="GGO 8.3.0 Sprint 3-Defect" sheetId="138" r:id="rId10"/>
    <sheet name="GGO 8.3.0 Sprint 2-Status" sheetId="136" r:id="rId11"/>
    <sheet name="GGO 8.3.0 Sprint 1-Status" sheetId="130" r:id="rId12"/>
    <sheet name="GGO 8.3.0 Sprint 1-Defect" sheetId="133" r:id="rId13"/>
    <sheet name="GGO 8.2.0 Sprint 4-Status" sheetId="128" r:id="rId14"/>
    <sheet name="GGO 8.2.0 Sprint 4-Defect" sheetId="132" r:id="rId15"/>
    <sheet name="GGO 8.2.0 Sprint 3-Status" sheetId="127" r:id="rId16"/>
    <sheet name="GGO 8.2.0 Sprint 3-Defect" sheetId="134" r:id="rId17"/>
    <sheet name="GGO 8.2.0 Sprint 1-Status" sheetId="126" r:id="rId18"/>
    <sheet name="GGO 8.2.0 Sprint 1-Defect" sheetId="135" r:id="rId19"/>
    <sheet name="GGO 8.1.0 Sprint 4-Status" sheetId="125" r:id="rId20"/>
    <sheet name="GGO 8.1.0 Sprint 3-Status" sheetId="124" r:id="rId21"/>
    <sheet name="GGO 8.1.0 Sprint 2-Status" sheetId="123" r:id="rId22"/>
    <sheet name="GGO 8.1.0 Sprint 1-Status" sheetId="121" r:id="rId23"/>
    <sheet name="GGO 8.0.0 Sprint 4-Status" sheetId="119" r:id="rId24"/>
    <sheet name="GGO 8.0.0 Sprint 3-Status" sheetId="117" r:id="rId25"/>
    <sheet name="GGO 8.0.0 Sprint 2-Status" sheetId="115" r:id="rId26"/>
    <sheet name="GGO 8.0.0 Sprint 1-Status" sheetId="111" r:id="rId27"/>
    <sheet name="GGO 7.25.0 Sprint 4-Status" sheetId="109" r:id="rId28"/>
    <sheet name="GGO 7.25.0 Sprint 4-Defect" sheetId="113" r:id="rId29"/>
    <sheet name="GGO 7.25.0 Sprint 3-Status" sheetId="107" r:id="rId30"/>
    <sheet name="GGO 7.25.0 Sprint 2-Status" sheetId="104" r:id="rId31"/>
    <sheet name="GGO 7.25.0 Sprint 1-Status" sheetId="101" r:id="rId32"/>
    <sheet name="GGO 7.24.0 Sprint 4-Status" sheetId="99" r:id="rId33"/>
    <sheet name="GGO 7.24.0 Sprint 3-Status" sheetId="96" r:id="rId34"/>
    <sheet name="GGO 7.24.0 Sprint 2-Status" sheetId="93" r:id="rId35"/>
    <sheet name="GGO 7.24.0 Sprint 2-Defect" sheetId="94" r:id="rId36"/>
    <sheet name="GGO 7.24.0 Sprint 1-Status" sheetId="90" r:id="rId37"/>
    <sheet name="GGO 7.24.0 Sprint 1-Defect" sheetId="91" r:id="rId38"/>
    <sheet name="GGO 7.23.0 Sprint 4-Status" sheetId="86" r:id="rId39"/>
    <sheet name="GGO 7.23.0 Sprint 4-Defect" sheetId="88" r:id="rId40"/>
    <sheet name="GGO 7.23.0 Sprint 3-Status" sheetId="83" r:id="rId41"/>
    <sheet name="GGO 7.23.0 Sprint 3-Defect" sheetId="84" r:id="rId42"/>
    <sheet name="GGO 7.23.0 Sprint 2-Status" sheetId="80" r:id="rId43"/>
    <sheet name="GGO 7.23.0 Sprint 2-Defect" sheetId="81" r:id="rId44"/>
    <sheet name="GGO 7.23.0 Sprint 1-Status" sheetId="77" r:id="rId45"/>
    <sheet name="GGO 7.23.0 Sprint 1-Defect " sheetId="78" r:id="rId46"/>
    <sheet name="GGO 7.22.0 Sprint 4-Status" sheetId="74" r:id="rId47"/>
    <sheet name="GGO 7.22.0 Sprint 4-Defect" sheetId="75" r:id="rId48"/>
    <sheet name="GGO 7.22.0 Sprint 3-Status" sheetId="71" r:id="rId49"/>
    <sheet name="GGO 7.22.0 Sprint 3-Defect" sheetId="72" r:id="rId50"/>
    <sheet name="GGO 7.22.0 Sprint 2-Status" sheetId="69" r:id="rId51"/>
    <sheet name="GGO 7.22.0 Sprint 2-Defect" sheetId="67" r:id="rId52"/>
    <sheet name="GGO 7.22.0 Sprint 1-Status" sheetId="59" r:id="rId53"/>
    <sheet name="GGO 7.22.0 Sprint 1-Defect" sheetId="60" r:id="rId54"/>
    <sheet name="GGO 7.21.0 Sprint 4-Status" sheetId="56" r:id="rId55"/>
    <sheet name="GGO 7.21.0 Sprint 4-Defect" sheetId="57" r:id="rId56"/>
    <sheet name="GGO 7.21.0 Sprint 3-Status" sheetId="53" r:id="rId57"/>
    <sheet name="GGO 7.21.0 Sprint 3-Defect" sheetId="54" r:id="rId58"/>
    <sheet name="GGO 7.21.0 Sprint 2-Status" sheetId="50" r:id="rId59"/>
    <sheet name="GGO 7.21.0 Sprint 2-Defect" sheetId="51" r:id="rId60"/>
    <sheet name="GGO 7.21.0 Sprint 1-CRC " sheetId="48" r:id="rId61"/>
    <sheet name="GGO 7.21.0 Sprint 1-Defect " sheetId="49" r:id="rId62"/>
    <sheet name="GGO 7.20.0 Sprint 4-CRC " sheetId="46" r:id="rId63"/>
    <sheet name="GGO 7.20.0 Sprint 4-Defect " sheetId="47" r:id="rId64"/>
    <sheet name="GGO 7.20.0 Sprint 3-CRC" sheetId="44" r:id="rId65"/>
    <sheet name="GGO 7.20.0 Sprint 3-Defect" sheetId="45" r:id="rId66"/>
    <sheet name="GGO 7.20.0 Sprint 2-CRC  " sheetId="42" r:id="rId67"/>
    <sheet name="GGO 7.20.0 Sprint 2-Defect" sheetId="43" r:id="rId68"/>
    <sheet name="GGO 7.20.0 Sprint 1-CRC " sheetId="40" r:id="rId69"/>
    <sheet name="GGO 7.20.0 Sprint 1-Defect" sheetId="41" r:id="rId70"/>
    <sheet name="GGO 7.19.0 Sprint 4-CRC " sheetId="38" r:id="rId71"/>
    <sheet name="GGO 7.19.0 Sprint 4-Defect" sheetId="39" r:id="rId72"/>
    <sheet name="GGO 7.19.0 Sprint 3-CRC" sheetId="36" r:id="rId73"/>
    <sheet name="GGO 7.19.0 Sprint 3-Defect" sheetId="37" r:id="rId74"/>
    <sheet name="GGO 7.19.0 Sprint 2-CRC" sheetId="34" r:id="rId75"/>
    <sheet name="GGO 7.19.0 Sprint 2-Defect" sheetId="35" r:id="rId76"/>
    <sheet name="GGO 7.19.0 Sprint 1-CRC" sheetId="32" r:id="rId77"/>
    <sheet name="GGO 7.19.0 Sprint 1-Defect" sheetId="33" r:id="rId78"/>
    <sheet name="GGO 7.18.0 Sprint 4-CRC" sheetId="31" r:id="rId79"/>
    <sheet name="GGO 7.18.0 Sprint 4-Defect" sheetId="30" r:id="rId80"/>
    <sheet name="GGO 7.18.0 Sprint 3-CRC" sheetId="28" r:id="rId81"/>
    <sheet name="GGO 7.18.0 Sprint 3-Defect" sheetId="29" r:id="rId82"/>
    <sheet name="GGO 7.18.0 Sprint 2-CRC" sheetId="27" r:id="rId83"/>
    <sheet name="GGO 7.18.0 Sprint 1-CRC " sheetId="24" r:id="rId84"/>
    <sheet name="GGO 7.18.0 Sprint 2-Defect" sheetId="26" r:id="rId85"/>
    <sheet name="GGO 7.18.0 Sprint 1-Defect" sheetId="25" r:id="rId86"/>
    <sheet name="GGO 7.17.0 Sprint 4-CRC " sheetId="22" r:id="rId87"/>
    <sheet name="GGO 7.17.0 Sprint 3-CRC " sheetId="20" r:id="rId88"/>
    <sheet name="GGO 7.17.0 Sprint 4-Defect" sheetId="23" r:id="rId89"/>
    <sheet name="GGO 7.17.0 Sprint 3-Defect" sheetId="21" r:id="rId90"/>
    <sheet name="GGO 7.17.0 Sprint 2-CRC" sheetId="16" r:id="rId91"/>
    <sheet name="GGO 7.17.0 Sprint 2-Defect" sheetId="17" r:id="rId92"/>
    <sheet name="GGO 7.17.0 Sprint 1-CRC" sheetId="14" r:id="rId93"/>
    <sheet name="GGO 7.17.0 Sprint 1-Defect" sheetId="15" r:id="rId94"/>
    <sheet name="GGO 7.16.0 Sprint 4-CRC" sheetId="13" r:id="rId95"/>
    <sheet name="GGO 7.16.0 Sprint 4-Defect" sheetId="12" r:id="rId96"/>
    <sheet name="GGO 7.16.0 Sprint 3-CRC" sheetId="10" r:id="rId97"/>
    <sheet name="GGO 7.16.0 Sprint 2-CRC" sheetId="8" r:id="rId98"/>
    <sheet name="GGO 7.16.0 Sprint 3-Defect" sheetId="11" r:id="rId99"/>
    <sheet name="GGO 7.16.0 Sprint 2-Defect" sheetId="9" r:id="rId100"/>
    <sheet name="GGO 7.16.0 Sprint 1-CRC" sheetId="4" r:id="rId101"/>
    <sheet name="GGO 7.16.0 Sprint 1-Defect" sheetId="5" r:id="rId102"/>
    <sheet name="GGO 7.15.0 Sprint 4-CRC" sheetId="2" r:id="rId103"/>
    <sheet name="GGO 7.15.0 Sprint 4-Defect" sheetId="3" r:id="rId104"/>
    <sheet name="Checklist" sheetId="6" state="hidden" r:id="rId105"/>
    <sheet name="Details" sheetId="7" r:id="rId106"/>
    <sheet name="Settings" sheetId="64" r:id="rId107"/>
    <sheet name="ExportData" sheetId="129" r:id="rId108"/>
  </sheets>
  <definedNames>
    <definedName name="_xlnm._FilterDatabase" localSheetId="51" hidden="1">'GGO 7.22.0 Sprint 2-Defect'!$A$1:$M$2</definedName>
    <definedName name="_xlnm._FilterDatabase" localSheetId="49" hidden="1">'GGO 7.22.0 Sprint 3-Defect'!$A$1:$M$2</definedName>
    <definedName name="_xlnm._FilterDatabase" localSheetId="47" hidden="1">'GGO 7.22.0 Sprint 4-Defect'!$A$1:$M$1</definedName>
    <definedName name="_xlnm._FilterDatabase" localSheetId="45" hidden="1">'GGO 7.23.0 Sprint 1-Defect '!$A$1:$M$1</definedName>
    <definedName name="_xlnm._FilterDatabase" localSheetId="43" hidden="1">'GGO 7.23.0 Sprint 2-Defect'!$A$1:$M$1</definedName>
    <definedName name="_xlnm._FilterDatabase" localSheetId="41" hidden="1">'GGO 7.23.0 Sprint 3-Defect'!$A$1:$M$1</definedName>
    <definedName name="_xlnm._FilterDatabase" localSheetId="39" hidden="1">'GGO 7.23.0 Sprint 4-Defect'!$A$1:$M$1</definedName>
    <definedName name="_xlnm._FilterDatabase" localSheetId="37" hidden="1">'GGO 7.24.0 Sprint 1-Defect'!$A$1:$M$1</definedName>
    <definedName name="_xlnm._FilterDatabase" localSheetId="35" hidden="1">'GGO 7.24.0 Sprint 2-Defect'!$A$1:$M$1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9" roundtripDataChecksum="ikapr5DdAXrLvGyqOq2C1f7SyLnY7sMOGu+hC3tXBHc="/>
    </ext>
  </extLst>
</workbook>
</file>

<file path=xl/calcChain.xml><?xml version="1.0" encoding="utf-8"?>
<calcChain xmlns="http://schemas.openxmlformats.org/spreadsheetml/2006/main">
  <c r="B1" i="1" l="1" a="1"/>
  <c r="B1" i="1"/>
  <c r="F1" i="1" s="1"/>
  <c r="B11" i="74"/>
  <c r="B10" i="74"/>
  <c r="B3" i="74"/>
  <c r="B9" i="74"/>
  <c r="B2" i="74"/>
  <c r="B9" i="71"/>
  <c r="B8" i="71"/>
  <c r="B7" i="71"/>
  <c r="B6" i="71"/>
  <c r="B5" i="71"/>
  <c r="B4" i="71"/>
  <c r="B3" i="71"/>
  <c r="B2" i="71"/>
  <c r="B9" i="69"/>
  <c r="B8" i="69"/>
  <c r="B7" i="69"/>
  <c r="B6" i="69"/>
  <c r="B2" i="69"/>
  <c r="B3" i="69"/>
  <c r="B4" i="69"/>
  <c r="B5" i="69"/>
  <c r="B15" i="59"/>
  <c r="B14" i="59"/>
  <c r="B13" i="59"/>
  <c r="B12" i="59"/>
  <c r="B11" i="59"/>
  <c r="B10" i="59"/>
  <c r="B9" i="59"/>
  <c r="B8" i="59"/>
  <c r="B7" i="59"/>
  <c r="B6" i="59"/>
  <c r="B5" i="59"/>
  <c r="B4" i="59"/>
  <c r="B3" i="59"/>
  <c r="B9" i="56"/>
  <c r="B8" i="56"/>
  <c r="B2" i="56"/>
  <c r="B3" i="56"/>
  <c r="B4" i="56"/>
  <c r="B5" i="56"/>
  <c r="B6" i="56"/>
  <c r="B7" i="56"/>
  <c r="D1" i="1" l="1"/>
  <c r="A31" i="1" s="1"/>
  <c r="A30" i="1"/>
  <c r="H1" i="1"/>
  <c r="A29" i="1"/>
  <c r="A21" i="1"/>
  <c r="A3" i="1"/>
  <c r="A4" i="1"/>
  <c r="A5" i="1"/>
  <c r="A6" i="1"/>
  <c r="A7" i="1"/>
  <c r="A8" i="1"/>
  <c r="A9" i="1"/>
  <c r="A10" i="1"/>
  <c r="A11" i="1"/>
  <c r="A12" i="1"/>
  <c r="A13" i="1"/>
  <c r="A14" i="1"/>
  <c r="A15" i="1"/>
  <c r="A16" i="1"/>
  <c r="A17" i="1"/>
  <c r="A18" i="1"/>
  <c r="A19" i="1"/>
  <c r="A20" i="1"/>
  <c r="A22" i="1"/>
  <c r="A23" i="1"/>
  <c r="A24" i="1"/>
  <c r="A25" i="1"/>
  <c r="C9" i="69" l="1"/>
  <c r="C5" i="69"/>
  <c r="C3" i="69"/>
  <c r="C2" i="69"/>
  <c r="C9" i="71"/>
  <c r="C6" i="71"/>
  <c r="D7" i="71"/>
  <c r="D9" i="71"/>
  <c r="D8" i="71"/>
  <c r="D6" i="71"/>
  <c r="D2" i="71"/>
  <c r="C8" i="71"/>
  <c r="C7" i="71"/>
  <c r="C5" i="71"/>
  <c r="D5" i="71"/>
  <c r="C4" i="71"/>
  <c r="C3" i="71"/>
  <c r="C2" i="71"/>
  <c r="D4" i="71"/>
  <c r="D3" i="71"/>
  <c r="D9" i="69"/>
  <c r="C8" i="69"/>
  <c r="D8" i="69"/>
  <c r="C6" i="69"/>
  <c r="C7" i="69"/>
  <c r="D6" i="69"/>
  <c r="D7" i="69"/>
  <c r="C4" i="69"/>
  <c r="D2" i="69"/>
  <c r="D3" i="69"/>
  <c r="D4" i="69"/>
  <c r="D5" i="69"/>
  <c r="A27" i="1"/>
  <c r="C3" i="59"/>
  <c r="C15" i="59"/>
  <c r="D15" i="59"/>
  <c r="C14" i="59"/>
  <c r="D14" i="59"/>
  <c r="C13" i="59"/>
  <c r="D13" i="59"/>
  <c r="C11" i="59"/>
  <c r="C12" i="59"/>
  <c r="D11" i="59"/>
  <c r="D12" i="59"/>
  <c r="C9" i="59"/>
  <c r="C10" i="59"/>
  <c r="D9" i="59"/>
  <c r="D10" i="59"/>
  <c r="C7" i="59"/>
  <c r="C8" i="59"/>
  <c r="D7" i="59"/>
  <c r="D8" i="59"/>
  <c r="A26" i="1"/>
  <c r="A28" i="1"/>
  <c r="C5" i="59"/>
  <c r="C6" i="59"/>
  <c r="D5" i="59"/>
  <c r="D6" i="59"/>
  <c r="C4" i="59"/>
  <c r="D4" i="59"/>
  <c r="D3" i="59"/>
  <c r="C9" i="56"/>
  <c r="D9" i="56"/>
  <c r="C8" i="56"/>
  <c r="D8" i="56"/>
  <c r="D2" i="56"/>
  <c r="D3" i="56"/>
  <c r="D4" i="56"/>
  <c r="D5" i="56"/>
  <c r="D6" i="56"/>
  <c r="D7" i="56"/>
  <c r="C2" i="56"/>
  <c r="C3" i="56"/>
  <c r="C4" i="56"/>
  <c r="C5" i="56"/>
  <c r="C6" i="56"/>
  <c r="C7" i="5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C9F90248-CA25-4FDC-9633-A4B3C87B0EFB}">
      <text>
        <r>
          <rPr>
            <sz val="10"/>
            <color rgb="FF000000"/>
            <rFont val="Arial"/>
            <scheme val="minor"/>
          </rPr>
          <t xml:space="preserve">Preethi Rajasekaran:
1. Whether it is Production Issue?
2. Issue found during?
3. Whether it was Escalation?
4. Who worked this?
</t>
        </r>
      </text>
    </comment>
    <comment ref="O1" authorId="0" shapeId="0" xr:uid="{785B0633-FB47-4968-BB81-CF297BB22A25}">
      <text>
        <r>
          <rPr>
            <sz val="10"/>
            <color rgb="FF000000"/>
            <rFont val="Arial"/>
            <scheme val="minor"/>
          </rPr>
          <t xml:space="preserve">Preethi Rajasekaran:
1. Whether it is Production Issue?
2. Issue found during?
3. Whether it was Escalation?
4. Who worked this?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1AAA8507-210E-45A1-BC94-DDE1B1C01B13}">
      <text>
        <r>
          <rPr>
            <sz val="10"/>
            <color rgb="FF000000"/>
            <rFont val="Arial"/>
            <scheme val="minor"/>
          </rPr>
          <t xml:space="preserve">Preethi Rajasekaran:
1. Whether it is Production Issue?
2. Issue found during?
3. Whether it was Escalation?
4. Who worked this?
</t>
        </r>
      </text>
    </comment>
    <comment ref="O1" authorId="0" shapeId="0" xr:uid="{849FFC3D-D034-4F2A-A4C3-FDAEF0E35D54}">
      <text>
        <r>
          <rPr>
            <sz val="10"/>
            <color rgb="FF000000"/>
            <rFont val="Arial"/>
            <scheme val="minor"/>
          </rPr>
          <t xml:space="preserve">Preethi Rajasekaran:
1. Whether it is Production Issue?
2. Issue found during?
3. Whether it was Escalation?
4. Who worked this?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091791C5-A5A2-440C-B7C5-1C27934F1133}">
      <text>
        <r>
          <rPr>
            <sz val="10"/>
            <color rgb="FF000000"/>
            <rFont val="Arial"/>
            <scheme val="minor"/>
          </rPr>
          <t xml:space="preserve">Preethi Rajasekaran:
1. Whether it is Production Issue?
2. Issue found during?
3. Whether it was Escalation?
4. Who worked this?
</t>
        </r>
      </text>
    </comment>
    <comment ref="O1" authorId="0" shapeId="0" xr:uid="{026CF6E4-4783-4438-8AAB-93AF97AA7630}">
      <text>
        <r>
          <rPr>
            <sz val="10"/>
            <color rgb="FF000000"/>
            <rFont val="Arial"/>
            <scheme val="minor"/>
          </rPr>
          <t xml:space="preserve">Preethi Rajasekaran:
1. Whether it is Production Issue?
2. Issue found during?
3. Whether it was Escalation?
4. Who worked this?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394C652B-FAD5-467D-B94A-41E6A83E0684}">
      <text>
        <r>
          <rPr>
            <sz val="10"/>
            <color rgb="FF000000"/>
            <rFont val="Arial"/>
            <scheme val="minor"/>
          </rPr>
          <t xml:space="preserve">Preethi Rajasekaran:
1. Whether it is Production Issue?
2. Issue found during?
3. Whether it was Escalation?
4. Who worked this?
</t>
        </r>
      </text>
    </comment>
    <comment ref="O1" authorId="0" shapeId="0" xr:uid="{8115D397-1CB0-4074-8A5F-FC0773D7F535}">
      <text>
        <r>
          <rPr>
            <sz val="10"/>
            <color rgb="FF000000"/>
            <rFont val="Arial"/>
            <scheme val="minor"/>
          </rPr>
          <t xml:space="preserve">Preethi Rajasekaran:
1. Whether it is Production Issue?
2. Issue found during?
3. Whether it was Escalation?
4. Who worked this?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A8894B09-2780-475F-A088-CBE874CE25A0}">
      <text>
        <r>
          <rPr>
            <sz val="10"/>
            <color rgb="FF000000"/>
            <rFont val="Arial"/>
            <scheme val="minor"/>
          </rPr>
          <t xml:space="preserve">Preethi Rajasekaran:
1. Whether it is Production Issue?
2. Issue found during?
3. Whether it was Escalation?
4. Who worked this?
</t>
        </r>
      </text>
    </comment>
    <comment ref="O1" authorId="0" shapeId="0" xr:uid="{F67B701E-9F14-45B1-B2D5-A6B21F69AAD4}">
      <text>
        <r>
          <rPr>
            <sz val="10"/>
            <color rgb="FF000000"/>
            <rFont val="Arial"/>
            <scheme val="minor"/>
          </rPr>
          <t xml:space="preserve">Preethi Rajasekaran:
1. Whether it is Production Issue?
2. Issue found during?
3. Whether it was Escalation?
4. Who worked this?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FAFFB70F-0DE7-4E29-BF5E-D0F697D760F1}">
      <text>
        <r>
          <rPr>
            <sz val="10"/>
            <color rgb="FF000000"/>
            <rFont val="Arial"/>
            <scheme val="minor"/>
          </rPr>
          <t xml:space="preserve">Preethi Rajasekaran:
1. Whether it is Production Issue?
2. Issue found during?
3. Whether it was Escalation?
4. Who worked this?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1554216C-B6DE-42A5-8129-537810182025}">
      <text>
        <r>
          <rPr>
            <sz val="10"/>
            <color rgb="FF000000"/>
            <rFont val="Arial"/>
            <scheme val="minor"/>
          </rPr>
          <t xml:space="preserve">Preethi Rajasekaran:
1. Whether it is Production Issue?
2. Issue found during?
3. Whether it was Escalation?
4. Who worked this?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6D9BC16F-DB99-4F54-864D-40A53008BA70}">
      <text>
        <r>
          <rPr>
            <sz val="10"/>
            <color rgb="FF000000"/>
            <rFont val="Arial"/>
            <scheme val="minor"/>
          </rPr>
          <t xml:space="preserve">Preethi Rajasekaran:
1. Whether it is Production Issue?
2. Issue found during?
3. Whether it was Escalation?
4. Who worked this?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<sst xmlns="http://schemas.openxmlformats.org/spreadsheetml/2006/main" count="10721" uniqueCount="1861">
  <si>
    <t>Current Sprint</t>
  </si>
  <si>
    <t>Current Sprint Sheet</t>
  </si>
  <si>
    <t>Sprint Start Date</t>
  </si>
  <si>
    <t>Sprint End Date</t>
  </si>
  <si>
    <t>Application Name</t>
  </si>
  <si>
    <t>GGO Donor Wave</t>
  </si>
  <si>
    <t>Users</t>
  </si>
  <si>
    <t>vishnuram.balaji@relevantz.com;charles.rapheal@relevantz.com</t>
  </si>
  <si>
    <t>Teams Name(GGO Donor_Web_API)</t>
  </si>
  <si>
    <t>19:4ae543cca7444593b1d022935b8fb11d@thread.v2</t>
  </si>
  <si>
    <t>Sprint Type</t>
  </si>
  <si>
    <t>Sprint #</t>
  </si>
  <si>
    <t>Assigned</t>
  </si>
  <si>
    <t>Completed</t>
  </si>
  <si>
    <t>Story points introduced/removed</t>
  </si>
  <si>
    <t>Sprint Summary</t>
  </si>
  <si>
    <t>Accomplishments</t>
  </si>
  <si>
    <t>Remarks</t>
  </si>
  <si>
    <t>Retro Points
(Internal &amp; External)</t>
  </si>
  <si>
    <t>Data sanity
Audit Status</t>
  </si>
  <si>
    <t>AuditDate</t>
  </si>
  <si>
    <t>Planned Leaves</t>
  </si>
  <si>
    <t>Availed Leaves</t>
  </si>
  <si>
    <t>Backlog Health</t>
  </si>
  <si>
    <t>GGO 7.15.0 Sprint 4</t>
  </si>
  <si>
    <t>Completed all the introduced story in the mid of the sprint</t>
  </si>
  <si>
    <t>Internal:
External:</t>
  </si>
  <si>
    <t>GGO 7.16.0 Sprint 1</t>
  </si>
  <si>
    <t>Actual estimated stories (17pts) got completed from our end with Development and Testing, From Onsite QA (Nate) took time for testing 3 point story because of PRD release 
and he took half day leave and he got only 4 hrs of time. So from this I would like to say, we should plan to complete the estimated stories 2 days prior, else Nate won't close 
on the last day of sprint.
Introduced Story - 3 point is Development completed, only Testing pending.</t>
  </si>
  <si>
    <t>GGO 7.16.0 Sprint 2</t>
  </si>
  <si>
    <t xml:space="preserve">Completed all the stories on time, but we noticed one minor issue in GGO-13703 Bid-18 report on xls and xlsx formats. 
the column header occupying some aditional column . It require an report engine code changes.verified some other reports also having the same issue and it's an existing issue.completed introduced story as well </t>
  </si>
  <si>
    <t>GGO 7.16.0 Sprint 3</t>
  </si>
  <si>
    <t xml:space="preserve">GGO-13801-onsite QA(Nathan) raised one bug , we tried to reproduce the issue on rounding but we are not able to do that. We have asked for the steps to reproduce the issue.                                                                                                                                                                                                               GGO-13738 -Development has been completed on this story, it require's IT team support to complete the testing.                                                                                                                                                                                                                                                                                                            Introduced Story - 7 points (Except GGO-13738 testing) all completed </t>
  </si>
  <si>
    <t>GGO 7.16.0 Sprint 4</t>
  </si>
  <si>
    <t>GGO-13796 and GGO-13773 development has been completed.testing requires IT team support to complete,currently salesforce team doing some changes at their side we can't test salesforce api's .Introduced Story - 5 points Develpment has been completed for that.</t>
  </si>
  <si>
    <t>GGO 7.17.0 Sprint 1</t>
  </si>
  <si>
    <t>Since we need support from sales force team for testing GGO -13773 ,PAPI-702 saranya supported Mike wall for testing
We got info from Doug about the 4 PROD issues in planning meeting
1. Convenience Fee Issue - Not able to reproduce by our team and Onsite QA in DEV, TST &amp; CRT, it is occurring only in PRD, finding a way to check the values, settings in PROD to replicate in lower envrionment
2. Package Tax Issue - Round off to whole number instead of 2 decimal, this is our mistake that has got in to PRD 3 months before, when fixing old code to replace SQL CLR to C# method.
3. Item tax added to Package - This was old issue, but many clients started to raise concern about this issue now, because of our new implementation for Convenience Fee.  
4. Payment show error when Actually it is success in PAPI for Few Clients in PRD - Still don't know the reason, analysing the root cause of this issue.</t>
  </si>
  <si>
    <t>GGO 7.17.0 Sprint 2</t>
  </si>
  <si>
    <t xml:space="preserve">This sprint we fixed production issues and macroscope security issues .                                                                                                                                                      PAPI-702 carried because card details need to verified with PAPI database, we don't have required permission for that, only onsite QA need to be verified.                                                                                                                                           </t>
  </si>
  <si>
    <t>GGO 7.17.0 Sprint 3</t>
  </si>
  <si>
    <t>2 stories got carried. 1. Due to salesforce team confirmed they can't do any changes. 2. Onshore Testing is pending</t>
  </si>
  <si>
    <t>GGO 7.17.0 Sprint 4</t>
  </si>
  <si>
    <t xml:space="preserve">CRT Regression Testing is still in Progress. 3 stores are blocked and carried because of IT dependencey (Certificate Issue and Permission issue for Report Instance folder in DEV &amp; TST Environments), all the development and testing works are done from our end. </t>
  </si>
  <si>
    <t>GGO 7.18.0 Sprint 1</t>
  </si>
  <si>
    <t>Testing blocked due to certificate issue</t>
  </si>
  <si>
    <t>GGO 7.18.0 Sprint 2</t>
  </si>
  <si>
    <t>GGO 7.18.0 Sprint 3</t>
  </si>
  <si>
    <t>GGO 7.18.0 Sprint 4</t>
  </si>
  <si>
    <t>GGO 7.19.0 Sprint 1</t>
  </si>
  <si>
    <t>Two stretch stories got carried to next sprint.</t>
  </si>
  <si>
    <t>GGO 7.19.0 Sprint 2</t>
  </si>
  <si>
    <t>GGO 7.19.0 Sprint 3</t>
  </si>
  <si>
    <t>GGO 7.19.0 Sprint 4</t>
  </si>
  <si>
    <t>Automation Regression story got carried over as it was new  for Offshore QA and there was some learning curve involved.</t>
  </si>
  <si>
    <t>GGO 7.20.0 Sprint 1</t>
  </si>
  <si>
    <t>2 point carry forwarded to next sprint, development and testing completed
from our end, but onsite QA didn't complete it.</t>
  </si>
  <si>
    <t>GGO 7.20.0 Sprint 2</t>
  </si>
  <si>
    <t>GGO-14067 got carried, We are migrating Bid-03 report to new RDLC framework, there is lot of existing logic present in RPT file. we need to exactly replicate same logic in SQL stored procedure for new RDLC format.understanding .rpt file logic is complication involved
Peer CRC:0
Onsite CRC: 0
Client CRC: 0
Internal Defects: 0
External Defects: 0</t>
  </si>
  <si>
    <t>GGO 7.20.0 Sprint 3</t>
  </si>
  <si>
    <t>GGO-14067 got carried, Getting Timeout issue for large records,Suporterwise page breakup and some functionlity in spreadsheetlayout is pending                                  Onsite CRC: 0
Onsite CRC: 0
Client CRC: 0
Internal Defects: 1
External Defects: 0</t>
  </si>
  <si>
    <t>GGO 7.20.0 Sprint 4</t>
  </si>
  <si>
    <t>1. Login Page Privacy policy update in MFA login page of GGO application
2. Paymen Receipt in new RDLC replacing form display helps users to download receipt as PDF and send email with attachment.</t>
  </si>
  <si>
    <t>GGO-14067 got carried, Getting Timeout issue for large records                         
Onsite CRC: 0
Client CRC: 0
Internal Defects: 1
External Defects: 0</t>
  </si>
  <si>
    <t>GGO 7.21.0 Sprint 1</t>
  </si>
  <si>
    <t>3/0</t>
  </si>
  <si>
    <t>1.Fixed Timeout issue on Bid-03 RDLC report generation.                                                          2.Completed two tickets introduced in the mid of the sprint</t>
  </si>
  <si>
    <t>Completed all story points on time                      
Onsite CRC: 0
Client CRC: 0
Internal Defects: 2
External Defects: 0</t>
  </si>
  <si>
    <t>GGO 7.21.0 Sprint 2</t>
  </si>
  <si>
    <t>1. Fixed Grid selection issue on Bid-03 RDLC report generation.
2. Fixed Azure Images issue replacing content server url with azure url
3. Investigated GGO to OB Queue flow to replace it with Quartz Job.
4. Allow GGO to validate and support different card card types (JCB, Diners club &amp; Discover Debit)</t>
  </si>
  <si>
    <t>GGO-13319 story got rolled over due to Azure image access issue and a ticket with Microsoft has been opened​ by IT                     
Onsite CRC: 0
Client CRC: 1
Internal Defects: 0
External Defects: 0</t>
  </si>
  <si>
    <t xml:space="preserve">Internal:
External:Rajesh and offshore for continued work on reports
Priya, Nathan and Conor for testing a lot of stories and completing them
</t>
  </si>
  <si>
    <t>GGO 7.21.0 Sprint 3</t>
  </si>
  <si>
    <t>7/0</t>
  </si>
  <si>
    <t xml:space="preserve">1. Application images moved in Azure , previously we stored the images in DB as bytes
2. 7.20.1 Successfully deployed to PRD                                                                                                                                                                                                                                                                                                                              3. EMV Implementation -completed most of the cardreader functionality                                                                                                                                                                                                                                                                                                                          </t>
  </si>
  <si>
    <t>GGO-14325 - BID-06 story is a huge effort and cannot be completed in one sprint, hence it was taken as a strech goal
Peer CRC:0
Onsite CRC: 0
Client CRC: 0
Internal Defects: 0
External Defects: 0</t>
  </si>
  <si>
    <t>GGO 7.21.0 Sprint 4</t>
  </si>
  <si>
    <t>1. Fixed Duplicate Event X Code issue that was a PROD bug for more than 5 years.
2. Good progress on Bid-06 RDLC update and feel confident in completing it next sprint  
3. Popup warning for Convenience fee validation implemented
4. Quartz Job implemented for Bid-06 email flow with our own effort and stored the PDF in Azure.</t>
  </si>
  <si>
    <t>GGO-14427 - BID-06 - Part-3 story is a huge effort, this has got more than 100 scenario's, so it took more time for testing left out with 2 bugs at the end of sprint (development done for the bugs) only testing pending.
Peer CRC:0
Onsite CRC: 0
Client CRC: 0
Internal Defects: 8
External Defects: 0</t>
  </si>
  <si>
    <t>Internal:
External: Offshore team made great progress on Bid-06 report</t>
  </si>
  <si>
    <t>GGO 7.22.0 Sprint 1</t>
  </si>
  <si>
    <t>4/0</t>
  </si>
  <si>
    <t xml:space="preserve">1.GGO-14484  Jan 21 Prod Release                                                                                                                                                                                                                                                                                                                                           2. Successfully completed Bid-06 with new report tool set
3. CRT regression testing completed
</t>
  </si>
  <si>
    <r>
      <rPr>
        <sz val="10"/>
        <color rgb="FF000000"/>
        <rFont val="Arial"/>
        <scheme val="minor"/>
      </rPr>
      <t xml:space="preserve">GGO-14427 - BID-06 - Part-3 during the CRT testing noticed package item enabled scenario taking too long to complete the report - immediately addressed this Issue.                                                                                                                                                                                                                                                                GGO-14483 Completed CRT Release &amp; Regression Testing
Peer CRC:0
Onsite CRC: 0
Client CRC: 0
Internal Defects: 6
External Defects: 0
</t>
    </r>
    <r>
      <rPr>
        <b/>
        <sz val="10"/>
        <color rgb="FF000000"/>
        <rFont val="Arial"/>
        <scheme val="minor"/>
      </rPr>
      <t xml:space="preserve">Reason for pending:
</t>
    </r>
    <r>
      <rPr>
        <sz val="10"/>
        <color rgb="FF000000"/>
        <rFont val="Arial"/>
        <scheme val="minor"/>
      </rPr>
      <t xml:space="preserve">
GGO-14422, PAPI-789 - Development and Testing completed from our end, Pending testing from Nate (Onsite QA) because he was focusing more in CRT regression.
GGO-14447 - Automation story completed from our end, pending review from Nate
GGO-14450 - A.C change one day prior to Sprint end date, so it got carry forward to next sprint</t>
    </r>
  </si>
  <si>
    <t>GGO 7.22.0 Sprint 2</t>
  </si>
  <si>
    <t>2/0</t>
  </si>
  <si>
    <t xml:space="preserve">1.Enhance RSVP Functionality with key features to enable better data gathering and management of attendee info.                                                                                                                                                        2.Azure Thumbnail image creation issue fix  - Add this project as part of GGO Solution and build it via Build pipeline and add it to GGO Artifact                                                                                                                                                                 </t>
  </si>
  <si>
    <t>Peer CRC:0
Onsite CRC: 0
Client CRC: 0
Internal Defects: 0
External Defects: 1
Testing is pending by Onsite QA and we completed the stories (GGO-14503, GGO-14450) and deployed to TST 2 days prior Sprint end, that's the reason these stories got rolled over to next sprint.</t>
  </si>
  <si>
    <t>GGO 7.22.0 Sprint 3</t>
  </si>
  <si>
    <t>1.Adjust Admission Functionality and Infrastructure(Graph) update                                             2.Bid-19 and Bid-15 Report Updates</t>
  </si>
  <si>
    <r>
      <rPr>
        <sz val="10"/>
        <color rgb="FF000000"/>
        <rFont val="Arial"/>
        <scheme val="minor"/>
      </rPr>
      <t xml:space="preserve">Peer CRC:0
Onsite CRC: 0
Client CRC: 4
Internal Defects: 4
External Defects: 1
</t>
    </r>
    <r>
      <rPr>
        <b/>
        <sz val="10"/>
        <color rgb="FF000000"/>
        <rFont val="Arial"/>
        <scheme val="minor"/>
      </rPr>
      <t xml:space="preserve">
Reason for pending:
</t>
    </r>
    <r>
      <rPr>
        <sz val="10"/>
        <color rgb="FF000000"/>
        <rFont val="Arial"/>
        <scheme val="minor"/>
      </rPr>
      <t xml:space="preserve">GGO-14504 - The story was given Onisite QA for testing 3 days before the end of Sprint but  Onsite QA logged bug on the last day of Thesprint. It was fixed  and deployed before sprint prep, QA didn't get time to complete it.
GGO-14070 - Development  took a lot of time and got completed only on 1 day before Sprint end, the offshore QA logged a minor bug on the last day of sprint, fixed the bug and PR created for review. (Saranya worked on the RDLC report for the first time and there was a learning curve involved which took time)
</t>
    </r>
  </si>
  <si>
    <t>GGO 7.22.0 Sprint 4</t>
  </si>
  <si>
    <t>CRT Release &amp; Regression testing for GGO 7.22.0 and PAPI 7.17.0</t>
  </si>
  <si>
    <r>
      <rPr>
        <sz val="10"/>
        <color rgb="FF000000"/>
        <rFont val="Arial"/>
        <scheme val="minor"/>
      </rPr>
      <t xml:space="preserve">Peer CRC:0
Onsite CRC: 0
Client CRC: 0
Internal Defects: 4
External Defects: 0
</t>
    </r>
    <r>
      <rPr>
        <b/>
        <sz val="10"/>
        <color rgb="FF000000"/>
        <rFont val="Arial"/>
        <scheme val="minor"/>
      </rPr>
      <t xml:space="preserve">
Reason for pending:
</t>
    </r>
    <r>
      <rPr>
        <sz val="10"/>
        <color rgb="FF000000"/>
        <rFont val="Arial"/>
        <scheme val="minor"/>
      </rPr>
      <t xml:space="preserve">GGO-14510 - Bootstrap update - Development and Testing from Offshore got completed, the automation flow broken with this bootstrap update, so Nate created a automation change ticket under this story and this got carry forwarded to next sprint.
</t>
    </r>
  </si>
  <si>
    <t>NA</t>
  </si>
  <si>
    <t>GGO 7.23.0 Sprint 1</t>
  </si>
  <si>
    <t xml:space="preserve">Continued EMV Implementation and Infrastructure updates 
Allowed 19 digit card entry in GGAM, GGO and PAPI
Cleared some Macroscope issues in PAPI
Fixed cache issue in GGO
Accomplishments:
Addiitionally completed Developemnt for stretch goal stories </t>
  </si>
  <si>
    <t>Peer CRC:0
Onsite CRC: 0
Client CRC: 0
Internal Defects: 0
External Defects: 0</t>
  </si>
  <si>
    <t>Internal Retro
1. Sathiya/ Rajesh and Saranya for providing help to Priya testing the stories
2. Team for completing all the story points</t>
  </si>
  <si>
    <t>GGO 7.23.0 Sprint 2</t>
  </si>
  <si>
    <t>10/0</t>
  </si>
  <si>
    <r>
      <rPr>
        <sz val="10"/>
        <color rgb="FF000000"/>
        <rFont val="Arial"/>
        <scheme val="minor"/>
      </rPr>
      <t xml:space="preserve">Completed Duplicate even code story and Invoice import and Invoice Payment Pages story 
Fixed Quartz Job access issues and Email Queue Issues.
</t>
    </r>
    <r>
      <rPr>
        <b/>
        <sz val="10"/>
        <color rgb="FF000000"/>
        <rFont val="Arial"/>
        <scheme val="minor"/>
      </rPr>
      <t>Accomplishments</t>
    </r>
    <r>
      <rPr>
        <sz val="10"/>
        <color rgb="FF000000"/>
        <rFont val="Arial"/>
        <scheme val="minor"/>
      </rPr>
      <t>:
Completing the development and  testing for lot of stretch goal stories on the current sprint</t>
    </r>
  </si>
  <si>
    <r>
      <rPr>
        <sz val="10"/>
        <color rgb="FF000000"/>
        <rFont val="Arial"/>
        <scheme val="minor"/>
      </rPr>
      <t xml:space="preserve">Peer CRC:0
Onsite CRC: 0
Client CRC: 0
Internal Defects: 2
External Defects: 0
</t>
    </r>
    <r>
      <rPr>
        <b/>
        <sz val="10"/>
        <color rgb="FF000000"/>
        <rFont val="Arial"/>
        <scheme val="minor"/>
      </rPr>
      <t xml:space="preserve">Pending Story: 
</t>
    </r>
    <r>
      <rPr>
        <sz val="10"/>
        <color rgb="FF000000"/>
        <rFont val="Arial"/>
        <scheme val="minor"/>
      </rPr>
      <t>2 Stories has been carried forward
1.GGO-14573 -Hard to reproduce in the lower environements. The offshore developers made several attempts to reproduce the issue, but because it’s related to performance, it took a considerable amount of time to replicate. That’s why it got carried over.
2.PAPI-839(Stretch Goal) -Dependency on Onsite QA to complete it(Offshore QA has already completed testing for this story)</t>
    </r>
  </si>
  <si>
    <r>
      <rPr>
        <b/>
        <sz val="10"/>
        <color rgb="FF000000"/>
        <rFont val="Arial"/>
        <scheme val="minor"/>
      </rPr>
      <t xml:space="preserve">Retro: 
</t>
    </r>
    <r>
      <rPr>
        <sz val="10"/>
        <color rgb="FF000000"/>
        <rFont val="Arial"/>
        <scheme val="minor"/>
      </rPr>
      <t xml:space="preserve">1.Rajesh for supporting multiple escalation issues
2.Sathiya/ Rajesh and Saranya  for covering such a wide spread of stories
3.Priya for completing the testing for the planned as well as lot of stretch jiras
</t>
    </r>
  </si>
  <si>
    <t>GGO 7.23.0 Sprint 3</t>
  </si>
  <si>
    <t>6/0</t>
  </si>
  <si>
    <r>
      <rPr>
        <sz val="10"/>
        <color rgb="FF000000"/>
        <rFont val="Arial"/>
        <scheme val="minor"/>
      </rPr>
      <t xml:space="preserve">Completed Multiple RSVP Imports 
</t>
    </r>
    <r>
      <rPr>
        <b/>
        <sz val="10"/>
        <color rgb="FF000000"/>
        <rFont val="Arial"/>
        <scheme val="minor"/>
      </rPr>
      <t xml:space="preserve">Accomplishments: </t>
    </r>
    <r>
      <rPr>
        <sz val="10"/>
        <color rgb="FF000000"/>
        <rFont val="Arial"/>
        <scheme val="minor"/>
      </rPr>
      <t xml:space="preserve">Did some Redis changes which was very challenging and OP to GGO import timeouts(which is a esclation ticket)
Completing the development for the stretch goal stories on the current sprint </t>
    </r>
  </si>
  <si>
    <r>
      <rPr>
        <sz val="10"/>
        <color rgb="FF000000"/>
        <rFont val="Arial"/>
        <scheme val="minor"/>
      </rPr>
      <t xml:space="preserve">Peer CRC:0
Onsite CRC: 0
Client CRC: 0
Internal Defects: 1
External Defects: 0
</t>
    </r>
    <r>
      <rPr>
        <b/>
        <sz val="10"/>
        <color rgb="FF000000"/>
        <rFont val="Arial"/>
        <scheme val="minor"/>
      </rPr>
      <t xml:space="preserve">Pending Story: 
</t>
    </r>
    <r>
      <rPr>
        <sz val="10"/>
        <color rgb="FF000000"/>
        <rFont val="Arial"/>
        <scheme val="minor"/>
      </rPr>
      <t>2 stories has been carried forward which includes 1 stretch
PAPI-840(8spt)and GGO-14644[Stretch] -Development for this story was completed three days ahead of the sprint deadline. However, a last-minute AC request from the client required code modifications, which were implemented the timeline.The story was left in Peer Review upon completion, per the client's request to hold it and maintain this branch separately from the CERT branch.Offshore QA has completed verification in the lower environment. The story is now pending validation from Onsite QA.</t>
    </r>
  </si>
  <si>
    <t xml:space="preserve">Rajesh and offshore for taking the redis changes which was very challenging </t>
  </si>
  <si>
    <t>GGO 7.23.0 Sprint 4</t>
  </si>
  <si>
    <t>5/0</t>
  </si>
  <si>
    <r>
      <rPr>
        <b/>
        <sz val="10"/>
        <color rgb="FF000000"/>
        <rFont val="Arial"/>
        <scheme val="minor"/>
      </rPr>
      <t xml:space="preserve">Accomplishments:
</t>
    </r>
    <r>
      <rPr>
        <sz val="10"/>
        <color rgb="FF000000"/>
        <rFont val="Arial"/>
        <scheme val="minor"/>
      </rPr>
      <t>Completed CRT testing
Completed all planned stories and more
Okta 1 Proof of concept
Completed more macroscopic stories</t>
    </r>
  </si>
  <si>
    <r>
      <rPr>
        <sz val="10"/>
        <color rgb="FF000000"/>
        <rFont val="Arial"/>
        <scheme val="minor"/>
      </rPr>
      <t xml:space="preserve">Peer CRC:0
Onsite CRC: 0
Client CRC: 0
Internal Defects: 1
External Defects: 0
</t>
    </r>
    <r>
      <rPr>
        <b/>
        <sz val="10"/>
        <color rgb="FF000000"/>
        <rFont val="Arial"/>
        <scheme val="minor"/>
      </rPr>
      <t xml:space="preserve">Pending Story: 
</t>
    </r>
    <r>
      <rPr>
        <sz val="10"/>
        <color rgb="FF000000"/>
        <rFont val="Arial"/>
        <scheme val="minor"/>
      </rPr>
      <t>2 stories has been carried forward
GGO-13722 -&gt;we documented the alternative encryption change, client wanted to add new feature flag based on that need to follow the old and new encryption flow
GGO-13723 -&gt;we documented the alternative encryption change, client wanted to add new feature flag based on that need to follow the old and new encryption flow</t>
    </r>
  </si>
  <si>
    <t>To the whole team for helping remove all the blockers for testing
Rajesh and offshore for helping with the fallback cases
Rajesh for assisting with integrating the Okta proof-of-concept</t>
  </si>
  <si>
    <t>GGO 7.24.0 Sprint 1</t>
  </si>
  <si>
    <r>
      <rPr>
        <b/>
        <sz val="10"/>
        <color rgb="FF000000"/>
        <rFont val="Arial"/>
        <scheme val="minor"/>
      </rPr>
      <t xml:space="preserve">Accomplishments:
</t>
    </r>
    <r>
      <rPr>
        <sz val="10"/>
        <color rgb="FF000000"/>
        <rFont val="Arial"/>
        <scheme val="minor"/>
      </rPr>
      <t>Old Amex certification testing
Nav Bar Updation
Fixed Dashboard generation Issue and Enabled Online Bidding for the same
Fixed Export Sales issue
Completed more macroscopic stories</t>
    </r>
  </si>
  <si>
    <r>
      <rPr>
        <sz val="10"/>
        <color rgb="FF000000"/>
        <rFont val="Arial"/>
        <scheme val="minor"/>
      </rPr>
      <t xml:space="preserve">Peer CRC:0
Onsite CRC: 0
Client CRC: 0
Internal Defects: 0
External Defects: 0
</t>
    </r>
    <r>
      <rPr>
        <b/>
        <sz val="10"/>
        <color rgb="FF000000"/>
        <rFont val="Arial"/>
        <scheme val="minor"/>
      </rPr>
      <t xml:space="preserve">Pending Story: 
</t>
    </r>
    <r>
      <rPr>
        <sz val="10"/>
        <color rgb="FF000000"/>
        <rFont val="Arial"/>
        <scheme val="minor"/>
      </rPr>
      <t>2 stories has been carried forward
GGO-14628-&gt;Hard to reproduce in the lower environements. The offshore developers and QA's  made several attempts to reproduce the issue, However, on the last day of the sprint,we found one way to reproduce it. But team need to ensure this after providing the solutions and to check whether this the cause of this issue. Team is still working on it.That’s why it got carried over.
GGO-14656-&gt;Reskin-V2 is a complete overhaul of the existing Master Page. The new layout seamlessly integrates Telerik controls, Bootstrap, and Kendo UI CSS, ensuring an optimized, modern, and adaptive user experience across all devices. As part of this redesign, we need to explore which Telerik control is best suited for the requested layout to achieve the desired functionality and responsiveness. Its taking more time to complete this story</t>
    </r>
  </si>
  <si>
    <t>Rajesh and Sathiyabharathi for working on the Nav bar update.
Rajesh for helping with the Escalation issue</t>
  </si>
  <si>
    <t>GGO 7.24.0 Sprint 2</t>
  </si>
  <si>
    <r>
      <rPr>
        <b/>
        <sz val="10"/>
        <color rgb="FF000000"/>
        <rFont val="Arial"/>
        <scheme val="minor"/>
      </rPr>
      <t xml:space="preserve">Accomplishments:
</t>
    </r>
    <r>
      <rPr>
        <sz val="10"/>
        <color rgb="FF000000"/>
        <rFont val="Arial"/>
        <scheme val="minor"/>
      </rPr>
      <t xml:space="preserve">Completed Pendo Implementation
Completed Nav Bar Implementation 
Fixed Amex card disable for select organizations
Fixed Sale Grid Export issue
</t>
    </r>
  </si>
  <si>
    <r>
      <rPr>
        <sz val="10"/>
        <color rgb="FF000000"/>
        <rFont val="Arial"/>
        <scheme val="minor"/>
      </rPr>
      <t xml:space="preserve">Peer CRC:0
Onsite CRC: 0
Client CRC: 0
Internal Defects: 0
External Defects: 0
</t>
    </r>
    <r>
      <rPr>
        <b/>
        <sz val="10"/>
        <color rgb="FF000000"/>
        <rFont val="Arial"/>
        <scheme val="minor"/>
      </rPr>
      <t xml:space="preserve">Pending Story: 
</t>
    </r>
    <r>
      <rPr>
        <sz val="10"/>
        <color rgb="FF000000"/>
        <rFont val="Arial"/>
        <scheme val="minor"/>
      </rPr>
      <t>1 story has been carried forward
GGO-14628-&gt;Hard to reproduce in the lower environements. The offshore developers and QA's  made several attempts to reproduce the issue. Team is still working on it.That’s why it was put on hold as it is of low priority</t>
    </r>
  </si>
  <si>
    <t xml:space="preserve">Rajesh  and Sathiyabharathi for the Nav bar update.
Rajesh and offshore team on the quick implementation of pendo.
Mike Horihan gave Kudos for the quick Pendo implementation
</t>
  </si>
  <si>
    <t>GGO 7.24.0 Sprint 3</t>
  </si>
  <si>
    <t>Accomplishments:
Completed Donor Web APIproject setup
Completed Integration test Project setup
Completed API Authentication for Donor Web API</t>
  </si>
  <si>
    <t xml:space="preserve">Peer CRC:0
Onsite CRC: 0
Client CRC: 0
Internal Defects: 0
External Defects: 0
Pending story:
1 Story has been carried forward
GDON-7 -&gt; Stretch </t>
  </si>
  <si>
    <t>New Donor team for completing the project setup, build issue and the publish fix. They are quick in implementing the changes
Rajesh for helping multiple offshore teams and get them all set up and going</t>
  </si>
  <si>
    <t>GGO 7.24.0 Sprint 4</t>
  </si>
  <si>
    <t>Accomplishments:
 Completed Account Information for Donor Web API
 Completed Profile Information for Donor Web API
 Completed project release and pipeline set up</t>
  </si>
  <si>
    <t xml:space="preserve">Peer CRC:0
Onsite CRC: 0
Client CRC: 0
Internal Defects: 0
External Defects: 0
Pending story:
1 Story has been carried forward
GDON-11 -&gt; Stretch </t>
  </si>
  <si>
    <t>Good progress on the Donor API.
Donor team dev and QA for completing all the donor team stories</t>
  </si>
  <si>
    <t>GGO 7.25.0 Sprint 1</t>
  </si>
  <si>
    <t>donor</t>
  </si>
  <si>
    <t xml:space="preserve">Peer CRC:0
Onsite CRC: 0
Client CRC: 0
Internal Defects: 0
External Defects: 0
Pending story:
2 Story has been carried forward
GDON-12 -&gt; Stretch 
GDON-13 -&gt; Stretch </t>
  </si>
  <si>
    <t>GGO 7.25.0 Sprint 2</t>
  </si>
  <si>
    <t>2 - Removed
5- Strech (2 Completed , 3 Carried forward)</t>
  </si>
  <si>
    <t xml:space="preserve">Peer CRC:0
Onsite CRC: 0
Client CRC: 0
Internal Defects: 0
External Defects: 0
Suggestion: 0
Pending story:
1 Story has been carried forward
GDON-28 -&gt; Stretch </t>
  </si>
  <si>
    <t>GGO 7.25.0 Sprint 3</t>
  </si>
  <si>
    <t>7 - Strech
(2 - Completed,
5- Carried forward</t>
  </si>
  <si>
    <t xml:space="preserve">Peer CRC:0
Onsite CRC: 0
Client CRC: 0
Internal Defects: 0
External Defects: 0
Suggestion: 0
Pending story:
2 Story has been carried forward
GDON- 32-&gt; Stretch 
GDON- 33-&gt; Stretch </t>
  </si>
  <si>
    <t>Offshore Donor team for completing all the planned Donor stories</t>
  </si>
  <si>
    <t>GGO 7.25.0 Sprint 4</t>
  </si>
  <si>
    <t>11 - Strech (11 Carried Forward)</t>
  </si>
  <si>
    <t>Accomplishments : Completed fundraising team member API
                                Completed Edit offline Donation API
                                Completed Get offline Donation API</t>
  </si>
  <si>
    <t>Peer CRC:0
Onsite CRC: 6
Client CRC: 1
Internal Defects: 1
(Bug Story GDON-38 Supporter image Id not updated while updating the profile image )
External Defects: 0
Suggestion: 0
Pending story:
GDON18 - 1 story got carried forward - Devlopment and Testing completed from our end. Pending with Onsite QA
GDON- 36-&gt; Stretch  got carried forward -  Bug raised on last day of the sprint so unable to fix in the same sprint - CRC - 4
2 Stretch Story has been carried forward 
GDON- 37-&gt; Stretch
GDON- 34-&gt; Stretch</t>
  </si>
  <si>
    <t>Donor Team for Api and Offshore team for the reskin stuff  both are very complicated</t>
  </si>
  <si>
    <t>GGO 8.0.0 Sprint 1</t>
  </si>
  <si>
    <t>17
(11 Stretch)</t>
  </si>
  <si>
    <t>2-Strech (Completed - 2)</t>
  </si>
  <si>
    <t>Accomplishments : Completed Profile Image Upload API
                                Completed Logging mechinsm in Azure  
                                Completed Contacts Upload API
                                Completed FundraisngTeamCoordinator API
                                Completed Get Fundraising Info
                                Completed Organization and events API</t>
  </si>
  <si>
    <t xml:space="preserve">Peer CRC:0
Onsite CRC: 0
Client CRC: 1 (Suggestion)
Internal Defects: 0
External Defects: 0
Suggestion: 0
Pending story: </t>
  </si>
  <si>
    <t>Offshore Donor team for completing all planned and more stories</t>
  </si>
  <si>
    <t>GGO 8.0.0 Sprint 2</t>
  </si>
  <si>
    <t>0</t>
  </si>
  <si>
    <t>Accomplishments:  Completed save , get and update credit card API
                               Completed the exception handling and logging in App Insights
                               Completed the send email after update the profile API</t>
  </si>
  <si>
    <t>Peer CRC:0
Onsite CRC:
Client CRC: 0
Internal Defects: 0
External Defects: 0
Suggestion: 0</t>
  </si>
  <si>
    <t>Rajesh and Donor offshore team for the Donor API progress+1</t>
  </si>
  <si>
    <t>GGO 8.0.0 Sprint 3</t>
  </si>
  <si>
    <t>2 Story points Introduced -  (Completed - 2)</t>
  </si>
  <si>
    <t xml:space="preserve">Accomplishments:  Completed Update ApAdmin settings
                               Completed Get ApAdmin settings
                               Completed Update GetOrganizationEvents </t>
  </si>
  <si>
    <t>Offshore team booth GGO and GDONOR for completing all the planned stories and more</t>
  </si>
  <si>
    <t>GGO 8.0.0 Sprint 4</t>
  </si>
  <si>
    <t>2 Story points Introduced</t>
  </si>
  <si>
    <t>Accomplishments:
         Completed GetOrCreateAccountProfileInfo 
         Completed Update the Profile APIs to use Account ID instead of Profile ID
         Completed GetAddressInfo / UpdateAddressInfo
         Completed Donor API - Add Address Type for profile
         Completed Handle Image in Update Profile</t>
  </si>
  <si>
    <t>GGO and GDON team for meeting the goal +1</t>
  </si>
  <si>
    <t>GGO 8.1.0 Sprint 1</t>
  </si>
  <si>
    <t>Accomplishments:
         Completed Add Company Name for the Business address type
         Completed Create OnlineBiddingActivity to accept multiple Credit Card and transfer default ClientXid to respective Org clientxid
         Completed Validate User Profile - Check Bidder/Supporter has got GGAM User Profile or not using "BidderKey"</t>
  </si>
  <si>
    <t>GGO 8.1.0 Sprint 2</t>
  </si>
  <si>
    <t>Accomplishments:
1. Completed Update Account Creation to include Online Bidding Activity creation if user login via OB
2. Completed Donor API - Update GGO Card reference in SaveCreditCard                                          3. Completed Donor API - Update ggo with multiple credit cards from Joinme card reference</t>
  </si>
  <si>
    <t>GGO 8.1.0 Sprint 3</t>
  </si>
  <si>
    <t>Accomplishments:
1. Completed Donor API - Update the Response code for all the donor API based 
2. Completed Donor API - Delete Credit Card in donor app should also delete from GGO if no charge is made
3. Completed Donor API - Validate Card data when creating Online Bidding Activity (either card data or CardXid's)</t>
  </si>
  <si>
    <t>Peer CRC:0
Onsite CRC:
Client CRC: 0
Internal Defects: 0
External Defects: 0
Suggestion: 0
Completed all the planned stories</t>
  </si>
  <si>
    <t>Offshore for completing the overall Sprint goal</t>
  </si>
  <si>
    <t>GGO 8.1.0 Sprint 4</t>
  </si>
  <si>
    <t>Accomplishments:
1. Completed - Create Donor Admin Page
2. Completed - Donor API - Validate Online Bidding activity and Card address before creating OB activity 
3. Developement started - Donor API - Create Online Bidding Activity without Credit Card Info*</t>
  </si>
  <si>
    <t>Rajesh for keeping up with everything and making sure the team is successful</t>
  </si>
  <si>
    <t>GGO 8.2.0 Sprint 1</t>
  </si>
  <si>
    <t>Accomplishments:
1. Completed - Donor API - Create Online Bidding Activity without Credit Card Info*
2. Completed - Disabled the Online Bidding activity creation process and hide the display of OB activities in GGAM based on flag
3. Dev Completed - Donor API - Include AddressTypeId and CompanyName in the GetProfileCreditCards API *</t>
  </si>
  <si>
    <t xml:space="preserve">Charles and Vishnu for completing the GGAM online activity story
</t>
  </si>
  <si>
    <t>GGO 8.2.0 Sprint 3</t>
  </si>
  <si>
    <t>Accomplishments:
1. Testing Completed - Donor API - Include AddressTypeId and CompanyName in the GetProfileCreditCards API *
2. Completed - Create GG API to send Checkout information to Donor Platform
3. Completed - Donor API - Add Donation Sale for Donor
4. Completed - GetOrCreateAccount API throws error when sending resettokenutc as null*</t>
  </si>
  <si>
    <t>Peer CRC:0
Onsite CRC:
Client CRC: 0
Internal Defects: 0
External Defects: 0
Suggestion: 0
Completed more than the planned stories</t>
  </si>
  <si>
    <t xml:space="preserve">Kudos to GGO and GDON team for completing all the committed work
</t>
  </si>
  <si>
    <t>GGO 8.2.0 Sprint 4</t>
  </si>
  <si>
    <t>Accomplishments:
1. Testing completed for all the assigned stories
Completed - GDON - 71 - Create GGO Org Settings
Completed - GDON - 82 - Donor Checkout - Charge CC, create Payment record/association
2. Have taken one story and started Development
GDON - 72 - Create GGO Donor Project Settings</t>
  </si>
  <si>
    <t>Offshore GGO and GDON team for completing all the stories</t>
  </si>
  <si>
    <t>GGO 8.3.0 Sprint 1</t>
  </si>
  <si>
    <t>1 Story point introduced (Found an Issue)</t>
  </si>
  <si>
    <t>Accomplisments:
1. Completed DEV &amp; Testing - GDON - 72 - Create GGO Donor Project Settings
2. Completed DEV &amp; Testing - GDON - 83 - Donor API - Update GetCheckout API to include Convenience Fee and Sale Payment Association flag
3. Completed DEV &amp; Testing in Dev env., - GDON - 80 - Donor Checkout - Generate Receipt</t>
  </si>
  <si>
    <t>Peer CRC:0
Onsite CRC:
Client CRC: 0
Internal Defects: 0
External Defects: 0
Suggestion: 0
Completed all the planned stories
Found an issue and fixed that in the current sprint itself
Testing in TST env., alone is pending for the ticket GDON-80</t>
  </si>
  <si>
    <t>GDON team for completing the planned stories</t>
  </si>
  <si>
    <t>GGO 8.3.0 Sprint 2</t>
  </si>
  <si>
    <t>Accomplisments:
1. Completed DEV &amp; Testing in DEV env., - GDON - 84 - Donor Settings  - Project Name to cascade to Ob Settings
2. Completed DEV &amp; Testing in Dev &amp; TST env.,- GDON - 86 - Display self checkout badge in GGO Manage Sales &amp; Payments
3. Completed DEV &amp; Testing in Dev &amp; TST env., - GDON - 87 - Donor API - Update Charge Card using selected card in Donor App</t>
  </si>
  <si>
    <t>Peer CRC:0
Onsite CRC:0
Client CRC: 0
Internal Defects: 0
External Defects: 0
Suggestion: 0
1 Story carried forward for Testing in TST env.,. Development is completed</t>
  </si>
  <si>
    <t>Offshore team for achieving the sprint goal</t>
  </si>
  <si>
    <t>GGO 8.3.0 Sprint 3</t>
  </si>
  <si>
    <t>3</t>
  </si>
  <si>
    <t>Accomplishments:
1. Completed DEV &amp; TST Testing - GDON-84 - Donor Settings  - Project Name to cascade to Ob Settings
2. Completed DEV &amp; TST Testing - GDON - 81 - Donor Checkout - Generate email and send receipt 
3. Completed DEV &amp; TST Testing - GDON - 88 - Donor API - Common credit card model for both OnlineBidding and CreditCard APIs
4. Completed DEV &amp; TST Testing - GDON - 89 - Donor API - Add payment source "DonorEngage" to differentiate the payment from Donor App
5. Started development on GDON - 90 - Donor API - Cleanup donor API's</t>
  </si>
  <si>
    <t xml:space="preserve">Peer CRC:0
Onsite CRC:1
1.Is this file needed? It looks like config values come from the appsettings.json file
Client CRC: 0
Internal Defects: 0
External Defects: 0
Suggestion: 0
</t>
  </si>
  <si>
    <t>Whole GGo offshore team for achieving the goal</t>
  </si>
  <si>
    <t>GGO 8.3.0 Sprint 4</t>
  </si>
  <si>
    <t>2</t>
  </si>
  <si>
    <t>Accomplishments:
1. Successfully implemented the Email Template and its subject of the mail once the check out is done
2. Implemented the Donor API's - Cleanup process
3. In Generate Payment Receipt API - successfully implemented the ReportGuId in the Params for generating the token
4. Implemented Email Address update in Update Profile API</t>
  </si>
  <si>
    <t>Peer CRC:0
Onsite CRC:
Client CRC: 0
Internal Defects: 0
External Defects: 0
Suggestion: 0
Completed all the planned stories and taken one bug ticket and started development</t>
  </si>
  <si>
    <t>Offshore team for completing all the planned taken stories in the sprint</t>
  </si>
  <si>
    <t>GGO 8.4.0 Sprint 1</t>
  </si>
  <si>
    <t xml:space="preserve">Accomplishments:
1. Successfully implemented the Text Template and SMS request once the check out is done
2. Implemented a new Donor API's - CheckBidderHouseHold for both Individual and Household supporters
3. Successfully implemented the GenerateCheckOut API with the below mentioned formats
         i. with AccountId, ProjectKey &amp; BidderKey
         ii. with AccountId &amp; ProjectKey
         iii. with AccountId &amp; BidderKey 
4. Implemented the GetCreditCards API which was always returning as 2 - while updating the AddressTypeId </t>
  </si>
  <si>
    <t>Peer CRC:0
Onsite CRC:
Client CRC: 0
Internal Defects: 0
External Defects: 0
Suggestion: 0
Completed all the planned stories and taken one ticket from the backlog and it is being developed</t>
  </si>
  <si>
    <t>1. Whole GGO and GDON offshore team for completing all the tickets
2. Conor, Priya and Charles for completing the testing for all the stories</t>
  </si>
  <si>
    <t>GGO 8.4.0 Sprint 2</t>
  </si>
  <si>
    <t>-</t>
  </si>
  <si>
    <t>Accomplishments:
1. Successfully implemented three new API's - Event details API, Tickets API and GetHouseHoldMembers 
2. Successfully implemented the ProjectKey in the GetCheckout Result 
3. Implemented the CreateAccount API without giving password in the JSON</t>
  </si>
  <si>
    <t>Offshore GGO and GDON for completing all the stories</t>
  </si>
  <si>
    <t>GGO 8.4.0 Sprint 3</t>
  </si>
  <si>
    <t>Accomplishments:
1. Successfully implemented a new API - GetBidderHouseHoldAndTableInfo 
2. Successfully implemented Self Checkin Settings under Donor Project settings and another new API GetCheckinInfo
3. Implemented the Online Bidding sceanrio without creating duplicate supporter in the list
4. Successfully implemented another new API - UpdateCheckinStatus</t>
  </si>
  <si>
    <t>GGO &amp; GDON offshore team for achieving the sprint goal</t>
  </si>
  <si>
    <t>GGO 8.4.0 Sprint 4</t>
  </si>
  <si>
    <t>Total Unplanned Leaves</t>
  </si>
  <si>
    <t>Resource Name</t>
  </si>
  <si>
    <t>Sprint Name</t>
  </si>
  <si>
    <t>Charles Infant Rabi</t>
  </si>
  <si>
    <t>Vishnu</t>
  </si>
  <si>
    <t>GGO 8.3.0 Sprint 1 (05-Feb-26 to 19-Feb-26)</t>
  </si>
  <si>
    <t>GGO 8.3.0 Sprint 2 (19-Feb-26 to 05-Mar-26)</t>
  </si>
  <si>
    <t>0.5
1</t>
  </si>
  <si>
    <r>
      <rPr>
        <b/>
        <i/>
        <u/>
        <sz val="10"/>
        <color rgb="FF000000"/>
        <rFont val="Arial"/>
      </rPr>
      <t xml:space="preserve">Charles:
</t>
    </r>
    <r>
      <rPr>
        <sz val="10"/>
        <color rgb="FF000000"/>
        <rFont val="Arial"/>
      </rPr>
      <t>Due to Fever (26/02) 2nd half
Planned leave (05/03)</t>
    </r>
  </si>
  <si>
    <t>GGO 8.3.0 Sprint 3 (05-Mar-26 to 19-Mar-26)</t>
  </si>
  <si>
    <r>
      <rPr>
        <b/>
        <i/>
        <u/>
        <sz val="10"/>
        <color rgb="FF000000"/>
        <rFont val="Arial"/>
      </rPr>
      <t xml:space="preserve">Charles:
</t>
    </r>
    <r>
      <rPr>
        <sz val="10"/>
        <color rgb="FF000000"/>
        <rFont val="Arial"/>
      </rPr>
      <t xml:space="preserve">Personal work (10/03) - 2nd half
</t>
    </r>
    <r>
      <rPr>
        <b/>
        <i/>
        <u/>
        <sz val="10"/>
        <color rgb="FF000000"/>
        <rFont val="Arial"/>
      </rPr>
      <t xml:space="preserve">Vishnu:
</t>
    </r>
    <r>
      <rPr>
        <sz val="10"/>
        <color rgb="FF000000"/>
        <rFont val="Arial"/>
      </rPr>
      <t>Personal reasons</t>
    </r>
  </si>
  <si>
    <t>GGO 8.3.0 Sprint 4 (19-Mar-26 to 02-Apr-26)</t>
  </si>
  <si>
    <r>
      <rPr>
        <b/>
        <i/>
        <u/>
        <sz val="10"/>
        <color rgb="FF000000"/>
        <rFont val="Arial"/>
      </rPr>
      <t xml:space="preserve">Charles:
</t>
    </r>
    <r>
      <rPr>
        <sz val="10"/>
        <color rgb="FF000000"/>
        <rFont val="Arial"/>
      </rPr>
      <t>Planned leave (30/03)</t>
    </r>
  </si>
  <si>
    <t>GGO 8.4.0 Sprint 1 (02-Apr-26 to 16-Apr-26)</t>
  </si>
  <si>
    <r>
      <rPr>
        <b/>
        <i/>
        <u/>
        <sz val="10"/>
        <color rgb="FF000000"/>
        <rFont val="Arial"/>
      </rPr>
      <t xml:space="preserve">Vishnu: 
</t>
    </r>
    <r>
      <rPr>
        <sz val="10"/>
        <color rgb="FF000000"/>
        <rFont val="Arial"/>
      </rPr>
      <t>Personal work (16/04/2026)</t>
    </r>
  </si>
  <si>
    <t>GGO 8.4.0 Sprint 2 (16-Apr-26 to 30-Apr-26)</t>
  </si>
  <si>
    <t>GGO 8.4.0 Sprint 3 (30-Apr-26 to 14-May-26)</t>
  </si>
  <si>
    <r>
      <rPr>
        <b/>
        <i/>
        <u/>
        <sz val="10"/>
        <color rgb="FF000000"/>
        <rFont val="Arial"/>
      </rPr>
      <t xml:space="preserve">Charles:
</t>
    </r>
    <r>
      <rPr>
        <sz val="10"/>
        <color rgb="FF000000"/>
        <rFont val="Arial"/>
      </rPr>
      <t xml:space="preserve">Family Function (04/05/2026)
</t>
    </r>
    <r>
      <rPr>
        <b/>
        <i/>
        <u/>
        <sz val="10"/>
        <color rgb="FF000000"/>
        <rFont val="Arial"/>
      </rPr>
      <t xml:space="preserve">Vishnu:
</t>
    </r>
    <r>
      <rPr>
        <sz val="10"/>
        <color rgb="FF000000"/>
        <rFont val="Arial"/>
      </rPr>
      <t>Personal work (13/05/2026)</t>
    </r>
  </si>
  <si>
    <t>Total</t>
  </si>
  <si>
    <t>S.No</t>
  </si>
  <si>
    <t xml:space="preserve">Sprint </t>
  </si>
  <si>
    <t>Developer</t>
  </si>
  <si>
    <t>Story ID / Defect ID</t>
  </si>
  <si>
    <t>Description</t>
  </si>
  <si>
    <t>Status</t>
  </si>
  <si>
    <t>Estimated (sp)</t>
  </si>
  <si>
    <t>Actual (sp)</t>
  </si>
  <si>
    <t>Actual Hours Worklog</t>
  </si>
  <si>
    <t>Dev Start Date</t>
  </si>
  <si>
    <t>Dev End Date</t>
  </si>
  <si>
    <t>Unit testing</t>
  </si>
  <si>
    <t>Peer Tested By</t>
  </si>
  <si>
    <t>Peer Tested Defects, if any</t>
  </si>
  <si>
    <t>Peer Reviewed By</t>
  </si>
  <si>
    <t>Peer Code Review Comments, if any</t>
  </si>
  <si>
    <t>PR Number/Link</t>
  </si>
  <si>
    <t>PR Created Date</t>
  </si>
  <si>
    <t>PR Approved Date</t>
  </si>
  <si>
    <t>Reviewer 1</t>
  </si>
  <si>
    <t>Code Review Comments, if any</t>
  </si>
  <si>
    <t>Reviewer 2</t>
  </si>
  <si>
    <t>Approved Date</t>
  </si>
  <si>
    <t>Code Review Comments,  if any2</t>
  </si>
  <si>
    <t>Internal PO - POV Comments</t>
  </si>
  <si>
    <t>Client PO - POV Comments</t>
  </si>
  <si>
    <t>Comments</t>
  </si>
  <si>
    <t>GDON-104</t>
  </si>
  <si>
    <t>Donor API - Update GetBidderHouseHoldAndTableInfo to include the Member details for OB</t>
  </si>
  <si>
    <t>Being Developed</t>
  </si>
  <si>
    <t>GDON-105</t>
  </si>
  <si>
    <t>Donor API - Include Image Url in the GetCheckIn Details API</t>
  </si>
  <si>
    <t>Refinement</t>
  </si>
  <si>
    <t>GDON-106</t>
  </si>
  <si>
    <t>GGO - Indicate when a Supporter has a donor profile</t>
  </si>
  <si>
    <t>GDON-107</t>
  </si>
  <si>
    <t>GGO - Indicate when a Donor Self Checks In</t>
  </si>
  <si>
    <t>GDON-100</t>
  </si>
  <si>
    <t>Donor API - Update table info in GetHousehold API call</t>
  </si>
  <si>
    <t>Done</t>
  </si>
  <si>
    <t>Charles</t>
  </si>
  <si>
    <t>Rajesh</t>
  </si>
  <si>
    <t>https://dev.azure.com/greatergiving/Greater%20Giving/_git/GGO/pullrequest/9529</t>
  </si>
  <si>
    <t>Mccarty, Joseph</t>
  </si>
  <si>
    <t>Testing in TST env., completed on 05/05/2026 at 19:00 pm
Working fine as expected / Updated the QA notes and comments in JIRA</t>
  </si>
  <si>
    <t>GDON-101</t>
  </si>
  <si>
    <t>Donor Check In Settings</t>
  </si>
  <si>
    <t>https://dev.azure.com/greatergiving/Greater%20Giving/_git/GGO/pullrequest/9546</t>
  </si>
  <si>
    <t>Dev completed on 07/05/2026
Testing in TST env., completed on 12/05/2026 at 16:30 pm
Working fine as expected / Updated the QA notes and comments in JIRA</t>
  </si>
  <si>
    <t>GDON-102</t>
  </si>
  <si>
    <t>Donor API - Update Online Bidding Activity API and cleanup</t>
  </si>
  <si>
    <t>https://dev.azure.com/greatergiving/Greater%20Giving/_git/GGO/pullrequest/9553</t>
  </si>
  <si>
    <t>Testing in DEV env., - Completed on 12/05/2026 and 13/05/2026
It is working fine as expected. Updated the QA notes and comments in JIRA
Unable to test in TST env., as the TST DONOR URL is not accessible</t>
  </si>
  <si>
    <t>GDON-103</t>
  </si>
  <si>
    <t>Donor API - Checkin Supporter API</t>
  </si>
  <si>
    <t>https://dev.azure.com/greatergiving/Greater%20Giving/_git/GGO/pullrequest/9559</t>
  </si>
  <si>
    <t>Testing in TST env., completed on 14/05/2026 at 14:00 pm
Working fine as expected
Will update the QA notes and comments shortly</t>
  </si>
  <si>
    <t>GDON-94</t>
  </si>
  <si>
    <t>Create an Event Details API</t>
  </si>
  <si>
    <t>https://dev.azure.com/greatergiving/Greater%20Giving/_git/GGO/pullrequest/9507</t>
  </si>
  <si>
    <t xml:space="preserve">
Mccarty, Joseph</t>
  </si>
  <si>
    <t>Working fine as expected in DEV env., Testing completed on 27/04/2026 20:30PM
Testing in TST env., completed on 28/04/2026 17:00PM and it is working fine as expected</t>
  </si>
  <si>
    <t>GDON-95</t>
  </si>
  <si>
    <t>Create a Tickets API</t>
  </si>
  <si>
    <t>https://dev.azure.com/greatergiving/Greater%20Giving/_git/GGO/pullrequest/9515</t>
  </si>
  <si>
    <t>Testing in TST env., Inprogress</t>
  </si>
  <si>
    <t>GDON-98</t>
  </si>
  <si>
    <t>Donor API - Get Household members</t>
  </si>
  <si>
    <t>https://dev.azure.com/greatergiving/Greater%20Giving/_git/GGO/pullrequest/9490</t>
  </si>
  <si>
    <t>Working fine as expected in DEV env., Testing completed on 22/04/2026 17:00PM
Testing completed in TST env., 23/04/2026 18:30 PM and it is working fine as expected.</t>
  </si>
  <si>
    <t>GDON-99</t>
  </si>
  <si>
    <t>Donor API - Update create account password to a random string instead of getting from Donor App</t>
  </si>
  <si>
    <t>https://dev.azure.com/greatergiving/Greater%20Giving/_git/GGO/pullrequest/9486</t>
  </si>
  <si>
    <t>Working fine as expected in TST env., - Testing completed on 20/04/2026 17:30 PM</t>
  </si>
  <si>
    <t>GDON-78</t>
  </si>
  <si>
    <t>Create Text Template</t>
  </si>
  <si>
    <t>https://dev.azure.com/greatergiving/Greater%20Giving/_git/GGO/pullrequest/9466</t>
  </si>
  <si>
    <t>Horihan, Mike</t>
  </si>
  <si>
    <t>Working fine as expected in both DEV &amp; TST env.,</t>
  </si>
  <si>
    <t>GDON-93</t>
  </si>
  <si>
    <t>Update Online Bidding to Recognize HH vs Individual Bidder keys</t>
  </si>
  <si>
    <t>https://dev.azure.com/greatergiving/Greater%20Giving/_git/GGO/pullrequest/9462</t>
  </si>
  <si>
    <t>In DEV Testing
Result is coming as True for both the Bidderkeys - Individual and Household
1. True should be come only for Household Bidderkey
2. And It should be False for Individual Bidderkey
Fixed the above issue and completed testing in TST env., it is working fine as expected now</t>
  </si>
  <si>
    <t>GDON-96</t>
  </si>
  <si>
    <t>Donor API - Get Account and Project Info By BidderKey</t>
  </si>
  <si>
    <t>https://dev.azure.com/greatergiving/Greater%20Giving/_git/GGO/pullrequest/9449</t>
  </si>
  <si>
    <t>VIshnu</t>
  </si>
  <si>
    <t>GDON-97</t>
  </si>
  <si>
    <t>Donor API - AddressTypeId is always returning as Type 2 in GetCreditCards API</t>
  </si>
  <si>
    <t>https://dev.azure.com/greatergiving/Greater%20Giving/_git/GGO/pullrequest/9438</t>
  </si>
  <si>
    <t>Is this the way normally determine first name and last name?</t>
  </si>
  <si>
    <t>GGO 8.4.0 Sprint 1 [Stretch]</t>
  </si>
  <si>
    <t>Tester Comments</t>
  </si>
  <si>
    <t>Developer comments</t>
  </si>
  <si>
    <t>GDON-90</t>
  </si>
  <si>
    <t>Donor API - Cleanup donor API's</t>
  </si>
  <si>
    <t>https://dev.azure.com/greatergiving/Greater%20Giving/_git/GGO/pullrequest/9397</t>
  </si>
  <si>
    <t>Testing activity in TST env., - Completed on 24/03/2026 20:00PM</t>
  </si>
  <si>
    <t>Dev started on 17/03/2026
Dev Completed on 23/03/2026</t>
  </si>
  <si>
    <t>Collection of APIs - Based on different scenarios - TST env.,</t>
  </si>
  <si>
    <t>GDON-91</t>
  </si>
  <si>
    <t>Validate Generate receipt requester identity</t>
  </si>
  <si>
    <t>https://dev.azure.com/greatergiving/Greater%20Giving/_git/GGO/pullrequest/9418</t>
  </si>
  <si>
    <t>Testing activity in DEV env., - Completed on 01/04/2026 13:00PM
Testing activity in TSTenv., completed on 02/04/2026 - 16:00PM</t>
  </si>
  <si>
    <t>Dev started on 27/03/2026
Dev Completed on 31/03/2026</t>
  </si>
  <si>
    <t>GDON-92</t>
  </si>
  <si>
    <t>Donor API - Update profile and supporter email address based on change email request from donor app</t>
  </si>
  <si>
    <t>https://dev.azure.com/greatergiving/Greater%20Giving/_git/GGO/pullrequest/9407</t>
  </si>
  <si>
    <t>Testing activity in DEV env., completed on 26/03/2026 - 20:00PM
Testing activity in TSTenv., completed on 27/03/2026 - 21:00PM</t>
  </si>
  <si>
    <t>Dev started on 24/03/2026
Dev Completed on 26/03/2026</t>
  </si>
  <si>
    <t>GDON-74</t>
  </si>
  <si>
    <t>Create Email Template</t>
  </si>
  <si>
    <t>Testing activity in DEV env., completed on 30/03/2026 - 20:00PM
Testing activity in TSTenv., completed on 01/04/2026 - 16:00PM</t>
  </si>
  <si>
    <t>Dev started on 20/03/2026
Dev Completed on 27/03/2026</t>
  </si>
  <si>
    <t>GGO 8.3.0 Sprint 4 [Stretch]</t>
  </si>
  <si>
    <t xml:space="preserve"> Sprint</t>
  </si>
  <si>
    <t>Story/Defect ID</t>
  </si>
  <si>
    <t>Parent Story</t>
  </si>
  <si>
    <t>Issue Type</t>
  </si>
  <si>
    <t xml:space="preserve">Issue Description </t>
  </si>
  <si>
    <t>Priority</t>
  </si>
  <si>
    <t>Defect Source</t>
  </si>
  <si>
    <t>Type</t>
  </si>
  <si>
    <t>Root Cause Category</t>
  </si>
  <si>
    <t>Found By</t>
  </si>
  <si>
    <t>RCA Comment</t>
  </si>
  <si>
    <t>NO Defects</t>
  </si>
  <si>
    <t>Dev Started on 05-Feb-2026</t>
  </si>
  <si>
    <t>GDON-84</t>
  </si>
  <si>
    <t>Donor Settings  - Project Name to cascade to Ob Settings</t>
  </si>
  <si>
    <t>https://dev.azure.com/greatergiving/Greater%20Giving/_git/GGO/pullrequest/9341</t>
  </si>
  <si>
    <t>Testing activity in DEV env., completed on 27/02/2026 / 18:30PM
Testing activity in TST env., completed on
06/03/2026 - 15:00PM</t>
  </si>
  <si>
    <t>Dev completed on 04/03/2026</t>
  </si>
  <si>
    <t>Rajesh/Vishnu</t>
  </si>
  <si>
    <t>GDON-81</t>
  </si>
  <si>
    <t>Donor Checkout - Generate email and send receipt</t>
  </si>
  <si>
    <t>https://dev.azure.com/greatergiving/Greater%20Giving/_git/GGO/pullrequest/9377</t>
  </si>
  <si>
    <t xml:space="preserve">Testing activity in DEV env., completed on 16/03/2026 - 12:00PM
Testing activity in TSTenv., completed on 17/03/2026 - 17:00PM
</t>
  </si>
  <si>
    <t>Dev started on 06/03/2026
Dev completed on 16/03/2026</t>
  </si>
  <si>
    <t>GDON-88</t>
  </si>
  <si>
    <t>Donor API - Common credit card model for both OnlineBidding and CreditCard APIs</t>
  </si>
  <si>
    <t>https://dev.azure.com/greatergiving/Greater%20Giving/_git/GGO/pullrequest/9353</t>
  </si>
  <si>
    <t>Testing activity in DEV env., completed on 10/03/2026 - 21:00PM
Testing activity in TST env.,Completed on 11/03/2026 - 20:00PM</t>
  </si>
  <si>
    <t>Dev Started on 06/03/2026
Dev Completed on 10/03/2026</t>
  </si>
  <si>
    <t>GDON-89</t>
  </si>
  <si>
    <t>Donor API - Add payment source "DonorEngage" to differentiate the payment from Donor App</t>
  </si>
  <si>
    <t>https://dev.azure.com/greatergiving/Greater%20Giving/_git/GGO/pullrequest/9370</t>
  </si>
  <si>
    <t>Testing activity in DEV env., completed on 13/03/2026 - 15:00PM
Testing activity in TST env.,Completed on 16/03/2026 - 16:00PM</t>
  </si>
  <si>
    <t>Dev started on 11/03/2026
Dev Completed on 12/03/2026</t>
  </si>
  <si>
    <t>GGO 8.3.0 Sprint 3  [Stretch]</t>
  </si>
  <si>
    <t xml:space="preserve">Dev started on 17/03/2026
Dev Completed on </t>
  </si>
  <si>
    <t>Collection of APIs - Scenarios based - TST env.,</t>
  </si>
  <si>
    <t>GDON-80</t>
  </si>
  <si>
    <t>Donor Checkout - Generate Receipt</t>
  </si>
  <si>
    <t>https://dev.azure.com/greatergiving/Greater%20Giving/_git/GGO/pullrequest/9304</t>
  </si>
  <si>
    <r>
      <rPr>
        <b/>
        <sz val="10"/>
        <color rgb="FF000000"/>
        <rFont val="Arial"/>
        <scheme val="minor"/>
      </rPr>
      <t>Question</t>
    </r>
    <r>
      <rPr>
        <sz val="10"/>
        <color rgb="FF000000"/>
        <rFont val="Arial"/>
        <scheme val="minor"/>
      </rPr>
      <t>: Is this file needed? It looks like config values come from the appsettings.json file.</t>
    </r>
  </si>
  <si>
    <t>Testing activity completed in DEV env., 
on 19/02/2026 / 12:30PM
Testing activity completed in TST env., 
on 20/02/2026 / 15:00PM</t>
  </si>
  <si>
    <t>Dev completed on 19/02/2026</t>
  </si>
  <si>
    <t>Verify</t>
  </si>
  <si>
    <t>Testing activity completed in DEV env., 
on 27/02/2026 / 18:30PM
Testing activity in TST env., completed on
06/03/2026 - 15:00PM</t>
  </si>
  <si>
    <t>GDON-86</t>
  </si>
  <si>
    <t>Display self checkout badge in GGO Manage Sales &amp; Payments</t>
  </si>
  <si>
    <t>https://dev.azure.com/greatergiving/Greater%20Giving/_git/GGO/pullrequest/9324</t>
  </si>
  <si>
    <t>Testing activity completed in DEV env., 
on 27/02/2026 / 18:30PM
Testing activity completed in TST env.,
on 03/03/2026 / 14:30PM</t>
  </si>
  <si>
    <t>Dev completed on 02/03/2026</t>
  </si>
  <si>
    <t>GDON-87</t>
  </si>
  <si>
    <t>Donor API - Update Charge Card using selected card in Donor App</t>
  </si>
  <si>
    <t>https://dev.azure.com/greatergiving/Greater%20Giving/_git/GGO/pullrequest/9316</t>
  </si>
  <si>
    <t xml:space="preserve">
Mccarty, Joseph
</t>
  </si>
  <si>
    <t xml:space="preserve">Testing activity in TST env.,
completed on 25/02/2026 / 14:30 PM </t>
  </si>
  <si>
    <t>Dev completed on 24/02/2026</t>
  </si>
  <si>
    <t>Found one issue while CreateCardPayment API - (Payment is not getting paid - Error type-1 - (Not found))</t>
  </si>
  <si>
    <t>GGO 8.3.0 Sprint 2  [Stretch]</t>
  </si>
  <si>
    <t>Donor API - Common credit card model for both OnlineBidding and CreditCard APIs*</t>
  </si>
  <si>
    <t>GDON-72</t>
  </si>
  <si>
    <t>Create GGO Donor Project Settings</t>
  </si>
  <si>
    <t>x</t>
  </si>
  <si>
    <t>View Donor Project Settings is enabled for all the Projects</t>
  </si>
  <si>
    <t>https://dev.azure.com/greatergiving/Greater%20Giving/_git/GGO/pullrequest/9273</t>
  </si>
  <si>
    <t>Testing activity in TST env., 
Completed on 16/02/2026 / 17:00</t>
  </si>
  <si>
    <t>Dev completed on 12-Feb-2026</t>
  </si>
  <si>
    <t>Issue found is fixed and verified again in TST env., - (View Donor Project Settings is enabled for all the Projects)</t>
  </si>
  <si>
    <t>Peer Review</t>
  </si>
  <si>
    <t>Testing activity in DEV env., 
Completed on 19/02/2026 / 12:30</t>
  </si>
  <si>
    <t>Dev completed on 18-Feb-2026</t>
  </si>
  <si>
    <t>GDON-83</t>
  </si>
  <si>
    <t>Donor API - Update GetCheckout API to include Convenience Fee and Sale Payment Association flag</t>
  </si>
  <si>
    <t>https://dev.azure.com/greatergiving/Greater%20Giving/_git/GGO/pullrequest/9296</t>
  </si>
  <si>
    <t>Testing activity in TST env., 
Completed on 18/02/2026 / 15:00</t>
  </si>
  <si>
    <t>Dev completed on 17-Feb-2026</t>
  </si>
  <si>
    <t>GDON-85</t>
  </si>
  <si>
    <t>https://dev.azure.com/greatergiving/Greater%20Giving/_git/GGO/pullrequest/9285</t>
  </si>
  <si>
    <t>Dev completed on 13-Feb-2026</t>
  </si>
  <si>
    <t>No Defects</t>
  </si>
  <si>
    <t>GDON-71</t>
  </si>
  <si>
    <t>Create GGO Org Settings</t>
  </si>
  <si>
    <t>https://dev.azure.com/greatergiving/Greater%20Giving/_git/GGO/pullrequest/9227</t>
  </si>
  <si>
    <t>Testing activity has been completed in the DEV env., 
Done on 01/30/2026 - 17:30PM
Testing activity has been completed in the TST env., 
Done on 02/02/2026 - 16:00PM</t>
  </si>
  <si>
    <t>Dev completed on 29-Jan-2026</t>
  </si>
  <si>
    <t>Found few existing issues - when we go back from organization level</t>
  </si>
  <si>
    <t>GDON-82</t>
  </si>
  <si>
    <t>Donor Checkout - Charge CC, create Payment record/association</t>
  </si>
  <si>
    <t>https://dev.azure.com/greatergiving/Greater%20Giving/_git/GGO/pullrequest/9253</t>
  </si>
  <si>
    <t>Testing activity has been completed in the TST env., 
Done on 02/05/2026 - 17:00PM</t>
  </si>
  <si>
    <t>Dev completed on 03-Feb-2026</t>
  </si>
  <si>
    <t>GGO 8.2.0 Sprint 4 [Stretch]</t>
  </si>
  <si>
    <t>GDON-68</t>
  </si>
  <si>
    <t>Donor API - Include AddressTypeId and CompanyName in the GetProfileCreditCards API *</t>
  </si>
  <si>
    <t>https://dev.azure.com/greatergiving/Greater%20Giving/_git/GGO/pullrequest/9155</t>
  </si>
  <si>
    <t>Testing activity has been completed in the TST env., 
Done on 01/09/2026 - 19:00PM</t>
  </si>
  <si>
    <t>GDON-73</t>
  </si>
  <si>
    <t>Create GG API to send Checkout information to Donor Platform</t>
  </si>
  <si>
    <t>https://dev.azure.com/greatergiving/Greater%20Giving/_git/GGO/pullrequest/9178</t>
  </si>
  <si>
    <t>Testing activity has been completed in the TST env., 
Done on 01/19/2026 - 21:00PM</t>
  </si>
  <si>
    <t>GDON-75</t>
  </si>
  <si>
    <t>Donor API - Add Donation Sale for Donor</t>
  </si>
  <si>
    <t>https://dev.azure.com/greatergiving/Greater%20Giving/_git/GGO/pullrequest/9188</t>
  </si>
  <si>
    <t>Testing activity has been completed in the DEV env., 
Done on 01/20/2026 - 19:20PM
Testing activity has been completed in the TST env., 
Done on 01/21/2026 - 15:00PM</t>
  </si>
  <si>
    <t>GDON-79</t>
  </si>
  <si>
    <t>GetOrCreateAccount API throws error when sending resettokenutc as null*</t>
  </si>
  <si>
    <t>https://dev.azure.com/greatergiving/Greater%20Giving/_git/GGO/pullrequest/9200</t>
  </si>
  <si>
    <t>Testing activity has been completed in the TST env., 
Done on 01/22/2026 - 18:00PM</t>
  </si>
  <si>
    <t>GDON-66</t>
  </si>
  <si>
    <t>Donor API - Create Online Bidding Activity without Credit Card Info*</t>
  </si>
  <si>
    <t>https://dev.azure.com/greatergiving/Greater%20Giving/_git/GGO/pullrequest/9104</t>
  </si>
  <si>
    <t>Testing activity has been completed in the DEV env., 
Done on 12/18/2025 - 17:00PM
Testing activity has been completed in the TST env., 
Done on 12/24/2025 - 16:00PM</t>
  </si>
  <si>
    <t xml:space="preserve">Coordinated with UI team and verified the following scenarios
oba
add profile
update profile
create account
organization mapping process
save credit card
get credit card
</t>
  </si>
  <si>
    <t>GDON-67</t>
  </si>
  <si>
    <t>Disabled the Online Bidding activity creation process and hide the display of OB activities in GGAM based on flag</t>
  </si>
  <si>
    <t>https://dev.azure.com/greatergiving/Greater%20Giving/_git/GGO/pullrequest/9133</t>
  </si>
  <si>
    <t>Testing activity has been completed in the DEV env., 
Done on 01/05/2026 - 18:00PM
Testing activity has been completed in the TST env., 
Done on 01/07/2026 - 20:00PM</t>
  </si>
  <si>
    <t>Internal PO -POV Comments</t>
  </si>
  <si>
    <t>Client PO -POV Comments</t>
  </si>
  <si>
    <t>GDON-63</t>
  </si>
  <si>
    <t>Create Donor Admin Page</t>
  </si>
  <si>
    <t>https://dev.azure.com/greatergiving/Greater%20Giving/_git/GGO/pullrequest/9066</t>
  </si>
  <si>
    <t>Testing activity has been completed in the TST env., 
Done on 12/04/2025 - 12:30PM</t>
  </si>
  <si>
    <t>GDON-65</t>
  </si>
  <si>
    <t xml:space="preserve">Donor API - Validate Online Bidding activity and Card address before creating OB activity </t>
  </si>
  <si>
    <t>https://dev.azure.com/greatergiving/Greater%20Giving/_git/GGO/pullrequest/9076</t>
  </si>
  <si>
    <t>Testing activity has been completed in the TST env., 
Done on 12/09/2025 - 13:00PM</t>
  </si>
  <si>
    <t>GDON-59</t>
  </si>
  <si>
    <t xml:space="preserve">Donor API - Update the Response code for all the donor API based </t>
  </si>
  <si>
    <t>https://dev.azure.com/greatergiving/Greater%20Giving/_git/GGO/pullrequest/9048</t>
  </si>
  <si>
    <t>Testing activity has been completed in the TST env., 
Done on 11/26/2025 - 17:30PM</t>
  </si>
  <si>
    <t>GDON-61</t>
  </si>
  <si>
    <t>Donor API - Delete Credit Card in donor app should also delete from GGO if no charge is made</t>
  </si>
  <si>
    <t>https://dev.azure.com/greatergiving/Greater%20Giving/_git/GGO/pullrequest/9018</t>
  </si>
  <si>
    <t>Testing activity has been completed in the TST env., 
Done on 11/18/2025 - 14:00PM</t>
  </si>
  <si>
    <t>GDON-62</t>
  </si>
  <si>
    <t>Donor API - Validate Card data when creating Online Bidding Activity (either card data or CardXid's)</t>
  </si>
  <si>
    <t>https://dev.azure.com/greatergiving/Greater%20Giving/_git/GGO/pullrequest/9037</t>
  </si>
  <si>
    <t>Testing activity has been completed in the TST env., 
Done on 11/25/2025 - 13:30PM</t>
  </si>
  <si>
    <t>Code Review Comments, if any2</t>
  </si>
  <si>
    <t>GGO 8.1.0 Sprint 2 [Strech]</t>
  </si>
  <si>
    <t>GDON-56</t>
  </si>
  <si>
    <t>Update Account Creation to include Online Bidding Activity creation if user login via OB</t>
  </si>
  <si>
    <t>https://dev.azure.com/greatergiving/Greater%20Giving/_git/GGO/pullrequest/8976</t>
  </si>
  <si>
    <t>Testing activity done in the DEV env., 
Completed on 11/04/2025 - 20:00PM
Testing activity done in the TST env., 
Completed on 11/05/2025 - 13:00PM</t>
  </si>
  <si>
    <t>GDON-57</t>
  </si>
  <si>
    <t xml:space="preserve">Donor API - Update GGO Card reference in SaveCreditCard </t>
  </si>
  <si>
    <t>Ready for Testing</t>
  </si>
  <si>
    <t>Testing activity done in the DEV env., 
Completed on 11/12/2025 - 23:00PM
Testing activity done in the TST env., 
Completed on 11/13/2025 - 12:00PM</t>
  </si>
  <si>
    <t>GDON-58</t>
  </si>
  <si>
    <t>Donor API - Update ggo with multiple credit cards from Joinme card reference</t>
  </si>
  <si>
    <t>https://dev.azure.com/greatergiving/Greater%20Giving/_git/GGO/pullrequest/8993</t>
  </si>
  <si>
    <t>Testing activity done in the DEV env., 
Completed on 11/10/2025 - 19:00PM
Testing activity done in the TST env., 
Completed on 11/11/2025 - 14:00PM</t>
  </si>
  <si>
    <t>GDON-53</t>
  </si>
  <si>
    <t>Donor API - Add Company Name for the Business address type</t>
  </si>
  <si>
    <t>https://dev.azure.com/greatergiving/Greater%20Giving/_git/GGO/pullrequest/8936</t>
  </si>
  <si>
    <t>Testing activity done in the TST env., 
Completed on 10/22/2025 - 17:00PM</t>
  </si>
  <si>
    <t>GDON-54</t>
  </si>
  <si>
    <t>Validate User Profile - Check Bidder/Supporter has got GGAM User Profile or not using "BidderKey"</t>
  </si>
  <si>
    <t>https://dev.azure.com/greatergiving/Greater%20Giving/_git/GGO/pullrequest/8948</t>
  </si>
  <si>
    <t>Testing activity done in the DEV env., 
Completed on 10/24/2025 - 15:00PM
Testing activity done in the TST env., 
Completed on 10/27/2025 - 12:00PM</t>
  </si>
  <si>
    <t>GDON-55</t>
  </si>
  <si>
    <t>Create OnlineBiddingActivity to accept multiple Credit Card and transfer default ClientXid to respective Org clientxid</t>
  </si>
  <si>
    <t>https://dev.azure.com/greatergiving/Greater%20Giving/_git/GGO/pullrequest/8964</t>
  </si>
  <si>
    <t>Testing activity done in the DEV env., 
Completed on 10/29/2025 - 13:00PM
Testing activity done in the TST env., 
Completed on 10/29/2025 - 21:00PM</t>
  </si>
  <si>
    <r>
      <rPr>
        <b/>
        <sz val="9"/>
        <color rgb="FF000000"/>
        <rFont val="Arial"/>
        <scheme val="minor"/>
      </rPr>
      <t xml:space="preserve">Before CreateOnlineBiddingActivity
</t>
    </r>
    <r>
      <rPr>
        <sz val="9"/>
        <color rgb="FF000000"/>
        <rFont val="Arial"/>
        <scheme val="minor"/>
      </rPr>
      <t xml:space="preserve">&gt;&gt;&gt;UPDATE JOINME.CardReference SET ClientXid ='Z10022'
where CardXid ='PY179090'&lt;&lt;&lt;
“This is because, apart from the clientXId </t>
    </r>
    <r>
      <rPr>
        <b/>
        <sz val="9"/>
        <color rgb="FF000000"/>
        <rFont val="Arial"/>
        <scheme val="minor"/>
      </rPr>
      <t>"S99999"</t>
    </r>
    <r>
      <rPr>
        <sz val="9"/>
        <color rgb="FF000000"/>
        <rFont val="Arial"/>
        <scheme val="minor"/>
      </rPr>
      <t xml:space="preserve"> no id's are working for credit card verification, so we are going with this approach”</t>
    </r>
  </si>
  <si>
    <t>GGO 8.1.0 Sprint 1 [Strech]</t>
  </si>
  <si>
    <t>Story ID/Defect ID</t>
  </si>
  <si>
    <t>Estimated(sp)</t>
  </si>
  <si>
    <t>Actual(sp)</t>
  </si>
  <si>
    <t>GDON-50</t>
  </si>
  <si>
    <t>Donor API - Add Address Type for profile</t>
  </si>
  <si>
    <t>https://dev.azure.com/greatergiving/Greater%20Giving/_git/GGO/pullrequest/8901</t>
  </si>
  <si>
    <t>Testing activity done in the DEV. &amp; TST env., 
Completed on 10/07/2025 - 13:00PM</t>
  </si>
  <si>
    <t>GDON-51</t>
  </si>
  <si>
    <t xml:space="preserve">Donor API - Modify Create Account API to validate email and return profile Info </t>
  </si>
  <si>
    <t>https://dev.azure.com/greatergiving/Greater%20Giving/_git/GGO/pullrequest/8914</t>
  </si>
  <si>
    <t>Testing activity done on both DEV &amp; TST env.,
Completed on 10/13/2025 - 18:30pm - DEV env.,
Completed on 10/14/2025 - 12:30pm - TST env.,</t>
  </si>
  <si>
    <t>GGO 8.0.0 Sprint 4 [Strech]</t>
  </si>
  <si>
    <t>GDON-52</t>
  </si>
  <si>
    <t>Handle Image in Update Profile</t>
  </si>
  <si>
    <t>https://dev.azure.com/greatergiving/Greater%20Giving/_git/GGO/pullrequest/8921</t>
  </si>
  <si>
    <t>Testing activity done on both DEV &amp; TST env.,
Completed on 10/16/2025 - 11:30am - DEV env.,
Completed on 10/16/2025 - 14:30pm - TST env.,</t>
  </si>
  <si>
    <t>GDON-46</t>
  </si>
  <si>
    <t>Donor API - Update ApAdmin settings for Donor App</t>
  </si>
  <si>
    <t>https://dev.azure.com/greatergiving/Greater%20Giving/_git/GGO/pullrequest/8866</t>
  </si>
  <si>
    <t>Mccarty, Joseph </t>
  </si>
  <si>
    <t>Testing activity done in the DEV. env., 
Completed on 09/26/2025 - 14:00PM</t>
  </si>
  <si>
    <t>GDON-47</t>
  </si>
  <si>
    <t>Donor API - Get ApAdmin settings for Donor App</t>
  </si>
  <si>
    <t>Testing activity done in the DEV. env., 
Completed on 09/24/2025 - 17:30PM</t>
  </si>
  <si>
    <t>GGO 8.0.0 Sprint 3  [Strech]</t>
  </si>
  <si>
    <t>GDON-48</t>
  </si>
  <si>
    <t>Donor API - Update GetOrganizationEvents API</t>
  </si>
  <si>
    <t>https://dev.azure.com/greatergiving/Greater%20Giving/_git/GGO/pullrequest/8887</t>
  </si>
  <si>
    <t>Testing activity done in the DEV. env., 
Completed on 10/03/2025 - 10:30AM</t>
  </si>
  <si>
    <t>Kannan</t>
  </si>
  <si>
    <t>GDON-31</t>
  </si>
  <si>
    <t>Donor API - GetCreditCards for Account/Profile</t>
  </si>
  <si>
    <t>https://greatergiving.visualstudio.com/Greater%20Giving/_git/GGO/pullrequest/8840</t>
  </si>
  <si>
    <t xml:space="preserve">Wall-Iannarelli, Michael </t>
  </si>
  <si>
    <t>Testing activity done in the DEV. env., 
Completed on 09/16/2025 - 14:00PM</t>
  </si>
  <si>
    <t>GDON-43</t>
  </si>
  <si>
    <t>Donor API - Save Credit Card for Account/Profile</t>
  </si>
  <si>
    <t>Pull Request 8836: [GDON-43] Save Credit Card for Profile</t>
  </si>
  <si>
    <t>Testing activity done in the DEV &amp; TST env., 
Completed on 09/11/2025 - 15:00PM - DEV env.,
Completed on 09/15/2025 - 12:00PM - TST env.,</t>
  </si>
  <si>
    <t>GDON-44</t>
  </si>
  <si>
    <t>Donor API - UpdateCreditCard for Account/Profile (Update only Primary and Billing address)</t>
  </si>
  <si>
    <t>https://dev.azure.com/greatergiving/Greater%20Giving/_git/GGO/pullrequest/8842</t>
  </si>
  <si>
    <t>Testing activity done in the DEV &amp; TST env., 
Completed on 09/17/2025 - 17:00PM - DEV env.,
Completed on 09/18/2025 - 10:30PM - TST env.,</t>
  </si>
  <si>
    <t>Ubaithullah</t>
  </si>
  <si>
    <t>GDON-40</t>
  </si>
  <si>
    <t>Donor API - Exception Handling</t>
  </si>
  <si>
    <t>https://dev.azure.com/greatergiving/Greater%20Giving/_git/GGO/pullrequest/8819</t>
  </si>
  <si>
    <t>Testing activity done in the DEV. env., 
Completed on 09/13/2025 - 18:20PM</t>
  </si>
  <si>
    <t>GDON-41</t>
  </si>
  <si>
    <t>Donor API - Create Profile - Send Email to user after creating profile</t>
  </si>
  <si>
    <t>https://dev.azure.com/greatergiving/Greater%20Giving/_git/GGO/pullrequest/8824 (edited) </t>
  </si>
  <si>
    <t>Testing activity done on both DEV &amp; TST env.,
Completed on 09/17/2025 - 18:30pm - DEV env.,
Completed on 09/18/2025 - 11:30am - TST env.,</t>
  </si>
  <si>
    <t>Ubaithullah, Kannan</t>
  </si>
  <si>
    <t>GDON-36</t>
  </si>
  <si>
    <t>Donor API - Update Profile Image</t>
  </si>
  <si>
    <t>Prabhu</t>
  </si>
  <si>
    <t>Provided some internal comments, which has been fixed mentioned in previous Sprint GGO 7.25.0 Sprint 4</t>
  </si>
  <si>
    <t>https://greatergiving.visualstudio.com/Greater%20Giving/_git/GGO/pullrequest/8753</t>
  </si>
  <si>
    <t>Testing activity done in the TST. env., 
Completed on 012:00 PM 09/04/2025</t>
  </si>
  <si>
    <t>Found a defect and reported to the respective developer, also created a defect in JIRA - GDON-38.
Also verified the updated comments mentioned on this ticket. Ascending and Descending scenarios for uploading a image. Also verified the image upload before OnlineBiddingActivity is created</t>
  </si>
  <si>
    <t>GDON-37</t>
  </si>
  <si>
    <t>API Request - Pull Organization and Events at the same time</t>
  </si>
  <si>
    <t>https://dev.azure.com/greatergiving/Greater%20Giving/_git/GGO/pullrequest/8757</t>
  </si>
  <si>
    <t>Testing activity done in the Dev. env., 
Completed on 09:00 PM 08/28/2025</t>
  </si>
  <si>
    <t>Vishnu , Ubaithullah</t>
  </si>
  <si>
    <t>GDON-34</t>
  </si>
  <si>
    <t>Donor API - GetCoordinatorProgress</t>
  </si>
  <si>
    <t xml:space="preserve">I did analysis on the Team Coordinator display in GGAM and PROD data, noticed that functionality is disabled for all projects by default and also I verified the PROD data, that the last allowed Team Coordinator data is 2018. So I don’t want to spent much time on this Team Coordinator logic if it is not used in PROD.
We will work on implementing new API’s once Donor team decide to add a new UI for this Teams Coordinator functionality in future. I would suggest to reduce the points to 2 and close this ticket.  </t>
  </si>
  <si>
    <t>GDON-35</t>
  </si>
  <si>
    <t>Donor API - ContactsUpload</t>
  </si>
  <si>
    <t>Client Suggestion 1: 
Do we have this regEx in a common place so that we aren't duplicating code?</t>
  </si>
  <si>
    <t>https://greatergiving.visualstudio.com/Greater%20Giving/_git/GGO/pullrequest/8771</t>
  </si>
  <si>
    <t>Testing activity done in the Dev. env., 
Completed on 03:00 PM 08/28/2025</t>
  </si>
  <si>
    <t>GDON-18</t>
  </si>
  <si>
    <t>Donor API - Get/Create/Update/Delete FundraisingTeamCoordinator</t>
  </si>
  <si>
    <t>https://dev.azure.com/greatergiving/Greater%20Giving/_git/GGO/pullrequest/8754</t>
  </si>
  <si>
    <t>Tested in the Dev. env., Completed on 18:30 PM 08/20/2025. 
Onsite QA completed on 2:05AM 25/08/2025</t>
  </si>
  <si>
    <t>GGO 8.0.0 Sprint 1 [Strech]</t>
  </si>
  <si>
    <t>GDON-42</t>
  </si>
  <si>
    <t>Donor API - GetFundraisingInfo</t>
  </si>
  <si>
    <t>https://dev.azure.com/greatergiving/Greater%20Giving/_git/GGO/pullrequest/8801</t>
  </si>
  <si>
    <t>Testing activity done in the TST. env., 
Completed on 08:00 PM 09/04/2025</t>
  </si>
  <si>
    <t>GDON-39</t>
  </si>
  <si>
    <t>Donor API - Logging</t>
  </si>
  <si>
    <t>https://dev.azure.com/greatergiving/Greater%20Giving/_git/GGO/pullrequest/8793</t>
  </si>
  <si>
    <t>Testing activity done in the TST. env., 
Completed on 01:00 PM 09/04/2025</t>
  </si>
  <si>
    <t>Kannan,Ubaithullah</t>
  </si>
  <si>
    <t>GDON-17</t>
  </si>
  <si>
    <t>Donor API - Get/Create/Update/Delete FundraisingTeamMember</t>
  </si>
  <si>
    <t>https://dev.azure.com/greatergiving/Greater%20Giving/_git/GGO/pullrequest/8736</t>
  </si>
  <si>
    <t>Remove Semicolon</t>
  </si>
  <si>
    <t>Tested in the Dev. env., Completed on 12:30 PM 08/14/2025</t>
  </si>
  <si>
    <r>
      <rPr>
        <sz val="10"/>
        <color rgb="FF000000"/>
        <rFont val="Arial"/>
        <scheme val="minor"/>
      </rPr>
      <t xml:space="preserve">
1. Correct the params here
2. Correct the param here 
3. Don't we have to check teamCoordinator is not null here before accessing its property
4. correct the param name here 
5. Why are we keeping empty class here? remove it if not needed
</t>
    </r>
    <r>
      <rPr>
        <b/>
        <sz val="10"/>
        <color rgb="FF000000"/>
        <rFont val="Arial"/>
        <scheme val="minor"/>
      </rPr>
      <t xml:space="preserve">Suggestion 
</t>
    </r>
    <r>
      <rPr>
        <sz val="10"/>
        <color rgb="FF000000"/>
        <rFont val="Arial"/>
        <scheme val="minor"/>
      </rPr>
      <t>1. rather than generic description like 'response' , why don't we use actual description
2. rather than generic description like 'response' , why don't we use actual description (i.e FundraisingTeamCoordinator)
3. You could use else or else if here
Does there any edge case of equals 0 here
4. Consider renaming this variable here? to be more descriptive</t>
    </r>
  </si>
  <si>
    <t>Tested in the Dev. env., Completed on 18:30 PM 08/20/2025</t>
  </si>
  <si>
    <t>GDON-32</t>
  </si>
  <si>
    <t>Donor API - GetOfflineDonation</t>
  </si>
  <si>
    <t>https://greatergiving.visualstudio.com/Greater%20Giving/_git/GGO/pullrequest/8724</t>
  </si>
  <si>
    <t>Tested in the Dev. env., Completed on 12:30 PM 08/11/2025</t>
  </si>
  <si>
    <t>GDON-33</t>
  </si>
  <si>
    <t>Donor API - EditOfflineDonation</t>
  </si>
  <si>
    <t>Tested in the Dev. env., Completed on 1:30 PM 08/11/2025</t>
  </si>
  <si>
    <t>GGO 7.25.0 Sprint 4 [Strech]</t>
  </si>
  <si>
    <t>Comment/ Suggestions: 
1. does the method name is descriptive enough to explain the functionality?
2. Why are we duplicating the if check here?
3. Avoid the Naming rule violation here by start with uppercase</t>
  </si>
  <si>
    <t xml:space="preserve">1. does the method name is descriptive enough to explain the functionality?
2. Why are we duplicating the if check here?
3. Avoid the Naming rule violation here by start with uppercase
4. Does there any references also needs to be updated? </t>
  </si>
  <si>
    <t>Tested in the Dev. env., Completed on 9:30 PM 08/29/2025</t>
  </si>
  <si>
    <t>Found a defect and reported to the respective developer, also created a defect in JIRA - GDON-38.</t>
  </si>
  <si>
    <t>Comment</t>
  </si>
  <si>
    <t>GDON-38</t>
  </si>
  <si>
    <t>Defect</t>
  </si>
  <si>
    <t>Supporter image Id not updated while updating the profile image</t>
  </si>
  <si>
    <t>Major</t>
  </si>
  <si>
    <t>Manual</t>
  </si>
  <si>
    <t>External</t>
  </si>
  <si>
    <t>Inprogress</t>
  </si>
  <si>
    <t>Enhancements</t>
  </si>
  <si>
    <t>End User</t>
  </si>
  <si>
    <t>Image URL is showing as null and not getting updated</t>
  </si>
  <si>
    <t>Incorrect parameter passed during the internal test and also logic has changed</t>
  </si>
  <si>
    <t>GDON-29</t>
  </si>
  <si>
    <t>Create API to send info from GGO to Donor Platform - Organizations</t>
  </si>
  <si>
    <t>Pull Request 8692: GDON-29 Create API to send info from GGO to Donor Platform - Organizations</t>
  </si>
  <si>
    <t>Tested in the Dev. env., Completed on 6:00 PM 07/31/2025</t>
  </si>
  <si>
    <t>GDON-28</t>
  </si>
  <si>
    <t>Upload Image for Fundraising pages *</t>
  </si>
  <si>
    <t>https://greatergiving.visualstudio.com/Greater%20Giving/_git/GGO/pullrequest/8696</t>
  </si>
  <si>
    <t>Tested in the Dev. env., Completed on 2:00 PM 07/29/2025</t>
  </si>
  <si>
    <t>GDON-19</t>
  </si>
  <si>
    <t>Donor API - Get/Send Email</t>
  </si>
  <si>
    <t>https://greatergiving.visualstudio.com/Greater%20Giving/_git/GGO/pullrequest/8713</t>
  </si>
  <si>
    <t>Tested in the Dev. env., Completed on 3:00 PM 08/06/2025</t>
  </si>
  <si>
    <t>GDON-30</t>
  </si>
  <si>
    <t>Create GGO API for Donor Platform - Events</t>
  </si>
  <si>
    <t>https://dev.azure.com/greatergiving/Greater%20Giving/_git/GGO/pullrequest/8704</t>
  </si>
  <si>
    <t>Tested in the Dev. env., Completed on 8:40 PM 08/05/2025</t>
  </si>
  <si>
    <t>GGO 7.25.0 Sprint 3[Strech]</t>
  </si>
  <si>
    <t>GDON-21</t>
  </si>
  <si>
    <t>Donor API - Delete FundraisingActivity</t>
  </si>
  <si>
    <t xml:space="preserve">Pull Request 8708: [GDON-21] Donor API - Delete Fundraising Activity </t>
  </si>
  <si>
    <t>Tested in the Dev. env., Completed on 4:30 PM 08/06/2025</t>
  </si>
  <si>
    <t>Kannan, Ubaithullah</t>
  </si>
  <si>
    <t>GDON-25</t>
  </si>
  <si>
    <t>Donor APi - Create/Update Fundraising Page</t>
  </si>
  <si>
    <t>Rajesh, Vishnu</t>
  </si>
  <si>
    <t>Pull Request 8665: [GDON-25] Donor API - Create/Update Fundraising_Page</t>
  </si>
  <si>
    <t>Tested in the Dev. Completed 6:30 PM 07/22/2025</t>
  </si>
  <si>
    <t>GDON-26</t>
  </si>
  <si>
    <t>Donor API - Delete Fundraising Page</t>
  </si>
  <si>
    <t xml:space="preserve">Rejected </t>
  </si>
  <si>
    <t>This stoy has been rejected due to fund raising details will be deleted while delete the fund raising activity. So Rajesh provided the justification to reject this story</t>
  </si>
  <si>
    <t>GDON-16</t>
  </si>
  <si>
    <t>Donor API - Get FundraisingPage</t>
  </si>
  <si>
    <t>https://greatergiving.visualstudio.com/Greater%20Giving/_git/GGO/pullrequest/8673</t>
  </si>
  <si>
    <t>Tested in the Dev. Completed 11:30 PM 07/23/2025</t>
  </si>
  <si>
    <t>GDON-12</t>
  </si>
  <si>
    <t>Donor API - Get/Create/Update/Delete ElectronicContactInfo</t>
  </si>
  <si>
    <t>https://greatergiving.visualstudio.com/Greater%20Giving/_git/GGO/pullrequest/8632</t>
  </si>
  <si>
    <t>Tested in the Dev. Completed 12:30 PM 07/15/2025</t>
  </si>
  <si>
    <t>GDON-13</t>
  </si>
  <si>
    <t>Donor API - Get/Create/Update/Delete AddressInfo</t>
  </si>
  <si>
    <t>https://dev.azure.com/greatergiving/Greater%20Giving/_git/GGO/pullrequest/8645</t>
  </si>
  <si>
    <t>Tested in the Dev. Completed 2:00 PM 07/15/2025</t>
  </si>
  <si>
    <t>GDON-20</t>
  </si>
  <si>
    <t>Donor API - GetImage for Fundraising Page</t>
  </si>
  <si>
    <t>https://dev.azure.com/greatergiving/Greater%20Giving/_git/GGO/pullrequest/8666</t>
  </si>
  <si>
    <t>Tested in the Dev. Completed 8:30 PM 07/22/2025</t>
  </si>
  <si>
    <t>GGO 7.25.0 Sprint 2 [Strech]</t>
  </si>
  <si>
    <t>Upload image for Fundraising Page</t>
  </si>
  <si>
    <t>GDON-23</t>
  </si>
  <si>
    <t>Donor API - Get Promote*</t>
  </si>
  <si>
    <t>https://dev.azure.com/greatergiving/Greater%20Giving/_git/GGO/pullrequest/8679</t>
  </si>
  <si>
    <t>Tested in the Dev. Completed 6:30 PM 07/24/2025</t>
  </si>
  <si>
    <t>GDON-11</t>
  </si>
  <si>
    <t>Donor API - Get/Create/Update/Delete OnlineBiddingActivity</t>
  </si>
  <si>
    <t>https://greatergiving.visualstudio.com/Greater%20Giving/_git/GGO/pullrequest/8621</t>
  </si>
  <si>
    <t>Wall-Iannarelli, Michael </t>
  </si>
  <si>
    <t>Tested in the Dev. Completed 5:30 PM 07/08/2025</t>
  </si>
  <si>
    <t>GDON-15</t>
  </si>
  <si>
    <t>Donor API - Get/Create/Update/Delete AddressBookEntry</t>
  </si>
  <si>
    <t>https://dev.azure.com/greatergiving/Greater%20Giving/_git/GGO/pullrequest/8615</t>
  </si>
  <si>
    <t>do we need to make sure error type matches operation type for all these methods ?</t>
  </si>
  <si>
    <t>Tested in the Dev. Completed 12:30 PM 07/10/2025</t>
  </si>
  <si>
    <t>GGO 7.25.0 Sprint 1 [Stretch]</t>
  </si>
  <si>
    <t>GDON-14</t>
  </si>
  <si>
    <t>Donor API - Get/Create/Update/Delete CreditCardInfo</t>
  </si>
  <si>
    <t>https://greatergiving.visualstudio.com/Greater%20Giving/_git/GGO/pullrequest/8627</t>
  </si>
  <si>
    <t>Tested in the Dev. Completed 3:30 PM 07/09/2025</t>
  </si>
  <si>
    <t>GDON-9</t>
  </si>
  <si>
    <t>Donor API - Get/Create/Update/Delete Account Information</t>
  </si>
  <si>
    <t>Pull Request 8592: [GDON-9] Donor API - Get/Create/Update/Delete Account Information</t>
  </si>
  <si>
    <t>Tested in the Dev. Completed 4:45 PM 06/25/2025</t>
  </si>
  <si>
    <t>GGO 7.24.0 Sprint 3[Stretch]</t>
  </si>
  <si>
    <t>GDON-7</t>
  </si>
  <si>
    <t xml:space="preserve">GGO Donor Api Project Pipeline and Release setup </t>
  </si>
  <si>
    <t>https://dev.azure.com/greatergiving/Greater%20Giving/_git/GGO/pullrequest/8573</t>
  </si>
  <si>
    <t>GDON-10</t>
  </si>
  <si>
    <t>Donor API - Get/Create/Update/Delete Profile Information</t>
  </si>
  <si>
    <t>https://dev.azure.com/greatergiving/Greater%20Giving/_git/GGO/pullrequest/8593</t>
  </si>
  <si>
    <r>
      <rPr>
        <b/>
        <sz val="10"/>
        <color rgb="FF000000"/>
        <rFont val="Arial"/>
        <scheme val="minor"/>
      </rPr>
      <t xml:space="preserve">Suggestion
</t>
    </r>
    <r>
      <rPr>
        <sz val="10"/>
        <color rgb="FF000000"/>
        <rFont val="Arial"/>
        <scheme val="minor"/>
      </rPr>
      <t>can we rename Phones to PhoneNumbers ? "Phones" by itself implies the hardware</t>
    </r>
  </si>
  <si>
    <t>Tested in the Dev. Completed 5:30 PM 06/24/2025</t>
  </si>
  <si>
    <t>GGO 7.24.0 Sprint [Stretch]</t>
  </si>
  <si>
    <t>Analysis Completed</t>
  </si>
  <si>
    <t>GDON-4</t>
  </si>
  <si>
    <t>GGO Donor Api Project Setup (WebApi Project in GGO Repo)</t>
  </si>
  <si>
    <t>https://greatergiving.visualstudio.com/Greater%20Giving/_git/GGO/pullrequest/8547</t>
  </si>
  <si>
    <t>Mccarty, Mike</t>
  </si>
  <si>
    <t>GDON-5</t>
  </si>
  <si>
    <t>Create a Integration Test Project to unit test WebApi calls</t>
  </si>
  <si>
    <t>https://dev.azure.com/greatergiving/Greater%20Giving/_git/GGO/pullrequest/8553</t>
  </si>
  <si>
    <t>Mccarty,Mike Wall</t>
  </si>
  <si>
    <t>Ubaithullah </t>
  </si>
  <si>
    <t>GDON-6</t>
  </si>
  <si>
    <t>GGO Donor Api Authentication</t>
  </si>
  <si>
    <t>https://dev.azure.com/greatergiving/Greater%20Giving/_git/GGO/pullrequest/8566</t>
  </si>
  <si>
    <t>Mccarty</t>
  </si>
  <si>
    <t>If we hardcode password, even temporarily as a placeholder, macroscope will flag it as a critical issue</t>
  </si>
  <si>
    <t>https://greatergiving.visualstudio.com/Greater%20Giving/_git/GGO/pullrequest/8573</t>
  </si>
  <si>
    <t>GGO Web</t>
  </si>
  <si>
    <t>GGO-14628</t>
  </si>
  <si>
    <t>Print Invoice/Receipts page - Timeout when Omit Sales and payment option selected with both Before and After date options</t>
  </si>
  <si>
    <t>Issue not reproduceable in Dev and TST.Need to check query execution CRT 
The work around has been provided and ticket has been put on hold for now as it only impacts only one client/org and is of low priority</t>
  </si>
  <si>
    <t>Rajesh/ Sathiya</t>
  </si>
  <si>
    <t>GGO-14656</t>
  </si>
  <si>
    <t>Nav Bar Update</t>
  </si>
  <si>
    <t>Sathiya</t>
  </si>
  <si>
    <t>Priya</t>
  </si>
  <si>
    <t>https://greatergiving.visualstudio.com/Greater%20Giving/_git/GGO/pullrequest/8525</t>
  </si>
  <si>
    <t>Michael Wall</t>
  </si>
  <si>
    <t xml:space="preserve">Testing this in the Dev. In Progress 4:32 PM 5/27/2025  </t>
  </si>
  <si>
    <t>Saranya</t>
  </si>
  <si>
    <t>GGO-14679</t>
  </si>
  <si>
    <t>Sales Grid and Details Update for old Convenience Fee assets</t>
  </si>
  <si>
    <t>Sathya</t>
  </si>
  <si>
    <t>https://greatergiving.visualstudio.com/Greater%20Giving/_git/GGO/pullrequest/8496</t>
  </si>
  <si>
    <t xml:space="preserve">
Verified in the TST env successfully. 20 May 2025 at 05:52</t>
  </si>
  <si>
    <t>GGO-9991</t>
  </si>
  <si>
    <t xml:space="preserve">"Purchaser Company Name" column causes error when the "Export" link is selected </t>
  </si>
  <si>
    <t>https://greatergiving.visualstudio.com/Greater%20Giving/_git/GGO/pullrequest/8502</t>
  </si>
  <si>
    <t xml:space="preserve">
Verified this in the TST env. 21 May 2025 at 09:23</t>
  </si>
  <si>
    <t>GGO-14708</t>
  </si>
  <si>
    <t>Remove Pivotal WebApi Project from GGO Repo - Unused project and it is using .Net Core 6 (deprecated version)*</t>
  </si>
  <si>
    <t>https://greatergiving.visualstudio.com/Greater%20Giving/_git/GGO/pullrequest/8498</t>
  </si>
  <si>
    <t xml:space="preserve">
Offshore QA Verified this in the TST env. 21 May 2025 at 09:23</t>
  </si>
  <si>
    <t>Mike Wall/Rajesh/Saranya</t>
  </si>
  <si>
    <t>GGO-14701</t>
  </si>
  <si>
    <t>Update Implementation of Flag to Disable Card Types in select Organizations</t>
  </si>
  <si>
    <t>https://greatergiving.visualstudio.com/Greater%20Giving/_git/GGO/pullrequest/8508</t>
  </si>
  <si>
    <t xml:space="preserve">
Verified in the TST env. 22 May 2025 at 08:01</t>
  </si>
  <si>
    <t>PAPI-858</t>
  </si>
  <si>
    <t>Update Flag to Disable Amex in select Organizations With Pre-Token Check*</t>
  </si>
  <si>
    <t>https://greatergiving.visualstudio.com/Greater%20Giving/_git/PAPI/pullrequest/8518</t>
  </si>
  <si>
    <t>Mike H</t>
  </si>
  <si>
    <t>Rajesh/Saranya</t>
  </si>
  <si>
    <t>GGO-14684</t>
  </si>
  <si>
    <t>Implement Pendo for GGO</t>
  </si>
  <si>
    <t>Saranyas</t>
  </si>
  <si>
    <t>https://greatergiving.visualstudio.com/Greater%20Giving/_git/GGO/pullrequest/8523</t>
  </si>
  <si>
    <t xml:space="preserve">1. Let's add the following to the account metadata
Environment: pendoEnvironment,
2. PendoUserID should be prefixed with PendoEnvironment so that UserID is unique across all environments
3. Dev and local should not fall under the same environment label
</t>
  </si>
  <si>
    <t>Testing this in the Dev. In Progress 4:32 PM 5/27/2025</t>
  </si>
  <si>
    <t>GGO-14313</t>
  </si>
  <si>
    <t xml:space="preserve">HIGH- Usage of Manual HTML Sanitization (XSS) </t>
  </si>
  <si>
    <t>https://greatergiving.visualstudio.com/Greater%20Giving/_git/GGO/pullrequest/8524</t>
  </si>
  <si>
    <t>GGO-13722</t>
  </si>
  <si>
    <t>High - Weak Encryption: Insecure Mode of Operation - Cryptography.cs: 56</t>
  </si>
  <si>
    <t>https://greatergiving.visualstudio.com/Greater%20Giving/_git/GGO/pullrequest/8458</t>
  </si>
  <si>
    <t>Verified in the TST env.5 May 2025 at 08:36</t>
  </si>
  <si>
    <t>GGO-13723</t>
  </si>
  <si>
    <t>High - Weak Encryption: Insecure Mode of Operation - SymmetricAlgorithmProvider.cs: 35</t>
  </si>
  <si>
    <t>https://greatergiving.visualstudio.com/Greater%20Giving/_git/GGO/pullrequest/8457</t>
  </si>
  <si>
    <t>Michael Wall, Loan Troung</t>
  </si>
  <si>
    <t>Tested in the TST env 7 May 2025 at 09:20</t>
  </si>
  <si>
    <t>GGO-14618</t>
  </si>
  <si>
    <t>MEDIUM - BDSA-2024-4605 - System.IdentityModel.Tokens.Jwt/5.5.0</t>
  </si>
  <si>
    <t>https://dev.azure.com/greatergiving/Greater%20Giving/_git/GGO/pullrequest/8474</t>
  </si>
  <si>
    <t>Tested in the Dev env 8:09 PM 5/7/2025</t>
  </si>
  <si>
    <t>PAPI-841</t>
  </si>
  <si>
    <t>Fix ValidateAndGetPorticoToken calls to handle when Token or CardBrandTransactionId exists</t>
  </si>
  <si>
    <t>https://greatergiving.visualstudio.com/Greater%20Giving/_git/PAPI/pullrequest/8477</t>
  </si>
  <si>
    <t>Did one round of Payment Regression Testing for this story in the TST env.9 May 2025 at 09:19</t>
  </si>
  <si>
    <t>GGO-14601</t>
  </si>
  <si>
    <t>Project UI accepting Invalid Email address results in error on GGO to SF sync</t>
  </si>
  <si>
    <t>https://greatergiving.visualstudio.com/Greater%20Giving/_git/GGO/pullrequest/8463</t>
  </si>
  <si>
    <t>Test Cycle executed Successfully in the TST env.7 May 2025 at 07:30</t>
  </si>
  <si>
    <t>GGO-14652</t>
  </si>
  <si>
    <t xml:space="preserve">Enable Online Bidding - Blocked when users mistakenly generate Display Board </t>
  </si>
  <si>
    <t>https://greatergiving.visualstudio.com/Greater%20Giving/_git/GGO/pullrequest/8476</t>
  </si>
  <si>
    <t>Tested in the TST env 13 May 2025 at 09:16</t>
  </si>
  <si>
    <t>GGO 7.24.0 Sprint 1[Stretch]</t>
  </si>
  <si>
    <t>GGO-14678</t>
  </si>
  <si>
    <t>Unable to Export Sales*</t>
  </si>
  <si>
    <t>Sathiya,Priya</t>
  </si>
  <si>
    <t xml:space="preserve">Issue not reproduceable in Dev and TST.Need to check query execution CRT </t>
  </si>
  <si>
    <t>Reskin-V2 is a complete overhaul of the existing Master Page, focusing on delivering a fully responsive design. The new layout seamlessly integrates Telerik controls, Bootstrap, and Kendo UI CSS, ensuring an optimized, modern, and adaptive user experience across all devices. As part of this redesign, we need to explore which Telerik control is best suited for the requested layout to achieve the desired functionality and responsiveness.</t>
  </si>
  <si>
    <t>Priya-QA</t>
  </si>
  <si>
    <t>GGO-14619</t>
  </si>
  <si>
    <t>MEDIUM - CVE-2024-43485 - System.Text.Json/8.0.4</t>
  </si>
  <si>
    <t xml:space="preserve">Completed Testing in the TST env. </t>
  </si>
  <si>
    <t>GGO-13890</t>
  </si>
  <si>
    <t>Closed</t>
  </si>
  <si>
    <t>This is a production issue. The export sale grid functionality 
broke due to changes in the SLS report</t>
  </si>
  <si>
    <t>For every small change implemented, a complete regression testing cycle must be performed to ensure system stability. This includes updating both automation and manual test cases to reflect any new or impacted scenarios.
Additionally, thorough verification of all buttons across all application pages must be included, and corresponding scenarios should be documented and maintained in the manual test cases to ensure comprehensive coverage.</t>
  </si>
  <si>
    <t>PAPI-840</t>
  </si>
  <si>
    <t>Remove the use of StringHashTable</t>
  </si>
  <si>
    <t>Rajesh, Saranya</t>
  </si>
  <si>
    <t>GGO-14644</t>
  </si>
  <si>
    <t>Remove Hash table in PAPI - GGO need to pass Bluetooth Swipe data on StoreFront scenario*</t>
  </si>
  <si>
    <t>Completed One round of Payment Regression</t>
  </si>
  <si>
    <t>GGO-14614</t>
  </si>
  <si>
    <t>HIGH - Microsoft.AspNetCore.Http.Connections.Client:1.0.0</t>
  </si>
  <si>
    <t>Sathish,Priya</t>
  </si>
  <si>
    <t>https://greatergiving.visualstudio.com/Greater%20Giving/_git/GGO/pullrequest/8431</t>
  </si>
  <si>
    <t>Loan Troung</t>
  </si>
  <si>
    <t>Completed One round of Standard Regression</t>
  </si>
  <si>
    <t>GGO-14613</t>
  </si>
  <si>
    <t>HIGH - Cross-Site Scripting: DOM - MaintenanceNotification.js: 22 &amp; 25</t>
  </si>
  <si>
    <t>Rajesh,Priya</t>
  </si>
  <si>
    <t>https://greatergiving.visualstudio.com/Greater%20Giving/_git/GGO/pullrequest/8434</t>
  </si>
  <si>
    <t>GGO 7.23.0 Sprint 4[Stretch]</t>
  </si>
  <si>
    <t>GGO-14658</t>
  </si>
  <si>
    <t>CRITICAL - CVE-2021-43569 - starkbank-ecdsa/1.3.1*</t>
  </si>
  <si>
    <t>https://dev.azure.com/greatergiving/Greater%20Giving/_git/GGO/pullrequest/8436</t>
  </si>
  <si>
    <t>Development has been completed and tested in local and Dev enviroment[28-April-2025]                                                          Completed One round of Standard Regression</t>
  </si>
  <si>
    <t>Sathiya, Rajesh</t>
  </si>
  <si>
    <t>Peer review</t>
  </si>
  <si>
    <t>GGO-14615</t>
  </si>
  <si>
    <t>HIGH - Microsoft.Bcl.Async:1.0.168</t>
  </si>
  <si>
    <t>https://greatergiving.visualstudio.com/Greater%20Giving/_git/GGO/pullrequest/8427</t>
  </si>
  <si>
    <t>MikeW, Rajesh, Saranya</t>
  </si>
  <si>
    <t>GGO-14651</t>
  </si>
  <si>
    <t>Pass New IsFallback Swipe Flag from GoTime to PAPI</t>
  </si>
  <si>
    <t>https://greatergiving.visualstudio.com/Greater%20Giving/_git/GGO/pullrequest/8440</t>
  </si>
  <si>
    <t>MikeW, Rajesh, 
Saranya</t>
  </si>
  <si>
    <t>PAPI-846</t>
  </si>
  <si>
    <t>EMV Fallback Requires &lt;EMVChipCondition&gt; Tag along with Swipe Data*</t>
  </si>
  <si>
    <t>https://greatergiving.visualstudio.com/Greater%20Giving/_git/PAPI/pullrequest/8441</t>
  </si>
  <si>
    <t>GGO-14649</t>
  </si>
  <si>
    <t>22 APR GGO 7.23.0 CRT Release &amp; Regression Testing</t>
  </si>
  <si>
    <t>CRT Regression Testing in Progress</t>
  </si>
  <si>
    <t>PAPI-851</t>
  </si>
  <si>
    <t>22 APR PAPI 7.18.0 CRT Release &amp; Regression Testing</t>
  </si>
  <si>
    <t>GGO-14616</t>
  </si>
  <si>
    <t>HIGH &amp; MEDIUM - Microsoft.Owin.Security.OpenIdConnect:4.2.2</t>
  </si>
  <si>
    <t>N/A</t>
  </si>
  <si>
    <t>Since we can't move Reskin Project  from .net framework to .netcore update the comments in the story [04/30/2025]</t>
  </si>
  <si>
    <t>GGO-14662</t>
  </si>
  <si>
    <t>Section Times Page Fails to Load After Launch – 500 Internal Server Error in Console</t>
  </si>
  <si>
    <t>Significant</t>
  </si>
  <si>
    <t>Internal</t>
  </si>
  <si>
    <t>Development</t>
  </si>
  <si>
    <t>Priya/Rajesh</t>
  </si>
  <si>
    <t>As we updated Microsoft.AspNetCore.Http.Connections.Client:1.0.0  package to latest version 6.0.0.0 but it's dependent package Microsoft.Azure.SignalR.Asp.Net not updated by default Visual Studio and Pipeline doesn't show any exception</t>
  </si>
  <si>
    <t>GGO-14573</t>
  </si>
  <si>
    <t>OP to GGO import timeouts</t>
  </si>
  <si>
    <t>Nill</t>
  </si>
  <si>
    <t>https://dev.azure.com/greatergiving/Greater%20Giving/_git/GGO/pullrequest/8370</t>
  </si>
  <si>
    <t>Mike Wall and Loan</t>
  </si>
  <si>
    <t>GGO-14633</t>
  </si>
  <si>
    <t>Allow Household Share on RSVP Imported Cards</t>
  </si>
  <si>
    <t>GGO-14457</t>
  </si>
  <si>
    <t>Allow Multiple RSVP Import from OP</t>
  </si>
  <si>
    <t>sathiya</t>
  </si>
  <si>
    <t>https://dev.azure.com/greatergiving/Greater%20Giving/_git/GGO/pullrequest/8380</t>
  </si>
  <si>
    <t>GGO 7.23.0 Sprint 3-[Stretch]</t>
  </si>
  <si>
    <t>Saranya/Sathiya</t>
  </si>
  <si>
    <t>GGO-14620</t>
  </si>
  <si>
    <t>BID-19 Admissions Count issue*</t>
  </si>
  <si>
    <t>https://dev.azure.com/greatergiving/Greater%20Giving/_git/GGO/pullrequest/8407</t>
  </si>
  <si>
    <t xml:space="preserve">Mike Wall </t>
  </si>
  <si>
    <t>Priya-QA,Rajesh</t>
  </si>
  <si>
    <t>PAPI-839</t>
  </si>
  <si>
    <t>Ensure all Portico calls use the client's API Key*</t>
  </si>
  <si>
    <t>We dont have access to test EMV transactions. Offshore QA did payment Regression Testing only.</t>
  </si>
  <si>
    <t>GGO-14617</t>
  </si>
  <si>
    <t>HIGH &amp; MEDIUM-Serilog.Sinks.File:4.0.0</t>
  </si>
  <si>
    <t>Completed 'testing in the TST env. 11:19 PM 4/7/2025</t>
  </si>
  <si>
    <t>PAPI-842</t>
  </si>
  <si>
    <t>Fix issue where Payer Records CreditCardStatus are being set to Invalid</t>
  </si>
  <si>
    <t>Rajesh - Supported to analyze the root cause. 
Priya- Did Payment Regression Testing along with the void transaction from OP and Refund scenario</t>
  </si>
  <si>
    <t>Priya- Did Payment Regression Testing along with the void transaction from OP and Refund scenario.
The story was left in Peer Review upon completion, per the client's request to hold it and maintain this branch separately from the CERT branch.
 Dependency on Onsite QA now</t>
  </si>
  <si>
    <t>Saranya,Rajesh</t>
  </si>
  <si>
    <t>Priya- Did Payment Regression Testing along with the void transaction from OP and Refund scenario.
The story was left in Peer Review upon completion, per the client's request to hold it and maintain this branch separately from the CERT branch.
Dependency on Onsite QA now</t>
  </si>
  <si>
    <t>GGO-14646</t>
  </si>
  <si>
    <t>Code mistakenly overwritten for GGO-14457</t>
  </si>
  <si>
    <t>GGO-14633 Code mistakenly overwritten for GGO-14457. TThe team addressed the issue promptly, and the defect was resolved and closed on the same day.</t>
  </si>
  <si>
    <t>Going forward team will make sure these kinds of overwrites will not be repeated and will do the review process accordingly</t>
  </si>
  <si>
    <t>GGO-14594</t>
  </si>
  <si>
    <t>Invoice Payment Pages are calculating unapplied convenience fees</t>
  </si>
  <si>
    <t>Saranya/Priya</t>
  </si>
  <si>
    <t>https://greatergiving.visualstudio.com/Greater%20Giving/_git/GGO/pullrequest/8336</t>
  </si>
  <si>
    <t>Email Queues and Quartz job issue blocked us to test this.
Verified this story in the TST env. 3/28/2025. But still  Quartz job issue exists.</t>
  </si>
  <si>
    <t>GGO 7.23.0 Sprint 2-[Stretch]</t>
  </si>
  <si>
    <t>GGO-14621</t>
  </si>
  <si>
    <t>Email queues in TST repeatedly disabling*</t>
  </si>
  <si>
    <t>NIL</t>
  </si>
  <si>
    <t>Email Queues issue got fixed. But still Quartz job issue exists in the TST env.</t>
  </si>
  <si>
    <t>GGO-14626</t>
  </si>
  <si>
    <t>Quartz Job not sending email in TST environment*</t>
  </si>
  <si>
    <t>Quartz job issue exists in the TST env.</t>
  </si>
  <si>
    <t>GGO-14589</t>
  </si>
  <si>
    <t>New clients don't have Invoicing capabilities</t>
  </si>
  <si>
    <t>https://greatergiving.visualstudio.com/Greater%20Giving/_git/GGO/pullrequest/8330</t>
  </si>
  <si>
    <t>Mike Horihan</t>
  </si>
  <si>
    <t>Completed Testing in the TST env. 3/25/2025</t>
  </si>
  <si>
    <t>GGO-14606</t>
  </si>
  <si>
    <t>Duplicate EventXCode's are Being Created</t>
  </si>
  <si>
    <t>https://greatergiving.visualstudio.com/Greater%20Giving/_git/GGO/pullrequest/8355</t>
  </si>
  <si>
    <t>Loan Troung,Michael Wall</t>
  </si>
  <si>
    <t>Testing in progres 7:17 PM 3/28/2025</t>
  </si>
  <si>
    <t>GGO-14587</t>
  </si>
  <si>
    <t>Invoice is not importing or clearing from import area</t>
  </si>
  <si>
    <t>https://greatergiving.visualstudio.com/Greater%20Giving/_git/GGO/pullrequest/8338</t>
  </si>
  <si>
    <t>Completed Testing in the TST env. 3/28/2025</t>
  </si>
  <si>
    <t>We have reproduced this issue in DEV and TST environments but are still unable to reproduce it locally. Based on our analysis, GetClosedMatches method seems to be causing the issue. This method is used to find the closest matched names for the given input names and utilizes the Jaro-Winkler algorithm</t>
  </si>
  <si>
    <t>GGO-14161</t>
  </si>
  <si>
    <t>Rewrite AGG-13 to a new report toolset</t>
  </si>
  <si>
    <t>GGO-14597</t>
  </si>
  <si>
    <t>Deprecated "DOMNodeInserted" &amp; "DOMSubtreeModified" event throwing error in multiple places *</t>
  </si>
  <si>
    <t>PAPI-807</t>
  </si>
  <si>
    <t>Not all Credit Card Last 4 being added to payments table after hotfix PAPI-795*</t>
  </si>
  <si>
    <t>GGO-14592</t>
  </si>
  <si>
    <t>GGO-14473</t>
  </si>
  <si>
    <t>Remove equipment banner*</t>
  </si>
  <si>
    <t>Being Tested</t>
  </si>
  <si>
    <t>We dont have access to test Client API Key's. Offshore QA did payment Regression Testing only.</t>
  </si>
  <si>
    <t>Rajesh,Sathiya</t>
  </si>
  <si>
    <t>GGO-14602</t>
  </si>
  <si>
    <t>Handle message for  3X Reader Wi-Fi connection failed - StoreFront*</t>
  </si>
  <si>
    <t>https://greatergiving.visualstudio.com/Greater%20Giving/_git/GGO/pullrequest/8362</t>
  </si>
  <si>
    <t>Loan</t>
  </si>
  <si>
    <t xml:space="preserve">Rajesh </t>
  </si>
  <si>
    <t>GGO-14624</t>
  </si>
  <si>
    <t>Previous/Next Month buttons not displaying in apAdmin*</t>
  </si>
  <si>
    <t>https://greatergiving.visualstudio.com/Greater%20Giving/_git/GGO/pullrequest/8363</t>
  </si>
  <si>
    <t>MikeWall</t>
  </si>
  <si>
    <t xml:space="preserve">Supported Loan for this story </t>
  </si>
  <si>
    <t>Environment_Related</t>
  </si>
  <si>
    <t>Deops team did setup new access rule for  Azure Image Storage, missed to include Quartz Job server that  results in failure of Quartz Job, finally fixed it by giving access for Quartz job server.</t>
  </si>
  <si>
    <t>Priya,Nathan</t>
  </si>
  <si>
    <t>This was issue related to Aesop Service bounce email not validated in Send Grid, removing the bounce email from Queue fixed this issue.</t>
  </si>
  <si>
    <t>GGO-14535</t>
  </si>
  <si>
    <t>OPStats.GetRsvpCount not being cached correctly</t>
  </si>
  <si>
    <t>https://greatergiving.visualstudio.com/Greater%20Giving/_git/GGO/pullrequest/8288</t>
  </si>
  <si>
    <t>Completed Testing 3/11/2025 7:40 PM</t>
  </si>
  <si>
    <t>PAPI-822</t>
  </si>
  <si>
    <t xml:space="preserve">Handle SystemError Response From Portico SOAP Call </t>
  </si>
  <si>
    <t>https://dev.azure.com/greatergiving/Greater%20Giving/_git/PAPI/pullrequest/8291</t>
  </si>
  <si>
    <t>Michael Wall,
Loan Troung</t>
  </si>
  <si>
    <t>SathiyaBharathi</t>
  </si>
  <si>
    <t>Rewrite and Update SLS-10</t>
  </si>
  <si>
    <t>Sathiya/Rajesh</t>
  </si>
  <si>
    <t>https://dev.azure.com/greatergiving/Greater%20Giving/_git/GGO/pullrequest/8300</t>
  </si>
  <si>
    <t>Completed Testing in the TST env 8:00 PM 3/12/2025</t>
  </si>
  <si>
    <t>PAPI-816</t>
  </si>
  <si>
    <t>Investigate Check-In not storing Card or Payer record for Go-Time Enter Card on EMV TAP when flag Portico_TestingNeverSendToProcessor=true</t>
  </si>
  <si>
    <t>https://dev.azure.com/greatergiving/Greater%20Giving/_git/PAPI/pullrequest/8293</t>
  </si>
  <si>
    <t>Completed Testing in the TST env. 3/11/2025 7:40 PM</t>
  </si>
  <si>
    <t>GGO-14576</t>
  </si>
  <si>
    <t>Investigate Card Verify Failure Message</t>
  </si>
  <si>
    <t>https://greatergiving.visualstudio.com/Greater%20Giving/_git/GGO/pullrequest/8292</t>
  </si>
  <si>
    <t>PAPI-809</t>
  </si>
  <si>
    <t>HIGH - jQuery/2.0.0 in PapiAdmin</t>
  </si>
  <si>
    <t>https://greatergiving.visualstudio.com/Greater%20Giving/_git/PAPI/pullrequest/8314</t>
  </si>
  <si>
    <t>Did one round of Payment Regression Testing in the TST env</t>
  </si>
  <si>
    <t>PAPI-808</t>
  </si>
  <si>
    <t>HIGH - CVE-2024-43485 System.Text.Json 8.0.4</t>
  </si>
  <si>
    <t>https://greatergiving.visualstudio.com/Greater%20Giving/_git/PAPI/pullrequest/8312</t>
  </si>
  <si>
    <t>GGO 7.23.0 Sprint 1-[Stretch]</t>
  </si>
  <si>
    <t>SathiyaBharathi/ Saranya/Rajesh</t>
  </si>
  <si>
    <t>GGO-14586</t>
  </si>
  <si>
    <t>At Least 3 Card Brands Can Have Up to 19 Digit PAN*</t>
  </si>
  <si>
    <t>Ready For Testing</t>
  </si>
  <si>
    <t>Saranya/Rajesh</t>
  </si>
  <si>
    <t>https://dev.azure.com/greatergiving/Greater%20Giving/_git/GGO/pullrequest/8320</t>
  </si>
  <si>
    <t>Development has been completed and partially completed testing in dev environment[03/19/2025]. Did one round of payment Regression for this story in the TST env.</t>
  </si>
  <si>
    <t>SathiyaBharathi/Rajesh</t>
  </si>
  <si>
    <t>PAPI-829</t>
  </si>
  <si>
    <t>https://dev.azure.com/greatergiving/Greater%20Giving/_git/PAPI/pullrequest/8318</t>
  </si>
  <si>
    <t>Development has been completed and partially completed testing in dev environment. [03/19/2025]</t>
  </si>
  <si>
    <t>Invoice is not importing or clearing from import area*</t>
  </si>
  <si>
    <t>GGO-14584</t>
  </si>
  <si>
    <t>Resolve new issues introduced to automation</t>
  </si>
  <si>
    <t>Dev completed. Testing in Progress. Facing Mailinator Issues in the TST env. Completed Coding and Execution and Raised PR</t>
  </si>
  <si>
    <t>Priya-QA/ Sathiyabharathi/ Rajesh</t>
  </si>
  <si>
    <t>PAPI-820</t>
  </si>
  <si>
    <t>Update the Portico Batch delayed interval</t>
  </si>
  <si>
    <t>Priya-QA/ Rajesh</t>
  </si>
  <si>
    <t>GGO-14596</t>
  </si>
  <si>
    <t>Add 3X SWIPE card payment method type*</t>
  </si>
  <si>
    <t>PAPI-819</t>
  </si>
  <si>
    <t>Fix 3X Swipe not Storing CCN Last4 GoTime | Checkin | Enter Card, &amp; StoreFront</t>
  </si>
  <si>
    <t>GGO-14070</t>
  </si>
  <si>
    <t>Rewrite BID-15 to a new report toolset</t>
  </si>
  <si>
    <t>Alignment Issues/ Design Issues</t>
  </si>
  <si>
    <t>Test Case Prepartion is done 5:48 PM 2/7/2025. Tested in dev env. 7:30 PM 2/19/2025
Carry forwarded to next sprint :
Saranya worked on the RDLC report and own the full task took some time for her to learn and implement.
Bug GGO-14564 was created on 20/02/2025. Pull request created on 20/02/2025 and Closed on 21 February 2025 at 03:41</t>
  </si>
  <si>
    <t>Sathiyabharathi</t>
  </si>
  <si>
    <t>GGO-14547</t>
  </si>
  <si>
    <t>Edit Package Image Display Issue</t>
  </si>
  <si>
    <t>https://dev.azure.com/greatergiving/Greater%20Giving/_git/GGO/pullrequest/8265</t>
  </si>
  <si>
    <t>Peer testing N/A for this bug it's required DB update. Priya: Verified in TST env.8:56 PM 2/24/2025</t>
  </si>
  <si>
    <t>GGO-14545</t>
  </si>
  <si>
    <t>Move the Azure Storage Settings in to Redis/IIS cache to avoid multiple DB calls</t>
  </si>
  <si>
    <t>http://dev.azure.com/greatergiving/Greater%20Giving/_git/GGO/pullrequest/8272</t>
  </si>
  <si>
    <t>[02/25/2025]-Created draft PR. Dev Testing in Progress. Tested in the TST env. Working well 7:47 PM2/27/2025</t>
  </si>
  <si>
    <t>Loan/Sathiyabharathi</t>
  </si>
  <si>
    <t>GGO-14510</t>
  </si>
  <si>
    <t>High - BDSA-2024-4305 - bootstrap/4.6.2</t>
  </si>
  <si>
    <t>This story is developed by an onsite developer (Loan). After a Bootstrap version update, we’re facing some UI issues. Offshore developer (Sathiya) is assisting with that. Tested this in the TST env. Raised a bug under this. 5:51 PM 3/5/2025. Nathan Comments: Got some Errors in Automation. So It require automation code updates or app code fix.</t>
  </si>
  <si>
    <t>GGO-14567</t>
  </si>
  <si>
    <t>Bypass Verify on 3X Storefront swipe</t>
  </si>
  <si>
    <t>https://greatergiving.visualstudio.com/Greater%20Giving/_git/GGO/pullrequest/8281</t>
  </si>
  <si>
    <t>We dont have access to test EMV transactions.  Did Payment Regression Testing using manual cards. Since Portico is down, we were not able to verify swipe transactions.
Portico is UP on last day of sprint, Verified and Completed.</t>
  </si>
  <si>
    <t>PAPI-811</t>
  </si>
  <si>
    <t>https://greatergiving.visualstudio.com/Greater%20Giving/_git/PAPI/pullrequest/8282</t>
  </si>
  <si>
    <t>GGO 7.22.0 Sprint 4-[Stretch]</t>
  </si>
  <si>
    <t>Stretch story taken 1 day before sprint end, so got carry forwarded to next sprint.</t>
  </si>
  <si>
    <t>GGO-14546</t>
  </si>
  <si>
    <t>Automation Maintenance</t>
  </si>
  <si>
    <t>Coding is still in progress 8:55 PM 2/24/2025. Completed almost all the files. Execution is in Progress 8:33 PM 3/3/2025
Execution Completed on 3/5/2025.</t>
  </si>
  <si>
    <t>PAPI-797</t>
  </si>
  <si>
    <t>Ensure Credit Card Last 4 is stored in Payers and Payments tables for 3X tap/dip</t>
  </si>
  <si>
    <t>We dont have access to test EMV transactions. Offshore QA did payment Regression Testing only. Testing  blocked (since yesterday) by partial Portico outage – cannot generate successful EMV transactions.</t>
  </si>
  <si>
    <t>GGO-14566</t>
  </si>
  <si>
    <t>25 Feb GGO 7.22.0 CRT Release &amp; Regression Testing</t>
  </si>
  <si>
    <t>CRT Regression Testing is in Progress. 8:31 PM 3/3/2025.Partially blocked by Portico transaction failures in CRT.Completed Remaining scenario from our end</t>
  </si>
  <si>
    <t>GGO-14509</t>
  </si>
  <si>
    <t xml:space="preserve">Critical - Privacy Violation </t>
  </si>
  <si>
    <t>Testing completed in TST env. 8:31 PM 3/3/2025</t>
  </si>
  <si>
    <t>PAPI-812</t>
  </si>
  <si>
    <t>25 Feb PAPI 7.17.0 CRT Release &amp; Regression Testing</t>
  </si>
  <si>
    <t>CRT Regression Testing is in Progress. 8:31 PM 3/3/2025.Partially blocked by Portico transaction failures in CRT. Completed Remaining scenario from our end</t>
  </si>
  <si>
    <t>GGO-14563</t>
  </si>
  <si>
    <t>GGO-14504</t>
  </si>
  <si>
    <t>If Adjusted Admissions purchased by one supporter 'even out,' Supporter Form -&gt; Sales Summary does not show asterisk</t>
  </si>
  <si>
    <t>Nathan</t>
  </si>
  <si>
    <t>GGO-14564</t>
  </si>
  <si>
    <t xml:space="preserve"> Negative Price Amounts Not Displaying Correctly </t>
  </si>
  <si>
    <t>GGO-14571</t>
  </si>
  <si>
    <t>Extra line appears after the Package Name in few scenario's</t>
  </si>
  <si>
    <t>GGO-14579</t>
  </si>
  <si>
    <t>Alignment Issues in GGO-apAdmin Page</t>
  </si>
  <si>
    <t>GGO-14503</t>
  </si>
  <si>
    <t>Adjust Admission Functionality - add/remove</t>
  </si>
  <si>
    <t>https://dev.azure.com/greatergiving/Greater%20Giving/_git/GGO/pullrequest/8189</t>
  </si>
  <si>
    <t>Story Analysis and Test Case preparation is on progress 5:07 PM 1/24/2025                                                                                                                                                                                                                                                                                                                                                                                                                                                                                                                       Deletion of attendee row if supporter chosen showed the popup confirmation, working on Adjusted amount calculation [1/29/2025]                                                                                                                                                                                                                                                                             Did developer testing in dev environment no issues found [02/05/2025]                                                                                  Automation is pending[02/19/2025]. Nathan Closed the Automation Ticket</t>
  </si>
  <si>
    <t xml:space="preserve">RajeshKannan </t>
  </si>
  <si>
    <t>GGO-14450</t>
  </si>
  <si>
    <t>GGO Image Thumbnail Creation error</t>
  </si>
  <si>
    <t>https://dev.azure.com/greatergiving/Greater%20Giving/_git/GGO/pullrequest/8197</t>
  </si>
  <si>
    <t>GGO-14529</t>
  </si>
  <si>
    <t>Invoice Timeout Fix</t>
  </si>
  <si>
    <t>https://dev.azure.com/greatergiving/Greater%20Giving/_git/GGO/pullrequest/8204</t>
  </si>
  <si>
    <t>Test Case Prepartion is done 5:48 PM 2/7/2025. Tested in dev env. 7:30 PM 2/19/2025
Carry forwarded to next sprint :
Saranya worked on the RDLC report and own the full task took some time for her to learn and implement</t>
  </si>
  <si>
    <t>GGO-14530</t>
  </si>
  <si>
    <t>Image Manager Fix</t>
  </si>
  <si>
    <t>https://greatergiving.visualstudio.com/Greater%20Giving/_git/GGO/pullrequest/8218</t>
  </si>
  <si>
    <t xml:space="preserve">02/08/2025: This issue was Identitfied by CS and this is not a development or QA miss, this happens because the Javascript [DOM] component was deprecated and the code need to be updated accordingly. 
</t>
  </si>
  <si>
    <t>Adjust Admission Functionality - graph updates</t>
  </si>
  <si>
    <t>https://greatergiving.visualstudio.com/Greater%20Giving/_git/GGO/pullrequest/8228</t>
  </si>
  <si>
    <t xml:space="preserve">GO
PRINT N'Drop Procedure [dbo].[sp_GetAdjustedAdmissionCount]'
GO
IF OBJECT_ID('[dbo].[sp_GetAdjustedAdmissionCount]') IS NOT NULL
	DROP PROCEDURE [dbo].[sp_GetAdjustedAdmissionCount];
GO                                                It is not necessary, but we do usually add PRINT statement.                                                                              </t>
  </si>
  <si>
    <t>Tested in the Dev env.  5:09 PM 2/17/2025. Completed testing the TST env. 8:27 PM 2/18/2025
Onsite QA Logged bug on last day of sprint, we fixed it deployed before sprint prep, QA didn't get time to complete it.</t>
  </si>
  <si>
    <t>GGO-14071</t>
  </si>
  <si>
    <t>Rewrite BID-19 to a new report toolset</t>
  </si>
  <si>
    <t>Test Case Prepartion is done 5:48 PM 2/7/2025. Testing in dev env. 8:41 PM 2/13/2025. Completed Testing in the TST env.</t>
  </si>
  <si>
    <t>PAPI-758</t>
  </si>
  <si>
    <t>Add support for additional Card Types</t>
  </si>
  <si>
    <t>Completed Testing in the TST env. Verified all the cards 8:26 PM2/18/2025</t>
  </si>
  <si>
    <t>GGO-14542</t>
  </si>
  <si>
    <t>Bounceback/Sub-Defect</t>
  </si>
  <si>
    <t>Admission UI should display even after saving sale with admissions adjusted to 0</t>
  </si>
  <si>
    <t>Closed/Rejected</t>
  </si>
  <si>
    <t>GGO-14544</t>
  </si>
  <si>
    <t>Fix for GGO-1077 no longer working (allocation deleted via supporter)</t>
  </si>
  <si>
    <t>Image Manager Fix - the Scroll was not working so the CS was only able to see the 1st set of records and nothing beyond that</t>
  </si>
  <si>
    <t xml:space="preserve">This issue was Identitfied by CS and this is not a development or QA miss, this happens because the Javascript [DOM] component was deprecated and the code need to be updated accordingly. 
</t>
  </si>
  <si>
    <t>GGO-12487</t>
  </si>
  <si>
    <t>Adjust Admission Functionality - sale details</t>
  </si>
  <si>
    <t>https://greatergiving.visualstudio.com/Greater%20Giving/_git/GGO/pullrequest/8184</t>
  </si>
  <si>
    <t>Story Analysis and Test Case preparation is on progress 5:07 PM 1/24/2025. Priya - Testing in dev env is in progress 4:48 PM 1/30/2025</t>
  </si>
  <si>
    <t>Story Analysis and Test Case preparation is on progress 5:07 PM 1/24/2025                                                                                                                                                                                                                                                               Deletion of attendee row if supporter chosen showed the popup confirmation, working on Adjusted amount calculation [1/29/2025]                                                                                                                                                                                                                                                                             Did developer testing in TST environment no issues found [02/04/2025]
Onsite QA testing pending since [02/04/2025]</t>
  </si>
  <si>
    <t>GGO-14514</t>
  </si>
  <si>
    <t>Update remaining admission allocated attendee count in GGO webserivce to OP</t>
  </si>
  <si>
    <t>https://greatergiving.visualstudio.com/Greater%20Giving/_git/GGO/pullrequest/8174</t>
  </si>
  <si>
    <t>Completed Testing in the TST env. 8:31 PM 1/29/2025</t>
  </si>
  <si>
    <t>GGO-14477</t>
  </si>
  <si>
    <t>BID-06 Header Settings Update</t>
  </si>
  <si>
    <t>https://greatergiving.visualstudio.com/Greater%20Giving/_git/GGO/pullrequest/8170</t>
  </si>
  <si>
    <t>This is QA automation which comes under Infrastructure improvement</t>
  </si>
  <si>
    <t>Picked on 01/22/2025.Development in progress                                                                                                                                                                                                                                                                                                            23/01/2025 Deployed in dev and completed developer testing. Priya - Completed Testing in Dev. Working well 5:07 PM 1/24/2025. Completed Testing in TST 5:02 PM 1/27/2025</t>
  </si>
  <si>
    <t>It is completed and given for testing 3 days prior to Sprint end, Offshore QA doesn't got any access to test in TST, only MikeH and Nate got access to test it.</t>
  </si>
  <si>
    <t>GGO-14511</t>
  </si>
  <si>
    <t>GoTime SF Tap card generate Null Ref Error</t>
  </si>
  <si>
    <t>Priya- Did one round of Payment Regression Testing since we dont have access to Tap cards. 5:01 PM 1/27/2025</t>
  </si>
  <si>
    <t>PAPI-794</t>
  </si>
  <si>
    <t>Add Tag 9F6E to List of Acceptable Tags in ParseC3XJsonDataToTLV*</t>
  </si>
  <si>
    <t>1`</t>
  </si>
  <si>
    <t>Priya- Did one round of Payment Regression Testing since we dont have access to Tap cards. 8:00 PM1/28/2025</t>
  </si>
  <si>
    <t>Stretch --Invoice Timeout Fix*</t>
  </si>
  <si>
    <t>Production bug</t>
  </si>
  <si>
    <t>Invoice timeout fix</t>
  </si>
  <si>
    <t>Open</t>
  </si>
  <si>
    <t>A miss from both Onsite and Offshore QA and Onsite and offshore developemnt because the old report generation handled it but the new report didn't so a miss on both testing and developement end.
Extended testing needs to be done with a lot more combination of data which could be infinite combination.Moving forward this type of complex reports must be tested by all the team members including onsite lead before pushing to TST environment.</t>
  </si>
  <si>
    <t>Estimated(hrs/sp)</t>
  </si>
  <si>
    <t>Actual(hrs/sp)</t>
  </si>
  <si>
    <t>Sathiyabharathi/Rajesh Kannan</t>
  </si>
  <si>
    <t>GGO-14427</t>
  </si>
  <si>
    <t>Rewrite and Update BID-06 (Invoice) using RDLC - Part 3 (Sales &amp; Payments)</t>
  </si>
  <si>
    <t>Rajesh Kannan</t>
  </si>
  <si>
    <t>https://dev.azure.com/greatergiving/Greater%20Giving/_git/GGO/pullrequest/8097</t>
  </si>
  <si>
    <t>Tested in the TST env. And it is In Progress 1/3/2025 8:13 PM.  Tested in the Dev as well as in TST Env- 8:28 PM 1/6/2025. Testing is still in progress. 1/8/2025 8:10 PM</t>
  </si>
  <si>
    <t>GGO-14474</t>
  </si>
  <si>
    <t>Mismatch between the net invoice count and the report being generated.</t>
  </si>
  <si>
    <t>https://dev.azure.com/greatergiving/Greater%20Giving/_git/GGO/pullrequest/8112</t>
  </si>
  <si>
    <t>Tested in the Dev env. Looks good. 5:01 PM 1/21/2025.Tested in the TST env. Working well. 6:18 PM 1/22/2025</t>
  </si>
  <si>
    <t>PAPI-790</t>
  </si>
  <si>
    <t>Insecure Transport: Database - App.config: 5</t>
  </si>
  <si>
    <t>https://greatergiving.visualstudio.com/Greater%20Giving/_git/PAPI/pullrequest/8136</t>
  </si>
  <si>
    <t>Did one round of payment related regression Testing in the TST env. Looks good. 7:13 PM 1/16/2025</t>
  </si>
  <si>
    <t>Saranya/Rajesh Kannan</t>
  </si>
  <si>
    <t>https://greatergiving.visualstudio.com/Greater%20Giving/_git/GGO/pullrequest/8158</t>
  </si>
  <si>
    <t>GGO-14422</t>
  </si>
  <si>
    <t>Storefront Implement Signature Workflow in legacy go time code</t>
  </si>
  <si>
    <t>Did one round of payment Regression Testing in the TST env and checked cash and Check flow only(since I dont have EMV acces) Working well. 1/16/2025. 7:13 PM.</t>
  </si>
  <si>
    <t>Priya-QA/Rajesh Kannan</t>
  </si>
  <si>
    <t>GGO-14483</t>
  </si>
  <si>
    <t>9 Jan CRT Release &amp; Regression Testing</t>
  </si>
  <si>
    <t>Testing in the progress CRT env.1/17/2025 4:37 PM. Testing is still in progress in CRT env.  1/20/2025 8:12 PM</t>
  </si>
  <si>
    <t>PAPI-791</t>
  </si>
  <si>
    <t>Privacy Violation - PorticoSoapXmlBuilder.cs: 290</t>
  </si>
  <si>
    <t xml:space="preserve"> attempted to encrypt the entire XML section, but this failed during XML loading and saving. I observed this same privacy policy violation in two files: PorticoSoapXMLBuilder.cs and PorticoAdminBase.cs We chose PorticoAdminBase.cs for debugging and testing, this file SOAP envelope contains a username and password for Portico access. I encrypted only the username and password. However, I received a 'remote server returned 500 error' upon execution. Since the necessary data is encrypted, marking this as a false positive. </t>
  </si>
  <si>
    <t>GGO-14469</t>
  </si>
  <si>
    <t>EMV Storefront - Implement Success Message for Card Entry flow</t>
  </si>
  <si>
    <t>Did one round of payment Regression Testing in the TST env. Working well. 1/17/2025 4:36 PM</t>
  </si>
  <si>
    <t>GGO-14468</t>
  </si>
  <si>
    <t>EMV Checkin - Implement Success Message for Card Entry flow</t>
  </si>
  <si>
    <t>GGO-14447</t>
  </si>
  <si>
    <t>QA Automation - update EquipmentExpressVerification to account for date changes</t>
  </si>
  <si>
    <t>https://dev.azure.com/greatergiving/Greater%20Giving/_git/GGAutomation/pullrequest/8157</t>
  </si>
  <si>
    <t>PAPI-789</t>
  </si>
  <si>
    <t>refactor apConstants.EMV_SUCCESS_CODE and apConstants.EMV_FAILURE_CODE usage</t>
  </si>
  <si>
    <t>Did one round of payment Regression Testing in the TST env. Working well. 4:35 PM 1/18/2025</t>
  </si>
  <si>
    <t>GGO-14471</t>
  </si>
  <si>
    <t>Stretch --Update UI for Receipt Dialogue*</t>
  </si>
  <si>
    <t>https://greatergiving.visualstudio.com/Greater%20Giving/_git/GGO/pullrequest/8166</t>
  </si>
  <si>
    <t>Tested in the TST env. Looks good. 6:17 PM 1/22/2025</t>
  </si>
  <si>
    <t>Stretch -- BID-06 Header Settings Update.*</t>
  </si>
  <si>
    <t>Picked on 01/22/2025.Development in progress                                                                                                                                                                                                                                                                                                            23/01/2025 Deployed in dev and completed developer testing</t>
  </si>
  <si>
    <t>GGO-14489</t>
  </si>
  <si>
    <t>When the package number is entered under "omit sales and payments," it applies to all supporters, preventing the individual package values from being displayed for each supporter</t>
  </si>
  <si>
    <t>GGO-14490</t>
  </si>
  <si>
    <t>Invoice link in email appearing twice when triggered from "Print/Email batch"</t>
  </si>
  <si>
    <t>GGO-14500</t>
  </si>
  <si>
    <t>Print or Email Invoices - Over ride setting for "Show Invoice Page Link" &amp; "Invoice Page Link Label" is not reflecting for a new email batch</t>
  </si>
  <si>
    <t>Verified in TST.Working well. 7:15 PM 1/16/2025</t>
  </si>
  <si>
    <t>GGO-14499</t>
  </si>
  <si>
    <t>implement quartz retry logic for invoice emails</t>
  </si>
  <si>
    <t>Unable to reproduce this issue in TST. Email sent successfully within few secs without getting any failures 7:18 PM 1/16/2025</t>
  </si>
  <si>
    <t>GGO-14512</t>
  </si>
  <si>
    <t xml:space="preserve">Report Bid-06 taking more time when selecting "View Items" in "Edit Invoice &amp; Receipts settings" </t>
  </si>
  <si>
    <t>Tested in TST env. Working well. 8:11 PM 1/20/2025.</t>
  </si>
  <si>
    <t>SathyaBharathi/Rajesh Kannan</t>
  </si>
  <si>
    <t>GGO-14325</t>
  </si>
  <si>
    <t>Rewrite and Update BID-06 (Invoice) using RDLC Part 1</t>
  </si>
  <si>
    <t>Rajesh Kannan/Saranya</t>
  </si>
  <si>
    <t>https://dev.azure.com/greatergiving/Greater%20Giving/_git/GGO/pullrequest/8075</t>
  </si>
  <si>
    <t>Tested in the Dev environment - Informed few issues to the Team.12/17/202410:48 PM. Tested in the TST Env- 12/18/2024 7:20 PM.</t>
  </si>
  <si>
    <t>GGO-14426</t>
  </si>
  <si>
    <t>Rewrite and Update BID-06 (Invoice) using RDLC - Part 2 (Sales Only)</t>
  </si>
  <si>
    <t>Rolling over remaining testing to this story - GGO-14427</t>
  </si>
  <si>
    <t>GGO-14418</t>
  </si>
  <si>
    <t>Modify GGO SFDC Webservice</t>
  </si>
  <si>
    <t>https://greatergiving.visualstudio.com/Greater%20Giving/_git/GGO/pullrequest/8079</t>
  </si>
  <si>
    <t xml:space="preserve">Coordinated with saranya and Tested in Local -12/16/2024 8:56 PM.                         </t>
  </si>
  <si>
    <t>GGO-14445</t>
  </si>
  <si>
    <t>Project Website - Remove Deprecated Share Functionality</t>
  </si>
  <si>
    <t>https://greatergiving.visualstudio.com/Greater%20Giving/_git/GGO/pullrequest/8080</t>
  </si>
  <si>
    <t>Tested in the Dev environment - 12/16/2024 8:57 PM.                        Tested in the TST env. Working well. 12/17/2024 10:47 PM</t>
  </si>
  <si>
    <t>GGO-14419</t>
  </si>
  <si>
    <t xml:space="preserve">Duplicate EventXcode updated when GGO sync with SF </t>
  </si>
  <si>
    <t>https://greatergiving.visualstudio.com/Greater%20Giving/_git/GGO/pullrequest/8092</t>
  </si>
  <si>
    <t>GGO-14375</t>
  </si>
  <si>
    <t>Pop-up warning on batch process with unapplied convenience fees</t>
  </si>
  <si>
    <t>https://greatergiving.visualstudio.com/Greater%20Giving/_git/GGO/pullrequest/8096</t>
  </si>
  <si>
    <t>Tested in the TST env. Working well 1/3/2025 8:13 PM</t>
  </si>
  <si>
    <t>Stretch -- Mismatch between the net invoice count and the report being generated.*</t>
  </si>
  <si>
    <t>GGO-14479</t>
  </si>
  <si>
    <t>Design issues</t>
  </si>
  <si>
    <t>Minor</t>
  </si>
  <si>
    <t>Design</t>
  </si>
  <si>
    <t>GGO-14480</t>
  </si>
  <si>
    <t>Express indicator displaying on Top right in compact scenario even the Supporter is not marked as "Express Checkout"</t>
  </si>
  <si>
    <t>GGO-14481</t>
  </si>
  <si>
    <t xml:space="preserve"> When the "Only Show Sales That Are Paid" option is enabled in the invoice settings, the "Total Due" field should not be displayed in the Bid 06 report but it is still visible</t>
  </si>
  <si>
    <t>GGO-14486</t>
  </si>
  <si>
    <t>Font not changing in Bid-06 RDLC report based on "General Accounts &amp; Settings"</t>
  </si>
  <si>
    <t>GGO-14488</t>
  </si>
  <si>
    <t>Receipt Settings Override while sending Invoice email is not working</t>
  </si>
  <si>
    <t>GGO-14476</t>
  </si>
  <si>
    <t>When the convenience fee is disabled, clicking on "Start New Batch" does not navigate to the next page.</t>
  </si>
  <si>
    <t>Strech--Rewrite and Update BID-06 (Invoice) using RDLC</t>
  </si>
  <si>
    <t>It will get carry forward to next sprint, due to requirement change by MikeH.                                                                                                                                                                                                                                                   2.[12/12/2024] Invoice Email Failed becuase of Quratz service required DB permission</t>
  </si>
  <si>
    <t>PAPI-725</t>
  </si>
  <si>
    <t>High - Weak Encryption: Insecure Mode of Operation - Dukpt.cs: 102</t>
  </si>
  <si>
    <t>Waiting for macroscope result
12/12 : Was marked out of Scope by Mike Horihan</t>
  </si>
  <si>
    <t>GGO-12835</t>
  </si>
  <si>
    <t>Update to event date range fields and logic in GGO Project Builder*</t>
  </si>
  <si>
    <t>https://greatergiving.visualstudio.com/Greater%20Giving/_git/GGO/pullrequest/8056</t>
  </si>
  <si>
    <t>Loan Troung, Michael Wall</t>
  </si>
  <si>
    <t>6-Dec-024</t>
  </si>
  <si>
    <t>GGO-14414</t>
  </si>
  <si>
    <t>Investigate GGO Client create/update API to handle Client sync process with SF*</t>
  </si>
  <si>
    <t>Investigation completed</t>
  </si>
  <si>
    <t>GGO-13319</t>
  </si>
  <si>
    <t>Azure Images CRT Testing</t>
  </si>
  <si>
    <t xml:space="preserve">Completed from our end 
</t>
  </si>
  <si>
    <t>GGO-14402</t>
  </si>
  <si>
    <t>03 DEC GGO 7.20.1 CRT Release</t>
  </si>
  <si>
    <t>GGO-14383</t>
  </si>
  <si>
    <t>Stretch --Refund Reference Number Not Generating*</t>
  </si>
  <si>
    <t>https://dev.azure.com/greatergiving/Greater%20Giving/_git/GGO/pullrequest/8071</t>
  </si>
  <si>
    <t>Completed from our end</t>
  </si>
  <si>
    <t>PAPI-773</t>
  </si>
  <si>
    <t>Update to PAPI TLV response for success / fail Verify (Check-In) if not included</t>
  </si>
  <si>
    <t>Did one Round of Payment Regression Testing, Final testing pending for onsite QA</t>
  </si>
  <si>
    <t>PAPI-781</t>
  </si>
  <si>
    <t>Required Zip Code Problems with EMV Verify (AMEX Only)</t>
  </si>
  <si>
    <t>GGO-14425</t>
  </si>
  <si>
    <t>Remove "Transaction was Successful!" pop-up at the right corner of screen for EMV (Storefront &amp; CheckInOut)*</t>
  </si>
  <si>
    <t>Did one Round of Payment Regression Testing</t>
  </si>
  <si>
    <t>SathyaBharathi</t>
  </si>
  <si>
    <t>GGO-14386</t>
  </si>
  <si>
    <t>BID-03 RDLC version ignoring grid selection for output</t>
  </si>
  <si>
    <t>https://dev.azure.com/greatergiving/Greater%20Giving/_git/GGO/pullrequest/8003</t>
  </si>
  <si>
    <t>Bug fix - Completed</t>
  </si>
  <si>
    <t>GGO-14355</t>
  </si>
  <si>
    <t>Update Help Center URLS</t>
  </si>
  <si>
    <t>https://greatergiving.visualstudio.com/Greater%20Giving/_git/GGO/pullrequest/8000</t>
  </si>
  <si>
    <t>The target has been assigned 
with a "_blank" but we still keep
 this button and ID. 
Where/which file is this ID being used? 
Looks like you removed the popup 
properties for it in file 
"GoTime.ts" line: 533</t>
  </si>
  <si>
    <t>Updated New helpcenter content - Completed</t>
  </si>
  <si>
    <t>GGO-14361</t>
  </si>
  <si>
    <t>InProgress</t>
  </si>
  <si>
    <t>GGO-14395</t>
  </si>
  <si>
    <t>Unable to add Discover cards in orgs enabled for Discover</t>
  </si>
  <si>
    <t>No</t>
  </si>
  <si>
    <t>https://dev.azure.com/greatergiving/Greater%20Giving/_git/GGO/pullrequest/8022</t>
  </si>
  <si>
    <t>Defect story for GGO-14361 - Completed</t>
  </si>
  <si>
    <t>GGO-14397</t>
  </si>
  <si>
    <t xml:space="preserve"> Image is not being retrieved from Azure after saving the Project or settings, even though Azure configuration is enabled</t>
  </si>
  <si>
    <t>SathyaBharathi/Rajesh</t>
  </si>
  <si>
    <t>GGO-14385</t>
  </si>
  <si>
    <t>Investigate New App Svc for OB Queue Replacement</t>
  </si>
  <si>
    <t>Investigation - Completed</t>
  </si>
  <si>
    <t>It's an investingation story we prepared document and attached the jira ticket</t>
  </si>
  <si>
    <t>Rajesh/SathyaBharathi</t>
  </si>
  <si>
    <t>GGO-14067</t>
  </si>
  <si>
    <t>Rewrite BID-03 to a new report toolset</t>
  </si>
  <si>
    <t>Sathiyabharathi/Rajesh</t>
  </si>
  <si>
    <t>GGO-14353 Alignment Issues and GGO-14378 Throwing 504 Gateway Timeout error while rendering Bid-03 report</t>
  </si>
  <si>
    <t>Moving report to new toolset - Completed</t>
  </si>
  <si>
    <t xml:space="preserve">Cretaed bugs under this story (GGO-14353 and GGO-14378) PR created and completed under those bugs </t>
  </si>
  <si>
    <t>GGO-14244</t>
  </si>
  <si>
    <t>Error when trying to create project website</t>
  </si>
  <si>
    <t>https://dev.azure.com/greatergiving/Greater%20Giving/_git/GGO/pullrequest/7961</t>
  </si>
  <si>
    <t>I think if we are going to catch it, then we should log it. Log "info".</t>
  </si>
  <si>
    <t>GGO-14353</t>
  </si>
  <si>
    <t>Alignment Issues</t>
  </si>
  <si>
    <t>https://dev.azure.com/greatergiving/Greater%20Giving/_git/GGO/pullrequest/7949</t>
  </si>
  <si>
    <t>No Comments</t>
  </si>
  <si>
    <t>Michael Wall/Loan</t>
  </si>
  <si>
    <t>GGO-14378</t>
  </si>
  <si>
    <t>Throwing 504 Gateway Timeout error while rendering Bid-03 report</t>
  </si>
  <si>
    <t>https://dev.azure.com/greatergiving/Greater%20Giving/_git/GGO/pullrequest/7981</t>
  </si>
  <si>
    <t>1.is this variable name a typo ? "foud" vs "found"                                        2.Could we move all these spacing into a variable/constant before using? The variable naming provides meaning to why all these spacing are used.</t>
  </si>
  <si>
    <t>Defect story for GGO-14067 - Completed</t>
  </si>
  <si>
    <t>GGO-14295</t>
  </si>
  <si>
    <t xml:space="preserve">Handle Deleted User Session </t>
  </si>
  <si>
    <t>https://greatergiving.visualstudio.com/Greater%20Giving/_git/GGO/pullrequest/7983</t>
  </si>
  <si>
    <t>Rolled over</t>
  </si>
  <si>
    <t>Trying to reproduce the issue in local</t>
  </si>
  <si>
    <t>GGO-14373</t>
  </si>
  <si>
    <t>ManageSalesAndPayments Error*</t>
  </si>
  <si>
    <t>https://dev.azure.com/greatergiving/Greater%20Giving/_git/GGO/pullrequest/7968</t>
  </si>
  <si>
    <t>Update Help Center URLS*</t>
  </si>
  <si>
    <t>https://greatergiving.visualstudio.com/Greater%20Giving/_git/GGO/pullrequest/7988</t>
  </si>
  <si>
    <t>Development completed</t>
  </si>
  <si>
    <t>PAPI-774</t>
  </si>
  <si>
    <t>Refunds failing to process</t>
  </si>
  <si>
    <t>completed</t>
  </si>
  <si>
    <t>OP Team</t>
  </si>
  <si>
    <t>ManageSalesAndPayments Error</t>
  </si>
  <si>
    <t>Production Bug missed by OP Client team and fixed by GGO team . It is a defect which needs to be documented on OP team sheet but was fixed by GGO team</t>
  </si>
  <si>
    <t>https://dev.azure.com/greatergiving/Greater%20Giving/_git/GGO/pullrequest/7869</t>
  </si>
  <si>
    <t>can we have a folder for each report ?</t>
  </si>
  <si>
    <t>Moving the report to new toolset - Rolled over</t>
  </si>
  <si>
    <t>We got an timeout issue while running the report in dev enviroment.</t>
  </si>
  <si>
    <t>GGO-14340</t>
  </si>
  <si>
    <t>Login Page Update - Expiring Privacy Policy Message</t>
  </si>
  <si>
    <t>https://greatergiving.visualstudio.com/Greater%20Giving/_git/GGO/pullrequest/7916</t>
  </si>
  <si>
    <t>To implement an expiring message with a url informing customers of an updated privacy policy on the GGO login page, to maintain compliance with corporate legal - Completed</t>
  </si>
  <si>
    <t xml:space="preserve">Error when trying to create project website* </t>
  </si>
  <si>
    <t>https://greatergiving.visualstudio.com/Greater%20Giving/_git/GGO/pullrequest/7945</t>
  </si>
  <si>
    <t>Priority defect fix - Rolled over</t>
  </si>
  <si>
    <t>GGO-14352]</t>
  </si>
  <si>
    <t>Update Report Path in Publish XML</t>
  </si>
  <si>
    <t>https://dev.azure.com/greatergiving/Greater%20Giving/_git/GGO/pullrequest/7930</t>
  </si>
  <si>
    <t>GGO-13860</t>
  </si>
  <si>
    <t>GGO - handle emv dip/tap in check in/out</t>
  </si>
  <si>
    <t>PAPI-769</t>
  </si>
  <si>
    <t>PAPI-769 Update PAPI Web References*</t>
  </si>
  <si>
    <t>https://dev.azure.com/greatergiving/Greater%20Giving/_git/PAPI/pullrequest/7934</t>
  </si>
  <si>
    <t>Mike Wall</t>
  </si>
  <si>
    <t>GGO-14347</t>
  </si>
  <si>
    <t>Update the format of amount in payment receipt*</t>
  </si>
  <si>
    <t>GGO-14356</t>
  </si>
  <si>
    <t>Footer statement appears in the middle of the report instead of at the bottom when a footer is included.</t>
  </si>
  <si>
    <t>Rajesh/SathyaBharathi/Saranya</t>
  </si>
  <si>
    <t>Rewriting all the reports to new toolset and BID-03 is the Proof of Concept. Rolled over and team is still working on it.In a single report, multiple layouts are there</t>
  </si>
  <si>
    <t>GGO-14079</t>
  </si>
  <si>
    <t>Rewrite BID-06 (Payment Receipt) using RDLC</t>
  </si>
  <si>
    <t>https://dev.azure.com/greatergiving/Greater%20Giving/_git/GGO/pullrequest/7892</t>
  </si>
  <si>
    <t xml:space="preserve">Similar to BID-03 </t>
  </si>
  <si>
    <t>PAPI-751</t>
  </si>
  <si>
    <t>High -  jQuery.UI.Combined/1.12.1</t>
  </si>
  <si>
    <t>https://dev.azure.com/greatergiving/Greater%20Giving/_git/PAPI/pullrequest/7894</t>
  </si>
  <si>
    <t>Part of Macroscope scanning epic</t>
  </si>
  <si>
    <t>GGO-14323</t>
  </si>
  <si>
    <t>Adding new GG Build Server for GGO Pipeline build replacing Azure Build server</t>
  </si>
  <si>
    <t>https://dev.azure.com/greatergiving/Greater%20Giving/_git/GGO/pullrequest/7873</t>
  </si>
  <si>
    <t>Loan Troung, Michael Wall,Mike Horihan</t>
  </si>
  <si>
    <t>GGO-14324</t>
  </si>
  <si>
    <t>Send PDF for email payment receipt</t>
  </si>
  <si>
    <t>GGO-14199</t>
  </si>
  <si>
    <t>Fix Deleted Credit Card Online Payment Pop-up Message / Function</t>
  </si>
  <si>
    <t>GGO-14332</t>
  </si>
  <si>
    <t>Unable to view the Header and Footer Statement in the Payment Receipt even though they have already been added to the payment receipt settings</t>
  </si>
  <si>
    <t>https://dev.azure.com/greatergiving/Greater%20Giving/_git/GGO/pullrequest/7896</t>
  </si>
  <si>
    <t>Bug for the Story GGO-14079</t>
  </si>
  <si>
    <t>GGO-14002</t>
  </si>
  <si>
    <t>Update AGG-03</t>
  </si>
  <si>
    <t>https://dev.azure.com/greatergiving/Greater%20Giving/_git/GGO/pullrequest/7840</t>
  </si>
  <si>
    <t>Concept of moving all the reports to new toolset</t>
  </si>
  <si>
    <t>GGO-14300</t>
  </si>
  <si>
    <t>GetAdmissionInfo API update for mobile team</t>
  </si>
  <si>
    <t>Yes(Found one Issue while testing this in Dev Env)</t>
  </si>
  <si>
    <t>https://greatergiving.visualstudio.com/Greater%20Giving/_git/GGO/pullrequest/7842</t>
  </si>
  <si>
    <t>GGO-14302</t>
  </si>
  <si>
    <t>SFDC Release Support</t>
  </si>
  <si>
    <t>https://greatergiving.visualstudio.com/Greater%20Giving/_git/GGO/pullrequest/7835</t>
  </si>
  <si>
    <t>MikeH,Loan Troung</t>
  </si>
  <si>
    <t>GGO-14255</t>
  </si>
  <si>
    <t>API update for nextgen search*</t>
  </si>
  <si>
    <t>https://dev.azure.com/greatergiving/Greater%20Giving/_git/GGO/pullrequest/7817</t>
  </si>
  <si>
    <t>GGO-14267</t>
  </si>
  <si>
    <t>GGO Image Server</t>
  </si>
  <si>
    <t>GGO-13842</t>
  </si>
  <si>
    <t>Fallback Strategy for Report Migration</t>
  </si>
  <si>
    <t>https://dev.azure.com/greatergiving/Greater%20Giving/_git/GGO/pullrequest/7838</t>
  </si>
  <si>
    <t>This is for the new reporting toolset</t>
  </si>
  <si>
    <t>PAPI-750</t>
  </si>
  <si>
    <t>Portico SOAP - Token and CardBrandTxnId*</t>
  </si>
  <si>
    <t>GGO-14287</t>
  </si>
  <si>
    <t>Renew localtest Certificate</t>
  </si>
  <si>
    <t>https://dev.azure.com/greatergiving/Greater%20Giving/_git/GGO/pullrequest/7791</t>
  </si>
  <si>
    <t>MikeH</t>
  </si>
  <si>
    <t>GGO-14293</t>
  </si>
  <si>
    <t>Event payments processed under wrong event name, GGO and SF not synced correctly*</t>
  </si>
  <si>
    <t>GGO-14218</t>
  </si>
  <si>
    <t>High - CVE-2024-30105 - System.Text.Json/4.7.2 &amp; CVE-2024-30105 - System.Text.Json/4.6.0</t>
  </si>
  <si>
    <t>https://dev.azure.com/greatergiving/Greater%20Giving/_git/GGO/pullrequest/7702</t>
  </si>
  <si>
    <t>Macroscope scanning - fixed</t>
  </si>
  <si>
    <t>GGO-14215</t>
  </si>
  <si>
    <t>Cannot create/update Project Template in PROD</t>
  </si>
  <si>
    <t>https://dev.azure.com/greatergiving/Greater%20Giving/_git/GGO/pullrequest/7800</t>
  </si>
  <si>
    <t>Priority defect - Fixed</t>
  </si>
  <si>
    <t>Sathiyabharathi/Saranya</t>
  </si>
  <si>
    <t>GGO-14275</t>
  </si>
  <si>
    <t>Add Edit Remove User Test Case* - Automation</t>
  </si>
  <si>
    <t>https://dev.azure.com/greatergiving/Greater%20Giving/_git/GGAutomation/pullrequest/7822</t>
  </si>
  <si>
    <t>Owen</t>
  </si>
  <si>
    <t>1. All Console.Writelines can be removed. Only should be used for debugging purposes.
2. This function should be moved into SeleniumActions. that file is in alphabetical order.
3. We have a function called VerifyCheckBoxInner. that should be used and this one removed.</t>
  </si>
  <si>
    <t>PAPI-733</t>
  </si>
  <si>
    <t>Refactor Polly Retry code for Portico to have "Try" block inside "Polly.Execute" block</t>
  </si>
  <si>
    <t>https://dev.azure.com/greatergiving/Greater%20Giving/_git/PAPI/pullrequest/7820</t>
  </si>
  <si>
    <t>Loan Troung, MikeW</t>
  </si>
  <si>
    <t>No defects reported</t>
  </si>
  <si>
    <t>GGO-14269</t>
  </si>
  <si>
    <t>Project builder to pull images from the Azure CDN instead of Content server url if Azure setting is enabled</t>
  </si>
  <si>
    <t>https://greatergiving.visualstudio.com/Greater%20Giving/_git/GGO/pullrequest/7766</t>
  </si>
  <si>
    <t>https://greatergiving.atlGGO-14270</t>
  </si>
  <si>
    <t>GGO 7.19.0 CRT Release &amp; Regression Testing</t>
  </si>
  <si>
    <t>PAPI-734</t>
  </si>
  <si>
    <t>PAPI 7.14.0 CRT Release &amp; Regression Testing</t>
  </si>
  <si>
    <t>GGO-14216</t>
  </si>
  <si>
    <t>High - ASP.NET MVC Bad Practices: Model With Required Non-Nullable Property - ProjectDto.cs*</t>
  </si>
  <si>
    <t>https://greatergiving.visualstudio.com/Greater%20Giving/_git/GGO/pullrequest/7770</t>
  </si>
  <si>
    <t>GGO-14264</t>
  </si>
  <si>
    <t>Duplicate Supporters that are imported in through sales does not trigger check for duplicate*</t>
  </si>
  <si>
    <t>https://greatergiving.visualstudio.com/Greater%20Giving/_git/GGO/pullrequest/7780</t>
  </si>
  <si>
    <t>GGO-14240</t>
  </si>
  <si>
    <t>NextGen API update for supporter card on file status</t>
  </si>
  <si>
    <t>https://greatergiving.visualstudio.com/Greater%20Giving/_git/GGO/pullrequest/7765</t>
  </si>
  <si>
    <t>Saranya/Rajesh/Sathiya</t>
  </si>
  <si>
    <t>GGO-14232</t>
  </si>
  <si>
    <t>PRD Issue with Recalculate Name Fields is timing out</t>
  </si>
  <si>
    <t>https://greatergiving.visualstudio.com/Greater%20Giving/_git/GGO/pullrequest/7758</t>
  </si>
  <si>
    <t>Mike W</t>
  </si>
  <si>
    <t>NVARCHAR(MAX) should not be used with Split.</t>
  </si>
  <si>
    <t>Prod issue - Fixed</t>
  </si>
  <si>
    <t>GGO-14236</t>
  </si>
  <si>
    <t>Convert asp.net core</t>
  </si>
  <si>
    <t>https://dev.azure.com/greatergiving/Greater%20Giving/_git/GGO/pullrequest/7753</t>
  </si>
  <si>
    <t>GGO-14225</t>
  </si>
  <si>
    <t>Update the left nav menu</t>
  </si>
  <si>
    <t>https://greatergiving.visualstudio.com/Greater%20Giving/_git/GGO/pullrequest/7746</t>
  </si>
  <si>
    <t>Part of Invoicing epic - Completed</t>
  </si>
  <si>
    <t>GGO-14253</t>
  </si>
  <si>
    <t>CRT Release Support GGO 7.18.2</t>
  </si>
  <si>
    <t>Macroscope scanning - Rolled oved</t>
  </si>
  <si>
    <t>Macroscope error should be resoved by our changes.But it takes 3 days. once it is done we have to check whether the issue is resolved or not</t>
  </si>
  <si>
    <t>GGO-14262</t>
  </si>
  <si>
    <t>Investigation - RSVP Page cannot be edited or deleted; leads to an error*</t>
  </si>
  <si>
    <t>It is an investigation story, we found that some of the RSVP pages in PROD is marked as “IsRsvp = 0” in “ap_WebsiteRegistrationPage” table instead of “IsRsvp=1“.</t>
  </si>
  <si>
    <t>GGO-14204</t>
  </si>
  <si>
    <t>High &amp; Medium - BDSA-2023-3833 - jQuery.Validation/1.19.5 &amp; BDSA-2021-3651 - jQuery/3.5.1</t>
  </si>
  <si>
    <t>https://dev.azure.com/greatergiving/Greater%20Giving/_git/GGO/pullrequest/7691</t>
  </si>
  <si>
    <t>Query is part of the BundleConfig for Reskin. Is this reference necessary?</t>
  </si>
  <si>
    <t>Part of macroscope scanning - Completed</t>
  </si>
  <si>
    <t>Instead of using JQuery reference directly in User control or content pages, we can use Script Manager proxy to define Jquery. So i have removed jquery reference link and used ScriptManagerProxy. In our application some of the pages(ClientView.aspx) we have used script manager proxy. It is used to add scripts and services to content pages and to user controls if the master page or host page already contains a ScriptManager control. We are not used any master pages in PreMfaLanding.aspx page but still this file handling click events so retains Jquery reference link in this file alone. (edited)</t>
  </si>
  <si>
    <t>GGO-14233</t>
  </si>
  <si>
    <t>Landing page "admissionsChart" and "totalSalesChart" Throwing Console Error*</t>
  </si>
  <si>
    <t>Yes - Found one issue while testing this bug in Dev env</t>
  </si>
  <si>
    <t>Part of Quality of life epic</t>
  </si>
  <si>
    <t>GGO-14247</t>
  </si>
  <si>
    <t>Users unable to set/reset GGO password in Chrome &amp; Edge*</t>
  </si>
  <si>
    <t>GGO 7.19.0 Sprint 2 [STRETCH]</t>
  </si>
  <si>
    <t>Unable to reproduce this issue in lower environments. Team is still finding out the way to fix this issue.</t>
  </si>
  <si>
    <t>GGO-14197</t>
  </si>
  <si>
    <t>issue with Template List not appearing on Project Creator</t>
  </si>
  <si>
    <t>Prod issue - Fixed and closed</t>
  </si>
  <si>
    <t>Rajesh coordianted with Carlos and found the root cause.user deleted the project that is associated with project template</t>
  </si>
  <si>
    <t>GGO 7.19.0 Sprint 1 [STRETCH]</t>
  </si>
  <si>
    <t>Part of macroscope scanning - Rolled over</t>
  </si>
  <si>
    <t>GGO-14308</t>
  </si>
  <si>
    <t>Update Replace Tokens Task version in GGO-VMSS Release Pipeline</t>
  </si>
  <si>
    <t>Version upgrade - Completed</t>
  </si>
  <si>
    <t>Version of the task is deprecated in release Pipelines. So we upgraded task version 3 to 6 in GGO_VMSS and PAPI_VMSS pipelines.</t>
  </si>
  <si>
    <t>PAPI-724</t>
  </si>
  <si>
    <t>Critical: Insecure Transport: Database - App.config: 5*</t>
  </si>
  <si>
    <t>Sathiyabharathi and Priya</t>
  </si>
  <si>
    <t>https://greatergiving.visualstudio.com/Greater%20Giving/_git/PAPI/pullrequest/7692</t>
  </si>
  <si>
    <t>Part of macroscope scanning - completed</t>
  </si>
  <si>
    <t>GGO 7.19.0 Sprint 1  [STRETCH]</t>
  </si>
  <si>
    <t>GGO-14210</t>
  </si>
  <si>
    <t>High - Investigate Projects using Microsoft.AspNetCore*</t>
  </si>
  <si>
    <t>GGO-14185</t>
  </si>
  <si>
    <t>GGO 7.18.0 CRT Release &amp; Regression Testing</t>
  </si>
  <si>
    <t>PAPI-721</t>
  </si>
  <si>
    <t>PAPI 7.13.0 CRT Release &amp; Regression testing</t>
  </si>
  <si>
    <t>GGO-14200</t>
  </si>
  <si>
    <t>Updated Aspose.Cells license*</t>
  </si>
  <si>
    <t>https://dev.azure.com/greatergiving/Greater%20Giving/_git/GGO/pullrequest/7665</t>
  </si>
  <si>
    <t>GGO-13995</t>
  </si>
  <si>
    <t>Update AddSalesAndPayments call from OB to handle duplicate calls*</t>
  </si>
  <si>
    <t>https://greatergiving.visualstudio.com/Greater%20Giving/_git/GGO/pullrequest/7669</t>
  </si>
  <si>
    <t>Part of infrastructure improvement - Completed</t>
  </si>
  <si>
    <t>GGO-14223</t>
  </si>
  <si>
    <t>Transfer Special instruction information to SF on Project creation before equipment order update*</t>
  </si>
  <si>
    <t>Salesforce update</t>
  </si>
  <si>
    <t>GGO-14201</t>
  </si>
  <si>
    <t>Throwing Error while uploading the new images when Azure Image setting enabled in DEV environment*</t>
  </si>
  <si>
    <t>PAPI-726</t>
  </si>
  <si>
    <t>High &amp; Medium - CVE-2024-30105 System.Text.Json 8.0.0  *</t>
  </si>
  <si>
    <t>Stretch story on Infrasturcture epic - Rolled over</t>
  </si>
  <si>
    <t>Saranya/Sathiyabharathi</t>
  </si>
  <si>
    <t>GGO-14004</t>
  </si>
  <si>
    <t>Error when attempting to edit users</t>
  </si>
  <si>
    <t>https://dev.azure.com/greatergiving/Greater%20Giving/_git/GGO/pullrequest/7663</t>
  </si>
  <si>
    <t>Replace "" with string.Empty</t>
  </si>
  <si>
    <t>Part of infrastructure epic - Completed</t>
  </si>
  <si>
    <t>GGO-14187</t>
  </si>
  <si>
    <t>Analyze impact of .net update</t>
  </si>
  <si>
    <t>Investingation story</t>
  </si>
  <si>
    <t>GGO-14193</t>
  </si>
  <si>
    <t>console app udpate*</t>
  </si>
  <si>
    <t>https://dev.azure.com/greatergiving/Greater%20Giving/_git/GGO/pullrequest/7658</t>
  </si>
  <si>
    <t>GGO-13999</t>
  </si>
  <si>
    <t>Quartz Service - Replace hard coded Application Insights key*</t>
  </si>
  <si>
    <t>GGO-13947</t>
  </si>
  <si>
    <t>Medium - CVE-2022-30187 - Azure.Storage.Blobs/12.10.0 &amp; 12.15.0</t>
  </si>
  <si>
    <t>GGO-13982</t>
  </si>
  <si>
    <t>Console errors, blank output when printing shipping labels from Firefox</t>
  </si>
  <si>
    <t>Priority defect - Implemented successfully</t>
  </si>
  <si>
    <t>GGO-13993</t>
  </si>
  <si>
    <t xml:space="preserve">Supporter - Handle MaxRequestLength* </t>
  </si>
  <si>
    <t>GGO-14003</t>
  </si>
  <si>
    <t>Recalculate Name Fields times out every time</t>
  </si>
  <si>
    <t>https://dev.azure.com/greatergiving/Greater%20Giving/_git/GGO/pullrequest/7628</t>
  </si>
  <si>
    <t>Bug fix - Implemented successfully</t>
  </si>
  <si>
    <t>Mike Wall did the script level changes but the issue occued for the org which is having more supporters we updated the name fields by Batch processing and it worked as expected</t>
  </si>
  <si>
    <t>Rajesh/Sathiyabharathi</t>
  </si>
  <si>
    <t>GGO-13655</t>
  </si>
  <si>
    <t>Enable CDC for GGO</t>
  </si>
  <si>
    <t>https://dev.azure.com/greatergiving/Greater%20Giving/_git/GGO/pullrequest/7629</t>
  </si>
  <si>
    <t>Fix typo/misspell privilege.</t>
  </si>
  <si>
    <t>Completed the implementation and tested in local and Dev environment.verification in TST is pending.it is script changes.Onsite QA confirmation is pending.</t>
  </si>
  <si>
    <t>PAPI-716</t>
  </si>
  <si>
    <t>PAPI 7.12.0 CRT Release</t>
  </si>
  <si>
    <t>GGO-14062</t>
  </si>
  <si>
    <t>GGO 7.17.0 CRT Release and Regression Testing</t>
  </si>
  <si>
    <t>GGO-13856</t>
  </si>
  <si>
    <t>Medium - Microsoft.IdentityModel.JsonWebTokens:5.5.0 &amp; Microsoft.IdentityModel.JsonWebTokens:6.10.0*</t>
  </si>
  <si>
    <t>GGO-13998</t>
  </si>
  <si>
    <t xml:space="preserve">Can not permanently delete projects from APAdmin </t>
  </si>
  <si>
    <t>GGO-14169</t>
  </si>
  <si>
    <t>MSR Certification test - iOS</t>
  </si>
  <si>
    <t>Swipe certification tests for iOS from Self testing portal</t>
  </si>
  <si>
    <t>PAPI-710</t>
  </si>
  <si>
    <t>Remove apConstants.PORTICO_TESTING_TOKEN*</t>
  </si>
  <si>
    <t>GGO 7.18.0 Sprint 3 STRETCH</t>
  </si>
  <si>
    <t>Medium - CVE-2022-30187 - Azure.Storage.Blobs/12.10.0 &amp; 12.15.0*</t>
  </si>
  <si>
    <t>https://dev.azure.com/greatergiving/Greater%20Giving/_git/GGO/pullrequest/7641</t>
  </si>
  <si>
    <t>Macroscope scanning - Rolled over</t>
  </si>
  <si>
    <t>Part of infrastructure epic - Rolled over</t>
  </si>
  <si>
    <t>It is a production issue. Reproduced in local and it should be fixed</t>
  </si>
  <si>
    <t>GGO-13691</t>
  </si>
  <si>
    <t>Issue with ClearExpiredTrialUsers</t>
  </si>
  <si>
    <t>https://dev.azure.com/greatergiving/Greater%20Giving/_git/GGO/pullrequest/7599</t>
  </si>
  <si>
    <t>Implemented successfully</t>
  </si>
  <si>
    <t>GGO-13994</t>
  </si>
  <si>
    <t>Update Capital letter tagging validation for Bidder and Supporter welcome SMS</t>
  </si>
  <si>
    <t>https://dev.azure.com/greatergiving/Greater%20Giving/_git/GGO/pullrequest/7592</t>
  </si>
  <si>
    <t>GGO-14037</t>
  </si>
  <si>
    <t>MSR Certification test - Manually Keyed Transaction (Purchase/Full Reversal-V1 01 &amp; M1 03)</t>
  </si>
  <si>
    <t>This has been added a flag in ApAdmin to toggle the card present setting for GoTime&gt;Storefront - Rolled over</t>
  </si>
  <si>
    <t>Development has been completed. Client dependency (Portico side test cases required some additional params)</t>
  </si>
  <si>
    <t>PAPI-714</t>
  </si>
  <si>
    <t>https://greatergiving.visualstudio.com/Greater%20Giving/_git/PAPI/pullrequest/7613</t>
  </si>
  <si>
    <t>This has also been rolled over</t>
  </si>
  <si>
    <t>PAPI-712</t>
  </si>
  <si>
    <t>High - jquery-ui-1-11-4/1.11.4</t>
  </si>
  <si>
    <t xml:space="preserve">                          No Comments</t>
  </si>
  <si>
    <t>https://greatergiving.visualstudio.com/Greater%20Giving/_git/PAPI/pullrequest/7598</t>
  </si>
  <si>
    <t>This is a part of macroscope - completed</t>
  </si>
  <si>
    <t>PAPI-713</t>
  </si>
  <si>
    <t>Bluetooth Swipe Refund Transactions are Processed as Credit Sale*</t>
  </si>
  <si>
    <t>Deployement happened at the end of the sprint. Testing is still in progress</t>
  </si>
  <si>
    <t>GGO-13819</t>
  </si>
  <si>
    <t>Migrate Reporting to Quartz</t>
  </si>
  <si>
    <t>https://dev.azure.com/greatergiving/Greater%20Giving/_git/GGO/pullrequest/7553</t>
  </si>
  <si>
    <t xml:space="preserve">Development has been completed for this story and did local testing need to test in Dev environment is pending it requires client IT team support </t>
  </si>
  <si>
    <t>PAPI-711</t>
  </si>
  <si>
    <t>Critical - Secret Detected in Source/config/apCalcSolution/cacl</t>
  </si>
  <si>
    <t>https://dev.azure.com/greatergiving/Greater%20Giving/_git/PAPI/pullrequest/7584</t>
  </si>
  <si>
    <t>GGO-14039</t>
  </si>
  <si>
    <t>Legacy iOS - Login button for some reason is listed as Update*</t>
  </si>
  <si>
    <t>GGO-13985</t>
  </si>
  <si>
    <t>GGO 7.16.2 CRT Release &amp; Regression Testing</t>
  </si>
  <si>
    <t>GGO-13954</t>
  </si>
  <si>
    <t>AGG-07 Report not pull LY numbers</t>
  </si>
  <si>
    <t>Analyzed and found out the rootcause and updated required details in that story's comment section. That info is shared to Customer Service</t>
  </si>
  <si>
    <t>GGO-14005</t>
  </si>
  <si>
    <t>Wrong Credit Card Method Type Assignment</t>
  </si>
  <si>
    <t>Testing is Blocked due to Certificate Issues.</t>
  </si>
  <si>
    <t>GGO-14006</t>
  </si>
  <si>
    <r>
      <rPr>
        <sz val="10"/>
        <color rgb="FF000000"/>
        <rFont val="Arial"/>
      </rPr>
      <t xml:space="preserve">
</t>
    </r>
    <r>
      <rPr>
        <sz val="10"/>
        <color rgb="FF000000"/>
        <rFont val="Arial"/>
      </rPr>
      <t xml:space="preserve">
Shipping label generation not working in CRT</t>
    </r>
  </si>
  <si>
    <t>https://greatergiving.visualstudio.com/Greater%20Giving/_git/GGO/pullrequest/7567</t>
  </si>
  <si>
    <t>it looks like we need to remove a hyphen from zip code before we check the length and truncate</t>
  </si>
  <si>
    <t>GGO-13981</t>
  </si>
  <si>
    <t>Remove Bluetooth Data logging from GoTime.AddCreditCard*</t>
  </si>
  <si>
    <t>https://dev.azure.com/greatergiving/Greater%20Giving/_git/GGO/pullrequest/7521</t>
  </si>
  <si>
    <t>GGO-13948</t>
  </si>
  <si>
    <t>Value uneditable when splitting a sale</t>
  </si>
  <si>
    <t>https://dev.azure.com/greatergiving/Greater%20Giving/_git/GGO/pullrequest/7516</t>
  </si>
  <si>
    <t>GGO-13939</t>
  </si>
  <si>
    <t xml:space="preserve">Thumbnail images are not scaled proportionately by Quartz Job </t>
  </si>
  <si>
    <t>https://greatergiving.visualstudio.com/Greater%20Giving/_git/GGO/pullrequest/7527</t>
  </si>
  <si>
    <t>Development completed and marked this one as Impediment. Client IT team has to do some configuration.</t>
  </si>
  <si>
    <t>Testing completed. Client IT team has to do some configuration to resolve Shipping label generation.</t>
  </si>
  <si>
    <t>GGO-13983</t>
  </si>
  <si>
    <t>Move GGO Websvcs to its own application</t>
  </si>
  <si>
    <t>Marked this one as Impediment. Client IT team has to do some configuration.</t>
  </si>
  <si>
    <t>Saranya Namachivayam</t>
  </si>
  <si>
    <t>GGO-13760</t>
  </si>
  <si>
    <t>UPS Oauth Credentials</t>
  </si>
  <si>
    <t>https://greatergiving.visualstudio.com/Greater%20Giving/_git/GGO/pullrequest/7498</t>
  </si>
  <si>
    <t>NO</t>
  </si>
  <si>
    <t>GGO-13836</t>
  </si>
  <si>
    <t>API call for testing card readers</t>
  </si>
  <si>
    <t>Scope of the Story is only testing.And this is Fully Developed by Loan and we tested it and updated the comments in JIRA.</t>
  </si>
  <si>
    <t>GGO-13940</t>
  </si>
  <si>
    <t>Length Validation for Bidder and Supporter SMS</t>
  </si>
  <si>
    <t>https://greatergiving.visualstudio.com/Greater%20Giving/_git/GGO/pullrequest/7501</t>
  </si>
  <si>
    <t>PAPI-708</t>
  </si>
  <si>
    <t>Allow CardVerify Response Code 91 and store CardBrandTransactionID</t>
  </si>
  <si>
    <t>Scope of the Story is only testing.And this is Fully Developed by Mike Wall and we tested it and updated the comments in JIRA.</t>
  </si>
  <si>
    <t>PAPI-702</t>
  </si>
  <si>
    <t xml:space="preserve"> GGAM &amp; All Client Apps: Test to determine if they are saving Tokens instead of encrypted CCN/PAN</t>
  </si>
  <si>
    <t>We offshore tested and provided the comments. And Informed one existing issue. Nathan raised an new issue for the same and also testing is still pending from his side.</t>
  </si>
  <si>
    <t>GGO-13773</t>
  </si>
  <si>
    <t>create method for running pivotal and sfdc event sync simultaneously</t>
  </si>
  <si>
    <t xml:space="preserve">salesforce team confirmed they can't do any changes </t>
  </si>
  <si>
    <t>GGO-13877</t>
  </si>
  <si>
    <t>Tax rate in view packages cuts off decimal amounts of percentage</t>
  </si>
  <si>
    <t>https://greatergiving.visualstudio.com/Greater%20Giving/_git/GGO/pullrequest/7453</t>
  </si>
  <si>
    <t>Loan Truong</t>
  </si>
  <si>
    <t>Sathiyabharathi Paramasivam</t>
  </si>
  <si>
    <t>GGO-13878</t>
  </si>
  <si>
    <t>Issues with convenience fee rounding</t>
  </si>
  <si>
    <t>https://dev.azure.com/greatergiving/Greater%20Giving/_git/GGO/pullrequest/7465</t>
  </si>
  <si>
    <t>GGO-13879</t>
  </si>
  <si>
    <t>Payments shown in GGO as Error actually processed</t>
  </si>
  <si>
    <t>https://greatergiving.visualstudio.com/Greater%20Giving/_git/GGO/pullrequest/7469</t>
  </si>
  <si>
    <t>GGO-13925</t>
  </si>
  <si>
    <t>Tax Rate on Create Sale inaccurate</t>
  </si>
  <si>
    <t>https://dev.azure.com/greatergiving/Greater%20Giving/_git/GGO/pullrequest/7466</t>
  </si>
  <si>
    <t>GGO-13917</t>
  </si>
  <si>
    <t>ManageSalesAndPayments Nullable object must have a value</t>
  </si>
  <si>
    <t>https://dev.azure.com/greatergiving/Greater%20Giving/_git/GGO/pullrequest/7454</t>
  </si>
  <si>
    <t>Scope of the Story is only testing.And this is Fully Developed by Mike Wall and we tested and updated the comments in JIRA.card details need to verified with PAPI database, we don't have required permission for that only onsite QA need to be verified.</t>
  </si>
  <si>
    <t>GGO-13834</t>
  </si>
  <si>
    <t>Tax Rate on Packages showing as 0</t>
  </si>
  <si>
    <t>GGO-13938</t>
  </si>
  <si>
    <t>High - CVE-2024-0056 - System.Data.SqlClient/4.5.1*</t>
  </si>
  <si>
    <t>GGO-13927</t>
  </si>
  <si>
    <t>High - Detector AzureStorage Found Result*</t>
  </si>
  <si>
    <t>GGO-13857</t>
  </si>
  <si>
    <t>(High &amp; Medium) - BDSA-2018-5195 - Newtonsoft.Json/9.0.1 &amp; BDSA-2018-5195 - Newtonsoft.Json/12.0.2 &amp; Newtonsoft.Json:11.0.2*</t>
  </si>
  <si>
    <t>GGO-13843</t>
  </si>
  <si>
    <t>High - MessagePack:1.7.3.4 | MessagePack for C# and Unity Before Version 1.9.11 and 2.1.90 Has a Vulnerability</t>
  </si>
  <si>
    <t>https://dev.azure.com/greatergiving/Greater%20Giving/_git/GGO/pullrequest/7422</t>
  </si>
  <si>
    <t>GGO 7.17.0 Sprint 1 [Stretch]</t>
  </si>
  <si>
    <t>GGO-13844</t>
  </si>
  <si>
    <t>create method for running pivotal and sfdc event sync simultaneously*</t>
  </si>
  <si>
    <t>https://dev.azure.com/greatergiving/Greater%20Giving/_git/GGO/pullrequest/7442</t>
  </si>
  <si>
    <t>Development has been completed , require salesforce team support to test</t>
  </si>
  <si>
    <t>GGO-13854</t>
  </si>
  <si>
    <t>Critical - Insecure Transport: Database - App.config: 5</t>
  </si>
  <si>
    <t xml:space="preserve">Saranya </t>
  </si>
  <si>
    <t>https://greatergiving.visualstudio.com/Greater%20Giving/_git/GGO/pullrequest/7439</t>
  </si>
  <si>
    <t>Saranya Namachivayam / Mike Wall</t>
  </si>
  <si>
    <t>GGAM &amp; All Client Apps: Test to determine if they are saving Tokens instead of encrypted CCN/PAN</t>
  </si>
  <si>
    <t>Priya, Saranya</t>
  </si>
  <si>
    <t>https://dev.azure.com/greatergiving/Greater%20Giving/_git/PAPI/pullrequest/7437</t>
  </si>
  <si>
    <t>Scope of the Story is only testing. We are doing testing support to onsite resource</t>
  </si>
  <si>
    <t>GGO-13816</t>
  </si>
  <si>
    <t>GGO 7.16.0 CRT Release &amp; Regression Testing</t>
  </si>
  <si>
    <t>GGO-13785</t>
  </si>
  <si>
    <t>Go Time Card Entry update for old readers</t>
  </si>
  <si>
    <t>Scope of the Story is only testing.(Fully Developed by Loan and we tested and updated the comments in JIRA)</t>
  </si>
  <si>
    <t>GGO-13893</t>
  </si>
  <si>
    <t>CancelledDate' from SF always saved as 1969-12-31 in GGO database</t>
  </si>
  <si>
    <t>GGO-13815</t>
  </si>
  <si>
    <t>When importing Online Registrations &amp; Purchases, Sale/Payment Association Status will be Partial</t>
  </si>
  <si>
    <t>https://greatergiving.visualstudio.com/Greater%20Giving/_git/GGO/pullrequest/7370</t>
  </si>
  <si>
    <t>The bug was fixed successfully</t>
  </si>
  <si>
    <t>GGO-13801</t>
  </si>
  <si>
    <t>Supporter Details household behavior</t>
  </si>
  <si>
    <t>https://dev.azure.com/greatergiving/Greater%20Giving/_git/GGO/pullrequest/7366</t>
  </si>
  <si>
    <t>Implemented as per AC</t>
  </si>
  <si>
    <t xml:space="preserve">Got some issue with GGOApi user for transfer of data from GGO to SF -  Rolled over </t>
  </si>
  <si>
    <t>GGO-13738</t>
  </si>
  <si>
    <t>Coordinate with IT to add Bluetooth hardware column in SF</t>
  </si>
  <si>
    <t>https://greatergiving.visualstudio.com/Greater%20Giving/_git/GGO/pullrequest/7364</t>
  </si>
  <si>
    <t>GGO-13796</t>
  </si>
  <si>
    <t>TST verification for SFDC Enhancements</t>
  </si>
  <si>
    <t>https://greatergiving.visualstudio.com/Greater%20Giving/_git/GGO/pullrequest/7383</t>
  </si>
  <si>
    <t>In Progress - Rolled over</t>
  </si>
  <si>
    <t>Rolled Over</t>
  </si>
  <si>
    <t>GGO-13737</t>
  </si>
  <si>
    <t>GGO Storefront handle Mobile Transaction card data for swipe</t>
  </si>
  <si>
    <t>This story was developed by Loan and I have tested this and updated my comments</t>
  </si>
  <si>
    <t>GGO-13837</t>
  </si>
  <si>
    <t>Package you have chosen is not a multisale package and it is already sold. Getting error while trying to add another sale of this package</t>
  </si>
  <si>
    <t>GGO-13838</t>
  </si>
  <si>
    <t>Supporter Grid display issues in Fundraiser-only projects</t>
  </si>
  <si>
    <t>GGO-13835</t>
  </si>
  <si>
    <t xml:space="preserve">GoTime-Storefront - Web- Getting Error while making the payment through Cash </t>
  </si>
  <si>
    <t>GGO-13733</t>
  </si>
  <si>
    <t>Go time checkin update</t>
  </si>
  <si>
    <t>Saranya,Priya</t>
  </si>
  <si>
    <t>https://dev.azure.com/greatergiving/Greater%20Giving/_git/GGO/pullrequest/7344</t>
  </si>
  <si>
    <t>Loan Truong/Mike Wall</t>
  </si>
  <si>
    <t>Implemented as per AC, no issues found.</t>
  </si>
  <si>
    <t>SathiyaBharathi / Saranya Namachivayam</t>
  </si>
  <si>
    <t>GGO-13699</t>
  </si>
  <si>
    <t>Go time checkout update</t>
  </si>
  <si>
    <t>https://dev.azure.com/greatergiving/Greater%20Giving/_git/GGO/pullrequest/7345</t>
  </si>
  <si>
    <t>Implemented as per AC.</t>
  </si>
  <si>
    <t>GGO-13807</t>
  </si>
  <si>
    <t>Apply Fees Logic Update</t>
  </si>
  <si>
    <t>Sathiyabharathi,Priya</t>
  </si>
  <si>
    <t>https://greatergiving.visualstudio.com/Greater%20Giving/_git/GGO/pullrequest/7347</t>
  </si>
  <si>
    <t>No comments</t>
  </si>
  <si>
    <t>Saranya/SathiyaBharathi</t>
  </si>
  <si>
    <t>Saranya,Sathiyabharathi,Priya</t>
  </si>
  <si>
    <t>https://greatergiving.visualstudio.com/Greater%20Giving/_git/GGO/pullrequest/7352</t>
  </si>
  <si>
    <t>Found a new defect. Still in progress</t>
  </si>
  <si>
    <t>GGO-13744</t>
  </si>
  <si>
    <t>Convenience Fee Enabled Setting Persistence across templates and copied projects</t>
  </si>
  <si>
    <t>https://greatergiving.visualstudio.com/Greater%20Giving/_git/GGO/pullrequest/7346</t>
  </si>
  <si>
    <t>Coordinate with IT to add Bluetooth hardware column in SF*</t>
  </si>
  <si>
    <t>Still in progress</t>
  </si>
  <si>
    <t>Development is completed. Testing is pending. It requires IT team support</t>
  </si>
  <si>
    <t>GGO-13824</t>
  </si>
  <si>
    <t>When updating equipment orders, it will only update one card reader field at a time.*</t>
  </si>
  <si>
    <t>https://dev.azure.com/greatergiving/Greater%20Giving/_git/GGO/pullrequest/7358</t>
  </si>
  <si>
    <t>This bug was fixed</t>
  </si>
  <si>
    <t>GGO-13703</t>
  </si>
  <si>
    <t>Bid-18 Update</t>
  </si>
  <si>
    <t>Sathiyabharathi,Rajesh</t>
  </si>
  <si>
    <t>GGO-13820</t>
  </si>
  <si>
    <t>Salesforce Support*</t>
  </si>
  <si>
    <t>GGO 7.16.0</t>
  </si>
  <si>
    <t>Saranya Namachivayam / Rajesh</t>
  </si>
  <si>
    <t>GGO-13612</t>
  </si>
  <si>
    <t>Update Redis Cache Clearing on Release</t>
  </si>
  <si>
    <t>SathiyaBharathi,Priya</t>
  </si>
  <si>
    <t>https://greatergiving.visualstudio.com/Greater%20Giving/_git/GGO/pullrequest/7317</t>
  </si>
  <si>
    <t>The column header was occupying additional column for the report BID-18, however it’s look like an existing issue.</t>
  </si>
  <si>
    <t>GGO-13696</t>
  </si>
  <si>
    <t>Add option to supporter record</t>
  </si>
  <si>
    <t>https://dev.azure.com/greatergiving/Greater%20Giving/_git/GGO/pullrequest/7316</t>
  </si>
  <si>
    <t>Move constant variable to common file convenienceFee.cs</t>
  </si>
  <si>
    <t>GGO-13701</t>
  </si>
  <si>
    <t>Charge Batch Update</t>
  </si>
  <si>
    <t>https://dev.azure.com/greatergiving/Greater%20Giving/_git/GGO/pullrequest/7306</t>
  </si>
  <si>
    <t>move methods to common place</t>
  </si>
  <si>
    <t>One Defect Sub-task has been created to update the window height based on AC. It was fixed and the story was completed.</t>
  </si>
  <si>
    <t>GGO-13795</t>
  </si>
  <si>
    <t>Manually added Convenience Fee sales not counted as 'Convenience Fee Applied'</t>
  </si>
  <si>
    <t>Parent story-GGO-13702</t>
  </si>
  <si>
    <t>GGO-13771</t>
  </si>
  <si>
    <t>Update label on supporter record*</t>
  </si>
  <si>
    <t>https://dev.azure.com/greatergiving/Greater%20Giving/_git/GGO/pullrequest/7330</t>
  </si>
  <si>
    <t>Move variable declaration to common file convenienceFee.cs</t>
  </si>
  <si>
    <t>Priya- QA</t>
  </si>
  <si>
    <t>GGO-13702</t>
  </si>
  <si>
    <t>Supporter Advanced Search update</t>
  </si>
  <si>
    <t>Testing completed in this sprint</t>
  </si>
  <si>
    <t>GGO-13783</t>
  </si>
  <si>
    <t>Go Time Card Entry Interface for new readers</t>
  </si>
  <si>
    <t>Worked and Tested with the Mobile team to check the new popup doesn't affect any existing flow.</t>
  </si>
  <si>
    <t>GGO-13821</t>
  </si>
  <si>
    <t>Manually created negative Conv fee sale is displayed in both Total sales and Conv fee applied and the total due is calculated based on these two values...</t>
  </si>
  <si>
    <t>GGO-13825</t>
  </si>
  <si>
    <t>Negative convenience amount is calculated in the report Bid- 18 if the supporter has a negative due and covering conv fee is enabled</t>
  </si>
  <si>
    <t>GGO-13828</t>
  </si>
  <si>
    <t>Total Due Amounts in Checkout VS Manage Sales and Payments don't always match</t>
  </si>
  <si>
    <t>/GGO-13804</t>
  </si>
  <si>
    <t>Charge Batch Grid height not limited to 400px</t>
  </si>
  <si>
    <t>GGO-13143</t>
  </si>
  <si>
    <t>Send Group to OB for bidders</t>
  </si>
  <si>
    <t xml:space="preserve"> Priya</t>
  </si>
  <si>
    <t>https://dev.azure.com/greatergiving/Greater%20Giving/_git/GGO/pullrequest/7229</t>
  </si>
  <si>
    <t>20-Jan-0202</t>
  </si>
  <si>
    <t>Mike Wall,Loan</t>
  </si>
  <si>
    <t>GGO-13735</t>
  </si>
  <si>
    <t>Update Legacy Go Time Mobile Reader Options image</t>
  </si>
  <si>
    <t>https://dev.azure.com/greatergiving/Greater%20Giving/_git/GGO/pullrequest/7279</t>
  </si>
  <si>
    <t>GGO-13740</t>
  </si>
  <si>
    <t>GGO 7.15.0 CRT Release &amp; Regression Testing</t>
  </si>
  <si>
    <t>GGO-13770</t>
  </si>
  <si>
    <t>AGG-07 Reports missing from PRD</t>
  </si>
  <si>
    <t>Rajesh and Priya</t>
  </si>
  <si>
    <t>https://dev.azure.com/greatergiving/Greater%20Giving/_git/GGO/pullrequest/7264</t>
  </si>
  <si>
    <t>create new file in Library project and move the convenience fee releated changes to that file</t>
  </si>
  <si>
    <t>https://dev.azure.com/greatergiving/Greater%20Giving/_git/GGO/pullrequest/7285</t>
  </si>
  <si>
    <t>GGO-13736</t>
  </si>
  <si>
    <t>Hide card reader popup for mobile pilot users</t>
  </si>
  <si>
    <t>https://dev.azure.com/greatergiving/Greater%20Giving/_git/GGO/pullrequest/7273</t>
  </si>
  <si>
    <t>GGO-13774</t>
  </si>
  <si>
    <t>Escalation Support</t>
  </si>
  <si>
    <t>Sathiyabharathi / Saranya</t>
  </si>
  <si>
    <t>Supporter Advanced Search Update*</t>
  </si>
  <si>
    <t>Saranya and Priya</t>
  </si>
  <si>
    <t>No LLBLGen file changes should be made manually. You need to run LLBLGen using powershell tool. If you have problem with license, let me know.</t>
  </si>
  <si>
    <t>https://greatergiving.atlassian.net/browse/GGO-13775</t>
  </si>
  <si>
    <t xml:space="preserve">GGO code card entry dialogue is still showing behind the new Popup from GGO Mobile  </t>
  </si>
  <si>
    <t>https://greatergiving.atlassian.net/browse/GGO-13780</t>
  </si>
  <si>
    <t>Negative values are getting updated under Total sales when we have deleted the normal sale and convenience sale from the checkout</t>
  </si>
  <si>
    <t>Saranya Namachivayam/Sathiyabharathi Paramasivam</t>
  </si>
  <si>
    <t>https://greatergiving.visualstudio
.com/Greater%20Giving/_git/
GGO/pullrequest/7252</t>
  </si>
  <si>
    <t>25-01-2024</t>
  </si>
  <si>
    <t xml:space="preserve">
Michael Wall</t>
  </si>
  <si>
    <t>Took more time to cover all scenario's, failed with 
1 scenario at the end of sprint, so it got carry forwarded 
to next sprint</t>
  </si>
  <si>
    <t>Mobile Sprint 4</t>
  </si>
  <si>
    <t>GGOM-832</t>
  </si>
  <si>
    <t>user gets error if users login is shared in multiple orgs</t>
  </si>
  <si>
    <t>https://greatergiving.visualstudio.
com/Greater%20Giving/_git/
GGO/pullrequest/7224</t>
  </si>
  <si>
    <t>17-01-2024</t>
  </si>
  <si>
    <t>18-01-2024</t>
  </si>
  <si>
    <t>GGO-13695</t>
  </si>
  <si>
    <t>Add Conv fee flag to backend of supporter</t>
  </si>
  <si>
    <t>https://dev.azure.com/greatergiving/Greater%20Giving/_git/GGO/pullrequest/7231</t>
  </si>
  <si>
    <t>19-01-2024</t>
  </si>
  <si>
    <t>Loan,Mike Wall,Mike Horihan</t>
  </si>
  <si>
    <t>why we choose varchar(250) for the Email column</t>
  </si>
  <si>
    <t>Changed [EmailAddress] column datatype and length as([nvarchar] (127) NULL)</t>
  </si>
  <si>
    <t>GGO-13756</t>
  </si>
  <si>
    <t>CRT Regression Issue-AGG-23X Report loading issue</t>
  </si>
  <si>
    <t>https://dev.azure.com/greatergiving/Greater%20Giving/_git/GGO/pullrequest/7248</t>
  </si>
  <si>
    <t>23-01-2024</t>
  </si>
  <si>
    <t>we frequently faced AsyncPageTime out issue while Running AGG-03 ,AGG-25, AGG-23x reports.PO decided to revert the changes .</t>
  </si>
  <si>
    <t>Reverted SQLCLR 7 story changes, we frequently faced AsyncPageTime out issue while Running AGG-03 ,AGG-25, AGG-23x reports.PO decided to revert the changes .</t>
  </si>
  <si>
    <t>GGO-13742</t>
  </si>
  <si>
    <t>Project Website Creation error for returning clients*</t>
  </si>
  <si>
    <t>Migration Script Updated in ChangeLog</t>
  </si>
  <si>
    <t>GGO-13752</t>
  </si>
  <si>
    <t>Set IsBluetoothPilot Flag in browser cookies for Legacy Mobile App*</t>
  </si>
  <si>
    <t>https://dev.azure.com/greatergiving/Greater%20Giving/_git/GGO/pullrequest/7216</t>
  </si>
  <si>
    <t>13-01-2024</t>
  </si>
  <si>
    <t>13-01-202</t>
  </si>
  <si>
    <t>GGO-13753</t>
  </si>
  <si>
    <t>Set isBluetoothFlag in Switch Project functionality for Legacy Mobile App</t>
  </si>
  <si>
    <t>Loan, MikeW</t>
  </si>
  <si>
    <t>MikeW</t>
  </si>
  <si>
    <t>GGO-13462</t>
  </si>
  <si>
    <t>Identify and update the non-data table 4</t>
  </si>
  <si>
    <t>Testing completed on this sprint</t>
  </si>
  <si>
    <t>GGO-13694</t>
  </si>
  <si>
    <t>Project Builder Updates</t>
  </si>
  <si>
    <t>GGO-13758</t>
  </si>
  <si>
    <t xml:space="preserve"> Adding new admissions from the existing supporter and Save it- Getting "An Error has occurred"</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</si>
  <si>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</si>
  <si>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</si>
  <si>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</si>
  <si>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</si>
  <si>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</si>
  <si>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</si>
  <si>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</si>
  <si>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</si>
  <si>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</si>
  <si>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</si>
  <si>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</si>
  <si>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</si>
  <si>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</si>
  <si>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</si>
  <si>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</si>
  <si>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</si>
  <si>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Existing_Issues</t>
  </si>
  <si>
    <t>Requirements</t>
  </si>
  <si>
    <t>QA</t>
  </si>
  <si>
    <t>Documentation</t>
  </si>
  <si>
    <t>Project_Management</t>
  </si>
  <si>
    <t>Ready</t>
  </si>
  <si>
    <t>Ready for testing</t>
  </si>
  <si>
    <t>Suggestion
can we rename Phones to PhoneNumbers ? "Phones" by itself implies the hardware</t>
  </si>
  <si>
    <t xml:space="preserve">
1. Correct the params here
2. Correct the param here 
3. Don't we have to check teamCoordinator is not null here before accessing its property
4. correct the param name here 
5. Why are we keeping empty class here? remove it if not needed
Suggestion 
1. rather than generic description like 'response' , why don't we use actual description
2. rather than generic description like 'response' , why don't we use actual description (i.e FundraisingTeamCoordinator)
3. You could use else or else if here
Does there any edge case of equals 0 here
4. Consider renaming this variable here? to be more descriptive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</si>
</sst>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yy"/>
    <numFmt numFmtId="165" formatCode="dd\-mmm\-yyyy"/>
    <numFmt numFmtId="166" formatCode="[$-409]d\-mmm\-yyyy;@"/>
  </numFmts>
  <fonts count="49">
    <font>
      <sz val="10"/>
      <color rgb="FF000000"/>
      <name val="Arial"/>
      <scheme val="minor"/>
    </font>
    <font>
      <b/>
      <sz val="10"/>
      <color rgb="FFFFFFFF"/>
      <name val="Calibri"/>
    </font>
    <font>
      <sz val="10"/>
      <color theme="1"/>
      <name val="Arial"/>
      <scheme val="minor"/>
    </font>
    <font>
      <sz val="10"/>
      <color theme="1"/>
      <name val="Arial"/>
    </font>
    <font>
      <u/>
      <sz val="10"/>
      <color rgb="FF000000"/>
      <name val="Arial"/>
    </font>
    <font>
      <sz val="10"/>
      <color rgb="FF000000"/>
      <name val="Arial"/>
    </font>
    <font>
      <u/>
      <sz val="10"/>
      <color rgb="FF0000FF"/>
      <name val="Arial"/>
    </font>
    <font>
      <sz val="9"/>
      <color rgb="FF1F1F1F"/>
      <name val="&quot;Google Sans&quot;"/>
    </font>
    <font>
      <sz val="10"/>
      <color rgb="FF1C2933"/>
      <name val="Helvetica Neue"/>
    </font>
    <font>
      <u/>
      <sz val="11"/>
      <color rgb="FF0000FF"/>
      <name val="-apple-system"/>
    </font>
    <font>
      <sz val="11"/>
      <color rgb="FF172B4D"/>
      <name val="-apple-system"/>
    </font>
    <font>
      <u/>
      <sz val="10"/>
      <color theme="1"/>
      <name val="Arial"/>
    </font>
    <font>
      <u/>
      <sz val="11"/>
      <color rgb="FF172B4D"/>
      <name val="Arial"/>
    </font>
    <font>
      <u/>
      <sz val="11"/>
      <color rgb="FF0000FF"/>
      <name val="Arial"/>
    </font>
    <font>
      <sz val="11"/>
      <color rgb="FF172B4D"/>
      <name val="Arial"/>
    </font>
    <font>
      <sz val="11"/>
      <color rgb="FF000000"/>
      <name val="Arial"/>
    </font>
    <font>
      <b/>
      <sz val="10"/>
      <color theme="1"/>
      <name val="Arial"/>
    </font>
    <font>
      <sz val="10"/>
      <name val="Arial"/>
    </font>
    <font>
      <b/>
      <sz val="9"/>
      <color rgb="FFFFFFFF"/>
      <name val="Proxima Nova"/>
    </font>
    <font>
      <sz val="10"/>
      <color theme="1"/>
      <name val="Proxima Nova"/>
    </font>
    <font>
      <u/>
      <sz val="10"/>
      <color theme="10"/>
      <name val="Arial"/>
      <scheme val="minor"/>
    </font>
    <font>
      <sz val="10"/>
      <color rgb="FF000000"/>
      <name val="Arial"/>
      <charset val="1"/>
    </font>
    <font>
      <sz val="11"/>
      <color rgb="FF000000"/>
      <name val="Segoe UI"/>
      <charset val="1"/>
    </font>
    <font>
      <b/>
      <sz val="10"/>
      <color theme="1"/>
      <name val="Calibri"/>
    </font>
    <font>
      <b/>
      <sz val="10"/>
      <color rgb="FFFFFFFF"/>
      <name val="Arial"/>
      <scheme val="major"/>
    </font>
    <font>
      <sz val="10"/>
      <color rgb="FF000000"/>
      <name val="Arial"/>
      <scheme val="major"/>
    </font>
    <font>
      <sz val="10"/>
      <color theme="1"/>
      <name val="Arial"/>
      <scheme val="major"/>
    </font>
    <font>
      <u/>
      <sz val="10"/>
      <color theme="10"/>
      <name val="Arial"/>
      <scheme val="major"/>
    </font>
    <font>
      <u/>
      <sz val="10"/>
      <color rgb="FF000000"/>
      <name val="Arial"/>
      <scheme val="minor"/>
    </font>
    <font>
      <sz val="10"/>
      <color rgb="FF202124"/>
      <name val="Roboto"/>
      <charset val="1"/>
    </font>
    <font>
      <sz val="10"/>
      <color theme="1"/>
      <name val="Arial"/>
      <charset val="1"/>
    </font>
    <font>
      <u/>
      <sz val="10"/>
      <color theme="10"/>
      <name val="Arial"/>
    </font>
    <font>
      <sz val="11"/>
      <color rgb="FF172B4D"/>
      <name val="-Apple-System"/>
      <charset val="1"/>
    </font>
    <font>
      <sz val="10"/>
      <color rgb="FFFF0000"/>
      <name val="Arial"/>
    </font>
    <font>
      <b/>
      <sz val="10"/>
      <color rgb="FF000000"/>
      <name val="Arial"/>
      <scheme val="minor"/>
    </font>
    <font>
      <b/>
      <sz val="10"/>
      <color rgb="FFFFFFFF"/>
      <name val="Arial"/>
    </font>
    <font>
      <sz val="10"/>
      <color rgb="FFFF0000"/>
      <name val="Arial"/>
      <scheme val="minor"/>
    </font>
    <font>
      <sz val="11"/>
      <color rgb="FF242424"/>
      <name val="Aptos Narrow"/>
      <charset val="1"/>
    </font>
    <font>
      <sz val="10"/>
      <color rgb="FF242424"/>
      <name val="Arial"/>
      <scheme val="minor"/>
    </font>
    <font>
      <sz val="10"/>
      <color rgb="FF1D1C1D"/>
      <name val="Arial"/>
      <scheme val="minor"/>
    </font>
    <font>
      <sz val="10"/>
      <color rgb="FF242424"/>
      <name val="Arial"/>
      <charset val="1"/>
    </font>
    <font>
      <sz val="11"/>
      <color rgb="FF1D1C1D"/>
      <name val="Slack-Lato"/>
      <charset val="1"/>
    </font>
    <font>
      <sz val="10"/>
      <color rgb="FF172B4D"/>
      <name val="Arial"/>
      <scheme val="minor"/>
    </font>
    <font>
      <u/>
      <sz val="10"/>
      <color rgb="FFFF0000"/>
      <name val="Arial"/>
      <scheme val="minor"/>
    </font>
    <font>
      <u/>
      <sz val="10"/>
      <color theme="4" tint="-0.249977111117893"/>
      <name val="Arial"/>
      <scheme val="minor"/>
    </font>
    <font>
      <sz val="9"/>
      <color rgb="FF000000"/>
      <name val="Arial"/>
      <scheme val="minor"/>
    </font>
    <font>
      <b/>
      <sz val="9"/>
      <color rgb="FF000000"/>
      <name val="Arial"/>
      <scheme val="minor"/>
    </font>
    <font>
      <b/>
      <sz val="10"/>
      <color rgb="FF000000"/>
      <name val="Arial"/>
    </font>
    <font>
      <b/>
      <i/>
      <u/>
      <sz val="10"/>
      <color rgb="FF000000"/>
      <name val="Arial"/>
    </font>
  </fonts>
  <fills count="20">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FFFFF"/>
        <bgColor rgb="FFFFFFFF"/>
      </patternFill>
    </fill>
    <fill>
      <patternFill patternType="solid">
        <fgColor rgb="FF97247E"/>
        <bgColor rgb="FF97247E"/>
      </patternFill>
    </fill>
    <fill>
      <patternFill patternType="solid">
        <fgColor rgb="FFF7F8F9"/>
        <bgColor rgb="FFF7F8F9"/>
      </patternFill>
    </fill>
    <fill>
      <patternFill patternType="solid">
        <fgColor rgb="FFD9D9D9"/>
        <bgColor rgb="FFD9D9D9"/>
      </patternFill>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6"/>
        <bgColor indexed="6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8F8F8"/>
        <bgColor indexed="64"/>
      </patternFill>
    </fill>
    <fill>
      <patternFill patternType="solid">
        <fgColor rgb="FFFFFFFF"/>
        <bgColor indexed="64"/>
      </patternFill>
    </fill>
    <fill>
      <patternFill patternType="solid">
        <fgColor rgb="FF093D93"/>
        <bgColor rgb="FF000000"/>
      </patternFill>
    </fill>
    <fill>
      <patternFill patternType="solid">
        <fgColor rgb="FFFEA767"/>
        <bgColor rgb="FF000000"/>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theme="4" tint="0.39997558519241921"/>
      </bottom>
      <diagonal/>
    </border>
  </borders>
  <cellStyleXfs count="2">
    <xf numFmtId="0" fontId="0" fillId="0" borderId="0"/>
    <xf numFmtId="0" fontId="20" fillId="0" borderId="0" applyNumberFormat="0" applyFill="0" applyBorder="0" applyAlignment="0" applyProtection="0"/>
  </cellStyleXfs>
  <cellXfs count="488">
    <xf numFmtId="0" fontId="0" fillId="0" borderId="0" xfId="0"/>
    <xf numFmtId="0" fontId="1" fillId="2" borderId="1" xfId="0" applyFont="1" applyFill="1" applyBorder="1" applyAlignment="1">
      <alignment horizontal="center" wrapText="1"/>
    </xf>
    <xf numFmtId="0" fontId="2" fillId="0" borderId="1" xfId="0" applyFont="1" applyBorder="1"/>
    <xf numFmtId="0" fontId="1" fillId="3" borderId="1" xfId="0" applyFont="1" applyFill="1" applyBorder="1" applyAlignment="1">
      <alignment horizontal="center" wrapText="1"/>
    </xf>
    <xf numFmtId="0" fontId="3" fillId="0" borderId="2" xfId="0" applyFont="1" applyBorder="1" applyAlignment="1">
      <alignment horizontal="right"/>
    </xf>
    <xf numFmtId="0" fontId="3" fillId="0" borderId="1" xfId="0" applyFont="1" applyBorder="1" applyAlignment="1">
      <alignment horizontal="center" wrapText="1"/>
    </xf>
    <xf numFmtId="0" fontId="3" fillId="0" borderId="3" xfId="0" applyFont="1" applyBorder="1" applyAlignment="1">
      <alignment horizontal="left"/>
    </xf>
    <xf numFmtId="0" fontId="3" fillId="0" borderId="4" xfId="0" applyFont="1" applyBorder="1" applyAlignment="1">
      <alignment horizontal="center"/>
    </xf>
    <xf numFmtId="0" fontId="3" fillId="0" borderId="4" xfId="0" applyFont="1" applyBorder="1" applyAlignment="1">
      <alignment vertical="center" wrapText="1"/>
    </xf>
    <xf numFmtId="0" fontId="3" fillId="0" borderId="1" xfId="0" applyFont="1" applyBorder="1" applyAlignment="1">
      <alignment vertical="center" wrapText="1"/>
    </xf>
    <xf numFmtId="0" fontId="3" fillId="0" borderId="1" xfId="0" applyFont="1" applyBorder="1"/>
    <xf numFmtId="0" fontId="3" fillId="0" borderId="3" xfId="0" applyFont="1" applyBorder="1" applyAlignment="1">
      <alignment horizontal="center"/>
    </xf>
    <xf numFmtId="0" fontId="3" fillId="0" borderId="3" xfId="0" applyFont="1" applyBorder="1"/>
    <xf numFmtId="0" fontId="4" fillId="0" borderId="3" xfId="0" applyFont="1" applyBorder="1" applyAlignment="1">
      <alignment horizontal="center"/>
    </xf>
    <xf numFmtId="0" fontId="5" fillId="4" borderId="1" xfId="0" applyFont="1" applyFill="1" applyBorder="1" applyAlignment="1">
      <alignment horizontal="center"/>
    </xf>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applyAlignment="1">
      <alignment horizontal="left"/>
    </xf>
    <xf numFmtId="0" fontId="5" fillId="0" borderId="1" xfId="0" applyFont="1" applyBorder="1" applyAlignment="1">
      <alignment horizontal="center"/>
    </xf>
    <xf numFmtId="0" fontId="5" fillId="0" borderId="3" xfId="0" applyFont="1" applyBorder="1" applyAlignment="1">
      <alignment horizontal="center" wrapText="1"/>
    </xf>
    <xf numFmtId="0" fontId="6" fillId="0" borderId="3" xfId="0" applyFont="1" applyBorder="1" applyAlignment="1">
      <alignment horizontal="center" wrapText="1"/>
    </xf>
    <xf numFmtId="0" fontId="5" fillId="4" borderId="0" xfId="0" applyFont="1" applyFill="1" applyAlignment="1">
      <alignment horizontal="center"/>
    </xf>
    <xf numFmtId="0" fontId="7" fillId="4" borderId="0" xfId="0" applyFont="1" applyFill="1"/>
    <xf numFmtId="0" fontId="3" fillId="0" borderId="0" xfId="0" applyFont="1" applyAlignment="1">
      <alignment wrapText="1"/>
    </xf>
    <xf numFmtId="0" fontId="1" fillId="2" borderId="5" xfId="0" applyFont="1" applyFill="1" applyBorder="1" applyAlignment="1">
      <alignment horizontal="center" wrapText="1"/>
    </xf>
    <xf numFmtId="0" fontId="1" fillId="2" borderId="5" xfId="0" applyFont="1" applyFill="1" applyBorder="1" applyAlignment="1">
      <alignment wrapText="1"/>
    </xf>
    <xf numFmtId="0" fontId="1" fillId="5" borderId="5" xfId="0" applyFont="1" applyFill="1" applyBorder="1" applyAlignment="1">
      <alignment horizontal="center" wrapText="1"/>
    </xf>
    <xf numFmtId="0" fontId="1" fillId="3" borderId="5" xfId="0" applyFont="1" applyFill="1" applyBorder="1" applyAlignment="1">
      <alignment horizontal="center" wrapText="1"/>
    </xf>
    <xf numFmtId="0" fontId="3" fillId="0" borderId="0" xfId="0" applyFont="1"/>
    <xf numFmtId="0" fontId="3" fillId="0" borderId="3" xfId="0" applyFont="1" applyBorder="1" applyAlignment="1">
      <alignment wrapText="1"/>
    </xf>
    <xf numFmtId="164" fontId="3" fillId="0" borderId="1" xfId="0" applyNumberFormat="1" applyFont="1" applyBorder="1" applyAlignment="1">
      <alignment wrapText="1"/>
    </xf>
    <xf numFmtId="0" fontId="3" fillId="0" borderId="3" xfId="0" applyFont="1" applyBorder="1" applyAlignment="1">
      <alignment horizontal="center" wrapText="1"/>
    </xf>
    <xf numFmtId="0" fontId="3" fillId="0" borderId="5" xfId="0" applyFont="1" applyBorder="1" applyAlignment="1">
      <alignment wrapText="1"/>
    </xf>
    <xf numFmtId="0" fontId="11" fillId="0" borderId="3" xfId="0" applyFont="1" applyBorder="1" applyAlignment="1">
      <alignment horizontal="center" wrapText="1"/>
    </xf>
    <xf numFmtId="165" fontId="3" fillId="0" borderId="1" xfId="0" applyNumberFormat="1" applyFont="1" applyBorder="1" applyAlignment="1">
      <alignment wrapText="1"/>
    </xf>
    <xf numFmtId="0" fontId="8" fillId="4" borderId="1" xfId="0" applyFont="1" applyFill="1" applyBorder="1" applyAlignment="1">
      <alignment vertical="top" wrapText="1"/>
    </xf>
    <xf numFmtId="0" fontId="16" fillId="7" borderId="1" xfId="0" applyFont="1" applyFill="1" applyBorder="1"/>
    <xf numFmtId="0" fontId="18" fillId="5" borderId="1" xfId="0" applyFont="1" applyFill="1" applyBorder="1" applyAlignment="1">
      <alignment horizontal="center"/>
    </xf>
    <xf numFmtId="0" fontId="19" fillId="4" borderId="2" xfId="0" applyFont="1" applyFill="1" applyBorder="1" applyAlignment="1">
      <alignment horizontal="center"/>
    </xf>
    <xf numFmtId="0" fontId="11" fillId="0" borderId="3" xfId="0" applyFont="1" applyBorder="1" applyAlignment="1">
      <alignment wrapText="1"/>
    </xf>
    <xf numFmtId="0" fontId="2" fillId="0" borderId="1" xfId="0" applyFont="1" applyBorder="1" applyAlignment="1">
      <alignment wrapText="1"/>
    </xf>
    <xf numFmtId="0" fontId="3" fillId="0" borderId="5" xfId="0" applyFont="1" applyBorder="1"/>
    <xf numFmtId="0" fontId="1" fillId="2" borderId="4" xfId="0" applyFont="1" applyFill="1" applyBorder="1" applyAlignment="1">
      <alignment horizontal="center" wrapText="1"/>
    </xf>
    <xf numFmtId="0" fontId="0" fillId="0" borderId="0" xfId="0" applyAlignment="1">
      <alignment wrapText="1"/>
    </xf>
    <xf numFmtId="0" fontId="3" fillId="0" borderId="2" xfId="0" applyFont="1" applyBorder="1" applyAlignment="1">
      <alignment horizontal="right" wrapText="1"/>
    </xf>
    <xf numFmtId="0" fontId="3" fillId="0" borderId="3" xfId="0" applyFont="1" applyBorder="1" applyAlignment="1">
      <alignment horizontal="left" wrapText="1"/>
    </xf>
    <xf numFmtId="0" fontId="10" fillId="4" borderId="1" xfId="0" applyFont="1" applyFill="1" applyBorder="1" applyAlignment="1">
      <alignment horizontal="left" wrapText="1"/>
    </xf>
    <xf numFmtId="164" fontId="3" fillId="0" borderId="3" xfId="0" applyNumberFormat="1" applyFont="1" applyBorder="1" applyAlignment="1">
      <alignment horizontal="center" wrapText="1"/>
    </xf>
    <xf numFmtId="164" fontId="5" fillId="4" borderId="1" xfId="0" applyNumberFormat="1" applyFont="1" applyFill="1" applyBorder="1" applyAlignment="1">
      <alignment horizontal="center" wrapText="1"/>
    </xf>
    <xf numFmtId="0" fontId="3" fillId="0" borderId="1" xfId="0" applyFont="1" applyBorder="1" applyAlignment="1">
      <alignment horizontal="left" wrapText="1"/>
    </xf>
    <xf numFmtId="165" fontId="3" fillId="0" borderId="3" xfId="0" applyNumberFormat="1" applyFont="1" applyBorder="1" applyAlignment="1">
      <alignment horizontal="center" wrapText="1"/>
    </xf>
    <xf numFmtId="0" fontId="10" fillId="6" borderId="1" xfId="0" applyFont="1" applyFill="1" applyBorder="1" applyAlignment="1">
      <alignment horizontal="left" wrapText="1"/>
    </xf>
    <xf numFmtId="0" fontId="3" fillId="0" borderId="1" xfId="0" applyFont="1" applyBorder="1" applyAlignment="1">
      <alignment horizontal="right" wrapText="1"/>
    </xf>
    <xf numFmtId="0" fontId="14" fillId="6" borderId="1" xfId="0" applyFont="1" applyFill="1" applyBorder="1" applyAlignment="1">
      <alignment horizontal="left" wrapText="1"/>
    </xf>
    <xf numFmtId="0" fontId="15" fillId="4" borderId="1" xfId="0" applyFont="1" applyFill="1" applyBorder="1" applyAlignment="1">
      <alignment wrapText="1"/>
    </xf>
    <xf numFmtId="0" fontId="3" fillId="0" borderId="0" xfId="0" applyFont="1" applyAlignment="1">
      <alignment horizontal="center" wrapText="1"/>
    </xf>
    <xf numFmtId="0" fontId="2" fillId="0" borderId="0" xfId="0" applyFont="1" applyAlignment="1">
      <alignment horizontal="center" wrapText="1"/>
    </xf>
    <xf numFmtId="0" fontId="1"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wrapText="1"/>
    </xf>
    <xf numFmtId="0" fontId="20" fillId="0" borderId="3" xfId="1" applyBorder="1" applyAlignment="1">
      <alignment horizontal="center" wrapText="1"/>
    </xf>
    <xf numFmtId="0" fontId="3" fillId="0" borderId="8" xfId="0" applyFont="1" applyBorder="1" applyAlignment="1">
      <alignment horizontal="center" vertical="center" wrapText="1"/>
    </xf>
    <xf numFmtId="0" fontId="3" fillId="0" borderId="6" xfId="0" applyFont="1" applyBorder="1" applyAlignment="1">
      <alignment horizontal="center" wrapText="1"/>
    </xf>
    <xf numFmtId="0" fontId="8" fillId="4" borderId="0" xfId="0" applyFont="1" applyFill="1" applyAlignment="1">
      <alignment horizontal="center" vertical="top" wrapText="1"/>
    </xf>
    <xf numFmtId="15" fontId="3" fillId="0" borderId="1" xfId="0" applyNumberFormat="1" applyFont="1" applyBorder="1" applyAlignment="1">
      <alignment wrapText="1"/>
    </xf>
    <xf numFmtId="15" fontId="3" fillId="0" borderId="3" xfId="0" applyNumberFormat="1" applyFont="1" applyBorder="1" applyAlignment="1">
      <alignment horizontal="center" wrapText="1"/>
    </xf>
    <xf numFmtId="0" fontId="20" fillId="0" borderId="3" xfId="1" applyBorder="1" applyAlignment="1">
      <alignment wrapText="1"/>
    </xf>
    <xf numFmtId="0" fontId="20" fillId="0" borderId="1" xfId="1" applyBorder="1" applyAlignment="1">
      <alignment horizontal="center" wrapText="1"/>
    </xf>
    <xf numFmtId="15" fontId="3" fillId="0" borderId="1" xfId="0" applyNumberFormat="1" applyFont="1" applyBorder="1" applyAlignment="1">
      <alignment horizontal="center" wrapText="1"/>
    </xf>
    <xf numFmtId="0" fontId="20" fillId="0" borderId="1" xfId="1" applyBorder="1" applyAlignment="1">
      <alignment horizontal="center" vertical="center" wrapText="1"/>
    </xf>
    <xf numFmtId="0" fontId="21" fillId="0" borderId="0" xfId="0" applyFont="1"/>
    <xf numFmtId="0" fontId="20" fillId="4" borderId="1" xfId="1" applyFill="1" applyBorder="1" applyAlignment="1">
      <alignment horizontal="center" vertical="center" wrapText="1"/>
    </xf>
    <xf numFmtId="15" fontId="21" fillId="0" borderId="0" xfId="0" applyNumberFormat="1" applyFont="1"/>
    <xf numFmtId="0" fontId="20" fillId="0" borderId="3" xfId="1" quotePrefix="1" applyBorder="1" applyAlignment="1">
      <alignment wrapText="1"/>
    </xf>
    <xf numFmtId="0" fontId="3" fillId="8" borderId="1" xfId="0" applyFont="1" applyFill="1" applyBorder="1" applyAlignment="1">
      <alignment wrapText="1"/>
    </xf>
    <xf numFmtId="0" fontId="10" fillId="9" borderId="1" xfId="0" applyFont="1" applyFill="1" applyBorder="1" applyAlignment="1">
      <alignment horizontal="left" wrapText="1"/>
    </xf>
    <xf numFmtId="0" fontId="3" fillId="9" borderId="1" xfId="0" applyFont="1" applyFill="1" applyBorder="1" applyAlignment="1">
      <alignment wrapText="1"/>
    </xf>
    <xf numFmtId="0" fontId="20" fillId="10" borderId="1" xfId="1" applyFill="1" applyBorder="1" applyAlignment="1">
      <alignment horizontal="center" vertical="center" wrapText="1"/>
    </xf>
    <xf numFmtId="0" fontId="20" fillId="9" borderId="1" xfId="1" applyFill="1" applyBorder="1" applyAlignment="1">
      <alignment horizontal="center" vertical="center" wrapText="1"/>
    </xf>
    <xf numFmtId="0" fontId="9" fillId="9" borderId="1" xfId="0" applyFont="1" applyFill="1" applyBorder="1" applyAlignment="1">
      <alignment horizontal="center" vertical="center" wrapText="1"/>
    </xf>
    <xf numFmtId="0" fontId="22" fillId="0" borderId="0" xfId="0" applyFont="1"/>
    <xf numFmtId="0" fontId="2" fillId="0" borderId="1" xfId="0" applyFont="1" applyBorder="1" applyAlignment="1">
      <alignment horizontal="center" vertical="center"/>
    </xf>
    <xf numFmtId="0" fontId="5" fillId="0" borderId="1" xfId="0" applyFont="1" applyBorder="1" applyAlignment="1">
      <alignment wrapText="1"/>
    </xf>
    <xf numFmtId="14" fontId="3" fillId="0" borderId="1" xfId="0" applyNumberFormat="1" applyFont="1" applyBorder="1" applyAlignment="1">
      <alignment horizontal="center" wrapText="1"/>
    </xf>
    <xf numFmtId="0" fontId="0" fillId="0" borderId="1" xfId="0" applyBorder="1" applyAlignment="1">
      <alignment wrapText="1"/>
    </xf>
    <xf numFmtId="0" fontId="3" fillId="0" borderId="4" xfId="0" applyFont="1" applyBorder="1" applyAlignment="1">
      <alignment wrapText="1"/>
    </xf>
    <xf numFmtId="0" fontId="3" fillId="0" borderId="4" xfId="0" applyFont="1" applyBorder="1" applyAlignment="1">
      <alignment horizontal="center" wrapText="1"/>
    </xf>
    <xf numFmtId="0" fontId="21" fillId="0" borderId="1" xfId="0" applyFont="1" applyBorder="1"/>
    <xf numFmtId="0" fontId="3" fillId="0" borderId="8" xfId="0" applyFont="1" applyBorder="1" applyAlignment="1">
      <alignment horizontal="center" wrapText="1"/>
    </xf>
    <xf numFmtId="0" fontId="20" fillId="0" borderId="9" xfId="1" applyBorder="1" applyAlignment="1">
      <alignment horizontal="center" wrapText="1"/>
    </xf>
    <xf numFmtId="14" fontId="3" fillId="0" borderId="4" xfId="0" applyNumberFormat="1" applyFont="1" applyBorder="1" applyAlignment="1">
      <alignment horizontal="center" wrapText="1"/>
    </xf>
    <xf numFmtId="14" fontId="3" fillId="0" borderId="4" xfId="0" applyNumberFormat="1" applyFont="1" applyBorder="1" applyAlignment="1">
      <alignment wrapText="1"/>
    </xf>
    <xf numFmtId="0" fontId="2" fillId="0" borderId="4" xfId="0" applyFont="1" applyBorder="1"/>
    <xf numFmtId="165" fontId="3" fillId="0" borderId="1" xfId="0" applyNumberFormat="1" applyFont="1" applyBorder="1" applyAlignment="1">
      <alignment horizontal="center" wrapText="1"/>
    </xf>
    <xf numFmtId="0" fontId="2" fillId="0" borderId="1" xfId="0" applyFont="1" applyBorder="1" applyAlignment="1">
      <alignment horizontal="center" wrapText="1"/>
    </xf>
    <xf numFmtId="0" fontId="22" fillId="0" borderId="1" xfId="0" applyFont="1" applyBorder="1"/>
    <xf numFmtId="0" fontId="0" fillId="0" borderId="1" xfId="0" applyBorder="1"/>
    <xf numFmtId="0" fontId="2" fillId="0" borderId="1" xfId="0" applyFont="1" applyBorder="1" applyAlignment="1">
      <alignment vertical="center"/>
    </xf>
    <xf numFmtId="14" fontId="3" fillId="0" borderId="1" xfId="0" applyNumberFormat="1" applyFont="1" applyBorder="1" applyAlignment="1">
      <alignment horizontal="center" vertical="center" wrapText="1"/>
    </xf>
    <xf numFmtId="15" fontId="3" fillId="0" borderId="1" xfId="0" applyNumberFormat="1" applyFont="1" applyBorder="1" applyAlignment="1">
      <alignment vertical="center" wrapText="1"/>
    </xf>
    <xf numFmtId="0" fontId="0" fillId="0" borderId="4" xfId="0" applyBorder="1" applyAlignment="1">
      <alignment wrapText="1"/>
    </xf>
    <xf numFmtId="0" fontId="20" fillId="0" borderId="4" xfId="1" applyBorder="1" applyAlignment="1">
      <alignment horizontal="center" vertical="center" wrapText="1"/>
    </xf>
    <xf numFmtId="0" fontId="20" fillId="0" borderId="4" xfId="1" applyBorder="1" applyAlignment="1">
      <alignment horizontal="center" wrapText="1"/>
    </xf>
    <xf numFmtId="165" fontId="3" fillId="0" borderId="4" xfId="0" applyNumberFormat="1" applyFont="1" applyBorder="1" applyAlignment="1">
      <alignment horizontal="center" wrapText="1"/>
    </xf>
    <xf numFmtId="0" fontId="2" fillId="0" borderId="1" xfId="0" applyFont="1" applyBorder="1" applyAlignment="1">
      <alignment horizontal="center" vertical="center" wrapText="1"/>
    </xf>
    <xf numFmtId="0" fontId="0" fillId="0" borderId="4" xfId="0" applyBorder="1"/>
    <xf numFmtId="0" fontId="0" fillId="0" borderId="1" xfId="0" applyBorder="1" applyAlignment="1">
      <alignment horizontal="center"/>
    </xf>
    <xf numFmtId="0" fontId="2" fillId="0" borderId="4" xfId="0" applyFont="1" applyBorder="1" applyAlignment="1">
      <alignment horizontal="center" wrapText="1"/>
    </xf>
    <xf numFmtId="0" fontId="2" fillId="0" borderId="8" xfId="0" applyFont="1" applyBorder="1"/>
    <xf numFmtId="0" fontId="0" fillId="0" borderId="9" xfId="0" applyBorder="1" applyAlignment="1">
      <alignment wrapText="1"/>
    </xf>
    <xf numFmtId="0" fontId="20" fillId="8" borderId="1" xfId="1" applyFill="1" applyBorder="1" applyAlignment="1">
      <alignment horizontal="center" vertical="center" wrapText="1"/>
    </xf>
    <xf numFmtId="0" fontId="20" fillId="10" borderId="4" xfId="1" applyFill="1" applyBorder="1" applyAlignment="1">
      <alignment horizontal="center" vertical="center" wrapText="1"/>
    </xf>
    <xf numFmtId="15" fontId="3" fillId="0" borderId="4" xfId="0" applyNumberFormat="1" applyFont="1" applyBorder="1" applyAlignment="1">
      <alignment horizontal="center" wrapText="1"/>
    </xf>
    <xf numFmtId="0" fontId="0" fillId="0" borderId="6" xfId="0" applyBorder="1" applyAlignment="1">
      <alignment wrapText="1"/>
    </xf>
    <xf numFmtId="0" fontId="20" fillId="9" borderId="4" xfId="1" applyFill="1" applyBorder="1" applyAlignment="1">
      <alignment horizontal="center" vertical="center" wrapText="1"/>
    </xf>
    <xf numFmtId="0" fontId="3" fillId="0" borderId="5" xfId="0" applyFont="1" applyBorder="1" applyAlignment="1">
      <alignment horizontal="center" wrapText="1"/>
    </xf>
    <xf numFmtId="0" fontId="2" fillId="0" borderId="1" xfId="0" applyFont="1" applyBorder="1" applyAlignment="1">
      <alignment vertical="center" wrapText="1"/>
    </xf>
    <xf numFmtId="166" fontId="2" fillId="0" borderId="1" xfId="0" applyNumberFormat="1" applyFont="1" applyBorder="1" applyAlignment="1">
      <alignment vertical="center"/>
    </xf>
    <xf numFmtId="15" fontId="0" fillId="0" borderId="4" xfId="0" applyNumberFormat="1" applyBorder="1" applyAlignment="1">
      <alignment wrapText="1"/>
    </xf>
    <xf numFmtId="0" fontId="3" fillId="0" borderId="4" xfId="0" applyFont="1" applyBorder="1" applyAlignment="1">
      <alignment horizontal="left" wrapText="1"/>
    </xf>
    <xf numFmtId="0" fontId="0" fillId="0" borderId="8" xfId="0" applyBorder="1" applyAlignment="1">
      <alignment wrapText="1"/>
    </xf>
    <xf numFmtId="14" fontId="0" fillId="0" borderId="4" xfId="0" applyNumberFormat="1" applyBorder="1" applyAlignment="1">
      <alignment wrapText="1"/>
    </xf>
    <xf numFmtId="49" fontId="3" fillId="0" borderId="4" xfId="0" applyNumberFormat="1" applyFont="1" applyBorder="1" applyAlignment="1">
      <alignment wrapText="1"/>
    </xf>
    <xf numFmtId="0" fontId="24" fillId="2" borderId="1" xfId="0" applyFont="1" applyFill="1" applyBorder="1" applyAlignment="1">
      <alignment horizontal="center" wrapText="1"/>
    </xf>
    <xf numFmtId="0" fontId="24" fillId="2" borderId="1" xfId="0" applyFont="1" applyFill="1" applyBorder="1" applyAlignment="1">
      <alignment horizontal="center" vertical="center" wrapText="1"/>
    </xf>
    <xf numFmtId="0" fontId="25" fillId="0" borderId="1" xfId="0" applyFont="1" applyBorder="1" applyAlignment="1">
      <alignment wrapText="1"/>
    </xf>
    <xf numFmtId="0" fontId="26" fillId="0" borderId="1" xfId="0" applyFont="1" applyBorder="1"/>
    <xf numFmtId="0" fontId="26" fillId="0" borderId="1" xfId="0" applyFont="1" applyBorder="1" applyAlignment="1">
      <alignment horizontal="center" wrapText="1"/>
    </xf>
    <xf numFmtId="0" fontId="27" fillId="0" borderId="1" xfId="1" applyFont="1" applyBorder="1" applyAlignment="1">
      <alignment horizontal="center" vertical="center" wrapText="1"/>
    </xf>
    <xf numFmtId="49" fontId="26" fillId="0" borderId="1" xfId="0" applyNumberFormat="1" applyFont="1" applyBorder="1" applyAlignment="1">
      <alignment wrapText="1"/>
    </xf>
    <xf numFmtId="0" fontId="26" fillId="0" borderId="1" xfId="0" applyFont="1" applyBorder="1" applyAlignment="1">
      <alignment wrapText="1"/>
    </xf>
    <xf numFmtId="0" fontId="27" fillId="0" borderId="1" xfId="1" applyFont="1" applyBorder="1" applyAlignment="1">
      <alignment horizontal="center" wrapText="1"/>
    </xf>
    <xf numFmtId="15" fontId="26" fillId="0" borderId="1" xfId="0" applyNumberFormat="1" applyFont="1" applyBorder="1" applyAlignment="1">
      <alignment horizontal="center" wrapText="1"/>
    </xf>
    <xf numFmtId="0" fontId="26" fillId="0" borderId="1" xfId="0" applyFont="1" applyBorder="1" applyAlignment="1">
      <alignment horizontal="left" wrapText="1"/>
    </xf>
    <xf numFmtId="15" fontId="25" fillId="0" borderId="1" xfId="0" applyNumberFormat="1" applyFont="1" applyBorder="1" applyAlignment="1">
      <alignment wrapText="1"/>
    </xf>
    <xf numFmtId="0" fontId="0" fillId="0" borderId="0" xfId="0" applyAlignment="1">
      <alignment horizontal="center" wrapText="1"/>
    </xf>
    <xf numFmtId="0" fontId="25" fillId="0" borderId="1" xfId="0" applyFont="1" applyBorder="1" applyAlignment="1">
      <alignment horizontal="center" wrapText="1"/>
    </xf>
    <xf numFmtId="0" fontId="20" fillId="0" borderId="1" xfId="1" applyBorder="1" applyAlignment="1">
      <alignment wrapText="1"/>
    </xf>
    <xf numFmtId="0" fontId="0" fillId="0" borderId="5" xfId="0" applyBorder="1" applyAlignment="1">
      <alignment wrapText="1"/>
    </xf>
    <xf numFmtId="0" fontId="0" fillId="0" borderId="2" xfId="0" applyBorder="1" applyAlignment="1">
      <alignment wrapText="1"/>
    </xf>
    <xf numFmtId="0" fontId="3" fillId="0" borderId="2" xfId="0" applyFont="1" applyBorder="1" applyAlignment="1">
      <alignment horizontal="center" wrapText="1"/>
    </xf>
    <xf numFmtId="15" fontId="0" fillId="0" borderId="1" xfId="0" applyNumberFormat="1" applyBorder="1" applyAlignment="1">
      <alignment wrapText="1"/>
    </xf>
    <xf numFmtId="0" fontId="0" fillId="0" borderId="3" xfId="0" applyBorder="1" applyAlignment="1">
      <alignment wrapText="1"/>
    </xf>
    <xf numFmtId="0" fontId="28" fillId="0" borderId="1" xfId="0" applyFont="1" applyBorder="1" applyAlignment="1">
      <alignment horizontal="center" vertical="center" wrapText="1"/>
    </xf>
    <xf numFmtId="0" fontId="26" fillId="0" borderId="4" xfId="0" applyFont="1" applyBorder="1"/>
    <xf numFmtId="0" fontId="25" fillId="0" borderId="4" xfId="0" applyFont="1" applyBorder="1" applyAlignment="1">
      <alignment wrapText="1"/>
    </xf>
    <xf numFmtId="0" fontId="26" fillId="0" borderId="4" xfId="0" applyFont="1" applyBorder="1" applyAlignment="1">
      <alignment horizontal="center" wrapText="1"/>
    </xf>
    <xf numFmtId="0" fontId="27" fillId="0" borderId="4" xfId="1" applyFont="1" applyBorder="1" applyAlignment="1">
      <alignment horizontal="center" wrapText="1"/>
    </xf>
    <xf numFmtId="0" fontId="28" fillId="0" borderId="4" xfId="0" applyFont="1" applyBorder="1" applyAlignment="1">
      <alignment horizontal="center" vertical="center" wrapText="1"/>
    </xf>
    <xf numFmtId="15" fontId="26" fillId="0" borderId="4" xfId="0" applyNumberFormat="1" applyFont="1" applyBorder="1" applyAlignment="1">
      <alignment horizontal="center" wrapText="1"/>
    </xf>
    <xf numFmtId="0" fontId="25" fillId="0" borderId="6" xfId="0" applyFont="1" applyBorder="1" applyAlignment="1">
      <alignment wrapText="1"/>
    </xf>
    <xf numFmtId="0" fontId="21" fillId="0" borderId="4" xfId="0" applyFont="1" applyBorder="1"/>
    <xf numFmtId="0" fontId="0" fillId="0" borderId="10" xfId="0" applyBorder="1" applyAlignment="1">
      <alignment wrapText="1"/>
    </xf>
    <xf numFmtId="0" fontId="3" fillId="0" borderId="11" xfId="0" applyFont="1" applyBorder="1" applyAlignment="1">
      <alignment horizontal="right"/>
    </xf>
    <xf numFmtId="0" fontId="1" fillId="2" borderId="9" xfId="0" applyFont="1" applyFill="1" applyBorder="1" applyAlignment="1">
      <alignment horizontal="center" wrapText="1"/>
    </xf>
    <xf numFmtId="0" fontId="1" fillId="2" borderId="9" xfId="0" applyFont="1" applyFill="1" applyBorder="1" applyAlignment="1">
      <alignment wrapText="1"/>
    </xf>
    <xf numFmtId="0" fontId="0" fillId="0" borderId="1" xfId="0" applyBorder="1" applyAlignment="1">
      <alignment horizontal="center" wrapText="1"/>
    </xf>
    <xf numFmtId="0" fontId="3" fillId="0" borderId="12" xfId="0" applyFont="1" applyBorder="1"/>
    <xf numFmtId="0" fontId="1" fillId="3" borderId="9" xfId="0" applyFont="1" applyFill="1" applyBorder="1" applyAlignment="1">
      <alignment horizontal="center" wrapText="1"/>
    </xf>
    <xf numFmtId="0" fontId="26" fillId="0" borderId="6" xfId="0" applyFont="1" applyBorder="1"/>
    <xf numFmtId="0" fontId="20" fillId="0" borderId="4" xfId="1" quotePrefix="1" applyBorder="1" applyAlignment="1">
      <alignment wrapText="1"/>
    </xf>
    <xf numFmtId="0" fontId="26" fillId="8" borderId="1" xfId="0" applyFont="1" applyFill="1" applyBorder="1"/>
    <xf numFmtId="0" fontId="20" fillId="8" borderId="3" xfId="1" applyFill="1" applyBorder="1" applyAlignment="1">
      <alignment wrapText="1"/>
    </xf>
    <xf numFmtId="0" fontId="3" fillId="8" borderId="3" xfId="0" applyFont="1" applyFill="1" applyBorder="1" applyAlignment="1">
      <alignment horizontal="left"/>
    </xf>
    <xf numFmtId="0" fontId="3" fillId="8" borderId="12" xfId="0" applyFont="1" applyFill="1" applyBorder="1"/>
    <xf numFmtId="0" fontId="29" fillId="8" borderId="1" xfId="0" applyFont="1" applyFill="1" applyBorder="1"/>
    <xf numFmtId="0" fontId="3" fillId="8" borderId="3" xfId="0" applyFont="1" applyFill="1" applyBorder="1"/>
    <xf numFmtId="0" fontId="25" fillId="0" borderId="1" xfId="0" applyFont="1" applyBorder="1" applyAlignment="1">
      <alignment horizontal="left" wrapText="1"/>
    </xf>
    <xf numFmtId="0" fontId="27" fillId="0" borderId="1" xfId="1" applyFont="1" applyBorder="1" applyAlignment="1">
      <alignment horizontal="left" wrapText="1"/>
    </xf>
    <xf numFmtId="0" fontId="22" fillId="0" borderId="1" xfId="0" applyFont="1" applyBorder="1" applyAlignment="1">
      <alignment vertical="top" wrapText="1"/>
    </xf>
    <xf numFmtId="0" fontId="25" fillId="0" borderId="5" xfId="0" applyFont="1" applyBorder="1" applyAlignment="1">
      <alignment wrapText="1"/>
    </xf>
    <xf numFmtId="0" fontId="21" fillId="0" borderId="6" xfId="0" applyFont="1" applyBorder="1" applyAlignment="1">
      <alignment horizontal="left"/>
    </xf>
    <xf numFmtId="0" fontId="24" fillId="2" borderId="3" xfId="0" applyFont="1" applyFill="1" applyBorder="1" applyAlignment="1">
      <alignment horizontal="center" wrapText="1"/>
    </xf>
    <xf numFmtId="0" fontId="24" fillId="2" borderId="2" xfId="0" applyFont="1" applyFill="1" applyBorder="1" applyAlignment="1">
      <alignment horizontal="center" wrapText="1"/>
    </xf>
    <xf numFmtId="0" fontId="24" fillId="2" borderId="2" xfId="0" applyFont="1" applyFill="1" applyBorder="1" applyAlignment="1">
      <alignment horizontal="center" vertical="center" wrapText="1"/>
    </xf>
    <xf numFmtId="0" fontId="24" fillId="2" borderId="11" xfId="0" applyFont="1" applyFill="1" applyBorder="1" applyAlignment="1">
      <alignment horizontal="center" wrapText="1"/>
    </xf>
    <xf numFmtId="0" fontId="26" fillId="0" borderId="4" xfId="0" applyFont="1" applyBorder="1" applyAlignment="1">
      <alignment wrapText="1"/>
    </xf>
    <xf numFmtId="0" fontId="26" fillId="0" borderId="4" xfId="0" applyFont="1" applyBorder="1" applyAlignment="1">
      <alignment horizontal="left" wrapText="1"/>
    </xf>
    <xf numFmtId="0" fontId="2" fillId="0" borderId="4" xfId="0" applyFont="1" applyBorder="1" applyAlignment="1">
      <alignment vertical="center"/>
    </xf>
    <xf numFmtId="0" fontId="30" fillId="0" borderId="1" xfId="0" applyFont="1" applyBorder="1" applyAlignment="1">
      <alignment horizontal="left"/>
    </xf>
    <xf numFmtId="0" fontId="21" fillId="0" borderId="8" xfId="0" applyFont="1" applyBorder="1" applyAlignment="1">
      <alignment horizontal="left"/>
    </xf>
    <xf numFmtId="0" fontId="26" fillId="0" borderId="8" xfId="0" applyFont="1" applyBorder="1" applyAlignment="1">
      <alignment horizontal="left" wrapText="1"/>
    </xf>
    <xf numFmtId="49" fontId="0" fillId="0" borderId="0" xfId="0" applyNumberFormat="1"/>
    <xf numFmtId="0" fontId="30" fillId="0" borderId="4" xfId="0" applyFont="1" applyBorder="1" applyAlignment="1">
      <alignment horizontal="left"/>
    </xf>
    <xf numFmtId="0" fontId="3" fillId="0" borderId="6" xfId="0" applyFont="1" applyBorder="1" applyAlignment="1">
      <alignment horizontal="left" wrapText="1"/>
    </xf>
    <xf numFmtId="0" fontId="26" fillId="0" borderId="13" xfId="0" applyFont="1" applyBorder="1" applyAlignment="1">
      <alignment horizontal="left" wrapText="1"/>
    </xf>
    <xf numFmtId="0" fontId="2" fillId="0" borderId="6" xfId="0" applyFont="1" applyBorder="1" applyAlignment="1">
      <alignment horizontal="center" wrapText="1"/>
    </xf>
    <xf numFmtId="0" fontId="31" fillId="0" borderId="1" xfId="1" applyFont="1" applyBorder="1" applyAlignment="1">
      <alignment horizontal="center" vertical="center" wrapText="1"/>
    </xf>
    <xf numFmtId="0" fontId="31" fillId="0" borderId="4" xfId="1" applyFont="1" applyBorder="1" applyAlignment="1">
      <alignment horizontal="center" vertical="center" wrapText="1"/>
    </xf>
    <xf numFmtId="0" fontId="31" fillId="0" borderId="1" xfId="1" applyFont="1" applyBorder="1" applyAlignment="1">
      <alignment horizontal="center" vertical="center"/>
    </xf>
    <xf numFmtId="0" fontId="0" fillId="9" borderId="0" xfId="0" applyFill="1" applyAlignment="1">
      <alignment wrapText="1"/>
    </xf>
    <xf numFmtId="0" fontId="0" fillId="0" borderId="13" xfId="0" applyBorder="1" applyAlignment="1">
      <alignment wrapText="1"/>
    </xf>
    <xf numFmtId="0" fontId="0" fillId="0" borderId="14" xfId="0" applyBorder="1" applyAlignment="1">
      <alignment wrapText="1"/>
    </xf>
    <xf numFmtId="14" fontId="0" fillId="0" borderId="1" xfId="0" applyNumberFormat="1" applyBorder="1" applyAlignment="1">
      <alignment wrapText="1"/>
    </xf>
    <xf numFmtId="0" fontId="20" fillId="0" borderId="1" xfId="1" applyBorder="1"/>
    <xf numFmtId="0" fontId="0" fillId="0" borderId="1" xfId="0" applyBorder="1" applyAlignment="1">
      <alignment horizontal="left" wrapText="1"/>
    </xf>
    <xf numFmtId="15" fontId="21" fillId="0" borderId="1" xfId="0" applyNumberFormat="1" applyFont="1" applyBorder="1"/>
    <xf numFmtId="0" fontId="24" fillId="2" borderId="14" xfId="0" applyFont="1" applyFill="1" applyBorder="1" applyAlignment="1">
      <alignment horizontal="center" wrapText="1"/>
    </xf>
    <xf numFmtId="14" fontId="25" fillId="0" borderId="1" xfId="0" applyNumberFormat="1" applyFont="1" applyBorder="1" applyAlignment="1">
      <alignment wrapText="1"/>
    </xf>
    <xf numFmtId="0" fontId="32" fillId="0" borderId="1" xfId="0" applyFont="1" applyBorder="1"/>
    <xf numFmtId="0" fontId="30" fillId="13" borderId="1" xfId="0" applyFont="1" applyFill="1" applyBorder="1" applyAlignment="1">
      <alignment horizontal="left"/>
    </xf>
    <xf numFmtId="0" fontId="24" fillId="2" borderId="10" xfId="0" applyFont="1" applyFill="1" applyBorder="1" applyAlignment="1">
      <alignment horizontal="center" wrapText="1"/>
    </xf>
    <xf numFmtId="0" fontId="1" fillId="2" borderId="4"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4" fillId="2" borderId="15"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1" fillId="2" borderId="6" xfId="0" applyFont="1" applyFill="1" applyBorder="1" applyAlignment="1">
      <alignment horizontal="center" wrapText="1"/>
    </xf>
    <xf numFmtId="0" fontId="3" fillId="0" borderId="6" xfId="0" applyFont="1" applyBorder="1"/>
    <xf numFmtId="0" fontId="3" fillId="8" borderId="1" xfId="0" applyFont="1" applyFill="1" applyBorder="1"/>
    <xf numFmtId="0" fontId="2" fillId="0" borderId="1" xfId="0" applyFont="1" applyBorder="1" applyAlignment="1">
      <alignment horizontal="left" wrapText="1"/>
    </xf>
    <xf numFmtId="0" fontId="1" fillId="3" borderId="4" xfId="0" applyFont="1" applyFill="1" applyBorder="1" applyAlignment="1">
      <alignment horizontal="center" wrapText="1"/>
    </xf>
    <xf numFmtId="14" fontId="25" fillId="0" borderId="4" xfId="0" applyNumberFormat="1" applyFont="1" applyBorder="1" applyAlignment="1">
      <alignment wrapText="1"/>
    </xf>
    <xf numFmtId="0" fontId="3" fillId="0" borderId="4" xfId="0" applyFont="1" applyBorder="1"/>
    <xf numFmtId="0" fontId="25" fillId="0" borderId="4" xfId="0" applyFont="1" applyBorder="1" applyAlignment="1">
      <alignment horizontal="left" wrapText="1"/>
    </xf>
    <xf numFmtId="14" fontId="0" fillId="0" borderId="1" xfId="0" applyNumberFormat="1" applyBorder="1" applyAlignment="1">
      <alignment horizontal="left" wrapText="1"/>
    </xf>
    <xf numFmtId="0" fontId="20" fillId="0" borderId="1" xfId="1" applyBorder="1" applyAlignment="1">
      <alignment horizontal="left" wrapText="1"/>
    </xf>
    <xf numFmtId="15" fontId="3" fillId="0" borderId="1" xfId="0" applyNumberFormat="1" applyFont="1" applyBorder="1" applyAlignment="1">
      <alignment horizontal="left" wrapText="1"/>
    </xf>
    <xf numFmtId="15" fontId="0" fillId="0" borderId="1" xfId="0" applyNumberFormat="1" applyBorder="1" applyAlignment="1">
      <alignment horizontal="left" wrapText="1"/>
    </xf>
    <xf numFmtId="0" fontId="21" fillId="0" borderId="1" xfId="0" applyFont="1" applyBorder="1" applyAlignment="1">
      <alignment horizontal="left"/>
    </xf>
    <xf numFmtId="0" fontId="31" fillId="0" borderId="1" xfId="1" applyFont="1" applyBorder="1" applyAlignment="1">
      <alignment horizontal="left" wrapText="1"/>
    </xf>
    <xf numFmtId="0" fontId="0" fillId="0" borderId="4" xfId="0" applyBorder="1" applyAlignment="1">
      <alignment horizontal="left" wrapText="1"/>
    </xf>
    <xf numFmtId="0" fontId="0" fillId="0" borderId="0" xfId="0" applyAlignment="1">
      <alignment horizontal="left" wrapText="1"/>
    </xf>
    <xf numFmtId="14" fontId="0" fillId="0" borderId="4" xfId="0" applyNumberFormat="1" applyBorder="1" applyAlignment="1">
      <alignment horizontal="left" wrapText="1"/>
    </xf>
    <xf numFmtId="0" fontId="3" fillId="0" borderId="4" xfId="0" applyFont="1" applyBorder="1" applyAlignment="1">
      <alignment horizontal="left"/>
    </xf>
    <xf numFmtId="0" fontId="20" fillId="0" borderId="8" xfId="1" applyBorder="1" applyAlignment="1">
      <alignment horizontal="left" wrapText="1"/>
    </xf>
    <xf numFmtId="0" fontId="20" fillId="0" borderId="1" xfId="1" applyBorder="1" applyAlignment="1">
      <alignment horizontal="left" vertical="center" wrapText="1"/>
    </xf>
    <xf numFmtId="0" fontId="20" fillId="0" borderId="4" xfId="1" applyBorder="1" applyAlignment="1">
      <alignment wrapText="1"/>
    </xf>
    <xf numFmtId="0" fontId="20" fillId="0" borderId="4" xfId="1" applyBorder="1" applyAlignment="1">
      <alignment horizontal="left" vertical="center" wrapText="1"/>
    </xf>
    <xf numFmtId="0" fontId="3" fillId="0" borderId="0" xfId="0" applyFont="1" applyAlignment="1">
      <alignment horizontal="left" wrapText="1"/>
    </xf>
    <xf numFmtId="0" fontId="3" fillId="0" borderId="8" xfId="0" applyFont="1" applyBorder="1"/>
    <xf numFmtId="0" fontId="20" fillId="0" borderId="4" xfId="1" applyBorder="1" applyAlignment="1">
      <alignment vertical="center" wrapText="1"/>
    </xf>
    <xf numFmtId="0" fontId="2" fillId="0" borderId="4" xfId="0" applyFont="1" applyBorder="1" applyAlignment="1">
      <alignment horizontal="left" wrapText="1"/>
    </xf>
    <xf numFmtId="14" fontId="3" fillId="0" borderId="4" xfId="0" applyNumberFormat="1" applyFont="1" applyBorder="1" applyAlignment="1">
      <alignment horizontal="left" wrapText="1"/>
    </xf>
    <xf numFmtId="0" fontId="1" fillId="2" borderId="4" xfId="0" applyFont="1" applyFill="1" applyBorder="1" applyAlignment="1">
      <alignment wrapText="1"/>
    </xf>
    <xf numFmtId="0" fontId="33" fillId="9" borderId="1" xfId="0" applyFont="1" applyFill="1" applyBorder="1"/>
    <xf numFmtId="0" fontId="2" fillId="9" borderId="1" xfId="1" applyFont="1" applyFill="1" applyBorder="1"/>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0" fontId="3" fillId="0" borderId="1" xfId="0" applyFont="1" applyBorder="1" applyAlignment="1">
      <alignment horizontal="left" vertical="center" wrapText="1"/>
    </xf>
    <xf numFmtId="0" fontId="31" fillId="0" borderId="1" xfId="1" applyFont="1" applyBorder="1" applyAlignment="1">
      <alignment horizontal="left" vertical="center" wrapText="1"/>
    </xf>
    <xf numFmtId="0" fontId="0" fillId="0" borderId="1" xfId="0" applyBorder="1" applyAlignment="1">
      <alignment vertical="center" wrapText="1"/>
    </xf>
    <xf numFmtId="0" fontId="35" fillId="2" borderId="0" xfId="0" applyFont="1" applyFill="1" applyAlignment="1">
      <alignment horizontal="center" wrapText="1"/>
    </xf>
    <xf numFmtId="0" fontId="35" fillId="2" borderId="14" xfId="0" applyFont="1" applyFill="1" applyBorder="1" applyAlignment="1">
      <alignment horizontal="center" wrapText="1"/>
    </xf>
    <xf numFmtId="0" fontId="35" fillId="2" borderId="3" xfId="0" applyFont="1" applyFill="1" applyBorder="1" applyAlignment="1">
      <alignment horizontal="center" wrapText="1"/>
    </xf>
    <xf numFmtId="0" fontId="35" fillId="2" borderId="2" xfId="0" applyFont="1" applyFill="1" applyBorder="1" applyAlignment="1">
      <alignment horizontal="center" wrapText="1"/>
    </xf>
    <xf numFmtId="0" fontId="35" fillId="3" borderId="14" xfId="0" applyFont="1" applyFill="1" applyBorder="1" applyAlignment="1">
      <alignment horizontal="center" wrapText="1"/>
    </xf>
    <xf numFmtId="0" fontId="0" fillId="0" borderId="4" xfId="0" applyBorder="1" applyAlignment="1">
      <alignment horizontal="left" vertical="center" wrapText="1"/>
    </xf>
    <xf numFmtId="0" fontId="3" fillId="0" borderId="4" xfId="0" applyFont="1" applyBorder="1" applyAlignment="1">
      <alignment horizontal="left" vertical="center" wrapText="1"/>
    </xf>
    <xf numFmtId="0" fontId="35" fillId="2" borderId="2" xfId="0" applyFont="1" applyFill="1" applyBorder="1" applyAlignment="1">
      <alignment horizontal="left" wrapText="1"/>
    </xf>
    <xf numFmtId="0" fontId="3" fillId="0" borderId="6" xfId="0" applyFont="1" applyBorder="1" applyAlignment="1">
      <alignment vertical="center" wrapText="1"/>
    </xf>
    <xf numFmtId="0" fontId="20" fillId="0" borderId="7" xfId="1" applyBorder="1" applyAlignment="1">
      <alignment horizontal="left" vertical="center" wrapText="1"/>
    </xf>
    <xf numFmtId="0" fontId="3" fillId="0" borderId="4" xfId="0" applyFont="1" applyBorder="1" applyAlignment="1">
      <alignment horizontal="right" vertical="center" wrapText="1"/>
    </xf>
    <xf numFmtId="0" fontId="3" fillId="0" borderId="1" xfId="0" applyFont="1" applyBorder="1" applyAlignment="1">
      <alignment horizontal="right" vertical="center" wrapText="1"/>
    </xf>
    <xf numFmtId="0" fontId="26" fillId="0" borderId="1" xfId="0" applyFont="1" applyBorder="1" applyAlignment="1">
      <alignment horizontal="right" vertical="center" wrapText="1"/>
    </xf>
    <xf numFmtId="0" fontId="0" fillId="0" borderId="5" xfId="0" applyBorder="1" applyAlignment="1">
      <alignment vertical="center" wrapText="1"/>
    </xf>
    <xf numFmtId="0" fontId="3" fillId="0" borderId="6" xfId="0" applyFont="1" applyBorder="1" applyAlignment="1">
      <alignment horizontal="left" vertical="center" wrapText="1"/>
    </xf>
    <xf numFmtId="0" fontId="1" fillId="2" borderId="16" xfId="0" applyFont="1" applyFill="1" applyBorder="1" applyAlignment="1">
      <alignment horizontal="center" vertical="center" wrapText="1"/>
    </xf>
    <xf numFmtId="0" fontId="0" fillId="0" borderId="9" xfId="0" applyBorder="1" applyAlignment="1">
      <alignment vertical="center" wrapText="1"/>
    </xf>
    <xf numFmtId="14" fontId="0" fillId="0" borderId="4" xfId="0" applyNumberFormat="1" applyBorder="1" applyAlignment="1">
      <alignment horizontal="left" vertical="center" wrapText="1"/>
    </xf>
    <xf numFmtId="0" fontId="3" fillId="0" borderId="8" xfId="0" applyFont="1" applyBorder="1" applyAlignment="1">
      <alignment vertical="center" wrapText="1"/>
    </xf>
    <xf numFmtId="0" fontId="20" fillId="0" borderId="13" xfId="1" applyBorder="1" applyAlignment="1">
      <alignment horizontal="left" vertical="center" wrapText="1"/>
    </xf>
    <xf numFmtId="0" fontId="3" fillId="0" borderId="8" xfId="0" applyFont="1" applyBorder="1" applyAlignment="1">
      <alignment horizontal="left" vertical="center" wrapText="1"/>
    </xf>
    <xf numFmtId="0" fontId="3" fillId="0" borderId="4" xfId="0" applyFont="1" applyBorder="1" applyAlignment="1">
      <alignment horizontal="right" wrapText="1"/>
    </xf>
    <xf numFmtId="0" fontId="0" fillId="0" borderId="4" xfId="0" applyBorder="1" applyAlignment="1">
      <alignment vertical="center" wrapText="1"/>
    </xf>
    <xf numFmtId="0" fontId="3" fillId="0" borderId="8" xfId="0" applyFont="1" applyBorder="1" applyAlignment="1">
      <alignment horizontal="left" wrapText="1"/>
    </xf>
    <xf numFmtId="0" fontId="3" fillId="0" borderId="9" xfId="0" applyFont="1" applyBorder="1" applyAlignment="1">
      <alignment wrapText="1"/>
    </xf>
    <xf numFmtId="49" fontId="0" fillId="0" borderId="4" xfId="0" applyNumberFormat="1" applyBorder="1" applyAlignment="1">
      <alignment horizontal="center" vertical="center"/>
    </xf>
    <xf numFmtId="0" fontId="3" fillId="0" borderId="6" xfId="0" applyFont="1" applyBorder="1" applyAlignment="1">
      <alignment wrapText="1"/>
    </xf>
    <xf numFmtId="0" fontId="20" fillId="0" borderId="4" xfId="1" applyBorder="1"/>
    <xf numFmtId="0" fontId="3" fillId="0" borderId="8" xfId="0" applyFont="1" applyBorder="1" applyAlignment="1">
      <alignment wrapText="1"/>
    </xf>
    <xf numFmtId="0" fontId="3" fillId="8" borderId="4" xfId="0" applyFont="1" applyFill="1" applyBorder="1"/>
    <xf numFmtId="49" fontId="0" fillId="0" borderId="1" xfId="0" applyNumberFormat="1" applyBorder="1" applyAlignment="1">
      <alignment horizontal="center" vertical="center"/>
    </xf>
    <xf numFmtId="0" fontId="1" fillId="2" borderId="6" xfId="0" applyFont="1" applyFill="1" applyBorder="1" applyAlignment="1">
      <alignment horizontal="center" vertical="center" wrapText="1"/>
    </xf>
    <xf numFmtId="0" fontId="1" fillId="2"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Alignment="1">
      <alignment vertical="center"/>
    </xf>
    <xf numFmtId="0" fontId="20" fillId="8" borderId="1" xfId="1" applyFill="1" applyBorder="1" applyAlignment="1">
      <alignment vertical="center"/>
    </xf>
    <xf numFmtId="0" fontId="0" fillId="0" borderId="1" xfId="0" applyBorder="1" applyAlignment="1">
      <alignment vertical="center"/>
    </xf>
    <xf numFmtId="0" fontId="3" fillId="8" borderId="1" xfId="0" applyFont="1" applyFill="1" applyBorder="1" applyAlignment="1">
      <alignment vertical="center"/>
    </xf>
    <xf numFmtId="0" fontId="3" fillId="0" borderId="1" xfId="0" applyFont="1" applyBorder="1" applyAlignment="1">
      <alignment vertical="center"/>
    </xf>
    <xf numFmtId="0" fontId="20" fillId="0" borderId="1" xfId="1" applyBorder="1" applyAlignment="1">
      <alignment vertical="center"/>
    </xf>
    <xf numFmtId="0" fontId="1" fillId="5" borderId="6" xfId="0" applyFont="1" applyFill="1" applyBorder="1" applyAlignment="1">
      <alignment horizontal="center" wrapText="1"/>
    </xf>
    <xf numFmtId="0" fontId="3" fillId="0" borderId="6" xfId="0" applyFont="1" applyBorder="1" applyAlignment="1">
      <alignment horizontal="center"/>
    </xf>
    <xf numFmtId="0" fontId="3" fillId="0" borderId="8" xfId="0" applyFont="1" applyBorder="1" applyAlignment="1">
      <alignment horizontal="center"/>
    </xf>
    <xf numFmtId="0" fontId="0" fillId="0" borderId="0" xfId="0" applyAlignment="1">
      <alignment horizontal="center"/>
    </xf>
    <xf numFmtId="0" fontId="33" fillId="14" borderId="1" xfId="0" applyFont="1" applyFill="1" applyBorder="1" applyAlignment="1">
      <alignment vertical="center"/>
    </xf>
    <xf numFmtId="0" fontId="36" fillId="14" borderId="1" xfId="0" applyFont="1" applyFill="1" applyBorder="1" applyAlignment="1">
      <alignment vertical="center" wrapText="1"/>
    </xf>
    <xf numFmtId="0" fontId="3" fillId="0" borderId="7" xfId="0" applyFont="1" applyBorder="1" applyAlignment="1">
      <alignment horizontal="center"/>
    </xf>
    <xf numFmtId="0" fontId="0" fillId="12" borderId="1" xfId="0" applyFill="1" applyBorder="1" applyAlignment="1">
      <alignment vertical="center"/>
    </xf>
    <xf numFmtId="0" fontId="2" fillId="9" borderId="1" xfId="0" applyFont="1" applyFill="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12" borderId="1" xfId="0" applyFill="1" applyBorder="1" applyAlignment="1">
      <alignment horizontal="center" vertical="center"/>
    </xf>
    <xf numFmtId="0" fontId="0" fillId="0" borderId="0" xfId="0" applyAlignment="1">
      <alignment horizontal="center" vertical="center"/>
    </xf>
    <xf numFmtId="0" fontId="0" fillId="11" borderId="1" xfId="0" applyFill="1" applyBorder="1" applyAlignment="1">
      <alignment vertical="center"/>
    </xf>
    <xf numFmtId="14" fontId="0" fillId="0" borderId="1" xfId="0" applyNumberFormat="1" applyBorder="1" applyAlignment="1">
      <alignment vertical="center"/>
    </xf>
    <xf numFmtId="49" fontId="0" fillId="12" borderId="1" xfId="0" applyNumberFormat="1" applyFill="1" applyBorder="1" applyAlignment="1">
      <alignment vertical="center"/>
    </xf>
    <xf numFmtId="49" fontId="1" fillId="2" borderId="1" xfId="0" applyNumberFormat="1" applyFont="1" applyFill="1" applyBorder="1" applyAlignment="1">
      <alignment horizontal="center" vertical="center" wrapText="1"/>
    </xf>
    <xf numFmtId="0" fontId="23" fillId="8" borderId="1" xfId="0" applyFont="1" applyFill="1" applyBorder="1" applyAlignment="1">
      <alignment horizontal="center" vertical="center" wrapText="1"/>
    </xf>
    <xf numFmtId="15"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2" fillId="9" borderId="1" xfId="0" applyFont="1" applyFill="1" applyBorder="1" applyAlignment="1">
      <alignment vertical="center" wrapText="1"/>
    </xf>
    <xf numFmtId="15" fontId="0" fillId="0" borderId="1" xfId="0" applyNumberFormat="1" applyBorder="1" applyAlignment="1">
      <alignment horizontal="center" vertical="center"/>
    </xf>
    <xf numFmtId="0" fontId="26" fillId="0" borderId="1" xfId="0" applyFont="1" applyBorder="1" applyAlignment="1">
      <alignment vertical="center"/>
    </xf>
    <xf numFmtId="0" fontId="0" fillId="0" borderId="4" xfId="0" applyBorder="1" applyAlignment="1">
      <alignment vertical="center"/>
    </xf>
    <xf numFmtId="49" fontId="0" fillId="0" borderId="1" xfId="0" applyNumberFormat="1" applyBorder="1" applyAlignment="1">
      <alignment vertical="center"/>
    </xf>
    <xf numFmtId="0" fontId="3" fillId="8" borderId="6" xfId="0" applyFont="1" applyFill="1" applyBorder="1"/>
    <xf numFmtId="0" fontId="20" fillId="0" borderId="0" xfId="1"/>
    <xf numFmtId="15" fontId="0" fillId="0" borderId="4" xfId="0" applyNumberFormat="1" applyBorder="1" applyAlignment="1">
      <alignment horizontal="center" wrapText="1"/>
    </xf>
    <xf numFmtId="0" fontId="5" fillId="0" borderId="8" xfId="0" applyFont="1" applyBorder="1" applyAlignment="1">
      <alignment wrapText="1"/>
    </xf>
    <xf numFmtId="0" fontId="20" fillId="0" borderId="4" xfId="1" applyFill="1" applyBorder="1" applyAlignment="1">
      <alignment horizontal="center" vertical="center" wrapText="1"/>
    </xf>
    <xf numFmtId="0" fontId="3" fillId="0" borderId="14" xfId="0" applyFont="1" applyBorder="1" applyAlignment="1">
      <alignment horizontal="center" wrapText="1"/>
    </xf>
    <xf numFmtId="0" fontId="3" fillId="0" borderId="5" xfId="0" applyFont="1" applyBorder="1" applyAlignment="1">
      <alignment horizontal="left" vertical="center" wrapText="1"/>
    </xf>
    <xf numFmtId="0" fontId="0" fillId="8" borderId="4" xfId="0" applyFill="1" applyBorder="1" applyAlignment="1">
      <alignment vertical="center" wrapText="1"/>
    </xf>
    <xf numFmtId="14" fontId="0" fillId="8" borderId="4" xfId="0" applyNumberFormat="1" applyFill="1" applyBorder="1" applyAlignment="1">
      <alignment horizontal="left" vertical="center" wrapText="1"/>
    </xf>
    <xf numFmtId="0" fontId="3" fillId="8" borderId="4" xfId="0" applyFont="1" applyFill="1" applyBorder="1" applyAlignment="1">
      <alignment horizontal="left" vertical="center" wrapText="1"/>
    </xf>
    <xf numFmtId="0" fontId="3" fillId="8" borderId="4" xfId="0" applyFont="1" applyFill="1" applyBorder="1" applyAlignment="1">
      <alignment horizontal="center" wrapText="1"/>
    </xf>
    <xf numFmtId="0" fontId="3" fillId="8" borderId="0" xfId="0" applyFont="1" applyFill="1" applyAlignment="1">
      <alignment wrapText="1"/>
    </xf>
    <xf numFmtId="0" fontId="3" fillId="8" borderId="4" xfId="0" applyFont="1" applyFill="1" applyBorder="1" applyAlignment="1">
      <alignment wrapText="1"/>
    </xf>
    <xf numFmtId="0" fontId="0" fillId="8" borderId="1" xfId="0" applyFill="1" applyBorder="1" applyAlignment="1">
      <alignment vertical="center" wrapText="1"/>
    </xf>
    <xf numFmtId="14" fontId="0" fillId="8" borderId="1" xfId="0" applyNumberFormat="1" applyFill="1" applyBorder="1" applyAlignment="1">
      <alignment horizontal="left" vertical="center" wrapText="1"/>
    </xf>
    <xf numFmtId="0" fontId="3" fillId="8" borderId="5" xfId="0" applyFont="1" applyFill="1" applyBorder="1" applyAlignment="1">
      <alignment horizontal="left" vertical="center" wrapText="1"/>
    </xf>
    <xf numFmtId="0" fontId="3" fillId="8" borderId="6" xfId="0" applyFont="1" applyFill="1" applyBorder="1" applyAlignment="1">
      <alignment horizontal="center" wrapText="1"/>
    </xf>
    <xf numFmtId="0" fontId="37" fillId="0" borderId="1" xfId="0" applyFont="1" applyBorder="1" applyAlignment="1">
      <alignment wrapText="1"/>
    </xf>
    <xf numFmtId="0" fontId="20" fillId="8" borderId="4" xfId="1" applyFill="1" applyBorder="1" applyAlignment="1">
      <alignment horizontal="center" vertical="center" wrapText="1"/>
    </xf>
    <xf numFmtId="0" fontId="20" fillId="0" borderId="6" xfId="1" applyBorder="1" applyAlignment="1">
      <alignment horizontal="center" vertical="center" wrapText="1"/>
    </xf>
    <xf numFmtId="15" fontId="3" fillId="0" borderId="9" xfId="0" applyNumberFormat="1" applyFont="1" applyBorder="1" applyAlignment="1">
      <alignment horizontal="center" wrapText="1"/>
    </xf>
    <xf numFmtId="0" fontId="3" fillId="0" borderId="14" xfId="0" applyFont="1" applyBorder="1" applyAlignment="1">
      <alignment wrapText="1"/>
    </xf>
    <xf numFmtId="0" fontId="1" fillId="2" borderId="8" xfId="0" applyFont="1" applyFill="1" applyBorder="1" applyAlignment="1">
      <alignment horizontal="center" wrapText="1"/>
    </xf>
    <xf numFmtId="0" fontId="1" fillId="5" borderId="8" xfId="0" applyFont="1" applyFill="1" applyBorder="1" applyAlignment="1">
      <alignment horizontal="center" wrapText="1"/>
    </xf>
    <xf numFmtId="0" fontId="5" fillId="9" borderId="4" xfId="0" applyFont="1" applyFill="1" applyBorder="1" applyAlignment="1">
      <alignment wrapText="1"/>
    </xf>
    <xf numFmtId="0" fontId="20" fillId="15" borderId="1" xfId="1" applyFill="1" applyBorder="1" applyAlignment="1">
      <alignment horizontal="center" vertical="center" wrapText="1"/>
    </xf>
    <xf numFmtId="0" fontId="3" fillId="15" borderId="0" xfId="0" applyFont="1" applyFill="1" applyAlignment="1">
      <alignment wrapText="1"/>
    </xf>
    <xf numFmtId="0" fontId="3" fillId="15" borderId="1" xfId="0" applyFont="1" applyFill="1" applyBorder="1" applyAlignment="1">
      <alignment wrapText="1"/>
    </xf>
    <xf numFmtId="0" fontId="38" fillId="0" borderId="4" xfId="0" applyFont="1" applyBorder="1" applyAlignment="1">
      <alignment wrapText="1"/>
    </xf>
    <xf numFmtId="0" fontId="39" fillId="0" borderId="14" xfId="0" applyFont="1" applyBorder="1" applyAlignment="1">
      <alignment wrapText="1"/>
    </xf>
    <xf numFmtId="0" fontId="38" fillId="0" borderId="2" xfId="0" applyFont="1" applyBorder="1" applyAlignment="1">
      <alignment wrapText="1"/>
    </xf>
    <xf numFmtId="0" fontId="38" fillId="0" borderId="1" xfId="0" applyFont="1" applyBorder="1" applyAlignment="1">
      <alignment wrapText="1"/>
    </xf>
    <xf numFmtId="0" fontId="20" fillId="15" borderId="6" xfId="1" applyFill="1" applyBorder="1" applyAlignment="1">
      <alignment horizontal="center" vertical="center" wrapText="1"/>
    </xf>
    <xf numFmtId="0" fontId="3" fillId="15" borderId="4" xfId="0" applyFont="1" applyFill="1" applyBorder="1" applyAlignment="1">
      <alignment wrapText="1"/>
    </xf>
    <xf numFmtId="0" fontId="20" fillId="15" borderId="4" xfId="1" applyFill="1" applyBorder="1" applyAlignment="1">
      <alignment horizontal="center" vertical="center" wrapText="1"/>
    </xf>
    <xf numFmtId="0" fontId="38" fillId="0" borderId="14" xfId="0" applyFont="1" applyBorder="1" applyAlignment="1">
      <alignment wrapText="1"/>
    </xf>
    <xf numFmtId="0" fontId="20" fillId="0" borderId="0" xfId="1" applyAlignment="1">
      <alignment wrapText="1"/>
    </xf>
    <xf numFmtId="0" fontId="39" fillId="0" borderId="1" xfId="0" applyFont="1" applyBorder="1" applyAlignment="1">
      <alignment wrapText="1"/>
    </xf>
    <xf numFmtId="0" fontId="3" fillId="9" borderId="4" xfId="0" applyFont="1" applyFill="1" applyBorder="1" applyAlignment="1">
      <alignment wrapText="1"/>
    </xf>
    <xf numFmtId="15" fontId="3" fillId="0" borderId="4" xfId="0" applyNumberFormat="1" applyFont="1" applyBorder="1" applyAlignment="1">
      <alignment wrapText="1"/>
    </xf>
    <xf numFmtId="0" fontId="3" fillId="15" borderId="5" xfId="0" applyFont="1" applyFill="1" applyBorder="1" applyAlignment="1">
      <alignment wrapText="1"/>
    </xf>
    <xf numFmtId="0" fontId="3" fillId="9" borderId="2" xfId="0" applyFont="1" applyFill="1" applyBorder="1" applyAlignment="1">
      <alignment wrapText="1"/>
    </xf>
    <xf numFmtId="0" fontId="41" fillId="0" borderId="1" xfId="0" applyFont="1" applyBorder="1" applyAlignment="1">
      <alignment wrapText="1"/>
    </xf>
    <xf numFmtId="0" fontId="3" fillId="0" borderId="13" xfId="0" applyFont="1" applyBorder="1" applyAlignment="1">
      <alignment horizontal="left" vertical="center" wrapText="1"/>
    </xf>
    <xf numFmtId="49" fontId="0" fillId="0" borderId="1" xfId="0" applyNumberFormat="1" applyBorder="1"/>
    <xf numFmtId="0" fontId="0" fillId="0" borderId="6" xfId="0" applyBorder="1"/>
    <xf numFmtId="0" fontId="0" fillId="0" borderId="5" xfId="0" applyBorder="1"/>
    <xf numFmtId="0" fontId="40" fillId="0" borderId="1" xfId="0" applyFont="1" applyBorder="1" applyAlignment="1">
      <alignment wrapText="1"/>
    </xf>
    <xf numFmtId="0" fontId="3" fillId="0" borderId="2" xfId="0" applyFont="1" applyBorder="1" applyAlignment="1">
      <alignment horizontal="left" vertical="center" wrapText="1"/>
    </xf>
    <xf numFmtId="15" fontId="3" fillId="0" borderId="9" xfId="0" applyNumberFormat="1" applyFont="1" applyBorder="1" applyAlignment="1">
      <alignment wrapText="1"/>
    </xf>
    <xf numFmtId="0" fontId="41" fillId="0" borderId="4" xfId="0" applyFont="1" applyBorder="1" applyAlignment="1">
      <alignment wrapText="1"/>
    </xf>
    <xf numFmtId="0" fontId="41" fillId="0" borderId="9" xfId="0" applyFont="1" applyBorder="1" applyAlignment="1">
      <alignment wrapText="1"/>
    </xf>
    <xf numFmtId="0" fontId="21" fillId="0" borderId="0" xfId="0" applyFont="1" applyAlignment="1">
      <alignment wrapText="1"/>
    </xf>
    <xf numFmtId="0" fontId="3" fillId="9" borderId="9" xfId="0" applyFont="1" applyFill="1" applyBorder="1" applyAlignment="1">
      <alignment wrapText="1"/>
    </xf>
    <xf numFmtId="0" fontId="3" fillId="9" borderId="14" xfId="0" applyFont="1" applyFill="1" applyBorder="1" applyAlignment="1">
      <alignment wrapText="1"/>
    </xf>
    <xf numFmtId="0" fontId="41" fillId="0" borderId="8" xfId="0" applyFont="1" applyBorder="1" applyAlignment="1">
      <alignment wrapText="1"/>
    </xf>
    <xf numFmtId="0" fontId="41" fillId="0" borderId="6" xfId="0" applyFont="1" applyBorder="1" applyAlignment="1">
      <alignment wrapText="1"/>
    </xf>
    <xf numFmtId="0" fontId="3" fillId="0" borderId="13" xfId="0" applyFont="1" applyBorder="1" applyAlignment="1">
      <alignment wrapText="1"/>
    </xf>
    <xf numFmtId="0" fontId="3" fillId="9" borderId="13" xfId="0" applyFont="1" applyFill="1" applyBorder="1" applyAlignment="1">
      <alignment wrapText="1"/>
    </xf>
    <xf numFmtId="14" fontId="0" fillId="0" borderId="9" xfId="0" applyNumberFormat="1" applyBorder="1" applyAlignment="1">
      <alignment horizontal="left" vertical="center" wrapText="1"/>
    </xf>
    <xf numFmtId="14" fontId="0" fillId="0" borderId="6" xfId="0" applyNumberFormat="1" applyBorder="1" applyAlignment="1">
      <alignment horizontal="left" vertical="center" wrapText="1"/>
    </xf>
    <xf numFmtId="0" fontId="39" fillId="0" borderId="4" xfId="0" applyFont="1" applyBorder="1" applyAlignment="1">
      <alignment wrapText="1"/>
    </xf>
    <xf numFmtId="0" fontId="20" fillId="0" borderId="8" xfId="1" applyBorder="1" applyAlignment="1">
      <alignment horizontal="left" vertical="center" wrapText="1"/>
    </xf>
    <xf numFmtId="0" fontId="3" fillId="9" borderId="8" xfId="0" applyFont="1" applyFill="1" applyBorder="1" applyAlignment="1">
      <alignment wrapText="1"/>
    </xf>
    <xf numFmtId="0" fontId="42" fillId="0" borderId="1" xfId="0" applyFont="1" applyBorder="1"/>
    <xf numFmtId="0" fontId="3" fillId="0" borderId="9" xfId="0" applyFont="1" applyBorder="1" applyAlignment="1">
      <alignment horizontal="left" vertical="center" wrapText="1"/>
    </xf>
    <xf numFmtId="0" fontId="39" fillId="0" borderId="9" xfId="0" applyFont="1" applyBorder="1" applyAlignment="1">
      <alignment wrapText="1"/>
    </xf>
    <xf numFmtId="0" fontId="0" fillId="0" borderId="9" xfId="0" applyBorder="1" applyAlignment="1">
      <alignment horizontal="center" vertical="center"/>
    </xf>
    <xf numFmtId="0" fontId="0" fillId="0" borderId="8" xfId="0" applyBorder="1"/>
    <xf numFmtId="0" fontId="0" fillId="0" borderId="2" xfId="0" applyBorder="1"/>
    <xf numFmtId="0" fontId="0" fillId="9" borderId="1" xfId="0" applyFill="1" applyBorder="1"/>
    <xf numFmtId="0" fontId="0" fillId="0" borderId="8" xfId="0" applyBorder="1" applyAlignment="1">
      <alignment horizontal="center" vertical="center"/>
    </xf>
    <xf numFmtId="0" fontId="0" fillId="8" borderId="1" xfId="0" applyFill="1" applyBorder="1" applyAlignment="1">
      <alignment wrapText="1"/>
    </xf>
    <xf numFmtId="0" fontId="0" fillId="0" borderId="8" xfId="0" applyBorder="1" applyAlignment="1">
      <alignment horizontal="left" wrapText="1"/>
    </xf>
    <xf numFmtId="0" fontId="20" fillId="0" borderId="13" xfId="1" applyBorder="1" applyAlignment="1">
      <alignment wrapText="1"/>
    </xf>
    <xf numFmtId="0" fontId="20" fillId="0" borderId="5" xfId="1" applyBorder="1" applyAlignment="1">
      <alignment horizontal="left" vertical="center" wrapText="1"/>
    </xf>
    <xf numFmtId="0" fontId="20" fillId="0" borderId="8" xfId="1" applyBorder="1" applyAlignment="1">
      <alignment wrapText="1"/>
    </xf>
    <xf numFmtId="14" fontId="0" fillId="0" borderId="8" xfId="0" applyNumberFormat="1" applyBorder="1" applyAlignment="1">
      <alignment horizontal="left" vertical="center" wrapText="1"/>
    </xf>
    <xf numFmtId="0" fontId="20" fillId="0" borderId="6" xfId="1" applyBorder="1" applyAlignment="1">
      <alignment wrapText="1"/>
    </xf>
    <xf numFmtId="0" fontId="0" fillId="0" borderId="7" xfId="0" applyBorder="1" applyAlignment="1">
      <alignment wrapText="1"/>
    </xf>
    <xf numFmtId="14" fontId="0" fillId="0" borderId="5" xfId="0" applyNumberFormat="1" applyBorder="1" applyAlignment="1">
      <alignment horizontal="left" vertical="center" wrapText="1"/>
    </xf>
    <xf numFmtId="22" fontId="0" fillId="0" borderId="4" xfId="0" applyNumberFormat="1" applyBorder="1" applyAlignment="1">
      <alignment wrapText="1"/>
    </xf>
    <xf numFmtId="0" fontId="34" fillId="0" borderId="4" xfId="0" applyFont="1" applyBorder="1" applyAlignment="1">
      <alignment wrapText="1"/>
    </xf>
    <xf numFmtId="0" fontId="0" fillId="0" borderId="0" xfId="0" applyAlignment="1">
      <alignment horizontal="left"/>
    </xf>
    <xf numFmtId="0" fontId="35" fillId="2" borderId="1" xfId="0" applyFont="1" applyFill="1" applyBorder="1" applyAlignment="1">
      <alignment horizontal="center" wrapText="1"/>
    </xf>
    <xf numFmtId="0" fontId="35" fillId="2" borderId="1" xfId="0" applyFont="1" applyFill="1" applyBorder="1" applyAlignment="1">
      <alignment horizontal="left" wrapText="1"/>
    </xf>
    <xf numFmtId="0" fontId="35" fillId="3" borderId="1" xfId="0" applyFont="1" applyFill="1" applyBorder="1" applyAlignment="1">
      <alignment horizontal="center" wrapText="1"/>
    </xf>
    <xf numFmtId="22" fontId="0" fillId="0" borderId="1" xfId="0" applyNumberFormat="1" applyBorder="1" applyAlignment="1">
      <alignment wrapText="1"/>
    </xf>
    <xf numFmtId="14" fontId="0" fillId="0" borderId="0" xfId="0" applyNumberFormat="1" applyAlignment="1">
      <alignment horizontal="left" wrapText="1"/>
    </xf>
    <xf numFmtId="0" fontId="0" fillId="0" borderId="9" xfId="0" applyBorder="1"/>
    <xf numFmtId="0" fontId="35" fillId="2" borderId="4" xfId="0" applyFont="1" applyFill="1" applyBorder="1" applyAlignment="1">
      <alignment horizontal="center" wrapText="1"/>
    </xf>
    <xf numFmtId="0" fontId="20" fillId="0" borderId="2" xfId="1" applyBorder="1" applyAlignment="1">
      <alignment wrapText="1"/>
    </xf>
    <xf numFmtId="14" fontId="0" fillId="0" borderId="2" xfId="0" applyNumberFormat="1" applyBorder="1" applyAlignment="1">
      <alignment horizontal="left" vertical="center" wrapText="1"/>
    </xf>
    <xf numFmtId="0" fontId="20" fillId="11" borderId="1" xfId="1" applyFill="1" applyBorder="1" applyAlignment="1">
      <alignment horizontal="left" vertical="center" wrapText="1"/>
    </xf>
    <xf numFmtId="0" fontId="35" fillId="3" borderId="6" xfId="0" applyFont="1" applyFill="1" applyBorder="1" applyAlignment="1">
      <alignment horizontal="center" wrapText="1"/>
    </xf>
    <xf numFmtId="22" fontId="0" fillId="0" borderId="6" xfId="0" applyNumberFormat="1" applyBorder="1" applyAlignment="1">
      <alignment wrapText="1"/>
    </xf>
    <xf numFmtId="0" fontId="43" fillId="0" borderId="1" xfId="1" applyFont="1" applyBorder="1" applyAlignment="1">
      <alignment horizontal="left" vertical="center" wrapText="1"/>
    </xf>
    <xf numFmtId="0" fontId="44" fillId="0" borderId="1" xfId="1" applyFont="1" applyBorder="1" applyAlignment="1">
      <alignment horizontal="left" vertical="center" wrapText="1"/>
    </xf>
    <xf numFmtId="0" fontId="21" fillId="0" borderId="1" xfId="0" applyFont="1" applyBorder="1" applyAlignment="1">
      <alignment horizontal="left" wrapText="1"/>
    </xf>
    <xf numFmtId="0" fontId="41" fillId="16" borderId="0" xfId="0" applyFont="1" applyFill="1" applyAlignment="1">
      <alignment wrapText="1"/>
    </xf>
    <xf numFmtId="0" fontId="0" fillId="0" borderId="1" xfId="0" applyBorder="1" applyAlignment="1">
      <alignment horizontal="center" vertical="center" wrapText="1"/>
    </xf>
    <xf numFmtId="0" fontId="21" fillId="0" borderId="1" xfId="0" applyFont="1" applyBorder="1" applyAlignment="1">
      <alignment horizontal="left" vertical="center"/>
    </xf>
    <xf numFmtId="0" fontId="0" fillId="0" borderId="5" xfId="0" applyBorder="1" applyAlignment="1">
      <alignment horizontal="left" vertical="center" wrapText="1"/>
    </xf>
    <xf numFmtId="22" fontId="0" fillId="0" borderId="1" xfId="0" applyNumberFormat="1" applyBorder="1" applyAlignment="1">
      <alignment horizontal="left" vertical="center" wrapText="1"/>
    </xf>
    <xf numFmtId="0" fontId="35" fillId="2" borderId="1"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35" fillId="3" borderId="1" xfId="0" applyFont="1" applyFill="1" applyBorder="1" applyAlignment="1">
      <alignment horizontal="center" vertical="center" wrapText="1"/>
    </xf>
    <xf numFmtId="0" fontId="41" fillId="16" borderId="1" xfId="0" applyFont="1" applyFill="1" applyBorder="1" applyAlignment="1">
      <alignment wrapText="1"/>
    </xf>
    <xf numFmtId="0" fontId="0" fillId="0" borderId="12" xfId="0" applyBorder="1"/>
    <xf numFmtId="14" fontId="0" fillId="0" borderId="1" xfId="0" applyNumberFormat="1" applyBorder="1" applyAlignment="1">
      <alignment horizontal="center" vertical="center" wrapText="1"/>
    </xf>
    <xf numFmtId="0" fontId="21" fillId="0" borderId="1" xfId="0" applyFont="1" applyBorder="1" applyAlignment="1">
      <alignment horizontal="center" vertical="center"/>
    </xf>
    <xf numFmtId="0" fontId="0" fillId="0" borderId="5" xfId="0" applyBorder="1" applyAlignment="1">
      <alignment horizontal="center" vertical="center" wrapText="1"/>
    </xf>
    <xf numFmtId="22" fontId="0" fillId="0" borderId="1" xfId="0" applyNumberFormat="1" applyBorder="1" applyAlignment="1">
      <alignment horizontal="center" vertical="center" wrapText="1"/>
    </xf>
    <xf numFmtId="22" fontId="0" fillId="0" borderId="1" xfId="0" applyNumberFormat="1" applyBorder="1" applyAlignment="1">
      <alignment horizontal="center" wrapText="1"/>
    </xf>
    <xf numFmtId="0" fontId="0" fillId="0" borderId="12" xfId="0" applyBorder="1" applyAlignment="1">
      <alignment horizontal="center"/>
    </xf>
    <xf numFmtId="0" fontId="21" fillId="0" borderId="1" xfId="0" applyFont="1" applyBorder="1" applyAlignment="1">
      <alignment horizontal="center" vertical="center" wrapText="1"/>
    </xf>
    <xf numFmtId="22" fontId="45" fillId="0" borderId="1" xfId="0" applyNumberFormat="1" applyFont="1" applyBorder="1" applyAlignment="1">
      <alignment horizontal="left" vertical="center" wrapText="1"/>
    </xf>
    <xf numFmtId="0" fontId="21" fillId="17" borderId="0" xfId="0" applyFont="1" applyFill="1" applyAlignment="1">
      <alignment wrapText="1"/>
    </xf>
    <xf numFmtId="0" fontId="0" fillId="0" borderId="4" xfId="0" applyBorder="1" applyAlignment="1">
      <alignment horizontal="center" vertical="center" wrapText="1"/>
    </xf>
    <xf numFmtId="14" fontId="0" fillId="0" borderId="4" xfId="0" applyNumberFormat="1" applyBorder="1" applyAlignment="1">
      <alignment horizontal="center" vertical="center" wrapText="1"/>
    </xf>
    <xf numFmtId="0" fontId="21" fillId="0" borderId="4" xfId="0" applyFont="1" applyBorder="1" applyAlignment="1">
      <alignment horizontal="center" vertical="center" wrapText="1"/>
    </xf>
    <xf numFmtId="0" fontId="35" fillId="3" borderId="6" xfId="0" applyFont="1" applyFill="1" applyBorder="1" applyAlignment="1">
      <alignment horizontal="center" vertical="center" wrapText="1"/>
    </xf>
    <xf numFmtId="22" fontId="0" fillId="0" borderId="6" xfId="0" applyNumberFormat="1" applyBorder="1" applyAlignment="1">
      <alignment horizontal="center" vertical="center" wrapText="1"/>
    </xf>
    <xf numFmtId="0" fontId="0" fillId="0" borderId="2" xfId="0" applyBorder="1" applyAlignment="1">
      <alignment horizontal="center" vertical="center"/>
    </xf>
    <xf numFmtId="0" fontId="0" fillId="0" borderId="6" xfId="0" applyBorder="1" applyAlignment="1">
      <alignment horizontal="center" vertical="center" wrapText="1"/>
    </xf>
    <xf numFmtId="0" fontId="0" fillId="0" borderId="11" xfId="0" applyBorder="1" applyAlignment="1">
      <alignment horizontal="center" vertical="center" wrapText="1"/>
    </xf>
    <xf numFmtId="14" fontId="0" fillId="0" borderId="5" xfId="0" applyNumberFormat="1" applyBorder="1" applyAlignment="1">
      <alignment horizontal="center" vertical="center" wrapText="1"/>
    </xf>
    <xf numFmtId="22" fontId="45" fillId="0" borderId="4" xfId="0" applyNumberFormat="1" applyFont="1" applyBorder="1" applyAlignment="1">
      <alignment horizontal="left" vertical="center" wrapText="1"/>
    </xf>
    <xf numFmtId="0" fontId="0" fillId="11" borderId="1" xfId="0" applyFill="1" applyBorder="1" applyAlignment="1">
      <alignment horizontal="center" vertical="center"/>
    </xf>
    <xf numFmtId="14" fontId="0" fillId="0" borderId="1" xfId="0" applyNumberFormat="1" applyBorder="1" applyAlignment="1">
      <alignment horizontal="center" vertical="center"/>
    </xf>
    <xf numFmtId="15" fontId="0" fillId="0" borderId="4" xfId="0" applyNumberFormat="1" applyBorder="1" applyAlignment="1">
      <alignment horizontal="center" vertical="center"/>
    </xf>
    <xf numFmtId="15" fontId="0" fillId="0" borderId="6" xfId="0" applyNumberFormat="1" applyBorder="1" applyAlignment="1">
      <alignment horizontal="center" vertical="center"/>
    </xf>
    <xf numFmtId="15" fontId="0" fillId="0" borderId="8" xfId="0" applyNumberFormat="1" applyBorder="1" applyAlignment="1">
      <alignment horizontal="center" vertical="center"/>
    </xf>
    <xf numFmtId="0" fontId="35" fillId="3" borderId="4" xfId="0" applyFont="1" applyFill="1" applyBorder="1" applyAlignment="1">
      <alignment horizontal="center" vertical="center" wrapText="1"/>
    </xf>
    <xf numFmtId="0" fontId="5" fillId="0" borderId="1" xfId="0" applyFont="1" applyBorder="1"/>
    <xf numFmtId="0" fontId="5" fillId="0" borderId="0" xfId="0" applyFont="1"/>
    <xf numFmtId="0" fontId="47" fillId="0" borderId="1" xfId="0" applyFont="1" applyBorder="1"/>
    <xf numFmtId="0" fontId="47" fillId="0" borderId="2" xfId="0" applyFont="1" applyBorder="1"/>
    <xf numFmtId="0" fontId="35" fillId="18" borderId="1" xfId="0" applyFont="1" applyFill="1" applyBorder="1"/>
    <xf numFmtId="0" fontId="47" fillId="19" borderId="1" xfId="0" applyFont="1" applyFill="1" applyBorder="1"/>
    <xf numFmtId="0" fontId="5" fillId="0" borderId="4" xfId="0" applyFont="1" applyBorder="1"/>
    <xf numFmtId="0" fontId="5" fillId="0" borderId="4" xfId="0" applyFont="1" applyBorder="1" applyAlignment="1">
      <alignment wrapText="1"/>
    </xf>
    <xf numFmtId="0" fontId="1" fillId="5" borderId="9" xfId="0" applyFont="1" applyFill="1" applyBorder="1" applyAlignment="1">
      <alignment horizontal="center" wrapText="1"/>
    </xf>
    <xf numFmtId="0" fontId="3" fillId="0" borderId="4" xfId="0" applyFont="1" applyBorder="1" applyAlignment="1">
      <alignment horizontal="center" vertical="center"/>
    </xf>
    <xf numFmtId="0" fontId="3" fillId="0" borderId="4" xfId="0" applyFont="1" applyBorder="1" applyAlignment="1">
      <alignment vertical="center"/>
    </xf>
    <xf numFmtId="0" fontId="3" fillId="0" borderId="1" xfId="0" applyFont="1" applyBorder="1" applyAlignment="1">
      <alignment horizontal="center" vertical="center"/>
    </xf>
    <xf numFmtId="14" fontId="0" fillId="0" borderId="6" xfId="0" applyNumberFormat="1" applyBorder="1" applyAlignment="1">
      <alignment horizontal="center" vertical="center" wrapText="1"/>
    </xf>
    <xf numFmtId="0" fontId="0" fillId="0" borderId="4" xfId="0" applyBorder="1" applyAlignment="1">
      <alignment horizontal="center"/>
    </xf>
    <xf numFmtId="0" fontId="21" fillId="0" borderId="4" xfId="0" applyFont="1" applyBorder="1" applyAlignment="1">
      <alignment horizontal="center" vertical="center"/>
    </xf>
    <xf numFmtId="0" fontId="21" fillId="0" borderId="6" xfId="0" applyFont="1" applyBorder="1" applyAlignment="1">
      <alignment horizontal="center" vertical="center"/>
    </xf>
    <xf numFmtId="0" fontId="0" fillId="0" borderId="4" xfId="0" applyBorder="1" applyAlignment="1">
      <alignment horizontal="right"/>
    </xf>
    <xf numFmtId="0" fontId="0" fillId="0" borderId="1" xfId="0" applyBorder="1" applyAlignment="1">
      <alignment horizontal="right"/>
    </xf>
    <xf numFmtId="0" fontId="0" fillId="0" borderId="1" xfId="0" applyBorder="1" applyAlignment="1">
      <alignment horizontal="right" wrapText="1"/>
    </xf>
    <xf numFmtId="0" fontId="0" fillId="0" borderId="4" xfId="0" applyBorder="1" applyAlignment="1">
      <alignment horizontal="right" wrapText="1"/>
    </xf>
    <xf numFmtId="0" fontId="0" fillId="0" borderId="6" xfId="0" applyBorder="1" applyAlignment="1">
      <alignment horizontal="right" wrapText="1"/>
    </xf>
    <xf numFmtId="0" fontId="47" fillId="0" borderId="6" xfId="0" applyFont="1" applyBorder="1"/>
    <xf numFmtId="0" fontId="5" fillId="0" borderId="1" xfId="0" applyFont="1" applyBorder="1" applyAlignment="1">
      <alignment horizontal="right" wrapText="1"/>
    </xf>
    <xf numFmtId="0" fontId="22" fillId="16" borderId="1" xfId="0" applyFont="1" applyFill="1" applyBorder="1"/>
    <xf numFmtId="0" fontId="0" fillId="0" borderId="7" xfId="0" applyBorder="1" applyAlignment="1">
      <alignment horizontal="center" vertical="center" wrapText="1"/>
    </xf>
    <xf numFmtId="0" fontId="0" fillId="0" borderId="8" xfId="0" applyBorder="1" applyAlignment="1">
      <alignment horizontal="right"/>
    </xf>
    <xf numFmtId="49" fontId="1" fillId="2" borderId="6" xfId="0" applyNumberFormat="1" applyFont="1" applyFill="1"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wrapText="1"/>
    </xf>
    <xf numFmtId="0" fontId="48" fillId="0" borderId="1" xfId="0" applyFont="1" applyBorder="1" applyAlignment="1">
      <alignment wrapText="1"/>
    </xf>
    <xf numFmtId="14" fontId="0" fillId="0" borderId="2" xfId="0" applyNumberFormat="1" applyBorder="1" applyAlignment="1">
      <alignment horizontal="center" vertical="center" wrapText="1"/>
    </xf>
    <xf numFmtId="0" fontId="0" fillId="0" borderId="0" xfId="0" applyAlignment="1">
      <alignment horizontal="center" vertical="center" wrapText="1"/>
    </xf>
    <xf numFmtId="0" fontId="2" fillId="0" borderId="6" xfId="0" applyFont="1" applyBorder="1" applyAlignment="1">
      <alignment horizontal="center"/>
    </xf>
    <xf numFmtId="0" fontId="2" fillId="0" borderId="7" xfId="0" applyFont="1" applyBorder="1" applyAlignment="1">
      <alignment horizontal="center"/>
    </xf>
    <xf numFmtId="0" fontId="2" fillId="0" borderId="5" xfId="0" applyFont="1" applyBorder="1" applyAlignment="1">
      <alignment horizontal="center"/>
    </xf>
    <xf numFmtId="0" fontId="3" fillId="0" borderId="6" xfId="0" applyFont="1" applyBorder="1" applyAlignment="1">
      <alignment wrapText="1"/>
    </xf>
    <xf numFmtId="0" fontId="47" fillId="0" borderId="11" xfId="0" applyFont="1" applyBorder="1" applyAlignment="1"/>
    <xf numFmtId="0" fontId="47" fillId="0" borderId="12" xfId="0" applyFont="1" applyBorder="1" applyAlignment="1"/>
    <xf numFmtId="0" fontId="16" fillId="7" borderId="0" xfId="0" applyFont="1" applyFill="1" applyAlignment="1"/>
    <xf numFmtId="0" fontId="0" fillId="0" borderId="0" xfId="0" applyAlignment="1"/>
    <xf numFmtId="0" fontId="17" fillId="0" borderId="7" xfId="0" applyFont="1" applyBorder="1" applyAlignment="1"/>
    <xf numFmtId="0" fontId="17" fillId="0" borderId="5" xfId="0" applyFont="1" applyBorder="1" applyAlignment="1"/>
  </cellXfs>
  <cellStyles count="2">
    <cellStyle name="Hyperlink" xfId="1" builtinId="8"/>
    <cellStyle name="Normal" xfId="0" builtinId="0"/>
  </cellStyles>
  <dxfs count="88">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ajor"/>
      </font>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Arial"/>
        <scheme val="major"/>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rial"/>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ajor"/>
      </font>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Arial"/>
        <scheme val="major"/>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charset val="1"/>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Arial"/>
        <scheme val="major"/>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charset val="1"/>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Arial"/>
        <scheme val="major"/>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sheetMetadata" Target="metadata.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customschemas.google.com/relationships/workbookmetadata" Target="metadata"/><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51BA32-40BA-47D1-8152-C5E4C29610D1}" name="Table1456" displayName="Table1456" ref="A1:AB2" insertRow="1" totalsRowShown="0" headerRowDxfId="87" headerRowBorderDxfId="85" tableBorderDxfId="86" totalsRowBorderDxfId="84">
  <autoFilter ref="A1:AB2" xr:uid="{8016C61E-4867-49B7-9810-91E9F2142A05}"/>
  <tableColumns count="28">
    <tableColumn id="1" xr3:uid="{35330018-7132-45F0-8730-501502BDFE67}" name="S.No" dataDxfId="83"/>
    <tableColumn id="27" xr3:uid="{2B5CD9CE-378E-4AF1-B2F7-37CF55A2E59B}" name="Application Name" dataDxfId="82">
      <calculatedColumnFormula>Dashboard!$J$1</calculatedColumnFormula>
    </tableColumn>
    <tableColumn id="26" xr3:uid="{A1EBEEF0-8753-47B8-A5B0-8699CA0BFAE3}" name="Sprint Start Date" dataDxfId="81">
      <calculatedColumnFormula>Dashboard!$F$1</calculatedColumnFormula>
    </tableColumn>
    <tableColumn id="23" xr3:uid="{7CC41475-CEE8-4FD4-B2A2-DF1BF28C34E3}" name="Sprint End Date" dataDxfId="80">
      <calculatedColumnFormula>Dashboard!$H$1</calculatedColumnFormula>
    </tableColumn>
    <tableColumn id="2" xr3:uid="{79853B2A-FD5A-44CA-8E9F-D8DF482B8C65}" name="Sprint " dataDxfId="79"/>
    <tableColumn id="3" xr3:uid="{22B2B264-7041-4ADE-88D6-82251B00642C}" name="Developer" dataDxfId="78"/>
    <tableColumn id="4" xr3:uid="{7220AAE8-4CEA-4473-B0F3-B9CF8F85666F}" name="Story ID/Defect ID" dataDxfId="77" dataCellStyle="Hyperlink"/>
    <tableColumn id="5" xr3:uid="{68152A91-C09E-486E-962D-089929D12E57}" name="Description" dataDxfId="76"/>
    <tableColumn id="25" xr3:uid="{DEC22301-ED9C-4EDA-858C-98AD521D5669}" name="Status" dataDxfId="75"/>
    <tableColumn id="6" xr3:uid="{E8F96458-4805-4224-8769-746D4BC6C386}" name="Estimated(hrs/sp)" dataDxfId="74"/>
    <tableColumn id="7" xr3:uid="{28447CF3-1D56-4923-9801-6CC379F88A89}" name="Actual(hrs/sp)" dataDxfId="73"/>
    <tableColumn id="28" xr3:uid="{7FDE622C-443F-405B-B079-35FB3B5DA9EA}" name="Actual Hours Worklog" dataDxfId="72"/>
    <tableColumn id="8" xr3:uid="{F804CD79-DD51-40C6-A216-CBA94539CAC5}" name="Unit testing" dataDxfId="71"/>
    <tableColumn id="9" xr3:uid="{4A965B28-E7E5-4ECE-AC7F-C1A3249D33A5}" name="Peer Tested By" dataDxfId="70"/>
    <tableColumn id="10" xr3:uid="{86468E3D-1FF8-4552-9426-F257F05FFF9C}" name="Peer Tested Defects, if any" dataDxfId="69"/>
    <tableColumn id="11" xr3:uid="{C2333FC5-F487-4A26-B8DD-9484D9196FB4}" name="Peer Reviewed By" dataDxfId="68"/>
    <tableColumn id="12" xr3:uid="{68EA8198-27DE-4F20-936D-F6CDD2BCE145}" name="Peer Code Review Comments, if any" dataDxfId="67"/>
    <tableColumn id="13" xr3:uid="{F107E78F-0116-4BE0-B244-A5DC9E343ED4}" name="PR Number/Link" dataDxfId="66"/>
    <tableColumn id="14" xr3:uid="{99E034D3-E80A-4127-A650-4806C73630D6}" name="PR Created Date" dataDxfId="65"/>
    <tableColumn id="15" xr3:uid="{32A750BC-92E4-4973-A2BC-A03E0A6A5113}" name="PR Approved Date" dataDxfId="64"/>
    <tableColumn id="16" xr3:uid="{64D7ECE6-D5A6-469C-9655-90D1C9C655D9}" name="Reviewer 1" dataDxfId="63"/>
    <tableColumn id="17" xr3:uid="{8CC37F69-76F4-4DF4-BE09-A66CD437EF53}" name="Code Review Comments, if any" dataDxfId="62"/>
    <tableColumn id="18" xr3:uid="{2A40691A-8A93-4F43-AAAB-D408920ACF4C}" name="Reviewer 2" dataDxfId="61"/>
    <tableColumn id="19" xr3:uid="{335535D9-F316-44AB-9E6C-FB5C6FBB16F6}" name="Approved Date" dataDxfId="60"/>
    <tableColumn id="20" xr3:uid="{72AA8035-9308-4E5D-BDA5-FB107630D699}" name="Code Review Comments, if any2" dataDxfId="59"/>
    <tableColumn id="21" xr3:uid="{54D05EBE-0FAC-405D-AC2E-FEC9C64C0BD9}" name="Internal PO -POV Comments" dataDxfId="58"/>
    <tableColumn id="22" xr3:uid="{21E36E03-2319-4E00-961E-14065C6E2846}" name="Client PO -POV Comments" dataDxfId="57"/>
    <tableColumn id="24" xr3:uid="{C93FA580-EED9-4DF4-9FF7-C3B1241D7B00}" name="Comments" dataDxfId="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C2F467-9F64-43B1-A6D2-D904303E4B6A}" name="Table145" displayName="Table145" ref="A1:AB7" totalsRowShown="0" headerRowDxfId="55" headerRowBorderDxfId="53" tableBorderDxfId="54" totalsRowBorderDxfId="52">
  <autoFilter ref="A1:AB7" xr:uid="{8016C61E-4867-49B7-9810-91E9F2142A05}"/>
  <tableColumns count="28">
    <tableColumn id="1" xr3:uid="{1FF0416E-02DD-4F37-93B4-1F28976207D1}" name="S.No" dataDxfId="51"/>
    <tableColumn id="27" xr3:uid="{ACA01F93-6D0F-4153-B33D-7B398CCFED32}" name="Application Name" dataDxfId="50">
      <calculatedColumnFormula>Dashboard!$J$1</calculatedColumnFormula>
    </tableColumn>
    <tableColumn id="26" xr3:uid="{CFBFE655-98B2-4D35-A090-46BA58D8EE3D}" name="Sprint Start Date" dataDxfId="49">
      <calculatedColumnFormula>Dashboard!$F$1</calculatedColumnFormula>
    </tableColumn>
    <tableColumn id="23" xr3:uid="{FDD62B37-635B-4B13-BF3D-7C83DA0AA43E}" name="Sprint End Date" dataDxfId="48">
      <calculatedColumnFormula>Dashboard!$H$1</calculatedColumnFormula>
    </tableColumn>
    <tableColumn id="2" xr3:uid="{B99C3E7B-F082-4051-9717-9A305500173B}" name="Sprint " dataDxfId="47"/>
    <tableColumn id="3" xr3:uid="{A34F05ED-0355-4DEF-848C-7F6032636C4B}" name="Developer" dataDxfId="46"/>
    <tableColumn id="4" xr3:uid="{EE33BF37-C58C-4E37-A35B-89F80C3C8D48}" name="Story ID/Defect ID" dataDxfId="45" dataCellStyle="Hyperlink"/>
    <tableColumn id="5" xr3:uid="{6D862DA1-5037-4A15-AE6C-E92D3D8F6BC8}" name="Description" dataDxfId="44"/>
    <tableColumn id="25" xr3:uid="{ACDB4A12-759E-4196-A666-A86D13748EA2}" name="Status" dataDxfId="43"/>
    <tableColumn id="6" xr3:uid="{20E8CD04-3879-4C83-BF30-404210D02576}" name="Estimated(hrs/sp)" dataDxfId="42"/>
    <tableColumn id="7" xr3:uid="{81EC4961-D45F-4126-9C04-F113067EAF26}" name="Actual(hrs/sp)" dataDxfId="41"/>
    <tableColumn id="28" xr3:uid="{2F07DCCB-47CD-4222-8334-D75613A5DD6E}" name="Actual Hours Worklog" dataDxfId="40"/>
    <tableColumn id="8" xr3:uid="{DEE622DE-0679-40BA-BE83-E94D007DAF7C}" name="Unit testing" dataDxfId="39"/>
    <tableColumn id="9" xr3:uid="{8F6099A8-F0F1-4B3F-B353-4C07DBBE379E}" name="Peer Tested By" dataDxfId="38"/>
    <tableColumn id="10" xr3:uid="{5B2E8EE3-5ECC-44DB-8DC6-74193CB6FD12}" name="Peer Tested Defects, if any" dataDxfId="37"/>
    <tableColumn id="11" xr3:uid="{6E0F7190-146A-4062-B310-3B6534A9BDB3}" name="Peer Reviewed By" dataDxfId="36"/>
    <tableColumn id="12" xr3:uid="{25C44883-1F84-494F-B868-90FAE12C603F}" name="Peer Code Review Comments, if any" dataDxfId="35"/>
    <tableColumn id="13" xr3:uid="{8C195E36-6298-4ED1-8AE0-40EA9D45D086}" name="PR Number/Link" dataDxfId="34"/>
    <tableColumn id="14" xr3:uid="{0C6B0D72-BC00-4693-8142-D8B832A30847}" name="PR Created Date" dataDxfId="33"/>
    <tableColumn id="15" xr3:uid="{C35C648F-D835-469A-8C1E-64C25D9F9F0F}" name="PR Approved Date" dataDxfId="32"/>
    <tableColumn id="16" xr3:uid="{84058469-BAD5-46D9-BDBB-6330E4781B66}" name="Reviewer 1" dataDxfId="31"/>
    <tableColumn id="17" xr3:uid="{FAEC2648-33AE-40FB-BFA4-FD30127D9490}" name="Code Review Comments, if any" dataDxfId="30"/>
    <tableColumn id="18" xr3:uid="{800C3B5B-EB16-42F3-B784-DDD94DAE97CB}" name="Reviewer 2" dataDxfId="29"/>
    <tableColumn id="19" xr3:uid="{64EC51F6-9B98-4755-B708-52608CD61BAC}" name="Approved Date" dataDxfId="28"/>
    <tableColumn id="20" xr3:uid="{5C85A428-B013-4704-9649-ACEEE5449F0E}" name="Code Review Comments, if any2" dataDxfId="27"/>
    <tableColumn id="21" xr3:uid="{8D0E2202-784B-435D-B791-5A8E7A1F3FFB}" name="Internal PO -POV Comments" dataDxfId="26"/>
    <tableColumn id="22" xr3:uid="{78FF2134-E224-4785-B8BA-E1C486FFACD6}" name="Client PO -POV Comments" dataDxfId="25"/>
    <tableColumn id="24" xr3:uid="{CCE82CB7-E7B3-4C82-A139-0357B19D6D11}" name="Comments"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F34544-ECCC-443C-9126-2049AF6BA48D}" name="Table14" displayName="Table14" ref="A1:X11" totalsRowShown="0" headerRowDxfId="23" headerRowBorderDxfId="21" tableBorderDxfId="22" totalsRowBorderDxfId="20">
  <autoFilter ref="A1:X11" xr:uid="{8016C61E-4867-49B7-9810-91E9F2142A05}"/>
  <tableColumns count="24">
    <tableColumn id="1" xr3:uid="{5C64EA9A-A553-403D-A5AF-ED6160D3F329}" name="S.No" dataDxfId="19"/>
    <tableColumn id="2" xr3:uid="{A6CEC2BA-5ED0-48F0-B4CC-C87677B3BD36}" name="Sprint " dataDxfId="18"/>
    <tableColumn id="3" xr3:uid="{AE891138-2816-4E3C-B8F4-AAA259336024}" name="Developer" dataDxfId="17"/>
    <tableColumn id="4" xr3:uid="{0E69235F-2240-443C-9389-35D8C1CEE627}" name="Story ID/Defect ID" dataDxfId="16" dataCellStyle="Hyperlink"/>
    <tableColumn id="5" xr3:uid="{6F59ABB6-0392-4159-9F3E-EE62F9438734}" name="Description" dataDxfId="15"/>
    <tableColumn id="25" xr3:uid="{3A001DE0-D464-49B6-970B-831BF199633E}" name="Status" dataDxfId="14"/>
    <tableColumn id="6" xr3:uid="{3D92AA94-CC0B-4D06-897B-D5C10108BDC0}" name="Estimated(hrs/sp)"/>
    <tableColumn id="7" xr3:uid="{6455D164-46A1-45ED-9DA3-178A3CA91A64}" name="Actual(hrs/sp)"/>
    <tableColumn id="8" xr3:uid="{008F9020-562F-4806-B461-771246D8FFD6}" name="Unit testing"/>
    <tableColumn id="9" xr3:uid="{C37B611F-ACCF-41C5-82E0-329D24FDAA4C}" name="Peer Tested By" dataDxfId="13"/>
    <tableColumn id="10" xr3:uid="{45ABC0BA-B982-4ED9-B743-C627B11E270C}" name="Peer Tested Defects, if any"/>
    <tableColumn id="11" xr3:uid="{C49E13EC-B9F7-4F12-A976-17D067188805}" name="Peer Reviewed By"/>
    <tableColumn id="12" xr3:uid="{34CC5BF4-BA3B-4952-800C-380B4560D897}" name="Peer Code Review Comments, if any"/>
    <tableColumn id="13" xr3:uid="{85C146A4-C16A-4A77-8C1D-7A415519676A}" name="PR Number/Link"/>
    <tableColumn id="14" xr3:uid="{EA7600B1-D39D-4757-AC6C-BD32FC1C5FB3}" name="PR Created Date"/>
    <tableColumn id="15" xr3:uid="{E300C566-8F6B-4D6A-9089-51315A3A7BCD}" name="PR Approved Date"/>
    <tableColumn id="16" xr3:uid="{C98E7A08-5251-41CC-85A0-34910965D272}" name="Reviewer 1"/>
    <tableColumn id="17" xr3:uid="{3D230D11-F9B8-4855-BD96-52BC75269EAD}" name="Code Review Comments, if any"/>
    <tableColumn id="18" xr3:uid="{E3817472-FA15-4A78-ADCC-2DD3DCCDDAE1}" name="Reviewer 2"/>
    <tableColumn id="19" xr3:uid="{70EC0327-A44A-4ED5-860C-4DA065EAC5D8}" name="Approved Date"/>
    <tableColumn id="20" xr3:uid="{89235AB3-787C-4882-9BC8-8E9C8A8E07A5}" name="Code Review Comments, if any2"/>
    <tableColumn id="21" xr3:uid="{2C897859-EBF4-4794-B549-0689B07DB2E7}" name="Internal PO -POV Comments"/>
    <tableColumn id="22" xr3:uid="{546FB363-42C9-4CC0-84E2-D3FFC4272AC2}" name="Client PO -POV Comments"/>
    <tableColumn id="24" xr3:uid="{6813C803-3EE3-434A-81FF-E848E5E3DA75}" name="Comments" dataDxf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16C61E-4867-49B7-9810-91E9F2142A05}" name="Table1" displayName="Table1" ref="A1:X8" totalsRowShown="0" headerRowDxfId="11" headerRowBorderDxfId="9" tableBorderDxfId="10" totalsRowBorderDxfId="8">
  <autoFilter ref="A1:X8" xr:uid="{8016C61E-4867-49B7-9810-91E9F2142A05}"/>
  <tableColumns count="24">
    <tableColumn id="1" xr3:uid="{22536B3D-3D54-43F6-A6BF-27C6E899B8A4}" name="S.No" dataDxfId="7"/>
    <tableColumn id="2" xr3:uid="{785CD6DD-B79B-414C-8979-B81527DD8822}" name="Sprint " dataDxfId="6"/>
    <tableColumn id="3" xr3:uid="{4BF338F8-3826-4CC4-BA77-8712C9A6C82E}" name="Developer" dataDxfId="5"/>
    <tableColumn id="4" xr3:uid="{2F4FAA1A-F8D0-4CB5-9FC0-3607C386851C}" name="Story ID/Defect ID" dataDxfId="4" dataCellStyle="Hyperlink"/>
    <tableColumn id="5" xr3:uid="{4DEAE70E-B123-48DC-BA10-C925492B81BB}" name="Description" dataDxfId="3"/>
    <tableColumn id="25" xr3:uid="{F11A8EC3-18E3-4DCB-A336-8B40F6488F95}" name="Status" dataDxfId="2"/>
    <tableColumn id="6" xr3:uid="{58115345-CFAA-4C3E-8FD4-CB23C437BF01}" name="Estimated(hrs/sp)"/>
    <tableColumn id="7" xr3:uid="{F2D9B690-E25F-4D28-84BD-8033EFC6A8B1}" name="Actual(hrs/sp)"/>
    <tableColumn id="8" xr3:uid="{0917BD31-A9C1-4A22-95AB-0855FBC4A3DD}" name="Unit testing"/>
    <tableColumn id="9" xr3:uid="{A1C2A39D-3DC9-4D08-8F4B-EFF720459E11}" name="Peer Tested By" dataDxfId="1"/>
    <tableColumn id="10" xr3:uid="{109704C5-4E9E-468E-A1E9-A472DA4DD030}" name="Peer Tested Defects, if any"/>
    <tableColumn id="11" xr3:uid="{56E7E3B7-0162-4E12-94B3-A180F442A66E}" name="Peer Reviewed By"/>
    <tableColumn id="12" xr3:uid="{EF68655D-3771-406D-8124-2A9455FEAC70}" name="Peer Code Review Comments, if any"/>
    <tableColumn id="13" xr3:uid="{DC9F6B99-4C0F-4A01-BEF7-5A8095FEC205}" name="PR Number/Link"/>
    <tableColumn id="14" xr3:uid="{AC316AB0-A375-48BE-8E05-409DE404A588}" name="PR Created Date"/>
    <tableColumn id="15" xr3:uid="{D93E287D-B197-4693-AC0C-1FB72A18E205}" name="PR Approved Date"/>
    <tableColumn id="16" xr3:uid="{2A3BEF60-2A1F-43FD-9920-69E75AEB8D35}" name="Reviewer 1"/>
    <tableColumn id="17" xr3:uid="{3D662516-CFB4-4269-8124-E4CBCAF8F541}" name="Code Review Comments, if any"/>
    <tableColumn id="18" xr3:uid="{3D35669E-68D7-493D-8EE3-67ABCAAD9B30}" name="Reviewer 2"/>
    <tableColumn id="19" xr3:uid="{C360D5E5-517C-48DB-93E7-0D98516D1026}" name="Approved Date"/>
    <tableColumn id="20" xr3:uid="{6063411C-6CE1-4A09-8989-E2EBF3E6B843}" name="Code Review Comments, if any2"/>
    <tableColumn id="21" xr3:uid="{59547E54-76DD-4082-9770-0658F36029DE}" name="Internal PO -POV Comments"/>
    <tableColumn id="22" xr3:uid="{708EA391-A9BA-4782-8D33-BE3B35FC17F2}" name="Client PO -POV Comments"/>
    <tableColumn id="24" xr3:uid="{7864C850-BED9-4B07-8903-46BDED5D9D82}"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19:4ae543cca7444593b1d022935b8fb11d@thread.v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9553" TargetMode="External"/><Relationship Id="rId2" Type="http://schemas.openxmlformats.org/officeDocument/2006/relationships/hyperlink" Target="https://dev.azure.com/greatergiving/Greater%20Giving/_git/GGO/pullrequest/9546" TargetMode="External"/><Relationship Id="rId1" Type="http://schemas.openxmlformats.org/officeDocument/2006/relationships/hyperlink" Target="https://dev.azure.com/greatergiving/Greater%20Giving/_git/GGO/pullrequest/9529" TargetMode="External"/><Relationship Id="rId4" Type="http://schemas.openxmlformats.org/officeDocument/2006/relationships/hyperlink" Target="https://dev.azure.com/greatergiving/Greater%20Giving/_git/GGO/pullrequest/9559"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9507" TargetMode="External"/><Relationship Id="rId2" Type="http://schemas.openxmlformats.org/officeDocument/2006/relationships/hyperlink" Target="https://dev.azure.com/greatergiving/Greater%20Giving/_git/GGO/pullrequest/9486" TargetMode="External"/><Relationship Id="rId1" Type="http://schemas.openxmlformats.org/officeDocument/2006/relationships/hyperlink" Target="https://dev.azure.com/greatergiving/Greater%20Giving/_git/GGO/pullrequest/9490" TargetMode="External"/><Relationship Id="rId4" Type="http://schemas.openxmlformats.org/officeDocument/2006/relationships/hyperlink" Target="https://dev.azure.com/greatergiving/Greater%20Giving/_git/GGO/pullrequest/9515"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9462" TargetMode="External"/><Relationship Id="rId2" Type="http://schemas.openxmlformats.org/officeDocument/2006/relationships/hyperlink" Target="https://dev.azure.com/greatergiving/Greater%20Giving/_git/GGO/pullrequest/9449" TargetMode="External"/><Relationship Id="rId1" Type="http://schemas.openxmlformats.org/officeDocument/2006/relationships/hyperlink" Target="https://dev.azure.com/greatergiving/Greater%20Giving/_git/GGO/pullrequest/9438" TargetMode="External"/><Relationship Id="rId4" Type="http://schemas.openxmlformats.org/officeDocument/2006/relationships/hyperlink" Target="https://dev.azure.com/greatergiving/Greater%20Giving/_git/GGO/pullrequest/9466"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9418" TargetMode="External"/><Relationship Id="rId2" Type="http://schemas.openxmlformats.org/officeDocument/2006/relationships/hyperlink" Target="https://dev.azure.com/greatergiving/Greater%20Giving/_git/GGO/pullrequest/9407" TargetMode="External"/><Relationship Id="rId1" Type="http://schemas.openxmlformats.org/officeDocument/2006/relationships/hyperlink" Target="https://dev.azure.com/greatergiving/Greater%20Giving/_git/GGO/pullrequest/9397" TargetMode="External"/><Relationship Id="rId4" Type="http://schemas.openxmlformats.org/officeDocument/2006/relationships/hyperlink" Target="https://dev.azure.com/greatergiving/Greater%20Giving/_git/GGO/pullrequest/9418"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9353" TargetMode="External"/><Relationship Id="rId2" Type="http://schemas.openxmlformats.org/officeDocument/2006/relationships/hyperlink" Target="https://dev.azure.com/greatergiving/Greater%20Giving/_git/GGO/pullrequest/9370" TargetMode="External"/><Relationship Id="rId1" Type="http://schemas.openxmlformats.org/officeDocument/2006/relationships/hyperlink" Target="https://dev.azure.com/greatergiving/Greater%20Giving/_git/GGO/pullrequest/9341" TargetMode="External"/><Relationship Id="rId4" Type="http://schemas.openxmlformats.org/officeDocument/2006/relationships/hyperlink" Target="https://dev.azure.com/greatergiving/Greater%20Giving/_git/GGO/pullrequest/9377"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9324" TargetMode="External"/><Relationship Id="rId2" Type="http://schemas.openxmlformats.org/officeDocument/2006/relationships/hyperlink" Target="https://dev.azure.com/greatergiving/Greater%20Giving/_git/GGO/pullrequest/9316" TargetMode="External"/><Relationship Id="rId1" Type="http://schemas.openxmlformats.org/officeDocument/2006/relationships/hyperlink" Target="https://dev.azure.com/greatergiving/Greater%20Giving/_git/GGO/pullrequest/9304" TargetMode="External"/><Relationship Id="rId4" Type="http://schemas.openxmlformats.org/officeDocument/2006/relationships/hyperlink" Target="https://dev.azure.com/greatergiving/Greater%20Giving/_git/GGO/pullrequest/9341"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9296" TargetMode="External"/><Relationship Id="rId2" Type="http://schemas.openxmlformats.org/officeDocument/2006/relationships/hyperlink" Target="https://dev.azure.com/greatergiving/Greater%20Giving/_git/GGO/pullrequest/9285" TargetMode="External"/><Relationship Id="rId1" Type="http://schemas.openxmlformats.org/officeDocument/2006/relationships/hyperlink" Target="https://dev.azure.com/greatergiving/Greater%20Giving/_git/GGO/pullrequest/9273"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dev.azure.com/greatergiving/Greater%20Giving/_git/GGO/pullrequest/9253" TargetMode="External"/><Relationship Id="rId1" Type="http://schemas.openxmlformats.org/officeDocument/2006/relationships/hyperlink" Target="https://dev.azure.com/greatergiving/Greater%20Giving/_git/GGO/pullrequest/9227"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9188" TargetMode="External"/><Relationship Id="rId2" Type="http://schemas.openxmlformats.org/officeDocument/2006/relationships/hyperlink" Target="https://dev.azure.com/greatergiving/Greater%20Giving/_git/GGO/pullrequest/9178" TargetMode="External"/><Relationship Id="rId1" Type="http://schemas.openxmlformats.org/officeDocument/2006/relationships/hyperlink" Target="https://dev.azure.com/greatergiving/Greater%20Giving/_git/GGO/pullrequest/9155" TargetMode="External"/><Relationship Id="rId4" Type="http://schemas.openxmlformats.org/officeDocument/2006/relationships/hyperlink" Target="https://dev.azure.com/greatergiving/Greater%20Giving/_git/GGO/pullrequest/9200"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dev.azure.com/greatergiving/Greater%20Giving/_git/GGO/pullrequest/9133" TargetMode="External"/><Relationship Id="rId1" Type="http://schemas.openxmlformats.org/officeDocument/2006/relationships/hyperlink" Target="https://dev.azure.com/greatergiving/Greater%20Giving/_git/GGO/pullrequest/9104"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dev.azure.com/greatergiving/Greater%20Giving/_git/GGO/pullrequest/9076" TargetMode="External"/><Relationship Id="rId1" Type="http://schemas.openxmlformats.org/officeDocument/2006/relationships/hyperlink" Target="https://dev.azure.com/greatergiving/Greater%20Giving/_git/GGO/pullrequest/9066"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9048" TargetMode="External"/><Relationship Id="rId2" Type="http://schemas.openxmlformats.org/officeDocument/2006/relationships/hyperlink" Target="https://dev.azure.com/greatergiving/Greater%20Giving/_git/GGO/pullrequest/9037" TargetMode="External"/><Relationship Id="rId1" Type="http://schemas.openxmlformats.org/officeDocument/2006/relationships/hyperlink" Target="https://dev.azure.com/greatergiving/Greater%20Giving/_git/GGO/pullrequest/9018"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dev.azure.com/greatergiving/Greater%20Giving/_git/GGO/pullrequest/8993" TargetMode="External"/><Relationship Id="rId1" Type="http://schemas.openxmlformats.org/officeDocument/2006/relationships/hyperlink" Target="https://dev.azure.com/greatergiving/Greater%20Giving/_git/GGO/pullrequest/8976"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8964" TargetMode="External"/><Relationship Id="rId2" Type="http://schemas.openxmlformats.org/officeDocument/2006/relationships/hyperlink" Target="https://dev.azure.com/greatergiving/Greater%20Giving/_git/GGO/pullrequest/8948" TargetMode="External"/><Relationship Id="rId1" Type="http://schemas.openxmlformats.org/officeDocument/2006/relationships/hyperlink" Target="https://dev.azure.com/greatergiving/Greater%20Giving/_git/GGO/pullrequest/8936"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8921" TargetMode="External"/><Relationship Id="rId2" Type="http://schemas.openxmlformats.org/officeDocument/2006/relationships/hyperlink" Target="https://dev.azure.com/greatergiving/Greater%20Giving/_git/GGO/pullrequest/8914" TargetMode="External"/><Relationship Id="rId1" Type="http://schemas.openxmlformats.org/officeDocument/2006/relationships/hyperlink" Target="https://dev.azure.com/greatergiving/Greater%20Giving/_git/GGO/pullrequest/8901"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8887" TargetMode="External"/><Relationship Id="rId2" Type="http://schemas.openxmlformats.org/officeDocument/2006/relationships/hyperlink" Target="https://dev.azure.com/greatergiving/Greater%20Giving/_git/GGO/pullrequest/8866" TargetMode="External"/><Relationship Id="rId1" Type="http://schemas.openxmlformats.org/officeDocument/2006/relationships/hyperlink" Target="https://dev.azure.com/greatergiving/Greater%20Giving/_git/GGO/pullrequest/8866"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840" TargetMode="External"/><Relationship Id="rId2" Type="http://schemas.openxmlformats.org/officeDocument/2006/relationships/hyperlink" Target="https://dev.azure.com/greatergiving/Greater%20Giving/_git/GGO/pullrequest/8819" TargetMode="External"/><Relationship Id="rId1" Type="http://schemas.openxmlformats.org/officeDocument/2006/relationships/hyperlink" Target="https://dev.azure.com/greatergiving/Greater%20Giving/_git/GGO/pullrequest/8824" TargetMode="External"/><Relationship Id="rId4" Type="http://schemas.openxmlformats.org/officeDocument/2006/relationships/hyperlink" Target="https://dev.azure.com/greatergiving/Greater%20Giving/_git/GGO/pullrequest/8842"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771" TargetMode="External"/><Relationship Id="rId2" Type="http://schemas.openxmlformats.org/officeDocument/2006/relationships/hyperlink" Target="https://dev.azure.com/greatergiving/Greater%20Giving/_git/GGO/pullrequest/8754" TargetMode="External"/><Relationship Id="rId1" Type="http://schemas.openxmlformats.org/officeDocument/2006/relationships/hyperlink" Target="https://greatergiving.visualstudio.com/Greater%20Giving/_git/GGO/pullrequest/8753" TargetMode="External"/><Relationship Id="rId6" Type="http://schemas.openxmlformats.org/officeDocument/2006/relationships/hyperlink" Target="https://dev.azure.com/greatergiving/Greater%20Giving/_git/GGO/pullrequest/8757" TargetMode="External"/><Relationship Id="rId5" Type="http://schemas.openxmlformats.org/officeDocument/2006/relationships/hyperlink" Target="https://dev.azure.com/greatergiving/Greater%20Giving/_git/GGO/pullrequest/8793" TargetMode="External"/><Relationship Id="rId4" Type="http://schemas.openxmlformats.org/officeDocument/2006/relationships/hyperlink" Target="https://dev.azure.com/greatergiving/Greater%20Giving/_git/GGO/pullrequest/8801"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8736" TargetMode="External"/><Relationship Id="rId2" Type="http://schemas.openxmlformats.org/officeDocument/2006/relationships/hyperlink" Target="https://greatergiving.visualstudio.com/Greater%20Giving/_git/GGO/pullrequest/8724" TargetMode="External"/><Relationship Id="rId1" Type="http://schemas.openxmlformats.org/officeDocument/2006/relationships/hyperlink" Target="https://greatergiving.visualstudio.com/Greater%20Giving/_git/GGO/pullrequest/8724" TargetMode="External"/><Relationship Id="rId5" Type="http://schemas.openxmlformats.org/officeDocument/2006/relationships/hyperlink" Target="https://greatergiving.visualstudio.com/Greater%20Giving/_git/GGO/pullrequest/8753" TargetMode="External"/><Relationship Id="rId4" Type="http://schemas.openxmlformats.org/officeDocument/2006/relationships/hyperlink" Target="https://dev.azure.com/greatergiving/Greater%20Giving/_git/GGO/pullrequest/8754" TargetMode="External"/></Relationships>
</file>

<file path=xl/worksheets/_rels/sheet2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0.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713" TargetMode="External"/><Relationship Id="rId2" Type="http://schemas.openxmlformats.org/officeDocument/2006/relationships/hyperlink" Target="https://dev.azure.com/greatergiving/Greater%20Giving/_git/GGO/pullrequest/8704" TargetMode="External"/><Relationship Id="rId1" Type="http://schemas.openxmlformats.org/officeDocument/2006/relationships/hyperlink" Target="https://greatergiving.visualstudio.com/Greater%20Giving/_git/GGO/pullrequest/8696"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673" TargetMode="External"/><Relationship Id="rId2" Type="http://schemas.openxmlformats.org/officeDocument/2006/relationships/hyperlink" Target="https://dev.azure.com/greatergiving/Greater%20Giving/_git/GGO/pullrequest/8645" TargetMode="External"/><Relationship Id="rId1" Type="http://schemas.openxmlformats.org/officeDocument/2006/relationships/hyperlink" Target="https://greatergiving.visualstudio.com/Greater%20Giving/_git/GGO/pullrequest/8632" TargetMode="External"/><Relationship Id="rId5" Type="http://schemas.openxmlformats.org/officeDocument/2006/relationships/hyperlink" Target="https://dev.azure.com/greatergiving/Greater%20Giving/_git/GGO/pullrequest/8679" TargetMode="External"/><Relationship Id="rId4" Type="http://schemas.openxmlformats.org/officeDocument/2006/relationships/hyperlink" Target="https://dev.azure.com/greatergiving/Greater%20Giving/_git/GGO/pullrequest/8666"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627" TargetMode="External"/><Relationship Id="rId2" Type="http://schemas.openxmlformats.org/officeDocument/2006/relationships/hyperlink" Target="https://greatergiving.visualstudio.com/Greater%20Giving/_git/GGO/pullrequest/8632" TargetMode="External"/><Relationship Id="rId1" Type="http://schemas.openxmlformats.org/officeDocument/2006/relationships/hyperlink" Target="https://greatergiving.visualstudio.com/Greater%20Giving/_git/GGO/pullrequest/8621" TargetMode="External"/><Relationship Id="rId5" Type="http://schemas.openxmlformats.org/officeDocument/2006/relationships/hyperlink" Target="https://dev.azure.com/greatergiving/Greater%20Giving/_git/GGO/pullrequest/8645" TargetMode="External"/><Relationship Id="rId4" Type="http://schemas.openxmlformats.org/officeDocument/2006/relationships/hyperlink" Target="https://dev.azure.com/greatergiving/Greater%20Giving/_git/GGO/pullrequest/8615" TargetMode="External"/></Relationships>
</file>

<file path=xl/worksheets/_rels/sheet33.xml.rels><?xml version="1.0" encoding="UTF-8" standalone="yes"?>
<Relationships xmlns="http://schemas.openxmlformats.org/package/2006/relationships"><Relationship Id="rId2" Type="http://schemas.openxmlformats.org/officeDocument/2006/relationships/hyperlink" Target="https://dev.azure.com/greatergiving/Greater%20Giving/_git/GGO/pullrequest/8593" TargetMode="External"/><Relationship Id="rId1" Type="http://schemas.openxmlformats.org/officeDocument/2006/relationships/hyperlink" Target="https://dev.azure.com/greatergiving/Greater%20Giving/_git/GGO/pullrequest/8573"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547" TargetMode="External"/><Relationship Id="rId2" Type="http://schemas.openxmlformats.org/officeDocument/2006/relationships/hyperlink" Target="https://dev.azure.com/greatergiving/Greater%20Giving/_git/GGO/pullrequest/8566" TargetMode="External"/><Relationship Id="rId1" Type="http://schemas.openxmlformats.org/officeDocument/2006/relationships/hyperlink" Target="https://dev.azure.com/greatergiving/Greater%20Giving/_git/GGO/pullrequest/8553" TargetMode="External"/><Relationship Id="rId4" Type="http://schemas.openxmlformats.org/officeDocument/2006/relationships/hyperlink" Target="https://greatergiving.visualstudio.com/Greater%20Giving/_git/GGO/pullrequest/8573"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8525" TargetMode="External"/><Relationship Id="rId3" Type="http://schemas.openxmlformats.org/officeDocument/2006/relationships/hyperlink" Target="https://greatergiving.visualstudio.com/Greater%20Giving/_git/GGO/pullrequest/8498" TargetMode="External"/><Relationship Id="rId7" Type="http://schemas.openxmlformats.org/officeDocument/2006/relationships/hyperlink" Target="https://greatergiving.visualstudio.com/Greater%20Giving/_git/GGO/pullrequest/8523" TargetMode="External"/><Relationship Id="rId2" Type="http://schemas.openxmlformats.org/officeDocument/2006/relationships/hyperlink" Target="https://greatergiving.visualstudio.com/Greater%20Giving/_git/GGO/pullrequest/8502" TargetMode="External"/><Relationship Id="rId1" Type="http://schemas.openxmlformats.org/officeDocument/2006/relationships/hyperlink" Target="https://greatergiving.visualstudio.com/Greater%20Giving/_git/GGO/pullrequest/8496" TargetMode="External"/><Relationship Id="rId6" Type="http://schemas.openxmlformats.org/officeDocument/2006/relationships/hyperlink" Target="https://greatergiving.visualstudio.com/Greater%20Giving/_git/GGO/pullrequest/8524" TargetMode="External"/><Relationship Id="rId5" Type="http://schemas.openxmlformats.org/officeDocument/2006/relationships/hyperlink" Target="https://greatergiving.visualstudio.com/Greater%20Giving/_git/PAPI/pullrequest/8518" TargetMode="External"/><Relationship Id="rId4" Type="http://schemas.openxmlformats.org/officeDocument/2006/relationships/hyperlink" Target="https://greatergiving.visualstudio.com/Greater%20Giving/_git/GGO/pullrequest/8508" TargetMode="External"/></Relationships>
</file>

<file path=xl/worksheets/_rels/sheet3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7.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457" TargetMode="External"/><Relationship Id="rId7" Type="http://schemas.openxmlformats.org/officeDocument/2006/relationships/hyperlink" Target="https://greatergiving.atlassian.net/browse/GGO-14619" TargetMode="External"/><Relationship Id="rId2" Type="http://schemas.openxmlformats.org/officeDocument/2006/relationships/hyperlink" Target="https://greatergiving.visualstudio.com/Greater%20Giving/_git/GGO/pullrequest/8458" TargetMode="External"/><Relationship Id="rId1" Type="http://schemas.openxmlformats.org/officeDocument/2006/relationships/hyperlink" Target="https://greatergiving.visualstudio.com/Greater%20Giving/_git/GGO/pullrequest/8463" TargetMode="External"/><Relationship Id="rId6" Type="http://schemas.openxmlformats.org/officeDocument/2006/relationships/hyperlink" Target="https://greatergiving.visualstudio.com/Greater%20Giving/_git/GGO/pullrequest/8476" TargetMode="External"/><Relationship Id="rId5" Type="http://schemas.openxmlformats.org/officeDocument/2006/relationships/hyperlink" Target="https://greatergiving.visualstudio.com/Greater%20Giving/_git/PAPI/pullrequest/8477" TargetMode="External"/><Relationship Id="rId4" Type="http://schemas.openxmlformats.org/officeDocument/2006/relationships/hyperlink" Target="https://dev.azure.com/greatergiving/Greater%20Giving/_git/GGO/pullrequest/8474" TargetMode="External"/></Relationships>
</file>

<file path=xl/worksheets/_rels/sheet3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9.xml.rels><?xml version="1.0" encoding="UTF-8" standalone="yes"?>
<Relationships xmlns="http://schemas.openxmlformats.org/package/2006/relationships"><Relationship Id="rId8" Type="http://schemas.openxmlformats.org/officeDocument/2006/relationships/hyperlink" Target="https://greatergiving.visualstudio.com/Greater%20Giving/_git/PAPI/pullrequest/8441" TargetMode="External"/><Relationship Id="rId3" Type="http://schemas.openxmlformats.org/officeDocument/2006/relationships/hyperlink" Target="https://greatergiving.atlassian.net/browse/PAPI-851" TargetMode="External"/><Relationship Id="rId7" Type="http://schemas.openxmlformats.org/officeDocument/2006/relationships/hyperlink" Target="https://greatergiving.visualstudio.com/Greater%20Giving/_git/GGO/pullrequest/8440" TargetMode="External"/><Relationship Id="rId2" Type="http://schemas.openxmlformats.org/officeDocument/2006/relationships/hyperlink" Target="https://greatergiving.atlassian.net/browse/GGO-14649" TargetMode="External"/><Relationship Id="rId1" Type="http://schemas.openxmlformats.org/officeDocument/2006/relationships/hyperlink" Target="https://greatergiving.atlassian.net/browse/GGO-14644" TargetMode="External"/><Relationship Id="rId6" Type="http://schemas.openxmlformats.org/officeDocument/2006/relationships/hyperlink" Target="https://greatergiving.visualstudio.com/Greater%20Giving/_git/GGO/pullrequest/8431" TargetMode="External"/><Relationship Id="rId5" Type="http://schemas.openxmlformats.org/officeDocument/2006/relationships/hyperlink" Target="https://greatergiving.visualstudio.com/Greater%20Giving/_git/GGO/pullrequest/8427" TargetMode="External"/><Relationship Id="rId4" Type="http://schemas.openxmlformats.org/officeDocument/2006/relationships/hyperlink" Target="https://greatergiving.visualstudio.com/Greater%20Giving/_git/GGO/pullrequest/8434" TargetMode="External"/><Relationship Id="rId9" Type="http://schemas.openxmlformats.org/officeDocument/2006/relationships/hyperlink" Target="https://dev.azure.com/greatergiving/Greater%20Giving/_git/GGO/pullrequest/8436" TargetMode="External"/></Relationships>
</file>

<file path=xl/worksheets/_rels/sheet4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greatergiving.atlassian.net/browse/GGO-14662"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https://greatergiving.atlassian.net/browse/GGO-14644" TargetMode="External"/><Relationship Id="rId3" Type="http://schemas.openxmlformats.org/officeDocument/2006/relationships/hyperlink" Target="https://greatergiving.atlassian.net/browse/PAPI-842" TargetMode="External"/><Relationship Id="rId7" Type="http://schemas.openxmlformats.org/officeDocument/2006/relationships/hyperlink" Target="https://dev.azure.com/greatergiving/Greater%20Giving/_git/GGO/pullrequest/8370" TargetMode="External"/><Relationship Id="rId2" Type="http://schemas.openxmlformats.org/officeDocument/2006/relationships/hyperlink" Target="https://greatergiving.atlassian.net/browse/GGO-14617" TargetMode="External"/><Relationship Id="rId1" Type="http://schemas.openxmlformats.org/officeDocument/2006/relationships/hyperlink" Target="https://greatergiving.atlassian.net/browse/PAPI-839" TargetMode="External"/><Relationship Id="rId6" Type="http://schemas.openxmlformats.org/officeDocument/2006/relationships/hyperlink" Target="https://dev.azure.com/greatergiving/Greater%20Giving/_git/GGO/pullrequest/8380" TargetMode="External"/><Relationship Id="rId5" Type="http://schemas.openxmlformats.org/officeDocument/2006/relationships/hyperlink" Target="https://dev.azure.com/greatergiving/Greater%20Giving/_git/GGO/pullrequest/8407" TargetMode="External"/><Relationship Id="rId4" Type="http://schemas.openxmlformats.org/officeDocument/2006/relationships/hyperlink" Target="https://greatergiving.atlassian.net/browse/PAPI-842" TargetMode="External"/></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https://greatergiving.atlassian.net/browse/GGO-14457" TargetMode="External"/><Relationship Id="rId1" Type="http://schemas.openxmlformats.org/officeDocument/2006/relationships/hyperlink" Target="https://greatergiving.atlassian.net/browse/GGO-14646" TargetMode="External"/><Relationship Id="rId4" Type="http://schemas.openxmlformats.org/officeDocument/2006/relationships/comments" Target="../comments5.xml"/></Relationships>
</file>

<file path=xl/worksheets/_rels/sheet43.xml.rels><?xml version="1.0" encoding="UTF-8" standalone="yes"?>
<Relationships xmlns="http://schemas.openxmlformats.org/package/2006/relationships"><Relationship Id="rId8" Type="http://schemas.openxmlformats.org/officeDocument/2006/relationships/hyperlink" Target="https://greatergiving.atlassian.net/browse/GGO-14597" TargetMode="External"/><Relationship Id="rId13" Type="http://schemas.openxmlformats.org/officeDocument/2006/relationships/hyperlink" Target="https://greatergiving.atlassian.net/browse/GGO-14624" TargetMode="External"/><Relationship Id="rId3" Type="http://schemas.openxmlformats.org/officeDocument/2006/relationships/hyperlink" Target="https://greatergiving.visualstudio.com/Greater%20Giving/_git/GGO/pullrequest/8338" TargetMode="External"/><Relationship Id="rId7" Type="http://schemas.openxmlformats.org/officeDocument/2006/relationships/hyperlink" Target="https://greatergiving.atlassian.net/browse/GGO-14597" TargetMode="External"/><Relationship Id="rId12" Type="http://schemas.openxmlformats.org/officeDocument/2006/relationships/hyperlink" Target="https://greatergiving.atlassian.net/browse/GGO-14602" TargetMode="External"/><Relationship Id="rId2" Type="http://schemas.openxmlformats.org/officeDocument/2006/relationships/hyperlink" Target="https://greatergiving.atlassian.net/browse/GGO-14161" TargetMode="External"/><Relationship Id="rId1" Type="http://schemas.openxmlformats.org/officeDocument/2006/relationships/hyperlink" Target="https://greatergiving.atlassian.net/browse/GGO-14596" TargetMode="External"/><Relationship Id="rId6" Type="http://schemas.openxmlformats.org/officeDocument/2006/relationships/hyperlink" Target="https://greatergiving.visualstudio.com/Greater%20Giving/_git/GGO/pullrequest/8355" TargetMode="External"/><Relationship Id="rId11" Type="http://schemas.openxmlformats.org/officeDocument/2006/relationships/hyperlink" Target="https://greatergiving.atlassian.net/browse/PAPI-839" TargetMode="External"/><Relationship Id="rId5" Type="http://schemas.openxmlformats.org/officeDocument/2006/relationships/hyperlink" Target="https://greatergiving.visualstudio.com/Greater%20Giving/_git/GGO/pullrequest/8336" TargetMode="External"/><Relationship Id="rId15" Type="http://schemas.openxmlformats.org/officeDocument/2006/relationships/hyperlink" Target="https://greatergiving.visualstudio.com/Greater%20Giving/_git/GGO/pullrequest/8362" TargetMode="External"/><Relationship Id="rId10" Type="http://schemas.openxmlformats.org/officeDocument/2006/relationships/hyperlink" Target="https://greatergiving.atlassian.net/browse/GGO-14592" TargetMode="External"/><Relationship Id="rId4" Type="http://schemas.openxmlformats.org/officeDocument/2006/relationships/hyperlink" Target="https://greatergiving.visualstudio.com/Greater%20Giving/_git/GGO/pullrequest/8330" TargetMode="External"/><Relationship Id="rId9" Type="http://schemas.openxmlformats.org/officeDocument/2006/relationships/hyperlink" Target="https://greatergiving.atlassian.net/browse/GGO-14592" TargetMode="External"/><Relationship Id="rId14" Type="http://schemas.openxmlformats.org/officeDocument/2006/relationships/hyperlink" Target="https://greatergiving.visualstudio.com/Greater%20Giving/_git/GGO/pullrequest/8363" TargetMode="Externa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hyperlink" Target="https://greatergiving.atlassian.net/browse/GGO-14621" TargetMode="External"/><Relationship Id="rId1" Type="http://schemas.openxmlformats.org/officeDocument/2006/relationships/hyperlink" Target="https://greatergiving.atlassian.net/browse/GGO-14626" TargetMode="External"/><Relationship Id="rId4" Type="http://schemas.openxmlformats.org/officeDocument/2006/relationships/comments" Target="../comments6.xml"/></Relationships>
</file>

<file path=xl/worksheets/_rels/sheet45.xml.rels><?xml version="1.0" encoding="UTF-8" standalone="yes"?>
<Relationships xmlns="http://schemas.openxmlformats.org/package/2006/relationships"><Relationship Id="rId8" Type="http://schemas.openxmlformats.org/officeDocument/2006/relationships/hyperlink" Target="https://greatergiving.visualstudio.com/Greater%20Giving/_git/PAPI/pullrequest/8312" TargetMode="External"/><Relationship Id="rId13" Type="http://schemas.openxmlformats.org/officeDocument/2006/relationships/hyperlink" Target="https://dev.azure.com/greatergiving/Greater%20Giving/_git/PAPI/pullrequest/8318" TargetMode="External"/><Relationship Id="rId3" Type="http://schemas.openxmlformats.org/officeDocument/2006/relationships/hyperlink" Target="https://greatergiving.visualstudio.com/Greater%20Giving/_git/GGO/pullrequest/8292" TargetMode="External"/><Relationship Id="rId7" Type="http://schemas.openxmlformats.org/officeDocument/2006/relationships/hyperlink" Target="https://greatergiving.visualstudio.com/Greater%20Giving/_git/PAPI/pullrequest/8314" TargetMode="External"/><Relationship Id="rId12" Type="http://schemas.openxmlformats.org/officeDocument/2006/relationships/hyperlink" Target="https://dev.azure.com/greatergiving/Greater%20Giving/_git/GGO/pullrequest/8320" TargetMode="External"/><Relationship Id="rId2" Type="http://schemas.openxmlformats.org/officeDocument/2006/relationships/hyperlink" Target="https://dev.azure.com/greatergiving/Greater%20Giving/_git/PAPI/pullrequest/8291" TargetMode="External"/><Relationship Id="rId1" Type="http://schemas.openxmlformats.org/officeDocument/2006/relationships/hyperlink" Target="https://greatergiving.visualstudio.com/Greater%20Giving/_git/GGO/pullrequest/8288" TargetMode="External"/><Relationship Id="rId6" Type="http://schemas.openxmlformats.org/officeDocument/2006/relationships/hyperlink" Target="https://greatergiving.atlassian.net/browse/GGO-14584" TargetMode="External"/><Relationship Id="rId11" Type="http://schemas.openxmlformats.org/officeDocument/2006/relationships/hyperlink" Target="https://greatergiving.atlassian.net/browse/PAPI-819" TargetMode="External"/><Relationship Id="rId5" Type="http://schemas.openxmlformats.org/officeDocument/2006/relationships/hyperlink" Target="https://dev.azure.com/greatergiving/Greater%20Giving/_git/GGO/pullrequest/8300" TargetMode="External"/><Relationship Id="rId10" Type="http://schemas.openxmlformats.org/officeDocument/2006/relationships/hyperlink" Target="https://greatergiving.atlassian.net/browse/GGO-14596" TargetMode="External"/><Relationship Id="rId4" Type="http://schemas.openxmlformats.org/officeDocument/2006/relationships/hyperlink" Target="https://dev.azure.com/greatergiving/Greater%20Giving/_git/PAPI/pullrequest/8293" TargetMode="External"/><Relationship Id="rId9" Type="http://schemas.openxmlformats.org/officeDocument/2006/relationships/hyperlink" Target="https://greatergiving.atlassian.net/browse/PAPI-820" TargetMode="External"/></Relationships>
</file>

<file path=xl/worksheets/_rels/sheet4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7.xml.rels><?xml version="1.0" encoding="UTF-8" standalone="yes"?>
<Relationships xmlns="http://schemas.openxmlformats.org/package/2006/relationships"><Relationship Id="rId8" Type="http://schemas.openxmlformats.org/officeDocument/2006/relationships/hyperlink" Target="http://dev.azure.com/greatergiving/Greater%20Giving/_git/GGO/pullrequest/8272" TargetMode="External"/><Relationship Id="rId3" Type="http://schemas.openxmlformats.org/officeDocument/2006/relationships/hyperlink" Target="https://dev.azure.com/greatergiving/Greater%20Giving/_git/GGO/pullrequest/8265" TargetMode="External"/><Relationship Id="rId7" Type="http://schemas.openxmlformats.org/officeDocument/2006/relationships/hyperlink" Target="https://greatergiving.visualstudio.com/Greater%20Giving/_git/PAPI/pullrequest/8282" TargetMode="External"/><Relationship Id="rId2" Type="http://schemas.openxmlformats.org/officeDocument/2006/relationships/hyperlink" Target="https://greatergiving.atlassian.net/browse/GGO-14546" TargetMode="External"/><Relationship Id="rId1" Type="http://schemas.openxmlformats.org/officeDocument/2006/relationships/hyperlink" Target="https://greatergiving.atlassian.net/browse/GGO-14070" TargetMode="External"/><Relationship Id="rId6" Type="http://schemas.openxmlformats.org/officeDocument/2006/relationships/hyperlink" Target="https://greatergiving.visualstudio.com/Greater%20Giving/_git/GGO/pullrequest/8281" TargetMode="External"/><Relationship Id="rId5" Type="http://schemas.openxmlformats.org/officeDocument/2006/relationships/hyperlink" Target="https://greatergiving.atlassian.net/browse/PAPI-812" TargetMode="External"/><Relationship Id="rId4" Type="http://schemas.openxmlformats.org/officeDocument/2006/relationships/hyperlink" Target="https://greatergiving.atlassian.net/browse/GGO-14509"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https://greatergiving.atlassian.net/browse/GGO-14510" TargetMode="External"/><Relationship Id="rId3" Type="http://schemas.openxmlformats.org/officeDocument/2006/relationships/hyperlink" Target="https://greatergiving.atlassian.net/browse/GGO-14070" TargetMode="External"/><Relationship Id="rId7" Type="http://schemas.openxmlformats.org/officeDocument/2006/relationships/hyperlink" Target="https://greatergiving.atlassian.net/browse/GGO-14571" TargetMode="External"/><Relationship Id="rId2" Type="http://schemas.openxmlformats.org/officeDocument/2006/relationships/hyperlink" Target="https://greatergiving.atlassian.net/browse/GGO-14504" TargetMode="External"/><Relationship Id="rId1" Type="http://schemas.openxmlformats.org/officeDocument/2006/relationships/hyperlink" Target="https://greatergiving.atlassian.net/browse/GGO-14563" TargetMode="External"/><Relationship Id="rId6" Type="http://schemas.openxmlformats.org/officeDocument/2006/relationships/hyperlink" Target="https://greatergiving.atlassian.net/browse/GGO-14579" TargetMode="External"/><Relationship Id="rId5" Type="http://schemas.openxmlformats.org/officeDocument/2006/relationships/hyperlink" Target="https://greatergiving.atlassian.net/browse/GGO-14070" TargetMode="External"/><Relationship Id="rId10" Type="http://schemas.openxmlformats.org/officeDocument/2006/relationships/comments" Target="../comments8.xml"/><Relationship Id="rId4" Type="http://schemas.openxmlformats.org/officeDocument/2006/relationships/hyperlink" Target="https://greatergiving.atlassian.net/browse/GGO-14564" TargetMode="External"/><Relationship Id="rId9" Type="http://schemas.openxmlformats.org/officeDocument/2006/relationships/vmlDrawing" Target="../drawings/vmlDrawing8.vml"/></Relationships>
</file>

<file path=xl/worksheets/_rels/sheet49.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8218" TargetMode="External"/><Relationship Id="rId3" Type="http://schemas.openxmlformats.org/officeDocument/2006/relationships/hyperlink" Target="https://dev.azure.com/greatergiving/Greater%20Giving/_git/GGO/pullrequest/8204" TargetMode="External"/><Relationship Id="rId7" Type="http://schemas.openxmlformats.org/officeDocument/2006/relationships/hyperlink" Target="https://greatergiving.atlassian.net/browse/GGO-14530" TargetMode="External"/><Relationship Id="rId2" Type="http://schemas.openxmlformats.org/officeDocument/2006/relationships/hyperlink" Target="https://dev.azure.com/greatergiving/Greater%20Giving/_git/GGO/pullrequest/8189" TargetMode="External"/><Relationship Id="rId1" Type="http://schemas.openxmlformats.org/officeDocument/2006/relationships/hyperlink" Target="https://greatergiving.atlassian.net/browse/GGO-14474" TargetMode="External"/><Relationship Id="rId6" Type="http://schemas.openxmlformats.org/officeDocument/2006/relationships/hyperlink" Target="https://greatergiving.atlassian.net/browse/GGO-14530" TargetMode="External"/><Relationship Id="rId11" Type="http://schemas.openxmlformats.org/officeDocument/2006/relationships/hyperlink" Target="https://greatergiving.atlassian.net/browse/PAPI-758" TargetMode="External"/><Relationship Id="rId5" Type="http://schemas.openxmlformats.org/officeDocument/2006/relationships/hyperlink" Target="https://greatergiving.atlassian.net/browse/GGO-14070" TargetMode="External"/><Relationship Id="rId10" Type="http://schemas.openxmlformats.org/officeDocument/2006/relationships/hyperlink" Target="https://greatergiving.atlassian.net/browse/GGO-14071" TargetMode="External"/><Relationship Id="rId4" Type="http://schemas.openxmlformats.org/officeDocument/2006/relationships/hyperlink" Target="https://dev.azure.com/greatergiving/Greater%20Giving/_git/GGO/pullrequest/8197" TargetMode="External"/><Relationship Id="rId9" Type="http://schemas.openxmlformats.org/officeDocument/2006/relationships/hyperlink" Target="https://greatergiving.visualstudio.com/Greater%20Giving/_git/GGO/pullrequest/8228" TargetMode="External"/></Relationships>
</file>

<file path=xl/worksheets/_rels/sheet50.xml.rels><?xml version="1.0" encoding="UTF-8" standalone="yes"?>
<Relationships xmlns="http://schemas.openxmlformats.org/package/2006/relationships"><Relationship Id="rId8" Type="http://schemas.openxmlformats.org/officeDocument/2006/relationships/hyperlink" Target="https://greatergiving.atlassian.net/browse/GGO-14564" TargetMode="External"/><Relationship Id="rId3" Type="http://schemas.openxmlformats.org/officeDocument/2006/relationships/hyperlink" Target="https://greatergiving.atlassian.net/browse/GGO-14474" TargetMode="External"/><Relationship Id="rId7" Type="http://schemas.openxmlformats.org/officeDocument/2006/relationships/hyperlink" Target="https://greatergiving.atlassian.net/browse/GGO-14070" TargetMode="External"/><Relationship Id="rId2" Type="http://schemas.openxmlformats.org/officeDocument/2006/relationships/hyperlink" Target="https://greatergiving.atlassian.net/browse/GGO-14542" TargetMode="External"/><Relationship Id="rId1" Type="http://schemas.openxmlformats.org/officeDocument/2006/relationships/hyperlink" Target="https://greatergiving.atlassian.net/browse/GGO-14474" TargetMode="External"/><Relationship Id="rId6" Type="http://schemas.openxmlformats.org/officeDocument/2006/relationships/hyperlink" Target="https://greatergiving.atlassian.net/browse/GGO-14504" TargetMode="External"/><Relationship Id="rId5" Type="http://schemas.openxmlformats.org/officeDocument/2006/relationships/hyperlink" Target="https://greatergiving.atlassian.net/browse/GGO-14563" TargetMode="External"/><Relationship Id="rId4" Type="http://schemas.openxmlformats.org/officeDocument/2006/relationships/hyperlink" Target="https://greatergiving.atlassian.net/browse/GGO-14544" TargetMode="External"/><Relationship Id="rId9" Type="http://schemas.openxmlformats.org/officeDocument/2006/relationships/hyperlink" Target="https://greatergiving.atlassian.net/browse/GGO-14530"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https://dev.azure.com/greatergiving/Greater%20Giving/_git/GGO/pullrequest/8189" TargetMode="External"/><Relationship Id="rId3" Type="http://schemas.openxmlformats.org/officeDocument/2006/relationships/hyperlink" Target="https://greatergiving.visualstudio.com/Greater%20Giving/_git/GGO/pullrequest/8170" TargetMode="External"/><Relationship Id="rId7" Type="http://schemas.openxmlformats.org/officeDocument/2006/relationships/hyperlink" Target="https://greatergiving.visualstudio.com/Greater%20Giving/_git/GGO/pullrequest/8184" TargetMode="External"/><Relationship Id="rId2" Type="http://schemas.openxmlformats.org/officeDocument/2006/relationships/hyperlink" Target="https://greatergiving.atlassian.net/browse/PAPI-790" TargetMode="External"/><Relationship Id="rId1" Type="http://schemas.openxmlformats.org/officeDocument/2006/relationships/hyperlink" Target="https://greatergiving.atlassian.net/browse/GGO-14474" TargetMode="External"/><Relationship Id="rId6" Type="http://schemas.openxmlformats.org/officeDocument/2006/relationships/hyperlink" Target="https://greatergiving.atlassian.net/browse/PAPI-794" TargetMode="External"/><Relationship Id="rId5" Type="http://schemas.openxmlformats.org/officeDocument/2006/relationships/hyperlink" Target="https://greatergiving.atlassian.net/browse/GGO-14511" TargetMode="External"/><Relationship Id="rId10" Type="http://schemas.openxmlformats.org/officeDocument/2006/relationships/hyperlink" Target="https://dev.azure.com/greatergiving/Greater%20Giving/_git/GGO/pullrequest/8197" TargetMode="External"/><Relationship Id="rId4" Type="http://schemas.openxmlformats.org/officeDocument/2006/relationships/hyperlink" Target="https://greatergiving.visualstudio.com/Greater%20Giving/_git/GGO/pullrequest/8174" TargetMode="External"/><Relationship Id="rId9" Type="http://schemas.openxmlformats.org/officeDocument/2006/relationships/hyperlink" Target="https://dev.azure.com/greatergiving/Greater%20Giving/_git/GGO/pullrequest/8204"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https://greatergiving.visualstudio.com/Greater%20Giving/_git/PAPI/pullrequest/8136" TargetMode="External"/><Relationship Id="rId13" Type="http://schemas.openxmlformats.org/officeDocument/2006/relationships/hyperlink" Target="https://dev.azure.com/greatergiving/Greater%20Giving/_git/GGAutomation/pullrequest/8157" TargetMode="External"/><Relationship Id="rId3" Type="http://schemas.openxmlformats.org/officeDocument/2006/relationships/hyperlink" Target="https://dev.azure.com/greatergiving/Greater%20Giving/_git/GGO/pullrequest/8097" TargetMode="External"/><Relationship Id="rId7" Type="http://schemas.openxmlformats.org/officeDocument/2006/relationships/hyperlink" Target="https://greatergiving.atlassian.net/browse/GGO-14483" TargetMode="External"/><Relationship Id="rId12" Type="http://schemas.openxmlformats.org/officeDocument/2006/relationships/hyperlink" Target="https://greatergiving.atlassian.net/browse/GGO-14447" TargetMode="External"/><Relationship Id="rId17" Type="http://schemas.openxmlformats.org/officeDocument/2006/relationships/table" Target="../tables/table1.xml"/><Relationship Id="rId2" Type="http://schemas.openxmlformats.org/officeDocument/2006/relationships/hyperlink" Target="https://dev.azure.com/greatergiving/Greater%20Giving/_git/GGO/pullrequest/8112" TargetMode="External"/><Relationship Id="rId16" Type="http://schemas.openxmlformats.org/officeDocument/2006/relationships/hyperlink" Target="https://greatergiving.visualstudio.com/Greater%20Giving/_git/GGO/pullrequest/8158" TargetMode="External"/><Relationship Id="rId1" Type="http://schemas.openxmlformats.org/officeDocument/2006/relationships/hyperlink" Target="https://greatergiving.atlassian.net/browse/GGO-14474" TargetMode="External"/><Relationship Id="rId6" Type="http://schemas.openxmlformats.org/officeDocument/2006/relationships/hyperlink" Target="https://greatergiving.atlassian.net/browse/GGO-14422" TargetMode="External"/><Relationship Id="rId11" Type="http://schemas.openxmlformats.org/officeDocument/2006/relationships/hyperlink" Target="https://greatergiving.atlassian.net/browse/GGO-14468" TargetMode="External"/><Relationship Id="rId5" Type="http://schemas.openxmlformats.org/officeDocument/2006/relationships/hyperlink" Target="https://greatergiving.atlassian.net/browse/GGO-14450" TargetMode="External"/><Relationship Id="rId15" Type="http://schemas.openxmlformats.org/officeDocument/2006/relationships/hyperlink" Target="https://greatergiving.visualstudio.com/Greater%20Giving/_git/GGO/pullrequest/8166" TargetMode="External"/><Relationship Id="rId10" Type="http://schemas.openxmlformats.org/officeDocument/2006/relationships/hyperlink" Target="https://greatergiving.atlassian.net/browse/GGO-14469" TargetMode="External"/><Relationship Id="rId4" Type="http://schemas.openxmlformats.org/officeDocument/2006/relationships/hyperlink" Target="https://greatergiving.atlassian.net/browse/PAPI-790" TargetMode="External"/><Relationship Id="rId9" Type="http://schemas.openxmlformats.org/officeDocument/2006/relationships/hyperlink" Target="https://greatergiving.atlassian.net/browse/PAPI-790" TargetMode="External"/><Relationship Id="rId14" Type="http://schemas.openxmlformats.org/officeDocument/2006/relationships/hyperlink" Target="https://greatergiving.atlassian.net/browse/PAPI-789"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https://greatergiving.atlassian.net/browse/GGO-14427" TargetMode="External"/><Relationship Id="rId3" Type="http://schemas.openxmlformats.org/officeDocument/2006/relationships/hyperlink" Target="https://greatergiving.atlassian.net/browse/GGO-14489" TargetMode="External"/><Relationship Id="rId7" Type="http://schemas.openxmlformats.org/officeDocument/2006/relationships/hyperlink" Target="https://greatergiving.atlassian.net/browse/GGO-14483" TargetMode="External"/><Relationship Id="rId2" Type="http://schemas.openxmlformats.org/officeDocument/2006/relationships/hyperlink" Target="https://greatergiving.atlassian.net/browse/GGO-14489" TargetMode="External"/><Relationship Id="rId1" Type="http://schemas.openxmlformats.org/officeDocument/2006/relationships/hyperlink" Target="https://greatergiving.atlassian.net/browse/GGO-14489" TargetMode="External"/><Relationship Id="rId6" Type="http://schemas.openxmlformats.org/officeDocument/2006/relationships/hyperlink" Target="https://greatergiving.atlassian.net/browse/GGO-14483" TargetMode="External"/><Relationship Id="rId5" Type="http://schemas.openxmlformats.org/officeDocument/2006/relationships/hyperlink" Target="https://greatergiving.atlassian.net/browse/GGO-14483" TargetMode="External"/><Relationship Id="rId10" Type="http://schemas.openxmlformats.org/officeDocument/2006/relationships/hyperlink" Target="https://greatergiving.atlassian.net/browse/GGO-14489" TargetMode="External"/><Relationship Id="rId4" Type="http://schemas.openxmlformats.org/officeDocument/2006/relationships/hyperlink" Target="https://greatergiving.atlassian.net/browse/GGO-14512" TargetMode="External"/><Relationship Id="rId9" Type="http://schemas.openxmlformats.org/officeDocument/2006/relationships/hyperlink" Target="https://greatergiving.atlassian.net/browse/GGO-14427"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https://dev.azure.com/greatergiving/Greater%20Giving/_git/GGO/pullrequest/8097" TargetMode="External"/><Relationship Id="rId3" Type="http://schemas.openxmlformats.org/officeDocument/2006/relationships/hyperlink" Target="https://dev.azure.com/greatergiving/Greater%20Giving/_git/GGO/pullrequest/8075" TargetMode="External"/><Relationship Id="rId7" Type="http://schemas.openxmlformats.org/officeDocument/2006/relationships/hyperlink" Target="https://dev.azure.com/greatergiving/Greater%20Giving/_git/GGO/pullrequest/8112" TargetMode="External"/><Relationship Id="rId2" Type="http://schemas.openxmlformats.org/officeDocument/2006/relationships/hyperlink" Target="https://greatergiving.visualstudio.com/Greater%20Giving/_git/GGO/pullrequest/8080" TargetMode="External"/><Relationship Id="rId1" Type="http://schemas.openxmlformats.org/officeDocument/2006/relationships/hyperlink" Target="https://greatergiving.visualstudio.com/Greater%20Giving/_git/GGO/pullrequest/8079" TargetMode="External"/><Relationship Id="rId6" Type="http://schemas.openxmlformats.org/officeDocument/2006/relationships/hyperlink" Target="https://greatergiving.atlassian.net/browse/GGO-14474" TargetMode="External"/><Relationship Id="rId5" Type="http://schemas.openxmlformats.org/officeDocument/2006/relationships/hyperlink" Target="https://greatergiving.visualstudio.com/Greater%20Giving/_git/GGO/pullrequest/8092" TargetMode="External"/><Relationship Id="rId4" Type="http://schemas.openxmlformats.org/officeDocument/2006/relationships/hyperlink" Target="https://greatergiving.visualstudio.com/Greater%20Giving/_git/GGO/pullrequest/8096" TargetMode="External"/><Relationship Id="rId9" Type="http://schemas.openxmlformats.org/officeDocument/2006/relationships/table" Target="../tables/table2.xml"/></Relationships>
</file>

<file path=xl/worksheets/_rels/sheet56.xml.rels><?xml version="1.0" encoding="UTF-8" standalone="yes"?>
<Relationships xmlns="http://schemas.openxmlformats.org/package/2006/relationships"><Relationship Id="rId8" Type="http://schemas.openxmlformats.org/officeDocument/2006/relationships/hyperlink" Target="https://greatergiving.atlassian.net/browse/GGO-14489" TargetMode="External"/><Relationship Id="rId3" Type="http://schemas.openxmlformats.org/officeDocument/2006/relationships/hyperlink" Target="https://greatergiving.atlassian.net/browse/GGO-14481" TargetMode="External"/><Relationship Id="rId7" Type="http://schemas.openxmlformats.org/officeDocument/2006/relationships/hyperlink" Target="https://greatergiving.atlassian.net/browse/GGO-14489" TargetMode="External"/><Relationship Id="rId2" Type="http://schemas.openxmlformats.org/officeDocument/2006/relationships/hyperlink" Target="https://greatergiving.atlassian.net/browse/GGO-14480" TargetMode="External"/><Relationship Id="rId1" Type="http://schemas.openxmlformats.org/officeDocument/2006/relationships/hyperlink" Target="https://greatergiving.atlassian.net/browse/GGO-14479" TargetMode="External"/><Relationship Id="rId6" Type="http://schemas.openxmlformats.org/officeDocument/2006/relationships/hyperlink" Target="https://greatergiving.atlassian.net/browse/GGO-14476" TargetMode="External"/><Relationship Id="rId5" Type="http://schemas.openxmlformats.org/officeDocument/2006/relationships/hyperlink" Target="https://greatergiving.atlassian.net/browse/GGO-14488" TargetMode="External"/><Relationship Id="rId4" Type="http://schemas.openxmlformats.org/officeDocument/2006/relationships/hyperlink" Target="https://greatergiving.atlassian.net/browse/GGO-14486" TargetMode="External"/></Relationships>
</file>

<file path=xl/worksheets/_rels/sheet57.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greatergiving.visualstudio.com/Greater%20Giving/_git/GGO/pullrequest/8056" TargetMode="External"/><Relationship Id="rId7" Type="http://schemas.openxmlformats.org/officeDocument/2006/relationships/hyperlink" Target="https://greatergiving.atlassian.net/browse/GGO-14425" TargetMode="External"/><Relationship Id="rId2" Type="http://schemas.openxmlformats.org/officeDocument/2006/relationships/hyperlink" Target="https://greatergiving.atlassian.net/browse/GGO-13319" TargetMode="External"/><Relationship Id="rId1" Type="http://schemas.openxmlformats.org/officeDocument/2006/relationships/hyperlink" Target="https://greatergiving.atlassian.net/browse/GGO-14402" TargetMode="External"/><Relationship Id="rId6" Type="http://schemas.openxmlformats.org/officeDocument/2006/relationships/hyperlink" Target="https://greatergiving.atlassian.net/browse/PAPI-781" TargetMode="External"/><Relationship Id="rId5" Type="http://schemas.openxmlformats.org/officeDocument/2006/relationships/hyperlink" Target="https://greatergiving.atlassian.net/browse/PAPI-773" TargetMode="External"/><Relationship Id="rId4" Type="http://schemas.openxmlformats.org/officeDocument/2006/relationships/hyperlink" Target="https://dev.azure.com/greatergiving/Greater%20Giving/_git/GGO/pullrequest/8071"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https://dev.azure.com/greatergiving/Greater%20Giving/_git/GGO/pullrequest/8022" TargetMode="External"/><Relationship Id="rId3" Type="http://schemas.openxmlformats.org/officeDocument/2006/relationships/hyperlink" Target="https://greatergiving.visualstudio.com/Greater%20Giving/_git/GGO/pullrequest/8000" TargetMode="External"/><Relationship Id="rId7" Type="http://schemas.openxmlformats.org/officeDocument/2006/relationships/hyperlink" Target="https://dev.azure.com/greatergiving/Greater%20Giving/_git/GGO/pullrequest/8022" TargetMode="External"/><Relationship Id="rId2" Type="http://schemas.openxmlformats.org/officeDocument/2006/relationships/hyperlink" Target="https://greatergiving.atlassian.net/browse/GGO-14361" TargetMode="External"/><Relationship Id="rId1" Type="http://schemas.openxmlformats.org/officeDocument/2006/relationships/hyperlink" Target="https://greatergiving.atlassian.net/browse/GGO-14355" TargetMode="External"/><Relationship Id="rId6" Type="http://schemas.openxmlformats.org/officeDocument/2006/relationships/hyperlink" Target="https://greatergiving.atlassian.net/browse/GGO-14355" TargetMode="External"/><Relationship Id="rId5" Type="http://schemas.openxmlformats.org/officeDocument/2006/relationships/hyperlink" Target="https://dev.azure.com/greatergiving/Greater%20Giving/_git/GGO/pullrequest/8003" TargetMode="External"/><Relationship Id="rId4" Type="http://schemas.openxmlformats.org/officeDocument/2006/relationships/hyperlink" Target="https://greatergiving.atlassian.net/browse/GGO-13319" TargetMode="External"/><Relationship Id="rId9" Type="http://schemas.openxmlformats.org/officeDocument/2006/relationships/table" Target="../tables/table4.xml"/></Relationships>
</file>

<file path=xl/worksheets/_rels/sheet61.xml.rels><?xml version="1.0" encoding="UTF-8" standalone="yes"?>
<Relationships xmlns="http://schemas.openxmlformats.org/package/2006/relationships"><Relationship Id="rId8" Type="http://schemas.openxmlformats.org/officeDocument/2006/relationships/hyperlink" Target="https://greatergiving.atlassian.net/browse/GGO-14361" TargetMode="External"/><Relationship Id="rId3" Type="http://schemas.openxmlformats.org/officeDocument/2006/relationships/hyperlink" Target="https://greatergiving.visualstudio.com/Greater%20Giving/_git/GGO/pullrequest/7983" TargetMode="External"/><Relationship Id="rId7" Type="http://schemas.openxmlformats.org/officeDocument/2006/relationships/hyperlink" Target="https://greatergiving.atlassian.net/browse/GGO-14361" TargetMode="External"/><Relationship Id="rId2" Type="http://schemas.openxmlformats.org/officeDocument/2006/relationships/hyperlink" Target="https://greatergiving.visualstudio.com/Greater%20Giving/_git/GGO/pullrequest/7988" TargetMode="External"/><Relationship Id="rId1" Type="http://schemas.openxmlformats.org/officeDocument/2006/relationships/hyperlink" Target="https://greatergiving.atlassian.net/browse/GGO-14295" TargetMode="External"/><Relationship Id="rId6" Type="http://schemas.openxmlformats.org/officeDocument/2006/relationships/hyperlink" Target="https://greatergiving.atlassian.net/browse/PAPI-774" TargetMode="External"/><Relationship Id="rId11" Type="http://schemas.openxmlformats.org/officeDocument/2006/relationships/hyperlink" Target="https://dev.azure.com/greatergiving/Greater%20Giving/_git/GGO/pullrequest/7968" TargetMode="External"/><Relationship Id="rId5" Type="http://schemas.openxmlformats.org/officeDocument/2006/relationships/hyperlink" Target="https://dev.azure.com/greatergiving/Greater%20Giving/_git/GGO/pullrequest/7981" TargetMode="External"/><Relationship Id="rId10" Type="http://schemas.openxmlformats.org/officeDocument/2006/relationships/hyperlink" Target="https://dev.azure.com/greatergiving/Greater%20Giving/_git/GGO/pullrequest/7961" TargetMode="External"/><Relationship Id="rId4" Type="http://schemas.openxmlformats.org/officeDocument/2006/relationships/hyperlink" Target="https://dev.azure.com/greatergiving/Greater%20Giving/_git/GGO/pullrequest/7949" TargetMode="External"/><Relationship Id="rId9" Type="http://schemas.openxmlformats.org/officeDocument/2006/relationships/hyperlink" Target="https://greatergiving.atlassian.net/browse/GGO-14244"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greatergiving.atlassian.net/browse/GGO-14353"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7945" TargetMode="External"/><Relationship Id="rId3" Type="http://schemas.openxmlformats.org/officeDocument/2006/relationships/hyperlink" Target="https://greatergiving.atlassian.net/browse/GGO-14340" TargetMode="External"/><Relationship Id="rId7" Type="http://schemas.openxmlformats.org/officeDocument/2006/relationships/hyperlink" Target="https://greatergiving.visualstudio.com/Greater%20Giving/_git/GGO/pullrequest/7945" TargetMode="External"/><Relationship Id="rId2" Type="http://schemas.openxmlformats.org/officeDocument/2006/relationships/hyperlink" Target="https://greatergiving.visualstudio.com/Greater%20Giving/_git/GGO/pullrequest/7916" TargetMode="External"/><Relationship Id="rId1" Type="http://schemas.openxmlformats.org/officeDocument/2006/relationships/hyperlink" Target="https://greatergiving.atlassian.net/browse/GGO-13860" TargetMode="External"/><Relationship Id="rId6" Type="http://schemas.openxmlformats.org/officeDocument/2006/relationships/hyperlink" Target="https://dev.azure.com/greatergiving/Greater%20Giving/_git/PAPI/pullrequest/7934" TargetMode="External"/><Relationship Id="rId5" Type="http://schemas.openxmlformats.org/officeDocument/2006/relationships/hyperlink" Target="https://dev.azure.com/greatergiving/Greater%20Giving/_git/GGO/pullrequest/7930" TargetMode="External"/><Relationship Id="rId4" Type="http://schemas.openxmlformats.org/officeDocument/2006/relationships/hyperlink" Target="https://dev.azure.com/greatergiving/Greater%20Giving/_git/GGO/pullrequest/7869"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https://greatergiving.atlassian.net/browse/GGO-14353"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7896" TargetMode="External"/><Relationship Id="rId2" Type="http://schemas.openxmlformats.org/officeDocument/2006/relationships/hyperlink" Target="https://dev.azure.com/greatergiving/Greater%20Giving/_git/PAPI/pullrequest/7894" TargetMode="External"/><Relationship Id="rId1" Type="http://schemas.openxmlformats.org/officeDocument/2006/relationships/hyperlink" Target="https://greatergiving.atlassian.net/browse/GGO-14199" TargetMode="External"/><Relationship Id="rId6" Type="http://schemas.openxmlformats.org/officeDocument/2006/relationships/hyperlink" Target="https://dev.azure.com/greatergiving/Greater%20Giving/_git/GGO/pullrequest/7873" TargetMode="External"/><Relationship Id="rId5" Type="http://schemas.openxmlformats.org/officeDocument/2006/relationships/hyperlink" Target="https://dev.azure.com/greatergiving/Greater%20Giving/_git/GGO/pullrequest/7892" TargetMode="External"/><Relationship Id="rId4" Type="http://schemas.openxmlformats.org/officeDocument/2006/relationships/hyperlink" Target="https://dev.azure.com/greatergiving/Greater%20Giving/_git/GGO/pullrequest/7892" TargetMode="External"/></Relationships>
</file>

<file path=xl/worksheets/_rels/sheet67.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7817" TargetMode="External"/><Relationship Id="rId7" Type="http://schemas.openxmlformats.org/officeDocument/2006/relationships/hyperlink" Target="https://greatergiving.atlassian.net/browse/PAPI-750" TargetMode="External"/><Relationship Id="rId2" Type="http://schemas.openxmlformats.org/officeDocument/2006/relationships/hyperlink" Target="https://greatergiving.visualstudio.com/Greater%20Giving/_git/GGO/pullrequest/7842" TargetMode="External"/><Relationship Id="rId1" Type="http://schemas.openxmlformats.org/officeDocument/2006/relationships/hyperlink" Target="https://greatergiving.visualstudio.com/Greater%20Giving/_git/GGO/pullrequest/7835" TargetMode="External"/><Relationship Id="rId6" Type="http://schemas.openxmlformats.org/officeDocument/2006/relationships/hyperlink" Target="https://dev.azure.com/greatergiving/Greater%20Giving/_git/GGO/pullrequest/7838" TargetMode="External"/><Relationship Id="rId5" Type="http://schemas.openxmlformats.org/officeDocument/2006/relationships/hyperlink" Target="https://dev.azure.com/greatergiving/Greater%20Giving/_git/GGO/pullrequest/7840" TargetMode="External"/><Relationship Id="rId4" Type="http://schemas.openxmlformats.org/officeDocument/2006/relationships/hyperlink" Target="https://greatergiving.atlassian.net/browse/GGO-14267" TargetMode="External"/></Relationships>
</file>

<file path=xl/worksheets/_rels/sheet69.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7702" TargetMode="External"/><Relationship Id="rId7" Type="http://schemas.openxmlformats.org/officeDocument/2006/relationships/hyperlink" Target="https://dev.azure.com/greatergiving/Greater%20Giving/_git/PAPI/pullrequest/7820" TargetMode="External"/><Relationship Id="rId2" Type="http://schemas.openxmlformats.org/officeDocument/2006/relationships/hyperlink" Target="https://dev.azure.com/greatergiving/Greater%20Giving/_git/GGO/pullrequest/7791" TargetMode="External"/><Relationship Id="rId1" Type="http://schemas.openxmlformats.org/officeDocument/2006/relationships/hyperlink" Target="https://greatergiving.atlassian.net/browse/GGO-14275" TargetMode="External"/><Relationship Id="rId6" Type="http://schemas.openxmlformats.org/officeDocument/2006/relationships/hyperlink" Target="https://dev.azure.com/greatergiving/Greater%20Giving/_git/GGAutomation/pullrequest/7822" TargetMode="External"/><Relationship Id="rId5" Type="http://schemas.openxmlformats.org/officeDocument/2006/relationships/hyperlink" Target="https://dev.azure.com/greatergiving/Greater%20Giving/_git/GGO/pullrequest/7817" TargetMode="External"/><Relationship Id="rId4" Type="http://schemas.openxmlformats.org/officeDocument/2006/relationships/hyperlink" Target="https://dev.azure.com/greatergiving/Greater%20Giving/_git/GGO/pullrequest/7800" TargetMode="External"/></Relationships>
</file>

<file path=xl/worksheets/_rels/sheet71.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7770" TargetMode="External"/><Relationship Id="rId3" Type="http://schemas.openxmlformats.org/officeDocument/2006/relationships/hyperlink" Target="https://greatergiving.atlassian.net/browse/GGO-14216" TargetMode="External"/><Relationship Id="rId7" Type="http://schemas.openxmlformats.org/officeDocument/2006/relationships/hyperlink" Target="https://greatergiving.visualstudio.com/Greater%20Giving/_git/GGO/pullrequest/7766" TargetMode="External"/><Relationship Id="rId2" Type="http://schemas.openxmlformats.org/officeDocument/2006/relationships/hyperlink" Target="https://greatergiving.atlassian.net/browse/PAPI-734" TargetMode="External"/><Relationship Id="rId1" Type="http://schemas.openxmlformats.org/officeDocument/2006/relationships/hyperlink" Target="https://greatergiving.atlGGO-14270" TargetMode="External"/><Relationship Id="rId6" Type="http://schemas.openxmlformats.org/officeDocument/2006/relationships/hyperlink" Target="https://greatergiving.visualstudio.com/Greater%20Giving/_git/GGO/pullrequest/7765" TargetMode="External"/><Relationship Id="rId5" Type="http://schemas.openxmlformats.org/officeDocument/2006/relationships/hyperlink" Target="https://greatergiving.atlassian.net/browse/GGO-14275" TargetMode="External"/><Relationship Id="rId10" Type="http://schemas.openxmlformats.org/officeDocument/2006/relationships/hyperlink" Target="https://greatergiving.visualstudio.com/Greater%20Giving/_git/GGO/pullrequest/7780" TargetMode="External"/><Relationship Id="rId4" Type="http://schemas.openxmlformats.org/officeDocument/2006/relationships/hyperlink" Target="https://greatergiving.atlassian.net/browse/GGO-14264" TargetMode="External"/><Relationship Id="rId9" Type="http://schemas.openxmlformats.org/officeDocument/2006/relationships/hyperlink" Target="https://dev.azure.com/greatergiving/Greater%20Giving/_git/GGO/pullrequest/7817" TargetMode="External"/></Relationships>
</file>

<file path=xl/worksheets/_rels/sheet73.xml.rels><?xml version="1.0" encoding="UTF-8" standalone="yes"?>
<Relationships xmlns="http://schemas.openxmlformats.org/package/2006/relationships"><Relationship Id="rId8" Type="http://schemas.openxmlformats.org/officeDocument/2006/relationships/hyperlink" Target="https://greatergiving.atlassian.net/browse/GGO-14262" TargetMode="External"/><Relationship Id="rId3" Type="http://schemas.openxmlformats.org/officeDocument/2006/relationships/hyperlink" Target="https://greatergiving.atlassian.net/browse/GGO-14225" TargetMode="External"/><Relationship Id="rId7" Type="http://schemas.openxmlformats.org/officeDocument/2006/relationships/hyperlink" Target="https://greatergiving.visualstudio.com/Greater%20Giving/_git/GGO/pullrequest/7758" TargetMode="External"/><Relationship Id="rId2" Type="http://schemas.openxmlformats.org/officeDocument/2006/relationships/hyperlink" Target="https://greatergiving.atlassian.net/browse/GGO-14236" TargetMode="External"/><Relationship Id="rId1" Type="http://schemas.openxmlformats.org/officeDocument/2006/relationships/hyperlink" Target="https://greatergiving.atlassian.net/browse/GGO-14232" TargetMode="External"/><Relationship Id="rId6" Type="http://schemas.openxmlformats.org/officeDocument/2006/relationships/hyperlink" Target="https://greatergiving.atlassian.net/browse/GGO-14262" TargetMode="External"/><Relationship Id="rId5" Type="http://schemas.openxmlformats.org/officeDocument/2006/relationships/hyperlink" Target="https://greatergiving.visualstudio.com/Greater%20Giving/_git/GGO/pullrequest/7746" TargetMode="External"/><Relationship Id="rId4" Type="http://schemas.openxmlformats.org/officeDocument/2006/relationships/hyperlink" Target="https://greatergiving.atlassian.net/browse/GGO-14253" TargetMode="External"/><Relationship Id="rId9" Type="http://schemas.openxmlformats.org/officeDocument/2006/relationships/hyperlink" Target="https://dev.azure.com/greatergiving/Greater%20Giving/_git/GGO/pullrequest/7753" TargetMode="External"/></Relationships>
</file>

<file path=xl/worksheets/_rels/sheet75.xml.rels><?xml version="1.0" encoding="UTF-8" standalone="yes"?>
<Relationships xmlns="http://schemas.openxmlformats.org/package/2006/relationships"><Relationship Id="rId3" Type="http://schemas.openxmlformats.org/officeDocument/2006/relationships/hyperlink" Target="https://greatergiving.atlassian.net/browse/GGO-14233" TargetMode="External"/><Relationship Id="rId2" Type="http://schemas.openxmlformats.org/officeDocument/2006/relationships/hyperlink" Target="https://greatergiving.atlassian.net/browse/GGO-14204" TargetMode="External"/><Relationship Id="rId1" Type="http://schemas.openxmlformats.org/officeDocument/2006/relationships/hyperlink" Target="https://dev.azure.com/greatergiving/Greater%20Giving/_git/GGO/pullrequest/7691" TargetMode="External"/><Relationship Id="rId6" Type="http://schemas.openxmlformats.org/officeDocument/2006/relationships/hyperlink" Target="https://greatergiving.atlassian.net/browse/GGO-14236" TargetMode="External"/><Relationship Id="rId5" Type="http://schemas.openxmlformats.org/officeDocument/2006/relationships/hyperlink" Target="https://greatergiving.atlassian.net/browse/GGO-14232" TargetMode="External"/><Relationship Id="rId4" Type="http://schemas.openxmlformats.org/officeDocument/2006/relationships/hyperlink" Target="https://greatergiving.atlassian.net/browse/GGO-14247" TargetMode="External"/></Relationships>
</file>

<file path=xl/worksheets/_rels/sheet77.xml.rels><?xml version="1.0" encoding="UTF-8" standalone="yes"?>
<Relationships xmlns="http://schemas.openxmlformats.org/package/2006/relationships"><Relationship Id="rId8" Type="http://schemas.openxmlformats.org/officeDocument/2006/relationships/hyperlink" Target="https://greatergiving.atlassian.net/browse/GGO-14185" TargetMode="External"/><Relationship Id="rId13" Type="http://schemas.openxmlformats.org/officeDocument/2006/relationships/hyperlink" Target="https://greatergiving.atlassian.net/browse/GGO-14223" TargetMode="External"/><Relationship Id="rId3" Type="http://schemas.openxmlformats.org/officeDocument/2006/relationships/hyperlink" Target="https://greatergiving.atlassian.net/browse/PAPI-724" TargetMode="External"/><Relationship Id="rId7" Type="http://schemas.openxmlformats.org/officeDocument/2006/relationships/hyperlink" Target="https://greatergiving.atlassian.net/browse/GGO-14210" TargetMode="External"/><Relationship Id="rId12" Type="http://schemas.openxmlformats.org/officeDocument/2006/relationships/hyperlink" Target="https://greatergiving.visualstudio.com/Greater%20Giving/_git/GGO/pullrequest/7669" TargetMode="External"/><Relationship Id="rId2" Type="http://schemas.openxmlformats.org/officeDocument/2006/relationships/hyperlink" Target="https://greatergiving.visualstudio.com/Greater%20Giving/_git/PAPI/pullrequest/7692" TargetMode="External"/><Relationship Id="rId1" Type="http://schemas.openxmlformats.org/officeDocument/2006/relationships/hyperlink" Target="https://dev.azure.com/greatergiving/Greater%20Giving/_git/GGO/pullrequest/7691" TargetMode="External"/><Relationship Id="rId6" Type="http://schemas.openxmlformats.org/officeDocument/2006/relationships/hyperlink" Target="https://greatergiving.atlassian.net/browse/GGO-14197" TargetMode="External"/><Relationship Id="rId11" Type="http://schemas.openxmlformats.org/officeDocument/2006/relationships/hyperlink" Target="https://greatergiving.atlassian.net/browse/GGO-13981" TargetMode="External"/><Relationship Id="rId5" Type="http://schemas.openxmlformats.org/officeDocument/2006/relationships/hyperlink" Target="https://greatergiving.atlassian.net/browse/GGO-14204" TargetMode="External"/><Relationship Id="rId15" Type="http://schemas.openxmlformats.org/officeDocument/2006/relationships/hyperlink" Target="https://greatergiving.atlassian.net/browse/PAPI-726" TargetMode="External"/><Relationship Id="rId10" Type="http://schemas.openxmlformats.org/officeDocument/2006/relationships/hyperlink" Target="https://dev.azure.com/greatergiving/Greater%20Giving/_git/GGO/pullrequest/7665" TargetMode="External"/><Relationship Id="rId4" Type="http://schemas.openxmlformats.org/officeDocument/2006/relationships/hyperlink" Target="https://greatergiving.atlassian.net/browse/GGO-14038" TargetMode="External"/><Relationship Id="rId9" Type="http://schemas.openxmlformats.org/officeDocument/2006/relationships/hyperlink" Target="https://greatergiving.atlassian.net/browse/PAPI-721" TargetMode="External"/><Relationship Id="rId14" Type="http://schemas.openxmlformats.org/officeDocument/2006/relationships/hyperlink" Target="https://greatergiving.atlassian.net/browse/GGO-14201" TargetMode="External"/></Relationships>
</file>

<file path=xl/worksheets/_rels/sheet79.xml.rels><?xml version="1.0" encoding="UTF-8" standalone="yes"?>
<Relationships xmlns="http://schemas.openxmlformats.org/package/2006/relationships"><Relationship Id="rId8" Type="http://schemas.openxmlformats.org/officeDocument/2006/relationships/hyperlink" Target="https://greatergiving.atlassian.net/browse/GGO-13993" TargetMode="External"/><Relationship Id="rId3" Type="http://schemas.openxmlformats.org/officeDocument/2006/relationships/hyperlink" Target="https://dev.azure.com/greatergiving/Greater%20Giving/_git/GGO/pullrequest/7665" TargetMode="External"/><Relationship Id="rId7" Type="http://schemas.openxmlformats.org/officeDocument/2006/relationships/hyperlink" Target="https://greatergiving.atlassian.net/browse/GGO-13982" TargetMode="External"/><Relationship Id="rId2" Type="http://schemas.openxmlformats.org/officeDocument/2006/relationships/hyperlink" Target="https://greatergiving.visualstudio.com/Greater%20Giving/_git/GGO/pullrequest/7669" TargetMode="External"/><Relationship Id="rId1" Type="http://schemas.openxmlformats.org/officeDocument/2006/relationships/hyperlink" Target="https://greatergiving.atlassian.net/browse/GGO-13981" TargetMode="External"/><Relationship Id="rId6" Type="http://schemas.openxmlformats.org/officeDocument/2006/relationships/hyperlink" Target="https://greatergiving.atlassian.net/browse/GGO-13947" TargetMode="External"/><Relationship Id="rId11" Type="http://schemas.openxmlformats.org/officeDocument/2006/relationships/hyperlink" Target="https://greatergiving.atlassian.net/browse/PAPI-721" TargetMode="External"/><Relationship Id="rId5" Type="http://schemas.openxmlformats.org/officeDocument/2006/relationships/hyperlink" Target="https://dev.azure.com/greatergiving/Greater%20Giving/_git/GGO/pullrequest/7658" TargetMode="External"/><Relationship Id="rId10" Type="http://schemas.openxmlformats.org/officeDocument/2006/relationships/hyperlink" Target="https://greatergiving.atlassian.net/browse/GGO-14201" TargetMode="External"/><Relationship Id="rId4" Type="http://schemas.openxmlformats.org/officeDocument/2006/relationships/hyperlink" Target="https://dev.azure.com/greatergiving/Greater%20Giving/_git/GGO/pullrequest/7663" TargetMode="External"/><Relationship Id="rId9" Type="http://schemas.openxmlformats.org/officeDocument/2006/relationships/hyperlink" Target="https://greatergiving.atlassian.net/browse/GGO-14185" TargetMode="External"/></Relationships>
</file>

<file path=xl/worksheets/_rels/sheet81.xml.rels><?xml version="1.0" encoding="UTF-8" standalone="yes"?>
<Relationships xmlns="http://schemas.openxmlformats.org/package/2006/relationships"><Relationship Id="rId8" Type="http://schemas.openxmlformats.org/officeDocument/2006/relationships/hyperlink" Target="https://greatergiving.atlassian.net/browse/GGO-14169" TargetMode="External"/><Relationship Id="rId13" Type="http://schemas.openxmlformats.org/officeDocument/2006/relationships/hyperlink" Target="https://dev.azure.com/greatergiving/Greater%20Giving/_git/GGO/pullrequest/7641" TargetMode="External"/><Relationship Id="rId3" Type="http://schemas.openxmlformats.org/officeDocument/2006/relationships/hyperlink" Target="https://dev.azure.com/greatergiving/Greater%20Giving/_git/GGO/pullrequest/7629" TargetMode="External"/><Relationship Id="rId7" Type="http://schemas.openxmlformats.org/officeDocument/2006/relationships/hyperlink" Target="https://greatergiving.atlassian.net/browse/GGO-13998" TargetMode="External"/><Relationship Id="rId12" Type="http://schemas.openxmlformats.org/officeDocument/2006/relationships/hyperlink" Target="https://dev.azure.com/greatergiving/Greater%20Giving/_git/GGO/pullrequest/7628" TargetMode="External"/><Relationship Id="rId2" Type="http://schemas.openxmlformats.org/officeDocument/2006/relationships/hyperlink" Target="https://greatergiving.atlassian.net/browse/GGO-13939" TargetMode="External"/><Relationship Id="rId1" Type="http://schemas.openxmlformats.org/officeDocument/2006/relationships/hyperlink" Target="https://greatergiving.atlassian.net/browse/GGO-13939" TargetMode="External"/><Relationship Id="rId6" Type="http://schemas.openxmlformats.org/officeDocument/2006/relationships/hyperlink" Target="https://greatergiving.atlassian.net/browse/GGO-13856" TargetMode="External"/><Relationship Id="rId11" Type="http://schemas.openxmlformats.org/officeDocument/2006/relationships/hyperlink" Target="https://greatergiving.atlassian.net/browse/GGO-14004" TargetMode="External"/><Relationship Id="rId5" Type="http://schemas.openxmlformats.org/officeDocument/2006/relationships/hyperlink" Target="https://greatergiving.atlassian.net/browse/PAPI-716" TargetMode="External"/><Relationship Id="rId10" Type="http://schemas.openxmlformats.org/officeDocument/2006/relationships/hyperlink" Target="https://greatergiving.atlassian.net/browse/GGO-13947" TargetMode="External"/><Relationship Id="rId4" Type="http://schemas.openxmlformats.org/officeDocument/2006/relationships/hyperlink" Target="https://greatergiving.atlassian.net/browse/GGO-14062" TargetMode="External"/><Relationship Id="rId9" Type="http://schemas.openxmlformats.org/officeDocument/2006/relationships/hyperlink" Target="https://greatergiving.atlassian.net/browse/PAPI-710" TargetMode="External"/></Relationships>
</file>

<file path=xl/worksheets/_rels/sheet83.xml.rels><?xml version="1.0" encoding="UTF-8" standalone="yes"?>
<Relationships xmlns="http://schemas.openxmlformats.org/package/2006/relationships"><Relationship Id="rId8" Type="http://schemas.openxmlformats.org/officeDocument/2006/relationships/hyperlink" Target="https://greatergiving.atlassian.net/browse/GGO-14062" TargetMode="External"/><Relationship Id="rId3" Type="http://schemas.openxmlformats.org/officeDocument/2006/relationships/hyperlink" Target="https://greatergiving.atlassian.net/browse/GGO-13939" TargetMode="External"/><Relationship Id="rId7" Type="http://schemas.openxmlformats.org/officeDocument/2006/relationships/hyperlink" Target="https://greatergiving.visualstudio.com/Greater%20Giving/_git/PAPI/pullrequest/7613" TargetMode="External"/><Relationship Id="rId12" Type="http://schemas.openxmlformats.org/officeDocument/2006/relationships/hyperlink" Target="https://greatergiving.atlassian.net/browse/PAPI-713" TargetMode="External"/><Relationship Id="rId2" Type="http://schemas.openxmlformats.org/officeDocument/2006/relationships/hyperlink" Target="https://greatergiving.atlassian.net/browse/GGO-13981" TargetMode="External"/><Relationship Id="rId1" Type="http://schemas.openxmlformats.org/officeDocument/2006/relationships/hyperlink" Target="https://greatergiving.atlassian.net/browse/GGO-13948" TargetMode="External"/><Relationship Id="rId6" Type="http://schemas.openxmlformats.org/officeDocument/2006/relationships/hyperlink" Target="https://greatergiving.atlassian.net/browse/GGO-13939" TargetMode="External"/><Relationship Id="rId11" Type="http://schemas.openxmlformats.org/officeDocument/2006/relationships/hyperlink" Target="https://greatergiving.visualstudio.com/Greater%20Giving/_git/PAPI/pullrequest/7598" TargetMode="External"/><Relationship Id="rId5" Type="http://schemas.openxmlformats.org/officeDocument/2006/relationships/hyperlink" Target="https://dev.azure.com/greatergiving/Greater%20Giving/_git/GGO/pullrequest/7592" TargetMode="External"/><Relationship Id="rId10" Type="http://schemas.openxmlformats.org/officeDocument/2006/relationships/hyperlink" Target="https://greatergiving.atlassian.net/browse/PAPI-716" TargetMode="External"/><Relationship Id="rId4" Type="http://schemas.openxmlformats.org/officeDocument/2006/relationships/hyperlink" Target="https://dev.azure.com/greatergiving/Greater%20Giving/_git/GGO/pullrequest/7599" TargetMode="External"/><Relationship Id="rId9" Type="http://schemas.openxmlformats.org/officeDocument/2006/relationships/hyperlink" Target="https://greatergiving.atlassian.net/browse/GGO-13939" TargetMode="External"/></Relationships>
</file>

<file path=xl/worksheets/_rels/sheet84.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7567" TargetMode="External"/><Relationship Id="rId3" Type="http://schemas.openxmlformats.org/officeDocument/2006/relationships/hyperlink" Target="https://greatergiving.atlassian.net/browse/GGO-13939" TargetMode="External"/><Relationship Id="rId7" Type="http://schemas.openxmlformats.org/officeDocument/2006/relationships/hyperlink" Target="https://greatergiving.atlassian.net/browse/GGO-14005" TargetMode="External"/><Relationship Id="rId2" Type="http://schemas.openxmlformats.org/officeDocument/2006/relationships/hyperlink" Target="https://greatergiving.atlassian.net/browse/GGO-13981" TargetMode="External"/><Relationship Id="rId1" Type="http://schemas.openxmlformats.org/officeDocument/2006/relationships/hyperlink" Target="https://greatergiving.atlassian.net/browse/GGO-13948" TargetMode="External"/><Relationship Id="rId6" Type="http://schemas.openxmlformats.org/officeDocument/2006/relationships/hyperlink" Target="https://greatergiving.atlassian.net/browse/GGO-14005" TargetMode="External"/><Relationship Id="rId5" Type="http://schemas.openxmlformats.org/officeDocument/2006/relationships/hyperlink" Target="https://dev.azure.com/greatergiving/Greater%20Giving/_git/PAPI/pullrequest/7584" TargetMode="External"/><Relationship Id="rId4" Type="http://schemas.openxmlformats.org/officeDocument/2006/relationships/hyperlink" Target="https://dev.azure.com/greatergiving/Greater%20Giving/_git/GGO/pullrequest/7553" TargetMode="External"/></Relationships>
</file>

<file path=xl/worksheets/_rels/sheet87.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7527" TargetMode="External"/><Relationship Id="rId3" Type="http://schemas.openxmlformats.org/officeDocument/2006/relationships/hyperlink" Target="https://dev.azure.com/greatergiving/Greater%20Giving/_git/GGO/pullrequest/7521" TargetMode="External"/><Relationship Id="rId7" Type="http://schemas.openxmlformats.org/officeDocument/2006/relationships/hyperlink" Target="https://greatergiving.atlassian.net/browse/GGO-13983" TargetMode="External"/><Relationship Id="rId2" Type="http://schemas.openxmlformats.org/officeDocument/2006/relationships/hyperlink" Target="https://greatergiving.atlassian.net/browse/GGO-13981" TargetMode="External"/><Relationship Id="rId1" Type="http://schemas.openxmlformats.org/officeDocument/2006/relationships/hyperlink" Target="https://greatergiving.atlassian.net/browse/GGO-13948" TargetMode="External"/><Relationship Id="rId6" Type="http://schemas.openxmlformats.org/officeDocument/2006/relationships/hyperlink" Target="https://greatergiving.atlassian.net/browse/GGO-13985" TargetMode="External"/><Relationship Id="rId5" Type="http://schemas.openxmlformats.org/officeDocument/2006/relationships/hyperlink" Target="https://greatergiving.atlassian.net/browse/GGO-13939" TargetMode="External"/><Relationship Id="rId4" Type="http://schemas.openxmlformats.org/officeDocument/2006/relationships/hyperlink" Target="https://dev.azure.com/greatergiving/Greater%20Giving/_git/GGO/pullrequest/7516" TargetMode="External"/></Relationships>
</file>

<file path=xl/worksheets/_rels/sheet88.xml.rels><?xml version="1.0" encoding="UTF-8" standalone="yes"?>
<Relationships xmlns="http://schemas.openxmlformats.org/package/2006/relationships"><Relationship Id="rId8" Type="http://schemas.openxmlformats.org/officeDocument/2006/relationships/hyperlink" Target="https://greatergiving.atlassian.net/browse/GGO-13981" TargetMode="External"/><Relationship Id="rId3" Type="http://schemas.openxmlformats.org/officeDocument/2006/relationships/hyperlink" Target="https://greatergiving.atlassian.net/browse/PAPI-708" TargetMode="External"/><Relationship Id="rId7" Type="http://schemas.openxmlformats.org/officeDocument/2006/relationships/hyperlink" Target="https://greatergiving.visualstudio.com/Greater%20Giving/_git/GGO/pullrequest/7498" TargetMode="External"/><Relationship Id="rId2" Type="http://schemas.openxmlformats.org/officeDocument/2006/relationships/hyperlink" Target="https://greatergiving.atlassian.net/browse/GGO-13940" TargetMode="External"/><Relationship Id="rId1" Type="http://schemas.openxmlformats.org/officeDocument/2006/relationships/hyperlink" Target="https://greatergiving.atlassian.net/browse/GGO-13836" TargetMode="External"/><Relationship Id="rId6" Type="http://schemas.openxmlformats.org/officeDocument/2006/relationships/hyperlink" Target="https://greatergiving.visualstudio.com/Greater%20Giving/_git/GGO/pullrequest/7501" TargetMode="External"/><Relationship Id="rId5" Type="http://schemas.openxmlformats.org/officeDocument/2006/relationships/hyperlink" Target="https://greatergiving.atlassian.net/browse/GGO-13948" TargetMode="External"/><Relationship Id="rId10" Type="http://schemas.openxmlformats.org/officeDocument/2006/relationships/hyperlink" Target="https://dev.azure.com/greatergiving/Greater%20Giving/_git/GGO/pullrequest/7516" TargetMode="External"/><Relationship Id="rId4" Type="http://schemas.openxmlformats.org/officeDocument/2006/relationships/hyperlink" Target="https://greatergiving.atlassian.net/browse/PAPI-702" TargetMode="External"/><Relationship Id="rId9" Type="http://schemas.openxmlformats.org/officeDocument/2006/relationships/hyperlink" Target="https://dev.azure.com/greatergiving/Greater%20Giving/_git/GGO/pullrequest/7521" TargetMode="External"/></Relationships>
</file>

<file path=xl/worksheets/_rels/sheet91.xml.rels><?xml version="1.0" encoding="UTF-8" standalone="yes"?>
<Relationships xmlns="http://schemas.openxmlformats.org/package/2006/relationships"><Relationship Id="rId8" Type="http://schemas.openxmlformats.org/officeDocument/2006/relationships/hyperlink" Target="https://greatergiving.atlassian.net/browse/GGO-13857" TargetMode="External"/><Relationship Id="rId3" Type="http://schemas.openxmlformats.org/officeDocument/2006/relationships/hyperlink" Target="https://greatergiving.visualstudio.com/Greater%20Giving/_git/GGO/pullrequest/7469" TargetMode="External"/><Relationship Id="rId7" Type="http://schemas.openxmlformats.org/officeDocument/2006/relationships/hyperlink" Target="https://greatergiving.atlassian.net/browse/GGO-13927" TargetMode="External"/><Relationship Id="rId2" Type="http://schemas.openxmlformats.org/officeDocument/2006/relationships/hyperlink" Target="https://dev.azure.com/greatergiving/Greater%20Giving/_git/GGO/pullrequest/7465" TargetMode="External"/><Relationship Id="rId1" Type="http://schemas.openxmlformats.org/officeDocument/2006/relationships/hyperlink" Target="https://greatergiving.visualstudio.com/Greater%20Giving/_git/GGO/pullrequest/7453" TargetMode="External"/><Relationship Id="rId6" Type="http://schemas.openxmlformats.org/officeDocument/2006/relationships/hyperlink" Target="https://greatergiving.atlassian.net/browse/GGO-13938" TargetMode="External"/><Relationship Id="rId5" Type="http://schemas.openxmlformats.org/officeDocument/2006/relationships/hyperlink" Target="https://greatergiving.atlassian.net/browse/GGO-13834" TargetMode="External"/><Relationship Id="rId4" Type="http://schemas.openxmlformats.org/officeDocument/2006/relationships/hyperlink" Target="https://dev.azure.com/greatergiving/Greater%20Giving/_git/GGO/pullrequest/7454" TargetMode="External"/><Relationship Id="rId9" Type="http://schemas.openxmlformats.org/officeDocument/2006/relationships/hyperlink" Target="https://dev.azure.com/greatergiving/Greater%20Giving/_git/GGO/pullrequest/7466" TargetMode="External"/></Relationships>
</file>

<file path=xl/worksheets/_rels/sheet93.xml.rels><?xml version="1.0" encoding="UTF-8" standalone="yes"?>
<Relationships xmlns="http://schemas.openxmlformats.org/package/2006/relationships"><Relationship Id="rId3" Type="http://schemas.openxmlformats.org/officeDocument/2006/relationships/hyperlink" Target="https://dev.azure.com/greatergiving/Greater%20Giving/_git/PAPI/pullrequest/7437" TargetMode="External"/><Relationship Id="rId2" Type="http://schemas.openxmlformats.org/officeDocument/2006/relationships/hyperlink" Target="https://greatergiving.visualstudio.com/Greater%20Giving/_git/GGO/pullrequest/7439" TargetMode="External"/><Relationship Id="rId1" Type="http://schemas.openxmlformats.org/officeDocument/2006/relationships/hyperlink" Target="https://dev.azure.com/greatergiving/Greater%20Giving/_git/GGO/pullrequest/7442" TargetMode="External"/><Relationship Id="rId6" Type="http://schemas.openxmlformats.org/officeDocument/2006/relationships/hyperlink" Target="https://greatergiving.atlassian.net/browse/GGO-13785" TargetMode="External"/><Relationship Id="rId5" Type="http://schemas.openxmlformats.org/officeDocument/2006/relationships/hyperlink" Target="https://greatergiving.atlassian.net/browse/GGO-13816" TargetMode="External"/><Relationship Id="rId4" Type="http://schemas.openxmlformats.org/officeDocument/2006/relationships/hyperlink" Target="https://dev.azure.com/greatergiving/Greater%20Giving/_git/GGO/pullrequest/7422"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https://greatergiving.atlassian.net/browse/GGO-13837" TargetMode="External"/></Relationships>
</file>

<file path=xl/worksheets/_rels/sheet95.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7364" TargetMode="External"/><Relationship Id="rId2" Type="http://schemas.openxmlformats.org/officeDocument/2006/relationships/hyperlink" Target="https://greatergiving.visualstudio.com/Greater%20Giving/_git/GGO/pullrequest/7370" TargetMode="External"/><Relationship Id="rId1" Type="http://schemas.openxmlformats.org/officeDocument/2006/relationships/hyperlink" Target="https://dev.azure.com/greatergiving/Greater%20Giving/_git/GGO/pullrequest/7366" TargetMode="External"/><Relationship Id="rId6" Type="http://schemas.openxmlformats.org/officeDocument/2006/relationships/hyperlink" Target="https://greatergiving.atlassian.net/browse/GGO-13737" TargetMode="External"/><Relationship Id="rId5" Type="http://schemas.openxmlformats.org/officeDocument/2006/relationships/hyperlink" Target="https://greatergiving.atlassian.net/browse/GGO-13816" TargetMode="External"/><Relationship Id="rId4" Type="http://schemas.openxmlformats.org/officeDocument/2006/relationships/hyperlink" Target="https://greatergiving.visualstudio.com/Greater%20Giving/_git/GGO/pullrequest/7383" TargetMode="External"/></Relationships>
</file>

<file path=xl/worksheets/_rels/sheet96.xml.rels><?xml version="1.0" encoding="UTF-8" standalone="yes"?>
<Relationships xmlns="http://schemas.openxmlformats.org/package/2006/relationships"><Relationship Id="rId3" Type="http://schemas.openxmlformats.org/officeDocument/2006/relationships/hyperlink" Target="https://greatergiving.atlassian.net/browse/GGO-13835" TargetMode="External"/><Relationship Id="rId2" Type="http://schemas.openxmlformats.org/officeDocument/2006/relationships/hyperlink" Target="https://greatergiving.atlassian.net/browse/GGO-13838" TargetMode="External"/><Relationship Id="rId1" Type="http://schemas.openxmlformats.org/officeDocument/2006/relationships/hyperlink" Target="https://greatergiving.atlassian.net/browse/GGO-13837" TargetMode="External"/></Relationships>
</file>

<file path=xl/worksheets/_rels/sheet97.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7364" TargetMode="External"/><Relationship Id="rId3" Type="http://schemas.openxmlformats.org/officeDocument/2006/relationships/hyperlink" Target="https://dev.azure.com/greatergiving/Greater%20Giving/_git/GGO/pullrequest/7358" TargetMode="External"/><Relationship Id="rId7" Type="http://schemas.openxmlformats.org/officeDocument/2006/relationships/hyperlink" Target="https://greatergiving.visualstudio.com/Greater%20Giving/_git/GGO/pullrequest/7352" TargetMode="External"/><Relationship Id="rId2" Type="http://schemas.openxmlformats.org/officeDocument/2006/relationships/hyperlink" Target="https://dev.azure.com/greatergiving/Greater%20Giving/_git/GGO/pullrequest/7345" TargetMode="External"/><Relationship Id="rId1" Type="http://schemas.openxmlformats.org/officeDocument/2006/relationships/hyperlink" Target="https://dev.azure.com/greatergiving/Greater%20Giving/_git/GGO/pullrequest/7344" TargetMode="External"/><Relationship Id="rId6" Type="http://schemas.openxmlformats.org/officeDocument/2006/relationships/hyperlink" Target="https://greatergiving.visualstudio.com/Greater%20Giving/_git/GGO/pullrequest/7347" TargetMode="External"/><Relationship Id="rId5" Type="http://schemas.openxmlformats.org/officeDocument/2006/relationships/hyperlink" Target="https://greatergiving.atlassian.net/browse/GGO-13703" TargetMode="External"/><Relationship Id="rId4" Type="http://schemas.openxmlformats.org/officeDocument/2006/relationships/hyperlink" Target="https://greatergiving.atlassian.net/browse/GGO-13703" TargetMode="External"/><Relationship Id="rId9" Type="http://schemas.openxmlformats.org/officeDocument/2006/relationships/hyperlink" Target="https://greatergiving.visualstudio.com/Greater%20Giving/_git/GGO/pullrequest/7346" TargetMode="External"/></Relationships>
</file>

<file path=xl/worksheets/_rels/sheet98.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7316" TargetMode="External"/><Relationship Id="rId2" Type="http://schemas.openxmlformats.org/officeDocument/2006/relationships/hyperlink" Target="https://dev.azure.com/greatergiving/Greater%20Giving/_git/GGO/pullrequest/7306" TargetMode="External"/><Relationship Id="rId1" Type="http://schemas.openxmlformats.org/officeDocument/2006/relationships/hyperlink" Target="https://greatergiving.visualstudio.com/Greater%20Giving/_git/GGO/pullrequest/7317" TargetMode="External"/><Relationship Id="rId5" Type="http://schemas.openxmlformats.org/officeDocument/2006/relationships/hyperlink" Target="https://dev.azure.com/greatergiving/Greater%20Giving/_git/GGO/pullrequest/7330" TargetMode="External"/><Relationship Id="rId4" Type="http://schemas.openxmlformats.org/officeDocument/2006/relationships/hyperlink" Target="https://dev.azure.com/greatergiving/Greater%20Giving/_git/GGO/pullrequest/7316" TargetMode="External"/></Relationships>
</file>

<file path=xl/worksheets/_rels/sheet99.xml.rels><?xml version="1.0" encoding="UTF-8" standalone="yes"?>
<Relationships xmlns="http://schemas.openxmlformats.org/package/2006/relationships"><Relationship Id="rId3" Type="http://schemas.openxmlformats.org/officeDocument/2006/relationships/hyperlink" Target="https://greatergiving.atlassian.net/browse/GGO-13828" TargetMode="External"/><Relationship Id="rId2" Type="http://schemas.openxmlformats.org/officeDocument/2006/relationships/hyperlink" Target="https://greatergiving.atlassian.net/browse/GGO-13825" TargetMode="External"/><Relationship Id="rId1" Type="http://schemas.openxmlformats.org/officeDocument/2006/relationships/hyperlink" Target="https://greatergiving.atlassian.net/browse/GGO-13821" TargetMode="External"/></Relationships>
</file>

<file path=xl/worksheets/_rels/sheet101.xml.rels><?xml version="1.0" encoding="UTF-8" standalone="yes"?>
<Relationships xmlns="http://schemas.openxmlformats.org/package/2006/relationships"><Relationship Id="rId8" Type="http://schemas.openxmlformats.org/officeDocument/2006/relationships/hyperlink" Target="https://greatergiving.atlassian.net/browse/GGO-13696" TargetMode="External"/><Relationship Id="rId13" Type="http://schemas.openxmlformats.org/officeDocument/2006/relationships/hyperlink" Target="https://greatergiving.atlassian.net/browse/GGO-13702" TargetMode="External"/><Relationship Id="rId3" Type="http://schemas.openxmlformats.org/officeDocument/2006/relationships/hyperlink" Target="https://greatergiving.atlassian.net/browse/GGO-13735" TargetMode="External"/><Relationship Id="rId7" Type="http://schemas.openxmlformats.org/officeDocument/2006/relationships/hyperlink" Target="https://dev.azure.com/greatergiving/Greater%20Giving/_git/GGO/pullrequest/7264" TargetMode="External"/><Relationship Id="rId12" Type="http://schemas.openxmlformats.org/officeDocument/2006/relationships/hyperlink" Target="https://greatergiving.atlassian.net/browse/GGO-13774" TargetMode="External"/><Relationship Id="rId2" Type="http://schemas.openxmlformats.org/officeDocument/2006/relationships/hyperlink" Target="https://dev.azure.com/greatergiving/Greater%20Giving/_git/GGO/pullrequest/7229" TargetMode="External"/><Relationship Id="rId1" Type="http://schemas.openxmlformats.org/officeDocument/2006/relationships/hyperlink" Target="https://greatergiving.atlassian.net/browse/GGO-13143" TargetMode="External"/><Relationship Id="rId6" Type="http://schemas.openxmlformats.org/officeDocument/2006/relationships/hyperlink" Target="https://greatergiving.atlassian.net/browse/GGO-13770" TargetMode="External"/><Relationship Id="rId11" Type="http://schemas.openxmlformats.org/officeDocument/2006/relationships/hyperlink" Target="https://dev.azure.com/greatergiving/Greater%20Giving/_git/GGO/pullrequest/7273" TargetMode="External"/><Relationship Id="rId5" Type="http://schemas.openxmlformats.org/officeDocument/2006/relationships/hyperlink" Target="https://greatergiving.atlassian.net/browse/GGO-13740" TargetMode="External"/><Relationship Id="rId10" Type="http://schemas.openxmlformats.org/officeDocument/2006/relationships/hyperlink" Target="https://greatergiving.atlassian.net/browse/GGO-13736" TargetMode="External"/><Relationship Id="rId4" Type="http://schemas.openxmlformats.org/officeDocument/2006/relationships/hyperlink" Target="https://dev.azure.com/greatergiving/Greater%20Giving/_git/GGO/pullrequest/7279" TargetMode="External"/><Relationship Id="rId9" Type="http://schemas.openxmlformats.org/officeDocument/2006/relationships/hyperlink" Target="https://dev.azure.com/greatergiving/Greater%20Giving/_git/GGO/pullrequest/7285" TargetMode="External"/></Relationships>
</file>

<file path=xl/worksheets/_rels/sheet102.xml.rels><?xml version="1.0" encoding="UTF-8" standalone="yes"?>
<Relationships xmlns="http://schemas.openxmlformats.org/package/2006/relationships"><Relationship Id="rId2" Type="http://schemas.openxmlformats.org/officeDocument/2006/relationships/hyperlink" Target="https://greatergiving.atlassian.net/browse/GGO-13780" TargetMode="External"/><Relationship Id="rId1" Type="http://schemas.openxmlformats.org/officeDocument/2006/relationships/hyperlink" Target="https://greatergiving.atlassian.net/browse/GGO-13775" TargetMode="External"/></Relationships>
</file>

<file path=xl/worksheets/_rels/sheet103.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7231" TargetMode="External"/><Relationship Id="rId2" Type="http://schemas.openxmlformats.org/officeDocument/2006/relationships/hyperlink" Target="https://greatergiving.visualstudio.com/Greater%20Giving/_git/GGO/pullrequest/7224" TargetMode="External"/><Relationship Id="rId1" Type="http://schemas.openxmlformats.org/officeDocument/2006/relationships/hyperlink" Target="https://greatergiving.visualstudio.com/Greater%20Giving/_git/GGO/pullrequest/7252" TargetMode="External"/><Relationship Id="rId5" Type="http://schemas.openxmlformats.org/officeDocument/2006/relationships/hyperlink" Target="https://dev.azure.com/greatergiving/Greater%20Giving/_git/GGO/pullrequest/7216" TargetMode="External"/><Relationship Id="rId4" Type="http://schemas.openxmlformats.org/officeDocument/2006/relationships/hyperlink" Target="https://dev.azure.com/greatergiving/Greater%20Giving/_git/GGO/pullrequest/72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62"/>
  <sheetViews>
    <sheetView showGridLines="0" workbookViewId="0">
      <pane ySplit="2" topLeftCell="A61" activePane="bottomLeft" state="frozen"/>
      <selection pane="bottomLeft" activeCell="J61" sqref="J61"/>
    </sheetView>
  </sheetViews>
  <sheetFormatPr defaultColWidth="12.5703125" defaultRowHeight="12.75"/>
  <cols>
    <col min="2" max="2" width="18.85546875" customWidth="1"/>
    <col min="3" max="3" width="19.28515625" style="289" customWidth="1"/>
    <col min="4" max="4" width="24.85546875" style="289" customWidth="1"/>
    <col min="5" max="5" width="16.42578125" style="298" customWidth="1"/>
    <col min="6" max="6" width="12.5703125" customWidth="1"/>
    <col min="7" max="8" width="17.5703125" style="185" customWidth="1"/>
    <col min="9" max="9" width="85" style="185" customWidth="1"/>
    <col min="10" max="10" width="79.42578125" customWidth="1"/>
    <col min="11" max="11" width="30.85546875" customWidth="1"/>
    <col min="12" max="12" width="16.7109375" bestFit="1" customWidth="1"/>
    <col min="14" max="14" width="35" customWidth="1"/>
    <col min="15" max="15" width="15.140625" customWidth="1"/>
  </cols>
  <sheetData>
    <row r="1" spans="1:16" s="99" customFormat="1">
      <c r="A1" s="299" t="s">
        <v>0</v>
      </c>
      <c r="B1" s="282" t="str" cm="1">
        <f t="array" aca="1" ref="B1" ca="1">INDEX($B$2:$B$97,MATCH(1,(($D$2:$D$97 &gt;=TODAY())*($C$2:$C$97&lt;=TODAY())),0))</f>
        <v>GGO 8.4.0 Sprint 4</v>
      </c>
      <c r="C1" s="440" t="s">
        <v>1</v>
      </c>
      <c r="D1" s="441" t="str">
        <f ca="1">CONCATENATE(B1,"-Status")</f>
        <v>GGO 8.4.0 Sprint 4-Status</v>
      </c>
      <c r="E1" s="297" t="s">
        <v>2</v>
      </c>
      <c r="F1" s="300">
        <f ca="1">VLOOKUP($B$1,$B$1:$C$97,2)</f>
        <v>46156</v>
      </c>
      <c r="G1" s="301" t="s">
        <v>3</v>
      </c>
      <c r="H1" s="300">
        <f ca="1">VLOOKUP($B$1,$B$1:$D$97,3)</f>
        <v>46170</v>
      </c>
      <c r="I1" s="293" t="s">
        <v>4</v>
      </c>
      <c r="J1" s="282" t="s">
        <v>5</v>
      </c>
      <c r="K1" s="293" t="s">
        <v>6</v>
      </c>
      <c r="L1" s="285" t="s">
        <v>7</v>
      </c>
      <c r="M1" s="99" t="s">
        <v>8</v>
      </c>
      <c r="N1" s="313" t="s">
        <v>9</v>
      </c>
    </row>
    <row r="2" spans="1:16" s="99" customFormat="1" ht="27">
      <c r="A2" s="57" t="s">
        <v>10</v>
      </c>
      <c r="B2" s="57" t="s">
        <v>11</v>
      </c>
      <c r="C2" s="57" t="s">
        <v>2</v>
      </c>
      <c r="D2" s="57" t="s">
        <v>3</v>
      </c>
      <c r="E2" s="57" t="s">
        <v>12</v>
      </c>
      <c r="F2" s="57" t="s">
        <v>13</v>
      </c>
      <c r="G2" s="302" t="s">
        <v>14</v>
      </c>
      <c r="H2" s="472" t="s">
        <v>15</v>
      </c>
      <c r="I2" s="57" t="s">
        <v>16</v>
      </c>
      <c r="J2" s="57" t="s">
        <v>17</v>
      </c>
      <c r="K2" s="57" t="s">
        <v>18</v>
      </c>
      <c r="L2" s="303" t="s">
        <v>19</v>
      </c>
      <c r="M2" s="303" t="s">
        <v>20</v>
      </c>
      <c r="N2" s="57" t="s">
        <v>21</v>
      </c>
      <c r="O2" s="57" t="s">
        <v>22</v>
      </c>
      <c r="P2" s="57" t="s">
        <v>23</v>
      </c>
    </row>
    <row r="3" spans="1:16" s="99" customFormat="1" ht="24">
      <c r="A3" s="100" t="str">
        <f ca="1">IF(AND($D$1&gt;=C3,$D$1&lt;=D3),"CurrentSprint","NA")</f>
        <v>NA</v>
      </c>
      <c r="B3" s="100" t="s">
        <v>24</v>
      </c>
      <c r="C3" s="304">
        <v>45303</v>
      </c>
      <c r="D3" s="304">
        <v>45316</v>
      </c>
      <c r="E3" s="84">
        <v>17</v>
      </c>
      <c r="F3" s="84">
        <v>15</v>
      </c>
      <c r="G3" s="305">
        <v>7</v>
      </c>
      <c r="H3" s="100"/>
      <c r="I3" s="100"/>
      <c r="J3" s="100" t="s">
        <v>25</v>
      </c>
      <c r="K3" s="119" t="s">
        <v>26</v>
      </c>
      <c r="L3" s="100"/>
      <c r="M3" s="120"/>
    </row>
    <row r="4" spans="1:16" s="99" customFormat="1" ht="84">
      <c r="A4" s="100" t="str">
        <f t="shared" ref="A4:A25" ca="1" si="0">IF(AND($D$1&gt;=C4,$D$1&lt;=D4),"CurrentSprint","NA")</f>
        <v>NA</v>
      </c>
      <c r="B4" s="100" t="s">
        <v>27</v>
      </c>
      <c r="C4" s="304">
        <v>45317</v>
      </c>
      <c r="D4" s="304">
        <v>45330</v>
      </c>
      <c r="E4" s="84">
        <v>17</v>
      </c>
      <c r="F4" s="84">
        <v>14</v>
      </c>
      <c r="G4" s="305">
        <v>3</v>
      </c>
      <c r="H4" s="119"/>
      <c r="I4" s="119"/>
      <c r="J4" s="119" t="s">
        <v>28</v>
      </c>
      <c r="K4" s="119" t="s">
        <v>26</v>
      </c>
      <c r="L4" s="100"/>
      <c r="M4" s="120"/>
    </row>
    <row r="5" spans="1:16" s="99" customFormat="1" ht="60">
      <c r="A5" s="100" t="str">
        <f t="shared" ca="1" si="0"/>
        <v>NA</v>
      </c>
      <c r="B5" s="100" t="s">
        <v>29</v>
      </c>
      <c r="C5" s="304">
        <v>45331</v>
      </c>
      <c r="D5" s="304">
        <v>45344</v>
      </c>
      <c r="E5" s="84">
        <v>23</v>
      </c>
      <c r="F5" s="84">
        <v>22</v>
      </c>
      <c r="G5" s="305">
        <v>2</v>
      </c>
      <c r="H5" s="119"/>
      <c r="I5" s="119"/>
      <c r="J5" s="119" t="s">
        <v>30</v>
      </c>
      <c r="K5" s="119" t="s">
        <v>26</v>
      </c>
      <c r="L5" s="100"/>
      <c r="M5" s="120"/>
    </row>
    <row r="6" spans="1:16" s="99" customFormat="1" ht="60">
      <c r="A6" s="100" t="str">
        <f t="shared" ca="1" si="0"/>
        <v>NA</v>
      </c>
      <c r="B6" s="100" t="s">
        <v>31</v>
      </c>
      <c r="C6" s="304">
        <v>45345</v>
      </c>
      <c r="D6" s="304">
        <v>45358</v>
      </c>
      <c r="E6" s="84">
        <v>27</v>
      </c>
      <c r="F6" s="84">
        <v>23</v>
      </c>
      <c r="G6" s="305">
        <v>7</v>
      </c>
      <c r="H6" s="119"/>
      <c r="I6" s="119"/>
      <c r="J6" s="119" t="s">
        <v>32</v>
      </c>
      <c r="K6" s="119" t="s">
        <v>26</v>
      </c>
      <c r="L6" s="100"/>
      <c r="M6" s="120"/>
    </row>
    <row r="7" spans="1:16" s="99" customFormat="1" ht="24">
      <c r="A7" s="100" t="str">
        <f t="shared" ca="1" si="0"/>
        <v>NA</v>
      </c>
      <c r="B7" s="100" t="s">
        <v>33</v>
      </c>
      <c r="C7" s="306">
        <v>45359</v>
      </c>
      <c r="D7" s="306">
        <v>45372</v>
      </c>
      <c r="E7" s="84">
        <v>20</v>
      </c>
      <c r="F7" s="84">
        <v>16</v>
      </c>
      <c r="G7" s="305">
        <v>5</v>
      </c>
      <c r="H7" s="100"/>
      <c r="I7" s="100"/>
      <c r="J7" s="100" t="s">
        <v>34</v>
      </c>
      <c r="K7" s="119" t="s">
        <v>26</v>
      </c>
      <c r="L7" s="100"/>
      <c r="M7" s="120"/>
    </row>
    <row r="8" spans="1:16" s="99" customFormat="1" ht="225.75" customHeight="1">
      <c r="A8" s="100" t="str">
        <f t="shared" ca="1" si="0"/>
        <v>NA</v>
      </c>
      <c r="B8" s="100" t="s">
        <v>35</v>
      </c>
      <c r="C8" s="306">
        <v>45373</v>
      </c>
      <c r="D8" s="304">
        <v>45386</v>
      </c>
      <c r="E8" s="84">
        <v>14</v>
      </c>
      <c r="F8" s="84">
        <v>11</v>
      </c>
      <c r="G8" s="305">
        <v>3</v>
      </c>
      <c r="H8" s="307"/>
      <c r="I8" s="307"/>
      <c r="J8" s="307" t="s">
        <v>36</v>
      </c>
      <c r="K8" s="119" t="s">
        <v>26</v>
      </c>
      <c r="L8" s="100"/>
      <c r="M8" s="120"/>
    </row>
    <row r="9" spans="1:16" s="99" customFormat="1" ht="36">
      <c r="A9" s="100" t="str">
        <f t="shared" ca="1" si="0"/>
        <v>NA</v>
      </c>
      <c r="B9" s="100" t="s">
        <v>37</v>
      </c>
      <c r="C9" s="304">
        <v>45387</v>
      </c>
      <c r="D9" s="304">
        <v>45400</v>
      </c>
      <c r="E9" s="294">
        <v>19</v>
      </c>
      <c r="F9" s="294">
        <v>17</v>
      </c>
      <c r="G9" s="305">
        <v>0</v>
      </c>
      <c r="H9" s="307"/>
      <c r="I9" s="307"/>
      <c r="J9" s="307" t="s">
        <v>38</v>
      </c>
      <c r="K9" s="119" t="s">
        <v>26</v>
      </c>
      <c r="L9" s="100"/>
      <c r="M9" s="120"/>
    </row>
    <row r="10" spans="1:16" s="99" customFormat="1" ht="24">
      <c r="A10" s="100" t="str">
        <f t="shared" ca="1" si="0"/>
        <v>NA</v>
      </c>
      <c r="B10" s="100" t="s">
        <v>39</v>
      </c>
      <c r="C10" s="304">
        <v>45401</v>
      </c>
      <c r="D10" s="304">
        <v>45414</v>
      </c>
      <c r="E10" s="84">
        <v>18</v>
      </c>
      <c r="F10" s="84">
        <v>11</v>
      </c>
      <c r="G10" s="305">
        <v>0</v>
      </c>
      <c r="H10" s="100"/>
      <c r="I10" s="100"/>
      <c r="J10" s="100" t="s">
        <v>40</v>
      </c>
      <c r="K10" s="119" t="s">
        <v>26</v>
      </c>
      <c r="L10" s="100"/>
      <c r="M10" s="120"/>
    </row>
    <row r="11" spans="1:16" s="99" customFormat="1" ht="24">
      <c r="A11" s="100" t="str">
        <f t="shared" ca="1" si="0"/>
        <v>NA</v>
      </c>
      <c r="B11" s="100" t="s">
        <v>41</v>
      </c>
      <c r="C11" s="304">
        <v>45415</v>
      </c>
      <c r="D11" s="304">
        <v>45428</v>
      </c>
      <c r="E11" s="84">
        <v>14</v>
      </c>
      <c r="F11" s="84">
        <v>4</v>
      </c>
      <c r="G11" s="305">
        <v>0</v>
      </c>
      <c r="H11" s="100"/>
      <c r="I11" s="100"/>
      <c r="J11" s="100" t="s">
        <v>42</v>
      </c>
      <c r="K11" s="119" t="s">
        <v>26</v>
      </c>
      <c r="L11" s="100"/>
      <c r="M11" s="120"/>
    </row>
    <row r="12" spans="1:16" s="99" customFormat="1" ht="24">
      <c r="A12" s="100" t="str">
        <f t="shared" ca="1" si="0"/>
        <v>NA</v>
      </c>
      <c r="B12" s="100" t="s">
        <v>43</v>
      </c>
      <c r="C12" s="304">
        <v>45429</v>
      </c>
      <c r="D12" s="304">
        <v>45442</v>
      </c>
      <c r="E12" s="84">
        <v>15</v>
      </c>
      <c r="F12" s="84">
        <v>14</v>
      </c>
      <c r="G12" s="305">
        <v>0</v>
      </c>
      <c r="H12" s="100"/>
      <c r="I12" s="100"/>
      <c r="J12" s="100" t="s">
        <v>44</v>
      </c>
      <c r="K12" s="119" t="s">
        <v>26</v>
      </c>
      <c r="L12" s="100"/>
      <c r="M12" s="120"/>
    </row>
    <row r="13" spans="1:16" s="99" customFormat="1" ht="24">
      <c r="A13" s="100" t="str">
        <f t="shared" ca="1" si="0"/>
        <v>NA</v>
      </c>
      <c r="B13" s="100" t="s">
        <v>45</v>
      </c>
      <c r="C13" s="304">
        <v>45443</v>
      </c>
      <c r="D13" s="304">
        <v>45456</v>
      </c>
      <c r="E13" s="84">
        <v>20</v>
      </c>
      <c r="F13" s="84">
        <v>16</v>
      </c>
      <c r="G13" s="305">
        <v>0</v>
      </c>
      <c r="H13" s="100"/>
      <c r="I13" s="100"/>
      <c r="J13" s="100"/>
      <c r="K13" s="119" t="s">
        <v>26</v>
      </c>
      <c r="L13" s="100"/>
      <c r="M13" s="120"/>
    </row>
    <row r="14" spans="1:16" s="99" customFormat="1" ht="24">
      <c r="A14" s="100" t="str">
        <f t="shared" ca="1" si="0"/>
        <v>NA</v>
      </c>
      <c r="B14" s="282" t="s">
        <v>46</v>
      </c>
      <c r="C14" s="308">
        <v>45457</v>
      </c>
      <c r="D14" s="308">
        <v>45470</v>
      </c>
      <c r="E14" s="295">
        <v>17</v>
      </c>
      <c r="F14" s="295">
        <v>15</v>
      </c>
      <c r="G14" s="275">
        <v>2</v>
      </c>
      <c r="H14" s="282"/>
      <c r="I14" s="282"/>
      <c r="J14" s="282"/>
      <c r="K14" s="119" t="s">
        <v>26</v>
      </c>
      <c r="L14" s="100"/>
      <c r="M14" s="120"/>
    </row>
    <row r="15" spans="1:16" s="99" customFormat="1" ht="24">
      <c r="A15" s="100" t="str">
        <f t="shared" ca="1" si="0"/>
        <v>NA</v>
      </c>
      <c r="B15" s="282" t="s">
        <v>47</v>
      </c>
      <c r="C15" s="308">
        <v>45471</v>
      </c>
      <c r="D15" s="308">
        <v>45484</v>
      </c>
      <c r="E15" s="295">
        <v>20</v>
      </c>
      <c r="F15" s="295">
        <v>20</v>
      </c>
      <c r="G15" s="305">
        <v>0</v>
      </c>
      <c r="H15" s="282"/>
      <c r="I15" s="282"/>
      <c r="J15" s="282"/>
      <c r="K15" s="119" t="s">
        <v>26</v>
      </c>
      <c r="L15" s="100"/>
      <c r="M15" s="120"/>
    </row>
    <row r="16" spans="1:16" s="99" customFormat="1" ht="24">
      <c r="A16" s="100" t="str">
        <f t="shared" ca="1" si="0"/>
        <v>NA</v>
      </c>
      <c r="B16" s="282" t="s">
        <v>48</v>
      </c>
      <c r="C16" s="308">
        <v>45485</v>
      </c>
      <c r="D16" s="308">
        <v>45498</v>
      </c>
      <c r="E16" s="295">
        <v>15</v>
      </c>
      <c r="F16" s="295">
        <v>15</v>
      </c>
      <c r="G16" s="305">
        <v>5</v>
      </c>
      <c r="H16" s="282"/>
      <c r="I16" s="282"/>
      <c r="J16" s="282" t="s">
        <v>49</v>
      </c>
      <c r="K16" s="119" t="s">
        <v>26</v>
      </c>
      <c r="L16" s="100"/>
      <c r="M16" s="120"/>
    </row>
    <row r="17" spans="1:13" s="99" customFormat="1" ht="24">
      <c r="A17" s="100" t="str">
        <f t="shared" ca="1" si="0"/>
        <v>NA</v>
      </c>
      <c r="B17" s="282" t="s">
        <v>50</v>
      </c>
      <c r="C17" s="308">
        <v>45499</v>
      </c>
      <c r="D17" s="308">
        <v>45511</v>
      </c>
      <c r="E17" s="295">
        <v>6</v>
      </c>
      <c r="F17" s="295">
        <v>6</v>
      </c>
      <c r="G17" s="305">
        <v>7</v>
      </c>
      <c r="H17" s="282"/>
      <c r="I17" s="282"/>
      <c r="J17" s="282" t="s">
        <v>49</v>
      </c>
      <c r="K17" s="119" t="s">
        <v>26</v>
      </c>
      <c r="L17" s="100"/>
      <c r="M17" s="120"/>
    </row>
    <row r="18" spans="1:13" s="99" customFormat="1" ht="24">
      <c r="A18" s="100" t="str">
        <f t="shared" ca="1" si="0"/>
        <v>NA</v>
      </c>
      <c r="B18" s="282" t="s">
        <v>51</v>
      </c>
      <c r="C18" s="308">
        <v>45512</v>
      </c>
      <c r="D18" s="308">
        <v>45526</v>
      </c>
      <c r="E18" s="295">
        <v>16</v>
      </c>
      <c r="F18" s="295">
        <v>16</v>
      </c>
      <c r="G18" s="305">
        <v>2</v>
      </c>
      <c r="H18" s="282"/>
      <c r="I18" s="282"/>
      <c r="J18" s="282"/>
      <c r="K18" s="119" t="s">
        <v>26</v>
      </c>
      <c r="L18" s="100"/>
      <c r="M18" s="120"/>
    </row>
    <row r="19" spans="1:13" s="99" customFormat="1" ht="24">
      <c r="A19" s="100" t="str">
        <f t="shared" ca="1" si="0"/>
        <v>NA</v>
      </c>
      <c r="B19" s="282" t="s">
        <v>52</v>
      </c>
      <c r="C19" s="308">
        <v>45527</v>
      </c>
      <c r="D19" s="308">
        <v>45540</v>
      </c>
      <c r="E19" s="295">
        <v>17</v>
      </c>
      <c r="F19" s="295">
        <v>14</v>
      </c>
      <c r="G19" s="305">
        <v>2</v>
      </c>
      <c r="H19" s="282"/>
      <c r="I19" s="282"/>
      <c r="J19" s="282" t="s">
        <v>53</v>
      </c>
      <c r="K19" s="119" t="s">
        <v>26</v>
      </c>
      <c r="L19" s="100"/>
      <c r="M19" s="120"/>
    </row>
    <row r="20" spans="1:13" s="99" customFormat="1" ht="24">
      <c r="A20" s="100" t="str">
        <f t="shared" ca="1" si="0"/>
        <v>NA</v>
      </c>
      <c r="B20" s="282" t="s">
        <v>54</v>
      </c>
      <c r="C20" s="308">
        <v>45540</v>
      </c>
      <c r="D20" s="308">
        <v>45554</v>
      </c>
      <c r="E20" s="295">
        <v>15</v>
      </c>
      <c r="F20" s="295">
        <v>13</v>
      </c>
      <c r="G20" s="275">
        <v>2</v>
      </c>
      <c r="H20" s="244"/>
      <c r="I20" s="244"/>
      <c r="J20" s="244" t="s">
        <v>55</v>
      </c>
      <c r="K20" s="119" t="s">
        <v>26</v>
      </c>
      <c r="L20" s="100"/>
      <c r="M20" s="120"/>
    </row>
    <row r="21" spans="1:13" s="99" customFormat="1" ht="96">
      <c r="A21" s="100" t="str">
        <f ca="1">IF(AND($D$1&gt;=C21,$D$1&lt;=D21),"CurrentSprint","NA")</f>
        <v>NA</v>
      </c>
      <c r="B21" s="282" t="s">
        <v>56</v>
      </c>
      <c r="C21" s="308">
        <v>45555</v>
      </c>
      <c r="D21" s="308">
        <v>45568</v>
      </c>
      <c r="E21" s="295">
        <v>19</v>
      </c>
      <c r="F21" s="295">
        <v>14</v>
      </c>
      <c r="G21" s="275">
        <v>2</v>
      </c>
      <c r="H21" s="244"/>
      <c r="I21" s="244"/>
      <c r="J21" s="244" t="s">
        <v>57</v>
      </c>
      <c r="K21" s="119" t="s">
        <v>26</v>
      </c>
      <c r="L21" s="100"/>
      <c r="M21" s="120"/>
    </row>
    <row r="22" spans="1:13" s="99" customFormat="1" ht="72">
      <c r="A22" s="100" t="str">
        <f t="shared" ca="1" si="0"/>
        <v>NA</v>
      </c>
      <c r="B22" s="282" t="s">
        <v>58</v>
      </c>
      <c r="C22" s="308">
        <v>45569</v>
      </c>
      <c r="D22" s="308">
        <v>45582</v>
      </c>
      <c r="E22" s="295">
        <v>17</v>
      </c>
      <c r="F22" s="295">
        <v>12</v>
      </c>
      <c r="G22" s="275"/>
      <c r="H22" s="244"/>
      <c r="I22" s="244"/>
      <c r="J22" s="244" t="s">
        <v>59</v>
      </c>
      <c r="K22" s="119" t="s">
        <v>26</v>
      </c>
      <c r="L22" s="100"/>
      <c r="M22" s="120"/>
    </row>
    <row r="23" spans="1:13" s="99" customFormat="1" ht="87.75" customHeight="1">
      <c r="A23" s="100" t="str">
        <f t="shared" ca="1" si="0"/>
        <v>NA</v>
      </c>
      <c r="B23" s="282" t="s">
        <v>60</v>
      </c>
      <c r="C23" s="308">
        <v>45583</v>
      </c>
      <c r="D23" s="308">
        <v>45596</v>
      </c>
      <c r="E23" s="295">
        <v>16</v>
      </c>
      <c r="F23" s="295">
        <v>13</v>
      </c>
      <c r="G23" s="275"/>
      <c r="H23" s="244"/>
      <c r="I23" s="244" t="s">
        <v>61</v>
      </c>
      <c r="J23" s="244" t="s">
        <v>62</v>
      </c>
      <c r="K23" s="119" t="s">
        <v>26</v>
      </c>
      <c r="L23" s="100"/>
      <c r="M23" s="120"/>
    </row>
    <row r="24" spans="1:13" s="99" customFormat="1" ht="60">
      <c r="A24" s="100" t="str">
        <f t="shared" ca="1" si="0"/>
        <v>NA</v>
      </c>
      <c r="B24" s="309" t="s">
        <v>63</v>
      </c>
      <c r="C24" s="308">
        <v>45597</v>
      </c>
      <c r="D24" s="308">
        <v>45610</v>
      </c>
      <c r="E24" s="295">
        <v>18</v>
      </c>
      <c r="F24" s="295">
        <v>17</v>
      </c>
      <c r="G24" s="275" t="s">
        <v>64</v>
      </c>
      <c r="H24" s="244"/>
      <c r="I24" s="244" t="s">
        <v>65</v>
      </c>
      <c r="J24" s="244" t="s">
        <v>66</v>
      </c>
      <c r="K24" s="119" t="s">
        <v>26</v>
      </c>
      <c r="L24" s="100"/>
      <c r="M24" s="120"/>
    </row>
    <row r="25" spans="1:13" s="99" customFormat="1" ht="107.25">
      <c r="A25" s="100" t="str">
        <f t="shared" ca="1" si="0"/>
        <v>NA</v>
      </c>
      <c r="B25" s="282" t="s">
        <v>67</v>
      </c>
      <c r="C25" s="308">
        <v>45611</v>
      </c>
      <c r="D25" s="308">
        <v>45621</v>
      </c>
      <c r="E25" s="295">
        <v>14</v>
      </c>
      <c r="F25" s="295">
        <v>11</v>
      </c>
      <c r="G25" s="275"/>
      <c r="H25" s="244"/>
      <c r="I25" s="244" t="s">
        <v>68</v>
      </c>
      <c r="J25" s="244" t="s">
        <v>69</v>
      </c>
      <c r="K25" s="119" t="s">
        <v>70</v>
      </c>
      <c r="L25" s="100"/>
      <c r="M25" s="120"/>
    </row>
    <row r="26" spans="1:13" s="99" customFormat="1" ht="84">
      <c r="A26" s="100" t="str">
        <f ca="1">IF(AND($D$1&gt;=C26,$D$1&lt;=D26),"CurrentSprint","NA")</f>
        <v>NA</v>
      </c>
      <c r="B26" s="282" t="s">
        <v>71</v>
      </c>
      <c r="C26" s="308">
        <v>45622</v>
      </c>
      <c r="D26" s="308">
        <v>45638</v>
      </c>
      <c r="E26" s="295">
        <v>14</v>
      </c>
      <c r="F26" s="295">
        <v>14</v>
      </c>
      <c r="G26" s="275" t="s">
        <v>72</v>
      </c>
      <c r="H26" s="244"/>
      <c r="I26" s="244" t="s">
        <v>73</v>
      </c>
      <c r="J26" s="244" t="s">
        <v>74</v>
      </c>
      <c r="K26" s="119" t="s">
        <v>26</v>
      </c>
      <c r="L26" s="100"/>
      <c r="M26" s="120"/>
    </row>
    <row r="27" spans="1:13" s="99" customFormat="1" ht="99" customHeight="1">
      <c r="A27" s="100" t="str">
        <f ca="1">IF(AND($D$1&gt;=C27,$D$1&lt;=D27),"CurrentSprint","NA")</f>
        <v>NA</v>
      </c>
      <c r="B27" s="282" t="s">
        <v>75</v>
      </c>
      <c r="C27" s="308">
        <v>45639</v>
      </c>
      <c r="D27" s="308">
        <v>45666</v>
      </c>
      <c r="E27" s="295">
        <v>24</v>
      </c>
      <c r="F27" s="295">
        <v>19</v>
      </c>
      <c r="G27" s="275" t="s">
        <v>64</v>
      </c>
      <c r="H27" s="244"/>
      <c r="I27" s="244" t="s">
        <v>76</v>
      </c>
      <c r="J27" s="244" t="s">
        <v>77</v>
      </c>
      <c r="K27" s="119" t="s">
        <v>78</v>
      </c>
      <c r="L27" s="100"/>
      <c r="M27" s="120"/>
    </row>
    <row r="28" spans="1:13" s="99" customFormat="1" ht="202.5">
      <c r="A28" s="100" t="str">
        <f ca="1">IF(AND($D$1&gt;=C28,$D$1&lt;=D28),"CurrentSprint","NA")</f>
        <v>NA</v>
      </c>
      <c r="B28" s="282" t="s">
        <v>79</v>
      </c>
      <c r="C28" s="308">
        <v>45667</v>
      </c>
      <c r="D28" s="308">
        <v>45680</v>
      </c>
      <c r="E28" s="295">
        <v>21</v>
      </c>
      <c r="F28" s="295">
        <v>17</v>
      </c>
      <c r="G28" s="275" t="s">
        <v>80</v>
      </c>
      <c r="H28" s="244"/>
      <c r="I28" s="244" t="s">
        <v>81</v>
      </c>
      <c r="J28" s="244" t="s">
        <v>82</v>
      </c>
      <c r="K28" s="282"/>
      <c r="L28" s="282"/>
      <c r="M28" s="282"/>
    </row>
    <row r="29" spans="1:13" s="108" customFormat="1" ht="96">
      <c r="A29" s="181" t="str">
        <f ca="1">IF(AND($D$1&gt;=C29,$D$1&lt;=D29),"CurrentSprint","NA")</f>
        <v>NA</v>
      </c>
      <c r="B29" s="310" t="s">
        <v>83</v>
      </c>
      <c r="C29" s="442">
        <v>45681</v>
      </c>
      <c r="D29" s="442">
        <v>45694</v>
      </c>
      <c r="E29" s="296">
        <v>18</v>
      </c>
      <c r="F29" s="296">
        <v>11</v>
      </c>
      <c r="G29" s="270" t="s">
        <v>84</v>
      </c>
      <c r="H29" s="267"/>
      <c r="I29" s="267" t="s">
        <v>85</v>
      </c>
      <c r="J29" s="267" t="s">
        <v>86</v>
      </c>
      <c r="K29" s="310"/>
      <c r="L29" s="310"/>
      <c r="M29" s="310"/>
    </row>
    <row r="30" spans="1:13" s="108" customFormat="1" ht="177" customHeight="1">
      <c r="A30" s="100" t="str">
        <f ca="1">IF(AND($D$1&gt;=C30,$D$1&lt;=D30),"CurrentSprint","NA")</f>
        <v>NA</v>
      </c>
      <c r="B30" s="282" t="s">
        <v>87</v>
      </c>
      <c r="C30" s="308">
        <v>45695</v>
      </c>
      <c r="D30" s="442">
        <v>45708</v>
      </c>
      <c r="E30" s="296">
        <v>18</v>
      </c>
      <c r="F30" s="296">
        <v>8</v>
      </c>
      <c r="G30" s="270"/>
      <c r="H30" s="261"/>
      <c r="I30" s="261" t="s">
        <v>88</v>
      </c>
      <c r="J30" s="267" t="s">
        <v>89</v>
      </c>
      <c r="K30" s="310"/>
      <c r="L30" s="310"/>
      <c r="M30" s="310"/>
    </row>
    <row r="31" spans="1:13" s="108" customFormat="1" ht="130.5">
      <c r="A31" s="181" t="str">
        <f ca="1">IF(AND($D$1&gt;=C31,$D$1&lt;=D31),"CurrentSprint","NA")</f>
        <v>NA</v>
      </c>
      <c r="B31" s="310" t="s">
        <v>90</v>
      </c>
      <c r="C31" s="444">
        <v>45709</v>
      </c>
      <c r="D31" s="308">
        <v>45722</v>
      </c>
      <c r="E31" s="295">
        <v>20</v>
      </c>
      <c r="F31" s="282">
        <v>15</v>
      </c>
      <c r="G31" s="311" t="s">
        <v>84</v>
      </c>
      <c r="H31" s="244"/>
      <c r="I31" s="282" t="s">
        <v>91</v>
      </c>
      <c r="J31" s="244" t="s">
        <v>92</v>
      </c>
      <c r="L31" s="310"/>
      <c r="M31" s="310"/>
    </row>
    <row r="32" spans="1:13" s="99" customFormat="1" ht="118.5">
      <c r="A32" s="100" t="s">
        <v>93</v>
      </c>
      <c r="B32" s="282" t="s">
        <v>94</v>
      </c>
      <c r="C32" s="443">
        <v>45723</v>
      </c>
      <c r="D32" s="308">
        <v>45736</v>
      </c>
      <c r="E32" s="295">
        <v>19</v>
      </c>
      <c r="F32" s="282">
        <v>19</v>
      </c>
      <c r="G32" s="311" t="s">
        <v>72</v>
      </c>
      <c r="H32" s="244"/>
      <c r="I32" s="244" t="s">
        <v>95</v>
      </c>
      <c r="J32" s="244" t="s">
        <v>96</v>
      </c>
      <c r="K32" s="261" t="s">
        <v>97</v>
      </c>
      <c r="L32" s="282"/>
      <c r="M32" s="282"/>
    </row>
    <row r="33" spans="1:24" ht="209.25" customHeight="1">
      <c r="A33" s="181" t="s">
        <v>93</v>
      </c>
      <c r="B33" s="310" t="s">
        <v>98</v>
      </c>
      <c r="C33" s="444">
        <v>45736</v>
      </c>
      <c r="D33" s="308">
        <v>45750</v>
      </c>
      <c r="E33" s="295">
        <v>13</v>
      </c>
      <c r="F33" s="282">
        <v>19</v>
      </c>
      <c r="G33" s="311" t="s">
        <v>99</v>
      </c>
      <c r="H33" s="244"/>
      <c r="I33" s="244" t="s">
        <v>100</v>
      </c>
      <c r="J33" s="244" t="s">
        <v>101</v>
      </c>
      <c r="K33" s="267" t="s">
        <v>102</v>
      </c>
      <c r="L33" s="310"/>
      <c r="M33" s="310"/>
    </row>
    <row r="34" spans="1:24" s="108" customFormat="1" ht="192" customHeight="1">
      <c r="A34" s="181" t="s">
        <v>93</v>
      </c>
      <c r="B34" s="310" t="s">
        <v>103</v>
      </c>
      <c r="C34" s="444">
        <v>45751</v>
      </c>
      <c r="D34" s="308">
        <v>45764</v>
      </c>
      <c r="E34" s="295">
        <v>22</v>
      </c>
      <c r="F34" s="295">
        <v>24</v>
      </c>
      <c r="G34" s="356" t="s">
        <v>104</v>
      </c>
      <c r="H34" s="244"/>
      <c r="I34" s="87" t="s">
        <v>105</v>
      </c>
      <c r="J34" s="244" t="s">
        <v>106</v>
      </c>
      <c r="K34" s="103" t="s">
        <v>107</v>
      </c>
    </row>
    <row r="35" spans="1:24" s="99" customFormat="1" ht="150" customHeight="1">
      <c r="A35" s="99" t="s">
        <v>93</v>
      </c>
      <c r="B35" s="282" t="s">
        <v>108</v>
      </c>
      <c r="C35" s="443">
        <v>45765</v>
      </c>
      <c r="D35" s="308">
        <v>45778</v>
      </c>
      <c r="E35" s="295">
        <v>23</v>
      </c>
      <c r="F35" s="295">
        <v>27</v>
      </c>
      <c r="G35" s="275" t="s">
        <v>109</v>
      </c>
      <c r="H35" s="244"/>
      <c r="I35" s="87" t="s">
        <v>110</v>
      </c>
      <c r="J35" s="244" t="s">
        <v>111</v>
      </c>
      <c r="K35" s="87" t="s">
        <v>112</v>
      </c>
      <c r="O35" s="108"/>
      <c r="P35" s="108"/>
      <c r="Q35" s="108"/>
      <c r="R35" s="108"/>
      <c r="S35" s="108"/>
      <c r="T35" s="108"/>
      <c r="U35" s="108"/>
      <c r="V35" s="108"/>
      <c r="W35" s="108"/>
    </row>
    <row r="36" spans="1:24" ht="164.25" customHeight="1">
      <c r="A36" s="108" t="s">
        <v>93</v>
      </c>
      <c r="B36" s="310" t="s">
        <v>113</v>
      </c>
      <c r="C36" s="444">
        <v>45779</v>
      </c>
      <c r="D36" s="308">
        <v>45792</v>
      </c>
      <c r="E36" s="295">
        <v>19</v>
      </c>
      <c r="F36" s="295">
        <v>16</v>
      </c>
      <c r="G36" s="275" t="s">
        <v>84</v>
      </c>
      <c r="H36" s="244"/>
      <c r="I36" s="87" t="s">
        <v>114</v>
      </c>
      <c r="J36" s="244" t="s">
        <v>115</v>
      </c>
      <c r="K36" s="103" t="s">
        <v>116</v>
      </c>
      <c r="L36" s="108"/>
      <c r="M36" s="108"/>
      <c r="N36" s="380"/>
      <c r="O36" s="99"/>
      <c r="P36" s="99"/>
      <c r="Q36" s="99"/>
      <c r="R36" s="99"/>
      <c r="S36" s="99"/>
      <c r="T36" s="99"/>
      <c r="U36" s="99"/>
      <c r="V36" s="99"/>
      <c r="W36" s="99"/>
    </row>
    <row r="37" spans="1:24" ht="118.5">
      <c r="A37" s="99" t="s">
        <v>93</v>
      </c>
      <c r="B37" s="282" t="s">
        <v>117</v>
      </c>
      <c r="C37" s="443">
        <v>45793</v>
      </c>
      <c r="D37" s="308">
        <v>45806</v>
      </c>
      <c r="E37" s="295">
        <v>26</v>
      </c>
      <c r="F37" s="295">
        <v>23</v>
      </c>
      <c r="G37" s="356"/>
      <c r="H37" s="87"/>
      <c r="I37" s="87" t="s">
        <v>118</v>
      </c>
      <c r="J37" s="87" t="s">
        <v>119</v>
      </c>
      <c r="K37" s="112" t="s">
        <v>120</v>
      </c>
      <c r="L37" s="99"/>
      <c r="M37" s="99"/>
      <c r="N37" s="99"/>
      <c r="O37" s="381"/>
      <c r="P37" s="381"/>
      <c r="Q37" s="381"/>
      <c r="R37" s="381"/>
      <c r="S37" s="381"/>
      <c r="T37" s="381"/>
      <c r="U37" s="381"/>
      <c r="V37" s="381"/>
      <c r="W37" s="381"/>
    </row>
    <row r="38" spans="1:24" ht="115.5" customHeight="1">
      <c r="A38" s="99" t="s">
        <v>93</v>
      </c>
      <c r="B38" s="282" t="s">
        <v>121</v>
      </c>
      <c r="C38" s="443">
        <v>45806</v>
      </c>
      <c r="D38" s="308">
        <v>45820</v>
      </c>
      <c r="E38" s="295">
        <v>9</v>
      </c>
      <c r="F38" s="295">
        <v>9</v>
      </c>
      <c r="G38" s="295">
        <v>3</v>
      </c>
      <c r="H38" s="87"/>
      <c r="I38" s="87" t="s">
        <v>122</v>
      </c>
      <c r="J38" s="87" t="s">
        <v>123</v>
      </c>
      <c r="K38" s="87" t="s">
        <v>124</v>
      </c>
    </row>
    <row r="39" spans="1:24" ht="116.25" customHeight="1">
      <c r="A39" s="108" t="s">
        <v>93</v>
      </c>
      <c r="B39" s="310" t="s">
        <v>125</v>
      </c>
      <c r="C39" s="444">
        <v>45820</v>
      </c>
      <c r="D39" s="308">
        <v>45834</v>
      </c>
      <c r="E39" s="295">
        <v>10</v>
      </c>
      <c r="F39" s="295">
        <v>10</v>
      </c>
      <c r="G39" s="295">
        <v>5</v>
      </c>
      <c r="H39" s="87"/>
      <c r="I39" s="87" t="s">
        <v>126</v>
      </c>
      <c r="J39" s="87" t="s">
        <v>127</v>
      </c>
      <c r="K39" s="87" t="s">
        <v>128</v>
      </c>
    </row>
    <row r="40" spans="1:24" s="395" customFormat="1" ht="118.5">
      <c r="A40" s="108" t="s">
        <v>93</v>
      </c>
      <c r="B40" s="310" t="s">
        <v>129</v>
      </c>
      <c r="C40" s="444">
        <v>45834</v>
      </c>
      <c r="D40" s="308">
        <v>45848</v>
      </c>
      <c r="E40" s="295">
        <v>8</v>
      </c>
      <c r="F40" s="295">
        <v>8</v>
      </c>
      <c r="G40" s="295" t="s">
        <v>130</v>
      </c>
      <c r="H40" s="87"/>
      <c r="I40" s="87"/>
      <c r="J40" s="87" t="s">
        <v>131</v>
      </c>
      <c r="K40" s="103"/>
      <c r="L40"/>
      <c r="M40"/>
      <c r="N40"/>
      <c r="O40"/>
      <c r="P40"/>
      <c r="Q40"/>
      <c r="R40"/>
      <c r="S40"/>
      <c r="T40"/>
      <c r="U40"/>
      <c r="V40"/>
      <c r="W40"/>
    </row>
    <row r="41" spans="1:24" s="99" customFormat="1" ht="119.25" customHeight="1">
      <c r="A41" s="108" t="s">
        <v>93</v>
      </c>
      <c r="B41" s="310" t="s">
        <v>132</v>
      </c>
      <c r="C41" s="444">
        <v>45848</v>
      </c>
      <c r="D41" s="308">
        <v>45862</v>
      </c>
      <c r="E41" s="295">
        <v>16</v>
      </c>
      <c r="F41" s="295">
        <v>16</v>
      </c>
      <c r="G41" s="473" t="s">
        <v>133</v>
      </c>
      <c r="H41" s="87"/>
      <c r="J41" s="87" t="s">
        <v>134</v>
      </c>
      <c r="K41" s="108"/>
      <c r="L41" s="108"/>
      <c r="M41" s="108"/>
      <c r="N41" s="108"/>
    </row>
    <row r="42" spans="1:24" ht="118.5">
      <c r="A42" s="99" t="s">
        <v>93</v>
      </c>
      <c r="B42" s="282" t="s">
        <v>135</v>
      </c>
      <c r="C42" s="443">
        <v>45862</v>
      </c>
      <c r="D42" s="308">
        <v>45876</v>
      </c>
      <c r="E42" s="295">
        <v>13</v>
      </c>
      <c r="F42" s="99">
        <v>13</v>
      </c>
      <c r="G42" s="474" t="s">
        <v>136</v>
      </c>
      <c r="H42" s="87"/>
      <c r="I42" s="99"/>
      <c r="J42" s="87" t="s">
        <v>137</v>
      </c>
      <c r="K42" s="364" t="s">
        <v>138</v>
      </c>
      <c r="L42" s="99"/>
      <c r="M42" s="99"/>
      <c r="N42" s="99"/>
    </row>
    <row r="43" spans="1:24" ht="210.75" customHeight="1">
      <c r="A43" s="99" t="s">
        <v>93</v>
      </c>
      <c r="B43" s="282" t="s">
        <v>139</v>
      </c>
      <c r="C43" s="443">
        <v>45876</v>
      </c>
      <c r="D43" s="308">
        <v>45890</v>
      </c>
      <c r="E43" s="295">
        <v>15</v>
      </c>
      <c r="F43" s="295">
        <v>14</v>
      </c>
      <c r="G43" s="412" t="s">
        <v>140</v>
      </c>
      <c r="H43" s="87"/>
      <c r="I43" s="87" t="s">
        <v>141</v>
      </c>
      <c r="J43" s="87" t="s">
        <v>142</v>
      </c>
      <c r="K43" s="364" t="s">
        <v>143</v>
      </c>
      <c r="L43" s="99"/>
      <c r="M43" s="99"/>
      <c r="N43" s="99"/>
    </row>
    <row r="44" spans="1:24" ht="116.25" customHeight="1">
      <c r="A44" s="99" t="s">
        <v>93</v>
      </c>
      <c r="B44" s="282" t="s">
        <v>144</v>
      </c>
      <c r="C44" s="443">
        <v>45890</v>
      </c>
      <c r="D44" s="308">
        <v>45904</v>
      </c>
      <c r="E44" s="295">
        <v>15</v>
      </c>
      <c r="F44" s="412" t="s">
        <v>145</v>
      </c>
      <c r="G44" s="412" t="s">
        <v>146</v>
      </c>
      <c r="H44" s="87"/>
      <c r="I44" s="87" t="s">
        <v>147</v>
      </c>
      <c r="J44" s="87" t="s">
        <v>148</v>
      </c>
      <c r="K44" s="411" t="s">
        <v>149</v>
      </c>
      <c r="L44" s="99"/>
      <c r="M44" s="99"/>
      <c r="N44" s="99"/>
    </row>
    <row r="45" spans="1:24" ht="92.25" customHeight="1">
      <c r="A45" s="99" t="s">
        <v>93</v>
      </c>
      <c r="B45" s="282" t="s">
        <v>150</v>
      </c>
      <c r="C45" s="443">
        <v>45904</v>
      </c>
      <c r="D45" s="308">
        <v>45918</v>
      </c>
      <c r="E45" s="295">
        <v>15</v>
      </c>
      <c r="F45" s="295">
        <v>15</v>
      </c>
      <c r="G45" s="473" t="s">
        <v>151</v>
      </c>
      <c r="H45" s="87"/>
      <c r="I45" s="87" t="s">
        <v>152</v>
      </c>
      <c r="J45" s="87" t="s">
        <v>153</v>
      </c>
      <c r="K45" s="411" t="s">
        <v>154</v>
      </c>
      <c r="L45" s="99"/>
      <c r="M45" s="99"/>
      <c r="N45" s="99"/>
    </row>
    <row r="46" spans="1:24" ht="96" customHeight="1">
      <c r="A46" s="99" t="s">
        <v>93</v>
      </c>
      <c r="B46" s="242" t="s">
        <v>155</v>
      </c>
      <c r="C46" s="443">
        <v>45918</v>
      </c>
      <c r="D46" s="308">
        <v>45932</v>
      </c>
      <c r="E46" s="295">
        <v>7</v>
      </c>
      <c r="F46" s="295">
        <v>9</v>
      </c>
      <c r="G46" s="412" t="s">
        <v>156</v>
      </c>
      <c r="H46" s="87"/>
      <c r="I46" s="87" t="s">
        <v>157</v>
      </c>
      <c r="J46" s="87" t="s">
        <v>153</v>
      </c>
      <c r="K46" s="419" t="s">
        <v>158</v>
      </c>
      <c r="L46" s="99"/>
      <c r="M46" s="99"/>
      <c r="N46" s="99"/>
      <c r="O46" s="99"/>
      <c r="P46" s="99"/>
      <c r="Q46" s="99"/>
      <c r="R46" s="99"/>
      <c r="S46" s="99"/>
      <c r="T46" s="99"/>
      <c r="U46" s="99"/>
      <c r="V46" s="99"/>
      <c r="W46" s="99"/>
      <c r="X46" s="99"/>
    </row>
    <row r="47" spans="1:24" ht="96" customHeight="1">
      <c r="A47" s="99" t="s">
        <v>93</v>
      </c>
      <c r="B47" s="242" t="s">
        <v>159</v>
      </c>
      <c r="C47" s="443">
        <v>45932</v>
      </c>
      <c r="D47" s="308">
        <v>45946</v>
      </c>
      <c r="E47" s="295">
        <v>7</v>
      </c>
      <c r="F47" s="295">
        <v>9</v>
      </c>
      <c r="G47" s="412" t="s">
        <v>160</v>
      </c>
      <c r="H47" s="87"/>
      <c r="I47" s="87" t="s">
        <v>161</v>
      </c>
      <c r="J47" s="87" t="s">
        <v>153</v>
      </c>
      <c r="K47" s="419" t="s">
        <v>162</v>
      </c>
      <c r="L47" s="422" t="s">
        <v>163</v>
      </c>
      <c r="M47" s="99"/>
      <c r="N47" s="99"/>
      <c r="O47" s="99"/>
      <c r="P47" s="99"/>
      <c r="Q47" s="99"/>
      <c r="R47" s="99"/>
      <c r="S47" s="99"/>
      <c r="T47" s="99"/>
      <c r="U47" s="99"/>
      <c r="V47" s="99"/>
      <c r="W47" s="99"/>
      <c r="X47" s="99"/>
    </row>
    <row r="48" spans="1:24" ht="88.5" customHeight="1">
      <c r="A48" s="99" t="s">
        <v>93</v>
      </c>
      <c r="B48" s="422" t="s">
        <v>163</v>
      </c>
      <c r="C48" s="443">
        <v>45946</v>
      </c>
      <c r="D48" s="308">
        <v>45960</v>
      </c>
      <c r="E48" s="295">
        <v>7</v>
      </c>
      <c r="F48" s="295">
        <v>9</v>
      </c>
      <c r="G48" s="412" t="s">
        <v>160</v>
      </c>
      <c r="H48" s="87"/>
      <c r="I48" s="87" t="s">
        <v>164</v>
      </c>
      <c r="J48" s="87" t="s">
        <v>153</v>
      </c>
      <c r="K48" s="419" t="s">
        <v>162</v>
      </c>
      <c r="L48" s="99"/>
      <c r="M48" s="99"/>
      <c r="N48" s="99"/>
      <c r="O48" s="99"/>
      <c r="P48" s="99"/>
      <c r="Q48" s="99"/>
      <c r="R48" s="99"/>
      <c r="S48" s="99"/>
      <c r="T48" s="99"/>
      <c r="U48" s="99"/>
      <c r="V48" s="99"/>
      <c r="W48" s="99"/>
      <c r="X48" s="99"/>
    </row>
    <row r="49" spans="1:24" ht="86.25" customHeight="1">
      <c r="A49" s="99" t="s">
        <v>93</v>
      </c>
      <c r="B49" s="422" t="s">
        <v>165</v>
      </c>
      <c r="C49" s="443">
        <v>45960</v>
      </c>
      <c r="D49" s="308">
        <v>45974</v>
      </c>
      <c r="E49" s="295">
        <v>7</v>
      </c>
      <c r="F49" s="295">
        <v>7</v>
      </c>
      <c r="G49" s="412" t="s">
        <v>160</v>
      </c>
      <c r="H49" s="87"/>
      <c r="I49" s="87" t="s">
        <v>166</v>
      </c>
      <c r="J49" s="87" t="s">
        <v>153</v>
      </c>
      <c r="K49" s="419"/>
      <c r="L49" s="99"/>
      <c r="M49" s="99"/>
      <c r="N49" s="99"/>
      <c r="O49" s="99"/>
      <c r="P49" s="99"/>
      <c r="Q49" s="99"/>
      <c r="R49" s="99"/>
      <c r="S49" s="99"/>
      <c r="T49" s="99"/>
      <c r="U49" s="99"/>
      <c r="V49" s="99"/>
      <c r="W49" s="99"/>
      <c r="X49" s="99"/>
    </row>
    <row r="50" spans="1:24" ht="92.25" customHeight="1">
      <c r="A50" s="99" t="s">
        <v>93</v>
      </c>
      <c r="B50" s="422" t="s">
        <v>167</v>
      </c>
      <c r="C50" s="443">
        <v>45974</v>
      </c>
      <c r="D50" s="308">
        <v>45988</v>
      </c>
      <c r="E50" s="295">
        <v>8</v>
      </c>
      <c r="F50" s="295">
        <v>8</v>
      </c>
      <c r="G50" s="412" t="s">
        <v>160</v>
      </c>
      <c r="H50" s="87"/>
      <c r="I50" s="87" t="s">
        <v>168</v>
      </c>
      <c r="J50" s="87" t="s">
        <v>169</v>
      </c>
      <c r="K50" s="87" t="s">
        <v>170</v>
      </c>
      <c r="L50" s="99"/>
      <c r="M50" s="99"/>
      <c r="N50" s="99"/>
      <c r="O50" s="99"/>
      <c r="P50" s="99"/>
      <c r="Q50" s="99"/>
      <c r="R50" s="99"/>
      <c r="S50" s="99"/>
      <c r="T50" s="99"/>
      <c r="U50" s="99"/>
      <c r="V50" s="99"/>
      <c r="W50" s="99"/>
      <c r="X50" s="99"/>
    </row>
    <row r="51" spans="1:24" ht="93" customHeight="1">
      <c r="A51" s="99" t="s">
        <v>93</v>
      </c>
      <c r="B51" s="422" t="s">
        <v>171</v>
      </c>
      <c r="C51" s="443">
        <v>45988</v>
      </c>
      <c r="D51" s="308">
        <v>46002</v>
      </c>
      <c r="E51" s="295">
        <v>7</v>
      </c>
      <c r="F51" s="295">
        <v>7</v>
      </c>
      <c r="G51" s="412" t="s">
        <v>160</v>
      </c>
      <c r="H51" s="87"/>
      <c r="I51" s="87" t="s">
        <v>172</v>
      </c>
      <c r="J51" s="87" t="s">
        <v>169</v>
      </c>
      <c r="K51" s="429" t="s">
        <v>173</v>
      </c>
      <c r="L51" s="99"/>
      <c r="M51" s="99"/>
      <c r="N51" s="99"/>
      <c r="O51" s="99"/>
      <c r="P51" s="99"/>
      <c r="Q51" s="99"/>
      <c r="R51" s="99"/>
      <c r="S51" s="99"/>
      <c r="T51" s="99"/>
      <c r="U51" s="99"/>
      <c r="V51" s="99"/>
      <c r="W51" s="99"/>
      <c r="X51" s="99"/>
    </row>
    <row r="52" spans="1:24" ht="93" customHeight="1">
      <c r="A52" s="99" t="s">
        <v>93</v>
      </c>
      <c r="B52" s="422" t="s">
        <v>174</v>
      </c>
      <c r="C52" s="443">
        <v>46002</v>
      </c>
      <c r="D52" s="308">
        <v>46030</v>
      </c>
      <c r="E52" s="295">
        <v>10</v>
      </c>
      <c r="F52" s="295">
        <v>10</v>
      </c>
      <c r="G52" s="412" t="s">
        <v>160</v>
      </c>
      <c r="H52" s="87"/>
      <c r="I52" s="87" t="s">
        <v>175</v>
      </c>
      <c r="J52" s="87" t="s">
        <v>169</v>
      </c>
      <c r="K52" s="87" t="s">
        <v>176</v>
      </c>
      <c r="L52" s="358"/>
      <c r="M52" s="99"/>
      <c r="N52" s="99"/>
      <c r="O52" s="99"/>
      <c r="P52" s="99"/>
      <c r="Q52" s="99"/>
      <c r="R52" s="99"/>
      <c r="S52" s="99"/>
      <c r="T52" s="99"/>
      <c r="U52" s="99"/>
      <c r="V52" s="99"/>
      <c r="W52" s="99"/>
      <c r="X52" s="99"/>
    </row>
    <row r="53" spans="1:24" ht="94.5" customHeight="1">
      <c r="A53" s="99" t="s">
        <v>93</v>
      </c>
      <c r="B53" s="422" t="s">
        <v>177</v>
      </c>
      <c r="C53" s="443">
        <v>46030</v>
      </c>
      <c r="D53" s="308">
        <v>46044</v>
      </c>
      <c r="E53" s="295">
        <v>9</v>
      </c>
      <c r="F53" s="295">
        <v>11</v>
      </c>
      <c r="G53" s="412" t="s">
        <v>160</v>
      </c>
      <c r="H53" s="87"/>
      <c r="I53" s="87" t="s">
        <v>178</v>
      </c>
      <c r="J53" s="87" t="s">
        <v>179</v>
      </c>
      <c r="K53" s="87" t="s">
        <v>180</v>
      </c>
      <c r="L53" s="358"/>
      <c r="M53" s="99"/>
      <c r="N53" s="99"/>
      <c r="O53" s="99"/>
      <c r="P53" s="99"/>
      <c r="Q53" s="99"/>
      <c r="R53" s="99"/>
      <c r="S53" s="99"/>
      <c r="T53" s="99"/>
      <c r="U53" s="99"/>
      <c r="V53" s="99"/>
      <c r="W53" s="99"/>
      <c r="X53" s="99"/>
    </row>
    <row r="54" spans="1:24" ht="93" customHeight="1">
      <c r="A54" s="99" t="s">
        <v>93</v>
      </c>
      <c r="B54" s="422" t="s">
        <v>181</v>
      </c>
      <c r="C54" s="443">
        <v>46044</v>
      </c>
      <c r="D54" s="308">
        <v>46058</v>
      </c>
      <c r="E54" s="295">
        <v>10</v>
      </c>
      <c r="F54" s="295">
        <v>10</v>
      </c>
      <c r="G54" s="412" t="s">
        <v>160</v>
      </c>
      <c r="H54" s="87"/>
      <c r="I54" s="87" t="s">
        <v>182</v>
      </c>
      <c r="J54" s="87" t="s">
        <v>169</v>
      </c>
      <c r="K54" s="87" t="s">
        <v>183</v>
      </c>
      <c r="L54" s="358"/>
      <c r="M54" s="99"/>
      <c r="N54" s="109">
        <v>0</v>
      </c>
      <c r="O54" s="99">
        <v>2</v>
      </c>
      <c r="P54" s="99"/>
      <c r="Q54" s="99"/>
      <c r="R54" s="99"/>
      <c r="S54" s="99"/>
      <c r="T54" s="99"/>
      <c r="U54" s="99"/>
      <c r="V54" s="99"/>
      <c r="W54" s="99"/>
      <c r="X54" s="99"/>
    </row>
    <row r="55" spans="1:24" ht="90" customHeight="1">
      <c r="A55" s="99" t="s">
        <v>93</v>
      </c>
      <c r="B55" s="422" t="s">
        <v>184</v>
      </c>
      <c r="C55" s="443">
        <v>46058</v>
      </c>
      <c r="D55" s="308">
        <v>46072</v>
      </c>
      <c r="E55" s="295">
        <v>11</v>
      </c>
      <c r="F55" s="295">
        <v>11</v>
      </c>
      <c r="G55" s="412" t="s">
        <v>185</v>
      </c>
      <c r="H55" s="87"/>
      <c r="I55" s="87" t="s">
        <v>186</v>
      </c>
      <c r="J55" s="87" t="s">
        <v>187</v>
      </c>
      <c r="K55" s="87" t="s">
        <v>188</v>
      </c>
      <c r="L55" s="358"/>
      <c r="M55" s="99"/>
      <c r="N55" s="109">
        <v>0</v>
      </c>
      <c r="O55" s="99">
        <v>0</v>
      </c>
      <c r="P55" s="99"/>
      <c r="Q55" s="99"/>
      <c r="R55" s="99"/>
      <c r="S55" s="99"/>
      <c r="T55" s="99"/>
      <c r="U55" s="99"/>
      <c r="V55" s="99"/>
      <c r="W55" s="99"/>
      <c r="X55" s="99"/>
    </row>
    <row r="56" spans="1:24" ht="100.5" customHeight="1">
      <c r="A56" s="108" t="s">
        <v>93</v>
      </c>
      <c r="B56" s="460" t="s">
        <v>189</v>
      </c>
      <c r="C56" s="444">
        <v>46072</v>
      </c>
      <c r="D56" s="308">
        <v>46086</v>
      </c>
      <c r="E56" s="295">
        <v>10</v>
      </c>
      <c r="F56" s="295">
        <v>9</v>
      </c>
      <c r="G56" s="412">
        <v>3</v>
      </c>
      <c r="H56" s="87"/>
      <c r="I56" s="87" t="s">
        <v>190</v>
      </c>
      <c r="J56" s="87" t="s">
        <v>191</v>
      </c>
      <c r="K56" s="103" t="s">
        <v>192</v>
      </c>
      <c r="L56" s="401"/>
      <c r="M56" s="108"/>
      <c r="N56" s="459">
        <v>1</v>
      </c>
      <c r="O56" s="108">
        <v>1.5</v>
      </c>
      <c r="P56" s="108"/>
      <c r="Q56" s="108"/>
      <c r="R56" s="108"/>
      <c r="S56" s="108"/>
      <c r="T56" s="108"/>
      <c r="U56" s="108"/>
      <c r="V56" s="108"/>
      <c r="W56" s="108"/>
      <c r="X56" s="108"/>
    </row>
    <row r="57" spans="1:24" s="99" customFormat="1" ht="138" customHeight="1">
      <c r="A57" s="99" t="s">
        <v>93</v>
      </c>
      <c r="B57" s="461" t="s">
        <v>193</v>
      </c>
      <c r="C57" s="443">
        <v>46086</v>
      </c>
      <c r="D57" s="308">
        <v>46100</v>
      </c>
      <c r="E57" s="295">
        <v>12</v>
      </c>
      <c r="F57" s="295">
        <v>12</v>
      </c>
      <c r="G57" s="275" t="s">
        <v>194</v>
      </c>
      <c r="H57" s="87"/>
      <c r="I57" s="87" t="s">
        <v>195</v>
      </c>
      <c r="J57" s="87" t="s">
        <v>196</v>
      </c>
      <c r="K57" s="87" t="s">
        <v>197</v>
      </c>
      <c r="N57" s="459">
        <v>0</v>
      </c>
      <c r="O57" s="99">
        <v>1.5</v>
      </c>
    </row>
    <row r="58" spans="1:24" s="99" customFormat="1" ht="109.5" customHeight="1">
      <c r="A58" s="99" t="s">
        <v>93</v>
      </c>
      <c r="B58" s="461" t="s">
        <v>198</v>
      </c>
      <c r="C58" s="443">
        <v>46100</v>
      </c>
      <c r="D58" s="308">
        <v>46114</v>
      </c>
      <c r="E58" s="295">
        <v>12</v>
      </c>
      <c r="F58" s="295">
        <v>12</v>
      </c>
      <c r="G58" s="275" t="s">
        <v>199</v>
      </c>
      <c r="H58" s="87"/>
      <c r="I58" s="87" t="s">
        <v>200</v>
      </c>
      <c r="J58" s="87" t="s">
        <v>201</v>
      </c>
      <c r="K58" s="87" t="s">
        <v>202</v>
      </c>
      <c r="M58" s="357"/>
      <c r="N58" s="109">
        <v>1</v>
      </c>
      <c r="O58" s="358">
        <v>1</v>
      </c>
    </row>
    <row r="59" spans="1:24" s="99" customFormat="1" ht="151.5" customHeight="1">
      <c r="A59" s="99" t="s">
        <v>93</v>
      </c>
      <c r="B59" s="461" t="s">
        <v>203</v>
      </c>
      <c r="C59" s="443">
        <v>46114</v>
      </c>
      <c r="D59" s="308">
        <v>46128</v>
      </c>
      <c r="E59" s="295">
        <v>11</v>
      </c>
      <c r="F59" s="295">
        <v>11</v>
      </c>
      <c r="G59" s="275" t="s">
        <v>194</v>
      </c>
      <c r="H59" s="87"/>
      <c r="I59" s="87" t="s">
        <v>204</v>
      </c>
      <c r="J59" s="87" t="s">
        <v>205</v>
      </c>
      <c r="K59" s="87" t="s">
        <v>206</v>
      </c>
      <c r="M59" s="357"/>
      <c r="N59" s="109">
        <v>0</v>
      </c>
      <c r="O59" s="358">
        <v>1</v>
      </c>
    </row>
    <row r="60" spans="1:24" s="99" customFormat="1" ht="136.5" customHeight="1">
      <c r="A60" s="99" t="s">
        <v>93</v>
      </c>
      <c r="B60" s="461" t="s">
        <v>207</v>
      </c>
      <c r="C60" s="443">
        <v>46128</v>
      </c>
      <c r="D60" s="308">
        <v>46142</v>
      </c>
      <c r="E60" s="295">
        <v>11</v>
      </c>
      <c r="F60" s="295">
        <v>11</v>
      </c>
      <c r="G60" s="275" t="s">
        <v>208</v>
      </c>
      <c r="H60" s="87"/>
      <c r="I60" s="87" t="s">
        <v>209</v>
      </c>
      <c r="J60" s="87" t="s">
        <v>169</v>
      </c>
      <c r="K60" s="87" t="s">
        <v>210</v>
      </c>
      <c r="M60" s="357"/>
      <c r="N60" s="109">
        <v>0</v>
      </c>
      <c r="O60" s="358">
        <v>1</v>
      </c>
    </row>
    <row r="61" spans="1:24" ht="120.75" customHeight="1">
      <c r="A61" s="99" t="s">
        <v>93</v>
      </c>
      <c r="B61" s="461" t="s">
        <v>211</v>
      </c>
      <c r="C61" s="443">
        <v>46142</v>
      </c>
      <c r="D61" s="308">
        <v>46156</v>
      </c>
      <c r="E61" s="295">
        <v>9</v>
      </c>
      <c r="F61" s="295">
        <v>9</v>
      </c>
      <c r="G61" s="275" t="s">
        <v>208</v>
      </c>
      <c r="H61" s="87"/>
      <c r="I61" s="87" t="s">
        <v>212</v>
      </c>
      <c r="J61" s="87" t="s">
        <v>169</v>
      </c>
      <c r="K61" s="87" t="s">
        <v>213</v>
      </c>
      <c r="L61" s="99"/>
      <c r="M61" s="357"/>
      <c r="N61" s="109">
        <v>1</v>
      </c>
      <c r="O61" s="358">
        <v>1.5</v>
      </c>
      <c r="P61" s="99"/>
      <c r="Q61" s="99"/>
      <c r="R61" s="99"/>
      <c r="S61" s="99"/>
      <c r="T61" s="99"/>
      <c r="U61" s="99"/>
      <c r="V61" s="99"/>
      <c r="W61" s="99"/>
      <c r="X61" s="99"/>
    </row>
    <row r="62" spans="1:24" ht="120.75" customHeight="1">
      <c r="A62" s="99" t="s">
        <v>93</v>
      </c>
      <c r="B62" s="461" t="s">
        <v>214</v>
      </c>
      <c r="C62" s="308">
        <v>46156</v>
      </c>
      <c r="D62" s="308">
        <v>46170</v>
      </c>
      <c r="E62" s="295">
        <v>11</v>
      </c>
      <c r="F62" s="295"/>
      <c r="G62" s="275"/>
      <c r="H62" s="87"/>
      <c r="I62" s="87"/>
      <c r="J62" s="87"/>
      <c r="K62" s="87"/>
      <c r="L62" s="99"/>
      <c r="M62" s="357"/>
      <c r="N62" s="109">
        <v>0</v>
      </c>
      <c r="O62" s="358">
        <v>0</v>
      </c>
      <c r="P62" s="99"/>
      <c r="Q62" s="99"/>
      <c r="R62" s="99"/>
      <c r="S62" s="99"/>
      <c r="T62" s="99"/>
      <c r="U62" s="99"/>
      <c r="V62" s="99"/>
      <c r="W62" s="99"/>
      <c r="X62" s="99"/>
    </row>
  </sheetData>
  <dataValidations count="1">
    <dataValidation type="list" allowBlank="1" showInputMessage="1" showErrorMessage="1" sqref="L3:L27" xr:uid="{BFE0DC53-9991-4331-A8CF-4179CE1033FC}">
      <formula1>"Inprogress, Completed"</formula1>
    </dataValidation>
  </dataValidations>
  <hyperlinks>
    <hyperlink ref="N1" r:id="rId1" xr:uid="{E7D6DFE2-46CD-4F94-8A38-454B8AD7CBA1}"/>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0BD7-874C-452E-9679-424E518E1FAC}">
  <dimension ref="A1:D18"/>
  <sheetViews>
    <sheetView topLeftCell="A9" workbookViewId="0">
      <selection activeCell="D20" sqref="D20"/>
    </sheetView>
  </sheetViews>
  <sheetFormatPr defaultRowHeight="12.75"/>
  <cols>
    <col min="1" max="1" width="52.5703125" customWidth="1"/>
    <col min="2" max="2" width="47.140625" customWidth="1"/>
    <col min="3" max="3" width="22.140625" customWidth="1"/>
    <col min="4" max="4" width="30.42578125" customWidth="1"/>
  </cols>
  <sheetData>
    <row r="1" spans="1:4">
      <c r="A1" s="446"/>
      <c r="B1" s="452"/>
      <c r="C1" s="447"/>
      <c r="D1" s="447"/>
    </row>
    <row r="2" spans="1:4">
      <c r="A2" s="467" t="s">
        <v>215</v>
      </c>
      <c r="B2" s="448">
        <v>0</v>
      </c>
      <c r="C2" s="447"/>
      <c r="D2" s="447"/>
    </row>
    <row r="3" spans="1:4">
      <c r="A3" s="449"/>
      <c r="B3" s="482" t="s">
        <v>216</v>
      </c>
      <c r="C3" s="483"/>
      <c r="D3" s="483"/>
    </row>
    <row r="4" spans="1:4">
      <c r="A4" s="450" t="s">
        <v>217</v>
      </c>
      <c r="B4" s="451" t="s">
        <v>218</v>
      </c>
      <c r="C4" s="451" t="s">
        <v>219</v>
      </c>
      <c r="D4" s="451" t="s">
        <v>17</v>
      </c>
    </row>
    <row r="5" spans="1:4" ht="24" customHeight="1">
      <c r="A5" s="446" t="s">
        <v>220</v>
      </c>
      <c r="B5" s="446">
        <v>0</v>
      </c>
      <c r="C5" s="446">
        <v>0</v>
      </c>
      <c r="D5" s="85"/>
    </row>
    <row r="6" spans="1:4" ht="45.75" customHeight="1">
      <c r="A6" s="446" t="s">
        <v>221</v>
      </c>
      <c r="B6" s="468" t="s">
        <v>222</v>
      </c>
      <c r="C6" s="446">
        <v>0</v>
      </c>
      <c r="D6" s="85" t="s">
        <v>223</v>
      </c>
    </row>
    <row r="7" spans="1:4" ht="58.5" customHeight="1">
      <c r="A7" s="446" t="s">
        <v>224</v>
      </c>
      <c r="B7" s="446">
        <v>0.5</v>
      </c>
      <c r="C7" s="446">
        <v>1</v>
      </c>
      <c r="D7" s="85" t="s">
        <v>225</v>
      </c>
    </row>
    <row r="8" spans="1:4" ht="33.75" customHeight="1">
      <c r="A8" s="446" t="s">
        <v>226</v>
      </c>
      <c r="B8" s="446">
        <v>1</v>
      </c>
      <c r="C8" s="446">
        <v>0</v>
      </c>
      <c r="D8" s="85" t="s">
        <v>227</v>
      </c>
    </row>
    <row r="9" spans="1:4" ht="34.5" customHeight="1">
      <c r="A9" s="446" t="s">
        <v>228</v>
      </c>
      <c r="B9" s="446">
        <v>0</v>
      </c>
      <c r="C9" s="446">
        <v>1</v>
      </c>
      <c r="D9" s="475" t="s">
        <v>229</v>
      </c>
    </row>
    <row r="10" spans="1:4" ht="27.75" customHeight="1">
      <c r="A10" s="446" t="s">
        <v>230</v>
      </c>
      <c r="B10" s="446">
        <v>0</v>
      </c>
      <c r="C10" s="446">
        <v>0</v>
      </c>
      <c r="D10" s="85"/>
    </row>
    <row r="11" spans="1:4" ht="70.5" customHeight="1">
      <c r="A11" s="446" t="s">
        <v>231</v>
      </c>
      <c r="B11" s="446">
        <v>1</v>
      </c>
      <c r="C11" s="446">
        <v>0.5</v>
      </c>
      <c r="D11" s="475" t="s">
        <v>232</v>
      </c>
    </row>
    <row r="12" spans="1:4">
      <c r="A12" s="446"/>
      <c r="B12" s="446"/>
      <c r="C12" s="446"/>
      <c r="D12" s="85"/>
    </row>
    <row r="13" spans="1:4">
      <c r="A13" s="446"/>
      <c r="B13" s="446"/>
      <c r="C13" s="446"/>
      <c r="D13" s="85"/>
    </row>
    <row r="14" spans="1:4">
      <c r="A14" s="446"/>
      <c r="B14" s="446"/>
      <c r="C14" s="446"/>
      <c r="D14" s="85"/>
    </row>
    <row r="15" spans="1:4">
      <c r="A15" s="446"/>
      <c r="B15" s="446"/>
      <c r="C15" s="446"/>
      <c r="D15" s="85"/>
    </row>
    <row r="16" spans="1:4">
      <c r="A16" s="446"/>
      <c r="B16" s="446"/>
      <c r="C16" s="446"/>
      <c r="D16" s="85"/>
    </row>
    <row r="17" spans="1:4">
      <c r="A17" s="452"/>
      <c r="B17" s="452"/>
      <c r="C17" s="452"/>
      <c r="D17" s="453"/>
    </row>
    <row r="18" spans="1:4">
      <c r="A18" s="446" t="s">
        <v>233</v>
      </c>
      <c r="B18" s="446">
        <v>4</v>
      </c>
      <c r="C18" s="446">
        <v>2.5</v>
      </c>
      <c r="D18" s="446"/>
    </row>
  </sheetData>
  <mergeCells count="1">
    <mergeCell ref="B3: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F7CC0-1EAC-43A8-9B1A-9CABD5829CF2}">
  <dimension ref="A1:AD5"/>
  <sheetViews>
    <sheetView tabSelected="1" workbookViewId="0">
      <selection activeCell="M2" sqref="M2"/>
    </sheetView>
  </sheetViews>
  <sheetFormatPr defaultRowHeight="12.75"/>
  <cols>
    <col min="1" max="1" width="5.42578125" bestFit="1" customWidth="1"/>
    <col min="2" max="2" width="16.42578125" bestFit="1" customWidth="1"/>
    <col min="3" max="4" width="10.28515625" customWidth="1"/>
    <col min="5" max="5" width="18" customWidth="1"/>
    <col min="6" max="6" width="10.140625" bestFit="1" customWidth="1"/>
    <col min="7" max="7" width="13" customWidth="1"/>
    <col min="8" max="8" width="44.28515625" customWidth="1"/>
    <col min="9" max="9" width="12.7109375" customWidth="1"/>
    <col min="19" max="19" width="11.140625" customWidth="1"/>
    <col min="20" max="20" width="38.28515625" customWidth="1"/>
    <col min="24" max="24" width="12.85546875" customWidth="1"/>
    <col min="27" max="27" width="13" customWidth="1"/>
    <col min="28" max="28" width="12.140625" customWidth="1"/>
    <col min="29" max="29" width="12.5703125" customWidth="1"/>
    <col min="30" max="30" width="68.85546875" customWidth="1"/>
  </cols>
  <sheetData>
    <row r="1" spans="1:30" ht="60">
      <c r="A1" s="416" t="s">
        <v>234</v>
      </c>
      <c r="B1" s="57" t="s">
        <v>4</v>
      </c>
      <c r="C1" s="57" t="s">
        <v>2</v>
      </c>
      <c r="D1" s="57" t="s">
        <v>3</v>
      </c>
      <c r="E1" s="416" t="s">
        <v>235</v>
      </c>
      <c r="F1" s="416" t="s">
        <v>236</v>
      </c>
      <c r="G1" s="416" t="s">
        <v>237</v>
      </c>
      <c r="H1" s="416" t="s">
        <v>238</v>
      </c>
      <c r="I1" s="416" t="s">
        <v>239</v>
      </c>
      <c r="J1" s="57" t="s">
        <v>240</v>
      </c>
      <c r="K1" s="57" t="s">
        <v>241</v>
      </c>
      <c r="L1" s="57" t="s">
        <v>242</v>
      </c>
      <c r="M1" s="205" t="s">
        <v>243</v>
      </c>
      <c r="N1" s="205" t="s">
        <v>244</v>
      </c>
      <c r="O1" s="417" t="s">
        <v>245</v>
      </c>
      <c r="P1" s="417" t="s">
        <v>246</v>
      </c>
      <c r="Q1" s="417" t="s">
        <v>247</v>
      </c>
      <c r="R1" s="417" t="s">
        <v>248</v>
      </c>
      <c r="S1" s="417" t="s">
        <v>249</v>
      </c>
      <c r="T1" s="417" t="s">
        <v>250</v>
      </c>
      <c r="U1" s="417" t="s">
        <v>251</v>
      </c>
      <c r="V1" s="417" t="s">
        <v>252</v>
      </c>
      <c r="W1" s="417" t="s">
        <v>253</v>
      </c>
      <c r="X1" s="417" t="s">
        <v>254</v>
      </c>
      <c r="Y1" s="417" t="s">
        <v>255</v>
      </c>
      <c r="Z1" s="417" t="s">
        <v>256</v>
      </c>
      <c r="AA1" s="417" t="s">
        <v>257</v>
      </c>
      <c r="AB1" s="416" t="s">
        <v>258</v>
      </c>
      <c r="AC1" s="416" t="s">
        <v>259</v>
      </c>
      <c r="AD1" s="418" t="s">
        <v>260</v>
      </c>
    </row>
    <row r="2" spans="1:30" ht="49.5" customHeight="1">
      <c r="A2" s="412">
        <v>1</v>
      </c>
      <c r="B2" s="412" t="s">
        <v>5</v>
      </c>
      <c r="C2" s="421">
        <v>46156</v>
      </c>
      <c r="D2" s="421">
        <v>46170</v>
      </c>
      <c r="E2" s="427" t="s">
        <v>214</v>
      </c>
      <c r="F2" s="412" t="s">
        <v>219</v>
      </c>
      <c r="G2" s="72" t="s">
        <v>261</v>
      </c>
      <c r="H2" s="412" t="s">
        <v>262</v>
      </c>
      <c r="I2" s="436" t="s">
        <v>263</v>
      </c>
      <c r="J2" s="412">
        <v>3</v>
      </c>
      <c r="K2" s="99"/>
      <c r="L2" s="99"/>
      <c r="M2" s="458">
        <v>46157</v>
      </c>
      <c r="N2" s="431"/>
      <c r="O2" s="470"/>
      <c r="P2" s="436"/>
      <c r="Q2" s="99"/>
      <c r="R2" s="436"/>
      <c r="S2" s="87"/>
      <c r="T2" s="72"/>
      <c r="U2" s="421"/>
      <c r="V2" s="421"/>
      <c r="W2" s="436"/>
      <c r="X2" s="99"/>
      <c r="Y2" s="436"/>
      <c r="Z2" s="421"/>
      <c r="AA2" s="436"/>
      <c r="AB2" s="99"/>
      <c r="AC2" s="99"/>
      <c r="AD2" s="412"/>
    </row>
    <row r="3" spans="1:30" ht="58.5" customHeight="1">
      <c r="A3" s="412">
        <v>2</v>
      </c>
      <c r="B3" s="412" t="s">
        <v>5</v>
      </c>
      <c r="C3" s="421">
        <v>46156</v>
      </c>
      <c r="D3" s="421">
        <v>46170</v>
      </c>
      <c r="E3" s="427" t="s">
        <v>214</v>
      </c>
      <c r="F3" s="412" t="s">
        <v>219</v>
      </c>
      <c r="G3" s="72" t="s">
        <v>264</v>
      </c>
      <c r="H3" s="412" t="s">
        <v>265</v>
      </c>
      <c r="I3" s="436" t="s">
        <v>266</v>
      </c>
      <c r="J3" s="412">
        <v>2</v>
      </c>
      <c r="K3" s="99"/>
      <c r="L3" s="99"/>
      <c r="M3" s="458"/>
      <c r="N3" s="421"/>
      <c r="O3" s="470"/>
      <c r="P3" s="436"/>
      <c r="Q3" s="99"/>
      <c r="R3" s="436"/>
      <c r="S3" s="87"/>
      <c r="T3" s="72"/>
      <c r="U3" s="421"/>
      <c r="V3" s="421"/>
      <c r="W3" s="436"/>
      <c r="X3" s="99"/>
      <c r="Y3" s="436"/>
      <c r="Z3" s="421"/>
      <c r="AA3" s="436"/>
      <c r="AB3" s="99"/>
      <c r="AC3" s="99"/>
      <c r="AD3" s="412"/>
    </row>
    <row r="4" spans="1:30" ht="71.25" customHeight="1">
      <c r="A4" s="412">
        <v>3</v>
      </c>
      <c r="B4" s="412" t="s">
        <v>5</v>
      </c>
      <c r="C4" s="421">
        <v>46156</v>
      </c>
      <c r="D4" s="421">
        <v>46170</v>
      </c>
      <c r="E4" s="427" t="s">
        <v>214</v>
      </c>
      <c r="F4" s="412" t="s">
        <v>219</v>
      </c>
      <c r="G4" s="72" t="s">
        <v>267</v>
      </c>
      <c r="H4" s="412" t="s">
        <v>268</v>
      </c>
      <c r="I4" s="436" t="s">
        <v>266</v>
      </c>
      <c r="J4" s="412">
        <v>3</v>
      </c>
      <c r="K4" s="99"/>
      <c r="L4" s="99"/>
      <c r="M4" s="458"/>
      <c r="N4" s="421"/>
      <c r="O4" s="470"/>
      <c r="P4" s="436"/>
      <c r="Q4" s="99"/>
      <c r="R4" s="436"/>
      <c r="S4" s="87"/>
      <c r="T4" s="72"/>
      <c r="U4" s="421"/>
      <c r="V4" s="421"/>
      <c r="W4" s="436"/>
      <c r="X4" s="99"/>
      <c r="Y4" s="436"/>
      <c r="Z4" s="421"/>
      <c r="AA4" s="436"/>
      <c r="AB4" s="99"/>
      <c r="AC4" s="99"/>
      <c r="AD4" s="412"/>
    </row>
    <row r="5" spans="1:30" ht="65.25" customHeight="1">
      <c r="A5" s="412">
        <v>4</v>
      </c>
      <c r="B5" s="412" t="s">
        <v>5</v>
      </c>
      <c r="C5" s="421">
        <v>46156</v>
      </c>
      <c r="D5" s="421">
        <v>46170</v>
      </c>
      <c r="E5" s="427" t="s">
        <v>214</v>
      </c>
      <c r="F5" s="412" t="s">
        <v>219</v>
      </c>
      <c r="G5" s="72" t="s">
        <v>269</v>
      </c>
      <c r="H5" s="412" t="s">
        <v>270</v>
      </c>
      <c r="I5" s="436" t="s">
        <v>266</v>
      </c>
      <c r="J5" s="412">
        <v>3</v>
      </c>
      <c r="K5" s="99"/>
      <c r="L5" s="99"/>
      <c r="M5" s="458"/>
      <c r="N5" s="476"/>
      <c r="O5" s="470"/>
      <c r="P5" s="436"/>
      <c r="Q5" s="99"/>
      <c r="R5" s="436"/>
      <c r="S5" s="87"/>
      <c r="T5" s="72"/>
      <c r="U5" s="421"/>
      <c r="V5" s="421"/>
      <c r="W5" s="436"/>
      <c r="X5" s="99"/>
      <c r="Y5" s="436"/>
      <c r="Z5" s="421"/>
      <c r="AA5" s="436"/>
      <c r="AB5" s="99"/>
      <c r="AC5" s="99"/>
      <c r="AD5" s="412"/>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52BD8F-B907-43F9-BCF5-0EEA9F0B8CEC}">
          <x14:formula1>
            <xm:f>Settings!$C$3:$C$10</xm:f>
          </x14:formula1>
          <xm:sqref>I2:I5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235AF-96F0-47DC-ABD8-E828AA7EAAF0}">
  <dimension ref="A1:AD5"/>
  <sheetViews>
    <sheetView workbookViewId="0">
      <selection activeCell="Z5" sqref="Z5"/>
    </sheetView>
  </sheetViews>
  <sheetFormatPr defaultRowHeight="12.75"/>
  <cols>
    <col min="2" max="2" width="21.140625" customWidth="1"/>
    <col min="3" max="3" width="10.140625" customWidth="1"/>
    <col min="5" max="5" width="18" customWidth="1"/>
    <col min="6" max="6" width="11.5703125" customWidth="1"/>
    <col min="7" max="7" width="13" customWidth="1"/>
    <col min="8" max="8" width="38" customWidth="1"/>
    <col min="9" max="9" width="15" customWidth="1"/>
    <col min="14" max="14" width="10.140625" customWidth="1"/>
    <col min="19" max="19" width="11.140625" customWidth="1"/>
    <col min="20" max="20" width="35.7109375" customWidth="1"/>
    <col min="24" max="24" width="10.85546875" customWidth="1"/>
    <col min="25" max="25" width="9.140625" style="298"/>
    <col min="27" max="27" width="12.28515625" customWidth="1"/>
    <col min="28" max="28" width="11.5703125" customWidth="1"/>
    <col min="29" max="29" width="12.85546875" customWidth="1"/>
    <col min="30" max="30" width="72.42578125" customWidth="1"/>
  </cols>
  <sheetData>
    <row r="1" spans="1:30" ht="48">
      <c r="A1" s="416" t="s">
        <v>234</v>
      </c>
      <c r="B1" s="57" t="s">
        <v>4</v>
      </c>
      <c r="C1" s="57" t="s">
        <v>2</v>
      </c>
      <c r="D1" s="57" t="s">
        <v>3</v>
      </c>
      <c r="E1" s="416" t="s">
        <v>235</v>
      </c>
      <c r="F1" s="416" t="s">
        <v>236</v>
      </c>
      <c r="G1" s="416" t="s">
        <v>237</v>
      </c>
      <c r="H1" s="416" t="s">
        <v>238</v>
      </c>
      <c r="I1" s="416" t="s">
        <v>239</v>
      </c>
      <c r="J1" s="57" t="s">
        <v>240</v>
      </c>
      <c r="K1" s="57" t="s">
        <v>241</v>
      </c>
      <c r="L1" s="57" t="s">
        <v>242</v>
      </c>
      <c r="M1" s="205" t="s">
        <v>243</v>
      </c>
      <c r="N1" s="205" t="s">
        <v>244</v>
      </c>
      <c r="O1" s="417" t="s">
        <v>245</v>
      </c>
      <c r="P1" s="417" t="s">
        <v>246</v>
      </c>
      <c r="Q1" s="417" t="s">
        <v>247</v>
      </c>
      <c r="R1" s="417" t="s">
        <v>248</v>
      </c>
      <c r="S1" s="417" t="s">
        <v>249</v>
      </c>
      <c r="T1" s="417" t="s">
        <v>250</v>
      </c>
      <c r="U1" s="417" t="s">
        <v>251</v>
      </c>
      <c r="V1" s="417" t="s">
        <v>252</v>
      </c>
      <c r="W1" s="417" t="s">
        <v>253</v>
      </c>
      <c r="X1" s="417" t="s">
        <v>254</v>
      </c>
      <c r="Y1" s="417" t="s">
        <v>255</v>
      </c>
      <c r="Z1" s="417" t="s">
        <v>256</v>
      </c>
      <c r="AA1" s="417" t="s">
        <v>257</v>
      </c>
      <c r="AB1" s="416" t="s">
        <v>258</v>
      </c>
      <c r="AC1" s="416" t="s">
        <v>259</v>
      </c>
      <c r="AD1" s="418" t="s">
        <v>260</v>
      </c>
    </row>
    <row r="2" spans="1:30" ht="41.25" customHeight="1">
      <c r="A2" s="412">
        <v>1</v>
      </c>
      <c r="B2" s="412" t="s">
        <v>5</v>
      </c>
      <c r="C2" s="421">
        <v>46142</v>
      </c>
      <c r="D2" s="421">
        <v>46156</v>
      </c>
      <c r="E2" s="427" t="s">
        <v>211</v>
      </c>
      <c r="F2" s="412" t="s">
        <v>219</v>
      </c>
      <c r="G2" s="72" t="s">
        <v>271</v>
      </c>
      <c r="H2" s="412" t="s">
        <v>272</v>
      </c>
      <c r="I2" s="436" t="s">
        <v>13</v>
      </c>
      <c r="J2" s="412">
        <v>2</v>
      </c>
      <c r="K2" s="99">
        <v>2</v>
      </c>
      <c r="L2" s="99">
        <v>16.5</v>
      </c>
      <c r="M2" s="458">
        <v>46146</v>
      </c>
      <c r="N2" s="431">
        <v>46146</v>
      </c>
      <c r="O2" s="470" t="s">
        <v>273</v>
      </c>
      <c r="P2" s="436" t="s">
        <v>274</v>
      </c>
      <c r="Q2" s="99"/>
      <c r="R2" s="436" t="s">
        <v>275</v>
      </c>
      <c r="S2" s="87"/>
      <c r="T2" s="72" t="s">
        <v>276</v>
      </c>
      <c r="U2" s="421">
        <v>46146</v>
      </c>
      <c r="V2" s="421">
        <v>46146</v>
      </c>
      <c r="W2" s="436" t="s">
        <v>275</v>
      </c>
      <c r="X2" s="99"/>
      <c r="Y2" s="436" t="s">
        <v>277</v>
      </c>
      <c r="Z2" s="421">
        <v>46146</v>
      </c>
      <c r="AA2" s="436"/>
      <c r="AB2" s="99"/>
      <c r="AC2" s="99"/>
      <c r="AD2" s="412" t="s">
        <v>278</v>
      </c>
    </row>
    <row r="3" spans="1:30" ht="48.75" customHeight="1">
      <c r="A3" s="412">
        <v>2</v>
      </c>
      <c r="B3" s="412" t="s">
        <v>5</v>
      </c>
      <c r="C3" s="421">
        <v>46142</v>
      </c>
      <c r="D3" s="421">
        <v>46156</v>
      </c>
      <c r="E3" s="427" t="s">
        <v>211</v>
      </c>
      <c r="F3" s="412" t="s">
        <v>219</v>
      </c>
      <c r="G3" s="72" t="s">
        <v>279</v>
      </c>
      <c r="H3" s="412" t="s">
        <v>280</v>
      </c>
      <c r="I3" s="436" t="s">
        <v>13</v>
      </c>
      <c r="J3" s="412">
        <v>3</v>
      </c>
      <c r="K3" s="99">
        <v>3</v>
      </c>
      <c r="L3" s="99">
        <v>34.5</v>
      </c>
      <c r="M3" s="458">
        <v>46147</v>
      </c>
      <c r="N3" s="421">
        <v>46149</v>
      </c>
      <c r="O3" s="470" t="s">
        <v>273</v>
      </c>
      <c r="P3" s="436" t="s">
        <v>274</v>
      </c>
      <c r="Q3" s="99"/>
      <c r="R3" s="436" t="s">
        <v>275</v>
      </c>
      <c r="S3" s="87"/>
      <c r="T3" s="72" t="s">
        <v>281</v>
      </c>
      <c r="U3" s="421">
        <v>46149</v>
      </c>
      <c r="V3" s="421">
        <v>46153</v>
      </c>
      <c r="W3" s="436" t="s">
        <v>275</v>
      </c>
      <c r="X3" s="99"/>
      <c r="Y3" s="436" t="s">
        <v>277</v>
      </c>
      <c r="Z3" s="421">
        <v>46153</v>
      </c>
      <c r="AA3" s="436"/>
      <c r="AB3" s="99"/>
      <c r="AC3" s="99"/>
      <c r="AD3" s="412" t="s">
        <v>282</v>
      </c>
    </row>
    <row r="4" spans="1:30" ht="48.75" customHeight="1">
      <c r="A4" s="412">
        <v>3</v>
      </c>
      <c r="B4" s="412" t="s">
        <v>5</v>
      </c>
      <c r="C4" s="421">
        <v>46142</v>
      </c>
      <c r="D4" s="421">
        <v>46156</v>
      </c>
      <c r="E4" s="427" t="s">
        <v>211</v>
      </c>
      <c r="F4" s="412" t="s">
        <v>219</v>
      </c>
      <c r="G4" s="72" t="s">
        <v>283</v>
      </c>
      <c r="H4" s="412" t="s">
        <v>284</v>
      </c>
      <c r="I4" s="436" t="s">
        <v>13</v>
      </c>
      <c r="J4" s="412">
        <v>2</v>
      </c>
      <c r="K4" s="99">
        <v>2</v>
      </c>
      <c r="L4" s="99">
        <v>30</v>
      </c>
      <c r="M4" s="458">
        <v>46150</v>
      </c>
      <c r="N4" s="421">
        <v>46153</v>
      </c>
      <c r="O4" s="470" t="s">
        <v>273</v>
      </c>
      <c r="P4" s="436" t="s">
        <v>274</v>
      </c>
      <c r="Q4" s="99"/>
      <c r="R4" s="436" t="s">
        <v>275</v>
      </c>
      <c r="S4" s="87"/>
      <c r="T4" s="72" t="s">
        <v>285</v>
      </c>
      <c r="U4" s="421">
        <v>46153</v>
      </c>
      <c r="V4" s="421">
        <v>46154</v>
      </c>
      <c r="W4" s="436" t="s">
        <v>275</v>
      </c>
      <c r="X4" s="99"/>
      <c r="Y4" s="436" t="s">
        <v>277</v>
      </c>
      <c r="Z4" s="421">
        <v>46154</v>
      </c>
      <c r="AA4" s="436"/>
      <c r="AB4" s="99"/>
      <c r="AC4" s="99"/>
      <c r="AD4" s="412" t="s">
        <v>286</v>
      </c>
    </row>
    <row r="5" spans="1:30" ht="37.5" customHeight="1">
      <c r="A5" s="412">
        <v>4</v>
      </c>
      <c r="B5" s="412" t="s">
        <v>5</v>
      </c>
      <c r="C5" s="421">
        <v>46142</v>
      </c>
      <c r="D5" s="421">
        <v>46156</v>
      </c>
      <c r="E5" s="427" t="s">
        <v>211</v>
      </c>
      <c r="F5" s="412" t="s">
        <v>219</v>
      </c>
      <c r="G5" s="72" t="s">
        <v>287</v>
      </c>
      <c r="H5" s="412" t="s">
        <v>288</v>
      </c>
      <c r="I5" s="436" t="s">
        <v>13</v>
      </c>
      <c r="J5" s="412">
        <v>2</v>
      </c>
      <c r="K5" s="99">
        <v>2</v>
      </c>
      <c r="L5" s="99">
        <v>34</v>
      </c>
      <c r="M5" s="458">
        <v>46154</v>
      </c>
      <c r="N5" s="476">
        <v>46155</v>
      </c>
      <c r="O5" s="470" t="s">
        <v>273</v>
      </c>
      <c r="P5" s="436" t="s">
        <v>274</v>
      </c>
      <c r="Q5" s="99"/>
      <c r="R5" s="436" t="s">
        <v>275</v>
      </c>
      <c r="S5" s="87"/>
      <c r="T5" s="72" t="s">
        <v>289</v>
      </c>
      <c r="U5" s="421">
        <v>46155</v>
      </c>
      <c r="V5" s="421">
        <v>46155</v>
      </c>
      <c r="W5" s="436" t="s">
        <v>275</v>
      </c>
      <c r="X5" s="99"/>
      <c r="Y5" s="436" t="s">
        <v>277</v>
      </c>
      <c r="Z5" s="421">
        <v>46155</v>
      </c>
      <c r="AA5" s="436"/>
      <c r="AB5" s="99"/>
      <c r="AC5" s="99"/>
      <c r="AD5" s="412" t="s">
        <v>290</v>
      </c>
    </row>
  </sheetData>
  <hyperlinks>
    <hyperlink ref="T2" r:id="rId1" xr:uid="{5AB12A18-80E8-4480-AEC8-BF5B513BCA63}"/>
    <hyperlink ref="T3" r:id="rId2" xr:uid="{7155978A-456B-4BD5-B12A-1C120CD9CDA9}"/>
    <hyperlink ref="T4" r:id="rId3" xr:uid="{BC710971-45A9-4F24-BB14-7D45EDBBB074}"/>
    <hyperlink ref="T5" r:id="rId4" xr:uid="{D639ADB8-0F34-477D-81C7-BE189B15096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9FF9436-718D-44B0-8E7B-48E53FB1A179}">
          <x14:formula1>
            <xm:f>Settings!$C$3:$C$10</xm:f>
          </x14:formula1>
          <xm:sqref>I2:I5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75767-7E5B-48BA-AF91-0A9DA45D4F6C}">
  <dimension ref="A1:AD6"/>
  <sheetViews>
    <sheetView workbookViewId="0">
      <selection activeCell="W2" sqref="W2:Z2"/>
    </sheetView>
  </sheetViews>
  <sheetFormatPr defaultRowHeight="12.75"/>
  <cols>
    <col min="1" max="1" width="5.42578125" bestFit="1" customWidth="1"/>
    <col min="2" max="2" width="16.42578125" bestFit="1" customWidth="1"/>
    <col min="3" max="3" width="9.85546875" customWidth="1"/>
    <col min="4" max="4" width="10.5703125" customWidth="1"/>
    <col min="5" max="5" width="17.140625" bestFit="1" customWidth="1"/>
    <col min="6" max="6" width="10.42578125" customWidth="1"/>
    <col min="7" max="7" width="10.5703125" customWidth="1"/>
    <col min="8" max="8" width="35.140625" customWidth="1"/>
    <col min="9" max="9" width="13.140625" customWidth="1"/>
    <col min="19" max="19" width="12.5703125" customWidth="1"/>
    <col min="20" max="20" width="31.140625" customWidth="1"/>
    <col min="24" max="24" width="10.5703125" customWidth="1"/>
    <col min="27" max="27" width="12.5703125" customWidth="1"/>
    <col min="28" max="29" width="10.5703125" customWidth="1"/>
    <col min="30" max="30" width="88.42578125" customWidth="1"/>
  </cols>
  <sheetData>
    <row r="1" spans="1:30" ht="60">
      <c r="A1" s="416" t="s">
        <v>234</v>
      </c>
      <c r="B1" s="57" t="s">
        <v>4</v>
      </c>
      <c r="C1" s="57" t="s">
        <v>2</v>
      </c>
      <c r="D1" s="57" t="s">
        <v>3</v>
      </c>
      <c r="E1" s="416" t="s">
        <v>235</v>
      </c>
      <c r="F1" s="416" t="s">
        <v>236</v>
      </c>
      <c r="G1" s="416" t="s">
        <v>237</v>
      </c>
      <c r="H1" s="416" t="s">
        <v>238</v>
      </c>
      <c r="I1" s="416" t="s">
        <v>239</v>
      </c>
      <c r="J1" s="57" t="s">
        <v>240</v>
      </c>
      <c r="K1" s="57" t="s">
        <v>241</v>
      </c>
      <c r="L1" s="57" t="s">
        <v>242</v>
      </c>
      <c r="M1" s="205" t="s">
        <v>243</v>
      </c>
      <c r="N1" s="205" t="s">
        <v>244</v>
      </c>
      <c r="O1" s="417" t="s">
        <v>245</v>
      </c>
      <c r="P1" s="417" t="s">
        <v>246</v>
      </c>
      <c r="Q1" s="417" t="s">
        <v>247</v>
      </c>
      <c r="R1" s="417" t="s">
        <v>248</v>
      </c>
      <c r="S1" s="417" t="s">
        <v>249</v>
      </c>
      <c r="T1" s="417" t="s">
        <v>250</v>
      </c>
      <c r="U1" s="417" t="s">
        <v>251</v>
      </c>
      <c r="V1" s="417" t="s">
        <v>252</v>
      </c>
      <c r="W1" s="417" t="s">
        <v>253</v>
      </c>
      <c r="X1" s="417" t="s">
        <v>254</v>
      </c>
      <c r="Y1" s="417" t="s">
        <v>255</v>
      </c>
      <c r="Z1" s="417" t="s">
        <v>256</v>
      </c>
      <c r="AA1" s="417" t="s">
        <v>257</v>
      </c>
      <c r="AB1" s="416" t="s">
        <v>258</v>
      </c>
      <c r="AC1" s="416" t="s">
        <v>259</v>
      </c>
      <c r="AD1" s="418" t="s">
        <v>260</v>
      </c>
    </row>
    <row r="2" spans="1:30" ht="55.5" customHeight="1">
      <c r="A2" s="412">
        <v>1</v>
      </c>
      <c r="B2" s="412" t="s">
        <v>5</v>
      </c>
      <c r="C2" s="421">
        <v>46128</v>
      </c>
      <c r="D2" s="421">
        <v>46142</v>
      </c>
      <c r="E2" s="427" t="s">
        <v>207</v>
      </c>
      <c r="F2" s="412" t="s">
        <v>219</v>
      </c>
      <c r="G2" s="72" t="s">
        <v>291</v>
      </c>
      <c r="H2" s="412" t="s">
        <v>292</v>
      </c>
      <c r="I2" s="436" t="s">
        <v>13</v>
      </c>
      <c r="J2" s="412">
        <v>3</v>
      </c>
      <c r="K2" s="99">
        <v>3</v>
      </c>
      <c r="L2" s="99">
        <v>46.5</v>
      </c>
      <c r="M2" s="458">
        <v>46133</v>
      </c>
      <c r="N2" s="421">
        <v>46136</v>
      </c>
      <c r="O2" s="470" t="s">
        <v>273</v>
      </c>
      <c r="P2" s="436" t="s">
        <v>274</v>
      </c>
      <c r="Q2" s="99"/>
      <c r="R2" s="436" t="s">
        <v>275</v>
      </c>
      <c r="S2" s="87"/>
      <c r="T2" s="72" t="s">
        <v>293</v>
      </c>
      <c r="U2" s="421">
        <v>46136</v>
      </c>
      <c r="V2" s="421">
        <v>46139</v>
      </c>
      <c r="W2" s="436" t="s">
        <v>275</v>
      </c>
      <c r="X2" s="99"/>
      <c r="Y2" s="436" t="s">
        <v>294</v>
      </c>
      <c r="Z2" s="421">
        <v>46139</v>
      </c>
      <c r="AA2" s="436"/>
      <c r="AB2" s="99"/>
      <c r="AC2" s="99"/>
      <c r="AD2" s="412" t="s">
        <v>295</v>
      </c>
    </row>
    <row r="3" spans="1:30" ht="56.25" customHeight="1">
      <c r="A3" s="412">
        <v>2</v>
      </c>
      <c r="B3" s="412" t="s">
        <v>5</v>
      </c>
      <c r="C3" s="421">
        <v>46128</v>
      </c>
      <c r="D3" s="421">
        <v>46142</v>
      </c>
      <c r="E3" s="427" t="s">
        <v>207</v>
      </c>
      <c r="F3" s="412" t="s">
        <v>219</v>
      </c>
      <c r="G3" s="72" t="s">
        <v>296</v>
      </c>
      <c r="H3" s="412" t="s">
        <v>297</v>
      </c>
      <c r="I3" s="436" t="s">
        <v>263</v>
      </c>
      <c r="J3" s="412">
        <v>5</v>
      </c>
      <c r="K3" s="99"/>
      <c r="L3" s="99">
        <v>45.5</v>
      </c>
      <c r="M3" s="458">
        <v>46139</v>
      </c>
      <c r="N3" s="421">
        <v>46141</v>
      </c>
      <c r="O3" s="470" t="s">
        <v>273</v>
      </c>
      <c r="P3" s="436" t="s">
        <v>274</v>
      </c>
      <c r="Q3" s="99"/>
      <c r="R3" s="436" t="s">
        <v>275</v>
      </c>
      <c r="S3" s="87"/>
      <c r="T3" s="72" t="s">
        <v>298</v>
      </c>
      <c r="U3" s="421">
        <v>46141</v>
      </c>
      <c r="V3" s="421">
        <v>46141</v>
      </c>
      <c r="W3" s="436" t="s">
        <v>275</v>
      </c>
      <c r="X3" s="99"/>
      <c r="Y3" s="436" t="s">
        <v>294</v>
      </c>
      <c r="Z3" s="421">
        <v>46141</v>
      </c>
      <c r="AA3" s="436"/>
      <c r="AB3" s="99"/>
      <c r="AC3" s="99"/>
      <c r="AD3" s="412" t="s">
        <v>299</v>
      </c>
    </row>
    <row r="4" spans="1:30" ht="56.25" customHeight="1">
      <c r="A4" s="412">
        <v>3</v>
      </c>
      <c r="B4" s="412" t="s">
        <v>5</v>
      </c>
      <c r="C4" s="421">
        <v>46128</v>
      </c>
      <c r="D4" s="421">
        <v>46142</v>
      </c>
      <c r="E4" s="427" t="s">
        <v>207</v>
      </c>
      <c r="F4" s="412" t="s">
        <v>219</v>
      </c>
      <c r="G4" s="72" t="s">
        <v>300</v>
      </c>
      <c r="H4" s="412" t="s">
        <v>301</v>
      </c>
      <c r="I4" s="436" t="s">
        <v>13</v>
      </c>
      <c r="J4" s="412">
        <v>2</v>
      </c>
      <c r="K4" s="99">
        <v>2</v>
      </c>
      <c r="L4" s="99">
        <v>39.5</v>
      </c>
      <c r="M4" s="458">
        <v>46127</v>
      </c>
      <c r="N4" s="421">
        <v>46133</v>
      </c>
      <c r="O4" s="470" t="s">
        <v>273</v>
      </c>
      <c r="P4" s="436" t="s">
        <v>274</v>
      </c>
      <c r="Q4" s="99"/>
      <c r="R4" s="436" t="s">
        <v>275</v>
      </c>
      <c r="S4" s="87"/>
      <c r="T4" s="72" t="s">
        <v>302</v>
      </c>
      <c r="U4" s="421">
        <v>46133</v>
      </c>
      <c r="V4" s="421">
        <v>46134</v>
      </c>
      <c r="W4" s="436" t="s">
        <v>275</v>
      </c>
      <c r="X4" s="99"/>
      <c r="Y4" s="436" t="s">
        <v>294</v>
      </c>
      <c r="Z4" s="421">
        <v>46134</v>
      </c>
      <c r="AA4" s="436"/>
      <c r="AB4" s="99"/>
      <c r="AC4" s="99"/>
      <c r="AD4" s="412" t="s">
        <v>303</v>
      </c>
    </row>
    <row r="5" spans="1:30" ht="55.5" customHeight="1">
      <c r="A5" s="412">
        <v>4</v>
      </c>
      <c r="B5" s="412" t="s">
        <v>5</v>
      </c>
      <c r="C5" s="421">
        <v>46128</v>
      </c>
      <c r="D5" s="421">
        <v>46142</v>
      </c>
      <c r="E5" s="427" t="s">
        <v>207</v>
      </c>
      <c r="F5" s="412" t="s">
        <v>275</v>
      </c>
      <c r="G5" s="72" t="s">
        <v>304</v>
      </c>
      <c r="H5" s="412" t="s">
        <v>305</v>
      </c>
      <c r="I5" s="436" t="s">
        <v>13</v>
      </c>
      <c r="J5" s="412">
        <v>1</v>
      </c>
      <c r="K5" s="99">
        <v>1</v>
      </c>
      <c r="L5" s="99">
        <v>9.5</v>
      </c>
      <c r="M5" s="458">
        <v>46128</v>
      </c>
      <c r="N5" s="421">
        <v>46129</v>
      </c>
      <c r="O5" s="470" t="s">
        <v>273</v>
      </c>
      <c r="P5" s="436" t="s">
        <v>274</v>
      </c>
      <c r="Q5" s="99"/>
      <c r="R5" s="436" t="s">
        <v>275</v>
      </c>
      <c r="S5" s="87"/>
      <c r="T5" s="72" t="s">
        <v>306</v>
      </c>
      <c r="U5" s="421">
        <v>46129</v>
      </c>
      <c r="V5" s="421">
        <v>46129</v>
      </c>
      <c r="W5" s="436" t="s">
        <v>275</v>
      </c>
      <c r="X5" s="99"/>
      <c r="Y5" s="436" t="s">
        <v>294</v>
      </c>
      <c r="Z5" s="421">
        <v>46129</v>
      </c>
      <c r="AA5" s="436"/>
      <c r="AB5" s="99"/>
      <c r="AC5" s="99"/>
      <c r="AD5" s="430" t="s">
        <v>307</v>
      </c>
    </row>
    <row r="6" spans="1:30" ht="54" customHeight="1">
      <c r="A6" s="412"/>
      <c r="B6" s="412"/>
      <c r="C6" s="421"/>
      <c r="D6" s="421"/>
      <c r="E6" s="427"/>
      <c r="F6" s="412"/>
      <c r="G6" s="72"/>
      <c r="H6" s="412"/>
      <c r="I6" s="436"/>
      <c r="J6" s="412"/>
      <c r="K6" s="99"/>
      <c r="L6" s="99"/>
      <c r="M6" s="458"/>
      <c r="N6" s="421"/>
      <c r="O6" s="470"/>
      <c r="P6" s="436"/>
      <c r="Q6" s="99"/>
      <c r="R6" s="436"/>
      <c r="S6" s="87"/>
      <c r="T6" s="72"/>
      <c r="U6" s="421"/>
      <c r="V6" s="421"/>
      <c r="W6" s="436"/>
      <c r="X6" s="99"/>
      <c r="Y6" s="436"/>
      <c r="Z6" s="421"/>
      <c r="AA6" s="436"/>
      <c r="AB6" s="99"/>
      <c r="AC6" s="99"/>
      <c r="AD6" s="412"/>
    </row>
  </sheetData>
  <hyperlinks>
    <hyperlink ref="T4" r:id="rId1" xr:uid="{A8983C46-7521-45C9-97A0-838037D18FDD}"/>
    <hyperlink ref="T5" r:id="rId2" xr:uid="{C7D35464-FB44-4F62-A39A-C90F439740E6}"/>
    <hyperlink ref="T2" r:id="rId3" xr:uid="{5145AF6C-BC0D-431D-AF18-C114CAF5F064}"/>
    <hyperlink ref="T3" r:id="rId4" xr:uid="{1876C53B-88D2-4698-9CFA-4F2074500A0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7550272-F8C8-482E-8890-B71C8139B64A}">
          <x14:formula1>
            <xm:f>Settings!$C$3:$C$10</xm:f>
          </x14:formula1>
          <xm:sqref>I2:I6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228C2-67F9-4E6B-B4B7-DFD2E0BA5400}">
  <dimension ref="A1:AD6"/>
  <sheetViews>
    <sheetView topLeftCell="C3" workbookViewId="0">
      <selection activeCell="I6" sqref="I6"/>
    </sheetView>
  </sheetViews>
  <sheetFormatPr defaultRowHeight="12.75"/>
  <cols>
    <col min="1" max="1" width="5.42578125" bestFit="1" customWidth="1"/>
    <col min="2" max="2" width="17.85546875" customWidth="1"/>
    <col min="3" max="3" width="10.5703125" customWidth="1"/>
    <col min="4" max="4" width="10" customWidth="1"/>
    <col min="5" max="5" width="20.42578125" customWidth="1"/>
    <col min="6" max="6" width="10.5703125" customWidth="1"/>
    <col min="7" max="7" width="11" customWidth="1"/>
    <col min="8" max="8" width="51.42578125" customWidth="1"/>
    <col min="9" max="9" width="12.140625" customWidth="1"/>
    <col min="13" max="13" width="10.28515625" customWidth="1"/>
    <col min="14" max="14" width="10" customWidth="1"/>
    <col min="19" max="19" width="12.140625" customWidth="1"/>
    <col min="20" max="20" width="32.85546875" customWidth="1"/>
    <col min="24" max="24" width="11.140625" customWidth="1"/>
    <col min="26" max="26" width="11.140625" customWidth="1"/>
    <col min="27" max="27" width="37.28515625" customWidth="1"/>
    <col min="28" max="28" width="10.7109375" customWidth="1"/>
    <col min="29" max="29" width="11.140625" customWidth="1"/>
    <col min="30" max="30" width="80.85546875" customWidth="1"/>
  </cols>
  <sheetData>
    <row r="1" spans="1:30" ht="48">
      <c r="A1" s="416" t="s">
        <v>234</v>
      </c>
      <c r="B1" s="57" t="s">
        <v>4</v>
      </c>
      <c r="C1" s="57" t="s">
        <v>2</v>
      </c>
      <c r="D1" s="57" t="s">
        <v>3</v>
      </c>
      <c r="E1" s="416" t="s">
        <v>235</v>
      </c>
      <c r="F1" s="416" t="s">
        <v>236</v>
      </c>
      <c r="G1" s="416" t="s">
        <v>237</v>
      </c>
      <c r="H1" s="416" t="s">
        <v>238</v>
      </c>
      <c r="I1" s="416" t="s">
        <v>239</v>
      </c>
      <c r="J1" s="57" t="s">
        <v>240</v>
      </c>
      <c r="K1" s="57" t="s">
        <v>241</v>
      </c>
      <c r="L1" s="57" t="s">
        <v>242</v>
      </c>
      <c r="M1" s="205" t="s">
        <v>243</v>
      </c>
      <c r="N1" s="205" t="s">
        <v>244</v>
      </c>
      <c r="O1" s="417" t="s">
        <v>245</v>
      </c>
      <c r="P1" s="417" t="s">
        <v>246</v>
      </c>
      <c r="Q1" s="417" t="s">
        <v>247</v>
      </c>
      <c r="R1" s="417" t="s">
        <v>248</v>
      </c>
      <c r="S1" s="417" t="s">
        <v>249</v>
      </c>
      <c r="T1" s="417" t="s">
        <v>250</v>
      </c>
      <c r="U1" s="417" t="s">
        <v>251</v>
      </c>
      <c r="V1" s="417" t="s">
        <v>252</v>
      </c>
      <c r="W1" s="417" t="s">
        <v>253</v>
      </c>
      <c r="X1" s="417" t="s">
        <v>254</v>
      </c>
      <c r="Y1" s="417" t="s">
        <v>255</v>
      </c>
      <c r="Z1" s="417" t="s">
        <v>256</v>
      </c>
      <c r="AA1" s="417" t="s">
        <v>257</v>
      </c>
      <c r="AB1" s="416" t="s">
        <v>258</v>
      </c>
      <c r="AC1" s="416" t="s">
        <v>259</v>
      </c>
      <c r="AD1" s="418" t="s">
        <v>260</v>
      </c>
    </row>
    <row r="2" spans="1:30" ht="61.5" customHeight="1">
      <c r="A2" s="412">
        <v>1</v>
      </c>
      <c r="B2" s="412" t="s">
        <v>5</v>
      </c>
      <c r="C2" s="421">
        <v>46114</v>
      </c>
      <c r="D2" s="421">
        <v>46128</v>
      </c>
      <c r="E2" s="427" t="s">
        <v>203</v>
      </c>
      <c r="F2" s="412" t="s">
        <v>275</v>
      </c>
      <c r="G2" s="72" t="s">
        <v>308</v>
      </c>
      <c r="H2" s="412" t="s">
        <v>309</v>
      </c>
      <c r="I2" s="436" t="s">
        <v>13</v>
      </c>
      <c r="J2" s="412">
        <v>3</v>
      </c>
      <c r="K2" s="295">
        <v>3</v>
      </c>
      <c r="L2" s="99">
        <v>26.5</v>
      </c>
      <c r="M2" s="421">
        <v>46122</v>
      </c>
      <c r="N2" s="421">
        <v>46126</v>
      </c>
      <c r="O2" s="436" t="s">
        <v>273</v>
      </c>
      <c r="P2" s="436" t="s">
        <v>274</v>
      </c>
      <c r="Q2" s="99"/>
      <c r="R2" s="436" t="s">
        <v>219</v>
      </c>
      <c r="S2" s="87"/>
      <c r="T2" s="72" t="s">
        <v>310</v>
      </c>
      <c r="U2" s="421">
        <v>46126</v>
      </c>
      <c r="V2" s="421">
        <v>46126</v>
      </c>
      <c r="W2" s="436" t="s">
        <v>275</v>
      </c>
      <c r="X2" s="99"/>
      <c r="Y2" s="436" t="s">
        <v>311</v>
      </c>
      <c r="Z2" s="421">
        <v>46126</v>
      </c>
      <c r="AA2" s="412"/>
      <c r="AB2" s="379"/>
      <c r="AC2" s="296"/>
      <c r="AD2" s="430" t="s">
        <v>312</v>
      </c>
    </row>
    <row r="3" spans="1:30" ht="96.75" customHeight="1">
      <c r="A3" s="412">
        <v>2</v>
      </c>
      <c r="B3" s="412" t="s">
        <v>5</v>
      </c>
      <c r="C3" s="421">
        <v>46114</v>
      </c>
      <c r="D3" s="421">
        <v>46128</v>
      </c>
      <c r="E3" s="427" t="s">
        <v>203</v>
      </c>
      <c r="F3" s="412" t="s">
        <v>219</v>
      </c>
      <c r="G3" s="72" t="s">
        <v>313</v>
      </c>
      <c r="H3" s="412" t="s">
        <v>314</v>
      </c>
      <c r="I3" s="436" t="s">
        <v>13</v>
      </c>
      <c r="J3" s="430">
        <v>3</v>
      </c>
      <c r="K3" s="430">
        <v>3</v>
      </c>
      <c r="L3" s="383">
        <v>32.5</v>
      </c>
      <c r="M3" s="421">
        <v>46121</v>
      </c>
      <c r="N3" s="431">
        <v>46125</v>
      </c>
      <c r="O3" s="436" t="s">
        <v>273</v>
      </c>
      <c r="P3" s="436" t="s">
        <v>274</v>
      </c>
      <c r="Q3" s="99"/>
      <c r="R3" s="436" t="s">
        <v>275</v>
      </c>
      <c r="S3" s="412"/>
      <c r="T3" s="72" t="s">
        <v>315</v>
      </c>
      <c r="U3" s="421">
        <v>46125</v>
      </c>
      <c r="V3" s="421">
        <v>46125</v>
      </c>
      <c r="W3" s="436" t="s">
        <v>275</v>
      </c>
      <c r="X3" s="296"/>
      <c r="Y3" s="436" t="s">
        <v>277</v>
      </c>
      <c r="Z3" s="421">
        <v>46125</v>
      </c>
      <c r="AA3" s="412"/>
      <c r="AB3" s="379"/>
      <c r="AC3" s="296"/>
      <c r="AD3" s="430" t="s">
        <v>316</v>
      </c>
    </row>
    <row r="4" spans="1:30" ht="58.5" customHeight="1">
      <c r="A4" s="430">
        <v>3</v>
      </c>
      <c r="B4" s="430" t="s">
        <v>5</v>
      </c>
      <c r="C4" s="421">
        <v>46114</v>
      </c>
      <c r="D4" s="421">
        <v>46128</v>
      </c>
      <c r="E4" s="427" t="s">
        <v>203</v>
      </c>
      <c r="F4" s="430" t="s">
        <v>219</v>
      </c>
      <c r="G4" s="104" t="s">
        <v>317</v>
      </c>
      <c r="H4" s="430" t="s">
        <v>318</v>
      </c>
      <c r="I4" s="436" t="s">
        <v>13</v>
      </c>
      <c r="J4" s="430">
        <v>3</v>
      </c>
      <c r="K4" s="296">
        <v>3</v>
      </c>
      <c r="L4" s="380">
        <v>26</v>
      </c>
      <c r="M4" s="431">
        <v>46118</v>
      </c>
      <c r="N4" s="431">
        <v>46120</v>
      </c>
      <c r="O4" s="436" t="s">
        <v>273</v>
      </c>
      <c r="P4" s="436" t="s">
        <v>274</v>
      </c>
      <c r="Q4" s="99"/>
      <c r="R4" s="436" t="s">
        <v>275</v>
      </c>
      <c r="S4" s="103"/>
      <c r="T4" s="104" t="s">
        <v>319</v>
      </c>
      <c r="U4" s="421">
        <v>46120</v>
      </c>
      <c r="V4" s="421">
        <v>46121</v>
      </c>
      <c r="W4" s="436" t="s">
        <v>275</v>
      </c>
      <c r="X4" s="296"/>
      <c r="Y4" s="436" t="s">
        <v>311</v>
      </c>
      <c r="Z4" s="421">
        <v>46122</v>
      </c>
      <c r="AA4" s="430"/>
      <c r="AB4" s="379"/>
      <c r="AC4" s="296"/>
      <c r="AD4" s="430" t="s">
        <v>312</v>
      </c>
    </row>
    <row r="5" spans="1:30" ht="60" customHeight="1">
      <c r="A5" s="412">
        <v>4</v>
      </c>
      <c r="B5" s="412" t="s">
        <v>5</v>
      </c>
      <c r="C5" s="421">
        <v>46114</v>
      </c>
      <c r="D5" s="421">
        <v>46128</v>
      </c>
      <c r="E5" s="427" t="s">
        <v>203</v>
      </c>
      <c r="F5" s="412" t="s">
        <v>320</v>
      </c>
      <c r="G5" s="72" t="s">
        <v>321</v>
      </c>
      <c r="H5" s="412" t="s">
        <v>322</v>
      </c>
      <c r="I5" s="436" t="s">
        <v>13</v>
      </c>
      <c r="J5" s="412">
        <v>2</v>
      </c>
      <c r="K5" s="295">
        <v>2</v>
      </c>
      <c r="L5" s="99">
        <v>35.5</v>
      </c>
      <c r="M5" s="458">
        <v>46113</v>
      </c>
      <c r="N5" s="421">
        <v>46118</v>
      </c>
      <c r="O5" s="470" t="s">
        <v>273</v>
      </c>
      <c r="P5" s="436" t="s">
        <v>274</v>
      </c>
      <c r="Q5" s="99"/>
      <c r="R5" s="436" t="s">
        <v>275</v>
      </c>
      <c r="S5" s="87"/>
      <c r="T5" s="72" t="s">
        <v>323</v>
      </c>
      <c r="U5" s="421">
        <v>46118</v>
      </c>
      <c r="V5" s="421">
        <v>46121</v>
      </c>
      <c r="W5" s="436" t="s">
        <v>275</v>
      </c>
      <c r="X5" s="99"/>
      <c r="Y5" s="436" t="s">
        <v>311</v>
      </c>
      <c r="Z5" s="421">
        <v>46121</v>
      </c>
      <c r="AA5" s="436" t="s">
        <v>324</v>
      </c>
      <c r="AB5" s="99"/>
      <c r="AC5" s="99"/>
      <c r="AD5" s="430" t="s">
        <v>312</v>
      </c>
    </row>
    <row r="6" spans="1:30" ht="48" customHeight="1">
      <c r="A6" s="412">
        <v>5</v>
      </c>
      <c r="B6" s="412" t="s">
        <v>5</v>
      </c>
      <c r="C6" s="421">
        <v>46114</v>
      </c>
      <c r="D6" s="421">
        <v>46128</v>
      </c>
      <c r="E6" s="427" t="s">
        <v>325</v>
      </c>
      <c r="F6" s="412" t="s">
        <v>320</v>
      </c>
      <c r="G6" s="72" t="s">
        <v>300</v>
      </c>
      <c r="H6" s="412" t="s">
        <v>301</v>
      </c>
      <c r="I6" s="436" t="s">
        <v>263</v>
      </c>
      <c r="J6" s="412">
        <v>3</v>
      </c>
      <c r="K6" s="99"/>
      <c r="L6" s="99">
        <v>9</v>
      </c>
      <c r="M6" s="458">
        <v>46127</v>
      </c>
      <c r="N6" s="421"/>
      <c r="O6" s="470"/>
      <c r="P6" s="436"/>
      <c r="Q6" s="99"/>
      <c r="R6" s="436"/>
      <c r="S6" s="87"/>
      <c r="T6" s="72"/>
      <c r="U6" s="421"/>
      <c r="V6" s="421"/>
      <c r="W6" s="436"/>
      <c r="X6" s="99"/>
      <c r="Y6" s="436"/>
      <c r="Z6" s="421"/>
      <c r="AA6" s="436"/>
      <c r="AB6" s="99"/>
      <c r="AC6" s="99"/>
      <c r="AD6" s="412" t="s">
        <v>263</v>
      </c>
    </row>
  </sheetData>
  <hyperlinks>
    <hyperlink ref="T5" r:id="rId1" xr:uid="{D2B613CC-8E87-498D-B9D8-17C699DBD8ED}"/>
    <hyperlink ref="T4" r:id="rId2" xr:uid="{C7275F93-1680-46A1-86E2-CB90DF03E8DD}"/>
    <hyperlink ref="T3" r:id="rId3" xr:uid="{7B60CFC0-7E38-48E2-9E84-279C02B76694}"/>
    <hyperlink ref="T2" r:id="rId4" xr:uid="{9F34C3BE-2084-493C-9D9C-CA218CBA40F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D9B29B7-819F-4EB7-80A8-20B2FEB7E98E}">
          <x14:formula1>
            <xm:f>Settings!$C$3:$C$10</xm:f>
          </x14:formula1>
          <xm:sqref>I2:I6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CC917-72DD-4DBC-BB47-5B63F3B0AFD6}">
  <dimension ref="A1:AF6"/>
  <sheetViews>
    <sheetView topLeftCell="A2" workbookViewId="0">
      <selection activeCell="F6" sqref="F6"/>
    </sheetView>
  </sheetViews>
  <sheetFormatPr defaultRowHeight="12.75"/>
  <cols>
    <col min="1" max="1" width="5.42578125" bestFit="1" customWidth="1"/>
    <col min="2" max="2" width="18" customWidth="1"/>
    <col min="3" max="3" width="10.5703125" customWidth="1"/>
    <col min="4" max="4" width="11.28515625" customWidth="1"/>
    <col min="5" max="5" width="19.7109375" customWidth="1"/>
    <col min="6" max="6" width="10.140625" bestFit="1" customWidth="1"/>
    <col min="7" max="7" width="11.5703125" customWidth="1"/>
    <col min="8" max="8" width="54.7109375" customWidth="1"/>
    <col min="9" max="9" width="12.42578125" customWidth="1"/>
    <col min="19" max="19" width="11.5703125" customWidth="1"/>
    <col min="20" max="20" width="33.85546875" style="43" customWidth="1"/>
    <col min="21" max="21" width="9.140625" customWidth="1"/>
    <col min="23" max="23" width="10.7109375" customWidth="1"/>
    <col min="24" max="24" width="11.7109375" customWidth="1"/>
    <col min="25" max="25" width="15.42578125" customWidth="1"/>
    <col min="26" max="26" width="10.42578125" customWidth="1"/>
    <col min="27" max="27" width="11.5703125" customWidth="1"/>
    <col min="28" max="28" width="10.28515625" customWidth="1"/>
    <col min="29" max="29" width="10.5703125" customWidth="1"/>
    <col min="30" max="30" width="37.5703125" customWidth="1"/>
    <col min="31" max="31" width="31.7109375" customWidth="1"/>
    <col min="32" max="32" width="32.7109375" customWidth="1"/>
  </cols>
  <sheetData>
    <row r="1" spans="1:32" ht="48">
      <c r="A1" s="416" t="s">
        <v>234</v>
      </c>
      <c r="B1" s="57" t="s">
        <v>4</v>
      </c>
      <c r="C1" s="57" t="s">
        <v>2</v>
      </c>
      <c r="D1" s="57" t="s">
        <v>3</v>
      </c>
      <c r="E1" s="416" t="s">
        <v>235</v>
      </c>
      <c r="F1" s="416" t="s">
        <v>236</v>
      </c>
      <c r="G1" s="416" t="s">
        <v>237</v>
      </c>
      <c r="H1" s="416" t="s">
        <v>238</v>
      </c>
      <c r="I1" s="416" t="s">
        <v>239</v>
      </c>
      <c r="J1" s="57" t="s">
        <v>240</v>
      </c>
      <c r="K1" s="57" t="s">
        <v>241</v>
      </c>
      <c r="L1" s="57" t="s">
        <v>242</v>
      </c>
      <c r="M1" s="205" t="s">
        <v>243</v>
      </c>
      <c r="N1" s="205" t="s">
        <v>244</v>
      </c>
      <c r="O1" s="417" t="s">
        <v>245</v>
      </c>
      <c r="P1" s="417" t="s">
        <v>246</v>
      </c>
      <c r="Q1" s="417" t="s">
        <v>247</v>
      </c>
      <c r="R1" s="417" t="s">
        <v>248</v>
      </c>
      <c r="S1" s="417" t="s">
        <v>249</v>
      </c>
      <c r="T1" s="417" t="s">
        <v>250</v>
      </c>
      <c r="U1" s="417" t="s">
        <v>251</v>
      </c>
      <c r="V1" s="417" t="s">
        <v>252</v>
      </c>
      <c r="W1" s="417" t="s">
        <v>253</v>
      </c>
      <c r="X1" s="417" t="s">
        <v>254</v>
      </c>
      <c r="Y1" s="417" t="s">
        <v>255</v>
      </c>
      <c r="Z1" s="417" t="s">
        <v>256</v>
      </c>
      <c r="AA1" s="417" t="s">
        <v>257</v>
      </c>
      <c r="AB1" s="416" t="s">
        <v>258</v>
      </c>
      <c r="AC1" s="416" t="s">
        <v>259</v>
      </c>
      <c r="AD1" s="418" t="s">
        <v>326</v>
      </c>
      <c r="AE1" s="418" t="s">
        <v>327</v>
      </c>
      <c r="AF1" s="418" t="s">
        <v>17</v>
      </c>
    </row>
    <row r="2" spans="1:32" ht="51.75" customHeight="1">
      <c r="A2" s="412">
        <v>1</v>
      </c>
      <c r="B2" s="412" t="s">
        <v>5</v>
      </c>
      <c r="C2" s="421">
        <v>46100</v>
      </c>
      <c r="D2" s="421">
        <v>46114</v>
      </c>
      <c r="E2" s="427" t="s">
        <v>198</v>
      </c>
      <c r="F2" s="412" t="s">
        <v>219</v>
      </c>
      <c r="G2" s="72" t="s">
        <v>328</v>
      </c>
      <c r="H2" s="412" t="s">
        <v>329</v>
      </c>
      <c r="I2" s="436" t="s">
        <v>13</v>
      </c>
      <c r="J2" s="412">
        <v>3</v>
      </c>
      <c r="K2" s="295">
        <v>3</v>
      </c>
      <c r="L2" s="99">
        <v>36</v>
      </c>
      <c r="M2" s="421">
        <v>46101</v>
      </c>
      <c r="N2" s="421">
        <v>46104</v>
      </c>
      <c r="O2" s="436" t="s">
        <v>273</v>
      </c>
      <c r="P2" s="436" t="s">
        <v>274</v>
      </c>
      <c r="Q2" s="99"/>
      <c r="R2" s="436" t="s">
        <v>275</v>
      </c>
      <c r="S2" s="87"/>
      <c r="T2" s="72" t="s">
        <v>330</v>
      </c>
      <c r="U2" s="421">
        <v>46104</v>
      </c>
      <c r="V2" s="421">
        <v>46104</v>
      </c>
      <c r="W2" s="436" t="s">
        <v>275</v>
      </c>
      <c r="X2" s="99"/>
      <c r="Y2" s="295" t="s">
        <v>277</v>
      </c>
      <c r="Z2" s="421">
        <v>46104</v>
      </c>
      <c r="AA2" s="412"/>
      <c r="AB2" s="379"/>
      <c r="AC2" s="296"/>
      <c r="AD2" s="412" t="s">
        <v>331</v>
      </c>
      <c r="AE2" s="412" t="s">
        <v>332</v>
      </c>
      <c r="AF2" s="412" t="s">
        <v>333</v>
      </c>
    </row>
    <row r="3" spans="1:32" ht="59.25" customHeight="1">
      <c r="A3" s="412">
        <v>2</v>
      </c>
      <c r="B3" s="412" t="s">
        <v>5</v>
      </c>
      <c r="C3" s="421">
        <v>46100</v>
      </c>
      <c r="D3" s="421">
        <v>46114</v>
      </c>
      <c r="E3" s="427" t="s">
        <v>198</v>
      </c>
      <c r="F3" s="412" t="s">
        <v>219</v>
      </c>
      <c r="G3" s="72" t="s">
        <v>334</v>
      </c>
      <c r="H3" s="412" t="s">
        <v>335</v>
      </c>
      <c r="I3" s="436" t="s">
        <v>13</v>
      </c>
      <c r="J3" s="430">
        <v>2</v>
      </c>
      <c r="K3" s="430">
        <v>2</v>
      </c>
      <c r="L3" s="471">
        <v>38.5</v>
      </c>
      <c r="M3" s="421">
        <v>46108</v>
      </c>
      <c r="N3" s="421">
        <v>46112</v>
      </c>
      <c r="O3" s="436" t="s">
        <v>273</v>
      </c>
      <c r="P3" s="412" t="s">
        <v>274</v>
      </c>
      <c r="Q3" s="99"/>
      <c r="R3" s="412" t="s">
        <v>275</v>
      </c>
      <c r="S3" s="412"/>
      <c r="T3" s="72" t="s">
        <v>336</v>
      </c>
      <c r="U3" s="421">
        <v>46112</v>
      </c>
      <c r="V3" s="421">
        <v>46113</v>
      </c>
      <c r="W3" s="295" t="s">
        <v>275</v>
      </c>
      <c r="X3" s="295"/>
      <c r="Y3" s="295" t="s">
        <v>277</v>
      </c>
      <c r="Z3" s="421">
        <v>46113</v>
      </c>
      <c r="AA3" s="412"/>
      <c r="AB3" s="379"/>
      <c r="AC3" s="296"/>
      <c r="AD3" s="412" t="s">
        <v>337</v>
      </c>
      <c r="AE3" s="412" t="s">
        <v>338</v>
      </c>
      <c r="AF3" s="296"/>
    </row>
    <row r="4" spans="1:32" ht="60" customHeight="1">
      <c r="A4" s="430">
        <v>3</v>
      </c>
      <c r="B4" s="430" t="s">
        <v>5</v>
      </c>
      <c r="C4" s="431">
        <v>46100</v>
      </c>
      <c r="D4" s="431">
        <v>46114</v>
      </c>
      <c r="E4" s="432" t="s">
        <v>198</v>
      </c>
      <c r="F4" s="430" t="s">
        <v>219</v>
      </c>
      <c r="G4" s="104" t="s">
        <v>339</v>
      </c>
      <c r="H4" s="430" t="s">
        <v>340</v>
      </c>
      <c r="I4" s="436" t="s">
        <v>13</v>
      </c>
      <c r="J4" s="430">
        <v>2</v>
      </c>
      <c r="K4" s="296">
        <v>2</v>
      </c>
      <c r="L4" s="380">
        <v>43</v>
      </c>
      <c r="M4" s="431">
        <v>46105</v>
      </c>
      <c r="N4" s="431">
        <v>46107</v>
      </c>
      <c r="O4" s="436" t="s">
        <v>273</v>
      </c>
      <c r="P4" s="436" t="s">
        <v>274</v>
      </c>
      <c r="Q4" s="99"/>
      <c r="R4" s="436" t="s">
        <v>275</v>
      </c>
      <c r="S4" s="103"/>
      <c r="T4" s="104" t="s">
        <v>341</v>
      </c>
      <c r="U4" s="421">
        <v>46107</v>
      </c>
      <c r="V4" s="421">
        <v>46107</v>
      </c>
      <c r="W4" s="436" t="s">
        <v>275</v>
      </c>
      <c r="X4" s="296"/>
      <c r="Y4" s="295" t="s">
        <v>277</v>
      </c>
      <c r="Z4" s="421">
        <v>46107</v>
      </c>
      <c r="AA4" s="430"/>
      <c r="AB4" s="379"/>
      <c r="AC4" s="296"/>
      <c r="AD4" s="412" t="s">
        <v>342</v>
      </c>
      <c r="AE4" s="430" t="s">
        <v>343</v>
      </c>
      <c r="AF4" s="430"/>
    </row>
    <row r="5" spans="1:32" ht="60.75" customHeight="1">
      <c r="A5" s="412">
        <v>4</v>
      </c>
      <c r="B5" s="412" t="s">
        <v>5</v>
      </c>
      <c r="C5" s="421">
        <v>46100</v>
      </c>
      <c r="D5" s="421">
        <v>46114</v>
      </c>
      <c r="E5" s="427" t="s">
        <v>198</v>
      </c>
      <c r="F5" s="412" t="s">
        <v>275</v>
      </c>
      <c r="G5" s="72" t="s">
        <v>344</v>
      </c>
      <c r="H5" s="412" t="s">
        <v>345</v>
      </c>
      <c r="I5" s="436" t="s">
        <v>13</v>
      </c>
      <c r="J5" s="412">
        <v>5</v>
      </c>
      <c r="K5" s="295">
        <v>5</v>
      </c>
      <c r="L5" s="99">
        <v>22.5</v>
      </c>
      <c r="M5" s="458">
        <v>46101</v>
      </c>
      <c r="N5" s="421">
        <v>46108</v>
      </c>
      <c r="O5" s="470" t="s">
        <v>273</v>
      </c>
      <c r="P5" s="436" t="s">
        <v>274</v>
      </c>
      <c r="Q5" s="99"/>
      <c r="R5" s="412" t="s">
        <v>219</v>
      </c>
      <c r="S5" s="87"/>
      <c r="T5" s="72" t="s">
        <v>336</v>
      </c>
      <c r="U5" s="421">
        <v>46112</v>
      </c>
      <c r="V5" s="421">
        <v>46112</v>
      </c>
      <c r="W5" s="436" t="s">
        <v>275</v>
      </c>
      <c r="X5" s="99"/>
      <c r="Y5" s="295" t="s">
        <v>277</v>
      </c>
      <c r="Z5" s="421">
        <v>46112</v>
      </c>
      <c r="AA5" s="87"/>
      <c r="AB5" s="99"/>
      <c r="AC5" s="99"/>
      <c r="AD5" s="412" t="s">
        <v>346</v>
      </c>
      <c r="AE5" s="430" t="s">
        <v>347</v>
      </c>
      <c r="AF5" s="99"/>
    </row>
    <row r="6" spans="1:32" ht="48.75" customHeight="1">
      <c r="A6" s="412">
        <v>4</v>
      </c>
      <c r="B6" s="412" t="s">
        <v>5</v>
      </c>
      <c r="C6" s="421">
        <v>46100</v>
      </c>
      <c r="D6" s="421">
        <v>46114</v>
      </c>
      <c r="E6" s="427" t="s">
        <v>348</v>
      </c>
      <c r="F6" s="412" t="s">
        <v>219</v>
      </c>
      <c r="G6" s="72" t="s">
        <v>321</v>
      </c>
      <c r="H6" s="412" t="s">
        <v>322</v>
      </c>
      <c r="I6" s="436" t="s">
        <v>263</v>
      </c>
      <c r="J6" s="412">
        <v>2</v>
      </c>
      <c r="K6" s="295">
        <v>1</v>
      </c>
      <c r="L6" s="99">
        <v>10.5</v>
      </c>
      <c r="M6" s="458">
        <v>46113</v>
      </c>
      <c r="N6" s="421"/>
      <c r="O6" s="470"/>
      <c r="P6" s="436"/>
      <c r="Q6" s="99"/>
      <c r="R6" s="412"/>
      <c r="S6" s="87"/>
      <c r="T6" s="72"/>
      <c r="U6" s="421"/>
      <c r="V6" s="421"/>
      <c r="W6" s="436"/>
      <c r="X6" s="99"/>
      <c r="Y6" s="295"/>
      <c r="Z6" s="421"/>
      <c r="AA6" s="87"/>
      <c r="AB6" s="99"/>
      <c r="AC6" s="99"/>
      <c r="AD6" s="412"/>
      <c r="AE6" s="412"/>
      <c r="AF6" s="99"/>
    </row>
  </sheetData>
  <hyperlinks>
    <hyperlink ref="T2" r:id="rId1" xr:uid="{6FE2C70A-47FF-4878-BD94-3FCE46408D95}"/>
    <hyperlink ref="T4" r:id="rId2" xr:uid="{609E4951-4B49-44ED-B2E7-2A86E51E28AF}"/>
    <hyperlink ref="T3" r:id="rId3" xr:uid="{D973C7EC-008E-41EF-A49F-A8EAC702F28F}"/>
    <hyperlink ref="T5" r:id="rId4" xr:uid="{B4E0B6B0-8381-4147-8E13-14633B60BC4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8D704DF-DFE3-4357-A078-46D2BAF07242}">
          <x14:formula1>
            <xm:f>Settings!$C$3:$C$10</xm:f>
          </x14:formula1>
          <xm:sqref>I2:I6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6D3EC-F39D-43B2-8B7B-8CD877848AE2}">
  <dimension ref="A1:AF2"/>
  <sheetViews>
    <sheetView workbookViewId="0">
      <selection activeCell="D1" sqref="D1"/>
    </sheetView>
  </sheetViews>
  <sheetFormatPr defaultRowHeight="12.75"/>
  <cols>
    <col min="3" max="3" width="13.28515625" customWidth="1"/>
    <col min="4" max="4" width="10.7109375" bestFit="1" customWidth="1"/>
    <col min="7" max="7" width="27.7109375" customWidth="1"/>
  </cols>
  <sheetData>
    <row r="1" spans="1:32" ht="48">
      <c r="A1" s="1" t="s">
        <v>234</v>
      </c>
      <c r="B1" s="1" t="s">
        <v>349</v>
      </c>
      <c r="C1" s="208" t="s">
        <v>350</v>
      </c>
      <c r="D1" s="208" t="s">
        <v>351</v>
      </c>
      <c r="E1" s="1" t="s">
        <v>236</v>
      </c>
      <c r="F1" s="208" t="s">
        <v>352</v>
      </c>
      <c r="G1" s="208" t="s">
        <v>353</v>
      </c>
      <c r="H1" s="1" t="s">
        <v>354</v>
      </c>
      <c r="I1" s="1" t="s">
        <v>355</v>
      </c>
      <c r="J1" s="1" t="s">
        <v>356</v>
      </c>
      <c r="K1" s="1" t="s">
        <v>239</v>
      </c>
      <c r="L1" s="209" t="s">
        <v>357</v>
      </c>
      <c r="M1" s="3" t="s">
        <v>260</v>
      </c>
      <c r="N1" s="3" t="s">
        <v>358</v>
      </c>
      <c r="O1" s="3" t="s">
        <v>359</v>
      </c>
      <c r="P1" s="28"/>
      <c r="Q1" s="28"/>
      <c r="R1" s="28"/>
      <c r="S1" s="28"/>
      <c r="T1" s="28"/>
      <c r="U1" s="28"/>
      <c r="V1" s="28"/>
      <c r="W1" s="28"/>
      <c r="X1" s="28"/>
      <c r="Y1" s="28"/>
      <c r="Z1" s="28"/>
      <c r="AA1" s="28"/>
      <c r="AB1" s="28"/>
      <c r="AD1" s="418" t="s">
        <v>326</v>
      </c>
      <c r="AE1" s="418" t="s">
        <v>327</v>
      </c>
      <c r="AF1" s="418" t="s">
        <v>17</v>
      </c>
    </row>
    <row r="2" spans="1:32" ht="48">
      <c r="A2" s="99"/>
      <c r="B2" s="99"/>
      <c r="C2" s="99"/>
      <c r="D2" s="99"/>
      <c r="E2" s="99"/>
      <c r="F2" s="457"/>
      <c r="G2" s="87" t="s">
        <v>360</v>
      </c>
      <c r="H2" s="284"/>
      <c r="I2" s="284"/>
      <c r="J2" s="284"/>
      <c r="K2" s="284"/>
      <c r="L2" s="284"/>
      <c r="M2" s="87"/>
      <c r="N2" s="109"/>
      <c r="O2" s="87"/>
      <c r="AD2" s="412"/>
      <c r="AE2" s="412" t="s">
        <v>361</v>
      </c>
      <c r="AF2" s="412"/>
    </row>
  </sheetData>
  <dataValidations count="5">
    <dataValidation type="list" allowBlank="1" showErrorMessage="1" sqref="F2" xr:uid="{F947B90E-A853-40B0-A6BC-DC35D1446A8D}">
      <formula1>"Bounceback,Defect,None"</formula1>
    </dataValidation>
    <dataValidation type="list" allowBlank="1" showErrorMessage="1" sqref="J2" xr:uid="{92787153-96FC-4490-95C9-1F3A8D94923A}">
      <formula1>"Internal,External"</formula1>
    </dataValidation>
    <dataValidation type="list" allowBlank="1" showErrorMessage="1" sqref="H2" xr:uid="{3E925AFC-91DE-4756-AF3F-A8264EEB7E85}">
      <formula1>"Minor,Significant,Major"</formula1>
    </dataValidation>
    <dataValidation type="list" allowBlank="1" showErrorMessage="1" sqref="I2" xr:uid="{57D2DE01-7583-4EFF-871C-D2EFAD15CD95}">
      <formula1>"Manual, Automation"</formula1>
    </dataValidation>
    <dataValidation type="list" allowBlank="1" showErrorMessage="1" sqref="K2" xr:uid="{CD02E95E-8911-4093-90EA-6712072D75E0}">
      <formula1>"Open,Inprogress,Closed"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9F340-D4C6-430A-A897-620005836229}">
  <dimension ref="A1:AF6"/>
  <sheetViews>
    <sheetView topLeftCell="A4" workbookViewId="0">
      <selection activeCell="E6" sqref="E6"/>
    </sheetView>
  </sheetViews>
  <sheetFormatPr defaultRowHeight="12.75"/>
  <cols>
    <col min="1" max="1" width="7.140625" customWidth="1"/>
    <col min="2" max="2" width="17.85546875" customWidth="1"/>
    <col min="3" max="3" width="11.5703125" customWidth="1"/>
    <col min="4" max="4" width="11.28515625" customWidth="1"/>
    <col min="5" max="5" width="19.28515625" customWidth="1"/>
    <col min="6" max="7" width="13.140625" customWidth="1"/>
    <col min="8" max="8" width="34.7109375" customWidth="1"/>
    <col min="9" max="9" width="17.5703125" customWidth="1"/>
    <col min="10" max="10" width="10.28515625" customWidth="1"/>
    <col min="13" max="13" width="10.5703125" customWidth="1"/>
    <col min="14" max="14" width="10.42578125" customWidth="1"/>
    <col min="16" max="16" width="10" customWidth="1"/>
    <col min="17" max="17" width="11.140625" customWidth="1"/>
    <col min="18" max="18" width="10.42578125" customWidth="1"/>
    <col min="19" max="19" width="17.28515625" style="43" customWidth="1"/>
    <col min="20" max="20" width="33.140625" customWidth="1"/>
    <col min="23" max="23" width="11" customWidth="1"/>
    <col min="24" max="24" width="10.85546875" customWidth="1"/>
    <col min="25" max="25" width="18.140625" customWidth="1"/>
    <col min="26" max="26" width="14.42578125" customWidth="1"/>
    <col min="27" max="27" width="37" style="43" customWidth="1"/>
    <col min="28" max="28" width="11.42578125" customWidth="1"/>
    <col min="29" max="29" width="11.28515625" customWidth="1"/>
    <col min="30" max="30" width="36.7109375" customWidth="1"/>
    <col min="31" max="31" width="30.140625" customWidth="1"/>
    <col min="32" max="32" width="37.5703125" customWidth="1"/>
  </cols>
  <sheetData>
    <row r="1" spans="1:32" ht="48">
      <c r="A1" s="416" t="s">
        <v>234</v>
      </c>
      <c r="B1" s="57" t="s">
        <v>4</v>
      </c>
      <c r="C1" s="57" t="s">
        <v>2</v>
      </c>
      <c r="D1" s="57" t="s">
        <v>3</v>
      </c>
      <c r="E1" s="416" t="s">
        <v>235</v>
      </c>
      <c r="F1" s="416" t="s">
        <v>236</v>
      </c>
      <c r="G1" s="416" t="s">
        <v>237</v>
      </c>
      <c r="H1" s="416" t="s">
        <v>238</v>
      </c>
      <c r="I1" s="416" t="s">
        <v>239</v>
      </c>
      <c r="J1" s="57" t="s">
        <v>240</v>
      </c>
      <c r="K1" s="57" t="s">
        <v>241</v>
      </c>
      <c r="L1" s="57" t="s">
        <v>242</v>
      </c>
      <c r="M1" s="205" t="s">
        <v>243</v>
      </c>
      <c r="N1" s="205" t="s">
        <v>244</v>
      </c>
      <c r="O1" s="417" t="s">
        <v>245</v>
      </c>
      <c r="P1" s="417" t="s">
        <v>246</v>
      </c>
      <c r="Q1" s="417" t="s">
        <v>247</v>
      </c>
      <c r="R1" s="417" t="s">
        <v>248</v>
      </c>
      <c r="S1" s="417" t="s">
        <v>249</v>
      </c>
      <c r="T1" s="417" t="s">
        <v>250</v>
      </c>
      <c r="U1" s="417" t="s">
        <v>251</v>
      </c>
      <c r="V1" s="417" t="s">
        <v>252</v>
      </c>
      <c r="W1" s="417" t="s">
        <v>253</v>
      </c>
      <c r="X1" s="417" t="s">
        <v>254</v>
      </c>
      <c r="Y1" s="417" t="s">
        <v>255</v>
      </c>
      <c r="Z1" s="417" t="s">
        <v>256</v>
      </c>
      <c r="AA1" s="417" t="s">
        <v>257</v>
      </c>
      <c r="AB1" s="416" t="s">
        <v>258</v>
      </c>
      <c r="AC1" s="416" t="s">
        <v>259</v>
      </c>
      <c r="AD1" s="418" t="s">
        <v>326</v>
      </c>
      <c r="AE1" s="418" t="s">
        <v>327</v>
      </c>
      <c r="AF1" s="418" t="s">
        <v>17</v>
      </c>
    </row>
    <row r="2" spans="1:32" ht="66.75" customHeight="1">
      <c r="A2" s="412">
        <v>1</v>
      </c>
      <c r="B2" s="412" t="s">
        <v>5</v>
      </c>
      <c r="C2" s="421">
        <v>46086</v>
      </c>
      <c r="D2" s="421">
        <v>46100</v>
      </c>
      <c r="E2" s="427" t="s">
        <v>193</v>
      </c>
      <c r="F2" s="412" t="s">
        <v>219</v>
      </c>
      <c r="G2" s="72" t="s">
        <v>362</v>
      </c>
      <c r="H2" s="412" t="s">
        <v>363</v>
      </c>
      <c r="I2" s="412" t="s">
        <v>13</v>
      </c>
      <c r="J2" s="430">
        <v>1</v>
      </c>
      <c r="K2" s="430">
        <v>1</v>
      </c>
      <c r="L2" s="383">
        <v>6</v>
      </c>
      <c r="M2" s="421"/>
      <c r="N2" s="421"/>
      <c r="O2" s="295" t="s">
        <v>273</v>
      </c>
      <c r="P2" s="412" t="s">
        <v>274</v>
      </c>
      <c r="Q2" s="99"/>
      <c r="R2" s="412" t="s">
        <v>275</v>
      </c>
      <c r="S2" s="412"/>
      <c r="T2" s="72" t="s">
        <v>364</v>
      </c>
      <c r="U2" s="421">
        <v>46085</v>
      </c>
      <c r="V2" s="421"/>
      <c r="W2" s="295" t="s">
        <v>275</v>
      </c>
      <c r="X2" s="295"/>
      <c r="Y2" s="98"/>
      <c r="Z2" s="421"/>
      <c r="AA2" s="412"/>
      <c r="AB2" s="379"/>
      <c r="AC2" s="296"/>
      <c r="AD2" s="412" t="s">
        <v>365</v>
      </c>
      <c r="AE2" s="412" t="s">
        <v>366</v>
      </c>
      <c r="AF2" s="296"/>
    </row>
    <row r="3" spans="1:32" ht="73.5" customHeight="1">
      <c r="A3" s="412">
        <v>2</v>
      </c>
      <c r="B3" s="412" t="s">
        <v>5</v>
      </c>
      <c r="C3" s="421">
        <v>46086</v>
      </c>
      <c r="D3" s="421">
        <v>46100</v>
      </c>
      <c r="E3" s="427" t="s">
        <v>193</v>
      </c>
      <c r="F3" s="412" t="s">
        <v>367</v>
      </c>
      <c r="G3" s="72" t="s">
        <v>368</v>
      </c>
      <c r="H3" s="412" t="s">
        <v>369</v>
      </c>
      <c r="I3" s="412" t="s">
        <v>13</v>
      </c>
      <c r="J3" s="412">
        <v>5</v>
      </c>
      <c r="K3" s="296">
        <v>5</v>
      </c>
      <c r="L3" s="380">
        <v>17.5</v>
      </c>
      <c r="M3" s="421">
        <v>46087</v>
      </c>
      <c r="N3" s="421">
        <v>46094</v>
      </c>
      <c r="O3" s="295" t="s">
        <v>273</v>
      </c>
      <c r="P3" s="412" t="s">
        <v>274</v>
      </c>
      <c r="Q3" s="99"/>
      <c r="R3" s="412" t="s">
        <v>219</v>
      </c>
      <c r="S3" s="87"/>
      <c r="T3" s="72" t="s">
        <v>370</v>
      </c>
      <c r="U3" s="421">
        <v>46097</v>
      </c>
      <c r="V3" s="421">
        <v>46097</v>
      </c>
      <c r="W3" s="295" t="s">
        <v>219</v>
      </c>
      <c r="X3" s="295"/>
      <c r="Y3" s="295" t="s">
        <v>277</v>
      </c>
      <c r="Z3" s="421">
        <v>46097</v>
      </c>
      <c r="AA3" s="412"/>
      <c r="AB3" s="379"/>
      <c r="AC3" s="296"/>
      <c r="AD3" s="412" t="s">
        <v>371</v>
      </c>
      <c r="AE3" s="412" t="s">
        <v>372</v>
      </c>
      <c r="AF3" s="430"/>
    </row>
    <row r="4" spans="1:32" ht="63.75" customHeight="1">
      <c r="A4" s="412">
        <v>3</v>
      </c>
      <c r="B4" s="412" t="s">
        <v>5</v>
      </c>
      <c r="C4" s="421">
        <v>46086</v>
      </c>
      <c r="D4" s="421">
        <v>46100</v>
      </c>
      <c r="E4" s="427" t="s">
        <v>193</v>
      </c>
      <c r="F4" s="412" t="s">
        <v>219</v>
      </c>
      <c r="G4" s="72" t="s">
        <v>373</v>
      </c>
      <c r="H4" s="412" t="s">
        <v>374</v>
      </c>
      <c r="I4" s="412" t="s">
        <v>13</v>
      </c>
      <c r="J4" s="436">
        <v>3</v>
      </c>
      <c r="K4" s="295">
        <v>3</v>
      </c>
      <c r="L4" s="357">
        <v>40.5</v>
      </c>
      <c r="M4" s="421">
        <v>46087</v>
      </c>
      <c r="N4" s="421">
        <v>46091</v>
      </c>
      <c r="O4" s="295" t="s">
        <v>273</v>
      </c>
      <c r="P4" s="412" t="s">
        <v>274</v>
      </c>
      <c r="Q4" s="99"/>
      <c r="R4" s="412" t="s">
        <v>275</v>
      </c>
      <c r="S4" s="87"/>
      <c r="T4" s="72" t="s">
        <v>375</v>
      </c>
      <c r="U4" s="421">
        <v>46091</v>
      </c>
      <c r="V4" s="421">
        <v>46092</v>
      </c>
      <c r="W4" s="295" t="s">
        <v>275</v>
      </c>
      <c r="X4" s="99"/>
      <c r="Y4" s="295" t="s">
        <v>277</v>
      </c>
      <c r="Z4" s="421">
        <v>46092</v>
      </c>
      <c r="AA4" s="87"/>
      <c r="AB4" s="358"/>
      <c r="AC4" s="99"/>
      <c r="AD4" s="412" t="s">
        <v>376</v>
      </c>
      <c r="AE4" s="412" t="s">
        <v>377</v>
      </c>
      <c r="AF4" s="99"/>
    </row>
    <row r="5" spans="1:32" ht="75.75" customHeight="1">
      <c r="A5" s="412">
        <v>4</v>
      </c>
      <c r="B5" s="412" t="s">
        <v>5</v>
      </c>
      <c r="C5" s="421">
        <v>46086</v>
      </c>
      <c r="D5" s="421">
        <v>46100</v>
      </c>
      <c r="E5" s="427" t="s">
        <v>193</v>
      </c>
      <c r="F5" s="412" t="s">
        <v>219</v>
      </c>
      <c r="G5" s="72" t="s">
        <v>378</v>
      </c>
      <c r="H5" s="412" t="s">
        <v>379</v>
      </c>
      <c r="I5" s="412" t="s">
        <v>13</v>
      </c>
      <c r="J5" s="430">
        <v>3</v>
      </c>
      <c r="K5" s="296">
        <v>3</v>
      </c>
      <c r="L5" s="380">
        <v>32</v>
      </c>
      <c r="M5" s="431">
        <v>46092</v>
      </c>
      <c r="N5" s="431">
        <v>46093</v>
      </c>
      <c r="O5" s="296" t="s">
        <v>273</v>
      </c>
      <c r="P5" s="430" t="s">
        <v>274</v>
      </c>
      <c r="Q5" s="108"/>
      <c r="R5" s="430" t="s">
        <v>275</v>
      </c>
      <c r="S5" s="103"/>
      <c r="T5" s="104" t="s">
        <v>380</v>
      </c>
      <c r="U5" s="431">
        <v>46093</v>
      </c>
      <c r="V5" s="431">
        <v>46094</v>
      </c>
      <c r="W5" s="296" t="s">
        <v>275</v>
      </c>
      <c r="X5" s="296"/>
      <c r="Y5" s="296" t="s">
        <v>311</v>
      </c>
      <c r="Z5" s="431">
        <v>46094</v>
      </c>
      <c r="AA5" s="430"/>
      <c r="AB5" s="379"/>
      <c r="AC5" s="296"/>
      <c r="AD5" s="430" t="s">
        <v>381</v>
      </c>
      <c r="AE5" s="430" t="s">
        <v>382</v>
      </c>
      <c r="AF5" s="108"/>
    </row>
    <row r="6" spans="1:32" ht="47.25" customHeight="1">
      <c r="A6" s="412">
        <v>4</v>
      </c>
      <c r="B6" s="412" t="s">
        <v>5</v>
      </c>
      <c r="C6" s="421">
        <v>46086</v>
      </c>
      <c r="D6" s="421">
        <v>46100</v>
      </c>
      <c r="E6" s="427" t="s">
        <v>383</v>
      </c>
      <c r="F6" s="412" t="s">
        <v>219</v>
      </c>
      <c r="G6" s="72" t="s">
        <v>328</v>
      </c>
      <c r="H6" s="412" t="s">
        <v>329</v>
      </c>
      <c r="I6" s="436" t="s">
        <v>263</v>
      </c>
      <c r="J6" s="412">
        <v>3</v>
      </c>
      <c r="K6" s="99"/>
      <c r="L6" s="99">
        <v>44.5</v>
      </c>
      <c r="M6" s="421">
        <v>46098</v>
      </c>
      <c r="N6" s="358"/>
      <c r="O6" s="99"/>
      <c r="P6" s="99"/>
      <c r="Q6" s="99"/>
      <c r="R6" s="99"/>
      <c r="S6" s="87"/>
      <c r="T6" s="99"/>
      <c r="U6" s="99"/>
      <c r="V6" s="99"/>
      <c r="W6" s="99"/>
      <c r="X6" s="99"/>
      <c r="Y6" s="469"/>
      <c r="Z6" s="99"/>
      <c r="AA6" s="87"/>
      <c r="AB6" s="99"/>
      <c r="AC6" s="99"/>
      <c r="AD6" s="357"/>
      <c r="AE6" s="412" t="s">
        <v>384</v>
      </c>
      <c r="AF6" s="412" t="s">
        <v>385</v>
      </c>
    </row>
  </sheetData>
  <hyperlinks>
    <hyperlink ref="T2" r:id="rId1" xr:uid="{08CCBD4F-F152-4F95-9CE3-882E0F71CD92}"/>
    <hyperlink ref="T5" r:id="rId2" xr:uid="{5768F399-1B93-47A8-A312-E2242F523BF7}"/>
    <hyperlink ref="T4" r:id="rId3" xr:uid="{DE61542D-EF29-4CCC-98EF-D5E1051B1A91}"/>
    <hyperlink ref="T3" r:id="rId4" xr:uid="{5AA7D5C1-4EB1-4B6F-9CE4-A89FFBC9286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22B01-8B20-49F0-A2A8-50CCFA806733}">
  <dimension ref="A1:AF985"/>
  <sheetViews>
    <sheetView workbookViewId="0">
      <selection sqref="A1:XFD2"/>
    </sheetView>
  </sheetViews>
  <sheetFormatPr defaultRowHeight="12.75"/>
  <cols>
    <col min="2" max="3" width="9.85546875" customWidth="1"/>
    <col min="4" max="4" width="9.42578125" customWidth="1"/>
    <col min="5" max="5" width="19.140625" customWidth="1"/>
    <col min="6" max="6" width="10.28515625" customWidth="1"/>
    <col min="7" max="7" width="12.85546875" customWidth="1"/>
    <col min="8" max="8" width="36" customWidth="1"/>
    <col min="9" max="9" width="10.5703125" customWidth="1"/>
    <col min="10" max="10" width="10.85546875" customWidth="1"/>
    <col min="11" max="11" width="11" customWidth="1"/>
    <col min="12" max="12" width="10.85546875" customWidth="1"/>
    <col min="13" max="13" width="12.28515625" customWidth="1"/>
    <col min="14" max="14" width="11.7109375" customWidth="1"/>
    <col min="16" max="16" width="12" customWidth="1"/>
    <col min="17" max="17" width="11.42578125" customWidth="1"/>
    <col min="18" max="18" width="11.28515625" customWidth="1"/>
    <col min="19" max="19" width="15.140625" customWidth="1"/>
    <col min="21" max="22" width="10.7109375" customWidth="1"/>
    <col min="23" max="23" width="13" customWidth="1"/>
    <col min="25" max="25" width="12.28515625" customWidth="1"/>
    <col min="27" max="27" width="14.7109375" customWidth="1"/>
    <col min="30" max="31" width="32" customWidth="1"/>
  </cols>
  <sheetData>
    <row r="1" spans="1:32" ht="27">
      <c r="A1" s="1" t="s">
        <v>234</v>
      </c>
      <c r="B1" s="1" t="s">
        <v>349</v>
      </c>
      <c r="C1" s="208" t="s">
        <v>350</v>
      </c>
      <c r="D1" s="208" t="s">
        <v>351</v>
      </c>
      <c r="E1" s="1" t="s">
        <v>236</v>
      </c>
      <c r="F1" s="208" t="s">
        <v>352</v>
      </c>
      <c r="G1" s="208" t="s">
        <v>353</v>
      </c>
      <c r="H1" s="1" t="s">
        <v>354</v>
      </c>
      <c r="I1" s="1" t="s">
        <v>355</v>
      </c>
      <c r="J1" s="1" t="s">
        <v>356</v>
      </c>
      <c r="K1" s="1" t="s">
        <v>239</v>
      </c>
      <c r="L1" s="209" t="s">
        <v>357</v>
      </c>
      <c r="M1" s="3" t="s">
        <v>260</v>
      </c>
      <c r="N1" s="3" t="s">
        <v>358</v>
      </c>
      <c r="O1" s="3" t="s">
        <v>359</v>
      </c>
      <c r="P1" s="28"/>
      <c r="Q1" s="28"/>
      <c r="R1" s="28"/>
      <c r="S1" s="28"/>
      <c r="T1" s="28"/>
      <c r="U1" s="28"/>
      <c r="V1" s="28"/>
      <c r="W1" s="28"/>
      <c r="X1" s="28"/>
      <c r="Y1" s="28"/>
      <c r="Z1" s="28"/>
      <c r="AA1" s="28"/>
      <c r="AB1" s="28"/>
      <c r="AD1" s="418" t="s">
        <v>326</v>
      </c>
      <c r="AE1" s="418" t="s">
        <v>327</v>
      </c>
      <c r="AF1" s="418" t="s">
        <v>17</v>
      </c>
    </row>
    <row r="2" spans="1:32" ht="48" customHeight="1">
      <c r="A2" s="99"/>
      <c r="B2" s="99"/>
      <c r="C2" s="99"/>
      <c r="D2" s="99"/>
      <c r="E2" s="99"/>
      <c r="F2" s="457"/>
      <c r="G2" s="87" t="s">
        <v>360</v>
      </c>
      <c r="H2" s="284"/>
      <c r="I2" s="284"/>
      <c r="J2" s="284"/>
      <c r="K2" s="284"/>
      <c r="L2" s="284"/>
      <c r="M2" s="87"/>
      <c r="N2" s="109"/>
      <c r="O2" s="87"/>
      <c r="AD2" s="412"/>
      <c r="AE2" s="412" t="s">
        <v>361</v>
      </c>
      <c r="AF2" s="412"/>
    </row>
    <row r="3" spans="1:32" ht="49.5" customHeight="1">
      <c r="N3" s="289"/>
      <c r="AD3" s="412"/>
      <c r="AE3" s="412"/>
      <c r="AF3" s="295"/>
    </row>
    <row r="4" spans="1:32" ht="47.25" customHeight="1">
      <c r="N4" s="289"/>
      <c r="AD4" s="412"/>
      <c r="AE4" s="412"/>
      <c r="AF4" s="295"/>
    </row>
    <row r="5" spans="1:32">
      <c r="K5" s="43"/>
      <c r="N5" s="289"/>
    </row>
    <row r="6" spans="1:32">
      <c r="N6" s="289"/>
    </row>
    <row r="7" spans="1:32">
      <c r="N7" s="289"/>
    </row>
    <row r="8" spans="1:32">
      <c r="N8" s="289"/>
    </row>
    <row r="9" spans="1:32">
      <c r="N9" s="289"/>
    </row>
    <row r="10" spans="1:32">
      <c r="N10" s="289"/>
    </row>
    <row r="11" spans="1:32">
      <c r="N11" s="289"/>
    </row>
    <row r="12" spans="1:32">
      <c r="N12" s="289"/>
    </row>
    <row r="13" spans="1:32">
      <c r="N13" s="289"/>
    </row>
    <row r="14" spans="1:32">
      <c r="N14" s="289"/>
    </row>
    <row r="15" spans="1:32">
      <c r="N15" s="289"/>
    </row>
    <row r="16" spans="1:32">
      <c r="N16" s="289"/>
    </row>
    <row r="17" spans="14:14">
      <c r="N17" s="289"/>
    </row>
    <row r="18" spans="14:14">
      <c r="N18" s="289"/>
    </row>
    <row r="19" spans="14:14">
      <c r="N19" s="289"/>
    </row>
    <row r="20" spans="14:14">
      <c r="N20" s="289"/>
    </row>
    <row r="21" spans="14:14">
      <c r="N21" s="289"/>
    </row>
    <row r="22" spans="14:14">
      <c r="N22" s="289"/>
    </row>
    <row r="23" spans="14:14">
      <c r="N23" s="289"/>
    </row>
    <row r="24" spans="14:14">
      <c r="N24" s="289"/>
    </row>
    <row r="25" spans="14:14">
      <c r="N25" s="289"/>
    </row>
    <row r="26" spans="14:14">
      <c r="N26" s="289"/>
    </row>
    <row r="27" spans="14:14">
      <c r="N27" s="289"/>
    </row>
    <row r="28" spans="14:14">
      <c r="N28" s="289"/>
    </row>
    <row r="29" spans="14:14">
      <c r="N29" s="289"/>
    </row>
    <row r="30" spans="14:14">
      <c r="N30" s="289"/>
    </row>
    <row r="31" spans="14:14">
      <c r="N31" s="289"/>
    </row>
    <row r="32" spans="14:14">
      <c r="N32" s="289"/>
    </row>
    <row r="33" spans="14:14">
      <c r="N33" s="289"/>
    </row>
    <row r="34" spans="14:14">
      <c r="N34" s="289"/>
    </row>
    <row r="35" spans="14:14">
      <c r="N35" s="289"/>
    </row>
    <row r="36" spans="14:14">
      <c r="N36" s="289"/>
    </row>
    <row r="37" spans="14:14">
      <c r="N37" s="289"/>
    </row>
    <row r="38" spans="14:14">
      <c r="N38" s="289"/>
    </row>
    <row r="39" spans="14:14">
      <c r="N39" s="289"/>
    </row>
    <row r="40" spans="14:14">
      <c r="N40" s="289"/>
    </row>
    <row r="41" spans="14:14">
      <c r="N41" s="289"/>
    </row>
    <row r="42" spans="14:14">
      <c r="N42" s="289"/>
    </row>
    <row r="43" spans="14:14">
      <c r="N43" s="289"/>
    </row>
    <row r="44" spans="14:14">
      <c r="N44" s="289"/>
    </row>
    <row r="45" spans="14:14">
      <c r="N45" s="289"/>
    </row>
    <row r="46" spans="14:14">
      <c r="N46" s="289"/>
    </row>
    <row r="47" spans="14:14">
      <c r="N47" s="289"/>
    </row>
    <row r="48" spans="14:14">
      <c r="N48" s="289"/>
    </row>
    <row r="49" spans="14:14">
      <c r="N49" s="289"/>
    </row>
    <row r="50" spans="14:14">
      <c r="N50" s="289"/>
    </row>
    <row r="51" spans="14:14">
      <c r="N51" s="289"/>
    </row>
    <row r="52" spans="14:14">
      <c r="N52" s="289"/>
    </row>
    <row r="53" spans="14:14">
      <c r="N53" s="289"/>
    </row>
    <row r="54" spans="14:14">
      <c r="N54" s="289"/>
    </row>
    <row r="55" spans="14:14">
      <c r="N55" s="289"/>
    </row>
    <row r="56" spans="14:14">
      <c r="N56" s="289"/>
    </row>
    <row r="57" spans="14:14">
      <c r="N57" s="289"/>
    </row>
    <row r="58" spans="14:14">
      <c r="N58" s="289"/>
    </row>
    <row r="59" spans="14:14">
      <c r="N59" s="289"/>
    </row>
    <row r="60" spans="14:14">
      <c r="N60" s="289"/>
    </row>
    <row r="61" spans="14:14">
      <c r="N61" s="289"/>
    </row>
    <row r="62" spans="14:14">
      <c r="N62" s="289"/>
    </row>
    <row r="63" spans="14:14">
      <c r="N63" s="289"/>
    </row>
    <row r="64" spans="14:14">
      <c r="N64" s="289"/>
    </row>
    <row r="65" spans="14:14">
      <c r="N65" s="289"/>
    </row>
    <row r="66" spans="14:14">
      <c r="N66" s="289"/>
    </row>
    <row r="67" spans="14:14">
      <c r="N67" s="289"/>
    </row>
    <row r="68" spans="14:14">
      <c r="N68" s="289"/>
    </row>
    <row r="69" spans="14:14">
      <c r="N69" s="289"/>
    </row>
    <row r="70" spans="14:14">
      <c r="N70" s="289"/>
    </row>
    <row r="71" spans="14:14">
      <c r="N71" s="289"/>
    </row>
    <row r="72" spans="14:14">
      <c r="N72" s="289"/>
    </row>
    <row r="73" spans="14:14">
      <c r="N73" s="289"/>
    </row>
    <row r="74" spans="14:14">
      <c r="N74" s="289"/>
    </row>
    <row r="75" spans="14:14">
      <c r="N75" s="289"/>
    </row>
    <row r="76" spans="14:14">
      <c r="N76" s="289"/>
    </row>
    <row r="77" spans="14:14">
      <c r="N77" s="289"/>
    </row>
    <row r="78" spans="14:14">
      <c r="N78" s="289"/>
    </row>
    <row r="79" spans="14:14">
      <c r="N79" s="289"/>
    </row>
    <row r="80" spans="14:14">
      <c r="N80" s="289"/>
    </row>
    <row r="81" spans="14:14">
      <c r="N81" s="289"/>
    </row>
    <row r="82" spans="14:14">
      <c r="N82" s="289"/>
    </row>
    <row r="83" spans="14:14">
      <c r="N83" s="289"/>
    </row>
    <row r="84" spans="14:14">
      <c r="N84" s="289"/>
    </row>
    <row r="85" spans="14:14">
      <c r="N85" s="289"/>
    </row>
    <row r="86" spans="14:14">
      <c r="N86" s="289"/>
    </row>
    <row r="87" spans="14:14">
      <c r="N87" s="289"/>
    </row>
    <row r="88" spans="14:14">
      <c r="N88" s="289"/>
    </row>
    <row r="89" spans="14:14">
      <c r="N89" s="289"/>
    </row>
    <row r="90" spans="14:14">
      <c r="N90" s="289"/>
    </row>
    <row r="91" spans="14:14">
      <c r="N91" s="289"/>
    </row>
    <row r="92" spans="14:14">
      <c r="N92" s="289"/>
    </row>
    <row r="93" spans="14:14">
      <c r="N93" s="289"/>
    </row>
    <row r="94" spans="14:14">
      <c r="N94" s="289"/>
    </row>
    <row r="95" spans="14:14">
      <c r="N95" s="289"/>
    </row>
    <row r="96" spans="14:14">
      <c r="N96" s="289"/>
    </row>
    <row r="97" spans="14:14">
      <c r="N97" s="289"/>
    </row>
    <row r="98" spans="14:14">
      <c r="N98" s="289"/>
    </row>
    <row r="99" spans="14:14">
      <c r="N99" s="289"/>
    </row>
    <row r="100" spans="14:14">
      <c r="N100" s="289"/>
    </row>
    <row r="101" spans="14:14">
      <c r="N101" s="289"/>
    </row>
    <row r="102" spans="14:14">
      <c r="N102" s="289"/>
    </row>
    <row r="103" spans="14:14">
      <c r="N103" s="289"/>
    </row>
    <row r="104" spans="14:14">
      <c r="N104" s="289"/>
    </row>
    <row r="105" spans="14:14">
      <c r="N105" s="289"/>
    </row>
    <row r="106" spans="14:14">
      <c r="N106" s="289"/>
    </row>
    <row r="107" spans="14:14">
      <c r="N107" s="289"/>
    </row>
    <row r="108" spans="14:14">
      <c r="N108" s="289"/>
    </row>
    <row r="109" spans="14:14">
      <c r="N109" s="289"/>
    </row>
    <row r="110" spans="14:14">
      <c r="N110" s="289"/>
    </row>
    <row r="111" spans="14:14">
      <c r="N111" s="289"/>
    </row>
    <row r="112" spans="14:14">
      <c r="N112" s="289"/>
    </row>
    <row r="113" spans="14:14">
      <c r="N113" s="289"/>
    </row>
    <row r="114" spans="14:14">
      <c r="N114" s="289"/>
    </row>
    <row r="115" spans="14:14">
      <c r="N115" s="289"/>
    </row>
    <row r="116" spans="14:14">
      <c r="N116" s="289"/>
    </row>
    <row r="117" spans="14:14">
      <c r="N117" s="289"/>
    </row>
    <row r="118" spans="14:14">
      <c r="N118" s="289"/>
    </row>
    <row r="119" spans="14:14">
      <c r="N119" s="289"/>
    </row>
    <row r="120" spans="14:14">
      <c r="N120" s="289"/>
    </row>
    <row r="121" spans="14:14">
      <c r="N121" s="289"/>
    </row>
    <row r="122" spans="14:14">
      <c r="N122" s="289"/>
    </row>
    <row r="123" spans="14:14">
      <c r="N123" s="289"/>
    </row>
    <row r="124" spans="14:14">
      <c r="N124" s="289"/>
    </row>
    <row r="125" spans="14:14">
      <c r="N125" s="289"/>
    </row>
    <row r="126" spans="14:14">
      <c r="N126" s="289"/>
    </row>
    <row r="127" spans="14:14">
      <c r="N127" s="289"/>
    </row>
    <row r="128" spans="14:14">
      <c r="N128" s="289"/>
    </row>
    <row r="129" spans="14:14">
      <c r="N129" s="289"/>
    </row>
    <row r="130" spans="14:14">
      <c r="N130" s="289"/>
    </row>
    <row r="131" spans="14:14">
      <c r="N131" s="289"/>
    </row>
    <row r="132" spans="14:14">
      <c r="N132" s="289"/>
    </row>
    <row r="133" spans="14:14">
      <c r="N133" s="289"/>
    </row>
    <row r="134" spans="14:14">
      <c r="N134" s="289"/>
    </row>
    <row r="135" spans="14:14">
      <c r="N135" s="289"/>
    </row>
    <row r="136" spans="14:14">
      <c r="N136" s="289"/>
    </row>
    <row r="137" spans="14:14">
      <c r="N137" s="289"/>
    </row>
    <row r="138" spans="14:14">
      <c r="N138" s="289"/>
    </row>
    <row r="139" spans="14:14">
      <c r="N139" s="289"/>
    </row>
    <row r="140" spans="14:14">
      <c r="N140" s="289"/>
    </row>
    <row r="141" spans="14:14">
      <c r="N141" s="289"/>
    </row>
    <row r="142" spans="14:14">
      <c r="N142" s="289"/>
    </row>
    <row r="143" spans="14:14">
      <c r="N143" s="289"/>
    </row>
    <row r="144" spans="14:14">
      <c r="N144" s="289"/>
    </row>
    <row r="145" spans="14:14">
      <c r="N145" s="289"/>
    </row>
    <row r="146" spans="14:14">
      <c r="N146" s="289"/>
    </row>
    <row r="147" spans="14:14">
      <c r="N147" s="289"/>
    </row>
    <row r="148" spans="14:14">
      <c r="N148" s="289"/>
    </row>
    <row r="149" spans="14:14">
      <c r="N149" s="289"/>
    </row>
    <row r="150" spans="14:14">
      <c r="N150" s="289"/>
    </row>
    <row r="151" spans="14:14">
      <c r="N151" s="289"/>
    </row>
    <row r="152" spans="14:14">
      <c r="N152" s="289"/>
    </row>
    <row r="153" spans="14:14">
      <c r="N153" s="289"/>
    </row>
    <row r="154" spans="14:14">
      <c r="N154" s="289"/>
    </row>
    <row r="155" spans="14:14">
      <c r="N155" s="289"/>
    </row>
    <row r="156" spans="14:14">
      <c r="N156" s="289"/>
    </row>
    <row r="157" spans="14:14">
      <c r="N157" s="289"/>
    </row>
    <row r="158" spans="14:14">
      <c r="N158" s="289"/>
    </row>
    <row r="159" spans="14:14">
      <c r="N159" s="289"/>
    </row>
    <row r="160" spans="14:14">
      <c r="N160" s="289"/>
    </row>
    <row r="161" spans="14:14">
      <c r="N161" s="289"/>
    </row>
    <row r="162" spans="14:14">
      <c r="N162" s="289"/>
    </row>
    <row r="163" spans="14:14">
      <c r="N163" s="289"/>
    </row>
    <row r="164" spans="14:14">
      <c r="N164" s="289"/>
    </row>
    <row r="165" spans="14:14">
      <c r="N165" s="289"/>
    </row>
    <row r="166" spans="14:14">
      <c r="N166" s="289"/>
    </row>
    <row r="167" spans="14:14">
      <c r="N167" s="289"/>
    </row>
    <row r="168" spans="14:14">
      <c r="N168" s="289"/>
    </row>
    <row r="169" spans="14:14">
      <c r="N169" s="289"/>
    </row>
    <row r="170" spans="14:14">
      <c r="N170" s="289"/>
    </row>
    <row r="171" spans="14:14">
      <c r="N171" s="289"/>
    </row>
    <row r="172" spans="14:14">
      <c r="N172" s="289"/>
    </row>
    <row r="173" spans="14:14">
      <c r="N173" s="289"/>
    </row>
    <row r="174" spans="14:14">
      <c r="N174" s="289"/>
    </row>
    <row r="175" spans="14:14">
      <c r="N175" s="289"/>
    </row>
    <row r="176" spans="14:14">
      <c r="N176" s="289"/>
    </row>
    <row r="177" spans="14:14">
      <c r="N177" s="289"/>
    </row>
    <row r="178" spans="14:14">
      <c r="N178" s="289"/>
    </row>
    <row r="179" spans="14:14">
      <c r="N179" s="289"/>
    </row>
    <row r="180" spans="14:14">
      <c r="N180" s="289"/>
    </row>
    <row r="181" spans="14:14">
      <c r="N181" s="289"/>
    </row>
    <row r="182" spans="14:14">
      <c r="N182" s="289"/>
    </row>
    <row r="183" spans="14:14">
      <c r="N183" s="289"/>
    </row>
    <row r="184" spans="14:14">
      <c r="N184" s="289"/>
    </row>
    <row r="185" spans="14:14">
      <c r="N185" s="289"/>
    </row>
    <row r="186" spans="14:14">
      <c r="N186" s="289"/>
    </row>
    <row r="187" spans="14:14">
      <c r="N187" s="289"/>
    </row>
    <row r="188" spans="14:14">
      <c r="N188" s="289"/>
    </row>
    <row r="189" spans="14:14">
      <c r="N189" s="289"/>
    </row>
    <row r="190" spans="14:14">
      <c r="N190" s="289"/>
    </row>
    <row r="191" spans="14:14">
      <c r="N191" s="289"/>
    </row>
    <row r="192" spans="14:14">
      <c r="N192" s="289"/>
    </row>
    <row r="193" spans="14:14">
      <c r="N193" s="289"/>
    </row>
    <row r="194" spans="14:14">
      <c r="N194" s="289"/>
    </row>
    <row r="195" spans="14:14">
      <c r="N195" s="289"/>
    </row>
    <row r="196" spans="14:14">
      <c r="N196" s="289"/>
    </row>
    <row r="197" spans="14:14">
      <c r="N197" s="289"/>
    </row>
    <row r="198" spans="14:14">
      <c r="N198" s="289"/>
    </row>
    <row r="199" spans="14:14">
      <c r="N199" s="289"/>
    </row>
    <row r="200" spans="14:14">
      <c r="N200" s="289"/>
    </row>
    <row r="201" spans="14:14">
      <c r="N201" s="289"/>
    </row>
    <row r="202" spans="14:14">
      <c r="N202" s="289"/>
    </row>
    <row r="203" spans="14:14">
      <c r="N203" s="289"/>
    </row>
    <row r="204" spans="14:14">
      <c r="N204" s="289"/>
    </row>
    <row r="205" spans="14:14">
      <c r="N205" s="289"/>
    </row>
    <row r="206" spans="14:14">
      <c r="N206" s="289"/>
    </row>
    <row r="207" spans="14:14">
      <c r="N207" s="289"/>
    </row>
    <row r="208" spans="14:14">
      <c r="N208" s="289"/>
    </row>
    <row r="209" spans="14:14">
      <c r="N209" s="289"/>
    </row>
    <row r="210" spans="14:14">
      <c r="N210" s="289"/>
    </row>
    <row r="211" spans="14:14">
      <c r="N211" s="289"/>
    </row>
    <row r="212" spans="14:14">
      <c r="N212" s="289"/>
    </row>
    <row r="213" spans="14:14">
      <c r="N213" s="289"/>
    </row>
    <row r="214" spans="14:14">
      <c r="N214" s="289"/>
    </row>
    <row r="215" spans="14:14">
      <c r="N215" s="289"/>
    </row>
    <row r="216" spans="14:14">
      <c r="N216" s="289"/>
    </row>
    <row r="217" spans="14:14">
      <c r="N217" s="289"/>
    </row>
    <row r="218" spans="14:14">
      <c r="N218" s="289"/>
    </row>
    <row r="219" spans="14:14">
      <c r="N219" s="289"/>
    </row>
    <row r="220" spans="14:14">
      <c r="N220" s="289"/>
    </row>
    <row r="221" spans="14:14">
      <c r="N221" s="289"/>
    </row>
    <row r="222" spans="14:14">
      <c r="N222" s="289"/>
    </row>
    <row r="223" spans="14:14">
      <c r="N223" s="289"/>
    </row>
    <row r="224" spans="14:14">
      <c r="N224" s="289"/>
    </row>
    <row r="225" spans="14:14">
      <c r="N225" s="289"/>
    </row>
    <row r="226" spans="14:14">
      <c r="N226" s="289"/>
    </row>
    <row r="227" spans="14:14">
      <c r="N227" s="289"/>
    </row>
    <row r="228" spans="14:14">
      <c r="N228" s="289"/>
    </row>
    <row r="229" spans="14:14">
      <c r="N229" s="289"/>
    </row>
    <row r="230" spans="14:14">
      <c r="N230" s="289"/>
    </row>
    <row r="231" spans="14:14">
      <c r="N231" s="289"/>
    </row>
    <row r="232" spans="14:14">
      <c r="N232" s="289"/>
    </row>
    <row r="233" spans="14:14">
      <c r="N233" s="289"/>
    </row>
    <row r="234" spans="14:14">
      <c r="N234" s="289"/>
    </row>
    <row r="235" spans="14:14">
      <c r="N235" s="289"/>
    </row>
    <row r="236" spans="14:14">
      <c r="N236" s="289"/>
    </row>
    <row r="237" spans="14:14">
      <c r="N237" s="289"/>
    </row>
    <row r="238" spans="14:14">
      <c r="N238" s="289"/>
    </row>
    <row r="239" spans="14:14">
      <c r="N239" s="289"/>
    </row>
    <row r="240" spans="14:14">
      <c r="N240" s="289"/>
    </row>
    <row r="241" spans="14:14">
      <c r="N241" s="289"/>
    </row>
    <row r="242" spans="14:14">
      <c r="N242" s="289"/>
    </row>
    <row r="243" spans="14:14">
      <c r="N243" s="289"/>
    </row>
    <row r="244" spans="14:14">
      <c r="N244" s="289"/>
    </row>
    <row r="245" spans="14:14">
      <c r="N245" s="289"/>
    </row>
    <row r="246" spans="14:14">
      <c r="N246" s="289"/>
    </row>
    <row r="247" spans="14:14">
      <c r="N247" s="289"/>
    </row>
    <row r="248" spans="14:14">
      <c r="N248" s="289"/>
    </row>
    <row r="249" spans="14:14">
      <c r="N249" s="289"/>
    </row>
    <row r="250" spans="14:14">
      <c r="N250" s="289"/>
    </row>
    <row r="251" spans="14:14">
      <c r="N251" s="289"/>
    </row>
    <row r="252" spans="14:14">
      <c r="N252" s="289"/>
    </row>
    <row r="253" spans="14:14">
      <c r="N253" s="289"/>
    </row>
    <row r="254" spans="14:14">
      <c r="N254" s="289"/>
    </row>
    <row r="255" spans="14:14">
      <c r="N255" s="289"/>
    </row>
    <row r="256" spans="14:14">
      <c r="N256" s="289"/>
    </row>
    <row r="257" spans="14:14">
      <c r="N257" s="289"/>
    </row>
    <row r="258" spans="14:14">
      <c r="N258" s="289"/>
    </row>
    <row r="259" spans="14:14">
      <c r="N259" s="289"/>
    </row>
    <row r="260" spans="14:14">
      <c r="N260" s="289"/>
    </row>
    <row r="261" spans="14:14">
      <c r="N261" s="289"/>
    </row>
    <row r="262" spans="14:14">
      <c r="N262" s="289"/>
    </row>
    <row r="263" spans="14:14">
      <c r="N263" s="289"/>
    </row>
    <row r="264" spans="14:14">
      <c r="N264" s="289"/>
    </row>
    <row r="265" spans="14:14">
      <c r="N265" s="289"/>
    </row>
    <row r="266" spans="14:14">
      <c r="N266" s="289"/>
    </row>
    <row r="267" spans="14:14">
      <c r="N267" s="289"/>
    </row>
    <row r="268" spans="14:14">
      <c r="N268" s="289"/>
    </row>
    <row r="269" spans="14:14">
      <c r="N269" s="289"/>
    </row>
    <row r="270" spans="14:14">
      <c r="N270" s="289"/>
    </row>
    <row r="271" spans="14:14">
      <c r="N271" s="289"/>
    </row>
    <row r="272" spans="14:14">
      <c r="N272" s="289"/>
    </row>
    <row r="273" spans="14:14">
      <c r="N273" s="289"/>
    </row>
    <row r="274" spans="14:14">
      <c r="N274" s="289"/>
    </row>
    <row r="275" spans="14:14">
      <c r="N275" s="289"/>
    </row>
    <row r="276" spans="14:14">
      <c r="N276" s="289"/>
    </row>
    <row r="277" spans="14:14">
      <c r="N277" s="289"/>
    </row>
    <row r="278" spans="14:14">
      <c r="N278" s="289"/>
    </row>
    <row r="279" spans="14:14">
      <c r="N279" s="289"/>
    </row>
    <row r="280" spans="14:14">
      <c r="N280" s="289"/>
    </row>
    <row r="281" spans="14:14">
      <c r="N281" s="289"/>
    </row>
    <row r="282" spans="14:14">
      <c r="N282" s="289"/>
    </row>
    <row r="283" spans="14:14">
      <c r="N283" s="289"/>
    </row>
    <row r="284" spans="14:14">
      <c r="N284" s="289"/>
    </row>
    <row r="285" spans="14:14">
      <c r="N285" s="289"/>
    </row>
    <row r="286" spans="14:14">
      <c r="N286" s="289"/>
    </row>
    <row r="287" spans="14:14">
      <c r="N287" s="289"/>
    </row>
    <row r="288" spans="14:14">
      <c r="N288" s="289"/>
    </row>
    <row r="289" spans="14:14">
      <c r="N289" s="289"/>
    </row>
    <row r="290" spans="14:14">
      <c r="N290" s="289"/>
    </row>
    <row r="291" spans="14:14">
      <c r="N291" s="289"/>
    </row>
    <row r="292" spans="14:14">
      <c r="N292" s="289"/>
    </row>
    <row r="293" spans="14:14">
      <c r="N293" s="289"/>
    </row>
    <row r="294" spans="14:14">
      <c r="N294" s="289"/>
    </row>
    <row r="295" spans="14:14">
      <c r="N295" s="289"/>
    </row>
    <row r="296" spans="14:14">
      <c r="N296" s="289"/>
    </row>
    <row r="297" spans="14:14">
      <c r="N297" s="289"/>
    </row>
    <row r="298" spans="14:14">
      <c r="N298" s="289"/>
    </row>
    <row r="299" spans="14:14">
      <c r="N299" s="289"/>
    </row>
    <row r="300" spans="14:14">
      <c r="N300" s="289"/>
    </row>
    <row r="301" spans="14:14">
      <c r="N301" s="289"/>
    </row>
    <row r="302" spans="14:14">
      <c r="N302" s="289"/>
    </row>
    <row r="303" spans="14:14">
      <c r="N303" s="289"/>
    </row>
    <row r="304" spans="14:14">
      <c r="N304" s="289"/>
    </row>
    <row r="305" spans="14:14">
      <c r="N305" s="289"/>
    </row>
    <row r="306" spans="14:14">
      <c r="N306" s="289"/>
    </row>
    <row r="307" spans="14:14">
      <c r="N307" s="289"/>
    </row>
    <row r="308" spans="14:14">
      <c r="N308" s="289"/>
    </row>
    <row r="309" spans="14:14">
      <c r="N309" s="289"/>
    </row>
    <row r="310" spans="14:14">
      <c r="N310" s="289"/>
    </row>
    <row r="311" spans="14:14">
      <c r="N311" s="289"/>
    </row>
    <row r="312" spans="14:14">
      <c r="N312" s="289"/>
    </row>
    <row r="313" spans="14:14">
      <c r="N313" s="289"/>
    </row>
    <row r="314" spans="14:14">
      <c r="N314" s="289"/>
    </row>
    <row r="315" spans="14:14">
      <c r="N315" s="289"/>
    </row>
    <row r="316" spans="14:14">
      <c r="N316" s="289"/>
    </row>
    <row r="317" spans="14:14">
      <c r="N317" s="289"/>
    </row>
    <row r="318" spans="14:14">
      <c r="N318" s="289"/>
    </row>
    <row r="319" spans="14:14">
      <c r="N319" s="289"/>
    </row>
    <row r="320" spans="14:14">
      <c r="N320" s="289"/>
    </row>
    <row r="321" spans="14:14">
      <c r="N321" s="289"/>
    </row>
    <row r="322" spans="14:14">
      <c r="N322" s="289"/>
    </row>
    <row r="323" spans="14:14">
      <c r="N323" s="289"/>
    </row>
    <row r="324" spans="14:14">
      <c r="N324" s="289"/>
    </row>
    <row r="325" spans="14:14">
      <c r="N325" s="289"/>
    </row>
    <row r="326" spans="14:14">
      <c r="N326" s="289"/>
    </row>
    <row r="327" spans="14:14">
      <c r="N327" s="289"/>
    </row>
    <row r="328" spans="14:14">
      <c r="N328" s="289"/>
    </row>
    <row r="329" spans="14:14">
      <c r="N329" s="289"/>
    </row>
    <row r="330" spans="14:14">
      <c r="N330" s="289"/>
    </row>
    <row r="331" spans="14:14">
      <c r="N331" s="289"/>
    </row>
    <row r="332" spans="14:14">
      <c r="N332" s="289"/>
    </row>
    <row r="333" spans="14:14">
      <c r="N333" s="289"/>
    </row>
    <row r="334" spans="14:14">
      <c r="N334" s="289"/>
    </row>
    <row r="335" spans="14:14">
      <c r="N335" s="289"/>
    </row>
    <row r="336" spans="14:14">
      <c r="N336" s="289"/>
    </row>
    <row r="337" spans="14:14">
      <c r="N337" s="289"/>
    </row>
    <row r="338" spans="14:14">
      <c r="N338" s="289"/>
    </row>
    <row r="339" spans="14:14">
      <c r="N339" s="289"/>
    </row>
    <row r="340" spans="14:14">
      <c r="N340" s="289"/>
    </row>
    <row r="341" spans="14:14">
      <c r="N341" s="289"/>
    </row>
    <row r="342" spans="14:14">
      <c r="N342" s="289"/>
    </row>
    <row r="343" spans="14:14">
      <c r="N343" s="289"/>
    </row>
    <row r="344" spans="14:14">
      <c r="N344" s="289"/>
    </row>
    <row r="345" spans="14:14">
      <c r="N345" s="289"/>
    </row>
    <row r="346" spans="14:14">
      <c r="N346" s="289"/>
    </row>
    <row r="347" spans="14:14">
      <c r="N347" s="289"/>
    </row>
    <row r="348" spans="14:14">
      <c r="N348" s="289"/>
    </row>
    <row r="349" spans="14:14">
      <c r="N349" s="289"/>
    </row>
    <row r="350" spans="14:14">
      <c r="N350" s="289"/>
    </row>
    <row r="351" spans="14:14">
      <c r="N351" s="289"/>
    </row>
    <row r="352" spans="14:14">
      <c r="N352" s="289"/>
    </row>
    <row r="353" spans="14:14">
      <c r="N353" s="289"/>
    </row>
    <row r="354" spans="14:14">
      <c r="N354" s="289"/>
    </row>
    <row r="355" spans="14:14">
      <c r="N355" s="289"/>
    </row>
    <row r="356" spans="14:14">
      <c r="N356" s="289"/>
    </row>
    <row r="357" spans="14:14">
      <c r="N357" s="289"/>
    </row>
    <row r="358" spans="14:14">
      <c r="N358" s="289"/>
    </row>
    <row r="359" spans="14:14">
      <c r="N359" s="289"/>
    </row>
    <row r="360" spans="14:14">
      <c r="N360" s="289"/>
    </row>
    <row r="361" spans="14:14">
      <c r="N361" s="289"/>
    </row>
    <row r="362" spans="14:14">
      <c r="N362" s="289"/>
    </row>
    <row r="363" spans="14:14">
      <c r="N363" s="289"/>
    </row>
    <row r="364" spans="14:14">
      <c r="N364" s="289"/>
    </row>
    <row r="365" spans="14:14">
      <c r="N365" s="289"/>
    </row>
    <row r="366" spans="14:14">
      <c r="N366" s="289"/>
    </row>
    <row r="367" spans="14:14">
      <c r="N367" s="289"/>
    </row>
    <row r="368" spans="14:14">
      <c r="N368" s="289"/>
    </row>
    <row r="369" spans="14:14">
      <c r="N369" s="289"/>
    </row>
    <row r="370" spans="14:14">
      <c r="N370" s="289"/>
    </row>
    <row r="371" spans="14:14">
      <c r="N371" s="289"/>
    </row>
    <row r="372" spans="14:14">
      <c r="N372" s="289"/>
    </row>
    <row r="373" spans="14:14">
      <c r="N373" s="289"/>
    </row>
    <row r="374" spans="14:14">
      <c r="N374" s="289"/>
    </row>
    <row r="375" spans="14:14">
      <c r="N375" s="289"/>
    </row>
    <row r="376" spans="14:14">
      <c r="N376" s="289"/>
    </row>
    <row r="377" spans="14:14">
      <c r="N377" s="289"/>
    </row>
    <row r="378" spans="14:14">
      <c r="N378" s="289"/>
    </row>
    <row r="379" spans="14:14">
      <c r="N379" s="289"/>
    </row>
    <row r="380" spans="14:14">
      <c r="N380" s="289"/>
    </row>
    <row r="381" spans="14:14">
      <c r="N381" s="289"/>
    </row>
    <row r="382" spans="14:14">
      <c r="N382" s="289"/>
    </row>
    <row r="383" spans="14:14">
      <c r="N383" s="289"/>
    </row>
    <row r="384" spans="14:14">
      <c r="N384" s="289"/>
    </row>
    <row r="385" spans="14:14">
      <c r="N385" s="289"/>
    </row>
    <row r="386" spans="14:14">
      <c r="N386" s="289"/>
    </row>
    <row r="387" spans="14:14">
      <c r="N387" s="289"/>
    </row>
    <row r="388" spans="14:14">
      <c r="N388" s="289"/>
    </row>
    <row r="389" spans="14:14">
      <c r="N389" s="289"/>
    </row>
    <row r="390" spans="14:14">
      <c r="N390" s="289"/>
    </row>
    <row r="391" spans="14:14">
      <c r="N391" s="289"/>
    </row>
    <row r="392" spans="14:14">
      <c r="N392" s="289"/>
    </row>
    <row r="393" spans="14:14">
      <c r="N393" s="289"/>
    </row>
    <row r="394" spans="14:14">
      <c r="N394" s="289"/>
    </row>
    <row r="395" spans="14:14">
      <c r="N395" s="289"/>
    </row>
    <row r="396" spans="14:14">
      <c r="N396" s="289"/>
    </row>
    <row r="397" spans="14:14">
      <c r="N397" s="289"/>
    </row>
    <row r="398" spans="14:14">
      <c r="N398" s="289"/>
    </row>
    <row r="399" spans="14:14">
      <c r="N399" s="289"/>
    </row>
    <row r="400" spans="14:14">
      <c r="N400" s="289"/>
    </row>
    <row r="401" spans="14:14">
      <c r="N401" s="289"/>
    </row>
    <row r="402" spans="14:14">
      <c r="N402" s="289"/>
    </row>
    <row r="403" spans="14:14">
      <c r="N403" s="289"/>
    </row>
    <row r="404" spans="14:14">
      <c r="N404" s="289"/>
    </row>
    <row r="405" spans="14:14">
      <c r="N405" s="289"/>
    </row>
    <row r="406" spans="14:14">
      <c r="N406" s="289"/>
    </row>
    <row r="407" spans="14:14">
      <c r="N407" s="289"/>
    </row>
    <row r="408" spans="14:14">
      <c r="N408" s="289"/>
    </row>
    <row r="409" spans="14:14">
      <c r="N409" s="289"/>
    </row>
    <row r="410" spans="14:14">
      <c r="N410" s="289"/>
    </row>
    <row r="411" spans="14:14">
      <c r="N411" s="289"/>
    </row>
    <row r="412" spans="14:14">
      <c r="N412" s="289"/>
    </row>
    <row r="413" spans="14:14">
      <c r="N413" s="289"/>
    </row>
    <row r="414" spans="14:14">
      <c r="N414" s="289"/>
    </row>
    <row r="415" spans="14:14">
      <c r="N415" s="289"/>
    </row>
    <row r="416" spans="14:14">
      <c r="N416" s="289"/>
    </row>
    <row r="417" spans="14:14">
      <c r="N417" s="289"/>
    </row>
    <row r="418" spans="14:14">
      <c r="N418" s="289"/>
    </row>
    <row r="419" spans="14:14">
      <c r="N419" s="289"/>
    </row>
    <row r="420" spans="14:14">
      <c r="N420" s="289"/>
    </row>
    <row r="421" spans="14:14">
      <c r="N421" s="289"/>
    </row>
    <row r="422" spans="14:14">
      <c r="N422" s="289"/>
    </row>
    <row r="423" spans="14:14">
      <c r="N423" s="289"/>
    </row>
    <row r="424" spans="14:14">
      <c r="N424" s="289"/>
    </row>
    <row r="425" spans="14:14">
      <c r="N425" s="289"/>
    </row>
    <row r="426" spans="14:14">
      <c r="N426" s="289"/>
    </row>
    <row r="427" spans="14:14">
      <c r="N427" s="289"/>
    </row>
    <row r="428" spans="14:14">
      <c r="N428" s="289"/>
    </row>
    <row r="429" spans="14:14">
      <c r="N429" s="289"/>
    </row>
    <row r="430" spans="14:14">
      <c r="N430" s="289"/>
    </row>
    <row r="431" spans="14:14">
      <c r="N431" s="289"/>
    </row>
    <row r="432" spans="14:14">
      <c r="N432" s="289"/>
    </row>
    <row r="433" spans="14:14">
      <c r="N433" s="289"/>
    </row>
    <row r="434" spans="14:14">
      <c r="N434" s="289"/>
    </row>
    <row r="435" spans="14:14">
      <c r="N435" s="289"/>
    </row>
    <row r="436" spans="14:14">
      <c r="N436" s="289"/>
    </row>
    <row r="437" spans="14:14">
      <c r="N437" s="289"/>
    </row>
    <row r="438" spans="14:14">
      <c r="N438" s="289"/>
    </row>
    <row r="439" spans="14:14">
      <c r="N439" s="289"/>
    </row>
    <row r="440" spans="14:14">
      <c r="N440" s="289"/>
    </row>
    <row r="441" spans="14:14">
      <c r="N441" s="289"/>
    </row>
    <row r="442" spans="14:14">
      <c r="N442" s="289"/>
    </row>
    <row r="443" spans="14:14">
      <c r="N443" s="289"/>
    </row>
    <row r="444" spans="14:14">
      <c r="N444" s="289"/>
    </row>
    <row r="445" spans="14:14">
      <c r="N445" s="289"/>
    </row>
    <row r="446" spans="14:14">
      <c r="N446" s="289"/>
    </row>
    <row r="447" spans="14:14">
      <c r="N447" s="289"/>
    </row>
    <row r="448" spans="14:14">
      <c r="N448" s="289"/>
    </row>
    <row r="449" spans="14:14">
      <c r="N449" s="289"/>
    </row>
    <row r="450" spans="14:14">
      <c r="N450" s="289"/>
    </row>
    <row r="451" spans="14:14">
      <c r="N451" s="289"/>
    </row>
    <row r="452" spans="14:14">
      <c r="N452" s="289"/>
    </row>
    <row r="453" spans="14:14">
      <c r="N453" s="289"/>
    </row>
    <row r="454" spans="14:14">
      <c r="N454" s="289"/>
    </row>
    <row r="455" spans="14:14">
      <c r="N455" s="289"/>
    </row>
    <row r="456" spans="14:14">
      <c r="N456" s="289"/>
    </row>
    <row r="457" spans="14:14">
      <c r="N457" s="289"/>
    </row>
    <row r="458" spans="14:14">
      <c r="N458" s="289"/>
    </row>
    <row r="459" spans="14:14">
      <c r="N459" s="289"/>
    </row>
    <row r="460" spans="14:14">
      <c r="N460" s="289"/>
    </row>
    <row r="461" spans="14:14">
      <c r="N461" s="289"/>
    </row>
    <row r="462" spans="14:14">
      <c r="N462" s="289"/>
    </row>
    <row r="463" spans="14:14">
      <c r="N463" s="289"/>
    </row>
    <row r="464" spans="14:14">
      <c r="N464" s="289"/>
    </row>
    <row r="465" spans="14:14">
      <c r="N465" s="289"/>
    </row>
    <row r="466" spans="14:14">
      <c r="N466" s="289"/>
    </row>
    <row r="467" spans="14:14">
      <c r="N467" s="289"/>
    </row>
    <row r="468" spans="14:14">
      <c r="N468" s="289"/>
    </row>
    <row r="469" spans="14:14">
      <c r="N469" s="289"/>
    </row>
    <row r="470" spans="14:14">
      <c r="N470" s="289"/>
    </row>
    <row r="471" spans="14:14">
      <c r="N471" s="289"/>
    </row>
    <row r="472" spans="14:14">
      <c r="N472" s="289"/>
    </row>
    <row r="473" spans="14:14">
      <c r="N473" s="289"/>
    </row>
    <row r="474" spans="14:14">
      <c r="N474" s="289"/>
    </row>
    <row r="475" spans="14:14">
      <c r="N475" s="289"/>
    </row>
    <row r="476" spans="14:14">
      <c r="N476" s="289"/>
    </row>
    <row r="477" spans="14:14">
      <c r="N477" s="289"/>
    </row>
    <row r="478" spans="14:14">
      <c r="N478" s="289"/>
    </row>
    <row r="479" spans="14:14">
      <c r="N479" s="289"/>
    </row>
    <row r="480" spans="14:14">
      <c r="N480" s="289"/>
    </row>
    <row r="481" spans="14:14">
      <c r="N481" s="289"/>
    </row>
    <row r="482" spans="14:14">
      <c r="N482" s="289"/>
    </row>
    <row r="483" spans="14:14">
      <c r="N483" s="289"/>
    </row>
    <row r="484" spans="14:14">
      <c r="N484" s="289"/>
    </row>
    <row r="485" spans="14:14">
      <c r="N485" s="289"/>
    </row>
    <row r="486" spans="14:14">
      <c r="N486" s="289"/>
    </row>
    <row r="487" spans="14:14">
      <c r="N487" s="289"/>
    </row>
    <row r="488" spans="14:14">
      <c r="N488" s="289"/>
    </row>
    <row r="489" spans="14:14">
      <c r="N489" s="289"/>
    </row>
    <row r="490" spans="14:14">
      <c r="N490" s="289"/>
    </row>
    <row r="491" spans="14:14">
      <c r="N491" s="289"/>
    </row>
    <row r="492" spans="14:14">
      <c r="N492" s="289"/>
    </row>
    <row r="493" spans="14:14">
      <c r="N493" s="289"/>
    </row>
    <row r="494" spans="14:14">
      <c r="N494" s="289"/>
    </row>
    <row r="495" spans="14:14">
      <c r="N495" s="289"/>
    </row>
    <row r="496" spans="14:14">
      <c r="N496" s="289"/>
    </row>
    <row r="497" spans="14:14">
      <c r="N497" s="289"/>
    </row>
    <row r="498" spans="14:14">
      <c r="N498" s="289"/>
    </row>
    <row r="499" spans="14:14">
      <c r="N499" s="289"/>
    </row>
    <row r="500" spans="14:14">
      <c r="N500" s="289"/>
    </row>
    <row r="501" spans="14:14">
      <c r="N501" s="289"/>
    </row>
    <row r="502" spans="14:14">
      <c r="N502" s="289"/>
    </row>
    <row r="503" spans="14:14">
      <c r="N503" s="289"/>
    </row>
    <row r="504" spans="14:14">
      <c r="N504" s="289"/>
    </row>
    <row r="505" spans="14:14">
      <c r="N505" s="289"/>
    </row>
    <row r="506" spans="14:14">
      <c r="N506" s="289"/>
    </row>
    <row r="507" spans="14:14">
      <c r="N507" s="289"/>
    </row>
    <row r="508" spans="14:14">
      <c r="N508" s="289"/>
    </row>
    <row r="509" spans="14:14">
      <c r="N509" s="289"/>
    </row>
    <row r="510" spans="14:14">
      <c r="N510" s="289"/>
    </row>
    <row r="511" spans="14:14">
      <c r="N511" s="289"/>
    </row>
    <row r="512" spans="14:14">
      <c r="N512" s="289"/>
    </row>
    <row r="513" spans="14:14">
      <c r="N513" s="289"/>
    </row>
    <row r="514" spans="14:14">
      <c r="N514" s="289"/>
    </row>
    <row r="515" spans="14:14">
      <c r="N515" s="289"/>
    </row>
    <row r="516" spans="14:14">
      <c r="N516" s="289"/>
    </row>
    <row r="517" spans="14:14">
      <c r="N517" s="289"/>
    </row>
    <row r="518" spans="14:14">
      <c r="N518" s="289"/>
    </row>
    <row r="519" spans="14:14">
      <c r="N519" s="289"/>
    </row>
    <row r="520" spans="14:14">
      <c r="N520" s="289"/>
    </row>
    <row r="521" spans="14:14">
      <c r="N521" s="289"/>
    </row>
    <row r="522" spans="14:14">
      <c r="N522" s="289"/>
    </row>
    <row r="523" spans="14:14">
      <c r="N523" s="289"/>
    </row>
    <row r="524" spans="14:14">
      <c r="N524" s="289"/>
    </row>
    <row r="525" spans="14:14">
      <c r="N525" s="289"/>
    </row>
    <row r="526" spans="14:14">
      <c r="N526" s="289"/>
    </row>
    <row r="527" spans="14:14">
      <c r="N527" s="289"/>
    </row>
    <row r="528" spans="14:14">
      <c r="N528" s="289"/>
    </row>
    <row r="529" spans="14:14">
      <c r="N529" s="289"/>
    </row>
    <row r="530" spans="14:14">
      <c r="N530" s="289"/>
    </row>
    <row r="531" spans="14:14">
      <c r="N531" s="289"/>
    </row>
    <row r="532" spans="14:14">
      <c r="N532" s="289"/>
    </row>
    <row r="533" spans="14:14">
      <c r="N533" s="289"/>
    </row>
    <row r="534" spans="14:14">
      <c r="N534" s="289"/>
    </row>
    <row r="535" spans="14:14">
      <c r="N535" s="289"/>
    </row>
    <row r="536" spans="14:14">
      <c r="N536" s="289"/>
    </row>
    <row r="537" spans="14:14">
      <c r="N537" s="289"/>
    </row>
    <row r="538" spans="14:14">
      <c r="N538" s="289"/>
    </row>
    <row r="539" spans="14:14">
      <c r="N539" s="289"/>
    </row>
    <row r="540" spans="14:14">
      <c r="N540" s="289"/>
    </row>
    <row r="541" spans="14:14">
      <c r="N541" s="289"/>
    </row>
    <row r="542" spans="14:14">
      <c r="N542" s="289"/>
    </row>
    <row r="543" spans="14:14">
      <c r="N543" s="289"/>
    </row>
    <row r="544" spans="14:14">
      <c r="N544" s="289"/>
    </row>
    <row r="545" spans="14:14">
      <c r="N545" s="289"/>
    </row>
    <row r="546" spans="14:14">
      <c r="N546" s="289"/>
    </row>
    <row r="547" spans="14:14">
      <c r="N547" s="289"/>
    </row>
    <row r="548" spans="14:14">
      <c r="N548" s="289"/>
    </row>
    <row r="549" spans="14:14">
      <c r="N549" s="289"/>
    </row>
    <row r="550" spans="14:14">
      <c r="N550" s="289"/>
    </row>
    <row r="551" spans="14:14">
      <c r="N551" s="289"/>
    </row>
    <row r="552" spans="14:14">
      <c r="N552" s="289"/>
    </row>
    <row r="553" spans="14:14">
      <c r="N553" s="289"/>
    </row>
    <row r="554" spans="14:14">
      <c r="N554" s="289"/>
    </row>
    <row r="555" spans="14:14">
      <c r="N555" s="289"/>
    </row>
    <row r="556" spans="14:14">
      <c r="N556" s="289"/>
    </row>
    <row r="557" spans="14:14">
      <c r="N557" s="289"/>
    </row>
    <row r="558" spans="14:14">
      <c r="N558" s="289"/>
    </row>
    <row r="559" spans="14:14">
      <c r="N559" s="289"/>
    </row>
    <row r="560" spans="14:14">
      <c r="N560" s="289"/>
    </row>
    <row r="561" spans="14:14">
      <c r="N561" s="289"/>
    </row>
    <row r="562" spans="14:14">
      <c r="N562" s="289"/>
    </row>
    <row r="563" spans="14:14">
      <c r="N563" s="289"/>
    </row>
    <row r="564" spans="14:14">
      <c r="N564" s="289"/>
    </row>
    <row r="565" spans="14:14">
      <c r="N565" s="289"/>
    </row>
    <row r="566" spans="14:14">
      <c r="N566" s="289"/>
    </row>
    <row r="567" spans="14:14">
      <c r="N567" s="289"/>
    </row>
    <row r="568" spans="14:14">
      <c r="N568" s="289"/>
    </row>
    <row r="569" spans="14:14">
      <c r="N569" s="289"/>
    </row>
    <row r="570" spans="14:14">
      <c r="N570" s="289"/>
    </row>
    <row r="571" spans="14:14">
      <c r="N571" s="289"/>
    </row>
    <row r="572" spans="14:14">
      <c r="N572" s="289"/>
    </row>
    <row r="573" spans="14:14">
      <c r="N573" s="289"/>
    </row>
    <row r="574" spans="14:14">
      <c r="N574" s="289"/>
    </row>
    <row r="575" spans="14:14">
      <c r="N575" s="289"/>
    </row>
    <row r="576" spans="14:14">
      <c r="N576" s="289"/>
    </row>
    <row r="577" spans="14:14">
      <c r="N577" s="289"/>
    </row>
    <row r="578" spans="14:14">
      <c r="N578" s="289"/>
    </row>
    <row r="579" spans="14:14">
      <c r="N579" s="289"/>
    </row>
    <row r="580" spans="14:14">
      <c r="N580" s="289"/>
    </row>
    <row r="581" spans="14:14">
      <c r="N581" s="289"/>
    </row>
    <row r="582" spans="14:14">
      <c r="N582" s="289"/>
    </row>
    <row r="583" spans="14:14">
      <c r="N583" s="289"/>
    </row>
    <row r="584" spans="14:14">
      <c r="N584" s="289"/>
    </row>
    <row r="585" spans="14:14">
      <c r="N585" s="289"/>
    </row>
    <row r="586" spans="14:14">
      <c r="N586" s="289"/>
    </row>
    <row r="587" spans="14:14">
      <c r="N587" s="289"/>
    </row>
    <row r="588" spans="14:14">
      <c r="N588" s="289"/>
    </row>
    <row r="589" spans="14:14">
      <c r="N589" s="289"/>
    </row>
    <row r="590" spans="14:14">
      <c r="N590" s="289"/>
    </row>
    <row r="591" spans="14:14">
      <c r="N591" s="289"/>
    </row>
    <row r="592" spans="14:14">
      <c r="N592" s="289"/>
    </row>
    <row r="593" spans="14:14">
      <c r="N593" s="289"/>
    </row>
    <row r="594" spans="14:14">
      <c r="N594" s="289"/>
    </row>
    <row r="595" spans="14:14">
      <c r="N595" s="289"/>
    </row>
    <row r="596" spans="14:14">
      <c r="N596" s="289"/>
    </row>
    <row r="597" spans="14:14">
      <c r="N597" s="289"/>
    </row>
    <row r="598" spans="14:14">
      <c r="N598" s="289"/>
    </row>
    <row r="599" spans="14:14">
      <c r="N599" s="289"/>
    </row>
    <row r="600" spans="14:14">
      <c r="N600" s="289"/>
    </row>
    <row r="601" spans="14:14">
      <c r="N601" s="289"/>
    </row>
    <row r="602" spans="14:14">
      <c r="N602" s="289"/>
    </row>
    <row r="603" spans="14:14">
      <c r="N603" s="289"/>
    </row>
    <row r="604" spans="14:14">
      <c r="N604" s="289"/>
    </row>
    <row r="605" spans="14:14">
      <c r="N605" s="289"/>
    </row>
    <row r="606" spans="14:14">
      <c r="N606" s="289"/>
    </row>
    <row r="607" spans="14:14">
      <c r="N607" s="289"/>
    </row>
    <row r="608" spans="14:14">
      <c r="N608" s="289"/>
    </row>
    <row r="609" spans="14:14">
      <c r="N609" s="289"/>
    </row>
    <row r="610" spans="14:14">
      <c r="N610" s="289"/>
    </row>
    <row r="611" spans="14:14">
      <c r="N611" s="289"/>
    </row>
    <row r="612" spans="14:14">
      <c r="N612" s="289"/>
    </row>
    <row r="613" spans="14:14">
      <c r="N613" s="289"/>
    </row>
    <row r="614" spans="14:14">
      <c r="N614" s="289"/>
    </row>
    <row r="615" spans="14:14">
      <c r="N615" s="289"/>
    </row>
    <row r="616" spans="14:14">
      <c r="N616" s="289"/>
    </row>
    <row r="617" spans="14:14">
      <c r="N617" s="289"/>
    </row>
    <row r="618" spans="14:14">
      <c r="N618" s="289"/>
    </row>
    <row r="619" spans="14:14">
      <c r="N619" s="289"/>
    </row>
    <row r="620" spans="14:14">
      <c r="N620" s="289"/>
    </row>
    <row r="621" spans="14:14">
      <c r="N621" s="289"/>
    </row>
    <row r="622" spans="14:14">
      <c r="N622" s="289"/>
    </row>
    <row r="623" spans="14:14">
      <c r="N623" s="289"/>
    </row>
    <row r="624" spans="14:14">
      <c r="N624" s="289"/>
    </row>
    <row r="625" spans="14:14">
      <c r="N625" s="289"/>
    </row>
    <row r="626" spans="14:14">
      <c r="N626" s="289"/>
    </row>
    <row r="627" spans="14:14">
      <c r="N627" s="289"/>
    </row>
    <row r="628" spans="14:14">
      <c r="N628" s="289"/>
    </row>
    <row r="629" spans="14:14">
      <c r="N629" s="289"/>
    </row>
    <row r="630" spans="14:14">
      <c r="N630" s="289"/>
    </row>
    <row r="631" spans="14:14">
      <c r="N631" s="289"/>
    </row>
    <row r="632" spans="14:14">
      <c r="N632" s="289"/>
    </row>
    <row r="633" spans="14:14">
      <c r="N633" s="289"/>
    </row>
    <row r="634" spans="14:14">
      <c r="N634" s="289"/>
    </row>
    <row r="635" spans="14:14">
      <c r="N635" s="289"/>
    </row>
    <row r="636" spans="14:14">
      <c r="N636" s="289"/>
    </row>
    <row r="637" spans="14:14">
      <c r="N637" s="289"/>
    </row>
    <row r="638" spans="14:14">
      <c r="N638" s="289"/>
    </row>
    <row r="639" spans="14:14">
      <c r="N639" s="289"/>
    </row>
    <row r="640" spans="14:14">
      <c r="N640" s="289"/>
    </row>
    <row r="641" spans="14:14">
      <c r="N641" s="289"/>
    </row>
    <row r="642" spans="14:14">
      <c r="N642" s="289"/>
    </row>
    <row r="643" spans="14:14">
      <c r="N643" s="289"/>
    </row>
    <row r="644" spans="14:14">
      <c r="N644" s="289"/>
    </row>
    <row r="645" spans="14:14">
      <c r="N645" s="289"/>
    </row>
    <row r="646" spans="14:14">
      <c r="N646" s="289"/>
    </row>
    <row r="647" spans="14:14">
      <c r="N647" s="289"/>
    </row>
    <row r="648" spans="14:14">
      <c r="N648" s="289"/>
    </row>
    <row r="649" spans="14:14">
      <c r="N649" s="289"/>
    </row>
    <row r="650" spans="14:14">
      <c r="N650" s="289"/>
    </row>
    <row r="651" spans="14:14">
      <c r="N651" s="289"/>
    </row>
    <row r="652" spans="14:14">
      <c r="N652" s="289"/>
    </row>
    <row r="653" spans="14:14">
      <c r="N653" s="289"/>
    </row>
    <row r="654" spans="14:14">
      <c r="N654" s="289"/>
    </row>
    <row r="655" spans="14:14">
      <c r="N655" s="289"/>
    </row>
    <row r="656" spans="14:14">
      <c r="N656" s="289"/>
    </row>
    <row r="657" spans="14:14">
      <c r="N657" s="289"/>
    </row>
    <row r="658" spans="14:14">
      <c r="N658" s="289"/>
    </row>
    <row r="659" spans="14:14">
      <c r="N659" s="289"/>
    </row>
    <row r="660" spans="14:14">
      <c r="N660" s="289"/>
    </row>
    <row r="661" spans="14:14">
      <c r="N661" s="289"/>
    </row>
    <row r="662" spans="14:14">
      <c r="N662" s="289"/>
    </row>
    <row r="663" spans="14:14">
      <c r="N663" s="289"/>
    </row>
    <row r="664" spans="14:14">
      <c r="N664" s="289"/>
    </row>
    <row r="665" spans="14:14">
      <c r="N665" s="289"/>
    </row>
    <row r="666" spans="14:14">
      <c r="N666" s="289"/>
    </row>
    <row r="667" spans="14:14">
      <c r="N667" s="289"/>
    </row>
    <row r="668" spans="14:14">
      <c r="N668" s="289"/>
    </row>
    <row r="669" spans="14:14">
      <c r="N669" s="289"/>
    </row>
    <row r="670" spans="14:14">
      <c r="N670" s="289"/>
    </row>
    <row r="671" spans="14:14">
      <c r="N671" s="289"/>
    </row>
    <row r="672" spans="14:14">
      <c r="N672" s="289"/>
    </row>
    <row r="673" spans="14:14">
      <c r="N673" s="289"/>
    </row>
    <row r="674" spans="14:14">
      <c r="N674" s="289"/>
    </row>
    <row r="675" spans="14:14">
      <c r="N675" s="289"/>
    </row>
    <row r="676" spans="14:14">
      <c r="N676" s="289"/>
    </row>
    <row r="677" spans="14:14">
      <c r="N677" s="289"/>
    </row>
    <row r="678" spans="14:14">
      <c r="N678" s="289"/>
    </row>
    <row r="679" spans="14:14">
      <c r="N679" s="289"/>
    </row>
    <row r="680" spans="14:14">
      <c r="N680" s="289"/>
    </row>
    <row r="681" spans="14:14">
      <c r="N681" s="289"/>
    </row>
    <row r="682" spans="14:14">
      <c r="N682" s="289"/>
    </row>
    <row r="683" spans="14:14">
      <c r="N683" s="289"/>
    </row>
    <row r="684" spans="14:14">
      <c r="N684" s="289"/>
    </row>
    <row r="685" spans="14:14">
      <c r="N685" s="289"/>
    </row>
    <row r="686" spans="14:14">
      <c r="N686" s="289"/>
    </row>
    <row r="687" spans="14:14">
      <c r="N687" s="289"/>
    </row>
    <row r="688" spans="14:14">
      <c r="N688" s="289"/>
    </row>
    <row r="689" spans="14:14">
      <c r="N689" s="289"/>
    </row>
    <row r="690" spans="14:14">
      <c r="N690" s="289"/>
    </row>
    <row r="691" spans="14:14">
      <c r="N691" s="289"/>
    </row>
    <row r="692" spans="14:14">
      <c r="N692" s="289"/>
    </row>
    <row r="693" spans="14:14">
      <c r="N693" s="289"/>
    </row>
    <row r="694" spans="14:14">
      <c r="N694" s="289"/>
    </row>
    <row r="695" spans="14:14">
      <c r="N695" s="289"/>
    </row>
    <row r="696" spans="14:14">
      <c r="N696" s="289"/>
    </row>
    <row r="697" spans="14:14">
      <c r="N697" s="289"/>
    </row>
    <row r="698" spans="14:14">
      <c r="N698" s="289"/>
    </row>
    <row r="699" spans="14:14">
      <c r="N699" s="289"/>
    </row>
    <row r="700" spans="14:14">
      <c r="N700" s="289"/>
    </row>
    <row r="701" spans="14:14">
      <c r="N701" s="289"/>
    </row>
    <row r="702" spans="14:14">
      <c r="N702" s="289"/>
    </row>
    <row r="703" spans="14:14">
      <c r="N703" s="289"/>
    </row>
    <row r="704" spans="14:14">
      <c r="N704" s="289"/>
    </row>
    <row r="705" spans="14:14">
      <c r="N705" s="289"/>
    </row>
    <row r="706" spans="14:14">
      <c r="N706" s="289"/>
    </row>
    <row r="707" spans="14:14">
      <c r="N707" s="289"/>
    </row>
    <row r="708" spans="14:14">
      <c r="N708" s="289"/>
    </row>
    <row r="709" spans="14:14">
      <c r="N709" s="289"/>
    </row>
    <row r="710" spans="14:14">
      <c r="N710" s="289"/>
    </row>
    <row r="711" spans="14:14">
      <c r="N711" s="289"/>
    </row>
    <row r="712" spans="14:14">
      <c r="N712" s="289"/>
    </row>
    <row r="713" spans="14:14">
      <c r="N713" s="289"/>
    </row>
    <row r="714" spans="14:14">
      <c r="N714" s="289"/>
    </row>
    <row r="715" spans="14:14">
      <c r="N715" s="289"/>
    </row>
    <row r="716" spans="14:14">
      <c r="N716" s="289"/>
    </row>
    <row r="717" spans="14:14">
      <c r="N717" s="289"/>
    </row>
    <row r="718" spans="14:14">
      <c r="N718" s="289"/>
    </row>
    <row r="719" spans="14:14">
      <c r="N719" s="289"/>
    </row>
    <row r="720" spans="14:14">
      <c r="N720" s="289"/>
    </row>
    <row r="721" spans="14:14">
      <c r="N721" s="289"/>
    </row>
    <row r="722" spans="14:14">
      <c r="N722" s="289"/>
    </row>
    <row r="723" spans="14:14">
      <c r="N723" s="289"/>
    </row>
    <row r="724" spans="14:14">
      <c r="N724" s="289"/>
    </row>
    <row r="725" spans="14:14">
      <c r="N725" s="289"/>
    </row>
    <row r="726" spans="14:14">
      <c r="N726" s="289"/>
    </row>
    <row r="727" spans="14:14">
      <c r="N727" s="289"/>
    </row>
    <row r="728" spans="14:14">
      <c r="N728" s="289"/>
    </row>
    <row r="729" spans="14:14">
      <c r="N729" s="289"/>
    </row>
    <row r="730" spans="14:14">
      <c r="N730" s="289"/>
    </row>
    <row r="731" spans="14:14">
      <c r="N731" s="289"/>
    </row>
    <row r="732" spans="14:14">
      <c r="N732" s="289"/>
    </row>
    <row r="733" spans="14:14">
      <c r="N733" s="289"/>
    </row>
    <row r="734" spans="14:14">
      <c r="N734" s="289"/>
    </row>
    <row r="735" spans="14:14">
      <c r="N735" s="289"/>
    </row>
    <row r="736" spans="14:14">
      <c r="N736" s="289"/>
    </row>
    <row r="737" spans="14:14">
      <c r="N737" s="289"/>
    </row>
    <row r="738" spans="14:14">
      <c r="N738" s="289"/>
    </row>
    <row r="739" spans="14:14">
      <c r="N739" s="289"/>
    </row>
    <row r="740" spans="14:14">
      <c r="N740" s="289"/>
    </row>
    <row r="741" spans="14:14">
      <c r="N741" s="289"/>
    </row>
    <row r="742" spans="14:14">
      <c r="N742" s="289"/>
    </row>
    <row r="743" spans="14:14">
      <c r="N743" s="289"/>
    </row>
    <row r="744" spans="14:14">
      <c r="N744" s="289"/>
    </row>
    <row r="745" spans="14:14">
      <c r="N745" s="289"/>
    </row>
    <row r="746" spans="14:14">
      <c r="N746" s="289"/>
    </row>
    <row r="747" spans="14:14">
      <c r="N747" s="289"/>
    </row>
    <row r="748" spans="14:14">
      <c r="N748" s="289"/>
    </row>
    <row r="749" spans="14:14">
      <c r="N749" s="289"/>
    </row>
    <row r="750" spans="14:14">
      <c r="N750" s="289"/>
    </row>
    <row r="751" spans="14:14">
      <c r="N751" s="289"/>
    </row>
    <row r="752" spans="14:14">
      <c r="N752" s="289"/>
    </row>
    <row r="753" spans="14:14">
      <c r="N753" s="289"/>
    </row>
    <row r="754" spans="14:14">
      <c r="N754" s="289"/>
    </row>
    <row r="755" spans="14:14">
      <c r="N755" s="289"/>
    </row>
    <row r="756" spans="14:14">
      <c r="N756" s="289"/>
    </row>
    <row r="757" spans="14:14">
      <c r="N757" s="289"/>
    </row>
    <row r="758" spans="14:14">
      <c r="N758" s="289"/>
    </row>
    <row r="759" spans="14:14">
      <c r="N759" s="289"/>
    </row>
    <row r="760" spans="14:14">
      <c r="N760" s="289"/>
    </row>
    <row r="761" spans="14:14">
      <c r="N761" s="289"/>
    </row>
    <row r="762" spans="14:14">
      <c r="N762" s="289"/>
    </row>
    <row r="763" spans="14:14">
      <c r="N763" s="289"/>
    </row>
    <row r="764" spans="14:14">
      <c r="N764" s="289"/>
    </row>
    <row r="765" spans="14:14">
      <c r="N765" s="289"/>
    </row>
    <row r="766" spans="14:14">
      <c r="N766" s="289"/>
    </row>
    <row r="767" spans="14:14">
      <c r="N767" s="289"/>
    </row>
    <row r="768" spans="14:14">
      <c r="N768" s="289"/>
    </row>
    <row r="769" spans="14:14">
      <c r="N769" s="289"/>
    </row>
    <row r="770" spans="14:14">
      <c r="N770" s="289"/>
    </row>
    <row r="771" spans="14:14">
      <c r="N771" s="289"/>
    </row>
    <row r="772" spans="14:14">
      <c r="N772" s="289"/>
    </row>
    <row r="773" spans="14:14">
      <c r="N773" s="289"/>
    </row>
    <row r="774" spans="14:14">
      <c r="N774" s="289"/>
    </row>
    <row r="775" spans="14:14">
      <c r="N775" s="289"/>
    </row>
    <row r="776" spans="14:14">
      <c r="N776" s="289"/>
    </row>
    <row r="777" spans="14:14">
      <c r="N777" s="289"/>
    </row>
    <row r="778" spans="14:14">
      <c r="N778" s="289"/>
    </row>
    <row r="779" spans="14:14">
      <c r="N779" s="289"/>
    </row>
    <row r="780" spans="14:14">
      <c r="N780" s="289"/>
    </row>
    <row r="781" spans="14:14">
      <c r="N781" s="289"/>
    </row>
    <row r="782" spans="14:14">
      <c r="N782" s="289"/>
    </row>
    <row r="783" spans="14:14">
      <c r="N783" s="289"/>
    </row>
    <row r="784" spans="14:14">
      <c r="N784" s="289"/>
    </row>
    <row r="785" spans="14:14">
      <c r="N785" s="289"/>
    </row>
    <row r="786" spans="14:14">
      <c r="N786" s="289"/>
    </row>
    <row r="787" spans="14:14">
      <c r="N787" s="289"/>
    </row>
    <row r="788" spans="14:14">
      <c r="N788" s="289"/>
    </row>
    <row r="789" spans="14:14">
      <c r="N789" s="289"/>
    </row>
    <row r="790" spans="14:14">
      <c r="N790" s="289"/>
    </row>
    <row r="791" spans="14:14">
      <c r="N791" s="289"/>
    </row>
    <row r="792" spans="14:14">
      <c r="N792" s="289"/>
    </row>
    <row r="793" spans="14:14">
      <c r="N793" s="289"/>
    </row>
    <row r="794" spans="14:14">
      <c r="N794" s="289"/>
    </row>
    <row r="795" spans="14:14">
      <c r="N795" s="289"/>
    </row>
    <row r="796" spans="14:14">
      <c r="N796" s="289"/>
    </row>
    <row r="797" spans="14:14">
      <c r="N797" s="289"/>
    </row>
    <row r="798" spans="14:14">
      <c r="N798" s="289"/>
    </row>
    <row r="799" spans="14:14">
      <c r="N799" s="289"/>
    </row>
    <row r="800" spans="14:14">
      <c r="N800" s="289"/>
    </row>
    <row r="801" spans="14:14">
      <c r="N801" s="289"/>
    </row>
    <row r="802" spans="14:14">
      <c r="N802" s="289"/>
    </row>
    <row r="803" spans="14:14">
      <c r="N803" s="289"/>
    </row>
    <row r="804" spans="14:14">
      <c r="N804" s="289"/>
    </row>
    <row r="805" spans="14:14">
      <c r="N805" s="289"/>
    </row>
    <row r="806" spans="14:14">
      <c r="N806" s="289"/>
    </row>
    <row r="807" spans="14:14">
      <c r="N807" s="289"/>
    </row>
    <row r="808" spans="14:14">
      <c r="N808" s="289"/>
    </row>
    <row r="809" spans="14:14">
      <c r="N809" s="289"/>
    </row>
    <row r="810" spans="14:14">
      <c r="N810" s="289"/>
    </row>
    <row r="811" spans="14:14">
      <c r="N811" s="289"/>
    </row>
    <row r="812" spans="14:14">
      <c r="N812" s="289"/>
    </row>
    <row r="813" spans="14:14">
      <c r="N813" s="289"/>
    </row>
    <row r="814" spans="14:14">
      <c r="N814" s="289"/>
    </row>
    <row r="815" spans="14:14">
      <c r="N815" s="289"/>
    </row>
    <row r="816" spans="14:14">
      <c r="N816" s="289"/>
    </row>
    <row r="817" spans="14:14">
      <c r="N817" s="289"/>
    </row>
    <row r="818" spans="14:14">
      <c r="N818" s="289"/>
    </row>
    <row r="819" spans="14:14">
      <c r="N819" s="289"/>
    </row>
    <row r="820" spans="14:14">
      <c r="N820" s="289"/>
    </row>
    <row r="821" spans="14:14">
      <c r="N821" s="289"/>
    </row>
    <row r="822" spans="14:14">
      <c r="N822" s="289"/>
    </row>
    <row r="823" spans="14:14">
      <c r="N823" s="289"/>
    </row>
    <row r="824" spans="14:14">
      <c r="N824" s="289"/>
    </row>
    <row r="825" spans="14:14">
      <c r="N825" s="289"/>
    </row>
    <row r="826" spans="14:14">
      <c r="N826" s="289"/>
    </row>
    <row r="827" spans="14:14">
      <c r="N827" s="289"/>
    </row>
    <row r="828" spans="14:14">
      <c r="N828" s="289"/>
    </row>
    <row r="829" spans="14:14">
      <c r="N829" s="289"/>
    </row>
    <row r="830" spans="14:14">
      <c r="N830" s="289"/>
    </row>
    <row r="831" spans="14:14">
      <c r="N831" s="289"/>
    </row>
    <row r="832" spans="14:14">
      <c r="N832" s="289"/>
    </row>
    <row r="833" spans="14:14">
      <c r="N833" s="289"/>
    </row>
    <row r="834" spans="14:14">
      <c r="N834" s="289"/>
    </row>
    <row r="835" spans="14:14">
      <c r="N835" s="289"/>
    </row>
    <row r="836" spans="14:14">
      <c r="N836" s="289"/>
    </row>
    <row r="837" spans="14:14">
      <c r="N837" s="289"/>
    </row>
    <row r="838" spans="14:14">
      <c r="N838" s="289"/>
    </row>
    <row r="839" spans="14:14">
      <c r="N839" s="289"/>
    </row>
    <row r="840" spans="14:14">
      <c r="N840" s="289"/>
    </row>
    <row r="841" spans="14:14">
      <c r="N841" s="289"/>
    </row>
    <row r="842" spans="14:14">
      <c r="N842" s="289"/>
    </row>
    <row r="843" spans="14:14">
      <c r="N843" s="289"/>
    </row>
    <row r="844" spans="14:14">
      <c r="N844" s="289"/>
    </row>
    <row r="845" spans="14:14">
      <c r="N845" s="289"/>
    </row>
    <row r="846" spans="14:14">
      <c r="N846" s="289"/>
    </row>
    <row r="847" spans="14:14">
      <c r="N847" s="289"/>
    </row>
    <row r="848" spans="14:14">
      <c r="N848" s="289"/>
    </row>
    <row r="849" spans="14:14">
      <c r="N849" s="289"/>
    </row>
    <row r="850" spans="14:14">
      <c r="N850" s="289"/>
    </row>
    <row r="851" spans="14:14">
      <c r="N851" s="289"/>
    </row>
    <row r="852" spans="14:14">
      <c r="N852" s="289"/>
    </row>
    <row r="853" spans="14:14">
      <c r="N853" s="289"/>
    </row>
    <row r="854" spans="14:14">
      <c r="N854" s="289"/>
    </row>
    <row r="855" spans="14:14">
      <c r="N855" s="289"/>
    </row>
    <row r="856" spans="14:14">
      <c r="N856" s="289"/>
    </row>
    <row r="857" spans="14:14">
      <c r="N857" s="289"/>
    </row>
    <row r="858" spans="14:14">
      <c r="N858" s="289"/>
    </row>
    <row r="859" spans="14:14">
      <c r="N859" s="289"/>
    </row>
    <row r="860" spans="14:14">
      <c r="N860" s="289"/>
    </row>
    <row r="861" spans="14:14">
      <c r="N861" s="289"/>
    </row>
    <row r="862" spans="14:14">
      <c r="N862" s="289"/>
    </row>
    <row r="863" spans="14:14">
      <c r="N863" s="289"/>
    </row>
    <row r="864" spans="14:14">
      <c r="N864" s="289"/>
    </row>
    <row r="865" spans="14:14">
      <c r="N865" s="289"/>
    </row>
    <row r="866" spans="14:14">
      <c r="N866" s="289"/>
    </row>
    <row r="867" spans="14:14">
      <c r="N867" s="289"/>
    </row>
    <row r="868" spans="14:14">
      <c r="N868" s="289"/>
    </row>
    <row r="869" spans="14:14">
      <c r="N869" s="289"/>
    </row>
    <row r="870" spans="14:14">
      <c r="N870" s="289"/>
    </row>
    <row r="871" spans="14:14">
      <c r="N871" s="289"/>
    </row>
    <row r="872" spans="14:14">
      <c r="N872" s="289"/>
    </row>
    <row r="873" spans="14:14">
      <c r="N873" s="289"/>
    </row>
    <row r="874" spans="14:14">
      <c r="N874" s="289"/>
    </row>
    <row r="875" spans="14:14">
      <c r="N875" s="289"/>
    </row>
    <row r="876" spans="14:14">
      <c r="N876" s="289"/>
    </row>
    <row r="877" spans="14:14">
      <c r="N877" s="289"/>
    </row>
    <row r="878" spans="14:14">
      <c r="N878" s="289"/>
    </row>
    <row r="879" spans="14:14">
      <c r="N879" s="289"/>
    </row>
    <row r="880" spans="14:14">
      <c r="N880" s="289"/>
    </row>
    <row r="881" spans="14:14">
      <c r="N881" s="289"/>
    </row>
    <row r="882" spans="14:14">
      <c r="N882" s="289"/>
    </row>
    <row r="883" spans="14:14">
      <c r="N883" s="289"/>
    </row>
    <row r="884" spans="14:14">
      <c r="N884" s="289"/>
    </row>
    <row r="885" spans="14:14">
      <c r="N885" s="289"/>
    </row>
    <row r="886" spans="14:14">
      <c r="N886" s="289"/>
    </row>
    <row r="887" spans="14:14">
      <c r="N887" s="289"/>
    </row>
    <row r="888" spans="14:14">
      <c r="N888" s="289"/>
    </row>
    <row r="889" spans="14:14">
      <c r="N889" s="289"/>
    </row>
    <row r="890" spans="14:14">
      <c r="N890" s="289"/>
    </row>
    <row r="891" spans="14:14">
      <c r="N891" s="289"/>
    </row>
    <row r="892" spans="14:14">
      <c r="N892" s="289"/>
    </row>
    <row r="893" spans="14:14">
      <c r="N893" s="289"/>
    </row>
    <row r="894" spans="14:14">
      <c r="N894" s="289"/>
    </row>
    <row r="895" spans="14:14">
      <c r="N895" s="289"/>
    </row>
    <row r="896" spans="14:14">
      <c r="N896" s="289"/>
    </row>
    <row r="897" spans="14:14">
      <c r="N897" s="289"/>
    </row>
    <row r="898" spans="14:14">
      <c r="N898" s="289"/>
    </row>
    <row r="899" spans="14:14">
      <c r="N899" s="289"/>
    </row>
    <row r="900" spans="14:14">
      <c r="N900" s="289"/>
    </row>
    <row r="901" spans="14:14">
      <c r="N901" s="289"/>
    </row>
    <row r="902" spans="14:14">
      <c r="N902" s="289"/>
    </row>
    <row r="903" spans="14:14">
      <c r="N903" s="289"/>
    </row>
    <row r="904" spans="14:14">
      <c r="N904" s="289"/>
    </row>
    <row r="905" spans="14:14">
      <c r="N905" s="289"/>
    </row>
    <row r="906" spans="14:14">
      <c r="N906" s="289"/>
    </row>
    <row r="907" spans="14:14">
      <c r="N907" s="289"/>
    </row>
    <row r="908" spans="14:14">
      <c r="N908" s="289"/>
    </row>
    <row r="909" spans="14:14">
      <c r="N909" s="289"/>
    </row>
    <row r="910" spans="14:14">
      <c r="N910" s="289"/>
    </row>
    <row r="911" spans="14:14">
      <c r="N911" s="289"/>
    </row>
    <row r="912" spans="14:14">
      <c r="N912" s="289"/>
    </row>
    <row r="913" spans="14:14">
      <c r="N913" s="289"/>
    </row>
    <row r="914" spans="14:14">
      <c r="N914" s="289"/>
    </row>
    <row r="915" spans="14:14">
      <c r="N915" s="289"/>
    </row>
    <row r="916" spans="14:14">
      <c r="N916" s="289"/>
    </row>
    <row r="917" spans="14:14">
      <c r="N917" s="289"/>
    </row>
    <row r="918" spans="14:14">
      <c r="N918" s="289"/>
    </row>
    <row r="919" spans="14:14">
      <c r="N919" s="289"/>
    </row>
    <row r="920" spans="14:14">
      <c r="N920" s="289"/>
    </row>
    <row r="921" spans="14:14">
      <c r="N921" s="289"/>
    </row>
    <row r="922" spans="14:14">
      <c r="N922" s="289"/>
    </row>
    <row r="923" spans="14:14">
      <c r="N923" s="289"/>
    </row>
    <row r="924" spans="14:14">
      <c r="N924" s="289"/>
    </row>
    <row r="925" spans="14:14">
      <c r="N925" s="289"/>
    </row>
    <row r="926" spans="14:14">
      <c r="N926" s="289"/>
    </row>
    <row r="927" spans="14:14">
      <c r="N927" s="289"/>
    </row>
    <row r="928" spans="14:14">
      <c r="N928" s="289"/>
    </row>
    <row r="929" spans="14:14">
      <c r="N929" s="289"/>
    </row>
    <row r="930" spans="14:14">
      <c r="N930" s="289"/>
    </row>
    <row r="931" spans="14:14">
      <c r="N931" s="289"/>
    </row>
    <row r="932" spans="14:14">
      <c r="N932" s="289"/>
    </row>
    <row r="933" spans="14:14">
      <c r="N933" s="289"/>
    </row>
    <row r="934" spans="14:14">
      <c r="N934" s="289"/>
    </row>
    <row r="935" spans="14:14">
      <c r="N935" s="289"/>
    </row>
    <row r="936" spans="14:14">
      <c r="N936" s="289"/>
    </row>
    <row r="937" spans="14:14">
      <c r="N937" s="289"/>
    </row>
    <row r="938" spans="14:14">
      <c r="N938" s="289"/>
    </row>
    <row r="939" spans="14:14">
      <c r="N939" s="289"/>
    </row>
    <row r="940" spans="14:14">
      <c r="N940" s="289"/>
    </row>
    <row r="941" spans="14:14">
      <c r="N941" s="289"/>
    </row>
    <row r="942" spans="14:14">
      <c r="N942" s="289"/>
    </row>
    <row r="943" spans="14:14">
      <c r="N943" s="289"/>
    </row>
    <row r="944" spans="14:14">
      <c r="N944" s="289"/>
    </row>
    <row r="945" spans="14:14">
      <c r="N945" s="289"/>
    </row>
    <row r="946" spans="14:14">
      <c r="N946" s="289"/>
    </row>
    <row r="947" spans="14:14">
      <c r="N947" s="289"/>
    </row>
    <row r="948" spans="14:14">
      <c r="N948" s="289"/>
    </row>
    <row r="949" spans="14:14">
      <c r="N949" s="289"/>
    </row>
    <row r="950" spans="14:14">
      <c r="N950" s="289"/>
    </row>
    <row r="951" spans="14:14">
      <c r="N951" s="289"/>
    </row>
    <row r="952" spans="14:14">
      <c r="N952" s="289"/>
    </row>
    <row r="953" spans="14:14">
      <c r="N953" s="289"/>
    </row>
    <row r="954" spans="14:14">
      <c r="N954" s="289"/>
    </row>
    <row r="955" spans="14:14">
      <c r="N955" s="289"/>
    </row>
    <row r="956" spans="14:14">
      <c r="N956" s="289"/>
    </row>
    <row r="957" spans="14:14">
      <c r="N957" s="289"/>
    </row>
    <row r="958" spans="14:14">
      <c r="N958" s="289"/>
    </row>
    <row r="959" spans="14:14">
      <c r="N959" s="289"/>
    </row>
    <row r="960" spans="14:14">
      <c r="N960" s="289"/>
    </row>
    <row r="961" spans="14:14">
      <c r="N961" s="289"/>
    </row>
    <row r="962" spans="14:14">
      <c r="N962" s="289"/>
    </row>
    <row r="963" spans="14:14">
      <c r="N963" s="289"/>
    </row>
    <row r="964" spans="14:14">
      <c r="N964" s="289"/>
    </row>
    <row r="965" spans="14:14">
      <c r="N965" s="289"/>
    </row>
    <row r="966" spans="14:14">
      <c r="N966" s="289"/>
    </row>
    <row r="967" spans="14:14">
      <c r="N967" s="289"/>
    </row>
    <row r="968" spans="14:14">
      <c r="N968" s="289"/>
    </row>
    <row r="969" spans="14:14">
      <c r="N969" s="289"/>
    </row>
    <row r="970" spans="14:14">
      <c r="N970" s="289"/>
    </row>
    <row r="971" spans="14:14">
      <c r="N971" s="289"/>
    </row>
    <row r="972" spans="14:14">
      <c r="N972" s="289"/>
    </row>
    <row r="973" spans="14:14">
      <c r="N973" s="289"/>
    </row>
    <row r="974" spans="14:14">
      <c r="N974" s="289"/>
    </row>
    <row r="975" spans="14:14">
      <c r="N975" s="289"/>
    </row>
    <row r="976" spans="14:14">
      <c r="N976" s="289"/>
    </row>
    <row r="977" spans="14:14">
      <c r="N977" s="289"/>
    </row>
    <row r="978" spans="14:14">
      <c r="N978" s="289"/>
    </row>
    <row r="979" spans="14:14">
      <c r="N979" s="289"/>
    </row>
    <row r="980" spans="14:14">
      <c r="N980" s="289"/>
    </row>
    <row r="981" spans="14:14">
      <c r="N981" s="289"/>
    </row>
    <row r="982" spans="14:14">
      <c r="N982" s="289"/>
    </row>
    <row r="983" spans="14:14">
      <c r="N983" s="289"/>
    </row>
    <row r="984" spans="14:14">
      <c r="N984" s="289"/>
    </row>
    <row r="985" spans="14:14">
      <c r="N985" s="289"/>
    </row>
  </sheetData>
  <dataValidations count="5">
    <dataValidation type="list" allowBlank="1" showErrorMessage="1" sqref="K2" xr:uid="{F7DEC18D-2EC0-4815-9708-9876B9650807}">
      <formula1>"Open,Inprogress,Closed"</formula1>
    </dataValidation>
    <dataValidation type="list" allowBlank="1" showErrorMessage="1" sqref="I2" xr:uid="{64A55E3A-725A-4CF4-881C-993C10051AA0}">
      <formula1>"Manual, Automation"</formula1>
    </dataValidation>
    <dataValidation type="list" allowBlank="1" showErrorMessage="1" sqref="H2" xr:uid="{9B0F8C6A-82BF-4652-94F1-B7F68F74249F}">
      <formula1>"Minor,Significant,Major"</formula1>
    </dataValidation>
    <dataValidation type="list" allowBlank="1" showErrorMessage="1" sqref="J2" xr:uid="{5EC43E26-6DDD-4F0F-8C97-4B2A205E0370}">
      <formula1>"Internal,External"</formula1>
    </dataValidation>
    <dataValidation type="list" allowBlank="1" showErrorMessage="1" sqref="F2" xr:uid="{3643D68F-3528-4BAB-9E99-F6D440DDFBA9}">
      <formula1>"Bounceback,Defect,None"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188D-8EB2-46D2-B990-5922AB6FF529}">
  <dimension ref="A1:AF6"/>
  <sheetViews>
    <sheetView topLeftCell="A2" workbookViewId="0">
      <selection activeCell="E6" sqref="E6"/>
    </sheetView>
  </sheetViews>
  <sheetFormatPr defaultRowHeight="12.75"/>
  <cols>
    <col min="2" max="2" width="17.85546875" customWidth="1"/>
    <col min="3" max="3" width="10.28515625" customWidth="1"/>
    <col min="4" max="4" width="9.7109375" customWidth="1"/>
    <col min="5" max="5" width="18.42578125" customWidth="1"/>
    <col min="6" max="6" width="10.140625" bestFit="1" customWidth="1"/>
    <col min="7" max="7" width="11" customWidth="1"/>
    <col min="8" max="8" width="34.7109375" customWidth="1"/>
    <col min="9" max="9" width="13" customWidth="1"/>
    <col min="10" max="10" width="10.28515625" customWidth="1"/>
    <col min="13" max="13" width="10.5703125" customWidth="1"/>
    <col min="14" max="14" width="10.42578125" customWidth="1"/>
    <col min="16" max="16" width="10" customWidth="1"/>
    <col min="17" max="17" width="11.140625" customWidth="1"/>
    <col min="18" max="18" width="10.42578125" customWidth="1"/>
    <col min="19" max="19" width="17.28515625" style="43" customWidth="1"/>
    <col min="20" max="20" width="33.140625" customWidth="1"/>
    <col min="23" max="23" width="11" customWidth="1"/>
    <col min="24" max="24" width="10.85546875" customWidth="1"/>
    <col min="25" max="25" width="13.5703125" customWidth="1"/>
    <col min="27" max="27" width="37" style="43" customWidth="1"/>
    <col min="28" max="28" width="11.42578125" customWidth="1"/>
    <col min="29" max="29" width="11.28515625" customWidth="1"/>
    <col min="30" max="30" width="36.7109375" customWidth="1"/>
    <col min="31" max="31" width="30.140625" customWidth="1"/>
    <col min="32" max="32" width="37.5703125" customWidth="1"/>
  </cols>
  <sheetData>
    <row r="1" spans="1:32" ht="48">
      <c r="A1" s="416" t="s">
        <v>234</v>
      </c>
      <c r="B1" s="57" t="s">
        <v>4</v>
      </c>
      <c r="C1" s="57" t="s">
        <v>2</v>
      </c>
      <c r="D1" s="57" t="s">
        <v>3</v>
      </c>
      <c r="E1" s="416" t="s">
        <v>235</v>
      </c>
      <c r="F1" s="416" t="s">
        <v>236</v>
      </c>
      <c r="G1" s="416" t="s">
        <v>237</v>
      </c>
      <c r="H1" s="416" t="s">
        <v>238</v>
      </c>
      <c r="I1" s="416" t="s">
        <v>239</v>
      </c>
      <c r="J1" s="57" t="s">
        <v>240</v>
      </c>
      <c r="K1" s="57" t="s">
        <v>241</v>
      </c>
      <c r="L1" s="57" t="s">
        <v>242</v>
      </c>
      <c r="M1" s="57" t="s">
        <v>243</v>
      </c>
      <c r="N1" s="57" t="s">
        <v>244</v>
      </c>
      <c r="O1" s="416" t="s">
        <v>245</v>
      </c>
      <c r="P1" s="416" t="s">
        <v>246</v>
      </c>
      <c r="Q1" s="416" t="s">
        <v>247</v>
      </c>
      <c r="R1" s="416" t="s">
        <v>248</v>
      </c>
      <c r="S1" s="416" t="s">
        <v>249</v>
      </c>
      <c r="T1" s="416" t="s">
        <v>250</v>
      </c>
      <c r="U1" s="416" t="s">
        <v>251</v>
      </c>
      <c r="V1" s="416" t="s">
        <v>252</v>
      </c>
      <c r="W1" s="416" t="s">
        <v>253</v>
      </c>
      <c r="X1" s="416" t="s">
        <v>254</v>
      </c>
      <c r="Y1" s="416" t="s">
        <v>255</v>
      </c>
      <c r="Z1" s="416" t="s">
        <v>256</v>
      </c>
      <c r="AA1" s="416" t="s">
        <v>257</v>
      </c>
      <c r="AB1" s="416" t="s">
        <v>258</v>
      </c>
      <c r="AC1" s="416" t="s">
        <v>259</v>
      </c>
      <c r="AD1" s="418" t="s">
        <v>326</v>
      </c>
      <c r="AE1" s="418" t="s">
        <v>327</v>
      </c>
      <c r="AF1" s="418" t="s">
        <v>17</v>
      </c>
    </row>
    <row r="2" spans="1:32" ht="78.75" customHeight="1">
      <c r="A2" s="412">
        <v>1</v>
      </c>
      <c r="B2" s="412" t="s">
        <v>5</v>
      </c>
      <c r="C2" s="421">
        <v>46072</v>
      </c>
      <c r="D2" s="421">
        <v>46086</v>
      </c>
      <c r="E2" s="427" t="s">
        <v>189</v>
      </c>
      <c r="F2" s="412" t="s">
        <v>275</v>
      </c>
      <c r="G2" s="72" t="s">
        <v>386</v>
      </c>
      <c r="H2" s="412" t="s">
        <v>387</v>
      </c>
      <c r="I2" s="412" t="s">
        <v>13</v>
      </c>
      <c r="J2" s="464">
        <v>1</v>
      </c>
      <c r="K2" s="464">
        <v>1</v>
      </c>
      <c r="L2" s="463">
        <v>19.5</v>
      </c>
      <c r="M2" s="421">
        <v>46065</v>
      </c>
      <c r="N2" s="421">
        <v>46072</v>
      </c>
      <c r="O2" s="295" t="s">
        <v>273</v>
      </c>
      <c r="P2" s="412" t="s">
        <v>274</v>
      </c>
      <c r="Q2" s="295"/>
      <c r="R2" s="412" t="s">
        <v>219</v>
      </c>
      <c r="S2" s="72"/>
      <c r="T2" s="72" t="s">
        <v>388</v>
      </c>
      <c r="U2" s="421">
        <v>46072</v>
      </c>
      <c r="V2" s="421"/>
      <c r="W2" s="295" t="s">
        <v>219</v>
      </c>
      <c r="X2" s="295"/>
      <c r="Y2" s="295" t="s">
        <v>311</v>
      </c>
      <c r="Z2" s="421">
        <v>46072</v>
      </c>
      <c r="AA2" s="412" t="s">
        <v>389</v>
      </c>
      <c r="AB2" s="295"/>
      <c r="AC2" s="295"/>
      <c r="AD2" s="412" t="s">
        <v>390</v>
      </c>
      <c r="AE2" s="412" t="s">
        <v>391</v>
      </c>
      <c r="AF2" s="295"/>
    </row>
    <row r="3" spans="1:32" ht="73.5" customHeight="1">
      <c r="A3" s="412">
        <v>2</v>
      </c>
      <c r="B3" s="412" t="s">
        <v>5</v>
      </c>
      <c r="C3" s="421">
        <v>46072</v>
      </c>
      <c r="D3" s="421">
        <v>46086</v>
      </c>
      <c r="E3" s="427" t="s">
        <v>189</v>
      </c>
      <c r="F3" s="412" t="s">
        <v>219</v>
      </c>
      <c r="G3" s="72" t="s">
        <v>362</v>
      </c>
      <c r="H3" s="412" t="s">
        <v>363</v>
      </c>
      <c r="I3" s="412" t="s">
        <v>392</v>
      </c>
      <c r="J3" s="465">
        <v>3</v>
      </c>
      <c r="K3" s="465">
        <v>2</v>
      </c>
      <c r="L3" s="462">
        <v>31.5</v>
      </c>
      <c r="M3" s="431">
        <v>46083</v>
      </c>
      <c r="N3" s="431">
        <v>46085</v>
      </c>
      <c r="O3" s="295" t="s">
        <v>273</v>
      </c>
      <c r="P3" s="412" t="s">
        <v>274</v>
      </c>
      <c r="Q3" s="99"/>
      <c r="R3" s="412" t="s">
        <v>275</v>
      </c>
      <c r="S3" s="430"/>
      <c r="T3" s="104" t="s">
        <v>364</v>
      </c>
      <c r="U3" s="431">
        <v>46085</v>
      </c>
      <c r="V3" s="431"/>
      <c r="W3" s="295" t="s">
        <v>275</v>
      </c>
      <c r="X3" s="295"/>
      <c r="Y3" s="83"/>
      <c r="Z3" s="431"/>
      <c r="AA3" s="430"/>
      <c r="AB3" s="296"/>
      <c r="AC3" s="296"/>
      <c r="AD3" s="412" t="s">
        <v>393</v>
      </c>
      <c r="AE3" s="412" t="s">
        <v>366</v>
      </c>
      <c r="AF3" s="296"/>
    </row>
    <row r="4" spans="1:32" ht="75" customHeight="1">
      <c r="A4" s="412">
        <v>3</v>
      </c>
      <c r="B4" s="412" t="s">
        <v>5</v>
      </c>
      <c r="C4" s="421">
        <v>46072</v>
      </c>
      <c r="D4" s="421">
        <v>46086</v>
      </c>
      <c r="E4" s="427" t="s">
        <v>189</v>
      </c>
      <c r="F4" s="412" t="s">
        <v>219</v>
      </c>
      <c r="G4" s="72" t="s">
        <v>394</v>
      </c>
      <c r="H4" s="412" t="s">
        <v>395</v>
      </c>
      <c r="I4" s="412" t="s">
        <v>13</v>
      </c>
      <c r="J4" s="464">
        <v>3</v>
      </c>
      <c r="K4" s="463">
        <v>3</v>
      </c>
      <c r="L4" s="99">
        <v>4.5</v>
      </c>
      <c r="M4" s="421">
        <v>46078</v>
      </c>
      <c r="N4" s="421">
        <v>46080</v>
      </c>
      <c r="O4" s="295" t="s">
        <v>273</v>
      </c>
      <c r="P4" s="412" t="s">
        <v>274</v>
      </c>
      <c r="Q4" s="99"/>
      <c r="R4" s="412" t="s">
        <v>275</v>
      </c>
      <c r="S4" s="87"/>
      <c r="T4" s="72" t="s">
        <v>396</v>
      </c>
      <c r="U4" s="421">
        <v>46079</v>
      </c>
      <c r="V4" s="421"/>
      <c r="W4" s="295" t="s">
        <v>275</v>
      </c>
      <c r="X4" s="295"/>
      <c r="Y4" s="295" t="s">
        <v>311</v>
      </c>
      <c r="Z4" s="421">
        <v>46083</v>
      </c>
      <c r="AA4" s="412"/>
      <c r="AB4" s="295"/>
      <c r="AC4" s="295"/>
      <c r="AD4" s="412" t="s">
        <v>397</v>
      </c>
      <c r="AE4" s="412" t="s">
        <v>398</v>
      </c>
      <c r="AF4" s="99"/>
    </row>
    <row r="5" spans="1:32" ht="60.75" customHeight="1">
      <c r="A5" s="412">
        <v>4</v>
      </c>
      <c r="B5" s="412" t="s">
        <v>5</v>
      </c>
      <c r="C5" s="421">
        <v>46072</v>
      </c>
      <c r="D5" s="421">
        <v>46086</v>
      </c>
      <c r="E5" s="427" t="s">
        <v>189</v>
      </c>
      <c r="F5" s="412" t="s">
        <v>219</v>
      </c>
      <c r="G5" s="72" t="s">
        <v>399</v>
      </c>
      <c r="H5" s="412" t="s">
        <v>400</v>
      </c>
      <c r="I5" s="412" t="s">
        <v>13</v>
      </c>
      <c r="J5" s="464">
        <v>3</v>
      </c>
      <c r="K5" s="462">
        <v>3</v>
      </c>
      <c r="L5" s="108">
        <v>35.5</v>
      </c>
      <c r="M5" s="431">
        <v>46073</v>
      </c>
      <c r="N5" s="431">
        <v>46077</v>
      </c>
      <c r="O5" s="296" t="s">
        <v>273</v>
      </c>
      <c r="P5" s="430" t="s">
        <v>274</v>
      </c>
      <c r="Q5" s="108"/>
      <c r="R5" s="430" t="s">
        <v>275</v>
      </c>
      <c r="S5" s="103"/>
      <c r="T5" s="104" t="s">
        <v>401</v>
      </c>
      <c r="U5" s="431">
        <v>46077</v>
      </c>
      <c r="V5" s="431"/>
      <c r="W5" s="296" t="s">
        <v>275</v>
      </c>
      <c r="X5" s="296"/>
      <c r="Y5" s="430" t="s">
        <v>402</v>
      </c>
      <c r="Z5" s="431">
        <v>46077</v>
      </c>
      <c r="AA5" s="430"/>
      <c r="AB5" s="296"/>
      <c r="AC5" s="296"/>
      <c r="AD5" s="430" t="s">
        <v>403</v>
      </c>
      <c r="AE5" s="430" t="s">
        <v>404</v>
      </c>
      <c r="AF5" s="430" t="s">
        <v>405</v>
      </c>
    </row>
    <row r="6" spans="1:32" ht="36">
      <c r="A6" s="412">
        <v>5</v>
      </c>
      <c r="B6" s="412" t="s">
        <v>5</v>
      </c>
      <c r="C6" s="421">
        <v>46072</v>
      </c>
      <c r="D6" s="421">
        <v>46086</v>
      </c>
      <c r="E6" s="427" t="s">
        <v>406</v>
      </c>
      <c r="F6" s="412" t="s">
        <v>219</v>
      </c>
      <c r="G6" s="72" t="s">
        <v>373</v>
      </c>
      <c r="H6" s="412" t="s">
        <v>407</v>
      </c>
      <c r="I6" s="412" t="s">
        <v>263</v>
      </c>
      <c r="J6" s="466">
        <v>3</v>
      </c>
      <c r="K6" s="463"/>
      <c r="L6" s="357">
        <v>6.5</v>
      </c>
      <c r="M6" s="458">
        <v>46086</v>
      </c>
      <c r="N6" s="421"/>
      <c r="O6" s="358"/>
      <c r="P6" s="99"/>
      <c r="Q6" s="99"/>
      <c r="R6" s="99"/>
      <c r="S6" s="87"/>
      <c r="T6" s="99"/>
      <c r="U6" s="99"/>
      <c r="V6" s="99"/>
      <c r="W6" s="99"/>
      <c r="X6" s="99"/>
      <c r="Y6" s="99"/>
      <c r="Z6" s="99"/>
      <c r="AA6" s="87"/>
      <c r="AB6" s="99"/>
      <c r="AC6" s="99"/>
      <c r="AD6" s="99"/>
      <c r="AE6" s="99"/>
      <c r="AF6" s="99"/>
    </row>
  </sheetData>
  <hyperlinks>
    <hyperlink ref="T2" r:id="rId1" xr:uid="{43749495-9909-4FC7-9735-41C588ECE89C}"/>
    <hyperlink ref="T5" r:id="rId2" xr:uid="{DFE26198-C308-4943-AF1C-4B7F5A0D7FB0}"/>
    <hyperlink ref="T4" r:id="rId3" xr:uid="{0475C835-C726-40A6-8C3D-FFDF68C59A45}"/>
    <hyperlink ref="T3" r:id="rId4" xr:uid="{F43C87CD-5D8B-4117-9A72-ACAA1CAE841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AE60D-041D-4E1A-AACD-FAD85E932FD8}">
  <dimension ref="A1:AF5"/>
  <sheetViews>
    <sheetView topLeftCell="T1" workbookViewId="0">
      <selection activeCell="AF2" sqref="AF2"/>
    </sheetView>
  </sheetViews>
  <sheetFormatPr defaultRowHeight="12.75"/>
  <cols>
    <col min="2" max="3" width="9.85546875" customWidth="1"/>
    <col min="4" max="4" width="9.42578125" customWidth="1"/>
    <col min="5" max="5" width="19.140625" customWidth="1"/>
    <col min="6" max="6" width="10.28515625" customWidth="1"/>
    <col min="7" max="7" width="10" customWidth="1"/>
    <col min="8" max="8" width="36" customWidth="1"/>
    <col min="9" max="9" width="10.5703125" customWidth="1"/>
    <col min="10" max="10" width="10.85546875" customWidth="1"/>
    <col min="11" max="11" width="11" customWidth="1"/>
    <col min="12" max="12" width="10.85546875" customWidth="1"/>
    <col min="13" max="13" width="12.28515625" customWidth="1"/>
    <col min="14" max="14" width="11.7109375" customWidth="1"/>
    <col min="16" max="16" width="12" customWidth="1"/>
    <col min="17" max="17" width="29.28515625" customWidth="1"/>
    <col min="18" max="18" width="11.28515625" customWidth="1"/>
    <col min="19" max="19" width="15.140625" customWidth="1"/>
    <col min="20" max="20" width="39" customWidth="1"/>
    <col min="21" max="22" width="10.7109375" customWidth="1"/>
    <col min="23" max="23" width="13" customWidth="1"/>
    <col min="25" max="25" width="12.28515625" customWidth="1"/>
    <col min="27" max="27" width="14.7109375" customWidth="1"/>
    <col min="28" max="28" width="10.5703125" customWidth="1"/>
    <col min="29" max="29" width="10.7109375" customWidth="1"/>
    <col min="30" max="31" width="32" customWidth="1"/>
    <col min="32" max="32" width="37.7109375" customWidth="1"/>
  </cols>
  <sheetData>
    <row r="1" spans="1:32" ht="60">
      <c r="A1" s="416" t="s">
        <v>234</v>
      </c>
      <c r="B1" s="57" t="s">
        <v>4</v>
      </c>
      <c r="C1" s="57" t="s">
        <v>2</v>
      </c>
      <c r="D1" s="57" t="s">
        <v>3</v>
      </c>
      <c r="E1" s="416" t="s">
        <v>235</v>
      </c>
      <c r="F1" s="416" t="s">
        <v>236</v>
      </c>
      <c r="G1" s="416" t="s">
        <v>237</v>
      </c>
      <c r="H1" s="416" t="s">
        <v>238</v>
      </c>
      <c r="I1" s="416" t="s">
        <v>239</v>
      </c>
      <c r="J1" s="57" t="s">
        <v>240</v>
      </c>
      <c r="K1" s="57" t="s">
        <v>241</v>
      </c>
      <c r="L1" s="57" t="s">
        <v>242</v>
      </c>
      <c r="M1" s="57" t="s">
        <v>243</v>
      </c>
      <c r="N1" s="57" t="s">
        <v>244</v>
      </c>
      <c r="O1" s="416" t="s">
        <v>245</v>
      </c>
      <c r="P1" s="416" t="s">
        <v>246</v>
      </c>
      <c r="Q1" s="416" t="s">
        <v>247</v>
      </c>
      <c r="R1" s="416" t="s">
        <v>248</v>
      </c>
      <c r="S1" s="416" t="s">
        <v>249</v>
      </c>
      <c r="T1" s="416" t="s">
        <v>250</v>
      </c>
      <c r="U1" s="416" t="s">
        <v>251</v>
      </c>
      <c r="V1" s="416" t="s">
        <v>252</v>
      </c>
      <c r="W1" s="416" t="s">
        <v>253</v>
      </c>
      <c r="X1" s="416" t="s">
        <v>254</v>
      </c>
      <c r="Y1" s="416" t="s">
        <v>255</v>
      </c>
      <c r="Z1" s="416" t="s">
        <v>256</v>
      </c>
      <c r="AA1" s="416" t="s">
        <v>257</v>
      </c>
      <c r="AB1" s="416" t="s">
        <v>258</v>
      </c>
      <c r="AC1" s="416" t="s">
        <v>259</v>
      </c>
      <c r="AD1" s="418" t="s">
        <v>326</v>
      </c>
      <c r="AE1" s="418" t="s">
        <v>327</v>
      </c>
      <c r="AF1" s="418" t="s">
        <v>17</v>
      </c>
    </row>
    <row r="2" spans="1:32" ht="48" customHeight="1">
      <c r="A2" s="412">
        <v>1</v>
      </c>
      <c r="B2" s="412" t="s">
        <v>5</v>
      </c>
      <c r="C2" s="421">
        <v>46058</v>
      </c>
      <c r="D2" s="421">
        <v>46072</v>
      </c>
      <c r="E2" s="427" t="s">
        <v>184</v>
      </c>
      <c r="F2" s="412" t="s">
        <v>219</v>
      </c>
      <c r="G2" s="72" t="s">
        <v>408</v>
      </c>
      <c r="H2" s="412" t="s">
        <v>409</v>
      </c>
      <c r="I2" s="412" t="s">
        <v>13</v>
      </c>
      <c r="J2" s="412">
        <v>5</v>
      </c>
      <c r="K2" s="412">
        <v>5</v>
      </c>
      <c r="L2" s="412" t="s">
        <v>410</v>
      </c>
      <c r="M2" s="441">
        <v>46058</v>
      </c>
      <c r="N2" s="421">
        <v>46065</v>
      </c>
      <c r="O2" s="295" t="s">
        <v>273</v>
      </c>
      <c r="P2" s="412" t="s">
        <v>274</v>
      </c>
      <c r="Q2" s="412" t="s">
        <v>411</v>
      </c>
      <c r="R2" s="412" t="s">
        <v>275</v>
      </c>
      <c r="S2" s="295"/>
      <c r="T2" s="72" t="s">
        <v>412</v>
      </c>
      <c r="U2" s="421">
        <v>46065</v>
      </c>
      <c r="V2" s="421">
        <v>46065</v>
      </c>
      <c r="W2" s="295" t="s">
        <v>275</v>
      </c>
      <c r="X2" s="295"/>
      <c r="Y2" s="412" t="s">
        <v>277</v>
      </c>
      <c r="Z2" s="421">
        <v>46065</v>
      </c>
      <c r="AA2" s="295"/>
      <c r="AB2" s="295"/>
      <c r="AC2" s="295"/>
      <c r="AD2" s="412" t="s">
        <v>413</v>
      </c>
      <c r="AE2" s="412" t="s">
        <v>414</v>
      </c>
      <c r="AF2" s="412" t="s">
        <v>415</v>
      </c>
    </row>
    <row r="3" spans="1:32" ht="49.5" customHeight="1">
      <c r="A3" s="412">
        <v>2</v>
      </c>
      <c r="B3" s="412" t="s">
        <v>5</v>
      </c>
      <c r="C3" s="421">
        <v>46058</v>
      </c>
      <c r="D3" s="421">
        <v>46072</v>
      </c>
      <c r="E3" s="427" t="s">
        <v>184</v>
      </c>
      <c r="F3" s="412" t="s">
        <v>275</v>
      </c>
      <c r="G3" s="72" t="s">
        <v>386</v>
      </c>
      <c r="H3" s="412" t="s">
        <v>387</v>
      </c>
      <c r="I3" s="412" t="s">
        <v>416</v>
      </c>
      <c r="J3" s="412">
        <v>3</v>
      </c>
      <c r="K3" s="412"/>
      <c r="L3" s="295">
        <v>36.5</v>
      </c>
      <c r="M3" s="421">
        <v>46065</v>
      </c>
      <c r="N3" s="421">
        <v>46071</v>
      </c>
      <c r="O3" s="295" t="s">
        <v>273</v>
      </c>
      <c r="P3" s="412" t="s">
        <v>274</v>
      </c>
      <c r="Q3" s="295"/>
      <c r="R3" s="412" t="s">
        <v>275</v>
      </c>
      <c r="S3" s="295"/>
      <c r="T3" s="72"/>
      <c r="U3" s="421">
        <v>46072</v>
      </c>
      <c r="V3" s="421"/>
      <c r="W3" s="295" t="s">
        <v>275</v>
      </c>
      <c r="X3" s="295"/>
      <c r="Y3" s="412" t="s">
        <v>277</v>
      </c>
      <c r="Z3" s="421"/>
      <c r="AA3" s="295"/>
      <c r="AB3" s="295"/>
      <c r="AC3" s="295"/>
      <c r="AD3" s="412" t="s">
        <v>417</v>
      </c>
      <c r="AE3" s="412" t="s">
        <v>418</v>
      </c>
      <c r="AF3" s="295"/>
    </row>
    <row r="4" spans="1:32" ht="47.25" customHeight="1">
      <c r="A4" s="412">
        <v>3</v>
      </c>
      <c r="B4" s="412" t="s">
        <v>5</v>
      </c>
      <c r="C4" s="421">
        <v>46058</v>
      </c>
      <c r="D4" s="421">
        <v>46072</v>
      </c>
      <c r="E4" s="427" t="s">
        <v>184</v>
      </c>
      <c r="F4" s="412" t="s">
        <v>219</v>
      </c>
      <c r="G4" s="72" t="s">
        <v>419</v>
      </c>
      <c r="H4" s="412" t="s">
        <v>420</v>
      </c>
      <c r="I4" s="412" t="s">
        <v>13</v>
      </c>
      <c r="J4" s="430">
        <v>3</v>
      </c>
      <c r="K4" s="430">
        <v>3</v>
      </c>
      <c r="L4" s="296">
        <v>32.5</v>
      </c>
      <c r="M4" s="431">
        <v>46066</v>
      </c>
      <c r="N4" s="431">
        <v>46070</v>
      </c>
      <c r="O4" s="295" t="s">
        <v>273</v>
      </c>
      <c r="P4" s="412" t="s">
        <v>274</v>
      </c>
      <c r="Q4" s="99"/>
      <c r="R4" s="412" t="s">
        <v>275</v>
      </c>
      <c r="S4" s="296"/>
      <c r="T4" s="104" t="s">
        <v>421</v>
      </c>
      <c r="U4" s="431">
        <v>46070</v>
      </c>
      <c r="V4" s="431">
        <v>46070</v>
      </c>
      <c r="W4" s="295" t="s">
        <v>275</v>
      </c>
      <c r="X4" s="295"/>
      <c r="Y4" s="412" t="s">
        <v>277</v>
      </c>
      <c r="Z4" s="431">
        <v>46070</v>
      </c>
      <c r="AA4" s="296"/>
      <c r="AB4" s="296"/>
      <c r="AC4" s="296"/>
      <c r="AD4" s="412" t="s">
        <v>422</v>
      </c>
      <c r="AE4" s="412" t="s">
        <v>423</v>
      </c>
      <c r="AF4" s="296"/>
    </row>
    <row r="5" spans="1:32" ht="45" customHeight="1">
      <c r="A5" s="412">
        <v>4</v>
      </c>
      <c r="B5" s="412" t="s">
        <v>5</v>
      </c>
      <c r="C5" s="421">
        <v>46058</v>
      </c>
      <c r="D5" s="421">
        <v>46072</v>
      </c>
      <c r="E5" s="427" t="s">
        <v>184</v>
      </c>
      <c r="F5" s="412" t="s">
        <v>219</v>
      </c>
      <c r="G5" s="72" t="s">
        <v>424</v>
      </c>
      <c r="H5" s="412" t="s">
        <v>411</v>
      </c>
      <c r="I5" s="412" t="s">
        <v>13</v>
      </c>
      <c r="J5" s="412">
        <v>1</v>
      </c>
      <c r="K5" s="295">
        <v>1</v>
      </c>
      <c r="L5" s="295"/>
      <c r="M5" s="421">
        <v>46066</v>
      </c>
      <c r="N5" s="421">
        <v>46066</v>
      </c>
      <c r="O5" s="295" t="s">
        <v>273</v>
      </c>
      <c r="P5" s="412" t="s">
        <v>274</v>
      </c>
      <c r="Q5" s="99"/>
      <c r="R5" s="412" t="s">
        <v>275</v>
      </c>
      <c r="S5" s="99"/>
      <c r="T5" s="72" t="s">
        <v>425</v>
      </c>
      <c r="U5" s="421">
        <v>46066</v>
      </c>
      <c r="V5" s="421">
        <v>46066</v>
      </c>
      <c r="W5" s="295" t="s">
        <v>275</v>
      </c>
      <c r="X5" s="295"/>
      <c r="Y5" s="412" t="s">
        <v>277</v>
      </c>
      <c r="Z5" s="421">
        <v>46066</v>
      </c>
      <c r="AA5" s="295"/>
      <c r="AB5" s="295"/>
      <c r="AC5" s="295"/>
      <c r="AD5" s="412" t="s">
        <v>413</v>
      </c>
      <c r="AE5" s="412" t="s">
        <v>426</v>
      </c>
      <c r="AF5" s="99"/>
    </row>
  </sheetData>
  <hyperlinks>
    <hyperlink ref="T2" r:id="rId1" xr:uid="{85BE4D92-5FD0-45D4-811B-864E6407E874}"/>
    <hyperlink ref="T5" r:id="rId2" xr:uid="{559122DC-FB81-47EC-A589-6857761A2123}"/>
    <hyperlink ref="T4" r:id="rId3" xr:uid="{48A6ED9B-D875-4607-B9D8-C72424A9613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3ACAA-593B-4CBF-8035-EF1FF6548D9E}">
  <dimension ref="A1:AF985"/>
  <sheetViews>
    <sheetView workbookViewId="0"/>
  </sheetViews>
  <sheetFormatPr defaultRowHeight="12.75"/>
  <cols>
    <col min="2" max="3" width="9.85546875" customWidth="1"/>
    <col min="4" max="4" width="9.42578125" customWidth="1"/>
    <col min="5" max="5" width="19.140625" customWidth="1"/>
    <col min="6" max="6" width="10.28515625" customWidth="1"/>
    <col min="7" max="7" width="10" customWidth="1"/>
    <col min="8" max="8" width="36" customWidth="1"/>
    <col min="9" max="9" width="10.5703125" customWidth="1"/>
    <col min="10" max="10" width="10.85546875" customWidth="1"/>
    <col min="11" max="11" width="11" customWidth="1"/>
    <col min="12" max="12" width="10.85546875" customWidth="1"/>
    <col min="13" max="13" width="12.28515625" customWidth="1"/>
    <col min="14" max="14" width="11.7109375" customWidth="1"/>
    <col min="16" max="16" width="12" customWidth="1"/>
    <col min="17" max="17" width="11.42578125" customWidth="1"/>
    <col min="18" max="18" width="11.28515625" customWidth="1"/>
    <col min="19" max="19" width="15.140625" customWidth="1"/>
    <col min="21" max="22" width="10.7109375" customWidth="1"/>
    <col min="23" max="23" width="13" customWidth="1"/>
    <col min="25" max="25" width="12.28515625" customWidth="1"/>
    <col min="27" max="27" width="14.7109375" customWidth="1"/>
    <col min="30" max="31" width="32" customWidth="1"/>
  </cols>
  <sheetData>
    <row r="1" spans="1:32" ht="27">
      <c r="A1" s="1" t="s">
        <v>234</v>
      </c>
      <c r="B1" s="1" t="s">
        <v>349</v>
      </c>
      <c r="C1" s="208" t="s">
        <v>350</v>
      </c>
      <c r="D1" s="208" t="s">
        <v>351</v>
      </c>
      <c r="E1" s="1" t="s">
        <v>236</v>
      </c>
      <c r="F1" s="208" t="s">
        <v>352</v>
      </c>
      <c r="G1" s="208" t="s">
        <v>353</v>
      </c>
      <c r="H1" s="1" t="s">
        <v>354</v>
      </c>
      <c r="I1" s="1" t="s">
        <v>355</v>
      </c>
      <c r="J1" s="1" t="s">
        <v>356</v>
      </c>
      <c r="K1" s="1" t="s">
        <v>239</v>
      </c>
      <c r="L1" s="209" t="s">
        <v>357</v>
      </c>
      <c r="M1" s="3" t="s">
        <v>260</v>
      </c>
      <c r="N1" s="3" t="s">
        <v>358</v>
      </c>
      <c r="O1" s="3" t="s">
        <v>359</v>
      </c>
      <c r="P1" s="28"/>
      <c r="Q1" s="28"/>
      <c r="R1" s="28"/>
      <c r="S1" s="28"/>
      <c r="T1" s="28"/>
      <c r="U1" s="28"/>
      <c r="V1" s="28"/>
      <c r="W1" s="28"/>
      <c r="X1" s="28"/>
      <c r="Y1" s="28"/>
      <c r="Z1" s="28"/>
      <c r="AA1" s="28"/>
      <c r="AB1" s="28"/>
      <c r="AD1" s="418" t="s">
        <v>326</v>
      </c>
      <c r="AE1" s="418" t="s">
        <v>327</v>
      </c>
      <c r="AF1" s="418" t="s">
        <v>17</v>
      </c>
    </row>
    <row r="2" spans="1:32" ht="48" customHeight="1">
      <c r="A2" s="99"/>
      <c r="B2" s="99"/>
      <c r="C2" s="99"/>
      <c r="D2" s="99"/>
      <c r="E2" s="99"/>
      <c r="F2" s="457"/>
      <c r="G2" s="87" t="s">
        <v>427</v>
      </c>
      <c r="H2" s="284"/>
      <c r="I2" s="284"/>
      <c r="J2" s="284"/>
      <c r="K2" s="284"/>
      <c r="L2" s="284"/>
      <c r="M2" s="87"/>
      <c r="N2" s="109"/>
      <c r="O2" s="87"/>
      <c r="AD2" s="412"/>
      <c r="AE2" s="412" t="s">
        <v>361</v>
      </c>
      <c r="AF2" s="412"/>
    </row>
    <row r="3" spans="1:32" ht="49.5" customHeight="1">
      <c r="N3" s="289"/>
      <c r="AD3" s="412"/>
      <c r="AE3" s="412"/>
      <c r="AF3" s="295"/>
    </row>
    <row r="4" spans="1:32" ht="47.25" customHeight="1">
      <c r="N4" s="289"/>
      <c r="AD4" s="412"/>
      <c r="AE4" s="412"/>
      <c r="AF4" s="295"/>
    </row>
    <row r="5" spans="1:32">
      <c r="K5" s="43"/>
      <c r="N5" s="289"/>
    </row>
    <row r="6" spans="1:32">
      <c r="N6" s="289"/>
    </row>
    <row r="7" spans="1:32">
      <c r="N7" s="289"/>
    </row>
    <row r="8" spans="1:32">
      <c r="N8" s="289"/>
    </row>
    <row r="9" spans="1:32">
      <c r="N9" s="289"/>
    </row>
    <row r="10" spans="1:32">
      <c r="N10" s="289"/>
    </row>
    <row r="11" spans="1:32">
      <c r="N11" s="289"/>
    </row>
    <row r="12" spans="1:32">
      <c r="N12" s="289"/>
    </row>
    <row r="13" spans="1:32">
      <c r="N13" s="289"/>
    </row>
    <row r="14" spans="1:32">
      <c r="N14" s="289"/>
    </row>
    <row r="15" spans="1:32">
      <c r="N15" s="289"/>
    </row>
    <row r="16" spans="1:32">
      <c r="N16" s="289"/>
    </row>
    <row r="17" spans="14:14">
      <c r="N17" s="289"/>
    </row>
    <row r="18" spans="14:14">
      <c r="N18" s="289"/>
    </row>
    <row r="19" spans="14:14">
      <c r="N19" s="289"/>
    </row>
    <row r="20" spans="14:14">
      <c r="N20" s="289"/>
    </row>
    <row r="21" spans="14:14">
      <c r="N21" s="289"/>
    </row>
    <row r="22" spans="14:14">
      <c r="N22" s="289"/>
    </row>
    <row r="23" spans="14:14">
      <c r="N23" s="289"/>
    </row>
    <row r="24" spans="14:14">
      <c r="N24" s="289"/>
    </row>
    <row r="25" spans="14:14">
      <c r="N25" s="289"/>
    </row>
    <row r="26" spans="14:14">
      <c r="N26" s="289"/>
    </row>
    <row r="27" spans="14:14">
      <c r="N27" s="289"/>
    </row>
    <row r="28" spans="14:14">
      <c r="N28" s="289"/>
    </row>
    <row r="29" spans="14:14">
      <c r="N29" s="289"/>
    </row>
    <row r="30" spans="14:14">
      <c r="N30" s="289"/>
    </row>
    <row r="31" spans="14:14">
      <c r="N31" s="289"/>
    </row>
    <row r="32" spans="14:14">
      <c r="N32" s="289"/>
    </row>
    <row r="33" spans="14:14">
      <c r="N33" s="289"/>
    </row>
    <row r="34" spans="14:14">
      <c r="N34" s="289"/>
    </row>
    <row r="35" spans="14:14">
      <c r="N35" s="289"/>
    </row>
    <row r="36" spans="14:14">
      <c r="N36" s="289"/>
    </row>
    <row r="37" spans="14:14">
      <c r="N37" s="289"/>
    </row>
    <row r="38" spans="14:14">
      <c r="N38" s="289"/>
    </row>
    <row r="39" spans="14:14">
      <c r="N39" s="289"/>
    </row>
    <row r="40" spans="14:14">
      <c r="N40" s="289"/>
    </row>
    <row r="41" spans="14:14">
      <c r="N41" s="289"/>
    </row>
    <row r="42" spans="14:14">
      <c r="N42" s="289"/>
    </row>
    <row r="43" spans="14:14">
      <c r="N43" s="289"/>
    </row>
    <row r="44" spans="14:14">
      <c r="N44" s="289"/>
    </row>
    <row r="45" spans="14:14">
      <c r="N45" s="289"/>
    </row>
    <row r="46" spans="14:14">
      <c r="N46" s="289"/>
    </row>
    <row r="47" spans="14:14">
      <c r="N47" s="289"/>
    </row>
    <row r="48" spans="14:14">
      <c r="N48" s="289"/>
    </row>
    <row r="49" spans="14:14">
      <c r="N49" s="289"/>
    </row>
    <row r="50" spans="14:14">
      <c r="N50" s="289"/>
    </row>
    <row r="51" spans="14:14">
      <c r="N51" s="289"/>
    </row>
    <row r="52" spans="14:14">
      <c r="N52" s="289"/>
    </row>
    <row r="53" spans="14:14">
      <c r="N53" s="289"/>
    </row>
    <row r="54" spans="14:14">
      <c r="N54" s="289"/>
    </row>
    <row r="55" spans="14:14">
      <c r="N55" s="289"/>
    </row>
    <row r="56" spans="14:14">
      <c r="N56" s="289"/>
    </row>
    <row r="57" spans="14:14">
      <c r="N57" s="289"/>
    </row>
    <row r="58" spans="14:14">
      <c r="N58" s="289"/>
    </row>
    <row r="59" spans="14:14">
      <c r="N59" s="289"/>
    </row>
    <row r="60" spans="14:14">
      <c r="N60" s="289"/>
    </row>
    <row r="61" spans="14:14">
      <c r="N61" s="289"/>
    </row>
    <row r="62" spans="14:14">
      <c r="N62" s="289"/>
    </row>
    <row r="63" spans="14:14">
      <c r="N63" s="289"/>
    </row>
    <row r="64" spans="14:14">
      <c r="N64" s="289"/>
    </row>
    <row r="65" spans="14:14">
      <c r="N65" s="289"/>
    </row>
    <row r="66" spans="14:14">
      <c r="N66" s="289"/>
    </row>
    <row r="67" spans="14:14">
      <c r="N67" s="289"/>
    </row>
    <row r="68" spans="14:14">
      <c r="N68" s="289"/>
    </row>
    <row r="69" spans="14:14">
      <c r="N69" s="289"/>
    </row>
    <row r="70" spans="14:14">
      <c r="N70" s="289"/>
    </row>
    <row r="71" spans="14:14">
      <c r="N71" s="289"/>
    </row>
    <row r="72" spans="14:14">
      <c r="N72" s="289"/>
    </row>
    <row r="73" spans="14:14">
      <c r="N73" s="289"/>
    </row>
    <row r="74" spans="14:14">
      <c r="N74" s="289"/>
    </row>
    <row r="75" spans="14:14">
      <c r="N75" s="289"/>
    </row>
    <row r="76" spans="14:14">
      <c r="N76" s="289"/>
    </row>
    <row r="77" spans="14:14">
      <c r="N77" s="289"/>
    </row>
    <row r="78" spans="14:14">
      <c r="N78" s="289"/>
    </row>
    <row r="79" spans="14:14">
      <c r="N79" s="289"/>
    </row>
    <row r="80" spans="14:14">
      <c r="N80" s="289"/>
    </row>
    <row r="81" spans="14:14">
      <c r="N81" s="289"/>
    </row>
    <row r="82" spans="14:14">
      <c r="N82" s="289"/>
    </row>
    <row r="83" spans="14:14">
      <c r="N83" s="289"/>
    </row>
    <row r="84" spans="14:14">
      <c r="N84" s="289"/>
    </row>
    <row r="85" spans="14:14">
      <c r="N85" s="289"/>
    </row>
    <row r="86" spans="14:14">
      <c r="N86" s="289"/>
    </row>
    <row r="87" spans="14:14">
      <c r="N87" s="289"/>
    </row>
    <row r="88" spans="14:14">
      <c r="N88" s="289"/>
    </row>
    <row r="89" spans="14:14">
      <c r="N89" s="289"/>
    </row>
    <row r="90" spans="14:14">
      <c r="N90" s="289"/>
    </row>
    <row r="91" spans="14:14">
      <c r="N91" s="289"/>
    </row>
    <row r="92" spans="14:14">
      <c r="N92" s="289"/>
    </row>
    <row r="93" spans="14:14">
      <c r="N93" s="289"/>
    </row>
    <row r="94" spans="14:14">
      <c r="N94" s="289"/>
    </row>
    <row r="95" spans="14:14">
      <c r="N95" s="289"/>
    </row>
    <row r="96" spans="14:14">
      <c r="N96" s="289"/>
    </row>
    <row r="97" spans="14:14">
      <c r="N97" s="289"/>
    </row>
    <row r="98" spans="14:14">
      <c r="N98" s="289"/>
    </row>
    <row r="99" spans="14:14">
      <c r="N99" s="289"/>
    </row>
    <row r="100" spans="14:14">
      <c r="N100" s="289"/>
    </row>
    <row r="101" spans="14:14">
      <c r="N101" s="289"/>
    </row>
    <row r="102" spans="14:14">
      <c r="N102" s="289"/>
    </row>
    <row r="103" spans="14:14">
      <c r="N103" s="289"/>
    </row>
    <row r="104" spans="14:14">
      <c r="N104" s="289"/>
    </row>
    <row r="105" spans="14:14">
      <c r="N105" s="289"/>
    </row>
    <row r="106" spans="14:14">
      <c r="N106" s="289"/>
    </row>
    <row r="107" spans="14:14">
      <c r="N107" s="289"/>
    </row>
    <row r="108" spans="14:14">
      <c r="N108" s="289"/>
    </row>
    <row r="109" spans="14:14">
      <c r="N109" s="289"/>
    </row>
    <row r="110" spans="14:14">
      <c r="N110" s="289"/>
    </row>
    <row r="111" spans="14:14">
      <c r="N111" s="289"/>
    </row>
    <row r="112" spans="14:14">
      <c r="N112" s="289"/>
    </row>
    <row r="113" spans="14:14">
      <c r="N113" s="289"/>
    </row>
    <row r="114" spans="14:14">
      <c r="N114" s="289"/>
    </row>
    <row r="115" spans="14:14">
      <c r="N115" s="289"/>
    </row>
    <row r="116" spans="14:14">
      <c r="N116" s="289"/>
    </row>
    <row r="117" spans="14:14">
      <c r="N117" s="289"/>
    </row>
    <row r="118" spans="14:14">
      <c r="N118" s="289"/>
    </row>
    <row r="119" spans="14:14">
      <c r="N119" s="289"/>
    </row>
    <row r="120" spans="14:14">
      <c r="N120" s="289"/>
    </row>
    <row r="121" spans="14:14">
      <c r="N121" s="289"/>
    </row>
    <row r="122" spans="14:14">
      <c r="N122" s="289"/>
    </row>
    <row r="123" spans="14:14">
      <c r="N123" s="289"/>
    </row>
    <row r="124" spans="14:14">
      <c r="N124" s="289"/>
    </row>
    <row r="125" spans="14:14">
      <c r="N125" s="289"/>
    </row>
    <row r="126" spans="14:14">
      <c r="N126" s="289"/>
    </row>
    <row r="127" spans="14:14">
      <c r="N127" s="289"/>
    </row>
    <row r="128" spans="14:14">
      <c r="N128" s="289"/>
    </row>
    <row r="129" spans="14:14">
      <c r="N129" s="289"/>
    </row>
    <row r="130" spans="14:14">
      <c r="N130" s="289"/>
    </row>
    <row r="131" spans="14:14">
      <c r="N131" s="289"/>
    </row>
    <row r="132" spans="14:14">
      <c r="N132" s="289"/>
    </row>
    <row r="133" spans="14:14">
      <c r="N133" s="289"/>
    </row>
    <row r="134" spans="14:14">
      <c r="N134" s="289"/>
    </row>
    <row r="135" spans="14:14">
      <c r="N135" s="289"/>
    </row>
    <row r="136" spans="14:14">
      <c r="N136" s="289"/>
    </row>
    <row r="137" spans="14:14">
      <c r="N137" s="289"/>
    </row>
    <row r="138" spans="14:14">
      <c r="N138" s="289"/>
    </row>
    <row r="139" spans="14:14">
      <c r="N139" s="289"/>
    </row>
    <row r="140" spans="14:14">
      <c r="N140" s="289"/>
    </row>
    <row r="141" spans="14:14">
      <c r="N141" s="289"/>
    </row>
    <row r="142" spans="14:14">
      <c r="N142" s="289"/>
    </row>
    <row r="143" spans="14:14">
      <c r="N143" s="289"/>
    </row>
    <row r="144" spans="14:14">
      <c r="N144" s="289"/>
    </row>
    <row r="145" spans="14:14">
      <c r="N145" s="289"/>
    </row>
    <row r="146" spans="14:14">
      <c r="N146" s="289"/>
    </row>
    <row r="147" spans="14:14">
      <c r="N147" s="289"/>
    </row>
    <row r="148" spans="14:14">
      <c r="N148" s="289"/>
    </row>
    <row r="149" spans="14:14">
      <c r="N149" s="289"/>
    </row>
    <row r="150" spans="14:14">
      <c r="N150" s="289"/>
    </row>
    <row r="151" spans="14:14">
      <c r="N151" s="289"/>
    </row>
    <row r="152" spans="14:14">
      <c r="N152" s="289"/>
    </row>
    <row r="153" spans="14:14">
      <c r="N153" s="289"/>
    </row>
    <row r="154" spans="14:14">
      <c r="N154" s="289"/>
    </row>
    <row r="155" spans="14:14">
      <c r="N155" s="289"/>
    </row>
    <row r="156" spans="14:14">
      <c r="N156" s="289"/>
    </row>
    <row r="157" spans="14:14">
      <c r="N157" s="289"/>
    </row>
    <row r="158" spans="14:14">
      <c r="N158" s="289"/>
    </row>
    <row r="159" spans="14:14">
      <c r="N159" s="289"/>
    </row>
    <row r="160" spans="14:14">
      <c r="N160" s="289"/>
    </row>
    <row r="161" spans="14:14">
      <c r="N161" s="289"/>
    </row>
    <row r="162" spans="14:14">
      <c r="N162" s="289"/>
    </row>
    <row r="163" spans="14:14">
      <c r="N163" s="289"/>
    </row>
    <row r="164" spans="14:14">
      <c r="N164" s="289"/>
    </row>
    <row r="165" spans="14:14">
      <c r="N165" s="289"/>
    </row>
    <row r="166" spans="14:14">
      <c r="N166" s="289"/>
    </row>
    <row r="167" spans="14:14">
      <c r="N167" s="289"/>
    </row>
    <row r="168" spans="14:14">
      <c r="N168" s="289"/>
    </row>
    <row r="169" spans="14:14">
      <c r="N169" s="289"/>
    </row>
    <row r="170" spans="14:14">
      <c r="N170" s="289"/>
    </row>
    <row r="171" spans="14:14">
      <c r="N171" s="289"/>
    </row>
    <row r="172" spans="14:14">
      <c r="N172" s="289"/>
    </row>
    <row r="173" spans="14:14">
      <c r="N173" s="289"/>
    </row>
    <row r="174" spans="14:14">
      <c r="N174" s="289"/>
    </row>
    <row r="175" spans="14:14">
      <c r="N175" s="289"/>
    </row>
    <row r="176" spans="14:14">
      <c r="N176" s="289"/>
    </row>
    <row r="177" spans="14:14">
      <c r="N177" s="289"/>
    </row>
    <row r="178" spans="14:14">
      <c r="N178" s="289"/>
    </row>
    <row r="179" spans="14:14">
      <c r="N179" s="289"/>
    </row>
    <row r="180" spans="14:14">
      <c r="N180" s="289"/>
    </row>
    <row r="181" spans="14:14">
      <c r="N181" s="289"/>
    </row>
    <row r="182" spans="14:14">
      <c r="N182" s="289"/>
    </row>
    <row r="183" spans="14:14">
      <c r="N183" s="289"/>
    </row>
    <row r="184" spans="14:14">
      <c r="N184" s="289"/>
    </row>
    <row r="185" spans="14:14">
      <c r="N185" s="289"/>
    </row>
    <row r="186" spans="14:14">
      <c r="N186" s="289"/>
    </row>
    <row r="187" spans="14:14">
      <c r="N187" s="289"/>
    </row>
    <row r="188" spans="14:14">
      <c r="N188" s="289"/>
    </row>
    <row r="189" spans="14:14">
      <c r="N189" s="289"/>
    </row>
    <row r="190" spans="14:14">
      <c r="N190" s="289"/>
    </row>
    <row r="191" spans="14:14">
      <c r="N191" s="289"/>
    </row>
    <row r="192" spans="14:14">
      <c r="N192" s="289"/>
    </row>
    <row r="193" spans="14:14">
      <c r="N193" s="289"/>
    </row>
    <row r="194" spans="14:14">
      <c r="N194" s="289"/>
    </row>
    <row r="195" spans="14:14">
      <c r="N195" s="289"/>
    </row>
    <row r="196" spans="14:14">
      <c r="N196" s="289"/>
    </row>
    <row r="197" spans="14:14">
      <c r="N197" s="289"/>
    </row>
    <row r="198" spans="14:14">
      <c r="N198" s="289"/>
    </row>
    <row r="199" spans="14:14">
      <c r="N199" s="289"/>
    </row>
    <row r="200" spans="14:14">
      <c r="N200" s="289"/>
    </row>
    <row r="201" spans="14:14">
      <c r="N201" s="289"/>
    </row>
    <row r="202" spans="14:14">
      <c r="N202" s="289"/>
    </row>
    <row r="203" spans="14:14">
      <c r="N203" s="289"/>
    </row>
    <row r="204" spans="14:14">
      <c r="N204" s="289"/>
    </row>
    <row r="205" spans="14:14">
      <c r="N205" s="289"/>
    </row>
    <row r="206" spans="14:14">
      <c r="N206" s="289"/>
    </row>
    <row r="207" spans="14:14">
      <c r="N207" s="289"/>
    </row>
    <row r="208" spans="14:14">
      <c r="N208" s="289"/>
    </row>
    <row r="209" spans="14:14">
      <c r="N209" s="289"/>
    </row>
    <row r="210" spans="14:14">
      <c r="N210" s="289"/>
    </row>
    <row r="211" spans="14:14">
      <c r="N211" s="289"/>
    </row>
    <row r="212" spans="14:14">
      <c r="N212" s="289"/>
    </row>
    <row r="213" spans="14:14">
      <c r="N213" s="289"/>
    </row>
    <row r="214" spans="14:14">
      <c r="N214" s="289"/>
    </row>
    <row r="215" spans="14:14">
      <c r="N215" s="289"/>
    </row>
    <row r="216" spans="14:14">
      <c r="N216" s="289"/>
    </row>
    <row r="217" spans="14:14">
      <c r="N217" s="289"/>
    </row>
    <row r="218" spans="14:14">
      <c r="N218" s="289"/>
    </row>
    <row r="219" spans="14:14">
      <c r="N219" s="289"/>
    </row>
    <row r="220" spans="14:14">
      <c r="N220" s="289"/>
    </row>
    <row r="221" spans="14:14">
      <c r="N221" s="289"/>
    </row>
    <row r="222" spans="14:14">
      <c r="N222" s="289"/>
    </row>
    <row r="223" spans="14:14">
      <c r="N223" s="289"/>
    </row>
    <row r="224" spans="14:14">
      <c r="N224" s="289"/>
    </row>
    <row r="225" spans="14:14">
      <c r="N225" s="289"/>
    </row>
    <row r="226" spans="14:14">
      <c r="N226" s="289"/>
    </row>
    <row r="227" spans="14:14">
      <c r="N227" s="289"/>
    </row>
    <row r="228" spans="14:14">
      <c r="N228" s="289"/>
    </row>
    <row r="229" spans="14:14">
      <c r="N229" s="289"/>
    </row>
    <row r="230" spans="14:14">
      <c r="N230" s="289"/>
    </row>
    <row r="231" spans="14:14">
      <c r="N231" s="289"/>
    </row>
    <row r="232" spans="14:14">
      <c r="N232" s="289"/>
    </row>
    <row r="233" spans="14:14">
      <c r="N233" s="289"/>
    </row>
    <row r="234" spans="14:14">
      <c r="N234" s="289"/>
    </row>
    <row r="235" spans="14:14">
      <c r="N235" s="289"/>
    </row>
    <row r="236" spans="14:14">
      <c r="N236" s="289"/>
    </row>
    <row r="237" spans="14:14">
      <c r="N237" s="289"/>
    </row>
    <row r="238" spans="14:14">
      <c r="N238" s="289"/>
    </row>
    <row r="239" spans="14:14">
      <c r="N239" s="289"/>
    </row>
    <row r="240" spans="14:14">
      <c r="N240" s="289"/>
    </row>
    <row r="241" spans="14:14">
      <c r="N241" s="289"/>
    </row>
    <row r="242" spans="14:14">
      <c r="N242" s="289"/>
    </row>
    <row r="243" spans="14:14">
      <c r="N243" s="289"/>
    </row>
    <row r="244" spans="14:14">
      <c r="N244" s="289"/>
    </row>
    <row r="245" spans="14:14">
      <c r="N245" s="289"/>
    </row>
    <row r="246" spans="14:14">
      <c r="N246" s="289"/>
    </row>
    <row r="247" spans="14:14">
      <c r="N247" s="289"/>
    </row>
    <row r="248" spans="14:14">
      <c r="N248" s="289"/>
    </row>
    <row r="249" spans="14:14">
      <c r="N249" s="289"/>
    </row>
    <row r="250" spans="14:14">
      <c r="N250" s="289"/>
    </row>
    <row r="251" spans="14:14">
      <c r="N251" s="289"/>
    </row>
    <row r="252" spans="14:14">
      <c r="N252" s="289"/>
    </row>
    <row r="253" spans="14:14">
      <c r="N253" s="289"/>
    </row>
    <row r="254" spans="14:14">
      <c r="N254" s="289"/>
    </row>
    <row r="255" spans="14:14">
      <c r="N255" s="289"/>
    </row>
    <row r="256" spans="14:14">
      <c r="N256" s="289"/>
    </row>
    <row r="257" spans="14:14">
      <c r="N257" s="289"/>
    </row>
    <row r="258" spans="14:14">
      <c r="N258" s="289"/>
    </row>
    <row r="259" spans="14:14">
      <c r="N259" s="289"/>
    </row>
    <row r="260" spans="14:14">
      <c r="N260" s="289"/>
    </row>
    <row r="261" spans="14:14">
      <c r="N261" s="289"/>
    </row>
    <row r="262" spans="14:14">
      <c r="N262" s="289"/>
    </row>
    <row r="263" spans="14:14">
      <c r="N263" s="289"/>
    </row>
    <row r="264" spans="14:14">
      <c r="N264" s="289"/>
    </row>
    <row r="265" spans="14:14">
      <c r="N265" s="289"/>
    </row>
    <row r="266" spans="14:14">
      <c r="N266" s="289"/>
    </row>
    <row r="267" spans="14:14">
      <c r="N267" s="289"/>
    </row>
    <row r="268" spans="14:14">
      <c r="N268" s="289"/>
    </row>
    <row r="269" spans="14:14">
      <c r="N269" s="289"/>
    </row>
    <row r="270" spans="14:14">
      <c r="N270" s="289"/>
    </row>
    <row r="271" spans="14:14">
      <c r="N271" s="289"/>
    </row>
    <row r="272" spans="14:14">
      <c r="N272" s="289"/>
    </row>
    <row r="273" spans="14:14">
      <c r="N273" s="289"/>
    </row>
    <row r="274" spans="14:14">
      <c r="N274" s="289"/>
    </row>
    <row r="275" spans="14:14">
      <c r="N275" s="289"/>
    </row>
    <row r="276" spans="14:14">
      <c r="N276" s="289"/>
    </row>
    <row r="277" spans="14:14">
      <c r="N277" s="289"/>
    </row>
    <row r="278" spans="14:14">
      <c r="N278" s="289"/>
    </row>
    <row r="279" spans="14:14">
      <c r="N279" s="289"/>
    </row>
    <row r="280" spans="14:14">
      <c r="N280" s="289"/>
    </row>
    <row r="281" spans="14:14">
      <c r="N281" s="289"/>
    </row>
    <row r="282" spans="14:14">
      <c r="N282" s="289"/>
    </row>
    <row r="283" spans="14:14">
      <c r="N283" s="289"/>
    </row>
    <row r="284" spans="14:14">
      <c r="N284" s="289"/>
    </row>
    <row r="285" spans="14:14">
      <c r="N285" s="289"/>
    </row>
    <row r="286" spans="14:14">
      <c r="N286" s="289"/>
    </row>
    <row r="287" spans="14:14">
      <c r="N287" s="289"/>
    </row>
    <row r="288" spans="14:14">
      <c r="N288" s="289"/>
    </row>
    <row r="289" spans="14:14">
      <c r="N289" s="289"/>
    </row>
    <row r="290" spans="14:14">
      <c r="N290" s="289"/>
    </row>
    <row r="291" spans="14:14">
      <c r="N291" s="289"/>
    </row>
    <row r="292" spans="14:14">
      <c r="N292" s="289"/>
    </row>
    <row r="293" spans="14:14">
      <c r="N293" s="289"/>
    </row>
    <row r="294" spans="14:14">
      <c r="N294" s="289"/>
    </row>
    <row r="295" spans="14:14">
      <c r="N295" s="289"/>
    </row>
    <row r="296" spans="14:14">
      <c r="N296" s="289"/>
    </row>
    <row r="297" spans="14:14">
      <c r="N297" s="289"/>
    </row>
    <row r="298" spans="14:14">
      <c r="N298" s="289"/>
    </row>
    <row r="299" spans="14:14">
      <c r="N299" s="289"/>
    </row>
    <row r="300" spans="14:14">
      <c r="N300" s="289"/>
    </row>
    <row r="301" spans="14:14">
      <c r="N301" s="289"/>
    </row>
    <row r="302" spans="14:14">
      <c r="N302" s="289"/>
    </row>
    <row r="303" spans="14:14">
      <c r="N303" s="289"/>
    </row>
    <row r="304" spans="14:14">
      <c r="N304" s="289"/>
    </row>
    <row r="305" spans="14:14">
      <c r="N305" s="289"/>
    </row>
    <row r="306" spans="14:14">
      <c r="N306" s="289"/>
    </row>
    <row r="307" spans="14:14">
      <c r="N307" s="289"/>
    </row>
    <row r="308" spans="14:14">
      <c r="N308" s="289"/>
    </row>
    <row r="309" spans="14:14">
      <c r="N309" s="289"/>
    </row>
    <row r="310" spans="14:14">
      <c r="N310" s="289"/>
    </row>
    <row r="311" spans="14:14">
      <c r="N311" s="289"/>
    </row>
    <row r="312" spans="14:14">
      <c r="N312" s="289"/>
    </row>
    <row r="313" spans="14:14">
      <c r="N313" s="289"/>
    </row>
    <row r="314" spans="14:14">
      <c r="N314" s="289"/>
    </row>
    <row r="315" spans="14:14">
      <c r="N315" s="289"/>
    </row>
    <row r="316" spans="14:14">
      <c r="N316" s="289"/>
    </row>
    <row r="317" spans="14:14">
      <c r="N317" s="289"/>
    </row>
    <row r="318" spans="14:14">
      <c r="N318" s="289"/>
    </row>
    <row r="319" spans="14:14">
      <c r="N319" s="289"/>
    </row>
    <row r="320" spans="14:14">
      <c r="N320" s="289"/>
    </row>
    <row r="321" spans="14:14">
      <c r="N321" s="289"/>
    </row>
    <row r="322" spans="14:14">
      <c r="N322" s="289"/>
    </row>
    <row r="323" spans="14:14">
      <c r="N323" s="289"/>
    </row>
    <row r="324" spans="14:14">
      <c r="N324" s="289"/>
    </row>
    <row r="325" spans="14:14">
      <c r="N325" s="289"/>
    </row>
    <row r="326" spans="14:14">
      <c r="N326" s="289"/>
    </row>
    <row r="327" spans="14:14">
      <c r="N327" s="289"/>
    </row>
    <row r="328" spans="14:14">
      <c r="N328" s="289"/>
    </row>
    <row r="329" spans="14:14">
      <c r="N329" s="289"/>
    </row>
    <row r="330" spans="14:14">
      <c r="N330" s="289"/>
    </row>
    <row r="331" spans="14:14">
      <c r="N331" s="289"/>
    </row>
    <row r="332" spans="14:14">
      <c r="N332" s="289"/>
    </row>
    <row r="333" spans="14:14">
      <c r="N333" s="289"/>
    </row>
    <row r="334" spans="14:14">
      <c r="N334" s="289"/>
    </row>
    <row r="335" spans="14:14">
      <c r="N335" s="289"/>
    </row>
    <row r="336" spans="14:14">
      <c r="N336" s="289"/>
    </row>
    <row r="337" spans="14:14">
      <c r="N337" s="289"/>
    </row>
    <row r="338" spans="14:14">
      <c r="N338" s="289"/>
    </row>
    <row r="339" spans="14:14">
      <c r="N339" s="289"/>
    </row>
    <row r="340" spans="14:14">
      <c r="N340" s="289"/>
    </row>
    <row r="341" spans="14:14">
      <c r="N341" s="289"/>
    </row>
    <row r="342" spans="14:14">
      <c r="N342" s="289"/>
    </row>
    <row r="343" spans="14:14">
      <c r="N343" s="289"/>
    </row>
    <row r="344" spans="14:14">
      <c r="N344" s="289"/>
    </row>
    <row r="345" spans="14:14">
      <c r="N345" s="289"/>
    </row>
    <row r="346" spans="14:14">
      <c r="N346" s="289"/>
    </row>
    <row r="347" spans="14:14">
      <c r="N347" s="289"/>
    </row>
    <row r="348" spans="14:14">
      <c r="N348" s="289"/>
    </row>
    <row r="349" spans="14:14">
      <c r="N349" s="289"/>
    </row>
    <row r="350" spans="14:14">
      <c r="N350" s="289"/>
    </row>
    <row r="351" spans="14:14">
      <c r="N351" s="289"/>
    </row>
    <row r="352" spans="14:14">
      <c r="N352" s="289"/>
    </row>
    <row r="353" spans="14:14">
      <c r="N353" s="289"/>
    </row>
    <row r="354" spans="14:14">
      <c r="N354" s="289"/>
    </row>
    <row r="355" spans="14:14">
      <c r="N355" s="289"/>
    </row>
    <row r="356" spans="14:14">
      <c r="N356" s="289"/>
    </row>
    <row r="357" spans="14:14">
      <c r="N357" s="289"/>
    </row>
    <row r="358" spans="14:14">
      <c r="N358" s="289"/>
    </row>
    <row r="359" spans="14:14">
      <c r="N359" s="289"/>
    </row>
    <row r="360" spans="14:14">
      <c r="N360" s="289"/>
    </row>
    <row r="361" spans="14:14">
      <c r="N361" s="289"/>
    </row>
    <row r="362" spans="14:14">
      <c r="N362" s="289"/>
    </row>
    <row r="363" spans="14:14">
      <c r="N363" s="289"/>
    </row>
    <row r="364" spans="14:14">
      <c r="N364" s="289"/>
    </row>
    <row r="365" spans="14:14">
      <c r="N365" s="289"/>
    </row>
    <row r="366" spans="14:14">
      <c r="N366" s="289"/>
    </row>
    <row r="367" spans="14:14">
      <c r="N367" s="289"/>
    </row>
    <row r="368" spans="14:14">
      <c r="N368" s="289"/>
    </row>
    <row r="369" spans="14:14">
      <c r="N369" s="289"/>
    </row>
    <row r="370" spans="14:14">
      <c r="N370" s="289"/>
    </row>
    <row r="371" spans="14:14">
      <c r="N371" s="289"/>
    </row>
    <row r="372" spans="14:14">
      <c r="N372" s="289"/>
    </row>
    <row r="373" spans="14:14">
      <c r="N373" s="289"/>
    </row>
    <row r="374" spans="14:14">
      <c r="N374" s="289"/>
    </row>
    <row r="375" spans="14:14">
      <c r="N375" s="289"/>
    </row>
    <row r="376" spans="14:14">
      <c r="N376" s="289"/>
    </row>
    <row r="377" spans="14:14">
      <c r="N377" s="289"/>
    </row>
    <row r="378" spans="14:14">
      <c r="N378" s="289"/>
    </row>
    <row r="379" spans="14:14">
      <c r="N379" s="289"/>
    </row>
    <row r="380" spans="14:14">
      <c r="N380" s="289"/>
    </row>
    <row r="381" spans="14:14">
      <c r="N381" s="289"/>
    </row>
    <row r="382" spans="14:14">
      <c r="N382" s="289"/>
    </row>
    <row r="383" spans="14:14">
      <c r="N383" s="289"/>
    </row>
    <row r="384" spans="14:14">
      <c r="N384" s="289"/>
    </row>
    <row r="385" spans="14:14">
      <c r="N385" s="289"/>
    </row>
    <row r="386" spans="14:14">
      <c r="N386" s="289"/>
    </row>
    <row r="387" spans="14:14">
      <c r="N387" s="289"/>
    </row>
    <row r="388" spans="14:14">
      <c r="N388" s="289"/>
    </row>
    <row r="389" spans="14:14">
      <c r="N389" s="289"/>
    </row>
    <row r="390" spans="14:14">
      <c r="N390" s="289"/>
    </row>
    <row r="391" spans="14:14">
      <c r="N391" s="289"/>
    </row>
    <row r="392" spans="14:14">
      <c r="N392" s="289"/>
    </row>
    <row r="393" spans="14:14">
      <c r="N393" s="289"/>
    </row>
    <row r="394" spans="14:14">
      <c r="N394" s="289"/>
    </row>
    <row r="395" spans="14:14">
      <c r="N395" s="289"/>
    </row>
    <row r="396" spans="14:14">
      <c r="N396" s="289"/>
    </row>
    <row r="397" spans="14:14">
      <c r="N397" s="289"/>
    </row>
    <row r="398" spans="14:14">
      <c r="N398" s="289"/>
    </row>
    <row r="399" spans="14:14">
      <c r="N399" s="289"/>
    </row>
    <row r="400" spans="14:14">
      <c r="N400" s="289"/>
    </row>
    <row r="401" spans="14:14">
      <c r="N401" s="289"/>
    </row>
    <row r="402" spans="14:14">
      <c r="N402" s="289"/>
    </row>
    <row r="403" spans="14:14">
      <c r="N403" s="289"/>
    </row>
    <row r="404" spans="14:14">
      <c r="N404" s="289"/>
    </row>
    <row r="405" spans="14:14">
      <c r="N405" s="289"/>
    </row>
    <row r="406" spans="14:14">
      <c r="N406" s="289"/>
    </row>
    <row r="407" spans="14:14">
      <c r="N407" s="289"/>
    </row>
    <row r="408" spans="14:14">
      <c r="N408" s="289"/>
    </row>
    <row r="409" spans="14:14">
      <c r="N409" s="289"/>
    </row>
    <row r="410" spans="14:14">
      <c r="N410" s="289"/>
    </row>
    <row r="411" spans="14:14">
      <c r="N411" s="289"/>
    </row>
    <row r="412" spans="14:14">
      <c r="N412" s="289"/>
    </row>
    <row r="413" spans="14:14">
      <c r="N413" s="289"/>
    </row>
    <row r="414" spans="14:14">
      <c r="N414" s="289"/>
    </row>
    <row r="415" spans="14:14">
      <c r="N415" s="289"/>
    </row>
    <row r="416" spans="14:14">
      <c r="N416" s="289"/>
    </row>
    <row r="417" spans="14:14">
      <c r="N417" s="289"/>
    </row>
    <row r="418" spans="14:14">
      <c r="N418" s="289"/>
    </row>
    <row r="419" spans="14:14">
      <c r="N419" s="289"/>
    </row>
    <row r="420" spans="14:14">
      <c r="N420" s="289"/>
    </row>
    <row r="421" spans="14:14">
      <c r="N421" s="289"/>
    </row>
    <row r="422" spans="14:14">
      <c r="N422" s="289"/>
    </row>
    <row r="423" spans="14:14">
      <c r="N423" s="289"/>
    </row>
    <row r="424" spans="14:14">
      <c r="N424" s="289"/>
    </row>
    <row r="425" spans="14:14">
      <c r="N425" s="289"/>
    </row>
    <row r="426" spans="14:14">
      <c r="N426" s="289"/>
    </row>
    <row r="427" spans="14:14">
      <c r="N427" s="289"/>
    </row>
    <row r="428" spans="14:14">
      <c r="N428" s="289"/>
    </row>
    <row r="429" spans="14:14">
      <c r="N429" s="289"/>
    </row>
    <row r="430" spans="14:14">
      <c r="N430" s="289"/>
    </row>
    <row r="431" spans="14:14">
      <c r="N431" s="289"/>
    </row>
    <row r="432" spans="14:14">
      <c r="N432" s="289"/>
    </row>
    <row r="433" spans="14:14">
      <c r="N433" s="289"/>
    </row>
    <row r="434" spans="14:14">
      <c r="N434" s="289"/>
    </row>
    <row r="435" spans="14:14">
      <c r="N435" s="289"/>
    </row>
    <row r="436" spans="14:14">
      <c r="N436" s="289"/>
    </row>
    <row r="437" spans="14:14">
      <c r="N437" s="289"/>
    </row>
    <row r="438" spans="14:14">
      <c r="N438" s="289"/>
    </row>
    <row r="439" spans="14:14">
      <c r="N439" s="289"/>
    </row>
    <row r="440" spans="14:14">
      <c r="N440" s="289"/>
    </row>
    <row r="441" spans="14:14">
      <c r="N441" s="289"/>
    </row>
    <row r="442" spans="14:14">
      <c r="N442" s="289"/>
    </row>
    <row r="443" spans="14:14">
      <c r="N443" s="289"/>
    </row>
    <row r="444" spans="14:14">
      <c r="N444" s="289"/>
    </row>
    <row r="445" spans="14:14">
      <c r="N445" s="289"/>
    </row>
    <row r="446" spans="14:14">
      <c r="N446" s="289"/>
    </row>
    <row r="447" spans="14:14">
      <c r="N447" s="289"/>
    </row>
    <row r="448" spans="14:14">
      <c r="N448" s="289"/>
    </row>
    <row r="449" spans="14:14">
      <c r="N449" s="289"/>
    </row>
    <row r="450" spans="14:14">
      <c r="N450" s="289"/>
    </row>
    <row r="451" spans="14:14">
      <c r="N451" s="289"/>
    </row>
    <row r="452" spans="14:14">
      <c r="N452" s="289"/>
    </row>
    <row r="453" spans="14:14">
      <c r="N453" s="289"/>
    </row>
    <row r="454" spans="14:14">
      <c r="N454" s="289"/>
    </row>
    <row r="455" spans="14:14">
      <c r="N455" s="289"/>
    </row>
    <row r="456" spans="14:14">
      <c r="N456" s="289"/>
    </row>
    <row r="457" spans="14:14">
      <c r="N457" s="289"/>
    </row>
    <row r="458" spans="14:14">
      <c r="N458" s="289"/>
    </row>
    <row r="459" spans="14:14">
      <c r="N459" s="289"/>
    </row>
    <row r="460" spans="14:14">
      <c r="N460" s="289"/>
    </row>
    <row r="461" spans="14:14">
      <c r="N461" s="289"/>
    </row>
    <row r="462" spans="14:14">
      <c r="N462" s="289"/>
    </row>
    <row r="463" spans="14:14">
      <c r="N463" s="289"/>
    </row>
    <row r="464" spans="14:14">
      <c r="N464" s="289"/>
    </row>
    <row r="465" spans="14:14">
      <c r="N465" s="289"/>
    </row>
    <row r="466" spans="14:14">
      <c r="N466" s="289"/>
    </row>
    <row r="467" spans="14:14">
      <c r="N467" s="289"/>
    </row>
    <row r="468" spans="14:14">
      <c r="N468" s="289"/>
    </row>
    <row r="469" spans="14:14">
      <c r="N469" s="289"/>
    </row>
    <row r="470" spans="14:14">
      <c r="N470" s="289"/>
    </row>
    <row r="471" spans="14:14">
      <c r="N471" s="289"/>
    </row>
    <row r="472" spans="14:14">
      <c r="N472" s="289"/>
    </row>
    <row r="473" spans="14:14">
      <c r="N473" s="289"/>
    </row>
    <row r="474" spans="14:14">
      <c r="N474" s="289"/>
    </row>
    <row r="475" spans="14:14">
      <c r="N475" s="289"/>
    </row>
    <row r="476" spans="14:14">
      <c r="N476" s="289"/>
    </row>
    <row r="477" spans="14:14">
      <c r="N477" s="289"/>
    </row>
    <row r="478" spans="14:14">
      <c r="N478" s="289"/>
    </row>
    <row r="479" spans="14:14">
      <c r="N479" s="289"/>
    </row>
    <row r="480" spans="14:14">
      <c r="N480" s="289"/>
    </row>
    <row r="481" spans="14:14">
      <c r="N481" s="289"/>
    </row>
    <row r="482" spans="14:14">
      <c r="N482" s="289"/>
    </row>
    <row r="483" spans="14:14">
      <c r="N483" s="289"/>
    </row>
    <row r="484" spans="14:14">
      <c r="N484" s="289"/>
    </row>
    <row r="485" spans="14:14">
      <c r="N485" s="289"/>
    </row>
    <row r="486" spans="14:14">
      <c r="N486" s="289"/>
    </row>
    <row r="487" spans="14:14">
      <c r="N487" s="289"/>
    </row>
    <row r="488" spans="14:14">
      <c r="N488" s="289"/>
    </row>
    <row r="489" spans="14:14">
      <c r="N489" s="289"/>
    </row>
    <row r="490" spans="14:14">
      <c r="N490" s="289"/>
    </row>
    <row r="491" spans="14:14">
      <c r="N491" s="289"/>
    </row>
    <row r="492" spans="14:14">
      <c r="N492" s="289"/>
    </row>
    <row r="493" spans="14:14">
      <c r="N493" s="289"/>
    </row>
    <row r="494" spans="14:14">
      <c r="N494" s="289"/>
    </row>
    <row r="495" spans="14:14">
      <c r="N495" s="289"/>
    </row>
    <row r="496" spans="14:14">
      <c r="N496" s="289"/>
    </row>
    <row r="497" spans="14:14">
      <c r="N497" s="289"/>
    </row>
    <row r="498" spans="14:14">
      <c r="N498" s="289"/>
    </row>
    <row r="499" spans="14:14">
      <c r="N499" s="289"/>
    </row>
    <row r="500" spans="14:14">
      <c r="N500" s="289"/>
    </row>
    <row r="501" spans="14:14">
      <c r="N501" s="289"/>
    </row>
    <row r="502" spans="14:14">
      <c r="N502" s="289"/>
    </row>
    <row r="503" spans="14:14">
      <c r="N503" s="289"/>
    </row>
    <row r="504" spans="14:14">
      <c r="N504" s="289"/>
    </row>
    <row r="505" spans="14:14">
      <c r="N505" s="289"/>
    </row>
    <row r="506" spans="14:14">
      <c r="N506" s="289"/>
    </row>
    <row r="507" spans="14:14">
      <c r="N507" s="289"/>
    </row>
    <row r="508" spans="14:14">
      <c r="N508" s="289"/>
    </row>
    <row r="509" spans="14:14">
      <c r="N509" s="289"/>
    </row>
    <row r="510" spans="14:14">
      <c r="N510" s="289"/>
    </row>
    <row r="511" spans="14:14">
      <c r="N511" s="289"/>
    </row>
    <row r="512" spans="14:14">
      <c r="N512" s="289"/>
    </row>
    <row r="513" spans="14:14">
      <c r="N513" s="289"/>
    </row>
    <row r="514" spans="14:14">
      <c r="N514" s="289"/>
    </row>
    <row r="515" spans="14:14">
      <c r="N515" s="289"/>
    </row>
    <row r="516" spans="14:14">
      <c r="N516" s="289"/>
    </row>
    <row r="517" spans="14:14">
      <c r="N517" s="289"/>
    </row>
    <row r="518" spans="14:14">
      <c r="N518" s="289"/>
    </row>
    <row r="519" spans="14:14">
      <c r="N519" s="289"/>
    </row>
    <row r="520" spans="14:14">
      <c r="N520" s="289"/>
    </row>
    <row r="521" spans="14:14">
      <c r="N521" s="289"/>
    </row>
    <row r="522" spans="14:14">
      <c r="N522" s="289"/>
    </row>
    <row r="523" spans="14:14">
      <c r="N523" s="289"/>
    </row>
    <row r="524" spans="14:14">
      <c r="N524" s="289"/>
    </row>
    <row r="525" spans="14:14">
      <c r="N525" s="289"/>
    </row>
    <row r="526" spans="14:14">
      <c r="N526" s="289"/>
    </row>
    <row r="527" spans="14:14">
      <c r="N527" s="289"/>
    </row>
    <row r="528" spans="14:14">
      <c r="N528" s="289"/>
    </row>
    <row r="529" spans="14:14">
      <c r="N529" s="289"/>
    </row>
    <row r="530" spans="14:14">
      <c r="N530" s="289"/>
    </row>
    <row r="531" spans="14:14">
      <c r="N531" s="289"/>
    </row>
    <row r="532" spans="14:14">
      <c r="N532" s="289"/>
    </row>
    <row r="533" spans="14:14">
      <c r="N533" s="289"/>
    </row>
    <row r="534" spans="14:14">
      <c r="N534" s="289"/>
    </row>
    <row r="535" spans="14:14">
      <c r="N535" s="289"/>
    </row>
    <row r="536" spans="14:14">
      <c r="N536" s="289"/>
    </row>
    <row r="537" spans="14:14">
      <c r="N537" s="289"/>
    </row>
    <row r="538" spans="14:14">
      <c r="N538" s="289"/>
    </row>
    <row r="539" spans="14:14">
      <c r="N539" s="289"/>
    </row>
    <row r="540" spans="14:14">
      <c r="N540" s="289"/>
    </row>
    <row r="541" spans="14:14">
      <c r="N541" s="289"/>
    </row>
    <row r="542" spans="14:14">
      <c r="N542" s="289"/>
    </row>
    <row r="543" spans="14:14">
      <c r="N543" s="289"/>
    </row>
    <row r="544" spans="14:14">
      <c r="N544" s="289"/>
    </row>
    <row r="545" spans="14:14">
      <c r="N545" s="289"/>
    </row>
    <row r="546" spans="14:14">
      <c r="N546" s="289"/>
    </row>
    <row r="547" spans="14:14">
      <c r="N547" s="289"/>
    </row>
    <row r="548" spans="14:14">
      <c r="N548" s="289"/>
    </row>
    <row r="549" spans="14:14">
      <c r="N549" s="289"/>
    </row>
    <row r="550" spans="14:14">
      <c r="N550" s="289"/>
    </row>
    <row r="551" spans="14:14">
      <c r="N551" s="289"/>
    </row>
    <row r="552" spans="14:14">
      <c r="N552" s="289"/>
    </row>
    <row r="553" spans="14:14">
      <c r="N553" s="289"/>
    </row>
    <row r="554" spans="14:14">
      <c r="N554" s="289"/>
    </row>
    <row r="555" spans="14:14">
      <c r="N555" s="289"/>
    </row>
    <row r="556" spans="14:14">
      <c r="N556" s="289"/>
    </row>
    <row r="557" spans="14:14">
      <c r="N557" s="289"/>
    </row>
    <row r="558" spans="14:14">
      <c r="N558" s="289"/>
    </row>
    <row r="559" spans="14:14">
      <c r="N559" s="289"/>
    </row>
    <row r="560" spans="14:14">
      <c r="N560" s="289"/>
    </row>
    <row r="561" spans="14:14">
      <c r="N561" s="289"/>
    </row>
    <row r="562" spans="14:14">
      <c r="N562" s="289"/>
    </row>
    <row r="563" spans="14:14">
      <c r="N563" s="289"/>
    </row>
    <row r="564" spans="14:14">
      <c r="N564" s="289"/>
    </row>
    <row r="565" spans="14:14">
      <c r="N565" s="289"/>
    </row>
    <row r="566" spans="14:14">
      <c r="N566" s="289"/>
    </row>
    <row r="567" spans="14:14">
      <c r="N567" s="289"/>
    </row>
    <row r="568" spans="14:14">
      <c r="N568" s="289"/>
    </row>
    <row r="569" spans="14:14">
      <c r="N569" s="289"/>
    </row>
    <row r="570" spans="14:14">
      <c r="N570" s="289"/>
    </row>
    <row r="571" spans="14:14">
      <c r="N571" s="289"/>
    </row>
    <row r="572" spans="14:14">
      <c r="N572" s="289"/>
    </row>
    <row r="573" spans="14:14">
      <c r="N573" s="289"/>
    </row>
    <row r="574" spans="14:14">
      <c r="N574" s="289"/>
    </row>
    <row r="575" spans="14:14">
      <c r="N575" s="289"/>
    </row>
    <row r="576" spans="14:14">
      <c r="N576" s="289"/>
    </row>
    <row r="577" spans="14:14">
      <c r="N577" s="289"/>
    </row>
    <row r="578" spans="14:14">
      <c r="N578" s="289"/>
    </row>
    <row r="579" spans="14:14">
      <c r="N579" s="289"/>
    </row>
    <row r="580" spans="14:14">
      <c r="N580" s="289"/>
    </row>
    <row r="581" spans="14:14">
      <c r="N581" s="289"/>
    </row>
    <row r="582" spans="14:14">
      <c r="N582" s="289"/>
    </row>
    <row r="583" spans="14:14">
      <c r="N583" s="289"/>
    </row>
    <row r="584" spans="14:14">
      <c r="N584" s="289"/>
    </row>
    <row r="585" spans="14:14">
      <c r="N585" s="289"/>
    </row>
    <row r="586" spans="14:14">
      <c r="N586" s="289"/>
    </row>
    <row r="587" spans="14:14">
      <c r="N587" s="289"/>
    </row>
    <row r="588" spans="14:14">
      <c r="N588" s="289"/>
    </row>
    <row r="589" spans="14:14">
      <c r="N589" s="289"/>
    </row>
    <row r="590" spans="14:14">
      <c r="N590" s="289"/>
    </row>
    <row r="591" spans="14:14">
      <c r="N591" s="289"/>
    </row>
    <row r="592" spans="14:14">
      <c r="N592" s="289"/>
    </row>
    <row r="593" spans="14:14">
      <c r="N593" s="289"/>
    </row>
    <row r="594" spans="14:14">
      <c r="N594" s="289"/>
    </row>
    <row r="595" spans="14:14">
      <c r="N595" s="289"/>
    </row>
    <row r="596" spans="14:14">
      <c r="N596" s="289"/>
    </row>
    <row r="597" spans="14:14">
      <c r="N597" s="289"/>
    </row>
    <row r="598" spans="14:14">
      <c r="N598" s="289"/>
    </row>
    <row r="599" spans="14:14">
      <c r="N599" s="289"/>
    </row>
    <row r="600" spans="14:14">
      <c r="N600" s="289"/>
    </row>
    <row r="601" spans="14:14">
      <c r="N601" s="289"/>
    </row>
    <row r="602" spans="14:14">
      <c r="N602" s="289"/>
    </row>
    <row r="603" spans="14:14">
      <c r="N603" s="289"/>
    </row>
    <row r="604" spans="14:14">
      <c r="N604" s="289"/>
    </row>
    <row r="605" spans="14:14">
      <c r="N605" s="289"/>
    </row>
    <row r="606" spans="14:14">
      <c r="N606" s="289"/>
    </row>
    <row r="607" spans="14:14">
      <c r="N607" s="289"/>
    </row>
    <row r="608" spans="14:14">
      <c r="N608" s="289"/>
    </row>
    <row r="609" spans="14:14">
      <c r="N609" s="289"/>
    </row>
    <row r="610" spans="14:14">
      <c r="N610" s="289"/>
    </row>
    <row r="611" spans="14:14">
      <c r="N611" s="289"/>
    </row>
    <row r="612" spans="14:14">
      <c r="N612" s="289"/>
    </row>
    <row r="613" spans="14:14">
      <c r="N613" s="289"/>
    </row>
    <row r="614" spans="14:14">
      <c r="N614" s="289"/>
    </row>
    <row r="615" spans="14:14">
      <c r="N615" s="289"/>
    </row>
    <row r="616" spans="14:14">
      <c r="N616" s="289"/>
    </row>
    <row r="617" spans="14:14">
      <c r="N617" s="289"/>
    </row>
    <row r="618" spans="14:14">
      <c r="N618" s="289"/>
    </row>
    <row r="619" spans="14:14">
      <c r="N619" s="289"/>
    </row>
    <row r="620" spans="14:14">
      <c r="N620" s="289"/>
    </row>
    <row r="621" spans="14:14">
      <c r="N621" s="289"/>
    </row>
    <row r="622" spans="14:14">
      <c r="N622" s="289"/>
    </row>
    <row r="623" spans="14:14">
      <c r="N623" s="289"/>
    </row>
    <row r="624" spans="14:14">
      <c r="N624" s="289"/>
    </row>
    <row r="625" spans="14:14">
      <c r="N625" s="289"/>
    </row>
    <row r="626" spans="14:14">
      <c r="N626" s="289"/>
    </row>
    <row r="627" spans="14:14">
      <c r="N627" s="289"/>
    </row>
    <row r="628" spans="14:14">
      <c r="N628" s="289"/>
    </row>
    <row r="629" spans="14:14">
      <c r="N629" s="289"/>
    </row>
    <row r="630" spans="14:14">
      <c r="N630" s="289"/>
    </row>
    <row r="631" spans="14:14">
      <c r="N631" s="289"/>
    </row>
    <row r="632" spans="14:14">
      <c r="N632" s="289"/>
    </row>
    <row r="633" spans="14:14">
      <c r="N633" s="289"/>
    </row>
    <row r="634" spans="14:14">
      <c r="N634" s="289"/>
    </row>
    <row r="635" spans="14:14">
      <c r="N635" s="289"/>
    </row>
    <row r="636" spans="14:14">
      <c r="N636" s="289"/>
    </row>
    <row r="637" spans="14:14">
      <c r="N637" s="289"/>
    </row>
    <row r="638" spans="14:14">
      <c r="N638" s="289"/>
    </row>
    <row r="639" spans="14:14">
      <c r="N639" s="289"/>
    </row>
    <row r="640" spans="14:14">
      <c r="N640" s="289"/>
    </row>
    <row r="641" spans="14:14">
      <c r="N641" s="289"/>
    </row>
    <row r="642" spans="14:14">
      <c r="N642" s="289"/>
    </row>
    <row r="643" spans="14:14">
      <c r="N643" s="289"/>
    </row>
    <row r="644" spans="14:14">
      <c r="N644" s="289"/>
    </row>
    <row r="645" spans="14:14">
      <c r="N645" s="289"/>
    </row>
    <row r="646" spans="14:14">
      <c r="N646" s="289"/>
    </row>
    <row r="647" spans="14:14">
      <c r="N647" s="289"/>
    </row>
    <row r="648" spans="14:14">
      <c r="N648" s="289"/>
    </row>
    <row r="649" spans="14:14">
      <c r="N649" s="289"/>
    </row>
    <row r="650" spans="14:14">
      <c r="N650" s="289"/>
    </row>
    <row r="651" spans="14:14">
      <c r="N651" s="289"/>
    </row>
    <row r="652" spans="14:14">
      <c r="N652" s="289"/>
    </row>
    <row r="653" spans="14:14">
      <c r="N653" s="289"/>
    </row>
    <row r="654" spans="14:14">
      <c r="N654" s="289"/>
    </row>
    <row r="655" spans="14:14">
      <c r="N655" s="289"/>
    </row>
    <row r="656" spans="14:14">
      <c r="N656" s="289"/>
    </row>
    <row r="657" spans="14:14">
      <c r="N657" s="289"/>
    </row>
    <row r="658" spans="14:14">
      <c r="N658" s="289"/>
    </row>
    <row r="659" spans="14:14">
      <c r="N659" s="289"/>
    </row>
    <row r="660" spans="14:14">
      <c r="N660" s="289"/>
    </row>
    <row r="661" spans="14:14">
      <c r="N661" s="289"/>
    </row>
    <row r="662" spans="14:14">
      <c r="N662" s="289"/>
    </row>
    <row r="663" spans="14:14">
      <c r="N663" s="289"/>
    </row>
    <row r="664" spans="14:14">
      <c r="N664" s="289"/>
    </row>
    <row r="665" spans="14:14">
      <c r="N665" s="289"/>
    </row>
    <row r="666" spans="14:14">
      <c r="N666" s="289"/>
    </row>
    <row r="667" spans="14:14">
      <c r="N667" s="289"/>
    </row>
    <row r="668" spans="14:14">
      <c r="N668" s="289"/>
    </row>
    <row r="669" spans="14:14">
      <c r="N669" s="289"/>
    </row>
    <row r="670" spans="14:14">
      <c r="N670" s="289"/>
    </row>
    <row r="671" spans="14:14">
      <c r="N671" s="289"/>
    </row>
    <row r="672" spans="14:14">
      <c r="N672" s="289"/>
    </row>
    <row r="673" spans="14:14">
      <c r="N673" s="289"/>
    </row>
    <row r="674" spans="14:14">
      <c r="N674" s="289"/>
    </row>
    <row r="675" spans="14:14">
      <c r="N675" s="289"/>
    </row>
    <row r="676" spans="14:14">
      <c r="N676" s="289"/>
    </row>
    <row r="677" spans="14:14">
      <c r="N677" s="289"/>
    </row>
    <row r="678" spans="14:14">
      <c r="N678" s="289"/>
    </row>
    <row r="679" spans="14:14">
      <c r="N679" s="289"/>
    </row>
    <row r="680" spans="14:14">
      <c r="N680" s="289"/>
    </row>
    <row r="681" spans="14:14">
      <c r="N681" s="289"/>
    </row>
    <row r="682" spans="14:14">
      <c r="N682" s="289"/>
    </row>
    <row r="683" spans="14:14">
      <c r="N683" s="289"/>
    </row>
    <row r="684" spans="14:14">
      <c r="N684" s="289"/>
    </row>
    <row r="685" spans="14:14">
      <c r="N685" s="289"/>
    </row>
    <row r="686" spans="14:14">
      <c r="N686" s="289"/>
    </row>
    <row r="687" spans="14:14">
      <c r="N687" s="289"/>
    </row>
    <row r="688" spans="14:14">
      <c r="N688" s="289"/>
    </row>
    <row r="689" spans="14:14">
      <c r="N689" s="289"/>
    </row>
    <row r="690" spans="14:14">
      <c r="N690" s="289"/>
    </row>
    <row r="691" spans="14:14">
      <c r="N691" s="289"/>
    </row>
    <row r="692" spans="14:14">
      <c r="N692" s="289"/>
    </row>
    <row r="693" spans="14:14">
      <c r="N693" s="289"/>
    </row>
    <row r="694" spans="14:14">
      <c r="N694" s="289"/>
    </row>
    <row r="695" spans="14:14">
      <c r="N695" s="289"/>
    </row>
    <row r="696" spans="14:14">
      <c r="N696" s="289"/>
    </row>
    <row r="697" spans="14:14">
      <c r="N697" s="289"/>
    </row>
    <row r="698" spans="14:14">
      <c r="N698" s="289"/>
    </row>
    <row r="699" spans="14:14">
      <c r="N699" s="289"/>
    </row>
    <row r="700" spans="14:14">
      <c r="N700" s="289"/>
    </row>
    <row r="701" spans="14:14">
      <c r="N701" s="289"/>
    </row>
    <row r="702" spans="14:14">
      <c r="N702" s="289"/>
    </row>
    <row r="703" spans="14:14">
      <c r="N703" s="289"/>
    </row>
    <row r="704" spans="14:14">
      <c r="N704" s="289"/>
    </row>
    <row r="705" spans="14:14">
      <c r="N705" s="289"/>
    </row>
    <row r="706" spans="14:14">
      <c r="N706" s="289"/>
    </row>
    <row r="707" spans="14:14">
      <c r="N707" s="289"/>
    </row>
    <row r="708" spans="14:14">
      <c r="N708" s="289"/>
    </row>
    <row r="709" spans="14:14">
      <c r="N709" s="289"/>
    </row>
    <row r="710" spans="14:14">
      <c r="N710" s="289"/>
    </row>
    <row r="711" spans="14:14">
      <c r="N711" s="289"/>
    </row>
    <row r="712" spans="14:14">
      <c r="N712" s="289"/>
    </row>
    <row r="713" spans="14:14">
      <c r="N713" s="289"/>
    </row>
    <row r="714" spans="14:14">
      <c r="N714" s="289"/>
    </row>
    <row r="715" spans="14:14">
      <c r="N715" s="289"/>
    </row>
    <row r="716" spans="14:14">
      <c r="N716" s="289"/>
    </row>
    <row r="717" spans="14:14">
      <c r="N717" s="289"/>
    </row>
    <row r="718" spans="14:14">
      <c r="N718" s="289"/>
    </row>
    <row r="719" spans="14:14">
      <c r="N719" s="289"/>
    </row>
    <row r="720" spans="14:14">
      <c r="N720" s="289"/>
    </row>
    <row r="721" spans="14:14">
      <c r="N721" s="289"/>
    </row>
    <row r="722" spans="14:14">
      <c r="N722" s="289"/>
    </row>
    <row r="723" spans="14:14">
      <c r="N723" s="289"/>
    </row>
    <row r="724" spans="14:14">
      <c r="N724" s="289"/>
    </row>
    <row r="725" spans="14:14">
      <c r="N725" s="289"/>
    </row>
    <row r="726" spans="14:14">
      <c r="N726" s="289"/>
    </row>
    <row r="727" spans="14:14">
      <c r="N727" s="289"/>
    </row>
    <row r="728" spans="14:14">
      <c r="N728" s="289"/>
    </row>
    <row r="729" spans="14:14">
      <c r="N729" s="289"/>
    </row>
    <row r="730" spans="14:14">
      <c r="N730" s="289"/>
    </row>
    <row r="731" spans="14:14">
      <c r="N731" s="289"/>
    </row>
    <row r="732" spans="14:14">
      <c r="N732" s="289"/>
    </row>
    <row r="733" spans="14:14">
      <c r="N733" s="289"/>
    </row>
    <row r="734" spans="14:14">
      <c r="N734" s="289"/>
    </row>
    <row r="735" spans="14:14">
      <c r="N735" s="289"/>
    </row>
    <row r="736" spans="14:14">
      <c r="N736" s="289"/>
    </row>
    <row r="737" spans="14:14">
      <c r="N737" s="289"/>
    </row>
    <row r="738" spans="14:14">
      <c r="N738" s="289"/>
    </row>
    <row r="739" spans="14:14">
      <c r="N739" s="289"/>
    </row>
    <row r="740" spans="14:14">
      <c r="N740" s="289"/>
    </row>
    <row r="741" spans="14:14">
      <c r="N741" s="289"/>
    </row>
    <row r="742" spans="14:14">
      <c r="N742" s="289"/>
    </row>
    <row r="743" spans="14:14">
      <c r="N743" s="289"/>
    </row>
    <row r="744" spans="14:14">
      <c r="N744" s="289"/>
    </row>
    <row r="745" spans="14:14">
      <c r="N745" s="289"/>
    </row>
    <row r="746" spans="14:14">
      <c r="N746" s="289"/>
    </row>
    <row r="747" spans="14:14">
      <c r="N747" s="289"/>
    </row>
    <row r="748" spans="14:14">
      <c r="N748" s="289"/>
    </row>
    <row r="749" spans="14:14">
      <c r="N749" s="289"/>
    </row>
    <row r="750" spans="14:14">
      <c r="N750" s="289"/>
    </row>
    <row r="751" spans="14:14">
      <c r="N751" s="289"/>
    </row>
    <row r="752" spans="14:14">
      <c r="N752" s="289"/>
    </row>
    <row r="753" spans="14:14">
      <c r="N753" s="289"/>
    </row>
    <row r="754" spans="14:14">
      <c r="N754" s="289"/>
    </row>
    <row r="755" spans="14:14">
      <c r="N755" s="289"/>
    </row>
    <row r="756" spans="14:14">
      <c r="N756" s="289"/>
    </row>
    <row r="757" spans="14:14">
      <c r="N757" s="289"/>
    </row>
    <row r="758" spans="14:14">
      <c r="N758" s="289"/>
    </row>
    <row r="759" spans="14:14">
      <c r="N759" s="289"/>
    </row>
    <row r="760" spans="14:14">
      <c r="N760" s="289"/>
    </row>
    <row r="761" spans="14:14">
      <c r="N761" s="289"/>
    </row>
    <row r="762" spans="14:14">
      <c r="N762" s="289"/>
    </row>
    <row r="763" spans="14:14">
      <c r="N763" s="289"/>
    </row>
    <row r="764" spans="14:14">
      <c r="N764" s="289"/>
    </row>
    <row r="765" spans="14:14">
      <c r="N765" s="289"/>
    </row>
    <row r="766" spans="14:14">
      <c r="N766" s="289"/>
    </row>
    <row r="767" spans="14:14">
      <c r="N767" s="289"/>
    </row>
    <row r="768" spans="14:14">
      <c r="N768" s="289"/>
    </row>
    <row r="769" spans="14:14">
      <c r="N769" s="289"/>
    </row>
    <row r="770" spans="14:14">
      <c r="N770" s="289"/>
    </row>
    <row r="771" spans="14:14">
      <c r="N771" s="289"/>
    </row>
    <row r="772" spans="14:14">
      <c r="N772" s="289"/>
    </row>
    <row r="773" spans="14:14">
      <c r="N773" s="289"/>
    </row>
    <row r="774" spans="14:14">
      <c r="N774" s="289"/>
    </row>
    <row r="775" spans="14:14">
      <c r="N775" s="289"/>
    </row>
    <row r="776" spans="14:14">
      <c r="N776" s="289"/>
    </row>
    <row r="777" spans="14:14">
      <c r="N777" s="289"/>
    </row>
    <row r="778" spans="14:14">
      <c r="N778" s="289"/>
    </row>
    <row r="779" spans="14:14">
      <c r="N779" s="289"/>
    </row>
    <row r="780" spans="14:14">
      <c r="N780" s="289"/>
    </row>
    <row r="781" spans="14:14">
      <c r="N781" s="289"/>
    </row>
    <row r="782" spans="14:14">
      <c r="N782" s="289"/>
    </row>
    <row r="783" spans="14:14">
      <c r="N783" s="289"/>
    </row>
    <row r="784" spans="14:14">
      <c r="N784" s="289"/>
    </row>
    <row r="785" spans="14:14">
      <c r="N785" s="289"/>
    </row>
    <row r="786" spans="14:14">
      <c r="N786" s="289"/>
    </row>
    <row r="787" spans="14:14">
      <c r="N787" s="289"/>
    </row>
    <row r="788" spans="14:14">
      <c r="N788" s="289"/>
    </row>
    <row r="789" spans="14:14">
      <c r="N789" s="289"/>
    </row>
    <row r="790" spans="14:14">
      <c r="N790" s="289"/>
    </row>
    <row r="791" spans="14:14">
      <c r="N791" s="289"/>
    </row>
    <row r="792" spans="14:14">
      <c r="N792" s="289"/>
    </row>
    <row r="793" spans="14:14">
      <c r="N793" s="289"/>
    </row>
    <row r="794" spans="14:14">
      <c r="N794" s="289"/>
    </row>
    <row r="795" spans="14:14">
      <c r="N795" s="289"/>
    </row>
    <row r="796" spans="14:14">
      <c r="N796" s="289"/>
    </row>
    <row r="797" spans="14:14">
      <c r="N797" s="289"/>
    </row>
    <row r="798" spans="14:14">
      <c r="N798" s="289"/>
    </row>
    <row r="799" spans="14:14">
      <c r="N799" s="289"/>
    </row>
    <row r="800" spans="14:14">
      <c r="N800" s="289"/>
    </row>
    <row r="801" spans="14:14">
      <c r="N801" s="289"/>
    </row>
    <row r="802" spans="14:14">
      <c r="N802" s="289"/>
    </row>
    <row r="803" spans="14:14">
      <c r="N803" s="289"/>
    </row>
    <row r="804" spans="14:14">
      <c r="N804" s="289"/>
    </row>
    <row r="805" spans="14:14">
      <c r="N805" s="289"/>
    </row>
    <row r="806" spans="14:14">
      <c r="N806" s="289"/>
    </row>
    <row r="807" spans="14:14">
      <c r="N807" s="289"/>
    </row>
    <row r="808" spans="14:14">
      <c r="N808" s="289"/>
    </row>
    <row r="809" spans="14:14">
      <c r="N809" s="289"/>
    </row>
    <row r="810" spans="14:14">
      <c r="N810" s="289"/>
    </row>
    <row r="811" spans="14:14">
      <c r="N811" s="289"/>
    </row>
    <row r="812" spans="14:14">
      <c r="N812" s="289"/>
    </row>
    <row r="813" spans="14:14">
      <c r="N813" s="289"/>
    </row>
    <row r="814" spans="14:14">
      <c r="N814" s="289"/>
    </row>
    <row r="815" spans="14:14">
      <c r="N815" s="289"/>
    </row>
    <row r="816" spans="14:14">
      <c r="N816" s="289"/>
    </row>
    <row r="817" spans="14:14">
      <c r="N817" s="289"/>
    </row>
    <row r="818" spans="14:14">
      <c r="N818" s="289"/>
    </row>
    <row r="819" spans="14:14">
      <c r="N819" s="289"/>
    </row>
    <row r="820" spans="14:14">
      <c r="N820" s="289"/>
    </row>
    <row r="821" spans="14:14">
      <c r="N821" s="289"/>
    </row>
    <row r="822" spans="14:14">
      <c r="N822" s="289"/>
    </row>
    <row r="823" spans="14:14">
      <c r="N823" s="289"/>
    </row>
    <row r="824" spans="14:14">
      <c r="N824" s="289"/>
    </row>
    <row r="825" spans="14:14">
      <c r="N825" s="289"/>
    </row>
    <row r="826" spans="14:14">
      <c r="N826" s="289"/>
    </row>
    <row r="827" spans="14:14">
      <c r="N827" s="289"/>
    </row>
    <row r="828" spans="14:14">
      <c r="N828" s="289"/>
    </row>
    <row r="829" spans="14:14">
      <c r="N829" s="289"/>
    </row>
    <row r="830" spans="14:14">
      <c r="N830" s="289"/>
    </row>
    <row r="831" spans="14:14">
      <c r="N831" s="289"/>
    </row>
    <row r="832" spans="14:14">
      <c r="N832" s="289"/>
    </row>
    <row r="833" spans="14:14">
      <c r="N833" s="289"/>
    </row>
    <row r="834" spans="14:14">
      <c r="N834" s="289"/>
    </row>
    <row r="835" spans="14:14">
      <c r="N835" s="289"/>
    </row>
    <row r="836" spans="14:14">
      <c r="N836" s="289"/>
    </row>
    <row r="837" spans="14:14">
      <c r="N837" s="289"/>
    </row>
    <row r="838" spans="14:14">
      <c r="N838" s="289"/>
    </row>
    <row r="839" spans="14:14">
      <c r="N839" s="289"/>
    </row>
    <row r="840" spans="14:14">
      <c r="N840" s="289"/>
    </row>
    <row r="841" spans="14:14">
      <c r="N841" s="289"/>
    </row>
    <row r="842" spans="14:14">
      <c r="N842" s="289"/>
    </row>
    <row r="843" spans="14:14">
      <c r="N843" s="289"/>
    </row>
    <row r="844" spans="14:14">
      <c r="N844" s="289"/>
    </row>
    <row r="845" spans="14:14">
      <c r="N845" s="289"/>
    </row>
    <row r="846" spans="14:14">
      <c r="N846" s="289"/>
    </row>
    <row r="847" spans="14:14">
      <c r="N847" s="289"/>
    </row>
    <row r="848" spans="14:14">
      <c r="N848" s="289"/>
    </row>
    <row r="849" spans="14:14">
      <c r="N849" s="289"/>
    </row>
    <row r="850" spans="14:14">
      <c r="N850" s="289"/>
    </row>
    <row r="851" spans="14:14">
      <c r="N851" s="289"/>
    </row>
    <row r="852" spans="14:14">
      <c r="N852" s="289"/>
    </row>
    <row r="853" spans="14:14">
      <c r="N853" s="289"/>
    </row>
    <row r="854" spans="14:14">
      <c r="N854" s="289"/>
    </row>
    <row r="855" spans="14:14">
      <c r="N855" s="289"/>
    </row>
    <row r="856" spans="14:14">
      <c r="N856" s="289"/>
    </row>
    <row r="857" spans="14:14">
      <c r="N857" s="289"/>
    </row>
    <row r="858" spans="14:14">
      <c r="N858" s="289"/>
    </row>
    <row r="859" spans="14:14">
      <c r="N859" s="289"/>
    </row>
    <row r="860" spans="14:14">
      <c r="N860" s="289"/>
    </row>
    <row r="861" spans="14:14">
      <c r="N861" s="289"/>
    </row>
    <row r="862" spans="14:14">
      <c r="N862" s="289"/>
    </row>
    <row r="863" spans="14:14">
      <c r="N863" s="289"/>
    </row>
    <row r="864" spans="14:14">
      <c r="N864" s="289"/>
    </row>
    <row r="865" spans="14:14">
      <c r="N865" s="289"/>
    </row>
    <row r="866" spans="14:14">
      <c r="N866" s="289"/>
    </row>
    <row r="867" spans="14:14">
      <c r="N867" s="289"/>
    </row>
    <row r="868" spans="14:14">
      <c r="N868" s="289"/>
    </row>
    <row r="869" spans="14:14">
      <c r="N869" s="289"/>
    </row>
    <row r="870" spans="14:14">
      <c r="N870" s="289"/>
    </row>
    <row r="871" spans="14:14">
      <c r="N871" s="289"/>
    </row>
    <row r="872" spans="14:14">
      <c r="N872" s="289"/>
    </row>
    <row r="873" spans="14:14">
      <c r="N873" s="289"/>
    </row>
    <row r="874" spans="14:14">
      <c r="N874" s="289"/>
    </row>
    <row r="875" spans="14:14">
      <c r="N875" s="289"/>
    </row>
    <row r="876" spans="14:14">
      <c r="N876" s="289"/>
    </row>
    <row r="877" spans="14:14">
      <c r="N877" s="289"/>
    </row>
    <row r="878" spans="14:14">
      <c r="N878" s="289"/>
    </row>
    <row r="879" spans="14:14">
      <c r="N879" s="289"/>
    </row>
    <row r="880" spans="14:14">
      <c r="N880" s="289"/>
    </row>
    <row r="881" spans="14:14">
      <c r="N881" s="289"/>
    </row>
    <row r="882" spans="14:14">
      <c r="N882" s="289"/>
    </row>
    <row r="883" spans="14:14">
      <c r="N883" s="289"/>
    </row>
    <row r="884" spans="14:14">
      <c r="N884" s="289"/>
    </row>
    <row r="885" spans="14:14">
      <c r="N885" s="289"/>
    </row>
    <row r="886" spans="14:14">
      <c r="N886" s="289"/>
    </row>
    <row r="887" spans="14:14">
      <c r="N887" s="289"/>
    </row>
    <row r="888" spans="14:14">
      <c r="N888" s="289"/>
    </row>
    <row r="889" spans="14:14">
      <c r="N889" s="289"/>
    </row>
    <row r="890" spans="14:14">
      <c r="N890" s="289"/>
    </row>
    <row r="891" spans="14:14">
      <c r="N891" s="289"/>
    </row>
    <row r="892" spans="14:14">
      <c r="N892" s="289"/>
    </row>
    <row r="893" spans="14:14">
      <c r="N893" s="289"/>
    </row>
    <row r="894" spans="14:14">
      <c r="N894" s="289"/>
    </row>
    <row r="895" spans="14:14">
      <c r="N895" s="289"/>
    </row>
    <row r="896" spans="14:14">
      <c r="N896" s="289"/>
    </row>
    <row r="897" spans="14:14">
      <c r="N897" s="289"/>
    </row>
    <row r="898" spans="14:14">
      <c r="N898" s="289"/>
    </row>
    <row r="899" spans="14:14">
      <c r="N899" s="289"/>
    </row>
    <row r="900" spans="14:14">
      <c r="N900" s="289"/>
    </row>
    <row r="901" spans="14:14">
      <c r="N901" s="289"/>
    </row>
    <row r="902" spans="14:14">
      <c r="N902" s="289"/>
    </row>
    <row r="903" spans="14:14">
      <c r="N903" s="289"/>
    </row>
    <row r="904" spans="14:14">
      <c r="N904" s="289"/>
    </row>
    <row r="905" spans="14:14">
      <c r="N905" s="289"/>
    </row>
    <row r="906" spans="14:14">
      <c r="N906" s="289"/>
    </row>
    <row r="907" spans="14:14">
      <c r="N907" s="289"/>
    </row>
    <row r="908" spans="14:14">
      <c r="N908" s="289"/>
    </row>
    <row r="909" spans="14:14">
      <c r="N909" s="289"/>
    </row>
    <row r="910" spans="14:14">
      <c r="N910" s="289"/>
    </row>
    <row r="911" spans="14:14">
      <c r="N911" s="289"/>
    </row>
    <row r="912" spans="14:14">
      <c r="N912" s="289"/>
    </row>
    <row r="913" spans="14:14">
      <c r="N913" s="289"/>
    </row>
    <row r="914" spans="14:14">
      <c r="N914" s="289"/>
    </row>
    <row r="915" spans="14:14">
      <c r="N915" s="289"/>
    </row>
    <row r="916" spans="14:14">
      <c r="N916" s="289"/>
    </row>
    <row r="917" spans="14:14">
      <c r="N917" s="289"/>
    </row>
    <row r="918" spans="14:14">
      <c r="N918" s="289"/>
    </row>
    <row r="919" spans="14:14">
      <c r="N919" s="289"/>
    </row>
    <row r="920" spans="14:14">
      <c r="N920" s="289"/>
    </row>
    <row r="921" spans="14:14">
      <c r="N921" s="289"/>
    </row>
    <row r="922" spans="14:14">
      <c r="N922" s="289"/>
    </row>
    <row r="923" spans="14:14">
      <c r="N923" s="289"/>
    </row>
    <row r="924" spans="14:14">
      <c r="N924" s="289"/>
    </row>
    <row r="925" spans="14:14">
      <c r="N925" s="289"/>
    </row>
    <row r="926" spans="14:14">
      <c r="N926" s="289"/>
    </row>
    <row r="927" spans="14:14">
      <c r="N927" s="289"/>
    </row>
    <row r="928" spans="14:14">
      <c r="N928" s="289"/>
    </row>
    <row r="929" spans="14:14">
      <c r="N929" s="289"/>
    </row>
    <row r="930" spans="14:14">
      <c r="N930" s="289"/>
    </row>
    <row r="931" spans="14:14">
      <c r="N931" s="289"/>
    </row>
    <row r="932" spans="14:14">
      <c r="N932" s="289"/>
    </row>
    <row r="933" spans="14:14">
      <c r="N933" s="289"/>
    </row>
    <row r="934" spans="14:14">
      <c r="N934" s="289"/>
    </row>
    <row r="935" spans="14:14">
      <c r="N935" s="289"/>
    </row>
    <row r="936" spans="14:14">
      <c r="N936" s="289"/>
    </row>
    <row r="937" spans="14:14">
      <c r="N937" s="289"/>
    </row>
    <row r="938" spans="14:14">
      <c r="N938" s="289"/>
    </row>
    <row r="939" spans="14:14">
      <c r="N939" s="289"/>
    </row>
    <row r="940" spans="14:14">
      <c r="N940" s="289"/>
    </row>
    <row r="941" spans="14:14">
      <c r="N941" s="289"/>
    </row>
    <row r="942" spans="14:14">
      <c r="N942" s="289"/>
    </row>
    <row r="943" spans="14:14">
      <c r="N943" s="289"/>
    </row>
    <row r="944" spans="14:14">
      <c r="N944" s="289"/>
    </row>
    <row r="945" spans="14:14">
      <c r="N945" s="289"/>
    </row>
    <row r="946" spans="14:14">
      <c r="N946" s="289"/>
    </row>
    <row r="947" spans="14:14">
      <c r="N947" s="289"/>
    </row>
    <row r="948" spans="14:14">
      <c r="N948" s="289"/>
    </row>
    <row r="949" spans="14:14">
      <c r="N949" s="289"/>
    </row>
    <row r="950" spans="14:14">
      <c r="N950" s="289"/>
    </row>
    <row r="951" spans="14:14">
      <c r="N951" s="289"/>
    </row>
    <row r="952" spans="14:14">
      <c r="N952" s="289"/>
    </row>
    <row r="953" spans="14:14">
      <c r="N953" s="289"/>
    </row>
    <row r="954" spans="14:14">
      <c r="N954" s="289"/>
    </row>
    <row r="955" spans="14:14">
      <c r="N955" s="289"/>
    </row>
    <row r="956" spans="14:14">
      <c r="N956" s="289"/>
    </row>
    <row r="957" spans="14:14">
      <c r="N957" s="289"/>
    </row>
    <row r="958" spans="14:14">
      <c r="N958" s="289"/>
    </row>
    <row r="959" spans="14:14">
      <c r="N959" s="289"/>
    </row>
    <row r="960" spans="14:14">
      <c r="N960" s="289"/>
    </row>
    <row r="961" spans="14:14">
      <c r="N961" s="289"/>
    </row>
    <row r="962" spans="14:14">
      <c r="N962" s="289"/>
    </row>
    <row r="963" spans="14:14">
      <c r="N963" s="289"/>
    </row>
    <row r="964" spans="14:14">
      <c r="N964" s="289"/>
    </row>
    <row r="965" spans="14:14">
      <c r="N965" s="289"/>
    </row>
    <row r="966" spans="14:14">
      <c r="N966" s="289"/>
    </row>
    <row r="967" spans="14:14">
      <c r="N967" s="289"/>
    </row>
    <row r="968" spans="14:14">
      <c r="N968" s="289"/>
    </row>
    <row r="969" spans="14:14">
      <c r="N969" s="289"/>
    </row>
    <row r="970" spans="14:14">
      <c r="N970" s="289"/>
    </row>
    <row r="971" spans="14:14">
      <c r="N971" s="289"/>
    </row>
    <row r="972" spans="14:14">
      <c r="N972" s="289"/>
    </row>
    <row r="973" spans="14:14">
      <c r="N973" s="289"/>
    </row>
    <row r="974" spans="14:14">
      <c r="N974" s="289"/>
    </row>
    <row r="975" spans="14:14">
      <c r="N975" s="289"/>
    </row>
    <row r="976" spans="14:14">
      <c r="N976" s="289"/>
    </row>
    <row r="977" spans="14:14">
      <c r="N977" s="289"/>
    </row>
    <row r="978" spans="14:14">
      <c r="N978" s="289"/>
    </row>
    <row r="979" spans="14:14">
      <c r="N979" s="289"/>
    </row>
    <row r="980" spans="14:14">
      <c r="N980" s="289"/>
    </row>
    <row r="981" spans="14:14">
      <c r="N981" s="289"/>
    </row>
    <row r="982" spans="14:14">
      <c r="N982" s="289"/>
    </row>
    <row r="983" spans="14:14">
      <c r="N983" s="289"/>
    </row>
    <row r="984" spans="14:14">
      <c r="N984" s="289"/>
    </row>
    <row r="985" spans="14:14">
      <c r="N985" s="289"/>
    </row>
  </sheetData>
  <dataValidations count="5">
    <dataValidation type="list" allowBlank="1" showErrorMessage="1" sqref="F2" xr:uid="{27DBD738-F650-400B-89B3-581F42C236C0}">
      <formula1>"Bounceback,Defect,None"</formula1>
    </dataValidation>
    <dataValidation type="list" allowBlank="1" showErrorMessage="1" sqref="J2" xr:uid="{5AA8C5D5-DBDA-4CEB-BE0D-B072910C27FB}">
      <formula1>"Internal,External"</formula1>
    </dataValidation>
    <dataValidation type="list" allowBlank="1" showErrorMessage="1" sqref="H2" xr:uid="{487E1610-C19A-4920-9998-FFB2203A461D}">
      <formula1>"Minor,Significant,Major"</formula1>
    </dataValidation>
    <dataValidation type="list" allowBlank="1" showErrorMessage="1" sqref="I2" xr:uid="{548C89C9-A760-4BB8-823B-E94B7610CDB7}">
      <formula1>"Manual, Automation"</formula1>
    </dataValidation>
    <dataValidation type="list" allowBlank="1" showErrorMessage="1" sqref="K2" xr:uid="{6E810836-9576-44F8-BD00-932A623BBAC4}">
      <formula1>"Open,Inprogress,Closed"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F3923-5C96-4061-A030-C1E53E40C8C2}">
  <dimension ref="A1:AF4"/>
  <sheetViews>
    <sheetView topLeftCell="U1" workbookViewId="0">
      <selection activeCell="E4" sqref="E4"/>
    </sheetView>
  </sheetViews>
  <sheetFormatPr defaultRowHeight="12.75"/>
  <cols>
    <col min="2" max="2" width="18" customWidth="1"/>
    <col min="3" max="3" width="10.85546875" customWidth="1"/>
    <col min="4" max="4" width="10.140625" customWidth="1"/>
    <col min="5" max="5" width="17.85546875" customWidth="1"/>
    <col min="6" max="6" width="10.85546875" customWidth="1"/>
    <col min="7" max="7" width="10.5703125" customWidth="1"/>
    <col min="8" max="8" width="41.85546875" customWidth="1"/>
    <col min="9" max="9" width="16.5703125" customWidth="1"/>
    <col min="16" max="16" width="9.85546875" customWidth="1"/>
    <col min="17" max="17" width="15.140625" customWidth="1"/>
    <col min="18" max="18" width="9.7109375" customWidth="1"/>
    <col min="19" max="19" width="20.5703125" customWidth="1"/>
    <col min="20" max="20" width="32.7109375" customWidth="1"/>
    <col min="23" max="23" width="10.5703125" customWidth="1"/>
    <col min="24" max="24" width="17" customWidth="1"/>
    <col min="25" max="25" width="11.42578125" customWidth="1"/>
    <col min="27" max="27" width="18.140625" customWidth="1"/>
    <col min="28" max="28" width="15.140625" customWidth="1"/>
    <col min="29" max="29" width="16.140625" customWidth="1"/>
    <col min="30" max="30" width="47.85546875" customWidth="1"/>
    <col min="31" max="31" width="38" customWidth="1"/>
    <col min="32" max="32" width="36.85546875" customWidth="1"/>
  </cols>
  <sheetData>
    <row r="1" spans="1:32" ht="60">
      <c r="A1" s="416" t="s">
        <v>234</v>
      </c>
      <c r="B1" s="57" t="s">
        <v>4</v>
      </c>
      <c r="C1" s="57" t="s">
        <v>2</v>
      </c>
      <c r="D1" s="57" t="s">
        <v>3</v>
      </c>
      <c r="E1" s="416" t="s">
        <v>235</v>
      </c>
      <c r="F1" s="416" t="s">
        <v>236</v>
      </c>
      <c r="G1" s="416" t="s">
        <v>237</v>
      </c>
      <c r="H1" s="416" t="s">
        <v>238</v>
      </c>
      <c r="I1" s="416" t="s">
        <v>239</v>
      </c>
      <c r="J1" s="57" t="s">
        <v>240</v>
      </c>
      <c r="K1" s="57" t="s">
        <v>241</v>
      </c>
      <c r="L1" s="57" t="s">
        <v>242</v>
      </c>
      <c r="M1" s="57" t="s">
        <v>243</v>
      </c>
      <c r="N1" s="57" t="s">
        <v>244</v>
      </c>
      <c r="O1" s="416" t="s">
        <v>245</v>
      </c>
      <c r="P1" s="416" t="s">
        <v>246</v>
      </c>
      <c r="Q1" s="416" t="s">
        <v>247</v>
      </c>
      <c r="R1" s="416" t="s">
        <v>248</v>
      </c>
      <c r="S1" s="416" t="s">
        <v>249</v>
      </c>
      <c r="T1" s="416" t="s">
        <v>250</v>
      </c>
      <c r="U1" s="416" t="s">
        <v>251</v>
      </c>
      <c r="V1" s="416" t="s">
        <v>252</v>
      </c>
      <c r="W1" s="416" t="s">
        <v>253</v>
      </c>
      <c r="X1" s="416" t="s">
        <v>254</v>
      </c>
      <c r="Y1" s="416" t="s">
        <v>255</v>
      </c>
      <c r="Z1" s="416" t="s">
        <v>256</v>
      </c>
      <c r="AA1" s="416" t="s">
        <v>257</v>
      </c>
      <c r="AB1" s="416" t="s">
        <v>258</v>
      </c>
      <c r="AC1" s="416" t="s">
        <v>259</v>
      </c>
      <c r="AD1" s="433" t="s">
        <v>326</v>
      </c>
      <c r="AE1" s="433" t="s">
        <v>327</v>
      </c>
      <c r="AF1" s="445" t="s">
        <v>17</v>
      </c>
    </row>
    <row r="2" spans="1:32" ht="90" customHeight="1">
      <c r="A2" s="412">
        <v>1</v>
      </c>
      <c r="B2" s="412" t="s">
        <v>5</v>
      </c>
      <c r="C2" s="421">
        <v>46044</v>
      </c>
      <c r="D2" s="421">
        <v>46058</v>
      </c>
      <c r="E2" s="427" t="s">
        <v>181</v>
      </c>
      <c r="F2" s="412" t="s">
        <v>219</v>
      </c>
      <c r="G2" s="72" t="s">
        <v>428</v>
      </c>
      <c r="H2" s="412" t="s">
        <v>429</v>
      </c>
      <c r="I2" s="412" t="s">
        <v>13</v>
      </c>
      <c r="J2" s="412">
        <v>5</v>
      </c>
      <c r="K2" s="412">
        <v>5</v>
      </c>
      <c r="L2" s="295">
        <v>53.5</v>
      </c>
      <c r="M2" s="421">
        <v>46045</v>
      </c>
      <c r="N2" s="421">
        <v>46051</v>
      </c>
      <c r="O2" s="295" t="s">
        <v>273</v>
      </c>
      <c r="P2" s="412" t="s">
        <v>274</v>
      </c>
      <c r="Q2" s="295"/>
      <c r="R2" s="412" t="s">
        <v>275</v>
      </c>
      <c r="S2" s="295"/>
      <c r="T2" s="72" t="s">
        <v>430</v>
      </c>
      <c r="U2" s="421">
        <v>46050</v>
      </c>
      <c r="V2" s="421">
        <v>46052</v>
      </c>
      <c r="W2" s="295" t="s">
        <v>275</v>
      </c>
      <c r="X2" s="295"/>
      <c r="Y2" s="412" t="s">
        <v>277</v>
      </c>
      <c r="Z2" s="421">
        <v>46052</v>
      </c>
      <c r="AA2" s="295"/>
      <c r="AB2" s="295"/>
      <c r="AC2" s="295"/>
      <c r="AD2" s="436" t="s">
        <v>431</v>
      </c>
      <c r="AE2" s="437" t="s">
        <v>432</v>
      </c>
      <c r="AF2" s="412" t="s">
        <v>433</v>
      </c>
    </row>
    <row r="3" spans="1:32" ht="41.25" customHeight="1">
      <c r="A3" s="412">
        <v>2</v>
      </c>
      <c r="B3" s="412" t="s">
        <v>5</v>
      </c>
      <c r="C3" s="421">
        <v>46044</v>
      </c>
      <c r="D3" s="421">
        <v>46058</v>
      </c>
      <c r="E3" s="427" t="s">
        <v>181</v>
      </c>
      <c r="F3" s="412" t="s">
        <v>219</v>
      </c>
      <c r="G3" s="72" t="s">
        <v>434</v>
      </c>
      <c r="H3" s="412" t="s">
        <v>435</v>
      </c>
      <c r="I3" s="412" t="s">
        <v>13</v>
      </c>
      <c r="J3" s="412">
        <v>5</v>
      </c>
      <c r="K3" s="412">
        <v>5</v>
      </c>
      <c r="L3" s="295"/>
      <c r="M3" s="421">
        <v>46052</v>
      </c>
      <c r="N3" s="421">
        <v>46056</v>
      </c>
      <c r="O3" s="295" t="s">
        <v>273</v>
      </c>
      <c r="P3" s="412" t="s">
        <v>274</v>
      </c>
      <c r="Q3" s="295"/>
      <c r="R3" s="412" t="s">
        <v>275</v>
      </c>
      <c r="S3" s="295"/>
      <c r="T3" s="72" t="s">
        <v>436</v>
      </c>
      <c r="U3" s="421">
        <v>46056</v>
      </c>
      <c r="V3" s="421">
        <v>46056</v>
      </c>
      <c r="W3" s="295" t="s">
        <v>275</v>
      </c>
      <c r="X3" s="295"/>
      <c r="Y3" s="412" t="s">
        <v>277</v>
      </c>
      <c r="Z3" s="421">
        <v>46056</v>
      </c>
      <c r="AA3" s="295"/>
      <c r="AB3" s="295"/>
      <c r="AC3" s="295"/>
      <c r="AD3" s="436" t="s">
        <v>437</v>
      </c>
      <c r="AE3" s="437" t="s">
        <v>438</v>
      </c>
      <c r="AF3" s="435"/>
    </row>
    <row r="4" spans="1:32" ht="41.25" customHeight="1">
      <c r="A4" s="412">
        <v>3</v>
      </c>
      <c r="B4" s="412" t="s">
        <v>5</v>
      </c>
      <c r="C4" s="421">
        <v>46044</v>
      </c>
      <c r="D4" s="421">
        <v>46058</v>
      </c>
      <c r="E4" s="427" t="s">
        <v>439</v>
      </c>
      <c r="F4" s="412" t="s">
        <v>219</v>
      </c>
      <c r="G4" s="72" t="s">
        <v>408</v>
      </c>
      <c r="H4" s="412" t="s">
        <v>409</v>
      </c>
      <c r="I4" s="412" t="s">
        <v>263</v>
      </c>
      <c r="J4" s="412">
        <v>5</v>
      </c>
      <c r="K4" s="412"/>
      <c r="L4" s="295">
        <v>12.5</v>
      </c>
      <c r="M4" s="441">
        <v>46058</v>
      </c>
      <c r="N4" s="421"/>
      <c r="O4" s="295"/>
      <c r="P4" s="412"/>
      <c r="Q4" s="295"/>
      <c r="R4" s="412"/>
      <c r="S4" s="295"/>
      <c r="T4" s="72"/>
      <c r="U4" s="421"/>
      <c r="V4" s="421"/>
      <c r="W4" s="295"/>
      <c r="X4" s="295"/>
      <c r="Y4" s="412"/>
      <c r="Z4" s="421"/>
      <c r="AA4" s="295"/>
      <c r="AB4" s="295"/>
      <c r="AC4" s="295"/>
      <c r="AD4" s="436"/>
      <c r="AE4" s="437" t="s">
        <v>361</v>
      </c>
      <c r="AF4" s="435"/>
    </row>
  </sheetData>
  <hyperlinks>
    <hyperlink ref="T2" r:id="rId1" xr:uid="{748C16F8-6109-4C10-8998-D485F1C2D5EE}"/>
    <hyperlink ref="T3" r:id="rId2" xr:uid="{C9EAB5F7-C4A3-49A7-8271-A0D13C36377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89ADA-9E81-48EE-84F6-1521BCC0C029}">
  <dimension ref="A1:AF985"/>
  <sheetViews>
    <sheetView workbookViewId="0">
      <selection activeCell="H13" sqref="H13"/>
    </sheetView>
  </sheetViews>
  <sheetFormatPr defaultRowHeight="12.75"/>
  <cols>
    <col min="2" max="3" width="9.85546875" customWidth="1"/>
    <col min="4" max="4" width="9.42578125" customWidth="1"/>
    <col min="5" max="5" width="19.140625" customWidth="1"/>
    <col min="6" max="6" width="10.28515625" customWidth="1"/>
    <col min="7" max="7" width="10" customWidth="1"/>
    <col min="8" max="8" width="36" customWidth="1"/>
    <col min="9" max="9" width="10.5703125" customWidth="1"/>
    <col min="10" max="10" width="10.85546875" customWidth="1"/>
    <col min="11" max="11" width="11" customWidth="1"/>
    <col min="12" max="12" width="10.85546875" customWidth="1"/>
    <col min="13" max="13" width="12.28515625" customWidth="1"/>
    <col min="14" max="14" width="11.7109375" customWidth="1"/>
    <col min="16" max="16" width="12" customWidth="1"/>
    <col min="17" max="17" width="11.42578125" customWidth="1"/>
    <col min="18" max="18" width="11.28515625" customWidth="1"/>
    <col min="19" max="19" width="15.140625" customWidth="1"/>
    <col min="21" max="22" width="10.7109375" customWidth="1"/>
    <col min="23" max="23" width="13" customWidth="1"/>
    <col min="25" max="25" width="12.28515625" customWidth="1"/>
    <col min="27" max="27" width="14.7109375" customWidth="1"/>
    <col min="30" max="31" width="32" customWidth="1"/>
  </cols>
  <sheetData>
    <row r="1" spans="1:32" ht="27">
      <c r="A1" s="210" t="s">
        <v>234</v>
      </c>
      <c r="B1" s="1" t="s">
        <v>349</v>
      </c>
      <c r="C1" s="208" t="s">
        <v>350</v>
      </c>
      <c r="D1" s="208" t="s">
        <v>351</v>
      </c>
      <c r="E1" s="1" t="s">
        <v>236</v>
      </c>
      <c r="F1" s="208" t="s">
        <v>352</v>
      </c>
      <c r="G1" s="208" t="s">
        <v>353</v>
      </c>
      <c r="H1" s="1" t="s">
        <v>354</v>
      </c>
      <c r="I1" s="1" t="s">
        <v>355</v>
      </c>
      <c r="J1" s="1" t="s">
        <v>356</v>
      </c>
      <c r="K1" s="1" t="s">
        <v>239</v>
      </c>
      <c r="L1" s="454" t="s">
        <v>357</v>
      </c>
      <c r="M1" s="3" t="s">
        <v>260</v>
      </c>
      <c r="N1" s="214" t="s">
        <v>358</v>
      </c>
      <c r="O1" s="214" t="s">
        <v>359</v>
      </c>
      <c r="P1" s="28"/>
      <c r="Q1" s="28"/>
      <c r="R1" s="28"/>
      <c r="S1" s="28"/>
      <c r="T1" s="28"/>
      <c r="U1" s="28"/>
      <c r="V1" s="28"/>
      <c r="W1" s="28"/>
      <c r="X1" s="28"/>
      <c r="Y1" s="28"/>
      <c r="Z1" s="28"/>
      <c r="AA1" s="28"/>
      <c r="AB1" s="28"/>
      <c r="AD1" s="418" t="s">
        <v>326</v>
      </c>
      <c r="AE1" s="418" t="s">
        <v>327</v>
      </c>
      <c r="AF1" s="418" t="s">
        <v>17</v>
      </c>
    </row>
    <row r="2" spans="1:32" ht="48" customHeight="1">
      <c r="F2" s="455"/>
      <c r="G2" s="43" t="s">
        <v>427</v>
      </c>
      <c r="H2" s="456"/>
      <c r="I2" s="456"/>
      <c r="J2" s="456"/>
      <c r="K2" s="456"/>
      <c r="L2" s="456"/>
      <c r="M2" s="43"/>
      <c r="N2" s="289"/>
      <c r="O2" s="43"/>
      <c r="AD2" s="412"/>
      <c r="AE2" s="412" t="s">
        <v>361</v>
      </c>
      <c r="AF2" s="412"/>
    </row>
    <row r="3" spans="1:32" ht="49.5" customHeight="1">
      <c r="N3" s="289"/>
      <c r="AD3" s="412"/>
      <c r="AE3" s="412"/>
      <c r="AF3" s="295"/>
    </row>
    <row r="4" spans="1:32" ht="47.25" customHeight="1">
      <c r="N4" s="289"/>
      <c r="AD4" s="412"/>
      <c r="AE4" s="412"/>
      <c r="AF4" s="295"/>
    </row>
    <row r="5" spans="1:32">
      <c r="K5" s="43"/>
      <c r="N5" s="289"/>
    </row>
    <row r="6" spans="1:32">
      <c r="N6" s="289"/>
    </row>
    <row r="7" spans="1:32">
      <c r="N7" s="289"/>
    </row>
    <row r="8" spans="1:32">
      <c r="N8" s="289"/>
    </row>
    <row r="9" spans="1:32">
      <c r="N9" s="289"/>
    </row>
    <row r="10" spans="1:32">
      <c r="N10" s="289"/>
    </row>
    <row r="11" spans="1:32">
      <c r="N11" s="289"/>
    </row>
    <row r="12" spans="1:32">
      <c r="N12" s="289"/>
    </row>
    <row r="13" spans="1:32">
      <c r="N13" s="289"/>
    </row>
    <row r="14" spans="1:32">
      <c r="N14" s="289"/>
    </row>
    <row r="15" spans="1:32">
      <c r="N15" s="289"/>
    </row>
    <row r="16" spans="1:32">
      <c r="N16" s="289"/>
    </row>
    <row r="17" spans="14:14">
      <c r="N17" s="289"/>
    </row>
    <row r="18" spans="14:14">
      <c r="N18" s="289"/>
    </row>
    <row r="19" spans="14:14">
      <c r="N19" s="289"/>
    </row>
    <row r="20" spans="14:14">
      <c r="N20" s="289"/>
    </row>
    <row r="21" spans="14:14">
      <c r="N21" s="289"/>
    </row>
    <row r="22" spans="14:14">
      <c r="N22" s="289"/>
    </row>
    <row r="23" spans="14:14">
      <c r="N23" s="289"/>
    </row>
    <row r="24" spans="14:14">
      <c r="N24" s="289"/>
    </row>
    <row r="25" spans="14:14">
      <c r="N25" s="289"/>
    </row>
    <row r="26" spans="14:14">
      <c r="N26" s="289"/>
    </row>
    <row r="27" spans="14:14">
      <c r="N27" s="289"/>
    </row>
    <row r="28" spans="14:14">
      <c r="N28" s="289"/>
    </row>
    <row r="29" spans="14:14">
      <c r="N29" s="289"/>
    </row>
    <row r="30" spans="14:14">
      <c r="N30" s="289"/>
    </row>
    <row r="31" spans="14:14">
      <c r="N31" s="289"/>
    </row>
    <row r="32" spans="14:14">
      <c r="N32" s="289"/>
    </row>
    <row r="33" spans="14:14">
      <c r="N33" s="289"/>
    </row>
    <row r="34" spans="14:14">
      <c r="N34" s="289"/>
    </row>
    <row r="35" spans="14:14">
      <c r="N35" s="289"/>
    </row>
    <row r="36" spans="14:14">
      <c r="N36" s="289"/>
    </row>
    <row r="37" spans="14:14">
      <c r="N37" s="289"/>
    </row>
    <row r="38" spans="14:14">
      <c r="N38" s="289"/>
    </row>
    <row r="39" spans="14:14">
      <c r="N39" s="289"/>
    </row>
    <row r="40" spans="14:14">
      <c r="N40" s="289"/>
    </row>
    <row r="41" spans="14:14">
      <c r="N41" s="289"/>
    </row>
    <row r="42" spans="14:14">
      <c r="N42" s="289"/>
    </row>
    <row r="43" spans="14:14">
      <c r="N43" s="289"/>
    </row>
    <row r="44" spans="14:14">
      <c r="N44" s="289"/>
    </row>
    <row r="45" spans="14:14">
      <c r="N45" s="289"/>
    </row>
    <row r="46" spans="14:14">
      <c r="N46" s="289"/>
    </row>
    <row r="47" spans="14:14">
      <c r="N47" s="289"/>
    </row>
    <row r="48" spans="14:14">
      <c r="N48" s="289"/>
    </row>
    <row r="49" spans="14:14">
      <c r="N49" s="289"/>
    </row>
    <row r="50" spans="14:14">
      <c r="N50" s="289"/>
    </row>
    <row r="51" spans="14:14">
      <c r="N51" s="289"/>
    </row>
    <row r="52" spans="14:14">
      <c r="N52" s="289"/>
    </row>
    <row r="53" spans="14:14">
      <c r="N53" s="289"/>
    </row>
    <row r="54" spans="14:14">
      <c r="N54" s="289"/>
    </row>
    <row r="55" spans="14:14">
      <c r="N55" s="289"/>
    </row>
    <row r="56" spans="14:14">
      <c r="N56" s="289"/>
    </row>
    <row r="57" spans="14:14">
      <c r="N57" s="289"/>
    </row>
    <row r="58" spans="14:14">
      <c r="N58" s="289"/>
    </row>
    <row r="59" spans="14:14">
      <c r="N59" s="289"/>
    </row>
    <row r="60" spans="14:14">
      <c r="N60" s="289"/>
    </row>
    <row r="61" spans="14:14">
      <c r="N61" s="289"/>
    </row>
    <row r="62" spans="14:14">
      <c r="N62" s="289"/>
    </row>
    <row r="63" spans="14:14">
      <c r="N63" s="289"/>
    </row>
    <row r="64" spans="14:14">
      <c r="N64" s="289"/>
    </row>
    <row r="65" spans="14:14">
      <c r="N65" s="289"/>
    </row>
    <row r="66" spans="14:14">
      <c r="N66" s="289"/>
    </row>
    <row r="67" spans="14:14">
      <c r="N67" s="289"/>
    </row>
    <row r="68" spans="14:14">
      <c r="N68" s="289"/>
    </row>
    <row r="69" spans="14:14">
      <c r="N69" s="289"/>
    </row>
    <row r="70" spans="14:14">
      <c r="N70" s="289"/>
    </row>
    <row r="71" spans="14:14">
      <c r="N71" s="289"/>
    </row>
    <row r="72" spans="14:14">
      <c r="N72" s="289"/>
    </row>
    <row r="73" spans="14:14">
      <c r="N73" s="289"/>
    </row>
    <row r="74" spans="14:14">
      <c r="N74" s="289"/>
    </row>
    <row r="75" spans="14:14">
      <c r="N75" s="289"/>
    </row>
    <row r="76" spans="14:14">
      <c r="N76" s="289"/>
    </row>
    <row r="77" spans="14:14">
      <c r="N77" s="289"/>
    </row>
    <row r="78" spans="14:14">
      <c r="N78" s="289"/>
    </row>
    <row r="79" spans="14:14">
      <c r="N79" s="289"/>
    </row>
    <row r="80" spans="14:14">
      <c r="N80" s="289"/>
    </row>
    <row r="81" spans="14:14">
      <c r="N81" s="289"/>
    </row>
    <row r="82" spans="14:14">
      <c r="N82" s="289"/>
    </row>
    <row r="83" spans="14:14">
      <c r="N83" s="289"/>
    </row>
    <row r="84" spans="14:14">
      <c r="N84" s="289"/>
    </row>
    <row r="85" spans="14:14">
      <c r="N85" s="289"/>
    </row>
    <row r="86" spans="14:14">
      <c r="N86" s="289"/>
    </row>
    <row r="87" spans="14:14">
      <c r="N87" s="289"/>
    </row>
    <row r="88" spans="14:14">
      <c r="N88" s="289"/>
    </row>
    <row r="89" spans="14:14">
      <c r="N89" s="289"/>
    </row>
    <row r="90" spans="14:14">
      <c r="N90" s="289"/>
    </row>
    <row r="91" spans="14:14">
      <c r="N91" s="289"/>
    </row>
    <row r="92" spans="14:14">
      <c r="N92" s="289"/>
    </row>
    <row r="93" spans="14:14">
      <c r="N93" s="289"/>
    </row>
    <row r="94" spans="14:14">
      <c r="N94" s="289"/>
    </row>
    <row r="95" spans="14:14">
      <c r="N95" s="289"/>
    </row>
    <row r="96" spans="14:14">
      <c r="N96" s="289"/>
    </row>
    <row r="97" spans="14:14">
      <c r="N97" s="289"/>
    </row>
    <row r="98" spans="14:14">
      <c r="N98" s="289"/>
    </row>
    <row r="99" spans="14:14">
      <c r="N99" s="289"/>
    </row>
    <row r="100" spans="14:14">
      <c r="N100" s="289"/>
    </row>
    <row r="101" spans="14:14">
      <c r="N101" s="289"/>
    </row>
    <row r="102" spans="14:14">
      <c r="N102" s="289"/>
    </row>
    <row r="103" spans="14:14">
      <c r="N103" s="289"/>
    </row>
    <row r="104" spans="14:14">
      <c r="N104" s="289"/>
    </row>
    <row r="105" spans="14:14">
      <c r="N105" s="289"/>
    </row>
    <row r="106" spans="14:14">
      <c r="N106" s="289"/>
    </row>
    <row r="107" spans="14:14">
      <c r="N107" s="289"/>
    </row>
    <row r="108" spans="14:14">
      <c r="N108" s="289"/>
    </row>
    <row r="109" spans="14:14">
      <c r="N109" s="289"/>
    </row>
    <row r="110" spans="14:14">
      <c r="N110" s="289"/>
    </row>
    <row r="111" spans="14:14">
      <c r="N111" s="289"/>
    </row>
    <row r="112" spans="14:14">
      <c r="N112" s="289"/>
    </row>
    <row r="113" spans="14:14">
      <c r="N113" s="289"/>
    </row>
    <row r="114" spans="14:14">
      <c r="N114" s="289"/>
    </row>
    <row r="115" spans="14:14">
      <c r="N115" s="289"/>
    </row>
    <row r="116" spans="14:14">
      <c r="N116" s="289"/>
    </row>
    <row r="117" spans="14:14">
      <c r="N117" s="289"/>
    </row>
    <row r="118" spans="14:14">
      <c r="N118" s="289"/>
    </row>
    <row r="119" spans="14:14">
      <c r="N119" s="289"/>
    </row>
    <row r="120" spans="14:14">
      <c r="N120" s="289"/>
    </row>
    <row r="121" spans="14:14">
      <c r="N121" s="289"/>
    </row>
    <row r="122" spans="14:14">
      <c r="N122" s="289"/>
    </row>
    <row r="123" spans="14:14">
      <c r="N123" s="289"/>
    </row>
    <row r="124" spans="14:14">
      <c r="N124" s="289"/>
    </row>
    <row r="125" spans="14:14">
      <c r="N125" s="289"/>
    </row>
    <row r="126" spans="14:14">
      <c r="N126" s="289"/>
    </row>
    <row r="127" spans="14:14">
      <c r="N127" s="289"/>
    </row>
    <row r="128" spans="14:14">
      <c r="N128" s="289"/>
    </row>
    <row r="129" spans="14:14">
      <c r="N129" s="289"/>
    </row>
    <row r="130" spans="14:14">
      <c r="N130" s="289"/>
    </row>
    <row r="131" spans="14:14">
      <c r="N131" s="289"/>
    </row>
    <row r="132" spans="14:14">
      <c r="N132" s="289"/>
    </row>
    <row r="133" spans="14:14">
      <c r="N133" s="289"/>
    </row>
    <row r="134" spans="14:14">
      <c r="N134" s="289"/>
    </row>
    <row r="135" spans="14:14">
      <c r="N135" s="289"/>
    </row>
    <row r="136" spans="14:14">
      <c r="N136" s="289"/>
    </row>
    <row r="137" spans="14:14">
      <c r="N137" s="289"/>
    </row>
    <row r="138" spans="14:14">
      <c r="N138" s="289"/>
    </row>
    <row r="139" spans="14:14">
      <c r="N139" s="289"/>
    </row>
    <row r="140" spans="14:14">
      <c r="N140" s="289"/>
    </row>
    <row r="141" spans="14:14">
      <c r="N141" s="289"/>
    </row>
    <row r="142" spans="14:14">
      <c r="N142" s="289"/>
    </row>
    <row r="143" spans="14:14">
      <c r="N143" s="289"/>
    </row>
    <row r="144" spans="14:14">
      <c r="N144" s="289"/>
    </row>
    <row r="145" spans="14:14">
      <c r="N145" s="289"/>
    </row>
    <row r="146" spans="14:14">
      <c r="N146" s="289"/>
    </row>
    <row r="147" spans="14:14">
      <c r="N147" s="289"/>
    </row>
    <row r="148" spans="14:14">
      <c r="N148" s="289"/>
    </row>
    <row r="149" spans="14:14">
      <c r="N149" s="289"/>
    </row>
    <row r="150" spans="14:14">
      <c r="N150" s="289"/>
    </row>
    <row r="151" spans="14:14">
      <c r="N151" s="289"/>
    </row>
    <row r="152" spans="14:14">
      <c r="N152" s="289"/>
    </row>
    <row r="153" spans="14:14">
      <c r="N153" s="289"/>
    </row>
    <row r="154" spans="14:14">
      <c r="N154" s="289"/>
    </row>
    <row r="155" spans="14:14">
      <c r="N155" s="289"/>
    </row>
    <row r="156" spans="14:14">
      <c r="N156" s="289"/>
    </row>
    <row r="157" spans="14:14">
      <c r="N157" s="289"/>
    </row>
    <row r="158" spans="14:14">
      <c r="N158" s="289"/>
    </row>
    <row r="159" spans="14:14">
      <c r="N159" s="289"/>
    </row>
    <row r="160" spans="14:14">
      <c r="N160" s="289"/>
    </row>
    <row r="161" spans="14:14">
      <c r="N161" s="289"/>
    </row>
    <row r="162" spans="14:14">
      <c r="N162" s="289"/>
    </row>
    <row r="163" spans="14:14">
      <c r="N163" s="289"/>
    </row>
    <row r="164" spans="14:14">
      <c r="N164" s="289"/>
    </row>
    <row r="165" spans="14:14">
      <c r="N165" s="289"/>
    </row>
    <row r="166" spans="14:14">
      <c r="N166" s="289"/>
    </row>
    <row r="167" spans="14:14">
      <c r="N167" s="289"/>
    </row>
    <row r="168" spans="14:14">
      <c r="N168" s="289"/>
    </row>
    <row r="169" spans="14:14">
      <c r="N169" s="289"/>
    </row>
    <row r="170" spans="14:14">
      <c r="N170" s="289"/>
    </row>
    <row r="171" spans="14:14">
      <c r="N171" s="289"/>
    </row>
    <row r="172" spans="14:14">
      <c r="N172" s="289"/>
    </row>
    <row r="173" spans="14:14">
      <c r="N173" s="289"/>
    </row>
    <row r="174" spans="14:14">
      <c r="N174" s="289"/>
    </row>
    <row r="175" spans="14:14">
      <c r="N175" s="289"/>
    </row>
    <row r="176" spans="14:14">
      <c r="N176" s="289"/>
    </row>
    <row r="177" spans="14:14">
      <c r="N177" s="289"/>
    </row>
    <row r="178" spans="14:14">
      <c r="N178" s="289"/>
    </row>
    <row r="179" spans="14:14">
      <c r="N179" s="289"/>
    </row>
    <row r="180" spans="14:14">
      <c r="N180" s="289"/>
    </row>
    <row r="181" spans="14:14">
      <c r="N181" s="289"/>
    </row>
    <row r="182" spans="14:14">
      <c r="N182" s="289"/>
    </row>
    <row r="183" spans="14:14">
      <c r="N183" s="289"/>
    </row>
    <row r="184" spans="14:14">
      <c r="N184" s="289"/>
    </row>
    <row r="185" spans="14:14">
      <c r="N185" s="289"/>
    </row>
    <row r="186" spans="14:14">
      <c r="N186" s="289"/>
    </row>
    <row r="187" spans="14:14">
      <c r="N187" s="289"/>
    </row>
    <row r="188" spans="14:14">
      <c r="N188" s="289"/>
    </row>
    <row r="189" spans="14:14">
      <c r="N189" s="289"/>
    </row>
    <row r="190" spans="14:14">
      <c r="N190" s="289"/>
    </row>
    <row r="191" spans="14:14">
      <c r="N191" s="289"/>
    </row>
    <row r="192" spans="14:14">
      <c r="N192" s="289"/>
    </row>
    <row r="193" spans="14:14">
      <c r="N193" s="289"/>
    </row>
    <row r="194" spans="14:14">
      <c r="N194" s="289"/>
    </row>
    <row r="195" spans="14:14">
      <c r="N195" s="289"/>
    </row>
    <row r="196" spans="14:14">
      <c r="N196" s="289"/>
    </row>
    <row r="197" spans="14:14">
      <c r="N197" s="289"/>
    </row>
    <row r="198" spans="14:14">
      <c r="N198" s="289"/>
    </row>
    <row r="199" spans="14:14">
      <c r="N199" s="289"/>
    </row>
    <row r="200" spans="14:14">
      <c r="N200" s="289"/>
    </row>
    <row r="201" spans="14:14">
      <c r="N201" s="289"/>
    </row>
    <row r="202" spans="14:14">
      <c r="N202" s="289"/>
    </row>
    <row r="203" spans="14:14">
      <c r="N203" s="289"/>
    </row>
    <row r="204" spans="14:14">
      <c r="N204" s="289"/>
    </row>
    <row r="205" spans="14:14">
      <c r="N205" s="289"/>
    </row>
    <row r="206" spans="14:14">
      <c r="N206" s="289"/>
    </row>
    <row r="207" spans="14:14">
      <c r="N207" s="289"/>
    </row>
    <row r="208" spans="14:14">
      <c r="N208" s="289"/>
    </row>
    <row r="209" spans="14:14">
      <c r="N209" s="289"/>
    </row>
    <row r="210" spans="14:14">
      <c r="N210" s="289"/>
    </row>
    <row r="211" spans="14:14">
      <c r="N211" s="289"/>
    </row>
    <row r="212" spans="14:14">
      <c r="N212" s="289"/>
    </row>
    <row r="213" spans="14:14">
      <c r="N213" s="289"/>
    </row>
    <row r="214" spans="14:14">
      <c r="N214" s="289"/>
    </row>
    <row r="215" spans="14:14">
      <c r="N215" s="289"/>
    </row>
    <row r="216" spans="14:14">
      <c r="N216" s="289"/>
    </row>
    <row r="217" spans="14:14">
      <c r="N217" s="289"/>
    </row>
    <row r="218" spans="14:14">
      <c r="N218" s="289"/>
    </row>
    <row r="219" spans="14:14">
      <c r="N219" s="289"/>
    </row>
    <row r="220" spans="14:14">
      <c r="N220" s="289"/>
    </row>
    <row r="221" spans="14:14">
      <c r="N221" s="289"/>
    </row>
    <row r="222" spans="14:14">
      <c r="N222" s="289"/>
    </row>
    <row r="223" spans="14:14">
      <c r="N223" s="289"/>
    </row>
    <row r="224" spans="14:14">
      <c r="N224" s="289"/>
    </row>
    <row r="225" spans="14:14">
      <c r="N225" s="289"/>
    </row>
    <row r="226" spans="14:14">
      <c r="N226" s="289"/>
    </row>
    <row r="227" spans="14:14">
      <c r="N227" s="289"/>
    </row>
    <row r="228" spans="14:14">
      <c r="N228" s="289"/>
    </row>
    <row r="229" spans="14:14">
      <c r="N229" s="289"/>
    </row>
    <row r="230" spans="14:14">
      <c r="N230" s="289"/>
    </row>
    <row r="231" spans="14:14">
      <c r="N231" s="289"/>
    </row>
    <row r="232" spans="14:14">
      <c r="N232" s="289"/>
    </row>
    <row r="233" spans="14:14">
      <c r="N233" s="289"/>
    </row>
    <row r="234" spans="14:14">
      <c r="N234" s="289"/>
    </row>
    <row r="235" spans="14:14">
      <c r="N235" s="289"/>
    </row>
    <row r="236" spans="14:14">
      <c r="N236" s="289"/>
    </row>
    <row r="237" spans="14:14">
      <c r="N237" s="289"/>
    </row>
    <row r="238" spans="14:14">
      <c r="N238" s="289"/>
    </row>
    <row r="239" spans="14:14">
      <c r="N239" s="289"/>
    </row>
    <row r="240" spans="14:14">
      <c r="N240" s="289"/>
    </row>
    <row r="241" spans="14:14">
      <c r="N241" s="289"/>
    </row>
    <row r="242" spans="14:14">
      <c r="N242" s="289"/>
    </row>
    <row r="243" spans="14:14">
      <c r="N243" s="289"/>
    </row>
    <row r="244" spans="14:14">
      <c r="N244" s="289"/>
    </row>
    <row r="245" spans="14:14">
      <c r="N245" s="289"/>
    </row>
    <row r="246" spans="14:14">
      <c r="N246" s="289"/>
    </row>
    <row r="247" spans="14:14">
      <c r="N247" s="289"/>
    </row>
    <row r="248" spans="14:14">
      <c r="N248" s="289"/>
    </row>
    <row r="249" spans="14:14">
      <c r="N249" s="289"/>
    </row>
    <row r="250" spans="14:14">
      <c r="N250" s="289"/>
    </row>
    <row r="251" spans="14:14">
      <c r="N251" s="289"/>
    </row>
    <row r="252" spans="14:14">
      <c r="N252" s="289"/>
    </row>
    <row r="253" spans="14:14">
      <c r="N253" s="289"/>
    </row>
    <row r="254" spans="14:14">
      <c r="N254" s="289"/>
    </row>
    <row r="255" spans="14:14">
      <c r="N255" s="289"/>
    </row>
    <row r="256" spans="14:14">
      <c r="N256" s="289"/>
    </row>
    <row r="257" spans="14:14">
      <c r="N257" s="289"/>
    </row>
    <row r="258" spans="14:14">
      <c r="N258" s="289"/>
    </row>
    <row r="259" spans="14:14">
      <c r="N259" s="289"/>
    </row>
    <row r="260" spans="14:14">
      <c r="N260" s="289"/>
    </row>
    <row r="261" spans="14:14">
      <c r="N261" s="289"/>
    </row>
    <row r="262" spans="14:14">
      <c r="N262" s="289"/>
    </row>
    <row r="263" spans="14:14">
      <c r="N263" s="289"/>
    </row>
    <row r="264" spans="14:14">
      <c r="N264" s="289"/>
    </row>
    <row r="265" spans="14:14">
      <c r="N265" s="289"/>
    </row>
    <row r="266" spans="14:14">
      <c r="N266" s="289"/>
    </row>
    <row r="267" spans="14:14">
      <c r="N267" s="289"/>
    </row>
    <row r="268" spans="14:14">
      <c r="N268" s="289"/>
    </row>
    <row r="269" spans="14:14">
      <c r="N269" s="289"/>
    </row>
    <row r="270" spans="14:14">
      <c r="N270" s="289"/>
    </row>
    <row r="271" spans="14:14">
      <c r="N271" s="289"/>
    </row>
    <row r="272" spans="14:14">
      <c r="N272" s="289"/>
    </row>
    <row r="273" spans="14:14">
      <c r="N273" s="289"/>
    </row>
    <row r="274" spans="14:14">
      <c r="N274" s="289"/>
    </row>
    <row r="275" spans="14:14">
      <c r="N275" s="289"/>
    </row>
    <row r="276" spans="14:14">
      <c r="N276" s="289"/>
    </row>
    <row r="277" spans="14:14">
      <c r="N277" s="289"/>
    </row>
    <row r="278" spans="14:14">
      <c r="N278" s="289"/>
    </row>
    <row r="279" spans="14:14">
      <c r="N279" s="289"/>
    </row>
    <row r="280" spans="14:14">
      <c r="N280" s="289"/>
    </row>
    <row r="281" spans="14:14">
      <c r="N281" s="289"/>
    </row>
    <row r="282" spans="14:14">
      <c r="N282" s="289"/>
    </row>
    <row r="283" spans="14:14">
      <c r="N283" s="289"/>
    </row>
    <row r="284" spans="14:14">
      <c r="N284" s="289"/>
    </row>
    <row r="285" spans="14:14">
      <c r="N285" s="289"/>
    </row>
    <row r="286" spans="14:14">
      <c r="N286" s="289"/>
    </row>
    <row r="287" spans="14:14">
      <c r="N287" s="289"/>
    </row>
    <row r="288" spans="14:14">
      <c r="N288" s="289"/>
    </row>
    <row r="289" spans="14:14">
      <c r="N289" s="289"/>
    </row>
    <row r="290" spans="14:14">
      <c r="N290" s="289"/>
    </row>
    <row r="291" spans="14:14">
      <c r="N291" s="289"/>
    </row>
    <row r="292" spans="14:14">
      <c r="N292" s="289"/>
    </row>
    <row r="293" spans="14:14">
      <c r="N293" s="289"/>
    </row>
    <row r="294" spans="14:14">
      <c r="N294" s="289"/>
    </row>
    <row r="295" spans="14:14">
      <c r="N295" s="289"/>
    </row>
    <row r="296" spans="14:14">
      <c r="N296" s="289"/>
    </row>
    <row r="297" spans="14:14">
      <c r="N297" s="289"/>
    </row>
    <row r="298" spans="14:14">
      <c r="N298" s="289"/>
    </row>
    <row r="299" spans="14:14">
      <c r="N299" s="289"/>
    </row>
    <row r="300" spans="14:14">
      <c r="N300" s="289"/>
    </row>
    <row r="301" spans="14:14">
      <c r="N301" s="289"/>
    </row>
    <row r="302" spans="14:14">
      <c r="N302" s="289"/>
    </row>
    <row r="303" spans="14:14">
      <c r="N303" s="289"/>
    </row>
    <row r="304" spans="14:14">
      <c r="N304" s="289"/>
    </row>
    <row r="305" spans="14:14">
      <c r="N305" s="289"/>
    </row>
    <row r="306" spans="14:14">
      <c r="N306" s="289"/>
    </row>
    <row r="307" spans="14:14">
      <c r="N307" s="289"/>
    </row>
    <row r="308" spans="14:14">
      <c r="N308" s="289"/>
    </row>
    <row r="309" spans="14:14">
      <c r="N309" s="289"/>
    </row>
    <row r="310" spans="14:14">
      <c r="N310" s="289"/>
    </row>
    <row r="311" spans="14:14">
      <c r="N311" s="289"/>
    </row>
    <row r="312" spans="14:14">
      <c r="N312" s="289"/>
    </row>
    <row r="313" spans="14:14">
      <c r="N313" s="289"/>
    </row>
    <row r="314" spans="14:14">
      <c r="N314" s="289"/>
    </row>
    <row r="315" spans="14:14">
      <c r="N315" s="289"/>
    </row>
    <row r="316" spans="14:14">
      <c r="N316" s="289"/>
    </row>
    <row r="317" spans="14:14">
      <c r="N317" s="289"/>
    </row>
    <row r="318" spans="14:14">
      <c r="N318" s="289"/>
    </row>
    <row r="319" spans="14:14">
      <c r="N319" s="289"/>
    </row>
    <row r="320" spans="14:14">
      <c r="N320" s="289"/>
    </row>
    <row r="321" spans="14:14">
      <c r="N321" s="289"/>
    </row>
    <row r="322" spans="14:14">
      <c r="N322" s="289"/>
    </row>
    <row r="323" spans="14:14">
      <c r="N323" s="289"/>
    </row>
    <row r="324" spans="14:14">
      <c r="N324" s="289"/>
    </row>
    <row r="325" spans="14:14">
      <c r="N325" s="289"/>
    </row>
    <row r="326" spans="14:14">
      <c r="N326" s="289"/>
    </row>
    <row r="327" spans="14:14">
      <c r="N327" s="289"/>
    </row>
    <row r="328" spans="14:14">
      <c r="N328" s="289"/>
    </row>
    <row r="329" spans="14:14">
      <c r="N329" s="289"/>
    </row>
    <row r="330" spans="14:14">
      <c r="N330" s="289"/>
    </row>
    <row r="331" spans="14:14">
      <c r="N331" s="289"/>
    </row>
    <row r="332" spans="14:14">
      <c r="N332" s="289"/>
    </row>
    <row r="333" spans="14:14">
      <c r="N333" s="289"/>
    </row>
    <row r="334" spans="14:14">
      <c r="N334" s="289"/>
    </row>
    <row r="335" spans="14:14">
      <c r="N335" s="289"/>
    </row>
    <row r="336" spans="14:14">
      <c r="N336" s="289"/>
    </row>
    <row r="337" spans="14:14">
      <c r="N337" s="289"/>
    </row>
    <row r="338" spans="14:14">
      <c r="N338" s="289"/>
    </row>
    <row r="339" spans="14:14">
      <c r="N339" s="289"/>
    </row>
    <row r="340" spans="14:14">
      <c r="N340" s="289"/>
    </row>
    <row r="341" spans="14:14">
      <c r="N341" s="289"/>
    </row>
    <row r="342" spans="14:14">
      <c r="N342" s="289"/>
    </row>
    <row r="343" spans="14:14">
      <c r="N343" s="289"/>
    </row>
    <row r="344" spans="14:14">
      <c r="N344" s="289"/>
    </row>
    <row r="345" spans="14:14">
      <c r="N345" s="289"/>
    </row>
    <row r="346" spans="14:14">
      <c r="N346" s="289"/>
    </row>
    <row r="347" spans="14:14">
      <c r="N347" s="289"/>
    </row>
    <row r="348" spans="14:14">
      <c r="N348" s="289"/>
    </row>
    <row r="349" spans="14:14">
      <c r="N349" s="289"/>
    </row>
    <row r="350" spans="14:14">
      <c r="N350" s="289"/>
    </row>
    <row r="351" spans="14:14">
      <c r="N351" s="289"/>
    </row>
    <row r="352" spans="14:14">
      <c r="N352" s="289"/>
    </row>
    <row r="353" spans="14:14">
      <c r="N353" s="289"/>
    </row>
    <row r="354" spans="14:14">
      <c r="N354" s="289"/>
    </row>
    <row r="355" spans="14:14">
      <c r="N355" s="289"/>
    </row>
    <row r="356" spans="14:14">
      <c r="N356" s="289"/>
    </row>
    <row r="357" spans="14:14">
      <c r="N357" s="289"/>
    </row>
    <row r="358" spans="14:14">
      <c r="N358" s="289"/>
    </row>
    <row r="359" spans="14:14">
      <c r="N359" s="289"/>
    </row>
    <row r="360" spans="14:14">
      <c r="N360" s="289"/>
    </row>
    <row r="361" spans="14:14">
      <c r="N361" s="289"/>
    </row>
    <row r="362" spans="14:14">
      <c r="N362" s="289"/>
    </row>
    <row r="363" spans="14:14">
      <c r="N363" s="289"/>
    </row>
    <row r="364" spans="14:14">
      <c r="N364" s="289"/>
    </row>
    <row r="365" spans="14:14">
      <c r="N365" s="289"/>
    </row>
    <row r="366" spans="14:14">
      <c r="N366" s="289"/>
    </row>
    <row r="367" spans="14:14">
      <c r="N367" s="289"/>
    </row>
    <row r="368" spans="14:14">
      <c r="N368" s="289"/>
    </row>
    <row r="369" spans="14:14">
      <c r="N369" s="289"/>
    </row>
    <row r="370" spans="14:14">
      <c r="N370" s="289"/>
    </row>
    <row r="371" spans="14:14">
      <c r="N371" s="289"/>
    </row>
    <row r="372" spans="14:14">
      <c r="N372" s="289"/>
    </row>
    <row r="373" spans="14:14">
      <c r="N373" s="289"/>
    </row>
    <row r="374" spans="14:14">
      <c r="N374" s="289"/>
    </row>
    <row r="375" spans="14:14">
      <c r="N375" s="289"/>
    </row>
    <row r="376" spans="14:14">
      <c r="N376" s="289"/>
    </row>
    <row r="377" spans="14:14">
      <c r="N377" s="289"/>
    </row>
    <row r="378" spans="14:14">
      <c r="N378" s="289"/>
    </row>
    <row r="379" spans="14:14">
      <c r="N379" s="289"/>
    </row>
    <row r="380" spans="14:14">
      <c r="N380" s="289"/>
    </row>
    <row r="381" spans="14:14">
      <c r="N381" s="289"/>
    </row>
    <row r="382" spans="14:14">
      <c r="N382" s="289"/>
    </row>
    <row r="383" spans="14:14">
      <c r="N383" s="289"/>
    </row>
    <row r="384" spans="14:14">
      <c r="N384" s="289"/>
    </row>
    <row r="385" spans="14:14">
      <c r="N385" s="289"/>
    </row>
    <row r="386" spans="14:14">
      <c r="N386" s="289"/>
    </row>
    <row r="387" spans="14:14">
      <c r="N387" s="289"/>
    </row>
    <row r="388" spans="14:14">
      <c r="N388" s="289"/>
    </row>
    <row r="389" spans="14:14">
      <c r="N389" s="289"/>
    </row>
    <row r="390" spans="14:14">
      <c r="N390" s="289"/>
    </row>
    <row r="391" spans="14:14">
      <c r="N391" s="289"/>
    </row>
    <row r="392" spans="14:14">
      <c r="N392" s="289"/>
    </row>
    <row r="393" spans="14:14">
      <c r="N393" s="289"/>
    </row>
    <row r="394" spans="14:14">
      <c r="N394" s="289"/>
    </row>
    <row r="395" spans="14:14">
      <c r="N395" s="289"/>
    </row>
    <row r="396" spans="14:14">
      <c r="N396" s="289"/>
    </row>
    <row r="397" spans="14:14">
      <c r="N397" s="289"/>
    </row>
    <row r="398" spans="14:14">
      <c r="N398" s="289"/>
    </row>
    <row r="399" spans="14:14">
      <c r="N399" s="289"/>
    </row>
    <row r="400" spans="14:14">
      <c r="N400" s="289"/>
    </row>
    <row r="401" spans="14:14">
      <c r="N401" s="289"/>
    </row>
    <row r="402" spans="14:14">
      <c r="N402" s="289"/>
    </row>
    <row r="403" spans="14:14">
      <c r="N403" s="289"/>
    </row>
    <row r="404" spans="14:14">
      <c r="N404" s="289"/>
    </row>
    <row r="405" spans="14:14">
      <c r="N405" s="289"/>
    </row>
    <row r="406" spans="14:14">
      <c r="N406" s="289"/>
    </row>
    <row r="407" spans="14:14">
      <c r="N407" s="289"/>
    </row>
    <row r="408" spans="14:14">
      <c r="N408" s="289"/>
    </row>
    <row r="409" spans="14:14">
      <c r="N409" s="289"/>
    </row>
    <row r="410" spans="14:14">
      <c r="N410" s="289"/>
    </row>
    <row r="411" spans="14:14">
      <c r="N411" s="289"/>
    </row>
    <row r="412" spans="14:14">
      <c r="N412" s="289"/>
    </row>
    <row r="413" spans="14:14">
      <c r="N413" s="289"/>
    </row>
    <row r="414" spans="14:14">
      <c r="N414" s="289"/>
    </row>
    <row r="415" spans="14:14">
      <c r="N415" s="289"/>
    </row>
    <row r="416" spans="14:14">
      <c r="N416" s="289"/>
    </row>
    <row r="417" spans="14:14">
      <c r="N417" s="289"/>
    </row>
    <row r="418" spans="14:14">
      <c r="N418" s="289"/>
    </row>
    <row r="419" spans="14:14">
      <c r="N419" s="289"/>
    </row>
    <row r="420" spans="14:14">
      <c r="N420" s="289"/>
    </row>
    <row r="421" spans="14:14">
      <c r="N421" s="289"/>
    </row>
    <row r="422" spans="14:14">
      <c r="N422" s="289"/>
    </row>
    <row r="423" spans="14:14">
      <c r="N423" s="289"/>
    </row>
    <row r="424" spans="14:14">
      <c r="N424" s="289"/>
    </row>
    <row r="425" spans="14:14">
      <c r="N425" s="289"/>
    </row>
    <row r="426" spans="14:14">
      <c r="N426" s="289"/>
    </row>
    <row r="427" spans="14:14">
      <c r="N427" s="289"/>
    </row>
    <row r="428" spans="14:14">
      <c r="N428" s="289"/>
    </row>
    <row r="429" spans="14:14">
      <c r="N429" s="289"/>
    </row>
    <row r="430" spans="14:14">
      <c r="N430" s="289"/>
    </row>
    <row r="431" spans="14:14">
      <c r="N431" s="289"/>
    </row>
    <row r="432" spans="14:14">
      <c r="N432" s="289"/>
    </row>
    <row r="433" spans="14:14">
      <c r="N433" s="289"/>
    </row>
    <row r="434" spans="14:14">
      <c r="N434" s="289"/>
    </row>
    <row r="435" spans="14:14">
      <c r="N435" s="289"/>
    </row>
    <row r="436" spans="14:14">
      <c r="N436" s="289"/>
    </row>
    <row r="437" spans="14:14">
      <c r="N437" s="289"/>
    </row>
    <row r="438" spans="14:14">
      <c r="N438" s="289"/>
    </row>
    <row r="439" spans="14:14">
      <c r="N439" s="289"/>
    </row>
    <row r="440" spans="14:14">
      <c r="N440" s="289"/>
    </row>
    <row r="441" spans="14:14">
      <c r="N441" s="289"/>
    </row>
    <row r="442" spans="14:14">
      <c r="N442" s="289"/>
    </row>
    <row r="443" spans="14:14">
      <c r="N443" s="289"/>
    </row>
    <row r="444" spans="14:14">
      <c r="N444" s="289"/>
    </row>
    <row r="445" spans="14:14">
      <c r="N445" s="289"/>
    </row>
    <row r="446" spans="14:14">
      <c r="N446" s="289"/>
    </row>
    <row r="447" spans="14:14">
      <c r="N447" s="289"/>
    </row>
    <row r="448" spans="14:14">
      <c r="N448" s="289"/>
    </row>
    <row r="449" spans="14:14">
      <c r="N449" s="289"/>
    </row>
    <row r="450" spans="14:14">
      <c r="N450" s="289"/>
    </row>
    <row r="451" spans="14:14">
      <c r="N451" s="289"/>
    </row>
    <row r="452" spans="14:14">
      <c r="N452" s="289"/>
    </row>
    <row r="453" spans="14:14">
      <c r="N453" s="289"/>
    </row>
    <row r="454" spans="14:14">
      <c r="N454" s="289"/>
    </row>
    <row r="455" spans="14:14">
      <c r="N455" s="289"/>
    </row>
    <row r="456" spans="14:14">
      <c r="N456" s="289"/>
    </row>
    <row r="457" spans="14:14">
      <c r="N457" s="289"/>
    </row>
    <row r="458" spans="14:14">
      <c r="N458" s="289"/>
    </row>
    <row r="459" spans="14:14">
      <c r="N459" s="289"/>
    </row>
    <row r="460" spans="14:14">
      <c r="N460" s="289"/>
    </row>
    <row r="461" spans="14:14">
      <c r="N461" s="289"/>
    </row>
    <row r="462" spans="14:14">
      <c r="N462" s="289"/>
    </row>
    <row r="463" spans="14:14">
      <c r="N463" s="289"/>
    </row>
    <row r="464" spans="14:14">
      <c r="N464" s="289"/>
    </row>
    <row r="465" spans="14:14">
      <c r="N465" s="289"/>
    </row>
    <row r="466" spans="14:14">
      <c r="N466" s="289"/>
    </row>
    <row r="467" spans="14:14">
      <c r="N467" s="289"/>
    </row>
    <row r="468" spans="14:14">
      <c r="N468" s="289"/>
    </row>
    <row r="469" spans="14:14">
      <c r="N469" s="289"/>
    </row>
    <row r="470" spans="14:14">
      <c r="N470" s="289"/>
    </row>
    <row r="471" spans="14:14">
      <c r="N471" s="289"/>
    </row>
    <row r="472" spans="14:14">
      <c r="N472" s="289"/>
    </row>
    <row r="473" spans="14:14">
      <c r="N473" s="289"/>
    </row>
    <row r="474" spans="14:14">
      <c r="N474" s="289"/>
    </row>
    <row r="475" spans="14:14">
      <c r="N475" s="289"/>
    </row>
    <row r="476" spans="14:14">
      <c r="N476" s="289"/>
    </row>
    <row r="477" spans="14:14">
      <c r="N477" s="289"/>
    </row>
    <row r="478" spans="14:14">
      <c r="N478" s="289"/>
    </row>
    <row r="479" spans="14:14">
      <c r="N479" s="289"/>
    </row>
    <row r="480" spans="14:14">
      <c r="N480" s="289"/>
    </row>
    <row r="481" spans="14:14">
      <c r="N481" s="289"/>
    </row>
    <row r="482" spans="14:14">
      <c r="N482" s="289"/>
    </row>
    <row r="483" spans="14:14">
      <c r="N483" s="289"/>
    </row>
    <row r="484" spans="14:14">
      <c r="N484" s="289"/>
    </row>
    <row r="485" spans="14:14">
      <c r="N485" s="289"/>
    </row>
    <row r="486" spans="14:14">
      <c r="N486" s="289"/>
    </row>
    <row r="487" spans="14:14">
      <c r="N487" s="289"/>
    </row>
    <row r="488" spans="14:14">
      <c r="N488" s="289"/>
    </row>
    <row r="489" spans="14:14">
      <c r="N489" s="289"/>
    </row>
    <row r="490" spans="14:14">
      <c r="N490" s="289"/>
    </row>
    <row r="491" spans="14:14">
      <c r="N491" s="289"/>
    </row>
    <row r="492" spans="14:14">
      <c r="N492" s="289"/>
    </row>
    <row r="493" spans="14:14">
      <c r="N493" s="289"/>
    </row>
    <row r="494" spans="14:14">
      <c r="N494" s="289"/>
    </row>
    <row r="495" spans="14:14">
      <c r="N495" s="289"/>
    </row>
    <row r="496" spans="14:14">
      <c r="N496" s="289"/>
    </row>
    <row r="497" spans="14:14">
      <c r="N497" s="289"/>
    </row>
    <row r="498" spans="14:14">
      <c r="N498" s="289"/>
    </row>
    <row r="499" spans="14:14">
      <c r="N499" s="289"/>
    </row>
    <row r="500" spans="14:14">
      <c r="N500" s="289"/>
    </row>
    <row r="501" spans="14:14">
      <c r="N501" s="289"/>
    </row>
    <row r="502" spans="14:14">
      <c r="N502" s="289"/>
    </row>
    <row r="503" spans="14:14">
      <c r="N503" s="289"/>
    </row>
    <row r="504" spans="14:14">
      <c r="N504" s="289"/>
    </row>
    <row r="505" spans="14:14">
      <c r="N505" s="289"/>
    </row>
    <row r="506" spans="14:14">
      <c r="N506" s="289"/>
    </row>
    <row r="507" spans="14:14">
      <c r="N507" s="289"/>
    </row>
    <row r="508" spans="14:14">
      <c r="N508" s="289"/>
    </row>
    <row r="509" spans="14:14">
      <c r="N509" s="289"/>
    </row>
    <row r="510" spans="14:14">
      <c r="N510" s="289"/>
    </row>
    <row r="511" spans="14:14">
      <c r="N511" s="289"/>
    </row>
    <row r="512" spans="14:14">
      <c r="N512" s="289"/>
    </row>
    <row r="513" spans="14:14">
      <c r="N513" s="289"/>
    </row>
    <row r="514" spans="14:14">
      <c r="N514" s="289"/>
    </row>
    <row r="515" spans="14:14">
      <c r="N515" s="289"/>
    </row>
    <row r="516" spans="14:14">
      <c r="N516" s="289"/>
    </row>
    <row r="517" spans="14:14">
      <c r="N517" s="289"/>
    </row>
    <row r="518" spans="14:14">
      <c r="N518" s="289"/>
    </row>
    <row r="519" spans="14:14">
      <c r="N519" s="289"/>
    </row>
    <row r="520" spans="14:14">
      <c r="N520" s="289"/>
    </row>
    <row r="521" spans="14:14">
      <c r="N521" s="289"/>
    </row>
    <row r="522" spans="14:14">
      <c r="N522" s="289"/>
    </row>
    <row r="523" spans="14:14">
      <c r="N523" s="289"/>
    </row>
    <row r="524" spans="14:14">
      <c r="N524" s="289"/>
    </row>
    <row r="525" spans="14:14">
      <c r="N525" s="289"/>
    </row>
    <row r="526" spans="14:14">
      <c r="N526" s="289"/>
    </row>
    <row r="527" spans="14:14">
      <c r="N527" s="289"/>
    </row>
    <row r="528" spans="14:14">
      <c r="N528" s="289"/>
    </row>
    <row r="529" spans="14:14">
      <c r="N529" s="289"/>
    </row>
    <row r="530" spans="14:14">
      <c r="N530" s="289"/>
    </row>
    <row r="531" spans="14:14">
      <c r="N531" s="289"/>
    </row>
    <row r="532" spans="14:14">
      <c r="N532" s="289"/>
    </row>
    <row r="533" spans="14:14">
      <c r="N533" s="289"/>
    </row>
    <row r="534" spans="14:14">
      <c r="N534" s="289"/>
    </row>
    <row r="535" spans="14:14">
      <c r="N535" s="289"/>
    </row>
    <row r="536" spans="14:14">
      <c r="N536" s="289"/>
    </row>
    <row r="537" spans="14:14">
      <c r="N537" s="289"/>
    </row>
    <row r="538" spans="14:14">
      <c r="N538" s="289"/>
    </row>
    <row r="539" spans="14:14">
      <c r="N539" s="289"/>
    </row>
    <row r="540" spans="14:14">
      <c r="N540" s="289"/>
    </row>
    <row r="541" spans="14:14">
      <c r="N541" s="289"/>
    </row>
    <row r="542" spans="14:14">
      <c r="N542" s="289"/>
    </row>
    <row r="543" spans="14:14">
      <c r="N543" s="289"/>
    </row>
    <row r="544" spans="14:14">
      <c r="N544" s="289"/>
    </row>
    <row r="545" spans="14:14">
      <c r="N545" s="289"/>
    </row>
    <row r="546" spans="14:14">
      <c r="N546" s="289"/>
    </row>
    <row r="547" spans="14:14">
      <c r="N547" s="289"/>
    </row>
    <row r="548" spans="14:14">
      <c r="N548" s="289"/>
    </row>
    <row r="549" spans="14:14">
      <c r="N549" s="289"/>
    </row>
    <row r="550" spans="14:14">
      <c r="N550" s="289"/>
    </row>
    <row r="551" spans="14:14">
      <c r="N551" s="289"/>
    </row>
    <row r="552" spans="14:14">
      <c r="N552" s="289"/>
    </row>
    <row r="553" spans="14:14">
      <c r="N553" s="289"/>
    </row>
    <row r="554" spans="14:14">
      <c r="N554" s="289"/>
    </row>
    <row r="555" spans="14:14">
      <c r="N555" s="289"/>
    </row>
    <row r="556" spans="14:14">
      <c r="N556" s="289"/>
    </row>
    <row r="557" spans="14:14">
      <c r="N557" s="289"/>
    </row>
    <row r="558" spans="14:14">
      <c r="N558" s="289"/>
    </row>
    <row r="559" spans="14:14">
      <c r="N559" s="289"/>
    </row>
    <row r="560" spans="14:14">
      <c r="N560" s="289"/>
    </row>
    <row r="561" spans="14:14">
      <c r="N561" s="289"/>
    </row>
    <row r="562" spans="14:14">
      <c r="N562" s="289"/>
    </row>
    <row r="563" spans="14:14">
      <c r="N563" s="289"/>
    </row>
    <row r="564" spans="14:14">
      <c r="N564" s="289"/>
    </row>
    <row r="565" spans="14:14">
      <c r="N565" s="289"/>
    </row>
    <row r="566" spans="14:14">
      <c r="N566" s="289"/>
    </row>
    <row r="567" spans="14:14">
      <c r="N567" s="289"/>
    </row>
    <row r="568" spans="14:14">
      <c r="N568" s="289"/>
    </row>
    <row r="569" spans="14:14">
      <c r="N569" s="289"/>
    </row>
    <row r="570" spans="14:14">
      <c r="N570" s="289"/>
    </row>
    <row r="571" spans="14:14">
      <c r="N571" s="289"/>
    </row>
    <row r="572" spans="14:14">
      <c r="N572" s="289"/>
    </row>
    <row r="573" spans="14:14">
      <c r="N573" s="289"/>
    </row>
    <row r="574" spans="14:14">
      <c r="N574" s="289"/>
    </row>
    <row r="575" spans="14:14">
      <c r="N575" s="289"/>
    </row>
    <row r="576" spans="14:14">
      <c r="N576" s="289"/>
    </row>
    <row r="577" spans="14:14">
      <c r="N577" s="289"/>
    </row>
    <row r="578" spans="14:14">
      <c r="N578" s="289"/>
    </row>
    <row r="579" spans="14:14">
      <c r="N579" s="289"/>
    </row>
    <row r="580" spans="14:14">
      <c r="N580" s="289"/>
    </row>
    <row r="581" spans="14:14">
      <c r="N581" s="289"/>
    </row>
    <row r="582" spans="14:14">
      <c r="N582" s="289"/>
    </row>
    <row r="583" spans="14:14">
      <c r="N583" s="289"/>
    </row>
    <row r="584" spans="14:14">
      <c r="N584" s="289"/>
    </row>
    <row r="585" spans="14:14">
      <c r="N585" s="289"/>
    </row>
    <row r="586" spans="14:14">
      <c r="N586" s="289"/>
    </row>
    <row r="587" spans="14:14">
      <c r="N587" s="289"/>
    </row>
    <row r="588" spans="14:14">
      <c r="N588" s="289"/>
    </row>
    <row r="589" spans="14:14">
      <c r="N589" s="289"/>
    </row>
    <row r="590" spans="14:14">
      <c r="N590" s="289"/>
    </row>
    <row r="591" spans="14:14">
      <c r="N591" s="289"/>
    </row>
    <row r="592" spans="14:14">
      <c r="N592" s="289"/>
    </row>
    <row r="593" spans="14:14">
      <c r="N593" s="289"/>
    </row>
    <row r="594" spans="14:14">
      <c r="N594" s="289"/>
    </row>
    <row r="595" spans="14:14">
      <c r="N595" s="289"/>
    </row>
    <row r="596" spans="14:14">
      <c r="N596" s="289"/>
    </row>
    <row r="597" spans="14:14">
      <c r="N597" s="289"/>
    </row>
    <row r="598" spans="14:14">
      <c r="N598" s="289"/>
    </row>
    <row r="599" spans="14:14">
      <c r="N599" s="289"/>
    </row>
    <row r="600" spans="14:14">
      <c r="N600" s="289"/>
    </row>
    <row r="601" spans="14:14">
      <c r="N601" s="289"/>
    </row>
    <row r="602" spans="14:14">
      <c r="N602" s="289"/>
    </row>
    <row r="603" spans="14:14">
      <c r="N603" s="289"/>
    </row>
    <row r="604" spans="14:14">
      <c r="N604" s="289"/>
    </row>
    <row r="605" spans="14:14">
      <c r="N605" s="289"/>
    </row>
    <row r="606" spans="14:14">
      <c r="N606" s="289"/>
    </row>
    <row r="607" spans="14:14">
      <c r="N607" s="289"/>
    </row>
    <row r="608" spans="14:14">
      <c r="N608" s="289"/>
    </row>
    <row r="609" spans="14:14">
      <c r="N609" s="289"/>
    </row>
    <row r="610" spans="14:14">
      <c r="N610" s="289"/>
    </row>
    <row r="611" spans="14:14">
      <c r="N611" s="289"/>
    </row>
    <row r="612" spans="14:14">
      <c r="N612" s="289"/>
    </row>
    <row r="613" spans="14:14">
      <c r="N613" s="289"/>
    </row>
    <row r="614" spans="14:14">
      <c r="N614" s="289"/>
    </row>
    <row r="615" spans="14:14">
      <c r="N615" s="289"/>
    </row>
    <row r="616" spans="14:14">
      <c r="N616" s="289"/>
    </row>
    <row r="617" spans="14:14">
      <c r="N617" s="289"/>
    </row>
    <row r="618" spans="14:14">
      <c r="N618" s="289"/>
    </row>
    <row r="619" spans="14:14">
      <c r="N619" s="289"/>
    </row>
    <row r="620" spans="14:14">
      <c r="N620" s="289"/>
    </row>
    <row r="621" spans="14:14">
      <c r="N621" s="289"/>
    </row>
    <row r="622" spans="14:14">
      <c r="N622" s="289"/>
    </row>
    <row r="623" spans="14:14">
      <c r="N623" s="289"/>
    </row>
    <row r="624" spans="14:14">
      <c r="N624" s="289"/>
    </row>
    <row r="625" spans="14:14">
      <c r="N625" s="289"/>
    </row>
    <row r="626" spans="14:14">
      <c r="N626" s="289"/>
    </row>
    <row r="627" spans="14:14">
      <c r="N627" s="289"/>
    </row>
    <row r="628" spans="14:14">
      <c r="N628" s="289"/>
    </row>
    <row r="629" spans="14:14">
      <c r="N629" s="289"/>
    </row>
    <row r="630" spans="14:14">
      <c r="N630" s="289"/>
    </row>
    <row r="631" spans="14:14">
      <c r="N631" s="289"/>
    </row>
    <row r="632" spans="14:14">
      <c r="N632" s="289"/>
    </row>
    <row r="633" spans="14:14">
      <c r="N633" s="289"/>
    </row>
    <row r="634" spans="14:14">
      <c r="N634" s="289"/>
    </row>
    <row r="635" spans="14:14">
      <c r="N635" s="289"/>
    </row>
    <row r="636" spans="14:14">
      <c r="N636" s="289"/>
    </row>
    <row r="637" spans="14:14">
      <c r="N637" s="289"/>
    </row>
    <row r="638" spans="14:14">
      <c r="N638" s="289"/>
    </row>
    <row r="639" spans="14:14">
      <c r="N639" s="289"/>
    </row>
    <row r="640" spans="14:14">
      <c r="N640" s="289"/>
    </row>
    <row r="641" spans="14:14">
      <c r="N641" s="289"/>
    </row>
    <row r="642" spans="14:14">
      <c r="N642" s="289"/>
    </row>
    <row r="643" spans="14:14">
      <c r="N643" s="289"/>
    </row>
    <row r="644" spans="14:14">
      <c r="N644" s="289"/>
    </row>
    <row r="645" spans="14:14">
      <c r="N645" s="289"/>
    </row>
    <row r="646" spans="14:14">
      <c r="N646" s="289"/>
    </row>
    <row r="647" spans="14:14">
      <c r="N647" s="289"/>
    </row>
    <row r="648" spans="14:14">
      <c r="N648" s="289"/>
    </row>
    <row r="649" spans="14:14">
      <c r="N649" s="289"/>
    </row>
    <row r="650" spans="14:14">
      <c r="N650" s="289"/>
    </row>
    <row r="651" spans="14:14">
      <c r="N651" s="289"/>
    </row>
    <row r="652" spans="14:14">
      <c r="N652" s="289"/>
    </row>
    <row r="653" spans="14:14">
      <c r="N653" s="289"/>
    </row>
    <row r="654" spans="14:14">
      <c r="N654" s="289"/>
    </row>
    <row r="655" spans="14:14">
      <c r="N655" s="289"/>
    </row>
    <row r="656" spans="14:14">
      <c r="N656" s="289"/>
    </row>
    <row r="657" spans="14:14">
      <c r="N657" s="289"/>
    </row>
    <row r="658" spans="14:14">
      <c r="N658" s="289"/>
    </row>
    <row r="659" spans="14:14">
      <c r="N659" s="289"/>
    </row>
    <row r="660" spans="14:14">
      <c r="N660" s="289"/>
    </row>
    <row r="661" spans="14:14">
      <c r="N661" s="289"/>
    </row>
    <row r="662" spans="14:14">
      <c r="N662" s="289"/>
    </row>
    <row r="663" spans="14:14">
      <c r="N663" s="289"/>
    </row>
    <row r="664" spans="14:14">
      <c r="N664" s="289"/>
    </row>
    <row r="665" spans="14:14">
      <c r="N665" s="289"/>
    </row>
    <row r="666" spans="14:14">
      <c r="N666" s="289"/>
    </row>
    <row r="667" spans="14:14">
      <c r="N667" s="289"/>
    </row>
    <row r="668" spans="14:14">
      <c r="N668" s="289"/>
    </row>
    <row r="669" spans="14:14">
      <c r="N669" s="289"/>
    </row>
    <row r="670" spans="14:14">
      <c r="N670" s="289"/>
    </row>
    <row r="671" spans="14:14">
      <c r="N671" s="289"/>
    </row>
    <row r="672" spans="14:14">
      <c r="N672" s="289"/>
    </row>
    <row r="673" spans="14:14">
      <c r="N673" s="289"/>
    </row>
    <row r="674" spans="14:14">
      <c r="N674" s="289"/>
    </row>
    <row r="675" spans="14:14">
      <c r="N675" s="289"/>
    </row>
    <row r="676" spans="14:14">
      <c r="N676" s="289"/>
    </row>
    <row r="677" spans="14:14">
      <c r="N677" s="289"/>
    </row>
    <row r="678" spans="14:14">
      <c r="N678" s="289"/>
    </row>
    <row r="679" spans="14:14">
      <c r="N679" s="289"/>
    </row>
    <row r="680" spans="14:14">
      <c r="N680" s="289"/>
    </row>
    <row r="681" spans="14:14">
      <c r="N681" s="289"/>
    </row>
    <row r="682" spans="14:14">
      <c r="N682" s="289"/>
    </row>
    <row r="683" spans="14:14">
      <c r="N683" s="289"/>
    </row>
    <row r="684" spans="14:14">
      <c r="N684" s="289"/>
    </row>
    <row r="685" spans="14:14">
      <c r="N685" s="289"/>
    </row>
    <row r="686" spans="14:14">
      <c r="N686" s="289"/>
    </row>
    <row r="687" spans="14:14">
      <c r="N687" s="289"/>
    </row>
    <row r="688" spans="14:14">
      <c r="N688" s="289"/>
    </row>
    <row r="689" spans="14:14">
      <c r="N689" s="289"/>
    </row>
    <row r="690" spans="14:14">
      <c r="N690" s="289"/>
    </row>
    <row r="691" spans="14:14">
      <c r="N691" s="289"/>
    </row>
    <row r="692" spans="14:14">
      <c r="N692" s="289"/>
    </row>
    <row r="693" spans="14:14">
      <c r="N693" s="289"/>
    </row>
    <row r="694" spans="14:14">
      <c r="N694" s="289"/>
    </row>
    <row r="695" spans="14:14">
      <c r="N695" s="289"/>
    </row>
    <row r="696" spans="14:14">
      <c r="N696" s="289"/>
    </row>
    <row r="697" spans="14:14">
      <c r="N697" s="289"/>
    </row>
    <row r="698" spans="14:14">
      <c r="N698" s="289"/>
    </row>
    <row r="699" spans="14:14">
      <c r="N699" s="289"/>
    </row>
    <row r="700" spans="14:14">
      <c r="N700" s="289"/>
    </row>
    <row r="701" spans="14:14">
      <c r="N701" s="289"/>
    </row>
    <row r="702" spans="14:14">
      <c r="N702" s="289"/>
    </row>
    <row r="703" spans="14:14">
      <c r="N703" s="289"/>
    </row>
    <row r="704" spans="14:14">
      <c r="N704" s="289"/>
    </row>
    <row r="705" spans="14:14">
      <c r="N705" s="289"/>
    </row>
    <row r="706" spans="14:14">
      <c r="N706" s="289"/>
    </row>
    <row r="707" spans="14:14">
      <c r="N707" s="289"/>
    </row>
    <row r="708" spans="14:14">
      <c r="N708" s="289"/>
    </row>
    <row r="709" spans="14:14">
      <c r="N709" s="289"/>
    </row>
    <row r="710" spans="14:14">
      <c r="N710" s="289"/>
    </row>
    <row r="711" spans="14:14">
      <c r="N711" s="289"/>
    </row>
    <row r="712" spans="14:14">
      <c r="N712" s="289"/>
    </row>
    <row r="713" spans="14:14">
      <c r="N713" s="289"/>
    </row>
    <row r="714" spans="14:14">
      <c r="N714" s="289"/>
    </row>
    <row r="715" spans="14:14">
      <c r="N715" s="289"/>
    </row>
    <row r="716" spans="14:14">
      <c r="N716" s="289"/>
    </row>
    <row r="717" spans="14:14">
      <c r="N717" s="289"/>
    </row>
    <row r="718" spans="14:14">
      <c r="N718" s="289"/>
    </row>
    <row r="719" spans="14:14">
      <c r="N719" s="289"/>
    </row>
    <row r="720" spans="14:14">
      <c r="N720" s="289"/>
    </row>
    <row r="721" spans="14:14">
      <c r="N721" s="289"/>
    </row>
    <row r="722" spans="14:14">
      <c r="N722" s="289"/>
    </row>
    <row r="723" spans="14:14">
      <c r="N723" s="289"/>
    </row>
    <row r="724" spans="14:14">
      <c r="N724" s="289"/>
    </row>
    <row r="725" spans="14:14">
      <c r="N725" s="289"/>
    </row>
    <row r="726" spans="14:14">
      <c r="N726" s="289"/>
    </row>
    <row r="727" spans="14:14">
      <c r="N727" s="289"/>
    </row>
    <row r="728" spans="14:14">
      <c r="N728" s="289"/>
    </row>
    <row r="729" spans="14:14">
      <c r="N729" s="289"/>
    </row>
    <row r="730" spans="14:14">
      <c r="N730" s="289"/>
    </row>
    <row r="731" spans="14:14">
      <c r="N731" s="289"/>
    </row>
    <row r="732" spans="14:14">
      <c r="N732" s="289"/>
    </row>
    <row r="733" spans="14:14">
      <c r="N733" s="289"/>
    </row>
    <row r="734" spans="14:14">
      <c r="N734" s="289"/>
    </row>
    <row r="735" spans="14:14">
      <c r="N735" s="289"/>
    </row>
    <row r="736" spans="14:14">
      <c r="N736" s="289"/>
    </row>
    <row r="737" spans="14:14">
      <c r="N737" s="289"/>
    </row>
    <row r="738" spans="14:14">
      <c r="N738" s="289"/>
    </row>
    <row r="739" spans="14:14">
      <c r="N739" s="289"/>
    </row>
    <row r="740" spans="14:14">
      <c r="N740" s="289"/>
    </row>
    <row r="741" spans="14:14">
      <c r="N741" s="289"/>
    </row>
    <row r="742" spans="14:14">
      <c r="N742" s="289"/>
    </row>
    <row r="743" spans="14:14">
      <c r="N743" s="289"/>
    </row>
    <row r="744" spans="14:14">
      <c r="N744" s="289"/>
    </row>
    <row r="745" spans="14:14">
      <c r="N745" s="289"/>
    </row>
    <row r="746" spans="14:14">
      <c r="N746" s="289"/>
    </row>
    <row r="747" spans="14:14">
      <c r="N747" s="289"/>
    </row>
    <row r="748" spans="14:14">
      <c r="N748" s="289"/>
    </row>
    <row r="749" spans="14:14">
      <c r="N749" s="289"/>
    </row>
    <row r="750" spans="14:14">
      <c r="N750" s="289"/>
    </row>
    <row r="751" spans="14:14">
      <c r="N751" s="289"/>
    </row>
    <row r="752" spans="14:14">
      <c r="N752" s="289"/>
    </row>
    <row r="753" spans="14:14">
      <c r="N753" s="289"/>
    </row>
    <row r="754" spans="14:14">
      <c r="N754" s="289"/>
    </row>
    <row r="755" spans="14:14">
      <c r="N755" s="289"/>
    </row>
    <row r="756" spans="14:14">
      <c r="N756" s="289"/>
    </row>
    <row r="757" spans="14:14">
      <c r="N757" s="289"/>
    </row>
    <row r="758" spans="14:14">
      <c r="N758" s="289"/>
    </row>
    <row r="759" spans="14:14">
      <c r="N759" s="289"/>
    </row>
    <row r="760" spans="14:14">
      <c r="N760" s="289"/>
    </row>
    <row r="761" spans="14:14">
      <c r="N761" s="289"/>
    </row>
    <row r="762" spans="14:14">
      <c r="N762" s="289"/>
    </row>
    <row r="763" spans="14:14">
      <c r="N763" s="289"/>
    </row>
    <row r="764" spans="14:14">
      <c r="N764" s="289"/>
    </row>
    <row r="765" spans="14:14">
      <c r="N765" s="289"/>
    </row>
    <row r="766" spans="14:14">
      <c r="N766" s="289"/>
    </row>
    <row r="767" spans="14:14">
      <c r="N767" s="289"/>
    </row>
    <row r="768" spans="14:14">
      <c r="N768" s="289"/>
    </row>
    <row r="769" spans="14:14">
      <c r="N769" s="289"/>
    </row>
    <row r="770" spans="14:14">
      <c r="N770" s="289"/>
    </row>
    <row r="771" spans="14:14">
      <c r="N771" s="289"/>
    </row>
    <row r="772" spans="14:14">
      <c r="N772" s="289"/>
    </row>
    <row r="773" spans="14:14">
      <c r="N773" s="289"/>
    </row>
    <row r="774" spans="14:14">
      <c r="N774" s="289"/>
    </row>
    <row r="775" spans="14:14">
      <c r="N775" s="289"/>
    </row>
    <row r="776" spans="14:14">
      <c r="N776" s="289"/>
    </row>
    <row r="777" spans="14:14">
      <c r="N777" s="289"/>
    </row>
    <row r="778" spans="14:14">
      <c r="N778" s="289"/>
    </row>
    <row r="779" spans="14:14">
      <c r="N779" s="289"/>
    </row>
    <row r="780" spans="14:14">
      <c r="N780" s="289"/>
    </row>
    <row r="781" spans="14:14">
      <c r="N781" s="289"/>
    </row>
    <row r="782" spans="14:14">
      <c r="N782" s="289"/>
    </row>
    <row r="783" spans="14:14">
      <c r="N783" s="289"/>
    </row>
    <row r="784" spans="14:14">
      <c r="N784" s="289"/>
    </row>
    <row r="785" spans="14:14">
      <c r="N785" s="289"/>
    </row>
    <row r="786" spans="14:14">
      <c r="N786" s="289"/>
    </row>
    <row r="787" spans="14:14">
      <c r="N787" s="289"/>
    </row>
    <row r="788" spans="14:14">
      <c r="N788" s="289"/>
    </row>
    <row r="789" spans="14:14">
      <c r="N789" s="289"/>
    </row>
    <row r="790" spans="14:14">
      <c r="N790" s="289"/>
    </row>
    <row r="791" spans="14:14">
      <c r="N791" s="289"/>
    </row>
    <row r="792" spans="14:14">
      <c r="N792" s="289"/>
    </row>
    <row r="793" spans="14:14">
      <c r="N793" s="289"/>
    </row>
    <row r="794" spans="14:14">
      <c r="N794" s="289"/>
    </row>
    <row r="795" spans="14:14">
      <c r="N795" s="289"/>
    </row>
    <row r="796" spans="14:14">
      <c r="N796" s="289"/>
    </row>
    <row r="797" spans="14:14">
      <c r="N797" s="289"/>
    </row>
    <row r="798" spans="14:14">
      <c r="N798" s="289"/>
    </row>
    <row r="799" spans="14:14">
      <c r="N799" s="289"/>
    </row>
    <row r="800" spans="14:14">
      <c r="N800" s="289"/>
    </row>
    <row r="801" spans="14:14">
      <c r="N801" s="289"/>
    </row>
    <row r="802" spans="14:14">
      <c r="N802" s="289"/>
    </row>
    <row r="803" spans="14:14">
      <c r="N803" s="289"/>
    </row>
    <row r="804" spans="14:14">
      <c r="N804" s="289"/>
    </row>
    <row r="805" spans="14:14">
      <c r="N805" s="289"/>
    </row>
    <row r="806" spans="14:14">
      <c r="N806" s="289"/>
    </row>
    <row r="807" spans="14:14">
      <c r="N807" s="289"/>
    </row>
    <row r="808" spans="14:14">
      <c r="N808" s="289"/>
    </row>
    <row r="809" spans="14:14">
      <c r="N809" s="289"/>
    </row>
    <row r="810" spans="14:14">
      <c r="N810" s="289"/>
    </row>
    <row r="811" spans="14:14">
      <c r="N811" s="289"/>
    </row>
    <row r="812" spans="14:14">
      <c r="N812" s="289"/>
    </row>
    <row r="813" spans="14:14">
      <c r="N813" s="289"/>
    </row>
    <row r="814" spans="14:14">
      <c r="N814" s="289"/>
    </row>
    <row r="815" spans="14:14">
      <c r="N815" s="289"/>
    </row>
    <row r="816" spans="14:14">
      <c r="N816" s="289"/>
    </row>
    <row r="817" spans="14:14">
      <c r="N817" s="289"/>
    </row>
    <row r="818" spans="14:14">
      <c r="N818" s="289"/>
    </row>
    <row r="819" spans="14:14">
      <c r="N819" s="289"/>
    </row>
    <row r="820" spans="14:14">
      <c r="N820" s="289"/>
    </row>
    <row r="821" spans="14:14">
      <c r="N821" s="289"/>
    </row>
    <row r="822" spans="14:14">
      <c r="N822" s="289"/>
    </row>
    <row r="823" spans="14:14">
      <c r="N823" s="289"/>
    </row>
    <row r="824" spans="14:14">
      <c r="N824" s="289"/>
    </row>
    <row r="825" spans="14:14">
      <c r="N825" s="289"/>
    </row>
    <row r="826" spans="14:14">
      <c r="N826" s="289"/>
    </row>
    <row r="827" spans="14:14">
      <c r="N827" s="289"/>
    </row>
    <row r="828" spans="14:14">
      <c r="N828" s="289"/>
    </row>
    <row r="829" spans="14:14">
      <c r="N829" s="289"/>
    </row>
    <row r="830" spans="14:14">
      <c r="N830" s="289"/>
    </row>
    <row r="831" spans="14:14">
      <c r="N831" s="289"/>
    </row>
    <row r="832" spans="14:14">
      <c r="N832" s="289"/>
    </row>
    <row r="833" spans="14:14">
      <c r="N833" s="289"/>
    </row>
    <row r="834" spans="14:14">
      <c r="N834" s="289"/>
    </row>
    <row r="835" spans="14:14">
      <c r="N835" s="289"/>
    </row>
    <row r="836" spans="14:14">
      <c r="N836" s="289"/>
    </row>
    <row r="837" spans="14:14">
      <c r="N837" s="289"/>
    </row>
    <row r="838" spans="14:14">
      <c r="N838" s="289"/>
    </row>
    <row r="839" spans="14:14">
      <c r="N839" s="289"/>
    </row>
    <row r="840" spans="14:14">
      <c r="N840" s="289"/>
    </row>
    <row r="841" spans="14:14">
      <c r="N841" s="289"/>
    </row>
    <row r="842" spans="14:14">
      <c r="N842" s="289"/>
    </row>
    <row r="843" spans="14:14">
      <c r="N843" s="289"/>
    </row>
    <row r="844" spans="14:14">
      <c r="N844" s="289"/>
    </row>
    <row r="845" spans="14:14">
      <c r="N845" s="289"/>
    </row>
    <row r="846" spans="14:14">
      <c r="N846" s="289"/>
    </row>
    <row r="847" spans="14:14">
      <c r="N847" s="289"/>
    </row>
    <row r="848" spans="14:14">
      <c r="N848" s="289"/>
    </row>
    <row r="849" spans="14:14">
      <c r="N849" s="289"/>
    </row>
    <row r="850" spans="14:14">
      <c r="N850" s="289"/>
    </row>
    <row r="851" spans="14:14">
      <c r="N851" s="289"/>
    </row>
    <row r="852" spans="14:14">
      <c r="N852" s="289"/>
    </row>
    <row r="853" spans="14:14">
      <c r="N853" s="289"/>
    </row>
    <row r="854" spans="14:14">
      <c r="N854" s="289"/>
    </row>
    <row r="855" spans="14:14">
      <c r="N855" s="289"/>
    </row>
    <row r="856" spans="14:14">
      <c r="N856" s="289"/>
    </row>
    <row r="857" spans="14:14">
      <c r="N857" s="289"/>
    </row>
    <row r="858" spans="14:14">
      <c r="N858" s="289"/>
    </row>
    <row r="859" spans="14:14">
      <c r="N859" s="289"/>
    </row>
    <row r="860" spans="14:14">
      <c r="N860" s="289"/>
    </row>
    <row r="861" spans="14:14">
      <c r="N861" s="289"/>
    </row>
    <row r="862" spans="14:14">
      <c r="N862" s="289"/>
    </row>
    <row r="863" spans="14:14">
      <c r="N863" s="289"/>
    </row>
    <row r="864" spans="14:14">
      <c r="N864" s="289"/>
    </row>
    <row r="865" spans="14:14">
      <c r="N865" s="289"/>
    </row>
    <row r="866" spans="14:14">
      <c r="N866" s="289"/>
    </row>
    <row r="867" spans="14:14">
      <c r="N867" s="289"/>
    </row>
    <row r="868" spans="14:14">
      <c r="N868" s="289"/>
    </row>
    <row r="869" spans="14:14">
      <c r="N869" s="289"/>
    </row>
    <row r="870" spans="14:14">
      <c r="N870" s="289"/>
    </row>
    <row r="871" spans="14:14">
      <c r="N871" s="289"/>
    </row>
    <row r="872" spans="14:14">
      <c r="N872" s="289"/>
    </row>
    <row r="873" spans="14:14">
      <c r="N873" s="289"/>
    </row>
    <row r="874" spans="14:14">
      <c r="N874" s="289"/>
    </row>
    <row r="875" spans="14:14">
      <c r="N875" s="289"/>
    </row>
    <row r="876" spans="14:14">
      <c r="N876" s="289"/>
    </row>
    <row r="877" spans="14:14">
      <c r="N877" s="289"/>
    </row>
    <row r="878" spans="14:14">
      <c r="N878" s="289"/>
    </row>
    <row r="879" spans="14:14">
      <c r="N879" s="289"/>
    </row>
    <row r="880" spans="14:14">
      <c r="N880" s="289"/>
    </row>
    <row r="881" spans="14:14">
      <c r="N881" s="289"/>
    </row>
    <row r="882" spans="14:14">
      <c r="N882" s="289"/>
    </row>
    <row r="883" spans="14:14">
      <c r="N883" s="289"/>
    </row>
    <row r="884" spans="14:14">
      <c r="N884" s="289"/>
    </row>
    <row r="885" spans="14:14">
      <c r="N885" s="289"/>
    </row>
    <row r="886" spans="14:14">
      <c r="N886" s="289"/>
    </row>
    <row r="887" spans="14:14">
      <c r="N887" s="289"/>
    </row>
    <row r="888" spans="14:14">
      <c r="N888" s="289"/>
    </row>
    <row r="889" spans="14:14">
      <c r="N889" s="289"/>
    </row>
    <row r="890" spans="14:14">
      <c r="N890" s="289"/>
    </row>
    <row r="891" spans="14:14">
      <c r="N891" s="289"/>
    </row>
    <row r="892" spans="14:14">
      <c r="N892" s="289"/>
    </row>
    <row r="893" spans="14:14">
      <c r="N893" s="289"/>
    </row>
    <row r="894" spans="14:14">
      <c r="N894" s="289"/>
    </row>
    <row r="895" spans="14:14">
      <c r="N895" s="289"/>
    </row>
    <row r="896" spans="14:14">
      <c r="N896" s="289"/>
    </row>
    <row r="897" spans="14:14">
      <c r="N897" s="289"/>
    </row>
    <row r="898" spans="14:14">
      <c r="N898" s="289"/>
    </row>
    <row r="899" spans="14:14">
      <c r="N899" s="289"/>
    </row>
    <row r="900" spans="14:14">
      <c r="N900" s="289"/>
    </row>
    <row r="901" spans="14:14">
      <c r="N901" s="289"/>
    </row>
    <row r="902" spans="14:14">
      <c r="N902" s="289"/>
    </row>
    <row r="903" spans="14:14">
      <c r="N903" s="289"/>
    </row>
    <row r="904" spans="14:14">
      <c r="N904" s="289"/>
    </row>
    <row r="905" spans="14:14">
      <c r="N905" s="289"/>
    </row>
    <row r="906" spans="14:14">
      <c r="N906" s="289"/>
    </row>
    <row r="907" spans="14:14">
      <c r="N907" s="289"/>
    </row>
    <row r="908" spans="14:14">
      <c r="N908" s="289"/>
    </row>
    <row r="909" spans="14:14">
      <c r="N909" s="289"/>
    </row>
    <row r="910" spans="14:14">
      <c r="N910" s="289"/>
    </row>
    <row r="911" spans="14:14">
      <c r="N911" s="289"/>
    </row>
    <row r="912" spans="14:14">
      <c r="N912" s="289"/>
    </row>
    <row r="913" spans="14:14">
      <c r="N913" s="289"/>
    </row>
    <row r="914" spans="14:14">
      <c r="N914" s="289"/>
    </row>
    <row r="915" spans="14:14">
      <c r="N915" s="289"/>
    </row>
    <row r="916" spans="14:14">
      <c r="N916" s="289"/>
    </row>
    <row r="917" spans="14:14">
      <c r="N917" s="289"/>
    </row>
    <row r="918" spans="14:14">
      <c r="N918" s="289"/>
    </row>
    <row r="919" spans="14:14">
      <c r="N919" s="289"/>
    </row>
    <row r="920" spans="14:14">
      <c r="N920" s="289"/>
    </row>
    <row r="921" spans="14:14">
      <c r="N921" s="289"/>
    </row>
    <row r="922" spans="14:14">
      <c r="N922" s="289"/>
    </row>
    <row r="923" spans="14:14">
      <c r="N923" s="289"/>
    </row>
    <row r="924" spans="14:14">
      <c r="N924" s="289"/>
    </row>
    <row r="925" spans="14:14">
      <c r="N925" s="289"/>
    </row>
    <row r="926" spans="14:14">
      <c r="N926" s="289"/>
    </row>
    <row r="927" spans="14:14">
      <c r="N927" s="289"/>
    </row>
    <row r="928" spans="14:14">
      <c r="N928" s="289"/>
    </row>
    <row r="929" spans="14:14">
      <c r="N929" s="289"/>
    </row>
    <row r="930" spans="14:14">
      <c r="N930" s="289"/>
    </row>
    <row r="931" spans="14:14">
      <c r="N931" s="289"/>
    </row>
    <row r="932" spans="14:14">
      <c r="N932" s="289"/>
    </row>
    <row r="933" spans="14:14">
      <c r="N933" s="289"/>
    </row>
    <row r="934" spans="14:14">
      <c r="N934" s="289"/>
    </row>
    <row r="935" spans="14:14">
      <c r="N935" s="289"/>
    </row>
    <row r="936" spans="14:14">
      <c r="N936" s="289"/>
    </row>
    <row r="937" spans="14:14">
      <c r="N937" s="289"/>
    </row>
    <row r="938" spans="14:14">
      <c r="N938" s="289"/>
    </row>
    <row r="939" spans="14:14">
      <c r="N939" s="289"/>
    </row>
    <row r="940" spans="14:14">
      <c r="N940" s="289"/>
    </row>
    <row r="941" spans="14:14">
      <c r="N941" s="289"/>
    </row>
    <row r="942" spans="14:14">
      <c r="N942" s="289"/>
    </row>
    <row r="943" spans="14:14">
      <c r="N943" s="289"/>
    </row>
    <row r="944" spans="14:14">
      <c r="N944" s="289"/>
    </row>
    <row r="945" spans="14:14">
      <c r="N945" s="289"/>
    </row>
    <row r="946" spans="14:14">
      <c r="N946" s="289"/>
    </row>
    <row r="947" spans="14:14">
      <c r="N947" s="289"/>
    </row>
    <row r="948" spans="14:14">
      <c r="N948" s="289"/>
    </row>
    <row r="949" spans="14:14">
      <c r="N949" s="289"/>
    </row>
    <row r="950" spans="14:14">
      <c r="N950" s="289"/>
    </row>
    <row r="951" spans="14:14">
      <c r="N951" s="289"/>
    </row>
    <row r="952" spans="14:14">
      <c r="N952" s="289"/>
    </row>
    <row r="953" spans="14:14">
      <c r="N953" s="289"/>
    </row>
    <row r="954" spans="14:14">
      <c r="N954" s="289"/>
    </row>
    <row r="955" spans="14:14">
      <c r="N955" s="289"/>
    </row>
    <row r="956" spans="14:14">
      <c r="N956" s="289"/>
    </row>
    <row r="957" spans="14:14">
      <c r="N957" s="289"/>
    </row>
    <row r="958" spans="14:14">
      <c r="N958" s="289"/>
    </row>
    <row r="959" spans="14:14">
      <c r="N959" s="289"/>
    </row>
    <row r="960" spans="14:14">
      <c r="N960" s="289"/>
    </row>
    <row r="961" spans="14:14">
      <c r="N961" s="289"/>
    </row>
    <row r="962" spans="14:14">
      <c r="N962" s="289"/>
    </row>
    <row r="963" spans="14:14">
      <c r="N963" s="289"/>
    </row>
    <row r="964" spans="14:14">
      <c r="N964" s="289"/>
    </row>
    <row r="965" spans="14:14">
      <c r="N965" s="289"/>
    </row>
    <row r="966" spans="14:14">
      <c r="N966" s="289"/>
    </row>
    <row r="967" spans="14:14">
      <c r="N967" s="289"/>
    </row>
    <row r="968" spans="14:14">
      <c r="N968" s="289"/>
    </row>
    <row r="969" spans="14:14">
      <c r="N969" s="289"/>
    </row>
    <row r="970" spans="14:14">
      <c r="N970" s="289"/>
    </row>
    <row r="971" spans="14:14">
      <c r="N971" s="289"/>
    </row>
    <row r="972" spans="14:14">
      <c r="N972" s="289"/>
    </row>
    <row r="973" spans="14:14">
      <c r="N973" s="289"/>
    </row>
    <row r="974" spans="14:14">
      <c r="N974" s="289"/>
    </row>
    <row r="975" spans="14:14">
      <c r="N975" s="289"/>
    </row>
    <row r="976" spans="14:14">
      <c r="N976" s="289"/>
    </row>
    <row r="977" spans="14:14">
      <c r="N977" s="289"/>
    </row>
    <row r="978" spans="14:14">
      <c r="N978" s="289"/>
    </row>
    <row r="979" spans="14:14">
      <c r="N979" s="289"/>
    </row>
    <row r="980" spans="14:14">
      <c r="N980" s="289"/>
    </row>
    <row r="981" spans="14:14">
      <c r="N981" s="289"/>
    </row>
    <row r="982" spans="14:14">
      <c r="N982" s="289"/>
    </row>
    <row r="983" spans="14:14">
      <c r="N983" s="289"/>
    </row>
    <row r="984" spans="14:14">
      <c r="N984" s="289"/>
    </row>
    <row r="985" spans="14:14">
      <c r="N985" s="289"/>
    </row>
  </sheetData>
  <dataValidations count="5">
    <dataValidation type="list" allowBlank="1" showErrorMessage="1" sqref="K2" xr:uid="{1017DD9B-56B2-44AC-86AB-64A459C0BA62}">
      <formula1>"Open,Inprogress,Closed"</formula1>
    </dataValidation>
    <dataValidation type="list" allowBlank="1" showErrorMessage="1" sqref="I2" xr:uid="{58DCF875-3F0D-4304-92EB-6C7316CF6983}">
      <formula1>"Manual, Automation"</formula1>
    </dataValidation>
    <dataValidation type="list" allowBlank="1" showErrorMessage="1" sqref="H2" xr:uid="{4415A7ED-B986-4345-9F1F-9829A56C3EAE}">
      <formula1>"Minor,Significant,Major"</formula1>
    </dataValidation>
    <dataValidation type="list" allowBlank="1" showErrorMessage="1" sqref="J2" xr:uid="{66A63BFC-1DFC-4C1C-AA1D-F7749D907A83}">
      <formula1>"Internal,External"</formula1>
    </dataValidation>
    <dataValidation type="list" allowBlank="1" showErrorMessage="1" sqref="F2" xr:uid="{DA0F8C53-31E5-4E74-8E5C-11CCF5EDFBFD}">
      <formula1>"Bounceback,Defect,None"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80FC-B4FD-4805-ADFD-7F6C9E0331D5}">
  <dimension ref="A1:AF5"/>
  <sheetViews>
    <sheetView topLeftCell="T2" workbookViewId="0">
      <selection activeCell="I6" sqref="I6"/>
    </sheetView>
  </sheetViews>
  <sheetFormatPr defaultRowHeight="12.75"/>
  <cols>
    <col min="1" max="1" width="5.42578125" bestFit="1" customWidth="1"/>
    <col min="2" max="2" width="10.85546875" customWidth="1"/>
    <col min="3" max="3" width="11.5703125" customWidth="1"/>
    <col min="4" max="4" width="10.85546875" customWidth="1"/>
    <col min="5" max="5" width="18.42578125" customWidth="1"/>
    <col min="6" max="6" width="10.42578125" customWidth="1"/>
    <col min="7" max="7" width="12.28515625" customWidth="1"/>
    <col min="8" max="8" width="44.28515625" customWidth="1"/>
    <col min="9" max="9" width="16.42578125" customWidth="1"/>
    <col min="13" max="13" width="10.7109375" customWidth="1"/>
    <col min="14" max="14" width="11.140625" customWidth="1"/>
    <col min="19" max="19" width="10.85546875" customWidth="1"/>
    <col min="20" max="20" width="30.85546875" style="43" customWidth="1"/>
    <col min="21" max="21" width="11.5703125" customWidth="1"/>
    <col min="22" max="22" width="11.28515625" customWidth="1"/>
    <col min="23" max="23" width="9.42578125" customWidth="1"/>
    <col min="25" max="25" width="9" customWidth="1"/>
    <col min="26" max="26" width="10.5703125" customWidth="1"/>
    <col min="27" max="27" width="11.28515625" customWidth="1"/>
    <col min="28" max="28" width="11.140625" customWidth="1"/>
    <col min="29" max="29" width="11.42578125" customWidth="1"/>
    <col min="30" max="31" width="51.140625" customWidth="1"/>
    <col min="32" max="32" width="42.7109375" customWidth="1"/>
  </cols>
  <sheetData>
    <row r="1" spans="1:32" ht="48">
      <c r="A1" s="416" t="s">
        <v>234</v>
      </c>
      <c r="B1" s="57" t="s">
        <v>4</v>
      </c>
      <c r="C1" s="57" t="s">
        <v>2</v>
      </c>
      <c r="D1" s="57" t="s">
        <v>3</v>
      </c>
      <c r="E1" s="416" t="s">
        <v>235</v>
      </c>
      <c r="F1" s="416" t="s">
        <v>236</v>
      </c>
      <c r="G1" s="416" t="s">
        <v>237</v>
      </c>
      <c r="H1" s="416" t="s">
        <v>238</v>
      </c>
      <c r="I1" s="416" t="s">
        <v>239</v>
      </c>
      <c r="J1" s="57" t="s">
        <v>240</v>
      </c>
      <c r="K1" s="57" t="s">
        <v>241</v>
      </c>
      <c r="L1" s="57" t="s">
        <v>242</v>
      </c>
      <c r="M1" s="57" t="s">
        <v>243</v>
      </c>
      <c r="N1" s="57" t="s">
        <v>244</v>
      </c>
      <c r="O1" s="416" t="s">
        <v>245</v>
      </c>
      <c r="P1" s="416" t="s">
        <v>246</v>
      </c>
      <c r="Q1" s="416" t="s">
        <v>247</v>
      </c>
      <c r="R1" s="416" t="s">
        <v>248</v>
      </c>
      <c r="S1" s="416" t="s">
        <v>249</v>
      </c>
      <c r="T1" s="416" t="s">
        <v>250</v>
      </c>
      <c r="U1" s="416" t="s">
        <v>251</v>
      </c>
      <c r="V1" s="416" t="s">
        <v>252</v>
      </c>
      <c r="W1" s="416" t="s">
        <v>253</v>
      </c>
      <c r="X1" s="416" t="s">
        <v>254</v>
      </c>
      <c r="Y1" s="416" t="s">
        <v>255</v>
      </c>
      <c r="Z1" s="416" t="s">
        <v>256</v>
      </c>
      <c r="AA1" s="416" t="s">
        <v>257</v>
      </c>
      <c r="AB1" s="416" t="s">
        <v>258</v>
      </c>
      <c r="AC1" s="416" t="s">
        <v>259</v>
      </c>
      <c r="AD1" s="433" t="s">
        <v>326</v>
      </c>
      <c r="AE1" s="433" t="s">
        <v>327</v>
      </c>
      <c r="AF1" s="418" t="s">
        <v>17</v>
      </c>
    </row>
    <row r="2" spans="1:32" ht="58.5" customHeight="1">
      <c r="A2" s="412">
        <v>1</v>
      </c>
      <c r="B2" s="412" t="s">
        <v>5</v>
      </c>
      <c r="C2" s="421">
        <v>46030</v>
      </c>
      <c r="D2" s="421">
        <v>46044</v>
      </c>
      <c r="E2" s="427" t="s">
        <v>177</v>
      </c>
      <c r="F2" s="412" t="s">
        <v>219</v>
      </c>
      <c r="G2" s="72" t="s">
        <v>440</v>
      </c>
      <c r="H2" s="412" t="s">
        <v>441</v>
      </c>
      <c r="I2" s="412" t="s">
        <v>13</v>
      </c>
      <c r="J2" s="412">
        <v>1</v>
      </c>
      <c r="K2" s="412">
        <v>1</v>
      </c>
      <c r="L2" s="295">
        <v>12.5</v>
      </c>
      <c r="M2" s="421">
        <v>46027</v>
      </c>
      <c r="N2" s="421">
        <v>46030</v>
      </c>
      <c r="O2" s="295" t="s">
        <v>273</v>
      </c>
      <c r="P2" s="412" t="s">
        <v>274</v>
      </c>
      <c r="Q2" s="295"/>
      <c r="R2" s="412" t="s">
        <v>275</v>
      </c>
      <c r="S2" s="295"/>
      <c r="T2" s="72" t="s">
        <v>442</v>
      </c>
      <c r="U2" s="421">
        <v>46030</v>
      </c>
      <c r="V2" s="421">
        <v>46030</v>
      </c>
      <c r="W2" s="295" t="s">
        <v>275</v>
      </c>
      <c r="X2" s="295"/>
      <c r="Y2" s="412" t="s">
        <v>277</v>
      </c>
      <c r="Z2" s="421">
        <v>46030</v>
      </c>
      <c r="AA2" s="295"/>
      <c r="AB2" s="295"/>
      <c r="AC2" s="295"/>
      <c r="AD2" s="436" t="s">
        <v>443</v>
      </c>
      <c r="AE2" s="437"/>
      <c r="AF2" s="435"/>
    </row>
    <row r="3" spans="1:32" ht="58.5" customHeight="1">
      <c r="A3" s="412">
        <v>2</v>
      </c>
      <c r="B3" s="412" t="s">
        <v>5</v>
      </c>
      <c r="C3" s="421">
        <v>46030</v>
      </c>
      <c r="D3" s="421">
        <v>46044</v>
      </c>
      <c r="E3" s="427" t="s">
        <v>177</v>
      </c>
      <c r="F3" s="412" t="s">
        <v>219</v>
      </c>
      <c r="G3" s="72" t="s">
        <v>444</v>
      </c>
      <c r="H3" s="412" t="s">
        <v>445</v>
      </c>
      <c r="I3" s="412" t="s">
        <v>13</v>
      </c>
      <c r="J3" s="412">
        <v>5</v>
      </c>
      <c r="K3" s="412">
        <v>5</v>
      </c>
      <c r="L3" s="295">
        <v>53.5</v>
      </c>
      <c r="M3" s="421">
        <v>46031</v>
      </c>
      <c r="N3" s="421">
        <v>46038</v>
      </c>
      <c r="O3" s="295" t="s">
        <v>273</v>
      </c>
      <c r="P3" s="412" t="s">
        <v>274</v>
      </c>
      <c r="Q3" s="295"/>
      <c r="R3" s="412" t="s">
        <v>275</v>
      </c>
      <c r="S3" s="295"/>
      <c r="T3" s="72" t="s">
        <v>446</v>
      </c>
      <c r="U3" s="421">
        <v>46038</v>
      </c>
      <c r="V3" s="421">
        <v>46041</v>
      </c>
      <c r="W3" s="295" t="s">
        <v>275</v>
      </c>
      <c r="X3" s="295"/>
      <c r="Y3" s="412" t="s">
        <v>277</v>
      </c>
      <c r="Z3" s="421">
        <v>46041</v>
      </c>
      <c r="AA3" s="295"/>
      <c r="AB3" s="295"/>
      <c r="AC3" s="295"/>
      <c r="AD3" s="436" t="s">
        <v>447</v>
      </c>
      <c r="AE3" s="437"/>
      <c r="AF3" s="435"/>
    </row>
    <row r="4" spans="1:32" ht="75.75" customHeight="1">
      <c r="A4" s="412">
        <v>3</v>
      </c>
      <c r="B4" s="412" t="s">
        <v>5</v>
      </c>
      <c r="C4" s="421">
        <v>46030</v>
      </c>
      <c r="D4" s="421">
        <v>46044</v>
      </c>
      <c r="E4" s="427" t="s">
        <v>177</v>
      </c>
      <c r="F4" s="412" t="s">
        <v>219</v>
      </c>
      <c r="G4" s="72" t="s">
        <v>448</v>
      </c>
      <c r="H4" s="412" t="s">
        <v>449</v>
      </c>
      <c r="I4" s="412" t="s">
        <v>13</v>
      </c>
      <c r="J4" s="412">
        <v>3</v>
      </c>
      <c r="K4" s="412">
        <v>3</v>
      </c>
      <c r="L4" s="295">
        <v>33.5</v>
      </c>
      <c r="M4" s="421">
        <v>46038</v>
      </c>
      <c r="N4" s="421">
        <v>46042</v>
      </c>
      <c r="O4" s="295" t="s">
        <v>273</v>
      </c>
      <c r="P4" s="412" t="s">
        <v>274</v>
      </c>
      <c r="Q4" s="295"/>
      <c r="R4" s="412" t="s">
        <v>275</v>
      </c>
      <c r="S4" s="295"/>
      <c r="T4" s="72" t="s">
        <v>450</v>
      </c>
      <c r="U4" s="421">
        <v>46042</v>
      </c>
      <c r="V4" s="421">
        <v>46042</v>
      </c>
      <c r="W4" s="295" t="s">
        <v>275</v>
      </c>
      <c r="X4" s="295"/>
      <c r="Y4" s="412" t="s">
        <v>277</v>
      </c>
      <c r="Z4" s="421">
        <v>46042</v>
      </c>
      <c r="AA4" s="295"/>
      <c r="AB4" s="295"/>
      <c r="AC4" s="295"/>
      <c r="AD4" s="436" t="s">
        <v>451</v>
      </c>
      <c r="AE4" s="437"/>
      <c r="AF4" s="435"/>
    </row>
    <row r="5" spans="1:32" ht="58.5" customHeight="1">
      <c r="A5" s="412">
        <v>4</v>
      </c>
      <c r="B5" s="412" t="s">
        <v>5</v>
      </c>
      <c r="C5" s="421">
        <v>46030</v>
      </c>
      <c r="D5" s="421">
        <v>46044</v>
      </c>
      <c r="E5" s="427" t="s">
        <v>177</v>
      </c>
      <c r="F5" s="412" t="s">
        <v>219</v>
      </c>
      <c r="G5" s="72" t="s">
        <v>452</v>
      </c>
      <c r="H5" s="412" t="s">
        <v>453</v>
      </c>
      <c r="I5" s="412" t="s">
        <v>13</v>
      </c>
      <c r="J5" s="412">
        <v>2</v>
      </c>
      <c r="K5" s="295">
        <v>2</v>
      </c>
      <c r="L5" s="295">
        <v>19</v>
      </c>
      <c r="M5" s="421">
        <v>46043</v>
      </c>
      <c r="N5" s="421">
        <v>46044</v>
      </c>
      <c r="O5" s="295" t="s">
        <v>273</v>
      </c>
      <c r="P5" s="412" t="s">
        <v>274</v>
      </c>
      <c r="Q5" s="295"/>
      <c r="R5" s="412" t="s">
        <v>275</v>
      </c>
      <c r="S5" s="295"/>
      <c r="T5" s="72" t="s">
        <v>454</v>
      </c>
      <c r="U5" s="421">
        <v>46042</v>
      </c>
      <c r="V5" s="421">
        <v>46043</v>
      </c>
      <c r="W5" s="295" t="s">
        <v>275</v>
      </c>
      <c r="X5" s="295"/>
      <c r="Y5" s="412" t="s">
        <v>277</v>
      </c>
      <c r="Z5" s="421">
        <v>46043</v>
      </c>
      <c r="AA5" s="295"/>
      <c r="AB5" s="295"/>
      <c r="AC5" s="295"/>
      <c r="AD5" s="436" t="s">
        <v>455</v>
      </c>
      <c r="AE5" s="437"/>
      <c r="AF5" s="435"/>
    </row>
  </sheetData>
  <hyperlinks>
    <hyperlink ref="T2" r:id="rId1" xr:uid="{82955FA1-F41F-4A26-AE54-EE0450959851}"/>
    <hyperlink ref="T3" r:id="rId2" xr:uid="{537CF8FB-0BD2-4C8B-8141-FC07129B14C1}"/>
    <hyperlink ref="T4" r:id="rId3" xr:uid="{4363A561-F1B8-484C-A1E8-B2981730D96D}"/>
    <hyperlink ref="T5" r:id="rId4" xr:uid="{5612CAD3-8A8C-49C2-828F-C46729D4542B}"/>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FD5B3-678A-48CF-969C-5026F2F7265B}">
  <dimension ref="A1:AF985"/>
  <sheetViews>
    <sheetView workbookViewId="0"/>
  </sheetViews>
  <sheetFormatPr defaultRowHeight="12.75"/>
  <cols>
    <col min="2" max="3" width="9.85546875" customWidth="1"/>
    <col min="4" max="4" width="9.42578125" customWidth="1"/>
    <col min="5" max="5" width="19.140625" customWidth="1"/>
    <col min="6" max="6" width="10.28515625" customWidth="1"/>
    <col min="7" max="7" width="10" customWidth="1"/>
    <col min="8" max="8" width="36" customWidth="1"/>
    <col min="9" max="9" width="10.5703125" customWidth="1"/>
    <col min="10" max="10" width="10.85546875" customWidth="1"/>
    <col min="11" max="11" width="11" customWidth="1"/>
    <col min="12" max="12" width="10.85546875" customWidth="1"/>
    <col min="13" max="13" width="12.28515625" customWidth="1"/>
    <col min="14" max="14" width="11.7109375" customWidth="1"/>
    <col min="16" max="16" width="12" customWidth="1"/>
    <col min="17" max="17" width="11.42578125" customWidth="1"/>
    <col min="18" max="18" width="11.28515625" customWidth="1"/>
    <col min="19" max="19" width="15.140625" customWidth="1"/>
    <col min="21" max="22" width="10.7109375" customWidth="1"/>
    <col min="23" max="23" width="13" customWidth="1"/>
    <col min="25" max="25" width="12.28515625" customWidth="1"/>
    <col min="27" max="27" width="14.7109375" customWidth="1"/>
    <col min="30" max="31" width="32" customWidth="1"/>
  </cols>
  <sheetData>
    <row r="1" spans="1:32" ht="27">
      <c r="A1" s="210" t="s">
        <v>234</v>
      </c>
      <c r="B1" s="1" t="s">
        <v>349</v>
      </c>
      <c r="C1" s="208" t="s">
        <v>350</v>
      </c>
      <c r="D1" s="208" t="s">
        <v>351</v>
      </c>
      <c r="E1" s="1" t="s">
        <v>236</v>
      </c>
      <c r="F1" s="208" t="s">
        <v>352</v>
      </c>
      <c r="G1" s="208" t="s">
        <v>353</v>
      </c>
      <c r="H1" s="1" t="s">
        <v>354</v>
      </c>
      <c r="I1" s="1" t="s">
        <v>355</v>
      </c>
      <c r="J1" s="1" t="s">
        <v>356</v>
      </c>
      <c r="K1" s="1" t="s">
        <v>239</v>
      </c>
      <c r="L1" s="454" t="s">
        <v>357</v>
      </c>
      <c r="M1" s="3" t="s">
        <v>260</v>
      </c>
      <c r="N1" s="214" t="s">
        <v>358</v>
      </c>
      <c r="O1" s="214" t="s">
        <v>359</v>
      </c>
      <c r="P1" s="28"/>
      <c r="Q1" s="28"/>
      <c r="R1" s="28"/>
      <c r="S1" s="28"/>
      <c r="T1" s="28"/>
      <c r="U1" s="28"/>
      <c r="V1" s="28"/>
      <c r="W1" s="28"/>
      <c r="X1" s="28"/>
      <c r="Y1" s="28"/>
      <c r="Z1" s="28"/>
      <c r="AA1" s="28"/>
      <c r="AB1" s="28"/>
      <c r="AD1" s="418" t="s">
        <v>326</v>
      </c>
      <c r="AE1" s="418" t="s">
        <v>327</v>
      </c>
      <c r="AF1" s="418" t="s">
        <v>17</v>
      </c>
    </row>
    <row r="2" spans="1:32" ht="48" customHeight="1">
      <c r="F2" s="455"/>
      <c r="G2" s="43" t="s">
        <v>427</v>
      </c>
      <c r="H2" s="456"/>
      <c r="I2" s="456"/>
      <c r="J2" s="456"/>
      <c r="K2" s="456"/>
      <c r="L2" s="456"/>
      <c r="M2" s="43"/>
      <c r="N2" s="289"/>
      <c r="O2" s="43"/>
      <c r="AD2" s="412"/>
      <c r="AE2" s="412" t="s">
        <v>361</v>
      </c>
      <c r="AF2" s="412"/>
    </row>
    <row r="3" spans="1:32" ht="49.5" customHeight="1">
      <c r="N3" s="289"/>
      <c r="AD3" s="412"/>
      <c r="AE3" s="412"/>
      <c r="AF3" s="295"/>
    </row>
    <row r="4" spans="1:32" ht="47.25" customHeight="1">
      <c r="N4" s="289"/>
      <c r="AD4" s="412"/>
      <c r="AE4" s="412"/>
      <c r="AF4" s="295"/>
    </row>
    <row r="5" spans="1:32">
      <c r="K5" s="43"/>
      <c r="N5" s="289"/>
    </row>
    <row r="6" spans="1:32">
      <c r="N6" s="289"/>
    </row>
    <row r="7" spans="1:32">
      <c r="N7" s="289"/>
    </row>
    <row r="8" spans="1:32">
      <c r="N8" s="289"/>
    </row>
    <row r="9" spans="1:32">
      <c r="N9" s="289"/>
    </row>
    <row r="10" spans="1:32">
      <c r="N10" s="289"/>
    </row>
    <row r="11" spans="1:32">
      <c r="N11" s="289"/>
    </row>
    <row r="12" spans="1:32">
      <c r="N12" s="289"/>
    </row>
    <row r="13" spans="1:32">
      <c r="N13" s="289"/>
    </row>
    <row r="14" spans="1:32">
      <c r="N14" s="289"/>
    </row>
    <row r="15" spans="1:32">
      <c r="N15" s="289"/>
    </row>
    <row r="16" spans="1:32">
      <c r="N16" s="289"/>
    </row>
    <row r="17" spans="14:14">
      <c r="N17" s="289"/>
    </row>
    <row r="18" spans="14:14">
      <c r="N18" s="289"/>
    </row>
    <row r="19" spans="14:14">
      <c r="N19" s="289"/>
    </row>
    <row r="20" spans="14:14">
      <c r="N20" s="289"/>
    </row>
    <row r="21" spans="14:14">
      <c r="N21" s="289"/>
    </row>
    <row r="22" spans="14:14">
      <c r="N22" s="289"/>
    </row>
    <row r="23" spans="14:14">
      <c r="N23" s="289"/>
    </row>
    <row r="24" spans="14:14">
      <c r="N24" s="289"/>
    </row>
    <row r="25" spans="14:14">
      <c r="N25" s="289"/>
    </row>
    <row r="26" spans="14:14">
      <c r="N26" s="289"/>
    </row>
    <row r="27" spans="14:14">
      <c r="N27" s="289"/>
    </row>
    <row r="28" spans="14:14">
      <c r="N28" s="289"/>
    </row>
    <row r="29" spans="14:14">
      <c r="N29" s="289"/>
    </row>
    <row r="30" spans="14:14">
      <c r="N30" s="289"/>
    </row>
    <row r="31" spans="14:14">
      <c r="N31" s="289"/>
    </row>
    <row r="32" spans="14:14">
      <c r="N32" s="289"/>
    </row>
    <row r="33" spans="14:14">
      <c r="N33" s="289"/>
    </row>
    <row r="34" spans="14:14">
      <c r="N34" s="289"/>
    </row>
    <row r="35" spans="14:14">
      <c r="N35" s="289"/>
    </row>
    <row r="36" spans="14:14">
      <c r="N36" s="289"/>
    </row>
    <row r="37" spans="14:14">
      <c r="N37" s="289"/>
    </row>
    <row r="38" spans="14:14">
      <c r="N38" s="289"/>
    </row>
    <row r="39" spans="14:14">
      <c r="N39" s="289"/>
    </row>
    <row r="40" spans="14:14">
      <c r="N40" s="289"/>
    </row>
    <row r="41" spans="14:14">
      <c r="N41" s="289"/>
    </row>
    <row r="42" spans="14:14">
      <c r="N42" s="289"/>
    </row>
    <row r="43" spans="14:14">
      <c r="N43" s="289"/>
    </row>
    <row r="44" spans="14:14">
      <c r="N44" s="289"/>
    </row>
    <row r="45" spans="14:14">
      <c r="N45" s="289"/>
    </row>
    <row r="46" spans="14:14">
      <c r="N46" s="289"/>
    </row>
    <row r="47" spans="14:14">
      <c r="N47" s="289"/>
    </row>
    <row r="48" spans="14:14">
      <c r="N48" s="289"/>
    </row>
    <row r="49" spans="14:14">
      <c r="N49" s="289"/>
    </row>
    <row r="50" spans="14:14">
      <c r="N50" s="289"/>
    </row>
    <row r="51" spans="14:14">
      <c r="N51" s="289"/>
    </row>
    <row r="52" spans="14:14">
      <c r="N52" s="289"/>
    </row>
    <row r="53" spans="14:14">
      <c r="N53" s="289"/>
    </row>
    <row r="54" spans="14:14">
      <c r="N54" s="289"/>
    </row>
    <row r="55" spans="14:14">
      <c r="N55" s="289"/>
    </row>
    <row r="56" spans="14:14">
      <c r="N56" s="289"/>
    </row>
    <row r="57" spans="14:14">
      <c r="N57" s="289"/>
    </row>
    <row r="58" spans="14:14">
      <c r="N58" s="289"/>
    </row>
    <row r="59" spans="14:14">
      <c r="N59" s="289"/>
    </row>
    <row r="60" spans="14:14">
      <c r="N60" s="289"/>
    </row>
    <row r="61" spans="14:14">
      <c r="N61" s="289"/>
    </row>
    <row r="62" spans="14:14">
      <c r="N62" s="289"/>
    </row>
    <row r="63" spans="14:14">
      <c r="N63" s="289"/>
    </row>
    <row r="64" spans="14:14">
      <c r="N64" s="289"/>
    </row>
    <row r="65" spans="14:14">
      <c r="N65" s="289"/>
    </row>
    <row r="66" spans="14:14">
      <c r="N66" s="289"/>
    </row>
    <row r="67" spans="14:14">
      <c r="N67" s="289"/>
    </row>
    <row r="68" spans="14:14">
      <c r="N68" s="289"/>
    </row>
    <row r="69" spans="14:14">
      <c r="N69" s="289"/>
    </row>
    <row r="70" spans="14:14">
      <c r="N70" s="289"/>
    </row>
    <row r="71" spans="14:14">
      <c r="N71" s="289"/>
    </row>
    <row r="72" spans="14:14">
      <c r="N72" s="289"/>
    </row>
    <row r="73" spans="14:14">
      <c r="N73" s="289"/>
    </row>
    <row r="74" spans="14:14">
      <c r="N74" s="289"/>
    </row>
    <row r="75" spans="14:14">
      <c r="N75" s="289"/>
    </row>
    <row r="76" spans="14:14">
      <c r="N76" s="289"/>
    </row>
    <row r="77" spans="14:14">
      <c r="N77" s="289"/>
    </row>
    <row r="78" spans="14:14">
      <c r="N78" s="289"/>
    </row>
    <row r="79" spans="14:14">
      <c r="N79" s="289"/>
    </row>
    <row r="80" spans="14:14">
      <c r="N80" s="289"/>
    </row>
    <row r="81" spans="14:14">
      <c r="N81" s="289"/>
    </row>
    <row r="82" spans="14:14">
      <c r="N82" s="289"/>
    </row>
    <row r="83" spans="14:14">
      <c r="N83" s="289"/>
    </row>
    <row r="84" spans="14:14">
      <c r="N84" s="289"/>
    </row>
    <row r="85" spans="14:14">
      <c r="N85" s="289"/>
    </row>
    <row r="86" spans="14:14">
      <c r="N86" s="289"/>
    </row>
    <row r="87" spans="14:14">
      <c r="N87" s="289"/>
    </row>
    <row r="88" spans="14:14">
      <c r="N88" s="289"/>
    </row>
    <row r="89" spans="14:14">
      <c r="N89" s="289"/>
    </row>
    <row r="90" spans="14:14">
      <c r="N90" s="289"/>
    </row>
    <row r="91" spans="14:14">
      <c r="N91" s="289"/>
    </row>
    <row r="92" spans="14:14">
      <c r="N92" s="289"/>
    </row>
    <row r="93" spans="14:14">
      <c r="N93" s="289"/>
    </row>
    <row r="94" spans="14:14">
      <c r="N94" s="289"/>
    </row>
    <row r="95" spans="14:14">
      <c r="N95" s="289"/>
    </row>
    <row r="96" spans="14:14">
      <c r="N96" s="289"/>
    </row>
    <row r="97" spans="14:14">
      <c r="N97" s="289"/>
    </row>
    <row r="98" spans="14:14">
      <c r="N98" s="289"/>
    </row>
    <row r="99" spans="14:14">
      <c r="N99" s="289"/>
    </row>
    <row r="100" spans="14:14">
      <c r="N100" s="289"/>
    </row>
    <row r="101" spans="14:14">
      <c r="N101" s="289"/>
    </row>
    <row r="102" spans="14:14">
      <c r="N102" s="289"/>
    </row>
    <row r="103" spans="14:14">
      <c r="N103" s="289"/>
    </row>
    <row r="104" spans="14:14">
      <c r="N104" s="289"/>
    </row>
    <row r="105" spans="14:14">
      <c r="N105" s="289"/>
    </row>
    <row r="106" spans="14:14">
      <c r="N106" s="289"/>
    </row>
    <row r="107" spans="14:14">
      <c r="N107" s="289"/>
    </row>
    <row r="108" spans="14:14">
      <c r="N108" s="289"/>
    </row>
    <row r="109" spans="14:14">
      <c r="N109" s="289"/>
    </row>
    <row r="110" spans="14:14">
      <c r="N110" s="289"/>
    </row>
    <row r="111" spans="14:14">
      <c r="N111" s="289"/>
    </row>
    <row r="112" spans="14:14">
      <c r="N112" s="289"/>
    </row>
    <row r="113" spans="14:14">
      <c r="N113" s="289"/>
    </row>
    <row r="114" spans="14:14">
      <c r="N114" s="289"/>
    </row>
    <row r="115" spans="14:14">
      <c r="N115" s="289"/>
    </row>
    <row r="116" spans="14:14">
      <c r="N116" s="289"/>
    </row>
    <row r="117" spans="14:14">
      <c r="N117" s="289"/>
    </row>
    <row r="118" spans="14:14">
      <c r="N118" s="289"/>
    </row>
    <row r="119" spans="14:14">
      <c r="N119" s="289"/>
    </row>
    <row r="120" spans="14:14">
      <c r="N120" s="289"/>
    </row>
    <row r="121" spans="14:14">
      <c r="N121" s="289"/>
    </row>
    <row r="122" spans="14:14">
      <c r="N122" s="289"/>
    </row>
    <row r="123" spans="14:14">
      <c r="N123" s="289"/>
    </row>
    <row r="124" spans="14:14">
      <c r="N124" s="289"/>
    </row>
    <row r="125" spans="14:14">
      <c r="N125" s="289"/>
    </row>
    <row r="126" spans="14:14">
      <c r="N126" s="289"/>
    </row>
    <row r="127" spans="14:14">
      <c r="N127" s="289"/>
    </row>
    <row r="128" spans="14:14">
      <c r="N128" s="289"/>
    </row>
    <row r="129" spans="14:14">
      <c r="N129" s="289"/>
    </row>
    <row r="130" spans="14:14">
      <c r="N130" s="289"/>
    </row>
    <row r="131" spans="14:14">
      <c r="N131" s="289"/>
    </row>
    <row r="132" spans="14:14">
      <c r="N132" s="289"/>
    </row>
    <row r="133" spans="14:14">
      <c r="N133" s="289"/>
    </row>
    <row r="134" spans="14:14">
      <c r="N134" s="289"/>
    </row>
    <row r="135" spans="14:14">
      <c r="N135" s="289"/>
    </row>
    <row r="136" spans="14:14">
      <c r="N136" s="289"/>
    </row>
    <row r="137" spans="14:14">
      <c r="N137" s="289"/>
    </row>
    <row r="138" spans="14:14">
      <c r="N138" s="289"/>
    </row>
    <row r="139" spans="14:14">
      <c r="N139" s="289"/>
    </row>
    <row r="140" spans="14:14">
      <c r="N140" s="289"/>
    </row>
    <row r="141" spans="14:14">
      <c r="N141" s="289"/>
    </row>
    <row r="142" spans="14:14">
      <c r="N142" s="289"/>
    </row>
    <row r="143" spans="14:14">
      <c r="N143" s="289"/>
    </row>
    <row r="144" spans="14:14">
      <c r="N144" s="289"/>
    </row>
    <row r="145" spans="14:14">
      <c r="N145" s="289"/>
    </row>
    <row r="146" spans="14:14">
      <c r="N146" s="289"/>
    </row>
    <row r="147" spans="14:14">
      <c r="N147" s="289"/>
    </row>
    <row r="148" spans="14:14">
      <c r="N148" s="289"/>
    </row>
    <row r="149" spans="14:14">
      <c r="N149" s="289"/>
    </row>
    <row r="150" spans="14:14">
      <c r="N150" s="289"/>
    </row>
    <row r="151" spans="14:14">
      <c r="N151" s="289"/>
    </row>
    <row r="152" spans="14:14">
      <c r="N152" s="289"/>
    </row>
    <row r="153" spans="14:14">
      <c r="N153" s="289"/>
    </row>
    <row r="154" spans="14:14">
      <c r="N154" s="289"/>
    </row>
    <row r="155" spans="14:14">
      <c r="N155" s="289"/>
    </row>
    <row r="156" spans="14:14">
      <c r="N156" s="289"/>
    </row>
    <row r="157" spans="14:14">
      <c r="N157" s="289"/>
    </row>
    <row r="158" spans="14:14">
      <c r="N158" s="289"/>
    </row>
    <row r="159" spans="14:14">
      <c r="N159" s="289"/>
    </row>
    <row r="160" spans="14:14">
      <c r="N160" s="289"/>
    </row>
    <row r="161" spans="14:14">
      <c r="N161" s="289"/>
    </row>
    <row r="162" spans="14:14">
      <c r="N162" s="289"/>
    </row>
    <row r="163" spans="14:14">
      <c r="N163" s="289"/>
    </row>
    <row r="164" spans="14:14">
      <c r="N164" s="289"/>
    </row>
    <row r="165" spans="14:14">
      <c r="N165" s="289"/>
    </row>
    <row r="166" spans="14:14">
      <c r="N166" s="289"/>
    </row>
    <row r="167" spans="14:14">
      <c r="N167" s="289"/>
    </row>
    <row r="168" spans="14:14">
      <c r="N168" s="289"/>
    </row>
    <row r="169" spans="14:14">
      <c r="N169" s="289"/>
    </row>
    <row r="170" spans="14:14">
      <c r="N170" s="289"/>
    </row>
    <row r="171" spans="14:14">
      <c r="N171" s="289"/>
    </row>
    <row r="172" spans="14:14">
      <c r="N172" s="289"/>
    </row>
    <row r="173" spans="14:14">
      <c r="N173" s="289"/>
    </row>
    <row r="174" spans="14:14">
      <c r="N174" s="289"/>
    </row>
    <row r="175" spans="14:14">
      <c r="N175" s="289"/>
    </row>
    <row r="176" spans="14:14">
      <c r="N176" s="289"/>
    </row>
    <row r="177" spans="14:14">
      <c r="N177" s="289"/>
    </row>
    <row r="178" spans="14:14">
      <c r="N178" s="289"/>
    </row>
    <row r="179" spans="14:14">
      <c r="N179" s="289"/>
    </row>
    <row r="180" spans="14:14">
      <c r="N180" s="289"/>
    </row>
    <row r="181" spans="14:14">
      <c r="N181" s="289"/>
    </row>
    <row r="182" spans="14:14">
      <c r="N182" s="289"/>
    </row>
    <row r="183" spans="14:14">
      <c r="N183" s="289"/>
    </row>
    <row r="184" spans="14:14">
      <c r="N184" s="289"/>
    </row>
    <row r="185" spans="14:14">
      <c r="N185" s="289"/>
    </row>
    <row r="186" spans="14:14">
      <c r="N186" s="289"/>
    </row>
    <row r="187" spans="14:14">
      <c r="N187" s="289"/>
    </row>
    <row r="188" spans="14:14">
      <c r="N188" s="289"/>
    </row>
    <row r="189" spans="14:14">
      <c r="N189" s="289"/>
    </row>
    <row r="190" spans="14:14">
      <c r="N190" s="289"/>
    </row>
    <row r="191" spans="14:14">
      <c r="N191" s="289"/>
    </row>
    <row r="192" spans="14:14">
      <c r="N192" s="289"/>
    </row>
    <row r="193" spans="14:14">
      <c r="N193" s="289"/>
    </row>
    <row r="194" spans="14:14">
      <c r="N194" s="289"/>
    </row>
    <row r="195" spans="14:14">
      <c r="N195" s="289"/>
    </row>
    <row r="196" spans="14:14">
      <c r="N196" s="289"/>
    </row>
    <row r="197" spans="14:14">
      <c r="N197" s="289"/>
    </row>
    <row r="198" spans="14:14">
      <c r="N198" s="289"/>
    </row>
    <row r="199" spans="14:14">
      <c r="N199" s="289"/>
    </row>
    <row r="200" spans="14:14">
      <c r="N200" s="289"/>
    </row>
    <row r="201" spans="14:14">
      <c r="N201" s="289"/>
    </row>
    <row r="202" spans="14:14">
      <c r="N202" s="289"/>
    </row>
    <row r="203" spans="14:14">
      <c r="N203" s="289"/>
    </row>
    <row r="204" spans="14:14">
      <c r="N204" s="289"/>
    </row>
    <row r="205" spans="14:14">
      <c r="N205" s="289"/>
    </row>
    <row r="206" spans="14:14">
      <c r="N206" s="289"/>
    </row>
    <row r="207" spans="14:14">
      <c r="N207" s="289"/>
    </row>
    <row r="208" spans="14:14">
      <c r="N208" s="289"/>
    </row>
    <row r="209" spans="14:14">
      <c r="N209" s="289"/>
    </row>
    <row r="210" spans="14:14">
      <c r="N210" s="289"/>
    </row>
    <row r="211" spans="14:14">
      <c r="N211" s="289"/>
    </row>
    <row r="212" spans="14:14">
      <c r="N212" s="289"/>
    </row>
    <row r="213" spans="14:14">
      <c r="N213" s="289"/>
    </row>
    <row r="214" spans="14:14">
      <c r="N214" s="289"/>
    </row>
    <row r="215" spans="14:14">
      <c r="N215" s="289"/>
    </row>
    <row r="216" spans="14:14">
      <c r="N216" s="289"/>
    </row>
    <row r="217" spans="14:14">
      <c r="N217" s="289"/>
    </row>
    <row r="218" spans="14:14">
      <c r="N218" s="289"/>
    </row>
    <row r="219" spans="14:14">
      <c r="N219" s="289"/>
    </row>
    <row r="220" spans="14:14">
      <c r="N220" s="289"/>
    </row>
    <row r="221" spans="14:14">
      <c r="N221" s="289"/>
    </row>
    <row r="222" spans="14:14">
      <c r="N222" s="289"/>
    </row>
    <row r="223" spans="14:14">
      <c r="N223" s="289"/>
    </row>
    <row r="224" spans="14:14">
      <c r="N224" s="289"/>
    </row>
    <row r="225" spans="14:14">
      <c r="N225" s="289"/>
    </row>
    <row r="226" spans="14:14">
      <c r="N226" s="289"/>
    </row>
    <row r="227" spans="14:14">
      <c r="N227" s="289"/>
    </row>
    <row r="228" spans="14:14">
      <c r="N228" s="289"/>
    </row>
    <row r="229" spans="14:14">
      <c r="N229" s="289"/>
    </row>
    <row r="230" spans="14:14">
      <c r="N230" s="289"/>
    </row>
    <row r="231" spans="14:14">
      <c r="N231" s="289"/>
    </row>
    <row r="232" spans="14:14">
      <c r="N232" s="289"/>
    </row>
    <row r="233" spans="14:14">
      <c r="N233" s="289"/>
    </row>
    <row r="234" spans="14:14">
      <c r="N234" s="289"/>
    </row>
    <row r="235" spans="14:14">
      <c r="N235" s="289"/>
    </row>
    <row r="236" spans="14:14">
      <c r="N236" s="289"/>
    </row>
    <row r="237" spans="14:14">
      <c r="N237" s="289"/>
    </row>
    <row r="238" spans="14:14">
      <c r="N238" s="289"/>
    </row>
    <row r="239" spans="14:14">
      <c r="N239" s="289"/>
    </row>
    <row r="240" spans="14:14">
      <c r="N240" s="289"/>
    </row>
    <row r="241" spans="14:14">
      <c r="N241" s="289"/>
    </row>
    <row r="242" spans="14:14">
      <c r="N242" s="289"/>
    </row>
    <row r="243" spans="14:14">
      <c r="N243" s="289"/>
    </row>
    <row r="244" spans="14:14">
      <c r="N244" s="289"/>
    </row>
    <row r="245" spans="14:14">
      <c r="N245" s="289"/>
    </row>
    <row r="246" spans="14:14">
      <c r="N246" s="289"/>
    </row>
    <row r="247" spans="14:14">
      <c r="N247" s="289"/>
    </row>
    <row r="248" spans="14:14">
      <c r="N248" s="289"/>
    </row>
    <row r="249" spans="14:14">
      <c r="N249" s="289"/>
    </row>
    <row r="250" spans="14:14">
      <c r="N250" s="289"/>
    </row>
    <row r="251" spans="14:14">
      <c r="N251" s="289"/>
    </row>
    <row r="252" spans="14:14">
      <c r="N252" s="289"/>
    </row>
    <row r="253" spans="14:14">
      <c r="N253" s="289"/>
    </row>
    <row r="254" spans="14:14">
      <c r="N254" s="289"/>
    </row>
    <row r="255" spans="14:14">
      <c r="N255" s="289"/>
    </row>
    <row r="256" spans="14:14">
      <c r="N256" s="289"/>
    </row>
    <row r="257" spans="14:14">
      <c r="N257" s="289"/>
    </row>
    <row r="258" spans="14:14">
      <c r="N258" s="289"/>
    </row>
    <row r="259" spans="14:14">
      <c r="N259" s="289"/>
    </row>
    <row r="260" spans="14:14">
      <c r="N260" s="289"/>
    </row>
    <row r="261" spans="14:14">
      <c r="N261" s="289"/>
    </row>
    <row r="262" spans="14:14">
      <c r="N262" s="289"/>
    </row>
    <row r="263" spans="14:14">
      <c r="N263" s="289"/>
    </row>
    <row r="264" spans="14:14">
      <c r="N264" s="289"/>
    </row>
    <row r="265" spans="14:14">
      <c r="N265" s="289"/>
    </row>
    <row r="266" spans="14:14">
      <c r="N266" s="289"/>
    </row>
    <row r="267" spans="14:14">
      <c r="N267" s="289"/>
    </row>
    <row r="268" spans="14:14">
      <c r="N268" s="289"/>
    </row>
    <row r="269" spans="14:14">
      <c r="N269" s="289"/>
    </row>
    <row r="270" spans="14:14">
      <c r="N270" s="289"/>
    </row>
    <row r="271" spans="14:14">
      <c r="N271" s="289"/>
    </row>
    <row r="272" spans="14:14">
      <c r="N272" s="289"/>
    </row>
    <row r="273" spans="14:14">
      <c r="N273" s="289"/>
    </row>
    <row r="274" spans="14:14">
      <c r="N274" s="289"/>
    </row>
    <row r="275" spans="14:14">
      <c r="N275" s="289"/>
    </row>
    <row r="276" spans="14:14">
      <c r="N276" s="289"/>
    </row>
    <row r="277" spans="14:14">
      <c r="N277" s="289"/>
    </row>
    <row r="278" spans="14:14">
      <c r="N278" s="289"/>
    </row>
    <row r="279" spans="14:14">
      <c r="N279" s="289"/>
    </row>
    <row r="280" spans="14:14">
      <c r="N280" s="289"/>
    </row>
    <row r="281" spans="14:14">
      <c r="N281" s="289"/>
    </row>
    <row r="282" spans="14:14">
      <c r="N282" s="289"/>
    </row>
    <row r="283" spans="14:14">
      <c r="N283" s="289"/>
    </row>
    <row r="284" spans="14:14">
      <c r="N284" s="289"/>
    </row>
    <row r="285" spans="14:14">
      <c r="N285" s="289"/>
    </row>
    <row r="286" spans="14:14">
      <c r="N286" s="289"/>
    </row>
    <row r="287" spans="14:14">
      <c r="N287" s="289"/>
    </row>
    <row r="288" spans="14:14">
      <c r="N288" s="289"/>
    </row>
    <row r="289" spans="14:14">
      <c r="N289" s="289"/>
    </row>
    <row r="290" spans="14:14">
      <c r="N290" s="289"/>
    </row>
    <row r="291" spans="14:14">
      <c r="N291" s="289"/>
    </row>
    <row r="292" spans="14:14">
      <c r="N292" s="289"/>
    </row>
    <row r="293" spans="14:14">
      <c r="N293" s="289"/>
    </row>
    <row r="294" spans="14:14">
      <c r="N294" s="289"/>
    </row>
    <row r="295" spans="14:14">
      <c r="N295" s="289"/>
    </row>
    <row r="296" spans="14:14">
      <c r="N296" s="289"/>
    </row>
    <row r="297" spans="14:14">
      <c r="N297" s="289"/>
    </row>
    <row r="298" spans="14:14">
      <c r="N298" s="289"/>
    </row>
    <row r="299" spans="14:14">
      <c r="N299" s="289"/>
    </row>
    <row r="300" spans="14:14">
      <c r="N300" s="289"/>
    </row>
    <row r="301" spans="14:14">
      <c r="N301" s="289"/>
    </row>
    <row r="302" spans="14:14">
      <c r="N302" s="289"/>
    </row>
    <row r="303" spans="14:14">
      <c r="N303" s="289"/>
    </row>
    <row r="304" spans="14:14">
      <c r="N304" s="289"/>
    </row>
    <row r="305" spans="14:14">
      <c r="N305" s="289"/>
    </row>
    <row r="306" spans="14:14">
      <c r="N306" s="289"/>
    </row>
    <row r="307" spans="14:14">
      <c r="N307" s="289"/>
    </row>
    <row r="308" spans="14:14">
      <c r="N308" s="289"/>
    </row>
    <row r="309" spans="14:14">
      <c r="N309" s="289"/>
    </row>
    <row r="310" spans="14:14">
      <c r="N310" s="289"/>
    </row>
    <row r="311" spans="14:14">
      <c r="N311" s="289"/>
    </row>
    <row r="312" spans="14:14">
      <c r="N312" s="289"/>
    </row>
    <row r="313" spans="14:14">
      <c r="N313" s="289"/>
    </row>
    <row r="314" spans="14:14">
      <c r="N314" s="289"/>
    </row>
    <row r="315" spans="14:14">
      <c r="N315" s="289"/>
    </row>
    <row r="316" spans="14:14">
      <c r="N316" s="289"/>
    </row>
    <row r="317" spans="14:14">
      <c r="N317" s="289"/>
    </row>
    <row r="318" spans="14:14">
      <c r="N318" s="289"/>
    </row>
    <row r="319" spans="14:14">
      <c r="N319" s="289"/>
    </row>
    <row r="320" spans="14:14">
      <c r="N320" s="289"/>
    </row>
    <row r="321" spans="14:14">
      <c r="N321" s="289"/>
    </row>
    <row r="322" spans="14:14">
      <c r="N322" s="289"/>
    </row>
    <row r="323" spans="14:14">
      <c r="N323" s="289"/>
    </row>
    <row r="324" spans="14:14">
      <c r="N324" s="289"/>
    </row>
    <row r="325" spans="14:14">
      <c r="N325" s="289"/>
    </row>
    <row r="326" spans="14:14">
      <c r="N326" s="289"/>
    </row>
    <row r="327" spans="14:14">
      <c r="N327" s="289"/>
    </row>
    <row r="328" spans="14:14">
      <c r="N328" s="289"/>
    </row>
    <row r="329" spans="14:14">
      <c r="N329" s="289"/>
    </row>
    <row r="330" spans="14:14">
      <c r="N330" s="289"/>
    </row>
    <row r="331" spans="14:14">
      <c r="N331" s="289"/>
    </row>
    <row r="332" spans="14:14">
      <c r="N332" s="289"/>
    </row>
    <row r="333" spans="14:14">
      <c r="N333" s="289"/>
    </row>
    <row r="334" spans="14:14">
      <c r="N334" s="289"/>
    </row>
    <row r="335" spans="14:14">
      <c r="N335" s="289"/>
    </row>
    <row r="336" spans="14:14">
      <c r="N336" s="289"/>
    </row>
    <row r="337" spans="14:14">
      <c r="N337" s="289"/>
    </row>
    <row r="338" spans="14:14">
      <c r="N338" s="289"/>
    </row>
    <row r="339" spans="14:14">
      <c r="N339" s="289"/>
    </row>
    <row r="340" spans="14:14">
      <c r="N340" s="289"/>
    </row>
    <row r="341" spans="14:14">
      <c r="N341" s="289"/>
    </row>
    <row r="342" spans="14:14">
      <c r="N342" s="289"/>
    </row>
    <row r="343" spans="14:14">
      <c r="N343" s="289"/>
    </row>
    <row r="344" spans="14:14">
      <c r="N344" s="289"/>
    </row>
    <row r="345" spans="14:14">
      <c r="N345" s="289"/>
    </row>
    <row r="346" spans="14:14">
      <c r="N346" s="289"/>
    </row>
    <row r="347" spans="14:14">
      <c r="N347" s="289"/>
    </row>
    <row r="348" spans="14:14">
      <c r="N348" s="289"/>
    </row>
    <row r="349" spans="14:14">
      <c r="N349" s="289"/>
    </row>
    <row r="350" spans="14:14">
      <c r="N350" s="289"/>
    </row>
    <row r="351" spans="14:14">
      <c r="N351" s="289"/>
    </row>
    <row r="352" spans="14:14">
      <c r="N352" s="289"/>
    </row>
    <row r="353" spans="14:14">
      <c r="N353" s="289"/>
    </row>
    <row r="354" spans="14:14">
      <c r="N354" s="289"/>
    </row>
    <row r="355" spans="14:14">
      <c r="N355" s="289"/>
    </row>
    <row r="356" spans="14:14">
      <c r="N356" s="289"/>
    </row>
    <row r="357" spans="14:14">
      <c r="N357" s="289"/>
    </row>
    <row r="358" spans="14:14">
      <c r="N358" s="289"/>
    </row>
    <row r="359" spans="14:14">
      <c r="N359" s="289"/>
    </row>
    <row r="360" spans="14:14">
      <c r="N360" s="289"/>
    </row>
    <row r="361" spans="14:14">
      <c r="N361" s="289"/>
    </row>
    <row r="362" spans="14:14">
      <c r="N362" s="289"/>
    </row>
    <row r="363" spans="14:14">
      <c r="N363" s="289"/>
    </row>
    <row r="364" spans="14:14">
      <c r="N364" s="289"/>
    </row>
    <row r="365" spans="14:14">
      <c r="N365" s="289"/>
    </row>
    <row r="366" spans="14:14">
      <c r="N366" s="289"/>
    </row>
    <row r="367" spans="14:14">
      <c r="N367" s="289"/>
    </row>
    <row r="368" spans="14:14">
      <c r="N368" s="289"/>
    </row>
    <row r="369" spans="14:14">
      <c r="N369" s="289"/>
    </row>
    <row r="370" spans="14:14">
      <c r="N370" s="289"/>
    </row>
    <row r="371" spans="14:14">
      <c r="N371" s="289"/>
    </row>
    <row r="372" spans="14:14">
      <c r="N372" s="289"/>
    </row>
    <row r="373" spans="14:14">
      <c r="N373" s="289"/>
    </row>
    <row r="374" spans="14:14">
      <c r="N374" s="289"/>
    </row>
    <row r="375" spans="14:14">
      <c r="N375" s="289"/>
    </row>
    <row r="376" spans="14:14">
      <c r="N376" s="289"/>
    </row>
    <row r="377" spans="14:14">
      <c r="N377" s="289"/>
    </row>
    <row r="378" spans="14:14">
      <c r="N378" s="289"/>
    </row>
    <row r="379" spans="14:14">
      <c r="N379" s="289"/>
    </row>
    <row r="380" spans="14:14">
      <c r="N380" s="289"/>
    </row>
    <row r="381" spans="14:14">
      <c r="N381" s="289"/>
    </row>
    <row r="382" spans="14:14">
      <c r="N382" s="289"/>
    </row>
    <row r="383" spans="14:14">
      <c r="N383" s="289"/>
    </row>
    <row r="384" spans="14:14">
      <c r="N384" s="289"/>
    </row>
    <row r="385" spans="14:14">
      <c r="N385" s="289"/>
    </row>
    <row r="386" spans="14:14">
      <c r="N386" s="289"/>
    </row>
    <row r="387" spans="14:14">
      <c r="N387" s="289"/>
    </row>
    <row r="388" spans="14:14">
      <c r="N388" s="289"/>
    </row>
    <row r="389" spans="14:14">
      <c r="N389" s="289"/>
    </row>
    <row r="390" spans="14:14">
      <c r="N390" s="289"/>
    </row>
    <row r="391" spans="14:14">
      <c r="N391" s="289"/>
    </row>
    <row r="392" spans="14:14">
      <c r="N392" s="289"/>
    </row>
    <row r="393" spans="14:14">
      <c r="N393" s="289"/>
    </row>
    <row r="394" spans="14:14">
      <c r="N394" s="289"/>
    </row>
    <row r="395" spans="14:14">
      <c r="N395" s="289"/>
    </row>
    <row r="396" spans="14:14">
      <c r="N396" s="289"/>
    </row>
    <row r="397" spans="14:14">
      <c r="N397" s="289"/>
    </row>
    <row r="398" spans="14:14">
      <c r="N398" s="289"/>
    </row>
    <row r="399" spans="14:14">
      <c r="N399" s="289"/>
    </row>
    <row r="400" spans="14:14">
      <c r="N400" s="289"/>
    </row>
    <row r="401" spans="14:14">
      <c r="N401" s="289"/>
    </row>
    <row r="402" spans="14:14">
      <c r="N402" s="289"/>
    </row>
    <row r="403" spans="14:14">
      <c r="N403" s="289"/>
    </row>
    <row r="404" spans="14:14">
      <c r="N404" s="289"/>
    </row>
    <row r="405" spans="14:14">
      <c r="N405" s="289"/>
    </row>
    <row r="406" spans="14:14">
      <c r="N406" s="289"/>
    </row>
    <row r="407" spans="14:14">
      <c r="N407" s="289"/>
    </row>
    <row r="408" spans="14:14">
      <c r="N408" s="289"/>
    </row>
    <row r="409" spans="14:14">
      <c r="N409" s="289"/>
    </row>
    <row r="410" spans="14:14">
      <c r="N410" s="289"/>
    </row>
    <row r="411" spans="14:14">
      <c r="N411" s="289"/>
    </row>
    <row r="412" spans="14:14">
      <c r="N412" s="289"/>
    </row>
    <row r="413" spans="14:14">
      <c r="N413" s="289"/>
    </row>
    <row r="414" spans="14:14">
      <c r="N414" s="289"/>
    </row>
    <row r="415" spans="14:14">
      <c r="N415" s="289"/>
    </row>
    <row r="416" spans="14:14">
      <c r="N416" s="289"/>
    </row>
    <row r="417" spans="14:14">
      <c r="N417" s="289"/>
    </row>
    <row r="418" spans="14:14">
      <c r="N418" s="289"/>
    </row>
    <row r="419" spans="14:14">
      <c r="N419" s="289"/>
    </row>
    <row r="420" spans="14:14">
      <c r="N420" s="289"/>
    </row>
    <row r="421" spans="14:14">
      <c r="N421" s="289"/>
    </row>
    <row r="422" spans="14:14">
      <c r="N422" s="289"/>
    </row>
    <row r="423" spans="14:14">
      <c r="N423" s="289"/>
    </row>
    <row r="424" spans="14:14">
      <c r="N424" s="289"/>
    </row>
    <row r="425" spans="14:14">
      <c r="N425" s="289"/>
    </row>
    <row r="426" spans="14:14">
      <c r="N426" s="289"/>
    </row>
    <row r="427" spans="14:14">
      <c r="N427" s="289"/>
    </row>
    <row r="428" spans="14:14">
      <c r="N428" s="289"/>
    </row>
    <row r="429" spans="14:14">
      <c r="N429" s="289"/>
    </row>
    <row r="430" spans="14:14">
      <c r="N430" s="289"/>
    </row>
    <row r="431" spans="14:14">
      <c r="N431" s="289"/>
    </row>
    <row r="432" spans="14:14">
      <c r="N432" s="289"/>
    </row>
    <row r="433" spans="14:14">
      <c r="N433" s="289"/>
    </row>
    <row r="434" spans="14:14">
      <c r="N434" s="289"/>
    </row>
    <row r="435" spans="14:14">
      <c r="N435" s="289"/>
    </row>
    <row r="436" spans="14:14">
      <c r="N436" s="289"/>
    </row>
    <row r="437" spans="14:14">
      <c r="N437" s="289"/>
    </row>
    <row r="438" spans="14:14">
      <c r="N438" s="289"/>
    </row>
    <row r="439" spans="14:14">
      <c r="N439" s="289"/>
    </row>
    <row r="440" spans="14:14">
      <c r="N440" s="289"/>
    </row>
    <row r="441" spans="14:14">
      <c r="N441" s="289"/>
    </row>
    <row r="442" spans="14:14">
      <c r="N442" s="289"/>
    </row>
    <row r="443" spans="14:14">
      <c r="N443" s="289"/>
    </row>
    <row r="444" spans="14:14">
      <c r="N444" s="289"/>
    </row>
    <row r="445" spans="14:14">
      <c r="N445" s="289"/>
    </row>
    <row r="446" spans="14:14">
      <c r="N446" s="289"/>
    </row>
    <row r="447" spans="14:14">
      <c r="N447" s="289"/>
    </row>
    <row r="448" spans="14:14">
      <c r="N448" s="289"/>
    </row>
    <row r="449" spans="14:14">
      <c r="N449" s="289"/>
    </row>
    <row r="450" spans="14:14">
      <c r="N450" s="289"/>
    </row>
    <row r="451" spans="14:14">
      <c r="N451" s="289"/>
    </row>
    <row r="452" spans="14:14">
      <c r="N452" s="289"/>
    </row>
    <row r="453" spans="14:14">
      <c r="N453" s="289"/>
    </row>
    <row r="454" spans="14:14">
      <c r="N454" s="289"/>
    </row>
    <row r="455" spans="14:14">
      <c r="N455" s="289"/>
    </row>
    <row r="456" spans="14:14">
      <c r="N456" s="289"/>
    </row>
    <row r="457" spans="14:14">
      <c r="N457" s="289"/>
    </row>
    <row r="458" spans="14:14">
      <c r="N458" s="289"/>
    </row>
    <row r="459" spans="14:14">
      <c r="N459" s="289"/>
    </row>
    <row r="460" spans="14:14">
      <c r="N460" s="289"/>
    </row>
    <row r="461" spans="14:14">
      <c r="N461" s="289"/>
    </row>
    <row r="462" spans="14:14">
      <c r="N462" s="289"/>
    </row>
    <row r="463" spans="14:14">
      <c r="N463" s="289"/>
    </row>
    <row r="464" spans="14:14">
      <c r="N464" s="289"/>
    </row>
    <row r="465" spans="14:14">
      <c r="N465" s="289"/>
    </row>
    <row r="466" spans="14:14">
      <c r="N466" s="289"/>
    </row>
    <row r="467" spans="14:14">
      <c r="N467" s="289"/>
    </row>
    <row r="468" spans="14:14">
      <c r="N468" s="289"/>
    </row>
    <row r="469" spans="14:14">
      <c r="N469" s="289"/>
    </row>
    <row r="470" spans="14:14">
      <c r="N470" s="289"/>
    </row>
    <row r="471" spans="14:14">
      <c r="N471" s="289"/>
    </row>
    <row r="472" spans="14:14">
      <c r="N472" s="289"/>
    </row>
    <row r="473" spans="14:14">
      <c r="N473" s="289"/>
    </row>
    <row r="474" spans="14:14">
      <c r="N474" s="289"/>
    </row>
    <row r="475" spans="14:14">
      <c r="N475" s="289"/>
    </row>
    <row r="476" spans="14:14">
      <c r="N476" s="289"/>
    </row>
    <row r="477" spans="14:14">
      <c r="N477" s="289"/>
    </row>
    <row r="478" spans="14:14">
      <c r="N478" s="289"/>
    </row>
    <row r="479" spans="14:14">
      <c r="N479" s="289"/>
    </row>
    <row r="480" spans="14:14">
      <c r="N480" s="289"/>
    </row>
    <row r="481" spans="14:14">
      <c r="N481" s="289"/>
    </row>
    <row r="482" spans="14:14">
      <c r="N482" s="289"/>
    </row>
    <row r="483" spans="14:14">
      <c r="N483" s="289"/>
    </row>
    <row r="484" spans="14:14">
      <c r="N484" s="289"/>
    </row>
    <row r="485" spans="14:14">
      <c r="N485" s="289"/>
    </row>
    <row r="486" spans="14:14">
      <c r="N486" s="289"/>
    </row>
    <row r="487" spans="14:14">
      <c r="N487" s="289"/>
    </row>
    <row r="488" spans="14:14">
      <c r="N488" s="289"/>
    </row>
    <row r="489" spans="14:14">
      <c r="N489" s="289"/>
    </row>
    <row r="490" spans="14:14">
      <c r="N490" s="289"/>
    </row>
    <row r="491" spans="14:14">
      <c r="N491" s="289"/>
    </row>
    <row r="492" spans="14:14">
      <c r="N492" s="289"/>
    </row>
    <row r="493" spans="14:14">
      <c r="N493" s="289"/>
    </row>
    <row r="494" spans="14:14">
      <c r="N494" s="289"/>
    </row>
    <row r="495" spans="14:14">
      <c r="N495" s="289"/>
    </row>
    <row r="496" spans="14:14">
      <c r="N496" s="289"/>
    </row>
    <row r="497" spans="14:14">
      <c r="N497" s="289"/>
    </row>
    <row r="498" spans="14:14">
      <c r="N498" s="289"/>
    </row>
    <row r="499" spans="14:14">
      <c r="N499" s="289"/>
    </row>
    <row r="500" spans="14:14">
      <c r="N500" s="289"/>
    </row>
    <row r="501" spans="14:14">
      <c r="N501" s="289"/>
    </row>
    <row r="502" spans="14:14">
      <c r="N502" s="289"/>
    </row>
    <row r="503" spans="14:14">
      <c r="N503" s="289"/>
    </row>
    <row r="504" spans="14:14">
      <c r="N504" s="289"/>
    </row>
    <row r="505" spans="14:14">
      <c r="N505" s="289"/>
    </row>
    <row r="506" spans="14:14">
      <c r="N506" s="289"/>
    </row>
    <row r="507" spans="14:14">
      <c r="N507" s="289"/>
    </row>
    <row r="508" spans="14:14">
      <c r="N508" s="289"/>
    </row>
    <row r="509" spans="14:14">
      <c r="N509" s="289"/>
    </row>
    <row r="510" spans="14:14">
      <c r="N510" s="289"/>
    </row>
    <row r="511" spans="14:14">
      <c r="N511" s="289"/>
    </row>
    <row r="512" spans="14:14">
      <c r="N512" s="289"/>
    </row>
    <row r="513" spans="14:14">
      <c r="N513" s="289"/>
    </row>
    <row r="514" spans="14:14">
      <c r="N514" s="289"/>
    </row>
    <row r="515" spans="14:14">
      <c r="N515" s="289"/>
    </row>
    <row r="516" spans="14:14">
      <c r="N516" s="289"/>
    </row>
    <row r="517" spans="14:14">
      <c r="N517" s="289"/>
    </row>
    <row r="518" spans="14:14">
      <c r="N518" s="289"/>
    </row>
    <row r="519" spans="14:14">
      <c r="N519" s="289"/>
    </row>
    <row r="520" spans="14:14">
      <c r="N520" s="289"/>
    </row>
    <row r="521" spans="14:14">
      <c r="N521" s="289"/>
    </row>
    <row r="522" spans="14:14">
      <c r="N522" s="289"/>
    </row>
    <row r="523" spans="14:14">
      <c r="N523" s="289"/>
    </row>
    <row r="524" spans="14:14">
      <c r="N524" s="289"/>
    </row>
    <row r="525" spans="14:14">
      <c r="N525" s="289"/>
    </row>
    <row r="526" spans="14:14">
      <c r="N526" s="289"/>
    </row>
    <row r="527" spans="14:14">
      <c r="N527" s="289"/>
    </row>
    <row r="528" spans="14:14">
      <c r="N528" s="289"/>
    </row>
    <row r="529" spans="14:14">
      <c r="N529" s="289"/>
    </row>
    <row r="530" spans="14:14">
      <c r="N530" s="289"/>
    </row>
    <row r="531" spans="14:14">
      <c r="N531" s="289"/>
    </row>
    <row r="532" spans="14:14">
      <c r="N532" s="289"/>
    </row>
    <row r="533" spans="14:14">
      <c r="N533" s="289"/>
    </row>
    <row r="534" spans="14:14">
      <c r="N534" s="289"/>
    </row>
    <row r="535" spans="14:14">
      <c r="N535" s="289"/>
    </row>
    <row r="536" spans="14:14">
      <c r="N536" s="289"/>
    </row>
    <row r="537" spans="14:14">
      <c r="N537" s="289"/>
    </row>
    <row r="538" spans="14:14">
      <c r="N538" s="289"/>
    </row>
    <row r="539" spans="14:14">
      <c r="N539" s="289"/>
    </row>
    <row r="540" spans="14:14">
      <c r="N540" s="289"/>
    </row>
    <row r="541" spans="14:14">
      <c r="N541" s="289"/>
    </row>
    <row r="542" spans="14:14">
      <c r="N542" s="289"/>
    </row>
    <row r="543" spans="14:14">
      <c r="N543" s="289"/>
    </row>
    <row r="544" spans="14:14">
      <c r="N544" s="289"/>
    </row>
    <row r="545" spans="14:14">
      <c r="N545" s="289"/>
    </row>
    <row r="546" spans="14:14">
      <c r="N546" s="289"/>
    </row>
    <row r="547" spans="14:14">
      <c r="N547" s="289"/>
    </row>
    <row r="548" spans="14:14">
      <c r="N548" s="289"/>
    </row>
    <row r="549" spans="14:14">
      <c r="N549" s="289"/>
    </row>
    <row r="550" spans="14:14">
      <c r="N550" s="289"/>
    </row>
    <row r="551" spans="14:14">
      <c r="N551" s="289"/>
    </row>
    <row r="552" spans="14:14">
      <c r="N552" s="289"/>
    </row>
    <row r="553" spans="14:14">
      <c r="N553" s="289"/>
    </row>
    <row r="554" spans="14:14">
      <c r="N554" s="289"/>
    </row>
    <row r="555" spans="14:14">
      <c r="N555" s="289"/>
    </row>
    <row r="556" spans="14:14">
      <c r="N556" s="289"/>
    </row>
    <row r="557" spans="14:14">
      <c r="N557" s="289"/>
    </row>
    <row r="558" spans="14:14">
      <c r="N558" s="289"/>
    </row>
    <row r="559" spans="14:14">
      <c r="N559" s="289"/>
    </row>
    <row r="560" spans="14:14">
      <c r="N560" s="289"/>
    </row>
    <row r="561" spans="14:14">
      <c r="N561" s="289"/>
    </row>
    <row r="562" spans="14:14">
      <c r="N562" s="289"/>
    </row>
    <row r="563" spans="14:14">
      <c r="N563" s="289"/>
    </row>
    <row r="564" spans="14:14">
      <c r="N564" s="289"/>
    </row>
    <row r="565" spans="14:14">
      <c r="N565" s="289"/>
    </row>
    <row r="566" spans="14:14">
      <c r="N566" s="289"/>
    </row>
    <row r="567" spans="14:14">
      <c r="N567" s="289"/>
    </row>
    <row r="568" spans="14:14">
      <c r="N568" s="289"/>
    </row>
    <row r="569" spans="14:14">
      <c r="N569" s="289"/>
    </row>
    <row r="570" spans="14:14">
      <c r="N570" s="289"/>
    </row>
    <row r="571" spans="14:14">
      <c r="N571" s="289"/>
    </row>
    <row r="572" spans="14:14">
      <c r="N572" s="289"/>
    </row>
    <row r="573" spans="14:14">
      <c r="N573" s="289"/>
    </row>
    <row r="574" spans="14:14">
      <c r="N574" s="289"/>
    </row>
    <row r="575" spans="14:14">
      <c r="N575" s="289"/>
    </row>
    <row r="576" spans="14:14">
      <c r="N576" s="289"/>
    </row>
    <row r="577" spans="14:14">
      <c r="N577" s="289"/>
    </row>
    <row r="578" spans="14:14">
      <c r="N578" s="289"/>
    </row>
    <row r="579" spans="14:14">
      <c r="N579" s="289"/>
    </row>
    <row r="580" spans="14:14">
      <c r="N580" s="289"/>
    </row>
    <row r="581" spans="14:14">
      <c r="N581" s="289"/>
    </row>
    <row r="582" spans="14:14">
      <c r="N582" s="289"/>
    </row>
    <row r="583" spans="14:14">
      <c r="N583" s="289"/>
    </row>
    <row r="584" spans="14:14">
      <c r="N584" s="289"/>
    </row>
    <row r="585" spans="14:14">
      <c r="N585" s="289"/>
    </row>
    <row r="586" spans="14:14">
      <c r="N586" s="289"/>
    </row>
    <row r="587" spans="14:14">
      <c r="N587" s="289"/>
    </row>
    <row r="588" spans="14:14">
      <c r="N588" s="289"/>
    </row>
    <row r="589" spans="14:14">
      <c r="N589" s="289"/>
    </row>
    <row r="590" spans="14:14">
      <c r="N590" s="289"/>
    </row>
    <row r="591" spans="14:14">
      <c r="N591" s="289"/>
    </row>
    <row r="592" spans="14:14">
      <c r="N592" s="289"/>
    </row>
    <row r="593" spans="14:14">
      <c r="N593" s="289"/>
    </row>
    <row r="594" spans="14:14">
      <c r="N594" s="289"/>
    </row>
    <row r="595" spans="14:14">
      <c r="N595" s="289"/>
    </row>
    <row r="596" spans="14:14">
      <c r="N596" s="289"/>
    </row>
    <row r="597" spans="14:14">
      <c r="N597" s="289"/>
    </row>
    <row r="598" spans="14:14">
      <c r="N598" s="289"/>
    </row>
    <row r="599" spans="14:14">
      <c r="N599" s="289"/>
    </row>
    <row r="600" spans="14:14">
      <c r="N600" s="289"/>
    </row>
    <row r="601" spans="14:14">
      <c r="N601" s="289"/>
    </row>
    <row r="602" spans="14:14">
      <c r="N602" s="289"/>
    </row>
    <row r="603" spans="14:14">
      <c r="N603" s="289"/>
    </row>
    <row r="604" spans="14:14">
      <c r="N604" s="289"/>
    </row>
    <row r="605" spans="14:14">
      <c r="N605" s="289"/>
    </row>
    <row r="606" spans="14:14">
      <c r="N606" s="289"/>
    </row>
    <row r="607" spans="14:14">
      <c r="N607" s="289"/>
    </row>
    <row r="608" spans="14:14">
      <c r="N608" s="289"/>
    </row>
    <row r="609" spans="14:14">
      <c r="N609" s="289"/>
    </row>
    <row r="610" spans="14:14">
      <c r="N610" s="289"/>
    </row>
    <row r="611" spans="14:14">
      <c r="N611" s="289"/>
    </row>
    <row r="612" spans="14:14">
      <c r="N612" s="289"/>
    </row>
    <row r="613" spans="14:14">
      <c r="N613" s="289"/>
    </row>
    <row r="614" spans="14:14">
      <c r="N614" s="289"/>
    </row>
    <row r="615" spans="14:14">
      <c r="N615" s="289"/>
    </row>
    <row r="616" spans="14:14">
      <c r="N616" s="289"/>
    </row>
    <row r="617" spans="14:14">
      <c r="N617" s="289"/>
    </row>
    <row r="618" spans="14:14">
      <c r="N618" s="289"/>
    </row>
    <row r="619" spans="14:14">
      <c r="N619" s="289"/>
    </row>
    <row r="620" spans="14:14">
      <c r="N620" s="289"/>
    </row>
    <row r="621" spans="14:14">
      <c r="N621" s="289"/>
    </row>
    <row r="622" spans="14:14">
      <c r="N622" s="289"/>
    </row>
    <row r="623" spans="14:14">
      <c r="N623" s="289"/>
    </row>
    <row r="624" spans="14:14">
      <c r="N624" s="289"/>
    </row>
    <row r="625" spans="14:14">
      <c r="N625" s="289"/>
    </row>
    <row r="626" spans="14:14">
      <c r="N626" s="289"/>
    </row>
    <row r="627" spans="14:14">
      <c r="N627" s="289"/>
    </row>
    <row r="628" spans="14:14">
      <c r="N628" s="289"/>
    </row>
    <row r="629" spans="14:14">
      <c r="N629" s="289"/>
    </row>
    <row r="630" spans="14:14">
      <c r="N630" s="289"/>
    </row>
    <row r="631" spans="14:14">
      <c r="N631" s="289"/>
    </row>
    <row r="632" spans="14:14">
      <c r="N632" s="289"/>
    </row>
    <row r="633" spans="14:14">
      <c r="N633" s="289"/>
    </row>
    <row r="634" spans="14:14">
      <c r="N634" s="289"/>
    </row>
    <row r="635" spans="14:14">
      <c r="N635" s="289"/>
    </row>
    <row r="636" spans="14:14">
      <c r="N636" s="289"/>
    </row>
    <row r="637" spans="14:14">
      <c r="N637" s="289"/>
    </row>
    <row r="638" spans="14:14">
      <c r="N638" s="289"/>
    </row>
    <row r="639" spans="14:14">
      <c r="N639" s="289"/>
    </row>
    <row r="640" spans="14:14">
      <c r="N640" s="289"/>
    </row>
    <row r="641" spans="14:14">
      <c r="N641" s="289"/>
    </row>
    <row r="642" spans="14:14">
      <c r="N642" s="289"/>
    </row>
    <row r="643" spans="14:14">
      <c r="N643" s="289"/>
    </row>
    <row r="644" spans="14:14">
      <c r="N644" s="289"/>
    </row>
    <row r="645" spans="14:14">
      <c r="N645" s="289"/>
    </row>
    <row r="646" spans="14:14">
      <c r="N646" s="289"/>
    </row>
    <row r="647" spans="14:14">
      <c r="N647" s="289"/>
    </row>
    <row r="648" spans="14:14">
      <c r="N648" s="289"/>
    </row>
    <row r="649" spans="14:14">
      <c r="N649" s="289"/>
    </row>
    <row r="650" spans="14:14">
      <c r="N650" s="289"/>
    </row>
    <row r="651" spans="14:14">
      <c r="N651" s="289"/>
    </row>
    <row r="652" spans="14:14">
      <c r="N652" s="289"/>
    </row>
    <row r="653" spans="14:14">
      <c r="N653" s="289"/>
    </row>
    <row r="654" spans="14:14">
      <c r="N654" s="289"/>
    </row>
    <row r="655" spans="14:14">
      <c r="N655" s="289"/>
    </row>
    <row r="656" spans="14:14">
      <c r="N656" s="289"/>
    </row>
    <row r="657" spans="14:14">
      <c r="N657" s="289"/>
    </row>
    <row r="658" spans="14:14">
      <c r="N658" s="289"/>
    </row>
    <row r="659" spans="14:14">
      <c r="N659" s="289"/>
    </row>
    <row r="660" spans="14:14">
      <c r="N660" s="289"/>
    </row>
    <row r="661" spans="14:14">
      <c r="N661" s="289"/>
    </row>
    <row r="662" spans="14:14">
      <c r="N662" s="289"/>
    </row>
    <row r="663" spans="14:14">
      <c r="N663" s="289"/>
    </row>
    <row r="664" spans="14:14">
      <c r="N664" s="289"/>
    </row>
    <row r="665" spans="14:14">
      <c r="N665" s="289"/>
    </row>
    <row r="666" spans="14:14">
      <c r="N666" s="289"/>
    </row>
    <row r="667" spans="14:14">
      <c r="N667" s="289"/>
    </row>
    <row r="668" spans="14:14">
      <c r="N668" s="289"/>
    </row>
    <row r="669" spans="14:14">
      <c r="N669" s="289"/>
    </row>
    <row r="670" spans="14:14">
      <c r="N670" s="289"/>
    </row>
    <row r="671" spans="14:14">
      <c r="N671" s="289"/>
    </row>
    <row r="672" spans="14:14">
      <c r="N672" s="289"/>
    </row>
    <row r="673" spans="14:14">
      <c r="N673" s="289"/>
    </row>
    <row r="674" spans="14:14">
      <c r="N674" s="289"/>
    </row>
    <row r="675" spans="14:14">
      <c r="N675" s="289"/>
    </row>
    <row r="676" spans="14:14">
      <c r="N676" s="289"/>
    </row>
    <row r="677" spans="14:14">
      <c r="N677" s="289"/>
    </row>
    <row r="678" spans="14:14">
      <c r="N678" s="289"/>
    </row>
    <row r="679" spans="14:14">
      <c r="N679" s="289"/>
    </row>
    <row r="680" spans="14:14">
      <c r="N680" s="289"/>
    </row>
    <row r="681" spans="14:14">
      <c r="N681" s="289"/>
    </row>
    <row r="682" spans="14:14">
      <c r="N682" s="289"/>
    </row>
    <row r="683" spans="14:14">
      <c r="N683" s="289"/>
    </row>
    <row r="684" spans="14:14">
      <c r="N684" s="289"/>
    </row>
    <row r="685" spans="14:14">
      <c r="N685" s="289"/>
    </row>
    <row r="686" spans="14:14">
      <c r="N686" s="289"/>
    </row>
    <row r="687" spans="14:14">
      <c r="N687" s="289"/>
    </row>
    <row r="688" spans="14:14">
      <c r="N688" s="289"/>
    </row>
    <row r="689" spans="14:14">
      <c r="N689" s="289"/>
    </row>
    <row r="690" spans="14:14">
      <c r="N690" s="289"/>
    </row>
    <row r="691" spans="14:14">
      <c r="N691" s="289"/>
    </row>
    <row r="692" spans="14:14">
      <c r="N692" s="289"/>
    </row>
    <row r="693" spans="14:14">
      <c r="N693" s="289"/>
    </row>
    <row r="694" spans="14:14">
      <c r="N694" s="289"/>
    </row>
    <row r="695" spans="14:14">
      <c r="N695" s="289"/>
    </row>
    <row r="696" spans="14:14">
      <c r="N696" s="289"/>
    </row>
    <row r="697" spans="14:14">
      <c r="N697" s="289"/>
    </row>
    <row r="698" spans="14:14">
      <c r="N698" s="289"/>
    </row>
    <row r="699" spans="14:14">
      <c r="N699" s="289"/>
    </row>
    <row r="700" spans="14:14">
      <c r="N700" s="289"/>
    </row>
    <row r="701" spans="14:14">
      <c r="N701" s="289"/>
    </row>
    <row r="702" spans="14:14">
      <c r="N702" s="289"/>
    </row>
    <row r="703" spans="14:14">
      <c r="N703" s="289"/>
    </row>
    <row r="704" spans="14:14">
      <c r="N704" s="289"/>
    </row>
    <row r="705" spans="14:14">
      <c r="N705" s="289"/>
    </row>
    <row r="706" spans="14:14">
      <c r="N706" s="289"/>
    </row>
    <row r="707" spans="14:14">
      <c r="N707" s="289"/>
    </row>
    <row r="708" spans="14:14">
      <c r="N708" s="289"/>
    </row>
    <row r="709" spans="14:14">
      <c r="N709" s="289"/>
    </row>
    <row r="710" spans="14:14">
      <c r="N710" s="289"/>
    </row>
    <row r="711" spans="14:14">
      <c r="N711" s="289"/>
    </row>
    <row r="712" spans="14:14">
      <c r="N712" s="289"/>
    </row>
    <row r="713" spans="14:14">
      <c r="N713" s="289"/>
    </row>
    <row r="714" spans="14:14">
      <c r="N714" s="289"/>
    </row>
    <row r="715" spans="14:14">
      <c r="N715" s="289"/>
    </row>
    <row r="716" spans="14:14">
      <c r="N716" s="289"/>
    </row>
    <row r="717" spans="14:14">
      <c r="N717" s="289"/>
    </row>
    <row r="718" spans="14:14">
      <c r="N718" s="289"/>
    </row>
    <row r="719" spans="14:14">
      <c r="N719" s="289"/>
    </row>
    <row r="720" spans="14:14">
      <c r="N720" s="289"/>
    </row>
    <row r="721" spans="14:14">
      <c r="N721" s="289"/>
    </row>
    <row r="722" spans="14:14">
      <c r="N722" s="289"/>
    </row>
    <row r="723" spans="14:14">
      <c r="N723" s="289"/>
    </row>
    <row r="724" spans="14:14">
      <c r="N724" s="289"/>
    </row>
    <row r="725" spans="14:14">
      <c r="N725" s="289"/>
    </row>
    <row r="726" spans="14:14">
      <c r="N726" s="289"/>
    </row>
    <row r="727" spans="14:14">
      <c r="N727" s="289"/>
    </row>
    <row r="728" spans="14:14">
      <c r="N728" s="289"/>
    </row>
    <row r="729" spans="14:14">
      <c r="N729" s="289"/>
    </row>
    <row r="730" spans="14:14">
      <c r="N730" s="289"/>
    </row>
    <row r="731" spans="14:14">
      <c r="N731" s="289"/>
    </row>
    <row r="732" spans="14:14">
      <c r="N732" s="289"/>
    </row>
    <row r="733" spans="14:14">
      <c r="N733" s="289"/>
    </row>
    <row r="734" spans="14:14">
      <c r="N734" s="289"/>
    </row>
    <row r="735" spans="14:14">
      <c r="N735" s="289"/>
    </row>
    <row r="736" spans="14:14">
      <c r="N736" s="289"/>
    </row>
    <row r="737" spans="14:14">
      <c r="N737" s="289"/>
    </row>
    <row r="738" spans="14:14">
      <c r="N738" s="289"/>
    </row>
    <row r="739" spans="14:14">
      <c r="N739" s="289"/>
    </row>
    <row r="740" spans="14:14">
      <c r="N740" s="289"/>
    </row>
    <row r="741" spans="14:14">
      <c r="N741" s="289"/>
    </row>
    <row r="742" spans="14:14">
      <c r="N742" s="289"/>
    </row>
    <row r="743" spans="14:14">
      <c r="N743" s="289"/>
    </row>
    <row r="744" spans="14:14">
      <c r="N744" s="289"/>
    </row>
    <row r="745" spans="14:14">
      <c r="N745" s="289"/>
    </row>
    <row r="746" spans="14:14">
      <c r="N746" s="289"/>
    </row>
    <row r="747" spans="14:14">
      <c r="N747" s="289"/>
    </row>
    <row r="748" spans="14:14">
      <c r="N748" s="289"/>
    </row>
    <row r="749" spans="14:14">
      <c r="N749" s="289"/>
    </row>
    <row r="750" spans="14:14">
      <c r="N750" s="289"/>
    </row>
    <row r="751" spans="14:14">
      <c r="N751" s="289"/>
    </row>
    <row r="752" spans="14:14">
      <c r="N752" s="289"/>
    </row>
    <row r="753" spans="14:14">
      <c r="N753" s="289"/>
    </row>
    <row r="754" spans="14:14">
      <c r="N754" s="289"/>
    </row>
    <row r="755" spans="14:14">
      <c r="N755" s="289"/>
    </row>
    <row r="756" spans="14:14">
      <c r="N756" s="289"/>
    </row>
    <row r="757" spans="14:14">
      <c r="N757" s="289"/>
    </row>
    <row r="758" spans="14:14">
      <c r="N758" s="289"/>
    </row>
    <row r="759" spans="14:14">
      <c r="N759" s="289"/>
    </row>
    <row r="760" spans="14:14">
      <c r="N760" s="289"/>
    </row>
    <row r="761" spans="14:14">
      <c r="N761" s="289"/>
    </row>
    <row r="762" spans="14:14">
      <c r="N762" s="289"/>
    </row>
    <row r="763" spans="14:14">
      <c r="N763" s="289"/>
    </row>
    <row r="764" spans="14:14">
      <c r="N764" s="289"/>
    </row>
    <row r="765" spans="14:14">
      <c r="N765" s="289"/>
    </row>
    <row r="766" spans="14:14">
      <c r="N766" s="289"/>
    </row>
    <row r="767" spans="14:14">
      <c r="N767" s="289"/>
    </row>
    <row r="768" spans="14:14">
      <c r="N768" s="289"/>
    </row>
    <row r="769" spans="14:14">
      <c r="N769" s="289"/>
    </row>
    <row r="770" spans="14:14">
      <c r="N770" s="289"/>
    </row>
    <row r="771" spans="14:14">
      <c r="N771" s="289"/>
    </row>
    <row r="772" spans="14:14">
      <c r="N772" s="289"/>
    </row>
    <row r="773" spans="14:14">
      <c r="N773" s="289"/>
    </row>
    <row r="774" spans="14:14">
      <c r="N774" s="289"/>
    </row>
    <row r="775" spans="14:14">
      <c r="N775" s="289"/>
    </row>
    <row r="776" spans="14:14">
      <c r="N776" s="289"/>
    </row>
    <row r="777" spans="14:14">
      <c r="N777" s="289"/>
    </row>
    <row r="778" spans="14:14">
      <c r="N778" s="289"/>
    </row>
    <row r="779" spans="14:14">
      <c r="N779" s="289"/>
    </row>
    <row r="780" spans="14:14">
      <c r="N780" s="289"/>
    </row>
    <row r="781" spans="14:14">
      <c r="N781" s="289"/>
    </row>
    <row r="782" spans="14:14">
      <c r="N782" s="289"/>
    </row>
    <row r="783" spans="14:14">
      <c r="N783" s="289"/>
    </row>
    <row r="784" spans="14:14">
      <c r="N784" s="289"/>
    </row>
    <row r="785" spans="14:14">
      <c r="N785" s="289"/>
    </row>
    <row r="786" spans="14:14">
      <c r="N786" s="289"/>
    </row>
    <row r="787" spans="14:14">
      <c r="N787" s="289"/>
    </row>
    <row r="788" spans="14:14">
      <c r="N788" s="289"/>
    </row>
    <row r="789" spans="14:14">
      <c r="N789" s="289"/>
    </row>
    <row r="790" spans="14:14">
      <c r="N790" s="289"/>
    </row>
    <row r="791" spans="14:14">
      <c r="N791" s="289"/>
    </row>
    <row r="792" spans="14:14">
      <c r="N792" s="289"/>
    </row>
    <row r="793" spans="14:14">
      <c r="N793" s="289"/>
    </row>
    <row r="794" spans="14:14">
      <c r="N794" s="289"/>
    </row>
    <row r="795" spans="14:14">
      <c r="N795" s="289"/>
    </row>
    <row r="796" spans="14:14">
      <c r="N796" s="289"/>
    </row>
    <row r="797" spans="14:14">
      <c r="N797" s="289"/>
    </row>
    <row r="798" spans="14:14">
      <c r="N798" s="289"/>
    </row>
    <row r="799" spans="14:14">
      <c r="N799" s="289"/>
    </row>
    <row r="800" spans="14:14">
      <c r="N800" s="289"/>
    </row>
    <row r="801" spans="14:14">
      <c r="N801" s="289"/>
    </row>
    <row r="802" spans="14:14">
      <c r="N802" s="289"/>
    </row>
    <row r="803" spans="14:14">
      <c r="N803" s="289"/>
    </row>
    <row r="804" spans="14:14">
      <c r="N804" s="289"/>
    </row>
    <row r="805" spans="14:14">
      <c r="N805" s="289"/>
    </row>
    <row r="806" spans="14:14">
      <c r="N806" s="289"/>
    </row>
    <row r="807" spans="14:14">
      <c r="N807" s="289"/>
    </row>
    <row r="808" spans="14:14">
      <c r="N808" s="289"/>
    </row>
    <row r="809" spans="14:14">
      <c r="N809" s="289"/>
    </row>
    <row r="810" spans="14:14">
      <c r="N810" s="289"/>
    </row>
    <row r="811" spans="14:14">
      <c r="N811" s="289"/>
    </row>
    <row r="812" spans="14:14">
      <c r="N812" s="289"/>
    </row>
    <row r="813" spans="14:14">
      <c r="N813" s="289"/>
    </row>
    <row r="814" spans="14:14">
      <c r="N814" s="289"/>
    </row>
    <row r="815" spans="14:14">
      <c r="N815" s="289"/>
    </row>
    <row r="816" spans="14:14">
      <c r="N816" s="289"/>
    </row>
    <row r="817" spans="14:14">
      <c r="N817" s="289"/>
    </row>
    <row r="818" spans="14:14">
      <c r="N818" s="289"/>
    </row>
    <row r="819" spans="14:14">
      <c r="N819" s="289"/>
    </row>
    <row r="820" spans="14:14">
      <c r="N820" s="289"/>
    </row>
    <row r="821" spans="14:14">
      <c r="N821" s="289"/>
    </row>
    <row r="822" spans="14:14">
      <c r="N822" s="289"/>
    </row>
    <row r="823" spans="14:14">
      <c r="N823" s="289"/>
    </row>
    <row r="824" spans="14:14">
      <c r="N824" s="289"/>
    </row>
    <row r="825" spans="14:14">
      <c r="N825" s="289"/>
    </row>
    <row r="826" spans="14:14">
      <c r="N826" s="289"/>
    </row>
    <row r="827" spans="14:14">
      <c r="N827" s="289"/>
    </row>
    <row r="828" spans="14:14">
      <c r="N828" s="289"/>
    </row>
    <row r="829" spans="14:14">
      <c r="N829" s="289"/>
    </row>
    <row r="830" spans="14:14">
      <c r="N830" s="289"/>
    </row>
    <row r="831" spans="14:14">
      <c r="N831" s="289"/>
    </row>
    <row r="832" spans="14:14">
      <c r="N832" s="289"/>
    </row>
    <row r="833" spans="14:14">
      <c r="N833" s="289"/>
    </row>
    <row r="834" spans="14:14">
      <c r="N834" s="289"/>
    </row>
    <row r="835" spans="14:14">
      <c r="N835" s="289"/>
    </row>
    <row r="836" spans="14:14">
      <c r="N836" s="289"/>
    </row>
    <row r="837" spans="14:14">
      <c r="N837" s="289"/>
    </row>
    <row r="838" spans="14:14">
      <c r="N838" s="289"/>
    </row>
    <row r="839" spans="14:14">
      <c r="N839" s="289"/>
    </row>
    <row r="840" spans="14:14">
      <c r="N840" s="289"/>
    </row>
    <row r="841" spans="14:14">
      <c r="N841" s="289"/>
    </row>
    <row r="842" spans="14:14">
      <c r="N842" s="289"/>
    </row>
    <row r="843" spans="14:14">
      <c r="N843" s="289"/>
    </row>
    <row r="844" spans="14:14">
      <c r="N844" s="289"/>
    </row>
    <row r="845" spans="14:14">
      <c r="N845" s="289"/>
    </row>
    <row r="846" spans="14:14">
      <c r="N846" s="289"/>
    </row>
    <row r="847" spans="14:14">
      <c r="N847" s="289"/>
    </row>
    <row r="848" spans="14:14">
      <c r="N848" s="289"/>
    </row>
    <row r="849" spans="14:14">
      <c r="N849" s="289"/>
    </row>
    <row r="850" spans="14:14">
      <c r="N850" s="289"/>
    </row>
    <row r="851" spans="14:14">
      <c r="N851" s="289"/>
    </row>
    <row r="852" spans="14:14">
      <c r="N852" s="289"/>
    </row>
    <row r="853" spans="14:14">
      <c r="N853" s="289"/>
    </row>
    <row r="854" spans="14:14">
      <c r="N854" s="289"/>
    </row>
    <row r="855" spans="14:14">
      <c r="N855" s="289"/>
    </row>
    <row r="856" spans="14:14">
      <c r="N856" s="289"/>
    </row>
    <row r="857" spans="14:14">
      <c r="N857" s="289"/>
    </row>
    <row r="858" spans="14:14">
      <c r="N858" s="289"/>
    </row>
    <row r="859" spans="14:14">
      <c r="N859" s="289"/>
    </row>
    <row r="860" spans="14:14">
      <c r="N860" s="289"/>
    </row>
    <row r="861" spans="14:14">
      <c r="N861" s="289"/>
    </row>
    <row r="862" spans="14:14">
      <c r="N862" s="289"/>
    </row>
    <row r="863" spans="14:14">
      <c r="N863" s="289"/>
    </row>
    <row r="864" spans="14:14">
      <c r="N864" s="289"/>
    </row>
    <row r="865" spans="14:14">
      <c r="N865" s="289"/>
    </row>
    <row r="866" spans="14:14">
      <c r="N866" s="289"/>
    </row>
    <row r="867" spans="14:14">
      <c r="N867" s="289"/>
    </row>
    <row r="868" spans="14:14">
      <c r="N868" s="289"/>
    </row>
    <row r="869" spans="14:14">
      <c r="N869" s="289"/>
    </row>
    <row r="870" spans="14:14">
      <c r="N870" s="289"/>
    </row>
    <row r="871" spans="14:14">
      <c r="N871" s="289"/>
    </row>
    <row r="872" spans="14:14">
      <c r="N872" s="289"/>
    </row>
    <row r="873" spans="14:14">
      <c r="N873" s="289"/>
    </row>
    <row r="874" spans="14:14">
      <c r="N874" s="289"/>
    </row>
    <row r="875" spans="14:14">
      <c r="N875" s="289"/>
    </row>
    <row r="876" spans="14:14">
      <c r="N876" s="289"/>
    </row>
    <row r="877" spans="14:14">
      <c r="N877" s="289"/>
    </row>
    <row r="878" spans="14:14">
      <c r="N878" s="289"/>
    </row>
    <row r="879" spans="14:14">
      <c r="N879" s="289"/>
    </row>
    <row r="880" spans="14:14">
      <c r="N880" s="289"/>
    </row>
    <row r="881" spans="14:14">
      <c r="N881" s="289"/>
    </row>
    <row r="882" spans="14:14">
      <c r="N882" s="289"/>
    </row>
    <row r="883" spans="14:14">
      <c r="N883" s="289"/>
    </row>
    <row r="884" spans="14:14">
      <c r="N884" s="289"/>
    </row>
    <row r="885" spans="14:14">
      <c r="N885" s="289"/>
    </row>
    <row r="886" spans="14:14">
      <c r="N886" s="289"/>
    </row>
    <row r="887" spans="14:14">
      <c r="N887" s="289"/>
    </row>
    <row r="888" spans="14:14">
      <c r="N888" s="289"/>
    </row>
    <row r="889" spans="14:14">
      <c r="N889" s="289"/>
    </row>
    <row r="890" spans="14:14">
      <c r="N890" s="289"/>
    </row>
    <row r="891" spans="14:14">
      <c r="N891" s="289"/>
    </row>
    <row r="892" spans="14:14">
      <c r="N892" s="289"/>
    </row>
    <row r="893" spans="14:14">
      <c r="N893" s="289"/>
    </row>
    <row r="894" spans="14:14">
      <c r="N894" s="289"/>
    </row>
    <row r="895" spans="14:14">
      <c r="N895" s="289"/>
    </row>
    <row r="896" spans="14:14">
      <c r="N896" s="289"/>
    </row>
    <row r="897" spans="14:14">
      <c r="N897" s="289"/>
    </row>
    <row r="898" spans="14:14">
      <c r="N898" s="289"/>
    </row>
    <row r="899" spans="14:14">
      <c r="N899" s="289"/>
    </row>
    <row r="900" spans="14:14">
      <c r="N900" s="289"/>
    </row>
    <row r="901" spans="14:14">
      <c r="N901" s="289"/>
    </row>
    <row r="902" spans="14:14">
      <c r="N902" s="289"/>
    </row>
    <row r="903" spans="14:14">
      <c r="N903" s="289"/>
    </row>
    <row r="904" spans="14:14">
      <c r="N904" s="289"/>
    </row>
    <row r="905" spans="14:14">
      <c r="N905" s="289"/>
    </row>
    <row r="906" spans="14:14">
      <c r="N906" s="289"/>
    </row>
    <row r="907" spans="14:14">
      <c r="N907" s="289"/>
    </row>
    <row r="908" spans="14:14">
      <c r="N908" s="289"/>
    </row>
    <row r="909" spans="14:14">
      <c r="N909" s="289"/>
    </row>
    <row r="910" spans="14:14">
      <c r="N910" s="289"/>
    </row>
    <row r="911" spans="14:14">
      <c r="N911" s="289"/>
    </row>
    <row r="912" spans="14:14">
      <c r="N912" s="289"/>
    </row>
    <row r="913" spans="14:14">
      <c r="N913" s="289"/>
    </row>
    <row r="914" spans="14:14">
      <c r="N914" s="289"/>
    </row>
    <row r="915" spans="14:14">
      <c r="N915" s="289"/>
    </row>
    <row r="916" spans="14:14">
      <c r="N916" s="289"/>
    </row>
    <row r="917" spans="14:14">
      <c r="N917" s="289"/>
    </row>
    <row r="918" spans="14:14">
      <c r="N918" s="289"/>
    </row>
    <row r="919" spans="14:14">
      <c r="N919" s="289"/>
    </row>
    <row r="920" spans="14:14">
      <c r="N920" s="289"/>
    </row>
    <row r="921" spans="14:14">
      <c r="N921" s="289"/>
    </row>
    <row r="922" spans="14:14">
      <c r="N922" s="289"/>
    </row>
    <row r="923" spans="14:14">
      <c r="N923" s="289"/>
    </row>
    <row r="924" spans="14:14">
      <c r="N924" s="289"/>
    </row>
    <row r="925" spans="14:14">
      <c r="N925" s="289"/>
    </row>
    <row r="926" spans="14:14">
      <c r="N926" s="289"/>
    </row>
    <row r="927" spans="14:14">
      <c r="N927" s="289"/>
    </row>
    <row r="928" spans="14:14">
      <c r="N928" s="289"/>
    </row>
    <row r="929" spans="14:14">
      <c r="N929" s="289"/>
    </row>
    <row r="930" spans="14:14">
      <c r="N930" s="289"/>
    </row>
    <row r="931" spans="14:14">
      <c r="N931" s="289"/>
    </row>
    <row r="932" spans="14:14">
      <c r="N932" s="289"/>
    </row>
    <row r="933" spans="14:14">
      <c r="N933" s="289"/>
    </row>
    <row r="934" spans="14:14">
      <c r="N934" s="289"/>
    </row>
    <row r="935" spans="14:14">
      <c r="N935" s="289"/>
    </row>
    <row r="936" spans="14:14">
      <c r="N936" s="289"/>
    </row>
    <row r="937" spans="14:14">
      <c r="N937" s="289"/>
    </row>
    <row r="938" spans="14:14">
      <c r="N938" s="289"/>
    </row>
    <row r="939" spans="14:14">
      <c r="N939" s="289"/>
    </row>
    <row r="940" spans="14:14">
      <c r="N940" s="289"/>
    </row>
    <row r="941" spans="14:14">
      <c r="N941" s="289"/>
    </row>
    <row r="942" spans="14:14">
      <c r="N942" s="289"/>
    </row>
    <row r="943" spans="14:14">
      <c r="N943" s="289"/>
    </row>
    <row r="944" spans="14:14">
      <c r="N944" s="289"/>
    </row>
    <row r="945" spans="14:14">
      <c r="N945" s="289"/>
    </row>
    <row r="946" spans="14:14">
      <c r="N946" s="289"/>
    </row>
    <row r="947" spans="14:14">
      <c r="N947" s="289"/>
    </row>
    <row r="948" spans="14:14">
      <c r="N948" s="289"/>
    </row>
    <row r="949" spans="14:14">
      <c r="N949" s="289"/>
    </row>
    <row r="950" spans="14:14">
      <c r="N950" s="289"/>
    </row>
    <row r="951" spans="14:14">
      <c r="N951" s="289"/>
    </row>
    <row r="952" spans="14:14">
      <c r="N952" s="289"/>
    </row>
    <row r="953" spans="14:14">
      <c r="N953" s="289"/>
    </row>
    <row r="954" spans="14:14">
      <c r="N954" s="289"/>
    </row>
    <row r="955" spans="14:14">
      <c r="N955" s="289"/>
    </row>
    <row r="956" spans="14:14">
      <c r="N956" s="289"/>
    </row>
    <row r="957" spans="14:14">
      <c r="N957" s="289"/>
    </row>
    <row r="958" spans="14:14">
      <c r="N958" s="289"/>
    </row>
    <row r="959" spans="14:14">
      <c r="N959" s="289"/>
    </row>
    <row r="960" spans="14:14">
      <c r="N960" s="289"/>
    </row>
    <row r="961" spans="14:14">
      <c r="N961" s="289"/>
    </row>
    <row r="962" spans="14:14">
      <c r="N962" s="289"/>
    </row>
    <row r="963" spans="14:14">
      <c r="N963" s="289"/>
    </row>
    <row r="964" spans="14:14">
      <c r="N964" s="289"/>
    </row>
    <row r="965" spans="14:14">
      <c r="N965" s="289"/>
    </row>
    <row r="966" spans="14:14">
      <c r="N966" s="289"/>
    </row>
    <row r="967" spans="14:14">
      <c r="N967" s="289"/>
    </row>
    <row r="968" spans="14:14">
      <c r="N968" s="289"/>
    </row>
    <row r="969" spans="14:14">
      <c r="N969" s="289"/>
    </row>
    <row r="970" spans="14:14">
      <c r="N970" s="289"/>
    </row>
    <row r="971" spans="14:14">
      <c r="N971" s="289"/>
    </row>
    <row r="972" spans="14:14">
      <c r="N972" s="289"/>
    </row>
    <row r="973" spans="14:14">
      <c r="N973" s="289"/>
    </row>
    <row r="974" spans="14:14">
      <c r="N974" s="289"/>
    </row>
    <row r="975" spans="14:14">
      <c r="N975" s="289"/>
    </row>
    <row r="976" spans="14:14">
      <c r="N976" s="289"/>
    </row>
    <row r="977" spans="14:14">
      <c r="N977" s="289"/>
    </row>
    <row r="978" spans="14:14">
      <c r="N978" s="289"/>
    </row>
    <row r="979" spans="14:14">
      <c r="N979" s="289"/>
    </row>
    <row r="980" spans="14:14">
      <c r="N980" s="289"/>
    </row>
    <row r="981" spans="14:14">
      <c r="N981" s="289"/>
    </row>
    <row r="982" spans="14:14">
      <c r="N982" s="289"/>
    </row>
    <row r="983" spans="14:14">
      <c r="N983" s="289"/>
    </row>
    <row r="984" spans="14:14">
      <c r="N984" s="289"/>
    </row>
    <row r="985" spans="14:14">
      <c r="N985" s="289"/>
    </row>
  </sheetData>
  <dataValidations count="5">
    <dataValidation type="list" allowBlank="1" showErrorMessage="1" sqref="F2" xr:uid="{9354B036-5C8D-41BC-895B-C316FEC2BFB8}">
      <formula1>"Bounceback,Defect,None"</formula1>
    </dataValidation>
    <dataValidation type="list" allowBlank="1" showErrorMessage="1" sqref="J2" xr:uid="{0B6532AE-0D9B-436D-9848-F2F1DBAE5E64}">
      <formula1>"Internal,External"</formula1>
    </dataValidation>
    <dataValidation type="list" allowBlank="1" showErrorMessage="1" sqref="H2" xr:uid="{BB5B8D1A-2784-4DAA-91BB-8D9B9853EE34}">
      <formula1>"Minor,Significant,Major"</formula1>
    </dataValidation>
    <dataValidation type="list" allowBlank="1" showErrorMessage="1" sqref="I2" xr:uid="{6BDDCA59-2E57-4EF3-B330-E57950193658}">
      <formula1>"Manual, Automation"</formula1>
    </dataValidation>
    <dataValidation type="list" allowBlank="1" showErrorMessage="1" sqref="K2" xr:uid="{14B3E83E-C41F-4E27-9BA6-D9D7860B4045}">
      <formula1>"Open,Inprogress,Closed"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E59C1-F565-45F2-9D77-499F717C1DF6}">
  <dimension ref="A1:AE4"/>
  <sheetViews>
    <sheetView topLeftCell="U1" workbookViewId="0">
      <selection activeCell="N5" sqref="N5"/>
    </sheetView>
  </sheetViews>
  <sheetFormatPr defaultRowHeight="12.75"/>
  <cols>
    <col min="1" max="1" width="5.42578125" bestFit="1" customWidth="1"/>
    <col min="2" max="2" width="17" customWidth="1"/>
    <col min="3" max="3" width="10.28515625" customWidth="1"/>
    <col min="4" max="4" width="10.7109375" customWidth="1"/>
    <col min="5" max="5" width="18.28515625" customWidth="1"/>
    <col min="7" max="7" width="11" customWidth="1"/>
    <col min="8" max="8" width="43" customWidth="1"/>
    <col min="9" max="9" width="10.7109375" customWidth="1"/>
    <col min="13" max="13" width="10.28515625" customWidth="1"/>
    <col min="14" max="14" width="11.7109375" customWidth="1"/>
    <col min="16" max="16" width="8.85546875" customWidth="1"/>
    <col min="17" max="17" width="15.42578125" customWidth="1"/>
    <col min="18" max="18" width="12" customWidth="1"/>
    <col min="19" max="19" width="17" customWidth="1"/>
    <col min="20" max="20" width="37.5703125" customWidth="1"/>
    <col min="21" max="21" width="11.5703125" customWidth="1"/>
    <col min="22" max="22" width="12" customWidth="1"/>
    <col min="23" max="23" width="11.42578125" customWidth="1"/>
    <col min="24" max="24" width="18" customWidth="1"/>
    <col min="25" max="25" width="11" customWidth="1"/>
    <col min="26" max="26" width="10.85546875" customWidth="1"/>
    <col min="27" max="27" width="17.85546875" customWidth="1"/>
    <col min="28" max="28" width="17.140625" customWidth="1"/>
    <col min="29" max="29" width="15.28515625" customWidth="1"/>
    <col min="30" max="30" width="47.5703125" customWidth="1"/>
    <col min="31" max="31" width="44.5703125" customWidth="1"/>
  </cols>
  <sheetData>
    <row r="1" spans="1:31" ht="60">
      <c r="A1" s="416" t="s">
        <v>234</v>
      </c>
      <c r="B1" s="57" t="s">
        <v>4</v>
      </c>
      <c r="C1" s="57" t="s">
        <v>2</v>
      </c>
      <c r="D1" s="57" t="s">
        <v>3</v>
      </c>
      <c r="E1" s="416" t="s">
        <v>235</v>
      </c>
      <c r="F1" s="416" t="s">
        <v>236</v>
      </c>
      <c r="G1" s="416" t="s">
        <v>237</v>
      </c>
      <c r="H1" s="416" t="s">
        <v>238</v>
      </c>
      <c r="I1" s="416" t="s">
        <v>239</v>
      </c>
      <c r="J1" s="57" t="s">
        <v>240</v>
      </c>
      <c r="K1" s="57" t="s">
        <v>241</v>
      </c>
      <c r="L1" s="57" t="s">
        <v>242</v>
      </c>
      <c r="M1" s="57" t="s">
        <v>243</v>
      </c>
      <c r="N1" s="57" t="s">
        <v>244</v>
      </c>
      <c r="O1" s="416" t="s">
        <v>245</v>
      </c>
      <c r="P1" s="416" t="s">
        <v>246</v>
      </c>
      <c r="Q1" s="416" t="s">
        <v>247</v>
      </c>
      <c r="R1" s="416" t="s">
        <v>248</v>
      </c>
      <c r="S1" s="416" t="s">
        <v>249</v>
      </c>
      <c r="T1" s="416" t="s">
        <v>250</v>
      </c>
      <c r="U1" s="416" t="s">
        <v>251</v>
      </c>
      <c r="V1" s="416" t="s">
        <v>252</v>
      </c>
      <c r="W1" s="416" t="s">
        <v>253</v>
      </c>
      <c r="X1" s="416" t="s">
        <v>254</v>
      </c>
      <c r="Y1" s="416" t="s">
        <v>255</v>
      </c>
      <c r="Z1" s="416" t="s">
        <v>256</v>
      </c>
      <c r="AA1" s="416" t="s">
        <v>257</v>
      </c>
      <c r="AB1" s="416" t="s">
        <v>258</v>
      </c>
      <c r="AC1" s="416" t="s">
        <v>259</v>
      </c>
      <c r="AD1" s="433" t="s">
        <v>260</v>
      </c>
      <c r="AE1" s="418" t="s">
        <v>17</v>
      </c>
    </row>
    <row r="2" spans="1:31" ht="110.25">
      <c r="A2" s="412">
        <v>1</v>
      </c>
      <c r="B2" s="412" t="s">
        <v>5</v>
      </c>
      <c r="C2" s="421">
        <v>46002</v>
      </c>
      <c r="D2" s="421">
        <v>46030</v>
      </c>
      <c r="E2" s="427" t="s">
        <v>174</v>
      </c>
      <c r="F2" s="412" t="s">
        <v>219</v>
      </c>
      <c r="G2" s="72" t="s">
        <v>456</v>
      </c>
      <c r="H2" s="412" t="s">
        <v>457</v>
      </c>
      <c r="I2" s="412" t="s">
        <v>13</v>
      </c>
      <c r="J2" s="412">
        <v>5</v>
      </c>
      <c r="K2" s="412">
        <v>5</v>
      </c>
      <c r="L2" s="412">
        <v>66.5</v>
      </c>
      <c r="M2" s="421">
        <v>45996</v>
      </c>
      <c r="N2" s="421">
        <v>46009</v>
      </c>
      <c r="O2" s="412"/>
      <c r="P2" s="412" t="s">
        <v>274</v>
      </c>
      <c r="Q2" s="412"/>
      <c r="R2" s="412" t="s">
        <v>275</v>
      </c>
      <c r="S2" s="412"/>
      <c r="T2" s="72" t="s">
        <v>458</v>
      </c>
      <c r="U2" s="421">
        <v>46006</v>
      </c>
      <c r="V2" s="421">
        <v>46014</v>
      </c>
      <c r="W2" s="412" t="s">
        <v>275</v>
      </c>
      <c r="X2" s="412"/>
      <c r="Y2" s="412" t="s">
        <v>277</v>
      </c>
      <c r="Z2" s="421">
        <v>46014</v>
      </c>
      <c r="AA2" s="412"/>
      <c r="AB2" s="412"/>
      <c r="AC2" s="412"/>
      <c r="AD2" s="434" t="s">
        <v>459</v>
      </c>
      <c r="AE2" s="439" t="s">
        <v>460</v>
      </c>
    </row>
    <row r="3" spans="1:31" ht="66" customHeight="1">
      <c r="A3" s="430">
        <v>2</v>
      </c>
      <c r="B3" s="430" t="s">
        <v>5</v>
      </c>
      <c r="C3" s="431">
        <v>46002</v>
      </c>
      <c r="D3" s="431">
        <v>46030</v>
      </c>
      <c r="E3" s="432" t="s">
        <v>174</v>
      </c>
      <c r="F3" s="430" t="s">
        <v>219</v>
      </c>
      <c r="G3" s="104" t="s">
        <v>461</v>
      </c>
      <c r="H3" s="430" t="s">
        <v>462</v>
      </c>
      <c r="I3" s="412" t="s">
        <v>13</v>
      </c>
      <c r="J3" s="430">
        <v>5</v>
      </c>
      <c r="K3" s="430">
        <v>5</v>
      </c>
      <c r="L3" s="430">
        <v>105</v>
      </c>
      <c r="M3" s="431">
        <v>46010</v>
      </c>
      <c r="N3" s="431">
        <v>46024</v>
      </c>
      <c r="O3" s="430"/>
      <c r="P3" s="430" t="s">
        <v>274</v>
      </c>
      <c r="Q3" s="430"/>
      <c r="R3" s="430" t="s">
        <v>275</v>
      </c>
      <c r="S3" s="430"/>
      <c r="T3" s="104" t="s">
        <v>463</v>
      </c>
      <c r="U3" s="431">
        <v>46015</v>
      </c>
      <c r="V3" s="431">
        <v>46029</v>
      </c>
      <c r="W3" s="430" t="s">
        <v>275</v>
      </c>
      <c r="X3" s="430"/>
      <c r="Y3" s="412" t="s">
        <v>277</v>
      </c>
      <c r="Z3" s="431">
        <v>46029</v>
      </c>
      <c r="AA3" s="430"/>
      <c r="AB3" s="430"/>
      <c r="AC3" s="430"/>
      <c r="AD3" s="434" t="s">
        <v>464</v>
      </c>
      <c r="AE3" s="424"/>
    </row>
    <row r="4" spans="1:31" ht="57" customHeight="1">
      <c r="A4" s="412">
        <v>3</v>
      </c>
      <c r="B4" s="412" t="s">
        <v>5</v>
      </c>
      <c r="C4" s="421">
        <v>46002</v>
      </c>
      <c r="D4" s="421">
        <v>46030</v>
      </c>
      <c r="E4" s="427" t="s">
        <v>174</v>
      </c>
      <c r="F4" s="412" t="s">
        <v>219</v>
      </c>
      <c r="G4" s="72" t="s">
        <v>440</v>
      </c>
      <c r="H4" s="412" t="s">
        <v>441</v>
      </c>
      <c r="I4" s="412" t="s">
        <v>392</v>
      </c>
      <c r="J4" s="412">
        <v>2</v>
      </c>
      <c r="K4" s="436">
        <v>2</v>
      </c>
      <c r="L4" s="412">
        <v>19.5</v>
      </c>
      <c r="M4" s="438">
        <v>46027</v>
      </c>
      <c r="N4" s="421">
        <v>46030</v>
      </c>
      <c r="O4" s="99"/>
      <c r="P4" s="412" t="s">
        <v>274</v>
      </c>
      <c r="Q4" s="99"/>
      <c r="R4" s="412" t="s">
        <v>275</v>
      </c>
      <c r="S4" s="99"/>
      <c r="T4" s="99"/>
      <c r="U4" s="99"/>
      <c r="V4" s="99"/>
      <c r="W4" s="99"/>
      <c r="X4" s="99"/>
      <c r="Y4" s="99"/>
      <c r="Z4" s="99"/>
      <c r="AA4" s="99"/>
      <c r="AB4" s="99"/>
      <c r="AC4" s="99"/>
      <c r="AD4" s="357"/>
      <c r="AE4" s="381"/>
    </row>
  </sheetData>
  <hyperlinks>
    <hyperlink ref="T2" r:id="rId1" xr:uid="{458645C3-E2C8-4427-8BA6-1779E1F3111C}"/>
    <hyperlink ref="T3" r:id="rId2" xr:uid="{1B299FE3-850E-4F12-9267-A34225595B3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9C2E8-EF2D-4060-B3D7-7D10D3D5A18A}">
  <dimension ref="A1:AF985"/>
  <sheetViews>
    <sheetView workbookViewId="0">
      <selection activeCell="H11" sqref="H11"/>
    </sheetView>
  </sheetViews>
  <sheetFormatPr defaultRowHeight="12.75"/>
  <cols>
    <col min="2" max="3" width="9.85546875" customWidth="1"/>
    <col min="4" max="4" width="9.42578125" customWidth="1"/>
    <col min="5" max="5" width="19.140625" customWidth="1"/>
    <col min="6" max="6" width="10.28515625" customWidth="1"/>
    <col min="7" max="7" width="10" customWidth="1"/>
    <col min="8" max="8" width="36" customWidth="1"/>
    <col min="9" max="9" width="10.5703125" customWidth="1"/>
    <col min="10" max="10" width="10.85546875" customWidth="1"/>
    <col min="11" max="11" width="11" customWidth="1"/>
    <col min="12" max="12" width="10.85546875" customWidth="1"/>
    <col min="13" max="13" width="12.28515625" customWidth="1"/>
    <col min="14" max="14" width="11.7109375" customWidth="1"/>
    <col min="16" max="16" width="12" customWidth="1"/>
    <col min="17" max="17" width="11.42578125" customWidth="1"/>
    <col min="18" max="18" width="11.28515625" customWidth="1"/>
    <col min="19" max="19" width="15.140625" customWidth="1"/>
    <col min="21" max="22" width="10.7109375" customWidth="1"/>
    <col min="23" max="23" width="13" customWidth="1"/>
    <col min="25" max="25" width="12.28515625" customWidth="1"/>
    <col min="27" max="27" width="14.7109375" customWidth="1"/>
    <col min="30" max="31" width="32" customWidth="1"/>
  </cols>
  <sheetData>
    <row r="1" spans="1:32" ht="27">
      <c r="A1" s="210" t="s">
        <v>234</v>
      </c>
      <c r="B1" s="1" t="s">
        <v>349</v>
      </c>
      <c r="C1" s="208" t="s">
        <v>350</v>
      </c>
      <c r="D1" s="208" t="s">
        <v>351</v>
      </c>
      <c r="E1" s="1" t="s">
        <v>236</v>
      </c>
      <c r="F1" s="208" t="s">
        <v>352</v>
      </c>
      <c r="G1" s="208" t="s">
        <v>353</v>
      </c>
      <c r="H1" s="1" t="s">
        <v>354</v>
      </c>
      <c r="I1" s="1" t="s">
        <v>355</v>
      </c>
      <c r="J1" s="1" t="s">
        <v>356</v>
      </c>
      <c r="K1" s="1" t="s">
        <v>239</v>
      </c>
      <c r="L1" s="454" t="s">
        <v>357</v>
      </c>
      <c r="M1" s="3" t="s">
        <v>260</v>
      </c>
      <c r="N1" s="214" t="s">
        <v>358</v>
      </c>
      <c r="O1" s="214" t="s">
        <v>359</v>
      </c>
      <c r="P1" s="28"/>
      <c r="Q1" s="28"/>
      <c r="R1" s="28"/>
      <c r="S1" s="28"/>
      <c r="T1" s="28"/>
      <c r="U1" s="28"/>
      <c r="V1" s="28"/>
      <c r="W1" s="28"/>
      <c r="X1" s="28"/>
      <c r="Y1" s="28"/>
      <c r="Z1" s="28"/>
      <c r="AA1" s="28"/>
      <c r="AB1" s="28"/>
      <c r="AD1" s="418" t="s">
        <v>326</v>
      </c>
      <c r="AE1" s="418" t="s">
        <v>327</v>
      </c>
      <c r="AF1" s="418" t="s">
        <v>17</v>
      </c>
    </row>
    <row r="2" spans="1:32" ht="48" customHeight="1">
      <c r="F2" s="455"/>
      <c r="G2" s="43" t="s">
        <v>427</v>
      </c>
      <c r="H2" s="456"/>
      <c r="I2" s="456"/>
      <c r="J2" s="456"/>
      <c r="K2" s="456"/>
      <c r="L2" s="456"/>
      <c r="M2" s="43"/>
      <c r="N2" s="289"/>
      <c r="O2" s="43"/>
      <c r="AD2" s="412"/>
      <c r="AE2" s="412" t="s">
        <v>361</v>
      </c>
      <c r="AF2" s="412"/>
    </row>
    <row r="3" spans="1:32" ht="49.5" customHeight="1">
      <c r="N3" s="289"/>
      <c r="AD3" s="412"/>
      <c r="AE3" s="412"/>
      <c r="AF3" s="295"/>
    </row>
    <row r="4" spans="1:32" ht="47.25" customHeight="1">
      <c r="N4" s="289"/>
      <c r="AD4" s="412"/>
      <c r="AE4" s="412"/>
      <c r="AF4" s="295"/>
    </row>
    <row r="5" spans="1:32">
      <c r="K5" s="43"/>
      <c r="N5" s="289"/>
    </row>
    <row r="6" spans="1:32">
      <c r="N6" s="289"/>
    </row>
    <row r="7" spans="1:32">
      <c r="N7" s="289"/>
    </row>
    <row r="8" spans="1:32">
      <c r="N8" s="289"/>
    </row>
    <row r="9" spans="1:32">
      <c r="N9" s="289"/>
    </row>
    <row r="10" spans="1:32">
      <c r="N10" s="289"/>
    </row>
    <row r="11" spans="1:32">
      <c r="N11" s="289"/>
    </row>
    <row r="12" spans="1:32">
      <c r="N12" s="289"/>
    </row>
    <row r="13" spans="1:32">
      <c r="N13" s="289"/>
    </row>
    <row r="14" spans="1:32">
      <c r="N14" s="289"/>
    </row>
    <row r="15" spans="1:32">
      <c r="N15" s="289"/>
    </row>
    <row r="16" spans="1:32">
      <c r="N16" s="289"/>
    </row>
    <row r="17" spans="14:14">
      <c r="N17" s="289"/>
    </row>
    <row r="18" spans="14:14">
      <c r="N18" s="289"/>
    </row>
    <row r="19" spans="14:14">
      <c r="N19" s="289"/>
    </row>
    <row r="20" spans="14:14">
      <c r="N20" s="289"/>
    </row>
    <row r="21" spans="14:14">
      <c r="N21" s="289"/>
    </row>
    <row r="22" spans="14:14">
      <c r="N22" s="289"/>
    </row>
    <row r="23" spans="14:14">
      <c r="N23" s="289"/>
    </row>
    <row r="24" spans="14:14">
      <c r="N24" s="289"/>
    </row>
    <row r="25" spans="14:14">
      <c r="N25" s="289"/>
    </row>
    <row r="26" spans="14:14">
      <c r="N26" s="289"/>
    </row>
    <row r="27" spans="14:14">
      <c r="N27" s="289"/>
    </row>
    <row r="28" spans="14:14">
      <c r="N28" s="289"/>
    </row>
    <row r="29" spans="14:14">
      <c r="N29" s="289"/>
    </row>
    <row r="30" spans="14:14">
      <c r="N30" s="289"/>
    </row>
    <row r="31" spans="14:14">
      <c r="N31" s="289"/>
    </row>
    <row r="32" spans="14:14">
      <c r="N32" s="289"/>
    </row>
    <row r="33" spans="14:14">
      <c r="N33" s="289"/>
    </row>
    <row r="34" spans="14:14">
      <c r="N34" s="289"/>
    </row>
    <row r="35" spans="14:14">
      <c r="N35" s="289"/>
    </row>
    <row r="36" spans="14:14">
      <c r="N36" s="289"/>
    </row>
    <row r="37" spans="14:14">
      <c r="N37" s="289"/>
    </row>
    <row r="38" spans="14:14">
      <c r="N38" s="289"/>
    </row>
    <row r="39" spans="14:14">
      <c r="N39" s="289"/>
    </row>
    <row r="40" spans="14:14">
      <c r="N40" s="289"/>
    </row>
    <row r="41" spans="14:14">
      <c r="N41" s="289"/>
    </row>
    <row r="42" spans="14:14">
      <c r="N42" s="289"/>
    </row>
    <row r="43" spans="14:14">
      <c r="N43" s="289"/>
    </row>
    <row r="44" spans="14:14">
      <c r="N44" s="289"/>
    </row>
    <row r="45" spans="14:14">
      <c r="N45" s="289"/>
    </row>
    <row r="46" spans="14:14">
      <c r="N46" s="289"/>
    </row>
    <row r="47" spans="14:14">
      <c r="N47" s="289"/>
    </row>
    <row r="48" spans="14:14">
      <c r="N48" s="289"/>
    </row>
    <row r="49" spans="14:14">
      <c r="N49" s="289"/>
    </row>
    <row r="50" spans="14:14">
      <c r="N50" s="289"/>
    </row>
    <row r="51" spans="14:14">
      <c r="N51" s="289"/>
    </row>
    <row r="52" spans="14:14">
      <c r="N52" s="289"/>
    </row>
    <row r="53" spans="14:14">
      <c r="N53" s="289"/>
    </row>
    <row r="54" spans="14:14">
      <c r="N54" s="289"/>
    </row>
    <row r="55" spans="14:14">
      <c r="N55" s="289"/>
    </row>
    <row r="56" spans="14:14">
      <c r="N56" s="289"/>
    </row>
    <row r="57" spans="14:14">
      <c r="N57" s="289"/>
    </row>
    <row r="58" spans="14:14">
      <c r="N58" s="289"/>
    </row>
    <row r="59" spans="14:14">
      <c r="N59" s="289"/>
    </row>
    <row r="60" spans="14:14">
      <c r="N60" s="289"/>
    </row>
    <row r="61" spans="14:14">
      <c r="N61" s="289"/>
    </row>
    <row r="62" spans="14:14">
      <c r="N62" s="289"/>
    </row>
    <row r="63" spans="14:14">
      <c r="N63" s="289"/>
    </row>
    <row r="64" spans="14:14">
      <c r="N64" s="289"/>
    </row>
    <row r="65" spans="14:14">
      <c r="N65" s="289"/>
    </row>
    <row r="66" spans="14:14">
      <c r="N66" s="289"/>
    </row>
    <row r="67" spans="14:14">
      <c r="N67" s="289"/>
    </row>
    <row r="68" spans="14:14">
      <c r="N68" s="289"/>
    </row>
    <row r="69" spans="14:14">
      <c r="N69" s="289"/>
    </row>
    <row r="70" spans="14:14">
      <c r="N70" s="289"/>
    </row>
    <row r="71" spans="14:14">
      <c r="N71" s="289"/>
    </row>
    <row r="72" spans="14:14">
      <c r="N72" s="289"/>
    </row>
    <row r="73" spans="14:14">
      <c r="N73" s="289"/>
    </row>
    <row r="74" spans="14:14">
      <c r="N74" s="289"/>
    </row>
    <row r="75" spans="14:14">
      <c r="N75" s="289"/>
    </row>
    <row r="76" spans="14:14">
      <c r="N76" s="289"/>
    </row>
    <row r="77" spans="14:14">
      <c r="N77" s="289"/>
    </row>
    <row r="78" spans="14:14">
      <c r="N78" s="289"/>
    </row>
    <row r="79" spans="14:14">
      <c r="N79" s="289"/>
    </row>
    <row r="80" spans="14:14">
      <c r="N80" s="289"/>
    </row>
    <row r="81" spans="14:14">
      <c r="N81" s="289"/>
    </row>
    <row r="82" spans="14:14">
      <c r="N82" s="289"/>
    </row>
    <row r="83" spans="14:14">
      <c r="N83" s="289"/>
    </row>
    <row r="84" spans="14:14">
      <c r="N84" s="289"/>
    </row>
    <row r="85" spans="14:14">
      <c r="N85" s="289"/>
    </row>
    <row r="86" spans="14:14">
      <c r="N86" s="289"/>
    </row>
    <row r="87" spans="14:14">
      <c r="N87" s="289"/>
    </row>
    <row r="88" spans="14:14">
      <c r="N88" s="289"/>
    </row>
    <row r="89" spans="14:14">
      <c r="N89" s="289"/>
    </row>
    <row r="90" spans="14:14">
      <c r="N90" s="289"/>
    </row>
    <row r="91" spans="14:14">
      <c r="N91" s="289"/>
    </row>
    <row r="92" spans="14:14">
      <c r="N92" s="289"/>
    </row>
    <row r="93" spans="14:14">
      <c r="N93" s="289"/>
    </row>
    <row r="94" spans="14:14">
      <c r="N94" s="289"/>
    </row>
    <row r="95" spans="14:14">
      <c r="N95" s="289"/>
    </row>
    <row r="96" spans="14:14">
      <c r="N96" s="289"/>
    </row>
    <row r="97" spans="14:14">
      <c r="N97" s="289"/>
    </row>
    <row r="98" spans="14:14">
      <c r="N98" s="289"/>
    </row>
    <row r="99" spans="14:14">
      <c r="N99" s="289"/>
    </row>
    <row r="100" spans="14:14">
      <c r="N100" s="289"/>
    </row>
    <row r="101" spans="14:14">
      <c r="N101" s="289"/>
    </row>
    <row r="102" spans="14:14">
      <c r="N102" s="289"/>
    </row>
    <row r="103" spans="14:14">
      <c r="N103" s="289"/>
    </row>
    <row r="104" spans="14:14">
      <c r="N104" s="289"/>
    </row>
    <row r="105" spans="14:14">
      <c r="N105" s="289"/>
    </row>
    <row r="106" spans="14:14">
      <c r="N106" s="289"/>
    </row>
    <row r="107" spans="14:14">
      <c r="N107" s="289"/>
    </row>
    <row r="108" spans="14:14">
      <c r="N108" s="289"/>
    </row>
    <row r="109" spans="14:14">
      <c r="N109" s="289"/>
    </row>
    <row r="110" spans="14:14">
      <c r="N110" s="289"/>
    </row>
    <row r="111" spans="14:14">
      <c r="N111" s="289"/>
    </row>
    <row r="112" spans="14:14">
      <c r="N112" s="289"/>
    </row>
    <row r="113" spans="14:14">
      <c r="N113" s="289"/>
    </row>
    <row r="114" spans="14:14">
      <c r="N114" s="289"/>
    </row>
    <row r="115" spans="14:14">
      <c r="N115" s="289"/>
    </row>
    <row r="116" spans="14:14">
      <c r="N116" s="289"/>
    </row>
    <row r="117" spans="14:14">
      <c r="N117" s="289"/>
    </row>
    <row r="118" spans="14:14">
      <c r="N118" s="289"/>
    </row>
    <row r="119" spans="14:14">
      <c r="N119" s="289"/>
    </row>
    <row r="120" spans="14:14">
      <c r="N120" s="289"/>
    </row>
    <row r="121" spans="14:14">
      <c r="N121" s="289"/>
    </row>
    <row r="122" spans="14:14">
      <c r="N122" s="289"/>
    </row>
    <row r="123" spans="14:14">
      <c r="N123" s="289"/>
    </row>
    <row r="124" spans="14:14">
      <c r="N124" s="289"/>
    </row>
    <row r="125" spans="14:14">
      <c r="N125" s="289"/>
    </row>
    <row r="126" spans="14:14">
      <c r="N126" s="289"/>
    </row>
    <row r="127" spans="14:14">
      <c r="N127" s="289"/>
    </row>
    <row r="128" spans="14:14">
      <c r="N128" s="289"/>
    </row>
    <row r="129" spans="14:14">
      <c r="N129" s="289"/>
    </row>
    <row r="130" spans="14:14">
      <c r="N130" s="289"/>
    </row>
    <row r="131" spans="14:14">
      <c r="N131" s="289"/>
    </row>
    <row r="132" spans="14:14">
      <c r="N132" s="289"/>
    </row>
    <row r="133" spans="14:14">
      <c r="N133" s="289"/>
    </row>
    <row r="134" spans="14:14">
      <c r="N134" s="289"/>
    </row>
    <row r="135" spans="14:14">
      <c r="N135" s="289"/>
    </row>
    <row r="136" spans="14:14">
      <c r="N136" s="289"/>
    </row>
    <row r="137" spans="14:14">
      <c r="N137" s="289"/>
    </row>
    <row r="138" spans="14:14">
      <c r="N138" s="289"/>
    </row>
    <row r="139" spans="14:14">
      <c r="N139" s="289"/>
    </row>
    <row r="140" spans="14:14">
      <c r="N140" s="289"/>
    </row>
    <row r="141" spans="14:14">
      <c r="N141" s="289"/>
    </row>
    <row r="142" spans="14:14">
      <c r="N142" s="289"/>
    </row>
    <row r="143" spans="14:14">
      <c r="N143" s="289"/>
    </row>
    <row r="144" spans="14:14">
      <c r="N144" s="289"/>
    </row>
    <row r="145" spans="14:14">
      <c r="N145" s="289"/>
    </row>
    <row r="146" spans="14:14">
      <c r="N146" s="289"/>
    </row>
    <row r="147" spans="14:14">
      <c r="N147" s="289"/>
    </row>
    <row r="148" spans="14:14">
      <c r="N148" s="289"/>
    </row>
    <row r="149" spans="14:14">
      <c r="N149" s="289"/>
    </row>
    <row r="150" spans="14:14">
      <c r="N150" s="289"/>
    </row>
    <row r="151" spans="14:14">
      <c r="N151" s="289"/>
    </row>
    <row r="152" spans="14:14">
      <c r="N152" s="289"/>
    </row>
    <row r="153" spans="14:14">
      <c r="N153" s="289"/>
    </row>
    <row r="154" spans="14:14">
      <c r="N154" s="289"/>
    </row>
    <row r="155" spans="14:14">
      <c r="N155" s="289"/>
    </row>
    <row r="156" spans="14:14">
      <c r="N156" s="289"/>
    </row>
    <row r="157" spans="14:14">
      <c r="N157" s="289"/>
    </row>
    <row r="158" spans="14:14">
      <c r="N158" s="289"/>
    </row>
    <row r="159" spans="14:14">
      <c r="N159" s="289"/>
    </row>
    <row r="160" spans="14:14">
      <c r="N160" s="289"/>
    </row>
    <row r="161" spans="14:14">
      <c r="N161" s="289"/>
    </row>
    <row r="162" spans="14:14">
      <c r="N162" s="289"/>
    </row>
    <row r="163" spans="14:14">
      <c r="N163" s="289"/>
    </row>
    <row r="164" spans="14:14">
      <c r="N164" s="289"/>
    </row>
    <row r="165" spans="14:14">
      <c r="N165" s="289"/>
    </row>
    <row r="166" spans="14:14">
      <c r="N166" s="289"/>
    </row>
    <row r="167" spans="14:14">
      <c r="N167" s="289"/>
    </row>
    <row r="168" spans="14:14">
      <c r="N168" s="289"/>
    </row>
    <row r="169" spans="14:14">
      <c r="N169" s="289"/>
    </row>
    <row r="170" spans="14:14">
      <c r="N170" s="289"/>
    </row>
    <row r="171" spans="14:14">
      <c r="N171" s="289"/>
    </row>
    <row r="172" spans="14:14">
      <c r="N172" s="289"/>
    </row>
    <row r="173" spans="14:14">
      <c r="N173" s="289"/>
    </row>
    <row r="174" spans="14:14">
      <c r="N174" s="289"/>
    </row>
    <row r="175" spans="14:14">
      <c r="N175" s="289"/>
    </row>
    <row r="176" spans="14:14">
      <c r="N176" s="289"/>
    </row>
    <row r="177" spans="14:14">
      <c r="N177" s="289"/>
    </row>
    <row r="178" spans="14:14">
      <c r="N178" s="289"/>
    </row>
    <row r="179" spans="14:14">
      <c r="N179" s="289"/>
    </row>
    <row r="180" spans="14:14">
      <c r="N180" s="289"/>
    </row>
    <row r="181" spans="14:14">
      <c r="N181" s="289"/>
    </row>
    <row r="182" spans="14:14">
      <c r="N182" s="289"/>
    </row>
    <row r="183" spans="14:14">
      <c r="N183" s="289"/>
    </row>
    <row r="184" spans="14:14">
      <c r="N184" s="289"/>
    </row>
    <row r="185" spans="14:14">
      <c r="N185" s="289"/>
    </row>
    <row r="186" spans="14:14">
      <c r="N186" s="289"/>
    </row>
    <row r="187" spans="14:14">
      <c r="N187" s="289"/>
    </row>
    <row r="188" spans="14:14">
      <c r="N188" s="289"/>
    </row>
    <row r="189" spans="14:14">
      <c r="N189" s="289"/>
    </row>
    <row r="190" spans="14:14">
      <c r="N190" s="289"/>
    </row>
    <row r="191" spans="14:14">
      <c r="N191" s="289"/>
    </row>
    <row r="192" spans="14:14">
      <c r="N192" s="289"/>
    </row>
    <row r="193" spans="14:14">
      <c r="N193" s="289"/>
    </row>
    <row r="194" spans="14:14">
      <c r="N194" s="289"/>
    </row>
    <row r="195" spans="14:14">
      <c r="N195" s="289"/>
    </row>
    <row r="196" spans="14:14">
      <c r="N196" s="289"/>
    </row>
    <row r="197" spans="14:14">
      <c r="N197" s="289"/>
    </row>
    <row r="198" spans="14:14">
      <c r="N198" s="289"/>
    </row>
    <row r="199" spans="14:14">
      <c r="N199" s="289"/>
    </row>
    <row r="200" spans="14:14">
      <c r="N200" s="289"/>
    </row>
    <row r="201" spans="14:14">
      <c r="N201" s="289"/>
    </row>
    <row r="202" spans="14:14">
      <c r="N202" s="289"/>
    </row>
    <row r="203" spans="14:14">
      <c r="N203" s="289"/>
    </row>
    <row r="204" spans="14:14">
      <c r="N204" s="289"/>
    </row>
    <row r="205" spans="14:14">
      <c r="N205" s="289"/>
    </row>
    <row r="206" spans="14:14">
      <c r="N206" s="289"/>
    </row>
    <row r="207" spans="14:14">
      <c r="N207" s="289"/>
    </row>
    <row r="208" spans="14:14">
      <c r="N208" s="289"/>
    </row>
    <row r="209" spans="14:14">
      <c r="N209" s="289"/>
    </row>
    <row r="210" spans="14:14">
      <c r="N210" s="289"/>
    </row>
    <row r="211" spans="14:14">
      <c r="N211" s="289"/>
    </row>
    <row r="212" spans="14:14">
      <c r="N212" s="289"/>
    </row>
    <row r="213" spans="14:14">
      <c r="N213" s="289"/>
    </row>
    <row r="214" spans="14:14">
      <c r="N214" s="289"/>
    </row>
    <row r="215" spans="14:14">
      <c r="N215" s="289"/>
    </row>
    <row r="216" spans="14:14">
      <c r="N216" s="289"/>
    </row>
    <row r="217" spans="14:14">
      <c r="N217" s="289"/>
    </row>
    <row r="218" spans="14:14">
      <c r="N218" s="289"/>
    </row>
    <row r="219" spans="14:14">
      <c r="N219" s="289"/>
    </row>
    <row r="220" spans="14:14">
      <c r="N220" s="289"/>
    </row>
    <row r="221" spans="14:14">
      <c r="N221" s="289"/>
    </row>
    <row r="222" spans="14:14">
      <c r="N222" s="289"/>
    </row>
    <row r="223" spans="14:14">
      <c r="N223" s="289"/>
    </row>
    <row r="224" spans="14:14">
      <c r="N224" s="289"/>
    </row>
    <row r="225" spans="14:14">
      <c r="N225" s="289"/>
    </row>
    <row r="226" spans="14:14">
      <c r="N226" s="289"/>
    </row>
    <row r="227" spans="14:14">
      <c r="N227" s="289"/>
    </row>
    <row r="228" spans="14:14">
      <c r="N228" s="289"/>
    </row>
    <row r="229" spans="14:14">
      <c r="N229" s="289"/>
    </row>
    <row r="230" spans="14:14">
      <c r="N230" s="289"/>
    </row>
    <row r="231" spans="14:14">
      <c r="N231" s="289"/>
    </row>
    <row r="232" spans="14:14">
      <c r="N232" s="289"/>
    </row>
    <row r="233" spans="14:14">
      <c r="N233" s="289"/>
    </row>
    <row r="234" spans="14:14">
      <c r="N234" s="289"/>
    </row>
    <row r="235" spans="14:14">
      <c r="N235" s="289"/>
    </row>
    <row r="236" spans="14:14">
      <c r="N236" s="289"/>
    </row>
    <row r="237" spans="14:14">
      <c r="N237" s="289"/>
    </row>
    <row r="238" spans="14:14">
      <c r="N238" s="289"/>
    </row>
    <row r="239" spans="14:14">
      <c r="N239" s="289"/>
    </row>
    <row r="240" spans="14:14">
      <c r="N240" s="289"/>
    </row>
    <row r="241" spans="14:14">
      <c r="N241" s="289"/>
    </row>
    <row r="242" spans="14:14">
      <c r="N242" s="289"/>
    </row>
    <row r="243" spans="14:14">
      <c r="N243" s="289"/>
    </row>
    <row r="244" spans="14:14">
      <c r="N244" s="289"/>
    </row>
    <row r="245" spans="14:14">
      <c r="N245" s="289"/>
    </row>
    <row r="246" spans="14:14">
      <c r="N246" s="289"/>
    </row>
    <row r="247" spans="14:14">
      <c r="N247" s="289"/>
    </row>
    <row r="248" spans="14:14">
      <c r="N248" s="289"/>
    </row>
    <row r="249" spans="14:14">
      <c r="N249" s="289"/>
    </row>
    <row r="250" spans="14:14">
      <c r="N250" s="289"/>
    </row>
    <row r="251" spans="14:14">
      <c r="N251" s="289"/>
    </row>
    <row r="252" spans="14:14">
      <c r="N252" s="289"/>
    </row>
    <row r="253" spans="14:14">
      <c r="N253" s="289"/>
    </row>
    <row r="254" spans="14:14">
      <c r="N254" s="289"/>
    </row>
    <row r="255" spans="14:14">
      <c r="N255" s="289"/>
    </row>
    <row r="256" spans="14:14">
      <c r="N256" s="289"/>
    </row>
    <row r="257" spans="14:14">
      <c r="N257" s="289"/>
    </row>
    <row r="258" spans="14:14">
      <c r="N258" s="289"/>
    </row>
    <row r="259" spans="14:14">
      <c r="N259" s="289"/>
    </row>
    <row r="260" spans="14:14">
      <c r="N260" s="289"/>
    </row>
    <row r="261" spans="14:14">
      <c r="N261" s="289"/>
    </row>
    <row r="262" spans="14:14">
      <c r="N262" s="289"/>
    </row>
    <row r="263" spans="14:14">
      <c r="N263" s="289"/>
    </row>
    <row r="264" spans="14:14">
      <c r="N264" s="289"/>
    </row>
    <row r="265" spans="14:14">
      <c r="N265" s="289"/>
    </row>
    <row r="266" spans="14:14">
      <c r="N266" s="289"/>
    </row>
    <row r="267" spans="14:14">
      <c r="N267" s="289"/>
    </row>
    <row r="268" spans="14:14">
      <c r="N268" s="289"/>
    </row>
    <row r="269" spans="14:14">
      <c r="N269" s="289"/>
    </row>
    <row r="270" spans="14:14">
      <c r="N270" s="289"/>
    </row>
    <row r="271" spans="14:14">
      <c r="N271" s="289"/>
    </row>
    <row r="272" spans="14:14">
      <c r="N272" s="289"/>
    </row>
    <row r="273" spans="14:14">
      <c r="N273" s="289"/>
    </row>
    <row r="274" spans="14:14">
      <c r="N274" s="289"/>
    </row>
    <row r="275" spans="14:14">
      <c r="N275" s="289"/>
    </row>
    <row r="276" spans="14:14">
      <c r="N276" s="289"/>
    </row>
    <row r="277" spans="14:14">
      <c r="N277" s="289"/>
    </row>
    <row r="278" spans="14:14">
      <c r="N278" s="289"/>
    </row>
    <row r="279" spans="14:14">
      <c r="N279" s="289"/>
    </row>
    <row r="280" spans="14:14">
      <c r="N280" s="289"/>
    </row>
    <row r="281" spans="14:14">
      <c r="N281" s="289"/>
    </row>
    <row r="282" spans="14:14">
      <c r="N282" s="289"/>
    </row>
    <row r="283" spans="14:14">
      <c r="N283" s="289"/>
    </row>
    <row r="284" spans="14:14">
      <c r="N284" s="289"/>
    </row>
    <row r="285" spans="14:14">
      <c r="N285" s="289"/>
    </row>
    <row r="286" spans="14:14">
      <c r="N286" s="289"/>
    </row>
    <row r="287" spans="14:14">
      <c r="N287" s="289"/>
    </row>
    <row r="288" spans="14:14">
      <c r="N288" s="289"/>
    </row>
    <row r="289" spans="14:14">
      <c r="N289" s="289"/>
    </row>
    <row r="290" spans="14:14">
      <c r="N290" s="289"/>
    </row>
    <row r="291" spans="14:14">
      <c r="N291" s="289"/>
    </row>
    <row r="292" spans="14:14">
      <c r="N292" s="289"/>
    </row>
    <row r="293" spans="14:14">
      <c r="N293" s="289"/>
    </row>
    <row r="294" spans="14:14">
      <c r="N294" s="289"/>
    </row>
    <row r="295" spans="14:14">
      <c r="N295" s="289"/>
    </row>
    <row r="296" spans="14:14">
      <c r="N296" s="289"/>
    </row>
    <row r="297" spans="14:14">
      <c r="N297" s="289"/>
    </row>
    <row r="298" spans="14:14">
      <c r="N298" s="289"/>
    </row>
    <row r="299" spans="14:14">
      <c r="N299" s="289"/>
    </row>
    <row r="300" spans="14:14">
      <c r="N300" s="289"/>
    </row>
    <row r="301" spans="14:14">
      <c r="N301" s="289"/>
    </row>
    <row r="302" spans="14:14">
      <c r="N302" s="289"/>
    </row>
    <row r="303" spans="14:14">
      <c r="N303" s="289"/>
    </row>
    <row r="304" spans="14:14">
      <c r="N304" s="289"/>
    </row>
    <row r="305" spans="14:14">
      <c r="N305" s="289"/>
    </row>
    <row r="306" spans="14:14">
      <c r="N306" s="289"/>
    </row>
    <row r="307" spans="14:14">
      <c r="N307" s="289"/>
    </row>
    <row r="308" spans="14:14">
      <c r="N308" s="289"/>
    </row>
    <row r="309" spans="14:14">
      <c r="N309" s="289"/>
    </row>
    <row r="310" spans="14:14">
      <c r="N310" s="289"/>
    </row>
    <row r="311" spans="14:14">
      <c r="N311" s="289"/>
    </row>
    <row r="312" spans="14:14">
      <c r="N312" s="289"/>
    </row>
    <row r="313" spans="14:14">
      <c r="N313" s="289"/>
    </row>
    <row r="314" spans="14:14">
      <c r="N314" s="289"/>
    </row>
    <row r="315" spans="14:14">
      <c r="N315" s="289"/>
    </row>
    <row r="316" spans="14:14">
      <c r="N316" s="289"/>
    </row>
    <row r="317" spans="14:14">
      <c r="N317" s="289"/>
    </row>
    <row r="318" spans="14:14">
      <c r="N318" s="289"/>
    </row>
    <row r="319" spans="14:14">
      <c r="N319" s="289"/>
    </row>
    <row r="320" spans="14:14">
      <c r="N320" s="289"/>
    </row>
    <row r="321" spans="14:14">
      <c r="N321" s="289"/>
    </row>
    <row r="322" spans="14:14">
      <c r="N322" s="289"/>
    </row>
    <row r="323" spans="14:14">
      <c r="N323" s="289"/>
    </row>
    <row r="324" spans="14:14">
      <c r="N324" s="289"/>
    </row>
    <row r="325" spans="14:14">
      <c r="N325" s="289"/>
    </row>
    <row r="326" spans="14:14">
      <c r="N326" s="289"/>
    </row>
    <row r="327" spans="14:14">
      <c r="N327" s="289"/>
    </row>
    <row r="328" spans="14:14">
      <c r="N328" s="289"/>
    </row>
    <row r="329" spans="14:14">
      <c r="N329" s="289"/>
    </row>
    <row r="330" spans="14:14">
      <c r="N330" s="289"/>
    </row>
    <row r="331" spans="14:14">
      <c r="N331" s="289"/>
    </row>
    <row r="332" spans="14:14">
      <c r="N332" s="289"/>
    </row>
    <row r="333" spans="14:14">
      <c r="N333" s="289"/>
    </row>
    <row r="334" spans="14:14">
      <c r="N334" s="289"/>
    </row>
    <row r="335" spans="14:14">
      <c r="N335" s="289"/>
    </row>
    <row r="336" spans="14:14">
      <c r="N336" s="289"/>
    </row>
    <row r="337" spans="14:14">
      <c r="N337" s="289"/>
    </row>
    <row r="338" spans="14:14">
      <c r="N338" s="289"/>
    </row>
    <row r="339" spans="14:14">
      <c r="N339" s="289"/>
    </row>
    <row r="340" spans="14:14">
      <c r="N340" s="289"/>
    </row>
    <row r="341" spans="14:14">
      <c r="N341" s="289"/>
    </row>
    <row r="342" spans="14:14">
      <c r="N342" s="289"/>
    </row>
    <row r="343" spans="14:14">
      <c r="N343" s="289"/>
    </row>
    <row r="344" spans="14:14">
      <c r="N344" s="289"/>
    </row>
    <row r="345" spans="14:14">
      <c r="N345" s="289"/>
    </row>
    <row r="346" spans="14:14">
      <c r="N346" s="289"/>
    </row>
    <row r="347" spans="14:14">
      <c r="N347" s="289"/>
    </row>
    <row r="348" spans="14:14">
      <c r="N348" s="289"/>
    </row>
    <row r="349" spans="14:14">
      <c r="N349" s="289"/>
    </row>
    <row r="350" spans="14:14">
      <c r="N350" s="289"/>
    </row>
    <row r="351" spans="14:14">
      <c r="N351" s="289"/>
    </row>
    <row r="352" spans="14:14">
      <c r="N352" s="289"/>
    </row>
    <row r="353" spans="14:14">
      <c r="N353" s="289"/>
    </row>
    <row r="354" spans="14:14">
      <c r="N354" s="289"/>
    </row>
    <row r="355" spans="14:14">
      <c r="N355" s="289"/>
    </row>
    <row r="356" spans="14:14">
      <c r="N356" s="289"/>
    </row>
    <row r="357" spans="14:14">
      <c r="N357" s="289"/>
    </row>
    <row r="358" spans="14:14">
      <c r="N358" s="289"/>
    </row>
    <row r="359" spans="14:14">
      <c r="N359" s="289"/>
    </row>
    <row r="360" spans="14:14">
      <c r="N360" s="289"/>
    </row>
    <row r="361" spans="14:14">
      <c r="N361" s="289"/>
    </row>
    <row r="362" spans="14:14">
      <c r="N362" s="289"/>
    </row>
    <row r="363" spans="14:14">
      <c r="N363" s="289"/>
    </row>
    <row r="364" spans="14:14">
      <c r="N364" s="289"/>
    </row>
    <row r="365" spans="14:14">
      <c r="N365" s="289"/>
    </row>
    <row r="366" spans="14:14">
      <c r="N366" s="289"/>
    </row>
    <row r="367" spans="14:14">
      <c r="N367" s="289"/>
    </row>
    <row r="368" spans="14:14">
      <c r="N368" s="289"/>
    </row>
    <row r="369" spans="14:14">
      <c r="N369" s="289"/>
    </row>
    <row r="370" spans="14:14">
      <c r="N370" s="289"/>
    </row>
    <row r="371" spans="14:14">
      <c r="N371" s="289"/>
    </row>
    <row r="372" spans="14:14">
      <c r="N372" s="289"/>
    </row>
    <row r="373" spans="14:14">
      <c r="N373" s="289"/>
    </row>
    <row r="374" spans="14:14">
      <c r="N374" s="289"/>
    </row>
    <row r="375" spans="14:14">
      <c r="N375" s="289"/>
    </row>
    <row r="376" spans="14:14">
      <c r="N376" s="289"/>
    </row>
    <row r="377" spans="14:14">
      <c r="N377" s="289"/>
    </row>
    <row r="378" spans="14:14">
      <c r="N378" s="289"/>
    </row>
    <row r="379" spans="14:14">
      <c r="N379" s="289"/>
    </row>
    <row r="380" spans="14:14">
      <c r="N380" s="289"/>
    </row>
    <row r="381" spans="14:14">
      <c r="N381" s="289"/>
    </row>
    <row r="382" spans="14:14">
      <c r="N382" s="289"/>
    </row>
    <row r="383" spans="14:14">
      <c r="N383" s="289"/>
    </row>
    <row r="384" spans="14:14">
      <c r="N384" s="289"/>
    </row>
    <row r="385" spans="14:14">
      <c r="N385" s="289"/>
    </row>
    <row r="386" spans="14:14">
      <c r="N386" s="289"/>
    </row>
    <row r="387" spans="14:14">
      <c r="N387" s="289"/>
    </row>
    <row r="388" spans="14:14">
      <c r="N388" s="289"/>
    </row>
    <row r="389" spans="14:14">
      <c r="N389" s="289"/>
    </row>
    <row r="390" spans="14:14">
      <c r="N390" s="289"/>
    </row>
    <row r="391" spans="14:14">
      <c r="N391" s="289"/>
    </row>
    <row r="392" spans="14:14">
      <c r="N392" s="289"/>
    </row>
    <row r="393" spans="14:14">
      <c r="N393" s="289"/>
    </row>
    <row r="394" spans="14:14">
      <c r="N394" s="289"/>
    </row>
    <row r="395" spans="14:14">
      <c r="N395" s="289"/>
    </row>
    <row r="396" spans="14:14">
      <c r="N396" s="289"/>
    </row>
    <row r="397" spans="14:14">
      <c r="N397" s="289"/>
    </row>
    <row r="398" spans="14:14">
      <c r="N398" s="289"/>
    </row>
    <row r="399" spans="14:14">
      <c r="N399" s="289"/>
    </row>
    <row r="400" spans="14:14">
      <c r="N400" s="289"/>
    </row>
    <row r="401" spans="14:14">
      <c r="N401" s="289"/>
    </row>
    <row r="402" spans="14:14">
      <c r="N402" s="289"/>
    </row>
    <row r="403" spans="14:14">
      <c r="N403" s="289"/>
    </row>
    <row r="404" spans="14:14">
      <c r="N404" s="289"/>
    </row>
    <row r="405" spans="14:14">
      <c r="N405" s="289"/>
    </row>
    <row r="406" spans="14:14">
      <c r="N406" s="289"/>
    </row>
    <row r="407" spans="14:14">
      <c r="N407" s="289"/>
    </row>
    <row r="408" spans="14:14">
      <c r="N408" s="289"/>
    </row>
    <row r="409" spans="14:14">
      <c r="N409" s="289"/>
    </row>
    <row r="410" spans="14:14">
      <c r="N410" s="289"/>
    </row>
    <row r="411" spans="14:14">
      <c r="N411" s="289"/>
    </row>
    <row r="412" spans="14:14">
      <c r="N412" s="289"/>
    </row>
    <row r="413" spans="14:14">
      <c r="N413" s="289"/>
    </row>
    <row r="414" spans="14:14">
      <c r="N414" s="289"/>
    </row>
    <row r="415" spans="14:14">
      <c r="N415" s="289"/>
    </row>
    <row r="416" spans="14:14">
      <c r="N416" s="289"/>
    </row>
    <row r="417" spans="14:14">
      <c r="N417" s="289"/>
    </row>
    <row r="418" spans="14:14">
      <c r="N418" s="289"/>
    </row>
    <row r="419" spans="14:14">
      <c r="N419" s="289"/>
    </row>
    <row r="420" spans="14:14">
      <c r="N420" s="289"/>
    </row>
    <row r="421" spans="14:14">
      <c r="N421" s="289"/>
    </row>
    <row r="422" spans="14:14">
      <c r="N422" s="289"/>
    </row>
    <row r="423" spans="14:14">
      <c r="N423" s="289"/>
    </row>
    <row r="424" spans="14:14">
      <c r="N424" s="289"/>
    </row>
    <row r="425" spans="14:14">
      <c r="N425" s="289"/>
    </row>
    <row r="426" spans="14:14">
      <c r="N426" s="289"/>
    </row>
    <row r="427" spans="14:14">
      <c r="N427" s="289"/>
    </row>
    <row r="428" spans="14:14">
      <c r="N428" s="289"/>
    </row>
    <row r="429" spans="14:14">
      <c r="N429" s="289"/>
    </row>
    <row r="430" spans="14:14">
      <c r="N430" s="289"/>
    </row>
    <row r="431" spans="14:14">
      <c r="N431" s="289"/>
    </row>
    <row r="432" spans="14:14">
      <c r="N432" s="289"/>
    </row>
    <row r="433" spans="14:14">
      <c r="N433" s="289"/>
    </row>
    <row r="434" spans="14:14">
      <c r="N434" s="289"/>
    </row>
    <row r="435" spans="14:14">
      <c r="N435" s="289"/>
    </row>
    <row r="436" spans="14:14">
      <c r="N436" s="289"/>
    </row>
    <row r="437" spans="14:14">
      <c r="N437" s="289"/>
    </row>
    <row r="438" spans="14:14">
      <c r="N438" s="289"/>
    </row>
    <row r="439" spans="14:14">
      <c r="N439" s="289"/>
    </row>
    <row r="440" spans="14:14">
      <c r="N440" s="289"/>
    </row>
    <row r="441" spans="14:14">
      <c r="N441" s="289"/>
    </row>
    <row r="442" spans="14:14">
      <c r="N442" s="289"/>
    </row>
    <row r="443" spans="14:14">
      <c r="N443" s="289"/>
    </row>
    <row r="444" spans="14:14">
      <c r="N444" s="289"/>
    </row>
    <row r="445" spans="14:14">
      <c r="N445" s="289"/>
    </row>
    <row r="446" spans="14:14">
      <c r="N446" s="289"/>
    </row>
    <row r="447" spans="14:14">
      <c r="N447" s="289"/>
    </row>
    <row r="448" spans="14:14">
      <c r="N448" s="289"/>
    </row>
    <row r="449" spans="14:14">
      <c r="N449" s="289"/>
    </row>
    <row r="450" spans="14:14">
      <c r="N450" s="289"/>
    </row>
    <row r="451" spans="14:14">
      <c r="N451" s="289"/>
    </row>
    <row r="452" spans="14:14">
      <c r="N452" s="289"/>
    </row>
    <row r="453" spans="14:14">
      <c r="N453" s="289"/>
    </row>
    <row r="454" spans="14:14">
      <c r="N454" s="289"/>
    </row>
    <row r="455" spans="14:14">
      <c r="N455" s="289"/>
    </row>
    <row r="456" spans="14:14">
      <c r="N456" s="289"/>
    </row>
    <row r="457" spans="14:14">
      <c r="N457" s="289"/>
    </row>
    <row r="458" spans="14:14">
      <c r="N458" s="289"/>
    </row>
    <row r="459" spans="14:14">
      <c r="N459" s="289"/>
    </row>
    <row r="460" spans="14:14">
      <c r="N460" s="289"/>
    </row>
    <row r="461" spans="14:14">
      <c r="N461" s="289"/>
    </row>
    <row r="462" spans="14:14">
      <c r="N462" s="289"/>
    </row>
    <row r="463" spans="14:14">
      <c r="N463" s="289"/>
    </row>
    <row r="464" spans="14:14">
      <c r="N464" s="289"/>
    </row>
    <row r="465" spans="14:14">
      <c r="N465" s="289"/>
    </row>
    <row r="466" spans="14:14">
      <c r="N466" s="289"/>
    </row>
    <row r="467" spans="14:14">
      <c r="N467" s="289"/>
    </row>
    <row r="468" spans="14:14">
      <c r="N468" s="289"/>
    </row>
    <row r="469" spans="14:14">
      <c r="N469" s="289"/>
    </row>
    <row r="470" spans="14:14">
      <c r="N470" s="289"/>
    </row>
    <row r="471" spans="14:14">
      <c r="N471" s="289"/>
    </row>
    <row r="472" spans="14:14">
      <c r="N472" s="289"/>
    </row>
    <row r="473" spans="14:14">
      <c r="N473" s="289"/>
    </row>
    <row r="474" spans="14:14">
      <c r="N474" s="289"/>
    </row>
    <row r="475" spans="14:14">
      <c r="N475" s="289"/>
    </row>
    <row r="476" spans="14:14">
      <c r="N476" s="289"/>
    </row>
    <row r="477" spans="14:14">
      <c r="N477" s="289"/>
    </row>
    <row r="478" spans="14:14">
      <c r="N478" s="289"/>
    </row>
    <row r="479" spans="14:14">
      <c r="N479" s="289"/>
    </row>
    <row r="480" spans="14:14">
      <c r="N480" s="289"/>
    </row>
    <row r="481" spans="14:14">
      <c r="N481" s="289"/>
    </row>
    <row r="482" spans="14:14">
      <c r="N482" s="289"/>
    </row>
    <row r="483" spans="14:14">
      <c r="N483" s="289"/>
    </row>
    <row r="484" spans="14:14">
      <c r="N484" s="289"/>
    </row>
    <row r="485" spans="14:14">
      <c r="N485" s="289"/>
    </row>
    <row r="486" spans="14:14">
      <c r="N486" s="289"/>
    </row>
    <row r="487" spans="14:14">
      <c r="N487" s="289"/>
    </row>
    <row r="488" spans="14:14">
      <c r="N488" s="289"/>
    </row>
    <row r="489" spans="14:14">
      <c r="N489" s="289"/>
    </row>
    <row r="490" spans="14:14">
      <c r="N490" s="289"/>
    </row>
    <row r="491" spans="14:14">
      <c r="N491" s="289"/>
    </row>
    <row r="492" spans="14:14">
      <c r="N492" s="289"/>
    </row>
    <row r="493" spans="14:14">
      <c r="N493" s="289"/>
    </row>
    <row r="494" spans="14:14">
      <c r="N494" s="289"/>
    </row>
    <row r="495" spans="14:14">
      <c r="N495" s="289"/>
    </row>
    <row r="496" spans="14:14">
      <c r="N496" s="289"/>
    </row>
    <row r="497" spans="14:14">
      <c r="N497" s="289"/>
    </row>
    <row r="498" spans="14:14">
      <c r="N498" s="289"/>
    </row>
    <row r="499" spans="14:14">
      <c r="N499" s="289"/>
    </row>
    <row r="500" spans="14:14">
      <c r="N500" s="289"/>
    </row>
    <row r="501" spans="14:14">
      <c r="N501" s="289"/>
    </row>
    <row r="502" spans="14:14">
      <c r="N502" s="289"/>
    </row>
    <row r="503" spans="14:14">
      <c r="N503" s="289"/>
    </row>
    <row r="504" spans="14:14">
      <c r="N504" s="289"/>
    </row>
    <row r="505" spans="14:14">
      <c r="N505" s="289"/>
    </row>
    <row r="506" spans="14:14">
      <c r="N506" s="289"/>
    </row>
    <row r="507" spans="14:14">
      <c r="N507" s="289"/>
    </row>
    <row r="508" spans="14:14">
      <c r="N508" s="289"/>
    </row>
    <row r="509" spans="14:14">
      <c r="N509" s="289"/>
    </row>
    <row r="510" spans="14:14">
      <c r="N510" s="289"/>
    </row>
    <row r="511" spans="14:14">
      <c r="N511" s="289"/>
    </row>
    <row r="512" spans="14:14">
      <c r="N512" s="289"/>
    </row>
    <row r="513" spans="14:14">
      <c r="N513" s="289"/>
    </row>
    <row r="514" spans="14:14">
      <c r="N514" s="289"/>
    </row>
    <row r="515" spans="14:14">
      <c r="N515" s="289"/>
    </row>
    <row r="516" spans="14:14">
      <c r="N516" s="289"/>
    </row>
    <row r="517" spans="14:14">
      <c r="N517" s="289"/>
    </row>
    <row r="518" spans="14:14">
      <c r="N518" s="289"/>
    </row>
    <row r="519" spans="14:14">
      <c r="N519" s="289"/>
    </row>
    <row r="520" spans="14:14">
      <c r="N520" s="289"/>
    </row>
    <row r="521" spans="14:14">
      <c r="N521" s="289"/>
    </row>
    <row r="522" spans="14:14">
      <c r="N522" s="289"/>
    </row>
    <row r="523" spans="14:14">
      <c r="N523" s="289"/>
    </row>
    <row r="524" spans="14:14">
      <c r="N524" s="289"/>
    </row>
    <row r="525" spans="14:14">
      <c r="N525" s="289"/>
    </row>
    <row r="526" spans="14:14">
      <c r="N526" s="289"/>
    </row>
    <row r="527" spans="14:14">
      <c r="N527" s="289"/>
    </row>
    <row r="528" spans="14:14">
      <c r="N528" s="289"/>
    </row>
    <row r="529" spans="14:14">
      <c r="N529" s="289"/>
    </row>
    <row r="530" spans="14:14">
      <c r="N530" s="289"/>
    </row>
    <row r="531" spans="14:14">
      <c r="N531" s="289"/>
    </row>
    <row r="532" spans="14:14">
      <c r="N532" s="289"/>
    </row>
    <row r="533" spans="14:14">
      <c r="N533" s="289"/>
    </row>
    <row r="534" spans="14:14">
      <c r="N534" s="289"/>
    </row>
    <row r="535" spans="14:14">
      <c r="N535" s="289"/>
    </row>
    <row r="536" spans="14:14">
      <c r="N536" s="289"/>
    </row>
    <row r="537" spans="14:14">
      <c r="N537" s="289"/>
    </row>
    <row r="538" spans="14:14">
      <c r="N538" s="289"/>
    </row>
    <row r="539" spans="14:14">
      <c r="N539" s="289"/>
    </row>
    <row r="540" spans="14:14">
      <c r="N540" s="289"/>
    </row>
    <row r="541" spans="14:14">
      <c r="N541" s="289"/>
    </row>
    <row r="542" spans="14:14">
      <c r="N542" s="289"/>
    </row>
    <row r="543" spans="14:14">
      <c r="N543" s="289"/>
    </row>
    <row r="544" spans="14:14">
      <c r="N544" s="289"/>
    </row>
    <row r="545" spans="14:14">
      <c r="N545" s="289"/>
    </row>
    <row r="546" spans="14:14">
      <c r="N546" s="289"/>
    </row>
    <row r="547" spans="14:14">
      <c r="N547" s="289"/>
    </row>
    <row r="548" spans="14:14">
      <c r="N548" s="289"/>
    </row>
    <row r="549" spans="14:14">
      <c r="N549" s="289"/>
    </row>
    <row r="550" spans="14:14">
      <c r="N550" s="289"/>
    </row>
    <row r="551" spans="14:14">
      <c r="N551" s="289"/>
    </row>
    <row r="552" spans="14:14">
      <c r="N552" s="289"/>
    </row>
    <row r="553" spans="14:14">
      <c r="N553" s="289"/>
    </row>
    <row r="554" spans="14:14">
      <c r="N554" s="289"/>
    </row>
    <row r="555" spans="14:14">
      <c r="N555" s="289"/>
    </row>
    <row r="556" spans="14:14">
      <c r="N556" s="289"/>
    </row>
    <row r="557" spans="14:14">
      <c r="N557" s="289"/>
    </row>
    <row r="558" spans="14:14">
      <c r="N558" s="289"/>
    </row>
    <row r="559" spans="14:14">
      <c r="N559" s="289"/>
    </row>
    <row r="560" spans="14:14">
      <c r="N560" s="289"/>
    </row>
    <row r="561" spans="14:14">
      <c r="N561" s="289"/>
    </row>
    <row r="562" spans="14:14">
      <c r="N562" s="289"/>
    </row>
    <row r="563" spans="14:14">
      <c r="N563" s="289"/>
    </row>
    <row r="564" spans="14:14">
      <c r="N564" s="289"/>
    </row>
    <row r="565" spans="14:14">
      <c r="N565" s="289"/>
    </row>
    <row r="566" spans="14:14">
      <c r="N566" s="289"/>
    </row>
    <row r="567" spans="14:14">
      <c r="N567" s="289"/>
    </row>
    <row r="568" spans="14:14">
      <c r="N568" s="289"/>
    </row>
    <row r="569" spans="14:14">
      <c r="N569" s="289"/>
    </row>
    <row r="570" spans="14:14">
      <c r="N570" s="289"/>
    </row>
    <row r="571" spans="14:14">
      <c r="N571" s="289"/>
    </row>
    <row r="572" spans="14:14">
      <c r="N572" s="289"/>
    </row>
    <row r="573" spans="14:14">
      <c r="N573" s="289"/>
    </row>
    <row r="574" spans="14:14">
      <c r="N574" s="289"/>
    </row>
    <row r="575" spans="14:14">
      <c r="N575" s="289"/>
    </row>
    <row r="576" spans="14:14">
      <c r="N576" s="289"/>
    </row>
    <row r="577" spans="14:14">
      <c r="N577" s="289"/>
    </row>
    <row r="578" spans="14:14">
      <c r="N578" s="289"/>
    </row>
    <row r="579" spans="14:14">
      <c r="N579" s="289"/>
    </row>
    <row r="580" spans="14:14">
      <c r="N580" s="289"/>
    </row>
    <row r="581" spans="14:14">
      <c r="N581" s="289"/>
    </row>
    <row r="582" spans="14:14">
      <c r="N582" s="289"/>
    </row>
    <row r="583" spans="14:14">
      <c r="N583" s="289"/>
    </row>
    <row r="584" spans="14:14">
      <c r="N584" s="289"/>
    </row>
    <row r="585" spans="14:14">
      <c r="N585" s="289"/>
    </row>
    <row r="586" spans="14:14">
      <c r="N586" s="289"/>
    </row>
    <row r="587" spans="14:14">
      <c r="N587" s="289"/>
    </row>
    <row r="588" spans="14:14">
      <c r="N588" s="289"/>
    </row>
    <row r="589" spans="14:14">
      <c r="N589" s="289"/>
    </row>
    <row r="590" spans="14:14">
      <c r="N590" s="289"/>
    </row>
    <row r="591" spans="14:14">
      <c r="N591" s="289"/>
    </row>
    <row r="592" spans="14:14">
      <c r="N592" s="289"/>
    </row>
    <row r="593" spans="14:14">
      <c r="N593" s="289"/>
    </row>
    <row r="594" spans="14:14">
      <c r="N594" s="289"/>
    </row>
    <row r="595" spans="14:14">
      <c r="N595" s="289"/>
    </row>
    <row r="596" spans="14:14">
      <c r="N596" s="289"/>
    </row>
    <row r="597" spans="14:14">
      <c r="N597" s="289"/>
    </row>
    <row r="598" spans="14:14">
      <c r="N598" s="289"/>
    </row>
    <row r="599" spans="14:14">
      <c r="N599" s="289"/>
    </row>
    <row r="600" spans="14:14">
      <c r="N600" s="289"/>
    </row>
    <row r="601" spans="14:14">
      <c r="N601" s="289"/>
    </row>
    <row r="602" spans="14:14">
      <c r="N602" s="289"/>
    </row>
    <row r="603" spans="14:14">
      <c r="N603" s="289"/>
    </row>
    <row r="604" spans="14:14">
      <c r="N604" s="289"/>
    </row>
    <row r="605" spans="14:14">
      <c r="N605" s="289"/>
    </row>
    <row r="606" spans="14:14">
      <c r="N606" s="289"/>
    </row>
    <row r="607" spans="14:14">
      <c r="N607" s="289"/>
    </row>
    <row r="608" spans="14:14">
      <c r="N608" s="289"/>
    </row>
    <row r="609" spans="14:14">
      <c r="N609" s="289"/>
    </row>
    <row r="610" spans="14:14">
      <c r="N610" s="289"/>
    </row>
    <row r="611" spans="14:14">
      <c r="N611" s="289"/>
    </row>
    <row r="612" spans="14:14">
      <c r="N612" s="289"/>
    </row>
    <row r="613" spans="14:14">
      <c r="N613" s="289"/>
    </row>
    <row r="614" spans="14:14">
      <c r="N614" s="289"/>
    </row>
    <row r="615" spans="14:14">
      <c r="N615" s="289"/>
    </row>
    <row r="616" spans="14:14">
      <c r="N616" s="289"/>
    </row>
    <row r="617" spans="14:14">
      <c r="N617" s="289"/>
    </row>
    <row r="618" spans="14:14">
      <c r="N618" s="289"/>
    </row>
    <row r="619" spans="14:14">
      <c r="N619" s="289"/>
    </row>
    <row r="620" spans="14:14">
      <c r="N620" s="289"/>
    </row>
    <row r="621" spans="14:14">
      <c r="N621" s="289"/>
    </row>
    <row r="622" spans="14:14">
      <c r="N622" s="289"/>
    </row>
    <row r="623" spans="14:14">
      <c r="N623" s="289"/>
    </row>
    <row r="624" spans="14:14">
      <c r="N624" s="289"/>
    </row>
    <row r="625" spans="14:14">
      <c r="N625" s="289"/>
    </row>
    <row r="626" spans="14:14">
      <c r="N626" s="289"/>
    </row>
    <row r="627" spans="14:14">
      <c r="N627" s="289"/>
    </row>
    <row r="628" spans="14:14">
      <c r="N628" s="289"/>
    </row>
    <row r="629" spans="14:14">
      <c r="N629" s="289"/>
    </row>
    <row r="630" spans="14:14">
      <c r="N630" s="289"/>
    </row>
    <row r="631" spans="14:14">
      <c r="N631" s="289"/>
    </row>
    <row r="632" spans="14:14">
      <c r="N632" s="289"/>
    </row>
    <row r="633" spans="14:14">
      <c r="N633" s="289"/>
    </row>
    <row r="634" spans="14:14">
      <c r="N634" s="289"/>
    </row>
    <row r="635" spans="14:14">
      <c r="N635" s="289"/>
    </row>
    <row r="636" spans="14:14">
      <c r="N636" s="289"/>
    </row>
    <row r="637" spans="14:14">
      <c r="N637" s="289"/>
    </row>
    <row r="638" spans="14:14">
      <c r="N638" s="289"/>
    </row>
    <row r="639" spans="14:14">
      <c r="N639" s="289"/>
    </row>
    <row r="640" spans="14:14">
      <c r="N640" s="289"/>
    </row>
    <row r="641" spans="14:14">
      <c r="N641" s="289"/>
    </row>
    <row r="642" spans="14:14">
      <c r="N642" s="289"/>
    </row>
    <row r="643" spans="14:14">
      <c r="N643" s="289"/>
    </row>
    <row r="644" spans="14:14">
      <c r="N644" s="289"/>
    </row>
    <row r="645" spans="14:14">
      <c r="N645" s="289"/>
    </row>
    <row r="646" spans="14:14">
      <c r="N646" s="289"/>
    </row>
    <row r="647" spans="14:14">
      <c r="N647" s="289"/>
    </row>
    <row r="648" spans="14:14">
      <c r="N648" s="289"/>
    </row>
    <row r="649" spans="14:14">
      <c r="N649" s="289"/>
    </row>
    <row r="650" spans="14:14">
      <c r="N650" s="289"/>
    </row>
    <row r="651" spans="14:14">
      <c r="N651" s="289"/>
    </row>
    <row r="652" spans="14:14">
      <c r="N652" s="289"/>
    </row>
    <row r="653" spans="14:14">
      <c r="N653" s="289"/>
    </row>
    <row r="654" spans="14:14">
      <c r="N654" s="289"/>
    </row>
    <row r="655" spans="14:14">
      <c r="N655" s="289"/>
    </row>
    <row r="656" spans="14:14">
      <c r="N656" s="289"/>
    </row>
    <row r="657" spans="14:14">
      <c r="N657" s="289"/>
    </row>
    <row r="658" spans="14:14">
      <c r="N658" s="289"/>
    </row>
    <row r="659" spans="14:14">
      <c r="N659" s="289"/>
    </row>
    <row r="660" spans="14:14">
      <c r="N660" s="289"/>
    </row>
    <row r="661" spans="14:14">
      <c r="N661" s="289"/>
    </row>
    <row r="662" spans="14:14">
      <c r="N662" s="289"/>
    </row>
    <row r="663" spans="14:14">
      <c r="N663" s="289"/>
    </row>
    <row r="664" spans="14:14">
      <c r="N664" s="289"/>
    </row>
    <row r="665" spans="14:14">
      <c r="N665" s="289"/>
    </row>
    <row r="666" spans="14:14">
      <c r="N666" s="289"/>
    </row>
    <row r="667" spans="14:14">
      <c r="N667" s="289"/>
    </row>
    <row r="668" spans="14:14">
      <c r="N668" s="289"/>
    </row>
    <row r="669" spans="14:14">
      <c r="N669" s="289"/>
    </row>
    <row r="670" spans="14:14">
      <c r="N670" s="289"/>
    </row>
    <row r="671" spans="14:14">
      <c r="N671" s="289"/>
    </row>
    <row r="672" spans="14:14">
      <c r="N672" s="289"/>
    </row>
    <row r="673" spans="14:14">
      <c r="N673" s="289"/>
    </row>
    <row r="674" spans="14:14">
      <c r="N674" s="289"/>
    </row>
    <row r="675" spans="14:14">
      <c r="N675" s="289"/>
    </row>
    <row r="676" spans="14:14">
      <c r="N676" s="289"/>
    </row>
    <row r="677" spans="14:14">
      <c r="N677" s="289"/>
    </row>
    <row r="678" spans="14:14">
      <c r="N678" s="289"/>
    </row>
    <row r="679" spans="14:14">
      <c r="N679" s="289"/>
    </row>
    <row r="680" spans="14:14">
      <c r="N680" s="289"/>
    </row>
    <row r="681" spans="14:14">
      <c r="N681" s="289"/>
    </row>
    <row r="682" spans="14:14">
      <c r="N682" s="289"/>
    </row>
    <row r="683" spans="14:14">
      <c r="N683" s="289"/>
    </row>
    <row r="684" spans="14:14">
      <c r="N684" s="289"/>
    </row>
    <row r="685" spans="14:14">
      <c r="N685" s="289"/>
    </row>
    <row r="686" spans="14:14">
      <c r="N686" s="289"/>
    </row>
    <row r="687" spans="14:14">
      <c r="N687" s="289"/>
    </row>
    <row r="688" spans="14:14">
      <c r="N688" s="289"/>
    </row>
    <row r="689" spans="14:14">
      <c r="N689" s="289"/>
    </row>
    <row r="690" spans="14:14">
      <c r="N690" s="289"/>
    </row>
    <row r="691" spans="14:14">
      <c r="N691" s="289"/>
    </row>
    <row r="692" spans="14:14">
      <c r="N692" s="289"/>
    </row>
    <row r="693" spans="14:14">
      <c r="N693" s="289"/>
    </row>
    <row r="694" spans="14:14">
      <c r="N694" s="289"/>
    </row>
    <row r="695" spans="14:14">
      <c r="N695" s="289"/>
    </row>
    <row r="696" spans="14:14">
      <c r="N696" s="289"/>
    </row>
    <row r="697" spans="14:14">
      <c r="N697" s="289"/>
    </row>
    <row r="698" spans="14:14">
      <c r="N698" s="289"/>
    </row>
    <row r="699" spans="14:14">
      <c r="N699" s="289"/>
    </row>
    <row r="700" spans="14:14">
      <c r="N700" s="289"/>
    </row>
    <row r="701" spans="14:14">
      <c r="N701" s="289"/>
    </row>
    <row r="702" spans="14:14">
      <c r="N702" s="289"/>
    </row>
    <row r="703" spans="14:14">
      <c r="N703" s="289"/>
    </row>
    <row r="704" spans="14:14">
      <c r="N704" s="289"/>
    </row>
    <row r="705" spans="14:14">
      <c r="N705" s="289"/>
    </row>
    <row r="706" spans="14:14">
      <c r="N706" s="289"/>
    </row>
    <row r="707" spans="14:14">
      <c r="N707" s="289"/>
    </row>
    <row r="708" spans="14:14">
      <c r="N708" s="289"/>
    </row>
    <row r="709" spans="14:14">
      <c r="N709" s="289"/>
    </row>
    <row r="710" spans="14:14">
      <c r="N710" s="289"/>
    </row>
    <row r="711" spans="14:14">
      <c r="N711" s="289"/>
    </row>
    <row r="712" spans="14:14">
      <c r="N712" s="289"/>
    </row>
    <row r="713" spans="14:14">
      <c r="N713" s="289"/>
    </row>
    <row r="714" spans="14:14">
      <c r="N714" s="289"/>
    </row>
    <row r="715" spans="14:14">
      <c r="N715" s="289"/>
    </row>
    <row r="716" spans="14:14">
      <c r="N716" s="289"/>
    </row>
    <row r="717" spans="14:14">
      <c r="N717" s="289"/>
    </row>
    <row r="718" spans="14:14">
      <c r="N718" s="289"/>
    </row>
    <row r="719" spans="14:14">
      <c r="N719" s="289"/>
    </row>
    <row r="720" spans="14:14">
      <c r="N720" s="289"/>
    </row>
    <row r="721" spans="14:14">
      <c r="N721" s="289"/>
    </row>
    <row r="722" spans="14:14">
      <c r="N722" s="289"/>
    </row>
    <row r="723" spans="14:14">
      <c r="N723" s="289"/>
    </row>
    <row r="724" spans="14:14">
      <c r="N724" s="289"/>
    </row>
    <row r="725" spans="14:14">
      <c r="N725" s="289"/>
    </row>
    <row r="726" spans="14:14">
      <c r="N726" s="289"/>
    </row>
    <row r="727" spans="14:14">
      <c r="N727" s="289"/>
    </row>
    <row r="728" spans="14:14">
      <c r="N728" s="289"/>
    </row>
    <row r="729" spans="14:14">
      <c r="N729" s="289"/>
    </row>
    <row r="730" spans="14:14">
      <c r="N730" s="289"/>
    </row>
    <row r="731" spans="14:14">
      <c r="N731" s="289"/>
    </row>
    <row r="732" spans="14:14">
      <c r="N732" s="289"/>
    </row>
    <row r="733" spans="14:14">
      <c r="N733" s="289"/>
    </row>
    <row r="734" spans="14:14">
      <c r="N734" s="289"/>
    </row>
    <row r="735" spans="14:14">
      <c r="N735" s="289"/>
    </row>
    <row r="736" spans="14:14">
      <c r="N736" s="289"/>
    </row>
    <row r="737" spans="14:14">
      <c r="N737" s="289"/>
    </row>
    <row r="738" spans="14:14">
      <c r="N738" s="289"/>
    </row>
    <row r="739" spans="14:14">
      <c r="N739" s="289"/>
    </row>
    <row r="740" spans="14:14">
      <c r="N740" s="289"/>
    </row>
    <row r="741" spans="14:14">
      <c r="N741" s="289"/>
    </row>
    <row r="742" spans="14:14">
      <c r="N742" s="289"/>
    </row>
    <row r="743" spans="14:14">
      <c r="N743" s="289"/>
    </row>
    <row r="744" spans="14:14">
      <c r="N744" s="289"/>
    </row>
    <row r="745" spans="14:14">
      <c r="N745" s="289"/>
    </row>
    <row r="746" spans="14:14">
      <c r="N746" s="289"/>
    </row>
    <row r="747" spans="14:14">
      <c r="N747" s="289"/>
    </row>
    <row r="748" spans="14:14">
      <c r="N748" s="289"/>
    </row>
    <row r="749" spans="14:14">
      <c r="N749" s="289"/>
    </row>
    <row r="750" spans="14:14">
      <c r="N750" s="289"/>
    </row>
    <row r="751" spans="14:14">
      <c r="N751" s="289"/>
    </row>
    <row r="752" spans="14:14">
      <c r="N752" s="289"/>
    </row>
    <row r="753" spans="14:14">
      <c r="N753" s="289"/>
    </row>
    <row r="754" spans="14:14">
      <c r="N754" s="289"/>
    </row>
    <row r="755" spans="14:14">
      <c r="N755" s="289"/>
    </row>
    <row r="756" spans="14:14">
      <c r="N756" s="289"/>
    </row>
    <row r="757" spans="14:14">
      <c r="N757" s="289"/>
    </row>
    <row r="758" spans="14:14">
      <c r="N758" s="289"/>
    </row>
    <row r="759" spans="14:14">
      <c r="N759" s="289"/>
    </row>
    <row r="760" spans="14:14">
      <c r="N760" s="289"/>
    </row>
    <row r="761" spans="14:14">
      <c r="N761" s="289"/>
    </row>
    <row r="762" spans="14:14">
      <c r="N762" s="289"/>
    </row>
    <row r="763" spans="14:14">
      <c r="N763" s="289"/>
    </row>
    <row r="764" spans="14:14">
      <c r="N764" s="289"/>
    </row>
    <row r="765" spans="14:14">
      <c r="N765" s="289"/>
    </row>
    <row r="766" spans="14:14">
      <c r="N766" s="289"/>
    </row>
    <row r="767" spans="14:14">
      <c r="N767" s="289"/>
    </row>
    <row r="768" spans="14:14">
      <c r="N768" s="289"/>
    </row>
    <row r="769" spans="14:14">
      <c r="N769" s="289"/>
    </row>
    <row r="770" spans="14:14">
      <c r="N770" s="289"/>
    </row>
    <row r="771" spans="14:14">
      <c r="N771" s="289"/>
    </row>
    <row r="772" spans="14:14">
      <c r="N772" s="289"/>
    </row>
    <row r="773" spans="14:14">
      <c r="N773" s="289"/>
    </row>
    <row r="774" spans="14:14">
      <c r="N774" s="289"/>
    </row>
    <row r="775" spans="14:14">
      <c r="N775" s="289"/>
    </row>
    <row r="776" spans="14:14">
      <c r="N776" s="289"/>
    </row>
    <row r="777" spans="14:14">
      <c r="N777" s="289"/>
    </row>
    <row r="778" spans="14:14">
      <c r="N778" s="289"/>
    </row>
    <row r="779" spans="14:14">
      <c r="N779" s="289"/>
    </row>
    <row r="780" spans="14:14">
      <c r="N780" s="289"/>
    </row>
    <row r="781" spans="14:14">
      <c r="N781" s="289"/>
    </row>
    <row r="782" spans="14:14">
      <c r="N782" s="289"/>
    </row>
    <row r="783" spans="14:14">
      <c r="N783" s="289"/>
    </row>
    <row r="784" spans="14:14">
      <c r="N784" s="289"/>
    </row>
    <row r="785" spans="14:14">
      <c r="N785" s="289"/>
    </row>
    <row r="786" spans="14:14">
      <c r="N786" s="289"/>
    </row>
    <row r="787" spans="14:14">
      <c r="N787" s="289"/>
    </row>
    <row r="788" spans="14:14">
      <c r="N788" s="289"/>
    </row>
    <row r="789" spans="14:14">
      <c r="N789" s="289"/>
    </row>
    <row r="790" spans="14:14">
      <c r="N790" s="289"/>
    </row>
    <row r="791" spans="14:14">
      <c r="N791" s="289"/>
    </row>
    <row r="792" spans="14:14">
      <c r="N792" s="289"/>
    </row>
    <row r="793" spans="14:14">
      <c r="N793" s="289"/>
    </row>
    <row r="794" spans="14:14">
      <c r="N794" s="289"/>
    </row>
    <row r="795" spans="14:14">
      <c r="N795" s="289"/>
    </row>
    <row r="796" spans="14:14">
      <c r="N796" s="289"/>
    </row>
    <row r="797" spans="14:14">
      <c r="N797" s="289"/>
    </row>
    <row r="798" spans="14:14">
      <c r="N798" s="289"/>
    </row>
    <row r="799" spans="14:14">
      <c r="N799" s="289"/>
    </row>
    <row r="800" spans="14:14">
      <c r="N800" s="289"/>
    </row>
    <row r="801" spans="14:14">
      <c r="N801" s="289"/>
    </row>
    <row r="802" spans="14:14">
      <c r="N802" s="289"/>
    </row>
    <row r="803" spans="14:14">
      <c r="N803" s="289"/>
    </row>
    <row r="804" spans="14:14">
      <c r="N804" s="289"/>
    </row>
    <row r="805" spans="14:14">
      <c r="N805" s="289"/>
    </row>
    <row r="806" spans="14:14">
      <c r="N806" s="289"/>
    </row>
    <row r="807" spans="14:14">
      <c r="N807" s="289"/>
    </row>
    <row r="808" spans="14:14">
      <c r="N808" s="289"/>
    </row>
    <row r="809" spans="14:14">
      <c r="N809" s="289"/>
    </row>
    <row r="810" spans="14:14">
      <c r="N810" s="289"/>
    </row>
    <row r="811" spans="14:14">
      <c r="N811" s="289"/>
    </row>
    <row r="812" spans="14:14">
      <c r="N812" s="289"/>
    </row>
    <row r="813" spans="14:14">
      <c r="N813" s="289"/>
    </row>
    <row r="814" spans="14:14">
      <c r="N814" s="289"/>
    </row>
    <row r="815" spans="14:14">
      <c r="N815" s="289"/>
    </row>
    <row r="816" spans="14:14">
      <c r="N816" s="289"/>
    </row>
    <row r="817" spans="14:14">
      <c r="N817" s="289"/>
    </row>
    <row r="818" spans="14:14">
      <c r="N818" s="289"/>
    </row>
    <row r="819" spans="14:14">
      <c r="N819" s="289"/>
    </row>
    <row r="820" spans="14:14">
      <c r="N820" s="289"/>
    </row>
    <row r="821" spans="14:14">
      <c r="N821" s="289"/>
    </row>
    <row r="822" spans="14:14">
      <c r="N822" s="289"/>
    </row>
    <row r="823" spans="14:14">
      <c r="N823" s="289"/>
    </row>
    <row r="824" spans="14:14">
      <c r="N824" s="289"/>
    </row>
    <row r="825" spans="14:14">
      <c r="N825" s="289"/>
    </row>
    <row r="826" spans="14:14">
      <c r="N826" s="289"/>
    </row>
    <row r="827" spans="14:14">
      <c r="N827" s="289"/>
    </row>
    <row r="828" spans="14:14">
      <c r="N828" s="289"/>
    </row>
    <row r="829" spans="14:14">
      <c r="N829" s="289"/>
    </row>
    <row r="830" spans="14:14">
      <c r="N830" s="289"/>
    </row>
    <row r="831" spans="14:14">
      <c r="N831" s="289"/>
    </row>
    <row r="832" spans="14:14">
      <c r="N832" s="289"/>
    </row>
    <row r="833" spans="14:14">
      <c r="N833" s="289"/>
    </row>
    <row r="834" spans="14:14">
      <c r="N834" s="289"/>
    </row>
    <row r="835" spans="14:14">
      <c r="N835" s="289"/>
    </row>
    <row r="836" spans="14:14">
      <c r="N836" s="289"/>
    </row>
    <row r="837" spans="14:14">
      <c r="N837" s="289"/>
    </row>
    <row r="838" spans="14:14">
      <c r="N838" s="289"/>
    </row>
    <row r="839" spans="14:14">
      <c r="N839" s="289"/>
    </row>
    <row r="840" spans="14:14">
      <c r="N840" s="289"/>
    </row>
    <row r="841" spans="14:14">
      <c r="N841" s="289"/>
    </row>
    <row r="842" spans="14:14">
      <c r="N842" s="289"/>
    </row>
    <row r="843" spans="14:14">
      <c r="N843" s="289"/>
    </row>
    <row r="844" spans="14:14">
      <c r="N844" s="289"/>
    </row>
    <row r="845" spans="14:14">
      <c r="N845" s="289"/>
    </row>
    <row r="846" spans="14:14">
      <c r="N846" s="289"/>
    </row>
    <row r="847" spans="14:14">
      <c r="N847" s="289"/>
    </row>
    <row r="848" spans="14:14">
      <c r="N848" s="289"/>
    </row>
    <row r="849" spans="14:14">
      <c r="N849" s="289"/>
    </row>
    <row r="850" spans="14:14">
      <c r="N850" s="289"/>
    </row>
    <row r="851" spans="14:14">
      <c r="N851" s="289"/>
    </row>
    <row r="852" spans="14:14">
      <c r="N852" s="289"/>
    </row>
    <row r="853" spans="14:14">
      <c r="N853" s="289"/>
    </row>
    <row r="854" spans="14:14">
      <c r="N854" s="289"/>
    </row>
    <row r="855" spans="14:14">
      <c r="N855" s="289"/>
    </row>
    <row r="856" spans="14:14">
      <c r="N856" s="289"/>
    </row>
    <row r="857" spans="14:14">
      <c r="N857" s="289"/>
    </row>
    <row r="858" spans="14:14">
      <c r="N858" s="289"/>
    </row>
    <row r="859" spans="14:14">
      <c r="N859" s="289"/>
    </row>
    <row r="860" spans="14:14">
      <c r="N860" s="289"/>
    </row>
    <row r="861" spans="14:14">
      <c r="N861" s="289"/>
    </row>
    <row r="862" spans="14:14">
      <c r="N862" s="289"/>
    </row>
    <row r="863" spans="14:14">
      <c r="N863" s="289"/>
    </row>
    <row r="864" spans="14:14">
      <c r="N864" s="289"/>
    </row>
    <row r="865" spans="14:14">
      <c r="N865" s="289"/>
    </row>
    <row r="866" spans="14:14">
      <c r="N866" s="289"/>
    </row>
    <row r="867" spans="14:14">
      <c r="N867" s="289"/>
    </row>
    <row r="868" spans="14:14">
      <c r="N868" s="289"/>
    </row>
    <row r="869" spans="14:14">
      <c r="N869" s="289"/>
    </row>
    <row r="870" spans="14:14">
      <c r="N870" s="289"/>
    </row>
    <row r="871" spans="14:14">
      <c r="N871" s="289"/>
    </row>
    <row r="872" spans="14:14">
      <c r="N872" s="289"/>
    </row>
    <row r="873" spans="14:14">
      <c r="N873" s="289"/>
    </row>
    <row r="874" spans="14:14">
      <c r="N874" s="289"/>
    </row>
    <row r="875" spans="14:14">
      <c r="N875" s="289"/>
    </row>
    <row r="876" spans="14:14">
      <c r="N876" s="289"/>
    </row>
    <row r="877" spans="14:14">
      <c r="N877" s="289"/>
    </row>
    <row r="878" spans="14:14">
      <c r="N878" s="289"/>
    </row>
    <row r="879" spans="14:14">
      <c r="N879" s="289"/>
    </row>
    <row r="880" spans="14:14">
      <c r="N880" s="289"/>
    </row>
    <row r="881" spans="14:14">
      <c r="N881" s="289"/>
    </row>
    <row r="882" spans="14:14">
      <c r="N882" s="289"/>
    </row>
    <row r="883" spans="14:14">
      <c r="N883" s="289"/>
    </row>
    <row r="884" spans="14:14">
      <c r="N884" s="289"/>
    </row>
    <row r="885" spans="14:14">
      <c r="N885" s="289"/>
    </row>
    <row r="886" spans="14:14">
      <c r="N886" s="289"/>
    </row>
    <row r="887" spans="14:14">
      <c r="N887" s="289"/>
    </row>
    <row r="888" spans="14:14">
      <c r="N888" s="289"/>
    </row>
    <row r="889" spans="14:14">
      <c r="N889" s="289"/>
    </row>
    <row r="890" spans="14:14">
      <c r="N890" s="289"/>
    </row>
    <row r="891" spans="14:14">
      <c r="N891" s="289"/>
    </row>
    <row r="892" spans="14:14">
      <c r="N892" s="289"/>
    </row>
    <row r="893" spans="14:14">
      <c r="N893" s="289"/>
    </row>
    <row r="894" spans="14:14">
      <c r="N894" s="289"/>
    </row>
    <row r="895" spans="14:14">
      <c r="N895" s="289"/>
    </row>
    <row r="896" spans="14:14">
      <c r="N896" s="289"/>
    </row>
    <row r="897" spans="14:14">
      <c r="N897" s="289"/>
    </row>
    <row r="898" spans="14:14">
      <c r="N898" s="289"/>
    </row>
    <row r="899" spans="14:14">
      <c r="N899" s="289"/>
    </row>
    <row r="900" spans="14:14">
      <c r="N900" s="289"/>
    </row>
    <row r="901" spans="14:14">
      <c r="N901" s="289"/>
    </row>
    <row r="902" spans="14:14">
      <c r="N902" s="289"/>
    </row>
    <row r="903" spans="14:14">
      <c r="N903" s="289"/>
    </row>
    <row r="904" spans="14:14">
      <c r="N904" s="289"/>
    </row>
    <row r="905" spans="14:14">
      <c r="N905" s="289"/>
    </row>
    <row r="906" spans="14:14">
      <c r="N906" s="289"/>
    </row>
    <row r="907" spans="14:14">
      <c r="N907" s="289"/>
    </row>
    <row r="908" spans="14:14">
      <c r="N908" s="289"/>
    </row>
    <row r="909" spans="14:14">
      <c r="N909" s="289"/>
    </row>
    <row r="910" spans="14:14">
      <c r="N910" s="289"/>
    </row>
    <row r="911" spans="14:14">
      <c r="N911" s="289"/>
    </row>
    <row r="912" spans="14:14">
      <c r="N912" s="289"/>
    </row>
    <row r="913" spans="14:14">
      <c r="N913" s="289"/>
    </row>
    <row r="914" spans="14:14">
      <c r="N914" s="289"/>
    </row>
    <row r="915" spans="14:14">
      <c r="N915" s="289"/>
    </row>
    <row r="916" spans="14:14">
      <c r="N916" s="289"/>
    </row>
    <row r="917" spans="14:14">
      <c r="N917" s="289"/>
    </row>
    <row r="918" spans="14:14">
      <c r="N918" s="289"/>
    </row>
    <row r="919" spans="14:14">
      <c r="N919" s="289"/>
    </row>
    <row r="920" spans="14:14">
      <c r="N920" s="289"/>
    </row>
    <row r="921" spans="14:14">
      <c r="N921" s="289"/>
    </row>
    <row r="922" spans="14:14">
      <c r="N922" s="289"/>
    </row>
    <row r="923" spans="14:14">
      <c r="N923" s="289"/>
    </row>
    <row r="924" spans="14:14">
      <c r="N924" s="289"/>
    </row>
    <row r="925" spans="14:14">
      <c r="N925" s="289"/>
    </row>
    <row r="926" spans="14:14">
      <c r="N926" s="289"/>
    </row>
    <row r="927" spans="14:14">
      <c r="N927" s="289"/>
    </row>
    <row r="928" spans="14:14">
      <c r="N928" s="289"/>
    </row>
    <row r="929" spans="14:14">
      <c r="N929" s="289"/>
    </row>
    <row r="930" spans="14:14">
      <c r="N930" s="289"/>
    </row>
    <row r="931" spans="14:14">
      <c r="N931" s="289"/>
    </row>
    <row r="932" spans="14:14">
      <c r="N932" s="289"/>
    </row>
    <row r="933" spans="14:14">
      <c r="N933" s="289"/>
    </row>
    <row r="934" spans="14:14">
      <c r="N934" s="289"/>
    </row>
    <row r="935" spans="14:14">
      <c r="N935" s="289"/>
    </row>
    <row r="936" spans="14:14">
      <c r="N936" s="289"/>
    </row>
    <row r="937" spans="14:14">
      <c r="N937" s="289"/>
    </row>
    <row r="938" spans="14:14">
      <c r="N938" s="289"/>
    </row>
    <row r="939" spans="14:14">
      <c r="N939" s="289"/>
    </row>
    <row r="940" spans="14:14">
      <c r="N940" s="289"/>
    </row>
    <row r="941" spans="14:14">
      <c r="N941" s="289"/>
    </row>
    <row r="942" spans="14:14">
      <c r="N942" s="289"/>
    </row>
    <row r="943" spans="14:14">
      <c r="N943" s="289"/>
    </row>
    <row r="944" spans="14:14">
      <c r="N944" s="289"/>
    </row>
    <row r="945" spans="14:14">
      <c r="N945" s="289"/>
    </row>
    <row r="946" spans="14:14">
      <c r="N946" s="289"/>
    </row>
    <row r="947" spans="14:14">
      <c r="N947" s="289"/>
    </row>
    <row r="948" spans="14:14">
      <c r="N948" s="289"/>
    </row>
    <row r="949" spans="14:14">
      <c r="N949" s="289"/>
    </row>
    <row r="950" spans="14:14">
      <c r="N950" s="289"/>
    </row>
    <row r="951" spans="14:14">
      <c r="N951" s="289"/>
    </row>
    <row r="952" spans="14:14">
      <c r="N952" s="289"/>
    </row>
    <row r="953" spans="14:14">
      <c r="N953" s="289"/>
    </row>
    <row r="954" spans="14:14">
      <c r="N954" s="289"/>
    </row>
    <row r="955" spans="14:14">
      <c r="N955" s="289"/>
    </row>
    <row r="956" spans="14:14">
      <c r="N956" s="289"/>
    </row>
    <row r="957" spans="14:14">
      <c r="N957" s="289"/>
    </row>
    <row r="958" spans="14:14">
      <c r="N958" s="289"/>
    </row>
    <row r="959" spans="14:14">
      <c r="N959" s="289"/>
    </row>
    <row r="960" spans="14:14">
      <c r="N960" s="289"/>
    </row>
    <row r="961" spans="14:14">
      <c r="N961" s="289"/>
    </row>
    <row r="962" spans="14:14">
      <c r="N962" s="289"/>
    </row>
    <row r="963" spans="14:14">
      <c r="N963" s="289"/>
    </row>
    <row r="964" spans="14:14">
      <c r="N964" s="289"/>
    </row>
    <row r="965" spans="14:14">
      <c r="N965" s="289"/>
    </row>
    <row r="966" spans="14:14">
      <c r="N966" s="289"/>
    </row>
    <row r="967" spans="14:14">
      <c r="N967" s="289"/>
    </row>
    <row r="968" spans="14:14">
      <c r="N968" s="289"/>
    </row>
    <row r="969" spans="14:14">
      <c r="N969" s="289"/>
    </row>
    <row r="970" spans="14:14">
      <c r="N970" s="289"/>
    </row>
    <row r="971" spans="14:14">
      <c r="N971" s="289"/>
    </row>
    <row r="972" spans="14:14">
      <c r="N972" s="289"/>
    </row>
    <row r="973" spans="14:14">
      <c r="N973" s="289"/>
    </row>
    <row r="974" spans="14:14">
      <c r="N974" s="289"/>
    </row>
    <row r="975" spans="14:14">
      <c r="N975" s="289"/>
    </row>
    <row r="976" spans="14:14">
      <c r="N976" s="289"/>
    </row>
    <row r="977" spans="14:14">
      <c r="N977" s="289"/>
    </row>
    <row r="978" spans="14:14">
      <c r="N978" s="289"/>
    </row>
    <row r="979" spans="14:14">
      <c r="N979" s="289"/>
    </row>
    <row r="980" spans="14:14">
      <c r="N980" s="289"/>
    </row>
    <row r="981" spans="14:14">
      <c r="N981" s="289"/>
    </row>
    <row r="982" spans="14:14">
      <c r="N982" s="289"/>
    </row>
    <row r="983" spans="14:14">
      <c r="N983" s="289"/>
    </row>
    <row r="984" spans="14:14">
      <c r="N984" s="289"/>
    </row>
    <row r="985" spans="14:14">
      <c r="N985" s="289"/>
    </row>
  </sheetData>
  <dataValidations count="5">
    <dataValidation type="list" allowBlank="1" showErrorMessage="1" sqref="K2" xr:uid="{137DF70A-EB7B-4F31-8767-176B12CAD464}">
      <formula1>"Open,Inprogress,Closed"</formula1>
    </dataValidation>
    <dataValidation type="list" allowBlank="1" showErrorMessage="1" sqref="I2" xr:uid="{49783155-70DA-4449-9F7E-A4EFF42B145D}">
      <formula1>"Manual, Automation"</formula1>
    </dataValidation>
    <dataValidation type="list" allowBlank="1" showErrorMessage="1" sqref="H2" xr:uid="{6E06F130-F553-43C2-BBDC-1E76965B5EC6}">
      <formula1>"Minor,Significant,Major"</formula1>
    </dataValidation>
    <dataValidation type="list" allowBlank="1" showErrorMessage="1" sqref="J2" xr:uid="{28613263-1BD6-458D-B748-A57B342B0107}">
      <formula1>"Internal,External"</formula1>
    </dataValidation>
    <dataValidation type="list" allowBlank="1" showErrorMessage="1" sqref="F2" xr:uid="{03C2F0C4-19C2-493C-A410-8AE785406643}">
      <formula1>"Bounceback,Defect,None"</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81BE1-844A-4044-A670-8A1011538EEE}">
  <dimension ref="A1:AE4"/>
  <sheetViews>
    <sheetView workbookViewId="0">
      <selection activeCell="I8" sqref="I8"/>
    </sheetView>
  </sheetViews>
  <sheetFormatPr defaultRowHeight="12.75"/>
  <cols>
    <col min="1" max="1" width="5.42578125" bestFit="1" customWidth="1"/>
    <col min="2" max="2" width="11.5703125" customWidth="1"/>
    <col min="3" max="3" width="10.42578125" customWidth="1"/>
    <col min="4" max="4" width="10.5703125" customWidth="1"/>
    <col min="5" max="5" width="18.28515625" customWidth="1"/>
    <col min="7" max="7" width="11.28515625" customWidth="1"/>
    <col min="8" max="8" width="42.42578125" customWidth="1"/>
    <col min="9" max="9" width="12.140625" customWidth="1"/>
    <col min="13" max="13" width="10.7109375" customWidth="1"/>
    <col min="14" max="14" width="10.5703125" customWidth="1"/>
    <col min="15" max="15" width="11.85546875" customWidth="1"/>
    <col min="17" max="17" width="10.5703125" customWidth="1"/>
    <col min="19" max="19" width="10.5703125" customWidth="1"/>
    <col min="20" max="20" width="38.140625" customWidth="1"/>
    <col min="21" max="21" width="10" customWidth="1"/>
    <col min="22" max="22" width="10.140625" customWidth="1"/>
    <col min="24" max="24" width="10.5703125" customWidth="1"/>
    <col min="26" max="26" width="10.140625" customWidth="1"/>
    <col min="27" max="28" width="10.5703125" customWidth="1"/>
    <col min="29" max="29" width="12.42578125" customWidth="1"/>
    <col min="30" max="30" width="47" customWidth="1"/>
    <col min="31" max="31" width="36.28515625" customWidth="1"/>
  </cols>
  <sheetData>
    <row r="1" spans="1:31" ht="48">
      <c r="A1" s="416" t="s">
        <v>234</v>
      </c>
      <c r="B1" s="57" t="s">
        <v>4</v>
      </c>
      <c r="C1" s="57" t="s">
        <v>2</v>
      </c>
      <c r="D1" s="57" t="s">
        <v>3</v>
      </c>
      <c r="E1" s="416" t="s">
        <v>235</v>
      </c>
      <c r="F1" s="416" t="s">
        <v>236</v>
      </c>
      <c r="G1" s="416" t="s">
        <v>237</v>
      </c>
      <c r="H1" s="416" t="s">
        <v>238</v>
      </c>
      <c r="I1" s="416" t="s">
        <v>239</v>
      </c>
      <c r="J1" s="57" t="s">
        <v>240</v>
      </c>
      <c r="K1" s="57" t="s">
        <v>241</v>
      </c>
      <c r="L1" s="57" t="s">
        <v>242</v>
      </c>
      <c r="M1" s="57" t="s">
        <v>243</v>
      </c>
      <c r="N1" s="57" t="s">
        <v>244</v>
      </c>
      <c r="O1" s="416" t="s">
        <v>245</v>
      </c>
      <c r="P1" s="416" t="s">
        <v>246</v>
      </c>
      <c r="Q1" s="416" t="s">
        <v>247</v>
      </c>
      <c r="R1" s="416" t="s">
        <v>248</v>
      </c>
      <c r="S1" s="416" t="s">
        <v>249</v>
      </c>
      <c r="T1" s="417" t="s">
        <v>250</v>
      </c>
      <c r="U1" s="417" t="s">
        <v>251</v>
      </c>
      <c r="V1" s="417" t="s">
        <v>252</v>
      </c>
      <c r="W1" s="417" t="s">
        <v>253</v>
      </c>
      <c r="X1" s="417" t="s">
        <v>254</v>
      </c>
      <c r="Y1" s="417" t="s">
        <v>255</v>
      </c>
      <c r="Z1" s="417" t="s">
        <v>256</v>
      </c>
      <c r="AA1" s="416" t="s">
        <v>257</v>
      </c>
      <c r="AB1" s="416" t="s">
        <v>465</v>
      </c>
      <c r="AC1" s="416" t="s">
        <v>466</v>
      </c>
      <c r="AD1" s="418" t="s">
        <v>260</v>
      </c>
      <c r="AE1" s="418" t="s">
        <v>17</v>
      </c>
    </row>
    <row r="2" spans="1:31" ht="45.75" customHeight="1">
      <c r="A2" s="412">
        <v>1</v>
      </c>
      <c r="B2" s="412" t="s">
        <v>5</v>
      </c>
      <c r="C2" s="421">
        <v>45988</v>
      </c>
      <c r="D2" s="421">
        <v>46002</v>
      </c>
      <c r="E2" s="427" t="s">
        <v>171</v>
      </c>
      <c r="F2" s="423" t="s">
        <v>219</v>
      </c>
      <c r="G2" s="72" t="s">
        <v>467</v>
      </c>
      <c r="H2" s="423" t="s">
        <v>468</v>
      </c>
      <c r="I2" s="423" t="s">
        <v>13</v>
      </c>
      <c r="J2" s="412">
        <v>5</v>
      </c>
      <c r="K2" s="412">
        <v>5</v>
      </c>
      <c r="L2" s="412"/>
      <c r="M2" s="421">
        <v>45988</v>
      </c>
      <c r="N2" s="421">
        <v>45994</v>
      </c>
      <c r="O2" s="412"/>
      <c r="P2" s="412" t="s">
        <v>274</v>
      </c>
      <c r="Q2" s="412"/>
      <c r="R2" s="412" t="s">
        <v>275</v>
      </c>
      <c r="S2" s="412"/>
      <c r="T2" s="72" t="s">
        <v>469</v>
      </c>
      <c r="U2" s="421">
        <v>45994</v>
      </c>
      <c r="V2" s="421">
        <v>45994</v>
      </c>
      <c r="W2" s="412" t="s">
        <v>275</v>
      </c>
      <c r="X2" s="412"/>
      <c r="Y2" s="412" t="s">
        <v>402</v>
      </c>
      <c r="Z2" s="421">
        <v>45994</v>
      </c>
      <c r="AA2" s="412"/>
      <c r="AB2" s="412"/>
      <c r="AC2" s="412"/>
      <c r="AD2" s="424" t="s">
        <v>470</v>
      </c>
      <c r="AE2" s="424"/>
    </row>
    <row r="3" spans="1:31" ht="43.5" customHeight="1">
      <c r="A3" s="412">
        <v>2</v>
      </c>
      <c r="B3" s="412" t="s">
        <v>5</v>
      </c>
      <c r="C3" s="421">
        <v>45988</v>
      </c>
      <c r="D3" s="421">
        <v>46002</v>
      </c>
      <c r="E3" s="427" t="s">
        <v>171</v>
      </c>
      <c r="F3" s="423" t="s">
        <v>219</v>
      </c>
      <c r="G3" s="72" t="s">
        <v>471</v>
      </c>
      <c r="H3" s="423" t="s">
        <v>472</v>
      </c>
      <c r="I3" s="423" t="s">
        <v>13</v>
      </c>
      <c r="J3" s="412">
        <v>2</v>
      </c>
      <c r="K3" s="412">
        <v>2</v>
      </c>
      <c r="L3" s="412"/>
      <c r="M3" s="421">
        <v>45994</v>
      </c>
      <c r="N3" s="421">
        <v>45995</v>
      </c>
      <c r="O3" s="412"/>
      <c r="P3" s="412" t="s">
        <v>274</v>
      </c>
      <c r="Q3" s="412"/>
      <c r="R3" s="412" t="s">
        <v>275</v>
      </c>
      <c r="S3" s="412"/>
      <c r="T3" s="72" t="s">
        <v>473</v>
      </c>
      <c r="U3" s="421">
        <v>45995</v>
      </c>
      <c r="V3" s="421">
        <v>45996</v>
      </c>
      <c r="W3" s="412" t="s">
        <v>275</v>
      </c>
      <c r="X3" s="412"/>
      <c r="Y3" s="412" t="s">
        <v>402</v>
      </c>
      <c r="Z3" s="421">
        <v>45996</v>
      </c>
      <c r="AA3" s="412"/>
      <c r="AB3" s="412"/>
      <c r="AC3" s="412"/>
      <c r="AD3" s="424" t="s">
        <v>474</v>
      </c>
      <c r="AE3" s="428"/>
    </row>
    <row r="4" spans="1:31" ht="45.75" customHeight="1">
      <c r="A4" s="412">
        <v>3</v>
      </c>
      <c r="B4" s="412" t="s">
        <v>5</v>
      </c>
      <c r="C4" s="421">
        <v>45988</v>
      </c>
      <c r="D4" s="421">
        <v>46002</v>
      </c>
      <c r="E4" s="427" t="s">
        <v>171</v>
      </c>
      <c r="F4" s="423" t="s">
        <v>219</v>
      </c>
      <c r="G4" s="72" t="s">
        <v>456</v>
      </c>
      <c r="H4" s="423" t="s">
        <v>457</v>
      </c>
      <c r="I4" s="423" t="s">
        <v>263</v>
      </c>
      <c r="J4" s="412">
        <v>3</v>
      </c>
      <c r="K4" s="412"/>
      <c r="L4" s="412"/>
      <c r="M4" s="421">
        <v>45996</v>
      </c>
      <c r="N4" s="421"/>
      <c r="O4" s="412"/>
      <c r="P4" s="412" t="s">
        <v>274</v>
      </c>
      <c r="Q4" s="412"/>
      <c r="R4" s="412" t="s">
        <v>275</v>
      </c>
      <c r="S4" s="412"/>
      <c r="T4" s="72"/>
      <c r="U4" s="421"/>
      <c r="V4" s="421"/>
      <c r="W4" s="412"/>
      <c r="X4" s="412"/>
      <c r="Y4" s="412"/>
      <c r="Z4" s="421"/>
      <c r="AA4" s="412"/>
      <c r="AB4" s="412"/>
      <c r="AC4" s="412"/>
      <c r="AD4" s="424"/>
      <c r="AE4" s="428"/>
    </row>
  </sheetData>
  <hyperlinks>
    <hyperlink ref="T2" r:id="rId1" xr:uid="{132CEA66-C947-4DD9-9188-4C92467B127C}"/>
    <hyperlink ref="T3" r:id="rId2" xr:uid="{A9F4ADE1-2BD7-4649-8CBC-E324660AD227}"/>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E2030-B4BA-4F62-8965-6278B3AF8667}">
  <dimension ref="A1:AE4"/>
  <sheetViews>
    <sheetView workbookViewId="0">
      <selection activeCell="H12" sqref="H12"/>
    </sheetView>
  </sheetViews>
  <sheetFormatPr defaultRowHeight="12.75"/>
  <cols>
    <col min="1" max="1" width="5.42578125" bestFit="1" customWidth="1"/>
    <col min="2" max="2" width="10.42578125" customWidth="1"/>
    <col min="3" max="3" width="11" customWidth="1"/>
    <col min="4" max="4" width="10.85546875" customWidth="1"/>
    <col min="5" max="5" width="19.42578125" customWidth="1"/>
    <col min="7" max="7" width="10.140625" customWidth="1"/>
    <col min="8" max="8" width="46.5703125" customWidth="1"/>
    <col min="9" max="9" width="13.140625" customWidth="1"/>
    <col min="13" max="13" width="10.5703125" customWidth="1"/>
    <col min="14" max="14" width="10.7109375" customWidth="1"/>
    <col min="17" max="17" width="10.42578125" customWidth="1"/>
    <col min="19" max="19" width="10.5703125" customWidth="1"/>
    <col min="20" max="20" width="43.85546875" customWidth="1"/>
    <col min="21" max="21" width="10.7109375" customWidth="1"/>
    <col min="22" max="22" width="10.28515625" customWidth="1"/>
    <col min="23" max="23" width="10.5703125" customWidth="1"/>
    <col min="24" max="24" width="11.5703125" customWidth="1"/>
    <col min="25" max="25" width="10.42578125" customWidth="1"/>
    <col min="26" max="26" width="10.5703125" customWidth="1"/>
    <col min="27" max="27" width="11.85546875" customWidth="1"/>
    <col min="28" max="28" width="10.7109375" customWidth="1"/>
    <col min="29" max="29" width="10.85546875" customWidth="1"/>
    <col min="30" max="30" width="47.7109375" customWidth="1"/>
    <col min="31" max="31" width="11.28515625" customWidth="1"/>
  </cols>
  <sheetData>
    <row r="1" spans="1:31" ht="58.5">
      <c r="A1" s="416" t="s">
        <v>234</v>
      </c>
      <c r="B1" s="57" t="s">
        <v>4</v>
      </c>
      <c r="C1" s="57" t="s">
        <v>2</v>
      </c>
      <c r="D1" s="57" t="s">
        <v>3</v>
      </c>
      <c r="E1" s="416" t="s">
        <v>235</v>
      </c>
      <c r="F1" s="416" t="s">
        <v>236</v>
      </c>
      <c r="G1" s="416" t="s">
        <v>237</v>
      </c>
      <c r="H1" s="416" t="s">
        <v>238</v>
      </c>
      <c r="I1" s="416" t="s">
        <v>239</v>
      </c>
      <c r="J1" s="57" t="s">
        <v>240</v>
      </c>
      <c r="K1" s="57" t="s">
        <v>241</v>
      </c>
      <c r="L1" s="57" t="s">
        <v>242</v>
      </c>
      <c r="M1" s="57" t="s">
        <v>243</v>
      </c>
      <c r="N1" s="57" t="s">
        <v>244</v>
      </c>
      <c r="O1" s="416" t="s">
        <v>245</v>
      </c>
      <c r="P1" s="416" t="s">
        <v>246</v>
      </c>
      <c r="Q1" s="416" t="s">
        <v>247</v>
      </c>
      <c r="R1" s="416" t="s">
        <v>248</v>
      </c>
      <c r="S1" s="416" t="s">
        <v>249</v>
      </c>
      <c r="T1" s="417" t="s">
        <v>250</v>
      </c>
      <c r="U1" s="417" t="s">
        <v>251</v>
      </c>
      <c r="V1" s="417" t="s">
        <v>252</v>
      </c>
      <c r="W1" s="417" t="s">
        <v>253</v>
      </c>
      <c r="X1" s="417" t="s">
        <v>254</v>
      </c>
      <c r="Y1" s="417" t="s">
        <v>255</v>
      </c>
      <c r="Z1" s="417" t="s">
        <v>256</v>
      </c>
      <c r="AA1" s="416" t="s">
        <v>257</v>
      </c>
      <c r="AB1" s="416" t="s">
        <v>465</v>
      </c>
      <c r="AC1" s="416" t="s">
        <v>466</v>
      </c>
      <c r="AD1" s="418" t="s">
        <v>260</v>
      </c>
      <c r="AE1" s="418" t="s">
        <v>17</v>
      </c>
    </row>
    <row r="2" spans="1:31" ht="42.75" customHeight="1">
      <c r="A2" s="412">
        <v>1</v>
      </c>
      <c r="B2" s="412" t="s">
        <v>5</v>
      </c>
      <c r="C2" s="421">
        <v>45974</v>
      </c>
      <c r="D2" s="421">
        <v>45988</v>
      </c>
      <c r="E2" s="427" t="s">
        <v>167</v>
      </c>
      <c r="F2" s="423" t="s">
        <v>219</v>
      </c>
      <c r="G2" s="72" t="s">
        <v>475</v>
      </c>
      <c r="H2" s="423" t="s">
        <v>476</v>
      </c>
      <c r="I2" s="423" t="s">
        <v>13</v>
      </c>
      <c r="J2" s="412">
        <v>3</v>
      </c>
      <c r="K2" s="412"/>
      <c r="L2" s="412"/>
      <c r="M2" s="421">
        <v>45982</v>
      </c>
      <c r="N2" s="421">
        <v>45986</v>
      </c>
      <c r="O2" s="412"/>
      <c r="P2" s="412" t="s">
        <v>274</v>
      </c>
      <c r="Q2" s="412"/>
      <c r="R2" s="412" t="s">
        <v>275</v>
      </c>
      <c r="S2" s="412"/>
      <c r="T2" s="72" t="s">
        <v>477</v>
      </c>
      <c r="U2" s="421">
        <v>45986</v>
      </c>
      <c r="V2" s="421">
        <v>45986</v>
      </c>
      <c r="W2" s="412" t="s">
        <v>275</v>
      </c>
      <c r="X2" s="412"/>
      <c r="Y2" s="412" t="s">
        <v>402</v>
      </c>
      <c r="Z2" s="421">
        <v>45986</v>
      </c>
      <c r="AA2" s="412"/>
      <c r="AB2" s="412"/>
      <c r="AC2" s="412"/>
      <c r="AD2" s="424" t="s">
        <v>478</v>
      </c>
      <c r="AE2" s="424"/>
    </row>
    <row r="3" spans="1:31" ht="42" customHeight="1">
      <c r="A3" s="412">
        <v>2</v>
      </c>
      <c r="B3" s="412" t="s">
        <v>5</v>
      </c>
      <c r="C3" s="421">
        <v>45974</v>
      </c>
      <c r="D3" s="421">
        <v>45988</v>
      </c>
      <c r="E3" s="427" t="s">
        <v>167</v>
      </c>
      <c r="F3" s="423" t="s">
        <v>219</v>
      </c>
      <c r="G3" s="72" t="s">
        <v>479</v>
      </c>
      <c r="H3" s="423" t="s">
        <v>480</v>
      </c>
      <c r="I3" s="423" t="s">
        <v>13</v>
      </c>
      <c r="J3" s="412">
        <v>3</v>
      </c>
      <c r="K3" s="412"/>
      <c r="L3" s="412"/>
      <c r="M3" s="421">
        <v>45974</v>
      </c>
      <c r="N3" s="421">
        <v>45979</v>
      </c>
      <c r="O3" s="412"/>
      <c r="P3" s="412" t="s">
        <v>274</v>
      </c>
      <c r="Q3" s="412"/>
      <c r="R3" s="412" t="s">
        <v>275</v>
      </c>
      <c r="S3" s="412"/>
      <c r="T3" s="72" t="s">
        <v>481</v>
      </c>
      <c r="U3" s="421">
        <v>45978</v>
      </c>
      <c r="V3" s="421">
        <v>45978</v>
      </c>
      <c r="W3" s="412" t="s">
        <v>275</v>
      </c>
      <c r="X3" s="412"/>
      <c r="Y3" s="412" t="s">
        <v>402</v>
      </c>
      <c r="Z3" s="421">
        <v>45978</v>
      </c>
      <c r="AA3" s="412"/>
      <c r="AB3" s="412"/>
      <c r="AC3" s="412"/>
      <c r="AD3" s="424" t="s">
        <v>482</v>
      </c>
      <c r="AE3" s="428"/>
    </row>
    <row r="4" spans="1:31" ht="42" customHeight="1">
      <c r="A4" s="412">
        <v>3</v>
      </c>
      <c r="B4" s="412" t="s">
        <v>5</v>
      </c>
      <c r="C4" s="421">
        <v>45974</v>
      </c>
      <c r="D4" s="421">
        <v>45988</v>
      </c>
      <c r="E4" s="427" t="s">
        <v>167</v>
      </c>
      <c r="F4" s="423" t="s">
        <v>219</v>
      </c>
      <c r="G4" s="72" t="s">
        <v>483</v>
      </c>
      <c r="H4" s="423" t="s">
        <v>484</v>
      </c>
      <c r="I4" s="423" t="s">
        <v>13</v>
      </c>
      <c r="J4" s="412">
        <v>2</v>
      </c>
      <c r="K4" s="412"/>
      <c r="L4" s="412"/>
      <c r="M4" s="421">
        <v>45980</v>
      </c>
      <c r="N4" s="421">
        <v>45982</v>
      </c>
      <c r="O4" s="412"/>
      <c r="P4" s="412" t="s">
        <v>274</v>
      </c>
      <c r="Q4" s="412"/>
      <c r="R4" s="412" t="s">
        <v>275</v>
      </c>
      <c r="S4" s="412"/>
      <c r="T4" s="72" t="s">
        <v>485</v>
      </c>
      <c r="U4" s="421">
        <v>45981</v>
      </c>
      <c r="V4" s="421">
        <v>45982</v>
      </c>
      <c r="W4" s="412" t="s">
        <v>275</v>
      </c>
      <c r="X4" s="412"/>
      <c r="Y4" s="412" t="s">
        <v>402</v>
      </c>
      <c r="Z4" s="421">
        <v>45982</v>
      </c>
      <c r="AA4" s="412"/>
      <c r="AB4" s="412"/>
      <c r="AC4" s="412"/>
      <c r="AD4" s="424" t="s">
        <v>486</v>
      </c>
      <c r="AE4" s="428"/>
    </row>
  </sheetData>
  <hyperlinks>
    <hyperlink ref="T3" r:id="rId1" xr:uid="{BEAA37FE-2233-47A3-945C-B71D3143BE79}"/>
    <hyperlink ref="T4" r:id="rId2" xr:uid="{EBB05F62-ED6C-49AF-8AD5-180581A1BF8B}"/>
    <hyperlink ref="T2" r:id="rId3" xr:uid="{D7883F65-DA34-48E6-A509-50006868142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0E097-B664-40A5-AA31-83F02A0AB31E}">
  <dimension ref="A1:AE4"/>
  <sheetViews>
    <sheetView topLeftCell="F1" workbookViewId="0">
      <selection activeCell="U4" sqref="U4"/>
    </sheetView>
  </sheetViews>
  <sheetFormatPr defaultRowHeight="12.75"/>
  <cols>
    <col min="2" max="2" width="12" customWidth="1"/>
    <col min="3" max="3" width="10.28515625" customWidth="1"/>
    <col min="4" max="4" width="11" customWidth="1"/>
    <col min="5" max="5" width="19.140625" customWidth="1"/>
    <col min="6" max="6" width="9.85546875" customWidth="1"/>
    <col min="7" max="7" width="10.28515625" customWidth="1"/>
    <col min="8" max="8" width="30.85546875" customWidth="1"/>
    <col min="9" max="9" width="11.85546875" customWidth="1"/>
    <col min="13" max="13" width="12.7109375" customWidth="1"/>
    <col min="14" max="14" width="10.28515625" customWidth="1"/>
    <col min="17" max="17" width="8.5703125" customWidth="1"/>
    <col min="19" max="19" width="10.28515625" customWidth="1"/>
    <col min="20" max="20" width="41" customWidth="1"/>
    <col min="21" max="21" width="10.42578125" customWidth="1"/>
    <col min="22" max="22" width="10.140625" customWidth="1"/>
    <col min="24" max="24" width="10.28515625" customWidth="1"/>
    <col min="26" max="26" width="10.42578125" customWidth="1"/>
    <col min="28" max="28" width="10.42578125" customWidth="1"/>
    <col min="29" max="29" width="10.28515625" customWidth="1"/>
    <col min="30" max="30" width="36.7109375" customWidth="1"/>
    <col min="31" max="31" width="51.5703125" customWidth="1"/>
  </cols>
  <sheetData>
    <row r="1" spans="1:31" ht="58.5">
      <c r="A1" s="416" t="s">
        <v>234</v>
      </c>
      <c r="B1" s="57" t="s">
        <v>4</v>
      </c>
      <c r="C1" s="57" t="s">
        <v>2</v>
      </c>
      <c r="D1" s="57" t="s">
        <v>3</v>
      </c>
      <c r="E1" s="416" t="s">
        <v>235</v>
      </c>
      <c r="F1" s="416" t="s">
        <v>236</v>
      </c>
      <c r="G1" s="416" t="s">
        <v>237</v>
      </c>
      <c r="H1" s="416" t="s">
        <v>238</v>
      </c>
      <c r="I1" s="416" t="s">
        <v>239</v>
      </c>
      <c r="J1" s="57" t="s">
        <v>240</v>
      </c>
      <c r="K1" s="57" t="s">
        <v>241</v>
      </c>
      <c r="L1" s="57" t="s">
        <v>242</v>
      </c>
      <c r="M1" s="57" t="s">
        <v>243</v>
      </c>
      <c r="N1" s="57" t="s">
        <v>244</v>
      </c>
      <c r="O1" s="416" t="s">
        <v>245</v>
      </c>
      <c r="P1" s="416" t="s">
        <v>246</v>
      </c>
      <c r="Q1" s="416" t="s">
        <v>247</v>
      </c>
      <c r="R1" s="416" t="s">
        <v>248</v>
      </c>
      <c r="S1" s="416" t="s">
        <v>249</v>
      </c>
      <c r="T1" s="417" t="s">
        <v>250</v>
      </c>
      <c r="U1" s="417" t="s">
        <v>251</v>
      </c>
      <c r="V1" s="417" t="s">
        <v>252</v>
      </c>
      <c r="W1" s="417" t="s">
        <v>253</v>
      </c>
      <c r="X1" s="417" t="s">
        <v>254</v>
      </c>
      <c r="Y1" s="417" t="s">
        <v>255</v>
      </c>
      <c r="Z1" s="417" t="s">
        <v>256</v>
      </c>
      <c r="AA1" s="416" t="s">
        <v>487</v>
      </c>
      <c r="AB1" s="416" t="s">
        <v>465</v>
      </c>
      <c r="AC1" s="416" t="s">
        <v>466</v>
      </c>
      <c r="AD1" s="418" t="s">
        <v>260</v>
      </c>
      <c r="AE1" s="418" t="s">
        <v>17</v>
      </c>
    </row>
    <row r="2" spans="1:31" ht="69.75" customHeight="1">
      <c r="A2" s="412">
        <v>1</v>
      </c>
      <c r="B2" s="412" t="s">
        <v>5</v>
      </c>
      <c r="C2" s="421">
        <v>45960</v>
      </c>
      <c r="D2" s="421">
        <v>45974</v>
      </c>
      <c r="E2" s="427" t="s">
        <v>488</v>
      </c>
      <c r="F2" s="423" t="s">
        <v>219</v>
      </c>
      <c r="G2" s="72" t="s">
        <v>489</v>
      </c>
      <c r="H2" s="423" t="s">
        <v>490</v>
      </c>
      <c r="I2" s="423" t="s">
        <v>13</v>
      </c>
      <c r="J2" s="412">
        <v>2</v>
      </c>
      <c r="K2" s="412"/>
      <c r="L2" s="412"/>
      <c r="M2" s="421">
        <v>45959</v>
      </c>
      <c r="N2" s="421">
        <v>45964</v>
      </c>
      <c r="O2" s="412"/>
      <c r="P2" s="412" t="s">
        <v>274</v>
      </c>
      <c r="Q2" s="412"/>
      <c r="R2" s="412" t="s">
        <v>275</v>
      </c>
      <c r="S2" s="412"/>
      <c r="T2" s="72" t="s">
        <v>491</v>
      </c>
      <c r="U2" s="421">
        <v>45964</v>
      </c>
      <c r="V2" s="421">
        <v>45965</v>
      </c>
      <c r="W2" s="412" t="s">
        <v>275</v>
      </c>
      <c r="X2" s="412"/>
      <c r="Y2" s="412" t="s">
        <v>402</v>
      </c>
      <c r="Z2" s="421">
        <v>45965</v>
      </c>
      <c r="AA2" s="412"/>
      <c r="AB2" s="412"/>
      <c r="AC2" s="412"/>
      <c r="AD2" s="424" t="s">
        <v>492</v>
      </c>
      <c r="AE2" s="424"/>
    </row>
    <row r="3" spans="1:31" ht="71.25" customHeight="1">
      <c r="A3" s="412">
        <v>2</v>
      </c>
      <c r="B3" s="412" t="s">
        <v>5</v>
      </c>
      <c r="C3" s="421">
        <v>45960</v>
      </c>
      <c r="D3" s="421">
        <v>45974</v>
      </c>
      <c r="E3" s="422" t="s">
        <v>165</v>
      </c>
      <c r="F3" s="423" t="s">
        <v>219</v>
      </c>
      <c r="G3" s="72" t="s">
        <v>493</v>
      </c>
      <c r="H3" s="423" t="s">
        <v>494</v>
      </c>
      <c r="I3" s="423" t="s">
        <v>495</v>
      </c>
      <c r="J3" s="412">
        <v>2</v>
      </c>
      <c r="L3" s="412"/>
      <c r="M3" s="421">
        <v>45971</v>
      </c>
      <c r="N3" s="421">
        <v>45973</v>
      </c>
      <c r="O3" s="412"/>
      <c r="P3" s="412" t="s">
        <v>274</v>
      </c>
      <c r="Q3" s="412"/>
      <c r="R3" s="412" t="s">
        <v>275</v>
      </c>
      <c r="S3" s="412"/>
      <c r="T3" s="72"/>
      <c r="U3" s="421">
        <v>45972</v>
      </c>
      <c r="V3" s="421">
        <v>45973</v>
      </c>
      <c r="W3" s="412" t="s">
        <v>275</v>
      </c>
      <c r="X3" s="412"/>
      <c r="Y3" s="412" t="s">
        <v>402</v>
      </c>
      <c r="Z3" s="421">
        <v>45973</v>
      </c>
      <c r="AA3" s="412"/>
      <c r="AB3" s="412"/>
      <c r="AC3" s="412"/>
      <c r="AD3" s="424" t="s">
        <v>496</v>
      </c>
      <c r="AE3" s="424"/>
    </row>
    <row r="4" spans="1:31" ht="70.5" customHeight="1">
      <c r="A4" s="412">
        <v>3</v>
      </c>
      <c r="B4" s="412" t="s">
        <v>5</v>
      </c>
      <c r="C4" s="421">
        <v>45960</v>
      </c>
      <c r="D4" s="421">
        <v>45974</v>
      </c>
      <c r="E4" s="422" t="s">
        <v>165</v>
      </c>
      <c r="F4" s="423" t="s">
        <v>219</v>
      </c>
      <c r="G4" s="72" t="s">
        <v>497</v>
      </c>
      <c r="H4" s="423" t="s">
        <v>498</v>
      </c>
      <c r="I4" s="423" t="s">
        <v>13</v>
      </c>
      <c r="J4" s="412">
        <v>3</v>
      </c>
      <c r="K4" s="412"/>
      <c r="L4" s="412"/>
      <c r="M4" s="421">
        <v>45965</v>
      </c>
      <c r="N4" s="421">
        <v>45971</v>
      </c>
      <c r="O4" s="412"/>
      <c r="P4" s="412" t="s">
        <v>274</v>
      </c>
      <c r="Q4" s="412"/>
      <c r="R4" s="412" t="s">
        <v>275</v>
      </c>
      <c r="S4" s="412"/>
      <c r="T4" s="72" t="s">
        <v>499</v>
      </c>
      <c r="U4" s="421">
        <v>45968</v>
      </c>
      <c r="V4" s="421">
        <v>45971</v>
      </c>
      <c r="W4" s="412" t="s">
        <v>275</v>
      </c>
      <c r="X4" s="412"/>
      <c r="Y4" s="412" t="s">
        <v>402</v>
      </c>
      <c r="Z4" s="421">
        <v>45971</v>
      </c>
      <c r="AA4" s="412"/>
      <c r="AB4" s="412"/>
      <c r="AC4" s="412"/>
      <c r="AD4" s="424" t="s">
        <v>500</v>
      </c>
      <c r="AE4" s="428"/>
    </row>
  </sheetData>
  <hyperlinks>
    <hyperlink ref="T2" r:id="rId1" xr:uid="{646CA350-3FE4-45D1-941E-55897A4C1B47}"/>
    <hyperlink ref="T4" r:id="rId2" xr:uid="{D35FC4BD-9AA9-44CA-9037-90CC57DF86B9}"/>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DC54-36CC-46A3-BDCD-5A7178F79A40}">
  <dimension ref="A1:AE5"/>
  <sheetViews>
    <sheetView topLeftCell="E1" workbookViewId="0">
      <selection activeCell="K5" sqref="K5"/>
    </sheetView>
  </sheetViews>
  <sheetFormatPr defaultRowHeight="12.75"/>
  <cols>
    <col min="2" max="2" width="11.28515625" customWidth="1"/>
    <col min="3" max="3" width="11" customWidth="1"/>
    <col min="4" max="4" width="11.140625" customWidth="1"/>
    <col min="5" max="5" width="17.7109375" customWidth="1"/>
    <col min="6" max="6" width="10.140625" customWidth="1"/>
    <col min="7" max="7" width="11.28515625" customWidth="1"/>
    <col min="8" max="8" width="40.28515625" customWidth="1"/>
    <col min="9" max="9" width="11.140625" customWidth="1"/>
    <col min="10" max="10" width="9.140625" customWidth="1"/>
    <col min="13" max="14" width="10.5703125" customWidth="1"/>
    <col min="19" max="19" width="10.5703125" customWidth="1"/>
    <col min="20" max="20" width="50.140625" customWidth="1"/>
    <col min="21" max="21" width="10.5703125" customWidth="1"/>
    <col min="22" max="22" width="11.7109375" customWidth="1"/>
    <col min="24" max="24" width="10.7109375" customWidth="1"/>
    <col min="26" max="26" width="10.28515625" customWidth="1"/>
    <col min="27" max="27" width="10.7109375" customWidth="1"/>
    <col min="28" max="28" width="10.5703125" customWidth="1"/>
    <col min="29" max="29" width="10.28515625" customWidth="1"/>
    <col min="30" max="30" width="43.85546875" customWidth="1"/>
    <col min="31" max="31" width="64.7109375" customWidth="1"/>
  </cols>
  <sheetData>
    <row r="1" spans="1:31" ht="46.5">
      <c r="A1" s="416" t="s">
        <v>234</v>
      </c>
      <c r="B1" s="57" t="s">
        <v>4</v>
      </c>
      <c r="C1" s="57" t="s">
        <v>2</v>
      </c>
      <c r="D1" s="57" t="s">
        <v>3</v>
      </c>
      <c r="E1" s="416" t="s">
        <v>235</v>
      </c>
      <c r="F1" s="416" t="s">
        <v>236</v>
      </c>
      <c r="G1" s="416" t="s">
        <v>237</v>
      </c>
      <c r="H1" s="416" t="s">
        <v>238</v>
      </c>
      <c r="I1" s="416" t="s">
        <v>239</v>
      </c>
      <c r="J1" s="57" t="s">
        <v>240</v>
      </c>
      <c r="K1" s="57" t="s">
        <v>241</v>
      </c>
      <c r="L1" s="57" t="s">
        <v>242</v>
      </c>
      <c r="M1" s="57" t="s">
        <v>243</v>
      </c>
      <c r="N1" s="57" t="s">
        <v>244</v>
      </c>
      <c r="O1" s="416" t="s">
        <v>245</v>
      </c>
      <c r="P1" s="416" t="s">
        <v>246</v>
      </c>
      <c r="Q1" s="416" t="s">
        <v>247</v>
      </c>
      <c r="R1" s="416" t="s">
        <v>248</v>
      </c>
      <c r="S1" s="416" t="s">
        <v>249</v>
      </c>
      <c r="T1" s="417" t="s">
        <v>250</v>
      </c>
      <c r="U1" s="417" t="s">
        <v>251</v>
      </c>
      <c r="V1" s="417" t="s">
        <v>252</v>
      </c>
      <c r="W1" s="417" t="s">
        <v>253</v>
      </c>
      <c r="X1" s="417" t="s">
        <v>254</v>
      </c>
      <c r="Y1" s="417" t="s">
        <v>255</v>
      </c>
      <c r="Z1" s="417" t="s">
        <v>256</v>
      </c>
      <c r="AA1" s="416" t="s">
        <v>487</v>
      </c>
      <c r="AB1" s="416" t="s">
        <v>465</v>
      </c>
      <c r="AC1" s="416" t="s">
        <v>466</v>
      </c>
      <c r="AD1" s="418" t="s">
        <v>260</v>
      </c>
      <c r="AE1" s="418" t="s">
        <v>17</v>
      </c>
    </row>
    <row r="2" spans="1:31" ht="41.25" customHeight="1">
      <c r="A2" s="412">
        <v>1</v>
      </c>
      <c r="B2" s="412" t="s">
        <v>5</v>
      </c>
      <c r="C2" s="421">
        <v>45947</v>
      </c>
      <c r="D2" s="421">
        <v>45960</v>
      </c>
      <c r="E2" s="422" t="s">
        <v>163</v>
      </c>
      <c r="F2" s="423" t="s">
        <v>219</v>
      </c>
      <c r="G2" s="72" t="s">
        <v>501</v>
      </c>
      <c r="H2" s="423" t="s">
        <v>502</v>
      </c>
      <c r="I2" s="61" t="s">
        <v>13</v>
      </c>
      <c r="J2" s="412">
        <v>2</v>
      </c>
      <c r="K2" s="412"/>
      <c r="L2" s="412"/>
      <c r="M2" s="421">
        <v>45947</v>
      </c>
      <c r="N2" s="421">
        <v>45951</v>
      </c>
      <c r="O2" s="412"/>
      <c r="P2" s="412" t="s">
        <v>274</v>
      </c>
      <c r="Q2" s="412"/>
      <c r="R2" s="412" t="s">
        <v>275</v>
      </c>
      <c r="S2" s="412"/>
      <c r="T2" s="72" t="s">
        <v>503</v>
      </c>
      <c r="U2" s="421">
        <v>45951</v>
      </c>
      <c r="V2" s="421">
        <v>45951</v>
      </c>
      <c r="W2" s="412" t="s">
        <v>275</v>
      </c>
      <c r="X2" s="412"/>
      <c r="Y2" s="412" t="s">
        <v>277</v>
      </c>
      <c r="Z2" s="421">
        <v>45951</v>
      </c>
      <c r="AA2" s="412"/>
      <c r="AB2" s="412"/>
      <c r="AC2" s="412"/>
      <c r="AD2" s="424" t="s">
        <v>504</v>
      </c>
      <c r="AE2" s="424"/>
    </row>
    <row r="3" spans="1:31" ht="64.5" customHeight="1">
      <c r="A3" s="412">
        <v>2</v>
      </c>
      <c r="B3" s="412" t="s">
        <v>5</v>
      </c>
      <c r="C3" s="421">
        <v>45947</v>
      </c>
      <c r="D3" s="421">
        <v>45960</v>
      </c>
      <c r="E3" s="422" t="s">
        <v>163</v>
      </c>
      <c r="F3" s="423" t="s">
        <v>219</v>
      </c>
      <c r="G3" s="72" t="s">
        <v>505</v>
      </c>
      <c r="H3" s="423" t="s">
        <v>506</v>
      </c>
      <c r="I3" s="61" t="s">
        <v>13</v>
      </c>
      <c r="J3" s="412">
        <v>2</v>
      </c>
      <c r="K3" s="412"/>
      <c r="L3" s="412"/>
      <c r="M3" s="421">
        <v>45952</v>
      </c>
      <c r="N3" s="421">
        <v>45953</v>
      </c>
      <c r="O3" s="412"/>
      <c r="P3" s="412" t="s">
        <v>274</v>
      </c>
      <c r="Q3" s="412"/>
      <c r="R3" s="412" t="s">
        <v>275</v>
      </c>
      <c r="S3" s="412"/>
      <c r="T3" s="72" t="s">
        <v>507</v>
      </c>
      <c r="U3" s="421">
        <v>45953</v>
      </c>
      <c r="V3" s="421">
        <v>45954</v>
      </c>
      <c r="W3" s="412" t="s">
        <v>275</v>
      </c>
      <c r="X3" s="412"/>
      <c r="Y3" s="412" t="s">
        <v>277</v>
      </c>
      <c r="Z3" s="421">
        <v>45954</v>
      </c>
      <c r="AA3" s="412"/>
      <c r="AB3" s="412"/>
      <c r="AC3" s="412"/>
      <c r="AD3" s="424" t="s">
        <v>508</v>
      </c>
      <c r="AE3" s="424"/>
    </row>
    <row r="4" spans="1:31" ht="84.75" customHeight="1">
      <c r="A4" s="412">
        <v>3</v>
      </c>
      <c r="B4" s="412" t="s">
        <v>5</v>
      </c>
      <c r="C4" s="421">
        <v>45947</v>
      </c>
      <c r="D4" s="421">
        <v>45960</v>
      </c>
      <c r="E4" s="422" t="s">
        <v>163</v>
      </c>
      <c r="F4" s="423" t="s">
        <v>219</v>
      </c>
      <c r="G4" s="72" t="s">
        <v>509</v>
      </c>
      <c r="H4" s="423" t="s">
        <v>510</v>
      </c>
      <c r="I4" s="61" t="s">
        <v>13</v>
      </c>
      <c r="J4" s="412">
        <v>3</v>
      </c>
      <c r="K4" s="412"/>
      <c r="L4" s="412"/>
      <c r="M4" s="421">
        <v>45954</v>
      </c>
      <c r="N4" s="421">
        <v>45958</v>
      </c>
      <c r="O4" s="412"/>
      <c r="P4" s="412" t="s">
        <v>274</v>
      </c>
      <c r="Q4" s="412"/>
      <c r="R4" s="412" t="s">
        <v>275</v>
      </c>
      <c r="S4" s="412"/>
      <c r="T4" s="72" t="s">
        <v>511</v>
      </c>
      <c r="U4" s="421">
        <v>45958</v>
      </c>
      <c r="V4" s="421">
        <v>45958</v>
      </c>
      <c r="W4" s="412" t="s">
        <v>275</v>
      </c>
      <c r="X4" s="412"/>
      <c r="Y4" s="412" t="s">
        <v>277</v>
      </c>
      <c r="Z4" s="421">
        <v>45954</v>
      </c>
      <c r="AA4" s="412"/>
      <c r="AB4" s="412"/>
      <c r="AC4" s="412"/>
      <c r="AD4" s="424" t="s">
        <v>512</v>
      </c>
      <c r="AE4" s="428" t="s">
        <v>513</v>
      </c>
    </row>
    <row r="5" spans="1:31" ht="44.25" customHeight="1">
      <c r="A5" s="412">
        <v>4</v>
      </c>
      <c r="B5" s="412" t="s">
        <v>5</v>
      </c>
      <c r="C5" s="421">
        <v>45947</v>
      </c>
      <c r="D5" s="421">
        <v>45960</v>
      </c>
      <c r="E5" s="427" t="s">
        <v>514</v>
      </c>
      <c r="F5" s="423" t="s">
        <v>219</v>
      </c>
      <c r="G5" s="72" t="s">
        <v>489</v>
      </c>
      <c r="H5" s="423" t="s">
        <v>490</v>
      </c>
      <c r="I5" s="61" t="s">
        <v>263</v>
      </c>
      <c r="J5" s="412">
        <v>3</v>
      </c>
      <c r="K5" s="412"/>
      <c r="L5" s="412"/>
      <c r="M5" s="421">
        <v>45959</v>
      </c>
      <c r="N5" s="421"/>
      <c r="O5" s="412"/>
      <c r="P5" s="412"/>
      <c r="Q5" s="412"/>
      <c r="R5" s="412"/>
      <c r="S5" s="412"/>
      <c r="T5" s="72"/>
      <c r="U5" s="421"/>
      <c r="V5" s="421"/>
      <c r="W5" s="412"/>
      <c r="X5" s="412"/>
      <c r="Y5" s="426"/>
      <c r="Z5" s="421"/>
      <c r="AA5" s="412"/>
      <c r="AB5" s="412"/>
      <c r="AC5" s="412"/>
      <c r="AD5" s="425"/>
      <c r="AE5" s="424"/>
    </row>
  </sheetData>
  <hyperlinks>
    <hyperlink ref="T2" r:id="rId1" xr:uid="{1079B93A-457F-4428-9ADE-1344B96AFC02}"/>
    <hyperlink ref="T3" r:id="rId2" xr:uid="{7E89205B-B7D0-4C73-9624-E68FDBD7E33F}"/>
    <hyperlink ref="T4" r:id="rId3" xr:uid="{6744322C-7779-43E6-96E5-9C7E0D8B60EE}"/>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1D65-C202-4D8B-94DC-700C8FED7B19}">
  <dimension ref="A1:AE4"/>
  <sheetViews>
    <sheetView workbookViewId="0">
      <pane xSplit="7" topLeftCell="H1" activePane="topRight" state="frozen"/>
      <selection pane="topRight" activeCell="P2" sqref="P2:P4"/>
    </sheetView>
  </sheetViews>
  <sheetFormatPr defaultRowHeight="12.75"/>
  <cols>
    <col min="2" max="2" width="19.140625" customWidth="1"/>
    <col min="4" max="4" width="12" customWidth="1"/>
    <col min="5" max="5" width="29" customWidth="1"/>
    <col min="6" max="6" width="10.7109375" customWidth="1"/>
    <col min="7" max="7" width="12.28515625" customWidth="1"/>
    <col min="8" max="8" width="34.28515625" customWidth="1"/>
    <col min="9" max="9" width="13.42578125" customWidth="1"/>
    <col min="10" max="10" width="8.5703125" customWidth="1"/>
    <col min="13" max="13" width="11.5703125" customWidth="1"/>
    <col min="14" max="14" width="10" customWidth="1"/>
    <col min="17" max="17" width="12" customWidth="1"/>
    <col min="19" max="19" width="13.140625" customWidth="1"/>
    <col min="20" max="20" width="37" customWidth="1"/>
    <col min="21" max="22" width="10.140625" customWidth="1"/>
    <col min="23" max="23" width="12.140625" customWidth="1"/>
    <col min="25" max="25" width="13" customWidth="1"/>
    <col min="26" max="26" width="10.7109375" customWidth="1"/>
    <col min="27" max="27" width="12" customWidth="1"/>
    <col min="28" max="28" width="12.42578125" customWidth="1"/>
    <col min="29" max="29" width="12.5703125" customWidth="1"/>
    <col min="30" max="30" width="42.7109375" customWidth="1"/>
    <col min="31" max="31" width="33.42578125" customWidth="1"/>
  </cols>
  <sheetData>
    <row r="1" spans="1:31" ht="58.5">
      <c r="A1" s="416" t="s">
        <v>234</v>
      </c>
      <c r="B1" s="57" t="s">
        <v>4</v>
      </c>
      <c r="C1" s="57" t="s">
        <v>2</v>
      </c>
      <c r="D1" s="57" t="s">
        <v>3</v>
      </c>
      <c r="E1" s="416" t="s">
        <v>235</v>
      </c>
      <c r="F1" s="416" t="s">
        <v>236</v>
      </c>
      <c r="G1" s="416" t="s">
        <v>515</v>
      </c>
      <c r="H1" s="416" t="s">
        <v>238</v>
      </c>
      <c r="I1" s="416" t="s">
        <v>239</v>
      </c>
      <c r="J1" s="57" t="s">
        <v>516</v>
      </c>
      <c r="K1" s="57" t="s">
        <v>517</v>
      </c>
      <c r="L1" s="57" t="s">
        <v>242</v>
      </c>
      <c r="M1" s="57" t="s">
        <v>243</v>
      </c>
      <c r="N1" s="57" t="s">
        <v>244</v>
      </c>
      <c r="O1" s="416" t="s">
        <v>245</v>
      </c>
      <c r="P1" s="416" t="s">
        <v>246</v>
      </c>
      <c r="Q1" s="416" t="s">
        <v>247</v>
      </c>
      <c r="R1" s="416" t="s">
        <v>248</v>
      </c>
      <c r="S1" s="416" t="s">
        <v>249</v>
      </c>
      <c r="T1" s="417" t="s">
        <v>250</v>
      </c>
      <c r="U1" s="417" t="s">
        <v>251</v>
      </c>
      <c r="V1" s="417" t="s">
        <v>252</v>
      </c>
      <c r="W1" s="417" t="s">
        <v>253</v>
      </c>
      <c r="X1" s="417" t="s">
        <v>254</v>
      </c>
      <c r="Y1" s="417" t="s">
        <v>255</v>
      </c>
      <c r="Z1" s="417" t="s">
        <v>256</v>
      </c>
      <c r="AA1" s="416" t="s">
        <v>487</v>
      </c>
      <c r="AB1" s="416" t="s">
        <v>465</v>
      </c>
      <c r="AC1" s="416" t="s">
        <v>466</v>
      </c>
      <c r="AD1" s="418" t="s">
        <v>260</v>
      </c>
      <c r="AE1" s="418" t="s">
        <v>17</v>
      </c>
    </row>
    <row r="2" spans="1:31" ht="44.25" customHeight="1">
      <c r="A2" s="412">
        <v>1</v>
      </c>
      <c r="B2" s="412" t="s">
        <v>5</v>
      </c>
      <c r="C2" s="421">
        <v>45933</v>
      </c>
      <c r="D2" s="421">
        <v>45946</v>
      </c>
      <c r="E2" s="422" t="s">
        <v>159</v>
      </c>
      <c r="F2" s="423" t="s">
        <v>219</v>
      </c>
      <c r="G2" s="72" t="s">
        <v>518</v>
      </c>
      <c r="H2" s="423" t="s">
        <v>519</v>
      </c>
      <c r="I2" s="61" t="s">
        <v>13</v>
      </c>
      <c r="J2" s="412">
        <v>2</v>
      </c>
      <c r="K2" s="412"/>
      <c r="L2" s="412"/>
      <c r="M2" s="421">
        <v>45933</v>
      </c>
      <c r="N2" s="421">
        <v>45936</v>
      </c>
      <c r="O2" s="412"/>
      <c r="P2" s="412" t="s">
        <v>274</v>
      </c>
      <c r="Q2" s="412"/>
      <c r="R2" s="412" t="s">
        <v>275</v>
      </c>
      <c r="S2" s="412"/>
      <c r="T2" s="72" t="s">
        <v>520</v>
      </c>
      <c r="U2" s="421">
        <v>45936</v>
      </c>
      <c r="V2" s="421">
        <v>45936</v>
      </c>
      <c r="W2" s="412" t="s">
        <v>275</v>
      </c>
      <c r="X2" s="412"/>
      <c r="Y2" s="412" t="s">
        <v>311</v>
      </c>
      <c r="Z2" s="421">
        <v>45936</v>
      </c>
      <c r="AA2" s="412"/>
      <c r="AB2" s="412"/>
      <c r="AC2" s="412"/>
      <c r="AD2" s="424" t="s">
        <v>521</v>
      </c>
      <c r="AE2" s="415"/>
    </row>
    <row r="3" spans="1:31" ht="46.5" customHeight="1">
      <c r="A3" s="412">
        <v>2</v>
      </c>
      <c r="B3" s="412" t="s">
        <v>5</v>
      </c>
      <c r="C3" s="421">
        <v>45933</v>
      </c>
      <c r="D3" s="421">
        <v>45946</v>
      </c>
      <c r="E3" s="422" t="s">
        <v>159</v>
      </c>
      <c r="F3" s="423" t="s">
        <v>219</v>
      </c>
      <c r="G3" s="72" t="s">
        <v>522</v>
      </c>
      <c r="H3" s="423" t="s">
        <v>523</v>
      </c>
      <c r="I3" s="61" t="s">
        <v>13</v>
      </c>
      <c r="J3" s="412">
        <v>5</v>
      </c>
      <c r="K3" s="412"/>
      <c r="L3" s="412"/>
      <c r="M3" s="421">
        <v>45938</v>
      </c>
      <c r="N3" s="421">
        <v>45943</v>
      </c>
      <c r="O3" s="412"/>
      <c r="P3" s="412" t="s">
        <v>274</v>
      </c>
      <c r="Q3" s="412"/>
      <c r="R3" s="412" t="s">
        <v>275</v>
      </c>
      <c r="S3" s="412"/>
      <c r="T3" s="72" t="s">
        <v>524</v>
      </c>
      <c r="U3" s="421">
        <v>45939</v>
      </c>
      <c r="V3" s="421">
        <v>45943</v>
      </c>
      <c r="W3" s="412" t="s">
        <v>275</v>
      </c>
      <c r="X3" s="412"/>
      <c r="Y3" s="412" t="s">
        <v>277</v>
      </c>
      <c r="Z3" s="421">
        <v>45943</v>
      </c>
      <c r="AA3" s="412"/>
      <c r="AB3" s="412"/>
      <c r="AC3" s="412"/>
      <c r="AD3" s="425" t="s">
        <v>525</v>
      </c>
      <c r="AE3" s="415"/>
    </row>
    <row r="4" spans="1:31" ht="50.25" customHeight="1">
      <c r="A4" s="412">
        <v>3</v>
      </c>
      <c r="B4" s="412" t="s">
        <v>5</v>
      </c>
      <c r="C4" s="421">
        <v>45933</v>
      </c>
      <c r="D4" s="421">
        <v>45946</v>
      </c>
      <c r="E4" s="422" t="s">
        <v>526</v>
      </c>
      <c r="F4" s="423" t="s">
        <v>219</v>
      </c>
      <c r="G4" s="72" t="s">
        <v>527</v>
      </c>
      <c r="H4" s="423" t="s">
        <v>528</v>
      </c>
      <c r="I4" s="61" t="s">
        <v>13</v>
      </c>
      <c r="J4" s="412">
        <v>2</v>
      </c>
      <c r="K4" s="412"/>
      <c r="L4" s="412"/>
      <c r="M4" s="421">
        <v>45944</v>
      </c>
      <c r="N4" s="421">
        <v>45945</v>
      </c>
      <c r="O4" s="412"/>
      <c r="P4" s="412" t="s">
        <v>274</v>
      </c>
      <c r="Q4" s="412"/>
      <c r="R4" s="412" t="s">
        <v>275</v>
      </c>
      <c r="S4" s="412"/>
      <c r="T4" s="72" t="s">
        <v>529</v>
      </c>
      <c r="U4" s="421">
        <v>45945</v>
      </c>
      <c r="V4" s="421">
        <v>45945</v>
      </c>
      <c r="W4" s="412" t="s">
        <v>275</v>
      </c>
      <c r="X4" s="412"/>
      <c r="Y4" s="412" t="s">
        <v>277</v>
      </c>
      <c r="Z4" s="421">
        <v>45945</v>
      </c>
      <c r="AA4" s="412"/>
      <c r="AB4" s="412"/>
      <c r="AC4" s="412"/>
      <c r="AD4" s="425" t="s">
        <v>530</v>
      </c>
      <c r="AE4" s="415"/>
    </row>
  </sheetData>
  <hyperlinks>
    <hyperlink ref="T2" r:id="rId1" xr:uid="{D492D029-272F-472F-BD8D-7AC6CA1ED677}"/>
    <hyperlink ref="T3" r:id="rId2" xr:uid="{D01D7C1E-F6DE-4CB8-8D87-A2F430C195B4}"/>
    <hyperlink ref="T4" r:id="rId3" xr:uid="{03B5EF19-68CB-4FCB-866C-AD66190EFD96}"/>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84953-8716-49D9-8693-721D03C9E94D}">
  <dimension ref="A1:AE4"/>
  <sheetViews>
    <sheetView workbookViewId="0">
      <pane xSplit="7" topLeftCell="H1" activePane="topRight" state="frozen"/>
      <selection pane="topRight" activeCell="P2" sqref="P2:P4"/>
    </sheetView>
  </sheetViews>
  <sheetFormatPr defaultRowHeight="12.75"/>
  <cols>
    <col min="1" max="1" width="5.140625" bestFit="1" customWidth="1"/>
    <col min="2" max="2" width="19.85546875" customWidth="1"/>
    <col min="4" max="4" width="9.85546875" customWidth="1"/>
    <col min="5" max="5" width="32.7109375" customWidth="1"/>
    <col min="6" max="6" width="11.7109375" customWidth="1"/>
    <col min="7" max="7" width="13.85546875" customWidth="1"/>
    <col min="8" max="8" width="43" customWidth="1"/>
    <col min="9" max="9" width="11.85546875" customWidth="1"/>
    <col min="10" max="10" width="12.5703125" customWidth="1"/>
    <col min="17" max="17" width="12.5703125" customWidth="1"/>
    <col min="19" max="19" width="13.140625" customWidth="1"/>
    <col min="20" max="20" width="30.85546875" customWidth="1"/>
    <col min="23" max="23" width="12" customWidth="1"/>
    <col min="24" max="24" width="12.5703125" customWidth="1"/>
    <col min="25" max="25" width="16.28515625" customWidth="1"/>
    <col min="27" max="27" width="12.140625" customWidth="1"/>
    <col min="28" max="28" width="11" customWidth="1"/>
    <col min="29" max="29" width="11.85546875" customWidth="1"/>
    <col min="30" max="30" width="49.85546875" customWidth="1"/>
    <col min="31" max="31" width="45.85546875" customWidth="1"/>
  </cols>
  <sheetData>
    <row r="1" spans="1:31" s="298" customFormat="1" ht="58.5">
      <c r="A1" s="416" t="s">
        <v>234</v>
      </c>
      <c r="B1" s="57" t="s">
        <v>4</v>
      </c>
      <c r="C1" s="57" t="s">
        <v>2</v>
      </c>
      <c r="D1" s="57" t="s">
        <v>3</v>
      </c>
      <c r="E1" s="416" t="s">
        <v>235</v>
      </c>
      <c r="F1" s="416" t="s">
        <v>236</v>
      </c>
      <c r="G1" s="416" t="s">
        <v>515</v>
      </c>
      <c r="H1" s="416" t="s">
        <v>238</v>
      </c>
      <c r="I1" s="416" t="s">
        <v>239</v>
      </c>
      <c r="J1" s="57" t="s">
        <v>516</v>
      </c>
      <c r="K1" s="57" t="s">
        <v>517</v>
      </c>
      <c r="L1" s="57" t="s">
        <v>242</v>
      </c>
      <c r="M1" s="57" t="s">
        <v>243</v>
      </c>
      <c r="N1" s="57" t="s">
        <v>244</v>
      </c>
      <c r="O1" s="416" t="s">
        <v>245</v>
      </c>
      <c r="P1" s="416" t="s">
        <v>246</v>
      </c>
      <c r="Q1" s="416" t="s">
        <v>247</v>
      </c>
      <c r="R1" s="416" t="s">
        <v>248</v>
      </c>
      <c r="S1" s="416" t="s">
        <v>249</v>
      </c>
      <c r="T1" s="417" t="s">
        <v>250</v>
      </c>
      <c r="U1" s="417" t="s">
        <v>251</v>
      </c>
      <c r="V1" s="417" t="s">
        <v>252</v>
      </c>
      <c r="W1" s="417" t="s">
        <v>253</v>
      </c>
      <c r="X1" s="417" t="s">
        <v>254</v>
      </c>
      <c r="Y1" s="417" t="s">
        <v>255</v>
      </c>
      <c r="Z1" s="417" t="s">
        <v>256</v>
      </c>
      <c r="AA1" s="416" t="s">
        <v>487</v>
      </c>
      <c r="AB1" s="416" t="s">
        <v>465</v>
      </c>
      <c r="AC1" s="416" t="s">
        <v>466</v>
      </c>
      <c r="AD1" s="418" t="s">
        <v>260</v>
      </c>
      <c r="AE1" s="418" t="s">
        <v>17</v>
      </c>
    </row>
    <row r="2" spans="1:31" ht="33.75" customHeight="1">
      <c r="A2" s="240">
        <v>1</v>
      </c>
      <c r="B2" s="240" t="s">
        <v>5</v>
      </c>
      <c r="C2" s="241">
        <v>45919</v>
      </c>
      <c r="D2" s="241">
        <v>45932</v>
      </c>
      <c r="E2" s="413" t="s">
        <v>155</v>
      </c>
      <c r="F2" s="414" t="s">
        <v>219</v>
      </c>
      <c r="G2" s="229" t="s">
        <v>531</v>
      </c>
      <c r="H2" s="414" t="s">
        <v>532</v>
      </c>
      <c r="I2" s="242" t="s">
        <v>13</v>
      </c>
      <c r="J2" s="240">
        <v>5</v>
      </c>
      <c r="K2" s="240"/>
      <c r="L2" s="240"/>
      <c r="M2" s="241">
        <v>45922</v>
      </c>
      <c r="N2" s="241">
        <v>45926</v>
      </c>
      <c r="O2" s="240"/>
      <c r="P2" s="240" t="s">
        <v>274</v>
      </c>
      <c r="Q2" s="240"/>
      <c r="R2" s="240" t="s">
        <v>275</v>
      </c>
      <c r="S2" s="240"/>
      <c r="T2" s="229" t="s">
        <v>533</v>
      </c>
      <c r="U2" s="241">
        <v>45925</v>
      </c>
      <c r="V2" s="241">
        <v>45926</v>
      </c>
      <c r="W2" s="240" t="s">
        <v>275</v>
      </c>
      <c r="X2" s="240"/>
      <c r="Y2" s="420" t="s">
        <v>534</v>
      </c>
      <c r="Z2" s="241">
        <v>45926</v>
      </c>
      <c r="AA2" s="240"/>
      <c r="AB2" s="240"/>
      <c r="AC2" s="240"/>
      <c r="AD2" s="399" t="s">
        <v>535</v>
      </c>
      <c r="AE2" s="415"/>
    </row>
    <row r="3" spans="1:31" ht="34.5" customHeight="1">
      <c r="A3" s="240">
        <v>2</v>
      </c>
      <c r="B3" s="240" t="s">
        <v>5</v>
      </c>
      <c r="C3" s="241">
        <v>45919</v>
      </c>
      <c r="D3" s="241">
        <v>45932</v>
      </c>
      <c r="E3" s="413" t="s">
        <v>155</v>
      </c>
      <c r="F3" s="414" t="s">
        <v>219</v>
      </c>
      <c r="G3" s="229" t="s">
        <v>536</v>
      </c>
      <c r="H3" s="414" t="s">
        <v>537</v>
      </c>
      <c r="I3" s="242" t="s">
        <v>13</v>
      </c>
      <c r="J3" s="240">
        <v>2</v>
      </c>
      <c r="K3" s="240"/>
      <c r="L3" s="240"/>
      <c r="M3" s="241">
        <v>45919</v>
      </c>
      <c r="N3" s="241">
        <v>45924</v>
      </c>
      <c r="O3" s="240"/>
      <c r="P3" s="240" t="s">
        <v>274</v>
      </c>
      <c r="Q3" s="240"/>
      <c r="R3" s="240" t="s">
        <v>275</v>
      </c>
      <c r="S3" s="240"/>
      <c r="T3" s="229" t="s">
        <v>533</v>
      </c>
      <c r="U3" s="241">
        <v>45923</v>
      </c>
      <c r="V3" s="241">
        <v>45926</v>
      </c>
      <c r="W3" s="240" t="s">
        <v>275</v>
      </c>
      <c r="X3" s="240"/>
      <c r="Y3" s="420" t="s">
        <v>534</v>
      </c>
      <c r="Z3" s="241">
        <v>45926</v>
      </c>
      <c r="AA3" s="240"/>
      <c r="AB3" s="240"/>
      <c r="AC3" s="240"/>
      <c r="AD3" s="399" t="s">
        <v>538</v>
      </c>
      <c r="AE3" s="415"/>
    </row>
    <row r="4" spans="1:31" ht="34.5" customHeight="1">
      <c r="A4" s="240">
        <v>3</v>
      </c>
      <c r="B4" s="240" t="s">
        <v>5</v>
      </c>
      <c r="C4" s="241">
        <v>45919</v>
      </c>
      <c r="D4" s="241">
        <v>45932</v>
      </c>
      <c r="E4" s="413" t="s">
        <v>539</v>
      </c>
      <c r="F4" s="414" t="s">
        <v>219</v>
      </c>
      <c r="G4" s="229" t="s">
        <v>540</v>
      </c>
      <c r="H4" s="414" t="s">
        <v>541</v>
      </c>
      <c r="I4" s="242" t="s">
        <v>13</v>
      </c>
      <c r="J4" s="240">
        <v>2</v>
      </c>
      <c r="K4" s="240"/>
      <c r="L4" s="240"/>
      <c r="M4" s="241">
        <v>45929</v>
      </c>
      <c r="N4" s="241">
        <v>45930</v>
      </c>
      <c r="O4" s="240"/>
      <c r="P4" s="240" t="s">
        <v>274</v>
      </c>
      <c r="Q4" s="240"/>
      <c r="R4" s="240" t="s">
        <v>275</v>
      </c>
      <c r="S4" s="240"/>
      <c r="T4" s="229" t="s">
        <v>542</v>
      </c>
      <c r="U4" s="241">
        <v>45930</v>
      </c>
      <c r="V4" s="241">
        <v>45931</v>
      </c>
      <c r="W4" s="240" t="s">
        <v>275</v>
      </c>
      <c r="X4" s="240"/>
      <c r="Y4" s="420" t="s">
        <v>534</v>
      </c>
      <c r="Z4" s="241">
        <v>45931</v>
      </c>
      <c r="AA4" s="240"/>
      <c r="AB4" s="240"/>
      <c r="AC4" s="240"/>
      <c r="AD4" s="399" t="s">
        <v>543</v>
      </c>
      <c r="AE4" s="415"/>
    </row>
  </sheetData>
  <hyperlinks>
    <hyperlink ref="T2" r:id="rId1" xr:uid="{1C2D88C4-C638-4468-B2FF-311DC98CEC1B}"/>
    <hyperlink ref="T3" r:id="rId2" xr:uid="{AF0FCDF9-228A-4E04-B96D-35CCDF5A6669}"/>
    <hyperlink ref="T4" r:id="rId3" xr:uid="{0B6F5ACA-FA10-4496-8BB2-733317D72056}"/>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514B2-8E41-4E7E-8BDE-9A6A45362E8B}">
  <sheetPr>
    <outlinePr summaryBelow="0" summaryRight="0"/>
  </sheetPr>
  <dimension ref="A1:AE8"/>
  <sheetViews>
    <sheetView showGridLines="0" workbookViewId="0">
      <pane xSplit="7" topLeftCell="X1" activePane="topRight" state="frozen"/>
      <selection pane="topRight" activeCell="A6" sqref="A6"/>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6.7109375" style="43" customWidth="1"/>
    <col min="6" max="6" width="26.5703125" style="43" customWidth="1"/>
    <col min="7" max="7" width="12.85546875" style="62" customWidth="1"/>
    <col min="8" max="8" width="48" style="43" customWidth="1"/>
    <col min="9" max="9" width="20"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5"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23.710937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31" width="48.5703125" style="43" customWidth="1"/>
    <col min="32" max="16384" width="12.5703125" style="43"/>
  </cols>
  <sheetData>
    <row r="1" spans="1:31" ht="36.75" customHeight="1">
      <c r="A1" s="396" t="s">
        <v>234</v>
      </c>
      <c r="B1" s="57" t="s">
        <v>4</v>
      </c>
      <c r="C1" s="57" t="s">
        <v>2</v>
      </c>
      <c r="D1" s="57" t="s">
        <v>3</v>
      </c>
      <c r="E1" s="396" t="s">
        <v>235</v>
      </c>
      <c r="F1" s="396" t="s">
        <v>236</v>
      </c>
      <c r="G1" s="396" t="s">
        <v>515</v>
      </c>
      <c r="H1" s="396" t="s">
        <v>238</v>
      </c>
      <c r="I1" s="396" t="s">
        <v>239</v>
      </c>
      <c r="J1" s="57" t="s">
        <v>516</v>
      </c>
      <c r="K1" s="57" t="s">
        <v>517</v>
      </c>
      <c r="L1" s="57" t="s">
        <v>242</v>
      </c>
      <c r="M1" s="57" t="s">
        <v>243</v>
      </c>
      <c r="N1" s="57" t="s">
        <v>244</v>
      </c>
      <c r="O1" s="396" t="s">
        <v>245</v>
      </c>
      <c r="P1" s="396" t="s">
        <v>246</v>
      </c>
      <c r="Q1" s="396" t="s">
        <v>247</v>
      </c>
      <c r="R1" s="397" t="s">
        <v>248</v>
      </c>
      <c r="S1" s="396" t="s">
        <v>249</v>
      </c>
      <c r="T1" s="402" t="s">
        <v>250</v>
      </c>
      <c r="U1" s="402" t="s">
        <v>251</v>
      </c>
      <c r="V1" s="402" t="s">
        <v>252</v>
      </c>
      <c r="W1" s="402" t="s">
        <v>253</v>
      </c>
      <c r="X1" s="402" t="s">
        <v>254</v>
      </c>
      <c r="Y1" s="402" t="s">
        <v>255</v>
      </c>
      <c r="Z1" s="402" t="s">
        <v>256</v>
      </c>
      <c r="AA1" s="396" t="s">
        <v>487</v>
      </c>
      <c r="AB1" s="396" t="s">
        <v>465</v>
      </c>
      <c r="AC1" s="396" t="s">
        <v>466</v>
      </c>
      <c r="AD1" s="398" t="s">
        <v>260</v>
      </c>
      <c r="AE1" s="398" t="s">
        <v>17</v>
      </c>
    </row>
    <row r="2" spans="1:31" ht="33" customHeight="1">
      <c r="A2" s="87">
        <v>1</v>
      </c>
      <c r="B2" s="244" t="s">
        <v>5</v>
      </c>
      <c r="C2" s="241">
        <v>45904</v>
      </c>
      <c r="D2" s="241">
        <v>45918</v>
      </c>
      <c r="E2" s="90" t="s">
        <v>150</v>
      </c>
      <c r="F2" s="141" t="s">
        <v>544</v>
      </c>
      <c r="G2" s="229" t="s">
        <v>545</v>
      </c>
      <c r="H2" s="141" t="s">
        <v>546</v>
      </c>
      <c r="I2" s="242" t="s">
        <v>13</v>
      </c>
      <c r="J2" s="87">
        <v>3</v>
      </c>
      <c r="K2" s="87"/>
      <c r="L2" s="87"/>
      <c r="M2" s="241">
        <v>45910</v>
      </c>
      <c r="N2" s="241">
        <v>45915</v>
      </c>
      <c r="O2" s="87"/>
      <c r="P2" s="87" t="s">
        <v>274</v>
      </c>
      <c r="Q2" s="87"/>
      <c r="R2" s="87" t="s">
        <v>275</v>
      </c>
      <c r="S2" s="87"/>
      <c r="T2" s="140" t="s">
        <v>547</v>
      </c>
      <c r="U2" s="241">
        <v>45915</v>
      </c>
      <c r="V2" s="241">
        <v>45916</v>
      </c>
      <c r="W2" s="87" t="s">
        <v>275</v>
      </c>
      <c r="X2" s="87"/>
      <c r="Y2" s="87" t="s">
        <v>548</v>
      </c>
      <c r="Z2" s="241">
        <v>45916</v>
      </c>
      <c r="AA2" s="87"/>
      <c r="AB2" s="87"/>
      <c r="AC2" s="87"/>
      <c r="AD2" s="399" t="s">
        <v>549</v>
      </c>
      <c r="AE2" s="399"/>
    </row>
    <row r="3" spans="1:31" ht="35.25" customHeight="1">
      <c r="A3" s="87">
        <v>2</v>
      </c>
      <c r="B3" s="244" t="s">
        <v>5</v>
      </c>
      <c r="C3" s="241">
        <v>45904</v>
      </c>
      <c r="D3" s="241">
        <v>45918</v>
      </c>
      <c r="E3" s="90" t="s">
        <v>150</v>
      </c>
      <c r="F3" s="141" t="s">
        <v>544</v>
      </c>
      <c r="G3" s="229" t="s">
        <v>550</v>
      </c>
      <c r="H3" s="141" t="s">
        <v>551</v>
      </c>
      <c r="I3" s="242" t="s">
        <v>13</v>
      </c>
      <c r="J3" s="87">
        <v>3</v>
      </c>
      <c r="K3" s="87"/>
      <c r="L3" s="87"/>
      <c r="M3" s="241">
        <v>45905</v>
      </c>
      <c r="N3" s="241">
        <v>45910</v>
      </c>
      <c r="O3" s="87"/>
      <c r="P3" s="87" t="s">
        <v>274</v>
      </c>
      <c r="Q3" s="87"/>
      <c r="R3" s="87" t="s">
        <v>275</v>
      </c>
      <c r="S3" s="87"/>
      <c r="T3" s="140" t="s">
        <v>552</v>
      </c>
      <c r="U3" s="241">
        <v>45911</v>
      </c>
      <c r="V3" s="241">
        <v>45911</v>
      </c>
      <c r="W3" s="87" t="s">
        <v>275</v>
      </c>
      <c r="X3" s="87"/>
      <c r="Y3" s="98" t="s">
        <v>548</v>
      </c>
      <c r="Z3" s="241">
        <v>45911</v>
      </c>
      <c r="AA3" s="87"/>
      <c r="AB3" s="87"/>
      <c r="AC3" s="87"/>
      <c r="AD3" s="399" t="s">
        <v>553</v>
      </c>
      <c r="AE3" s="399"/>
    </row>
    <row r="4" spans="1:31" ht="36.75" customHeight="1">
      <c r="A4" s="87">
        <v>3</v>
      </c>
      <c r="B4" s="244" t="s">
        <v>5</v>
      </c>
      <c r="C4" s="241">
        <v>45904</v>
      </c>
      <c r="D4" s="241">
        <v>45918</v>
      </c>
      <c r="E4" s="90" t="s">
        <v>150</v>
      </c>
      <c r="F4" s="141" t="s">
        <v>219</v>
      </c>
      <c r="G4" s="409" t="s">
        <v>554</v>
      </c>
      <c r="H4" s="410" t="s">
        <v>555</v>
      </c>
      <c r="I4" s="242" t="s">
        <v>13</v>
      </c>
      <c r="J4" s="87">
        <v>3</v>
      </c>
      <c r="K4" s="87"/>
      <c r="L4" s="87"/>
      <c r="M4" s="241">
        <v>45912</v>
      </c>
      <c r="N4" s="241">
        <v>45917</v>
      </c>
      <c r="O4" s="87"/>
      <c r="P4" s="87" t="s">
        <v>274</v>
      </c>
      <c r="Q4" s="87"/>
      <c r="R4" s="87" t="s">
        <v>275</v>
      </c>
      <c r="S4" s="87"/>
      <c r="T4" s="140" t="s">
        <v>556</v>
      </c>
      <c r="U4" s="241">
        <v>45917</v>
      </c>
      <c r="V4" s="241">
        <v>45917</v>
      </c>
      <c r="W4" s="87" t="s">
        <v>275</v>
      </c>
      <c r="X4" s="87"/>
      <c r="Y4" s="98" t="s">
        <v>548</v>
      </c>
      <c r="Z4" s="241">
        <v>45917</v>
      </c>
      <c r="AA4" s="87"/>
      <c r="AB4" s="87"/>
      <c r="AC4" s="87"/>
      <c r="AD4" s="399" t="s">
        <v>557</v>
      </c>
      <c r="AE4" s="399"/>
    </row>
    <row r="5" spans="1:31" ht="35.25" customHeight="1">
      <c r="A5" s="87">
        <v>4</v>
      </c>
      <c r="B5" s="244" t="s">
        <v>5</v>
      </c>
      <c r="C5" s="241">
        <v>45904</v>
      </c>
      <c r="D5" s="241">
        <v>45918</v>
      </c>
      <c r="E5" s="90" t="s">
        <v>150</v>
      </c>
      <c r="F5" s="141" t="s">
        <v>558</v>
      </c>
      <c r="G5" s="229" t="s">
        <v>559</v>
      </c>
      <c r="H5" s="410" t="s">
        <v>560</v>
      </c>
      <c r="I5" s="242" t="s">
        <v>13</v>
      </c>
      <c r="J5" s="87">
        <v>3</v>
      </c>
      <c r="K5" s="87"/>
      <c r="L5" s="87"/>
      <c r="M5" s="241">
        <v>45905</v>
      </c>
      <c r="N5" s="241">
        <v>45912</v>
      </c>
      <c r="O5" s="87"/>
      <c r="P5" s="87" t="s">
        <v>274</v>
      </c>
      <c r="Q5" s="87"/>
      <c r="R5" s="87" t="s">
        <v>275</v>
      </c>
      <c r="S5" s="87"/>
      <c r="T5" s="140" t="s">
        <v>561</v>
      </c>
      <c r="U5" s="404">
        <v>45912</v>
      </c>
      <c r="V5" s="404">
        <v>45912</v>
      </c>
      <c r="W5" s="87" t="s">
        <v>275</v>
      </c>
      <c r="X5" s="87"/>
      <c r="Y5" s="98" t="s">
        <v>548</v>
      </c>
      <c r="Z5" s="404">
        <v>45912</v>
      </c>
      <c r="AA5" s="87"/>
      <c r="AB5" s="87"/>
      <c r="AC5" s="87"/>
      <c r="AD5" s="399" t="s">
        <v>562</v>
      </c>
      <c r="AE5" s="399"/>
    </row>
    <row r="6" spans="1:31" ht="59.25" customHeight="1">
      <c r="A6" s="87"/>
      <c r="B6" s="244" t="s">
        <v>5</v>
      </c>
      <c r="C6" s="241">
        <v>45904</v>
      </c>
      <c r="D6" s="241">
        <v>45918</v>
      </c>
      <c r="E6" s="90" t="s">
        <v>150</v>
      </c>
      <c r="F6" s="87" t="s">
        <v>219</v>
      </c>
      <c r="G6" s="229" t="s">
        <v>563</v>
      </c>
      <c r="H6" s="410" t="s">
        <v>564</v>
      </c>
      <c r="I6" s="242" t="s">
        <v>13</v>
      </c>
      <c r="J6" s="87">
        <v>3</v>
      </c>
      <c r="K6" s="87"/>
      <c r="L6" s="87"/>
      <c r="M6" s="241">
        <v>45904</v>
      </c>
      <c r="N6" s="241">
        <v>45917</v>
      </c>
      <c r="O6" s="87"/>
      <c r="P6" s="87" t="s">
        <v>274</v>
      </c>
      <c r="Q6" s="87"/>
      <c r="R6" s="87" t="s">
        <v>275</v>
      </c>
      <c r="S6" s="116"/>
      <c r="T6" s="140" t="s">
        <v>565</v>
      </c>
      <c r="U6" s="404">
        <v>45910</v>
      </c>
      <c r="V6" s="241">
        <v>45917</v>
      </c>
      <c r="W6" s="87" t="s">
        <v>275</v>
      </c>
      <c r="X6" s="87"/>
      <c r="Y6" s="98" t="s">
        <v>548</v>
      </c>
      <c r="Z6" s="241">
        <v>45917</v>
      </c>
      <c r="AA6" s="141"/>
      <c r="AB6" s="87"/>
      <c r="AC6" s="87"/>
      <c r="AD6" s="399" t="s">
        <v>566</v>
      </c>
      <c r="AE6" s="399"/>
    </row>
    <row r="7" spans="1:31" ht="35.25" customHeight="1">
      <c r="A7" s="87"/>
      <c r="B7" s="244"/>
      <c r="C7" s="241"/>
      <c r="D7" s="241"/>
      <c r="E7" s="90"/>
      <c r="F7" s="87"/>
      <c r="G7" s="229"/>
      <c r="H7" s="87"/>
      <c r="I7" s="242"/>
      <c r="J7" s="87"/>
      <c r="K7" s="87"/>
      <c r="L7" s="87"/>
      <c r="M7" s="241"/>
      <c r="N7" s="241"/>
      <c r="O7" s="87"/>
      <c r="P7" s="87"/>
      <c r="Q7" s="87"/>
      <c r="R7" s="87"/>
      <c r="S7" s="116"/>
      <c r="T7" s="140"/>
      <c r="U7" s="404"/>
      <c r="V7" s="241"/>
      <c r="W7" s="87"/>
      <c r="X7" s="87"/>
      <c r="Y7" s="142"/>
      <c r="Z7" s="404"/>
      <c r="AA7" s="141"/>
      <c r="AB7" s="404"/>
      <c r="AC7" s="404"/>
      <c r="AD7" s="399"/>
      <c r="AE7" s="399"/>
    </row>
    <row r="8" spans="1:31" ht="35.25" customHeight="1">
      <c r="A8" s="87"/>
      <c r="B8" s="244"/>
      <c r="C8" s="241"/>
      <c r="D8" s="241"/>
      <c r="E8" s="90"/>
      <c r="F8" s="87"/>
      <c r="G8" s="229"/>
      <c r="H8" s="87"/>
      <c r="I8" s="242"/>
      <c r="J8" s="87"/>
      <c r="K8" s="87"/>
      <c r="L8" s="87"/>
      <c r="M8" s="241"/>
      <c r="N8" s="241"/>
      <c r="O8" s="87"/>
      <c r="P8" s="87"/>
      <c r="Q8" s="87"/>
      <c r="R8" s="87"/>
      <c r="S8" s="116"/>
      <c r="T8" s="140"/>
      <c r="U8" s="404"/>
      <c r="V8" s="241"/>
      <c r="W8" s="87"/>
      <c r="X8" s="87"/>
      <c r="Y8" s="142"/>
      <c r="Z8" s="404"/>
      <c r="AA8" s="141"/>
      <c r="AB8" s="87"/>
      <c r="AC8" s="87"/>
      <c r="AD8" s="399"/>
      <c r="AE8" s="399"/>
    </row>
  </sheetData>
  <hyperlinks>
    <hyperlink ref="T6" r:id="rId1" xr:uid="{EB086C4B-9770-431E-AFD8-CEA3112AF716}"/>
    <hyperlink ref="T5" r:id="rId2" xr:uid="{901C41F1-7E3F-4FAA-9DF9-B4E2B97131A7}"/>
    <hyperlink ref="T2" r:id="rId3" xr:uid="{6DA985EE-E3B3-4620-97CE-B49F27A3B743}"/>
    <hyperlink ref="T4" r:id="rId4" xr:uid="{94D01A30-1851-4E46-BFA3-64611AECB02E}"/>
  </hyperlinks>
  <pageMargins left="0" right="0" top="0" bottom="0" header="0" footer="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A775-F4B9-4C5E-8660-A8C7B9FF3A19}">
  <sheetPr>
    <outlinePr summaryBelow="0" summaryRight="0"/>
  </sheetPr>
  <dimension ref="A1:AE9"/>
  <sheetViews>
    <sheetView showGridLines="0" workbookViewId="0">
      <pane xSplit="7" topLeftCell="Q1" activePane="topRight" state="frozen"/>
      <selection pane="topRight" activeCell="P4" sqref="P4"/>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6.7109375" style="43" customWidth="1"/>
    <col min="6" max="6" width="26.5703125" style="43" customWidth="1"/>
    <col min="7" max="7" width="12.85546875" style="62" customWidth="1"/>
    <col min="8" max="8" width="48" style="43" customWidth="1"/>
    <col min="9" max="9" width="20"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5"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23.710937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31" width="48.5703125" style="43" customWidth="1"/>
    <col min="32" max="16384" width="12.5703125" style="43"/>
  </cols>
  <sheetData>
    <row r="1" spans="1:31" ht="36.75" customHeight="1">
      <c r="A1" s="396" t="s">
        <v>234</v>
      </c>
      <c r="B1" s="57" t="s">
        <v>4</v>
      </c>
      <c r="C1" s="57" t="s">
        <v>2</v>
      </c>
      <c r="D1" s="57" t="s">
        <v>3</v>
      </c>
      <c r="E1" s="396" t="s">
        <v>235</v>
      </c>
      <c r="F1" s="396" t="s">
        <v>236</v>
      </c>
      <c r="G1" s="396" t="s">
        <v>515</v>
      </c>
      <c r="H1" s="396" t="s">
        <v>238</v>
      </c>
      <c r="I1" s="396" t="s">
        <v>239</v>
      </c>
      <c r="J1" s="57" t="s">
        <v>516</v>
      </c>
      <c r="K1" s="57" t="s">
        <v>517</v>
      </c>
      <c r="L1" s="57" t="s">
        <v>242</v>
      </c>
      <c r="M1" s="57" t="s">
        <v>243</v>
      </c>
      <c r="N1" s="57" t="s">
        <v>244</v>
      </c>
      <c r="O1" s="396" t="s">
        <v>245</v>
      </c>
      <c r="P1" s="396" t="s">
        <v>246</v>
      </c>
      <c r="Q1" s="396" t="s">
        <v>247</v>
      </c>
      <c r="R1" s="397" t="s">
        <v>248</v>
      </c>
      <c r="S1" s="396" t="s">
        <v>249</v>
      </c>
      <c r="T1" s="402" t="s">
        <v>250</v>
      </c>
      <c r="U1" s="402" t="s">
        <v>251</v>
      </c>
      <c r="V1" s="402" t="s">
        <v>252</v>
      </c>
      <c r="W1" s="402" t="s">
        <v>253</v>
      </c>
      <c r="X1" s="402" t="s">
        <v>254</v>
      </c>
      <c r="Y1" s="402" t="s">
        <v>255</v>
      </c>
      <c r="Z1" s="402" t="s">
        <v>256</v>
      </c>
      <c r="AA1" s="396" t="s">
        <v>487</v>
      </c>
      <c r="AB1" s="396" t="s">
        <v>465</v>
      </c>
      <c r="AC1" s="396" t="s">
        <v>466</v>
      </c>
      <c r="AD1" s="398" t="s">
        <v>260</v>
      </c>
      <c r="AE1" s="398" t="s">
        <v>17</v>
      </c>
    </row>
    <row r="2" spans="1:31" ht="78" customHeight="1">
      <c r="A2" s="87">
        <v>1</v>
      </c>
      <c r="B2" s="244" t="s">
        <v>5</v>
      </c>
      <c r="C2" s="241">
        <v>45890</v>
      </c>
      <c r="D2" s="241">
        <v>45904</v>
      </c>
      <c r="E2" s="90" t="s">
        <v>144</v>
      </c>
      <c r="F2" s="141" t="s">
        <v>567</v>
      </c>
      <c r="G2" s="229" t="s">
        <v>568</v>
      </c>
      <c r="H2" s="87" t="s">
        <v>569</v>
      </c>
      <c r="I2" s="242" t="s">
        <v>13</v>
      </c>
      <c r="J2" s="87">
        <v>2</v>
      </c>
      <c r="K2" s="87"/>
      <c r="L2" s="87"/>
      <c r="M2" s="241">
        <v>45882</v>
      </c>
      <c r="N2" s="241">
        <v>45888</v>
      </c>
      <c r="O2" s="87"/>
      <c r="P2" s="87" t="s">
        <v>274</v>
      </c>
      <c r="Q2" s="87"/>
      <c r="R2" s="87" t="s">
        <v>570</v>
      </c>
      <c r="S2" s="116" t="s">
        <v>571</v>
      </c>
      <c r="T2" s="140" t="s">
        <v>572</v>
      </c>
      <c r="U2" s="241">
        <v>45888</v>
      </c>
      <c r="V2" s="241">
        <v>45889</v>
      </c>
      <c r="W2" s="87" t="s">
        <v>570</v>
      </c>
      <c r="X2" s="87"/>
      <c r="Y2" s="87" t="s">
        <v>548</v>
      </c>
      <c r="Z2" s="241">
        <v>45889</v>
      </c>
      <c r="AA2" s="87"/>
      <c r="AB2" s="87"/>
      <c r="AC2" s="87"/>
      <c r="AD2" s="399" t="s">
        <v>573</v>
      </c>
      <c r="AE2" s="399" t="s">
        <v>574</v>
      </c>
    </row>
    <row r="3" spans="1:31" ht="35.25" customHeight="1">
      <c r="A3" s="87">
        <v>2</v>
      </c>
      <c r="B3" s="244" t="s">
        <v>5</v>
      </c>
      <c r="C3" s="241">
        <v>45890</v>
      </c>
      <c r="D3" s="241">
        <v>45904</v>
      </c>
      <c r="E3" s="90" t="s">
        <v>144</v>
      </c>
      <c r="F3" s="141" t="s">
        <v>567</v>
      </c>
      <c r="G3" s="229" t="s">
        <v>575</v>
      </c>
      <c r="H3" s="87" t="s">
        <v>576</v>
      </c>
      <c r="I3" s="242" t="s">
        <v>13</v>
      </c>
      <c r="J3" s="87">
        <v>2</v>
      </c>
      <c r="K3" s="87"/>
      <c r="L3" s="87"/>
      <c r="M3" s="241">
        <v>45889</v>
      </c>
      <c r="N3" s="241">
        <v>45895</v>
      </c>
      <c r="O3" s="87"/>
      <c r="P3" s="87" t="s">
        <v>274</v>
      </c>
      <c r="Q3" s="87"/>
      <c r="R3" s="198" t="s">
        <v>275</v>
      </c>
      <c r="S3" s="87"/>
      <c r="T3" s="140" t="s">
        <v>577</v>
      </c>
      <c r="U3" s="241">
        <v>45895</v>
      </c>
      <c r="V3" s="241">
        <v>45876</v>
      </c>
      <c r="W3" s="87" t="s">
        <v>275</v>
      </c>
      <c r="X3" s="87"/>
      <c r="Y3" s="98" t="s">
        <v>548</v>
      </c>
      <c r="Z3" s="241">
        <v>45896</v>
      </c>
      <c r="AA3" s="87"/>
      <c r="AB3" s="87"/>
      <c r="AC3" s="87"/>
      <c r="AD3" s="399" t="s">
        <v>578</v>
      </c>
      <c r="AE3" s="399"/>
    </row>
    <row r="4" spans="1:31" ht="172.5" customHeight="1">
      <c r="A4" s="87">
        <v>3</v>
      </c>
      <c r="B4" s="244" t="s">
        <v>5</v>
      </c>
      <c r="C4" s="241">
        <v>45890</v>
      </c>
      <c r="D4" s="241">
        <v>45904</v>
      </c>
      <c r="E4" s="90" t="s">
        <v>144</v>
      </c>
      <c r="F4" s="141" t="s">
        <v>579</v>
      </c>
      <c r="G4" s="408" t="s">
        <v>580</v>
      </c>
      <c r="H4" s="87" t="s">
        <v>581</v>
      </c>
      <c r="I4" s="242" t="s">
        <v>13</v>
      </c>
      <c r="J4" s="87">
        <v>2</v>
      </c>
      <c r="K4" s="87"/>
      <c r="L4" s="87"/>
      <c r="M4" s="241">
        <v>45889</v>
      </c>
      <c r="N4" s="87"/>
      <c r="O4" s="87"/>
      <c r="P4" s="87" t="s">
        <v>275</v>
      </c>
      <c r="Q4" s="87"/>
      <c r="R4" s="198" t="s">
        <v>275</v>
      </c>
      <c r="S4" s="87" t="s">
        <v>582</v>
      </c>
      <c r="T4" s="140"/>
      <c r="U4" s="241"/>
      <c r="V4" s="241"/>
      <c r="W4" s="87"/>
      <c r="X4" s="87"/>
      <c r="Y4" s="87"/>
      <c r="Z4" s="241"/>
      <c r="AA4" s="87"/>
      <c r="AB4" s="87"/>
      <c r="AC4" s="87"/>
      <c r="AD4" s="399"/>
      <c r="AE4" s="399"/>
    </row>
    <row r="5" spans="1:31" ht="35.25" customHeight="1">
      <c r="A5" s="87">
        <v>4</v>
      </c>
      <c r="B5" s="244" t="s">
        <v>5</v>
      </c>
      <c r="C5" s="241">
        <v>45890</v>
      </c>
      <c r="D5" s="241">
        <v>45904</v>
      </c>
      <c r="E5" s="90" t="s">
        <v>144</v>
      </c>
      <c r="F5" s="141" t="s">
        <v>544</v>
      </c>
      <c r="G5" s="229" t="s">
        <v>583</v>
      </c>
      <c r="H5" s="87" t="s">
        <v>584</v>
      </c>
      <c r="I5" s="242" t="s">
        <v>13</v>
      </c>
      <c r="J5" s="87">
        <v>3</v>
      </c>
      <c r="K5" s="87"/>
      <c r="L5" s="87"/>
      <c r="M5" s="241">
        <v>45889</v>
      </c>
      <c r="N5" s="241">
        <v>45895</v>
      </c>
      <c r="O5" s="87"/>
      <c r="P5" s="87" t="s">
        <v>274</v>
      </c>
      <c r="Q5" s="87"/>
      <c r="R5" s="198" t="s">
        <v>275</v>
      </c>
      <c r="S5" s="87" t="s">
        <v>585</v>
      </c>
      <c r="T5" s="140" t="s">
        <v>586</v>
      </c>
      <c r="U5" s="404">
        <v>45895</v>
      </c>
      <c r="V5" s="404">
        <v>45899</v>
      </c>
      <c r="W5" s="87" t="s">
        <v>275</v>
      </c>
      <c r="X5" s="87"/>
      <c r="Y5" s="87" t="s">
        <v>548</v>
      </c>
      <c r="Z5" s="404">
        <v>45899</v>
      </c>
      <c r="AA5" s="87"/>
      <c r="AB5" s="87"/>
      <c r="AC5" s="87"/>
      <c r="AD5" s="399" t="s">
        <v>587</v>
      </c>
      <c r="AE5" s="399"/>
    </row>
    <row r="6" spans="1:31" ht="48" customHeight="1">
      <c r="A6" s="87">
        <v>5</v>
      </c>
      <c r="B6" s="244" t="s">
        <v>5</v>
      </c>
      <c r="C6" s="241">
        <v>45890</v>
      </c>
      <c r="D6" s="241">
        <v>45904</v>
      </c>
      <c r="E6" s="90" t="s">
        <v>144</v>
      </c>
      <c r="F6" s="87" t="s">
        <v>219</v>
      </c>
      <c r="G6" s="229" t="s">
        <v>588</v>
      </c>
      <c r="H6" s="87" t="s">
        <v>589</v>
      </c>
      <c r="I6" s="242" t="s">
        <v>13</v>
      </c>
      <c r="J6" s="87">
        <v>1</v>
      </c>
      <c r="K6" s="87"/>
      <c r="L6" s="87"/>
      <c r="M6" s="241">
        <v>45880</v>
      </c>
      <c r="N6" s="241">
        <v>45888</v>
      </c>
      <c r="O6" s="87"/>
      <c r="P6" s="87" t="s">
        <v>274</v>
      </c>
      <c r="Q6" s="87"/>
      <c r="R6" s="87" t="s">
        <v>570</v>
      </c>
      <c r="S6" s="116" t="s">
        <v>571</v>
      </c>
      <c r="T6" s="140" t="s">
        <v>590</v>
      </c>
      <c r="U6" s="404">
        <v>45888</v>
      </c>
      <c r="V6" s="241">
        <v>45889</v>
      </c>
      <c r="W6" s="87" t="s">
        <v>570</v>
      </c>
      <c r="X6" s="87"/>
      <c r="Y6" s="142" t="s">
        <v>548</v>
      </c>
      <c r="Z6" s="241">
        <v>45889</v>
      </c>
      <c r="AA6" s="141"/>
      <c r="AB6" s="87"/>
      <c r="AC6" s="87"/>
      <c r="AD6" s="399" t="s">
        <v>591</v>
      </c>
      <c r="AE6" s="399"/>
    </row>
    <row r="7" spans="1:31" ht="35.25" customHeight="1">
      <c r="A7" s="87">
        <v>6</v>
      </c>
      <c r="B7" s="244" t="s">
        <v>5</v>
      </c>
      <c r="C7" s="241">
        <v>45890</v>
      </c>
      <c r="D7" s="241">
        <v>45904</v>
      </c>
      <c r="E7" s="90" t="s">
        <v>592</v>
      </c>
      <c r="F7" s="87" t="s">
        <v>219</v>
      </c>
      <c r="G7" s="405" t="s">
        <v>593</v>
      </c>
      <c r="H7" s="87" t="s">
        <v>594</v>
      </c>
      <c r="I7" s="242" t="s">
        <v>13</v>
      </c>
      <c r="J7" s="87">
        <v>2</v>
      </c>
      <c r="K7" s="87"/>
      <c r="L7" s="87"/>
      <c r="M7" s="241">
        <v>45897</v>
      </c>
      <c r="N7" s="241">
        <v>45903</v>
      </c>
      <c r="O7" s="87"/>
      <c r="P7" s="87" t="s">
        <v>274</v>
      </c>
      <c r="Q7" s="87"/>
      <c r="R7" s="87" t="s">
        <v>275</v>
      </c>
      <c r="S7" s="116"/>
      <c r="T7" s="140" t="s">
        <v>595</v>
      </c>
      <c r="U7" s="404">
        <v>45903</v>
      </c>
      <c r="V7" s="241">
        <v>45903</v>
      </c>
      <c r="W7" s="87" t="s">
        <v>275</v>
      </c>
      <c r="X7" s="87"/>
      <c r="Y7" s="142" t="s">
        <v>548</v>
      </c>
      <c r="Z7" s="404">
        <v>45903</v>
      </c>
      <c r="AA7" s="141"/>
      <c r="AB7" s="404"/>
      <c r="AC7" s="404"/>
      <c r="AD7" s="399" t="s">
        <v>596</v>
      </c>
      <c r="AE7" s="399"/>
    </row>
    <row r="8" spans="1:31" ht="35.25" customHeight="1">
      <c r="A8" s="87">
        <v>7</v>
      </c>
      <c r="B8" s="244" t="s">
        <v>5</v>
      </c>
      <c r="C8" s="241">
        <v>45890</v>
      </c>
      <c r="D8" s="241">
        <v>45904</v>
      </c>
      <c r="E8" s="90" t="s">
        <v>144</v>
      </c>
      <c r="F8" s="87" t="s">
        <v>567</v>
      </c>
      <c r="G8" s="229" t="s">
        <v>597</v>
      </c>
      <c r="H8" s="87" t="s">
        <v>598</v>
      </c>
      <c r="I8" s="242" t="s">
        <v>13</v>
      </c>
      <c r="J8" s="87">
        <v>5</v>
      </c>
      <c r="K8" s="87"/>
      <c r="L8" s="87"/>
      <c r="M8" s="241">
        <v>45901</v>
      </c>
      <c r="N8" s="241">
        <v>45903</v>
      </c>
      <c r="O8" s="87"/>
      <c r="P8" s="87" t="s">
        <v>274</v>
      </c>
      <c r="Q8" s="87"/>
      <c r="R8" s="87" t="s">
        <v>275</v>
      </c>
      <c r="S8" s="116"/>
      <c r="T8" s="140" t="s">
        <v>599</v>
      </c>
      <c r="U8" s="404">
        <v>45903</v>
      </c>
      <c r="V8" s="241">
        <v>45903</v>
      </c>
      <c r="W8" s="87" t="s">
        <v>275</v>
      </c>
      <c r="X8" s="87"/>
      <c r="Y8" s="142" t="s">
        <v>548</v>
      </c>
      <c r="Z8" s="404">
        <v>45903</v>
      </c>
      <c r="AA8" s="141"/>
      <c r="AB8" s="87"/>
      <c r="AC8" s="87"/>
      <c r="AD8" s="399" t="s">
        <v>600</v>
      </c>
      <c r="AE8" s="399"/>
    </row>
    <row r="9" spans="1:31" ht="35.25" customHeight="1">
      <c r="B9" s="244"/>
    </row>
  </sheetData>
  <hyperlinks>
    <hyperlink ref="T2" r:id="rId1" xr:uid="{5893CE9E-1A81-4789-903A-D4CE08CFEA71}"/>
    <hyperlink ref="T6" r:id="rId2" xr:uid="{339BCA21-66A2-4A05-8030-17D391815E16}"/>
    <hyperlink ref="T5" r:id="rId3" xr:uid="{B143757B-4194-4861-A9EC-FD86BA449B60}"/>
    <hyperlink ref="T7" r:id="rId4" xr:uid="{20CAED55-4268-4E0B-91F7-B3D9524250F9}"/>
    <hyperlink ref="T8" r:id="rId5" xr:uid="{4341146E-ADDE-4568-876C-915E1E8F5B36}"/>
    <hyperlink ref="T3" r:id="rId6" xr:uid="{49866A05-EAE2-45D5-A269-9DD6F1C20267}"/>
  </hyperlinks>
  <pageMargins left="0" right="0" top="0" bottom="0" header="0" footer="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506E8-E092-4E97-9AC8-1CE85928D911}">
  <sheetPr>
    <outlinePr summaryBelow="0" summaryRight="0"/>
  </sheetPr>
  <dimension ref="A1:AE9"/>
  <sheetViews>
    <sheetView showGridLines="0" workbookViewId="0">
      <pane xSplit="7" topLeftCell="K3" activePane="topRight" state="frozen"/>
      <selection pane="topRight" activeCell="AD1" sqref="AD1"/>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6.7109375" style="43" customWidth="1"/>
    <col min="6" max="6" width="26.5703125" style="43" customWidth="1"/>
    <col min="7" max="7" width="12.85546875" style="62" customWidth="1"/>
    <col min="8" max="8" width="48" style="43" customWidth="1"/>
    <col min="9" max="9" width="20"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5"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23.710937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31" width="51.5703125" style="43" customWidth="1"/>
    <col min="32" max="16384" width="12.5703125" style="43"/>
  </cols>
  <sheetData>
    <row r="1" spans="1:31" ht="36.75" customHeight="1">
      <c r="A1" s="396" t="s">
        <v>234</v>
      </c>
      <c r="B1" s="57" t="s">
        <v>4</v>
      </c>
      <c r="C1" s="57" t="s">
        <v>2</v>
      </c>
      <c r="D1" s="57" t="s">
        <v>3</v>
      </c>
      <c r="E1" s="396" t="s">
        <v>235</v>
      </c>
      <c r="F1" s="396" t="s">
        <v>236</v>
      </c>
      <c r="G1" s="396" t="s">
        <v>515</v>
      </c>
      <c r="H1" s="396" t="s">
        <v>238</v>
      </c>
      <c r="I1" s="396" t="s">
        <v>239</v>
      </c>
      <c r="J1" s="57" t="s">
        <v>516</v>
      </c>
      <c r="K1" s="57" t="s">
        <v>517</v>
      </c>
      <c r="L1" s="57" t="s">
        <v>242</v>
      </c>
      <c r="M1" s="57" t="s">
        <v>243</v>
      </c>
      <c r="N1" s="57" t="s">
        <v>244</v>
      </c>
      <c r="O1" s="396" t="s">
        <v>245</v>
      </c>
      <c r="P1" s="396" t="s">
        <v>246</v>
      </c>
      <c r="Q1" s="396" t="s">
        <v>247</v>
      </c>
      <c r="R1" s="397" t="s">
        <v>248</v>
      </c>
      <c r="S1" s="396" t="s">
        <v>249</v>
      </c>
      <c r="T1" s="402" t="s">
        <v>250</v>
      </c>
      <c r="U1" s="402" t="s">
        <v>251</v>
      </c>
      <c r="V1" s="402" t="s">
        <v>252</v>
      </c>
      <c r="W1" s="402" t="s">
        <v>253</v>
      </c>
      <c r="X1" s="402" t="s">
        <v>254</v>
      </c>
      <c r="Y1" s="402" t="s">
        <v>255</v>
      </c>
      <c r="Z1" s="402" t="s">
        <v>256</v>
      </c>
      <c r="AA1" s="396" t="s">
        <v>487</v>
      </c>
      <c r="AB1" s="396" t="s">
        <v>465</v>
      </c>
      <c r="AC1" s="396" t="s">
        <v>466</v>
      </c>
      <c r="AD1" s="406" t="s">
        <v>260</v>
      </c>
      <c r="AE1" s="398" t="s">
        <v>17</v>
      </c>
    </row>
    <row r="2" spans="1:31" ht="35.25" customHeight="1">
      <c r="A2" s="87">
        <v>1</v>
      </c>
      <c r="B2" s="244" t="s">
        <v>5</v>
      </c>
      <c r="C2" s="241">
        <v>45876</v>
      </c>
      <c r="D2" s="241">
        <v>45890</v>
      </c>
      <c r="E2" s="242" t="s">
        <v>139</v>
      </c>
      <c r="F2" s="87" t="s">
        <v>601</v>
      </c>
      <c r="G2" s="229" t="s">
        <v>602</v>
      </c>
      <c r="H2" s="87" t="s">
        <v>603</v>
      </c>
      <c r="I2" s="242" t="s">
        <v>13</v>
      </c>
      <c r="J2" s="87">
        <v>5</v>
      </c>
      <c r="K2" s="87">
        <v>5</v>
      </c>
      <c r="L2" s="87"/>
      <c r="M2" s="241">
        <v>45877</v>
      </c>
      <c r="N2" s="241">
        <v>45882</v>
      </c>
      <c r="O2" s="87"/>
      <c r="P2" s="87" t="s">
        <v>274</v>
      </c>
      <c r="Q2" s="87"/>
      <c r="R2" s="87" t="s">
        <v>275</v>
      </c>
      <c r="S2" s="116"/>
      <c r="T2" s="140" t="s">
        <v>604</v>
      </c>
      <c r="U2" s="404">
        <v>45882</v>
      </c>
      <c r="V2" s="404">
        <v>45883</v>
      </c>
      <c r="W2" s="142" t="s">
        <v>275</v>
      </c>
      <c r="Y2" s="142" t="s">
        <v>548</v>
      </c>
      <c r="Z2" s="404">
        <v>45883</v>
      </c>
      <c r="AA2" s="87" t="s">
        <v>605</v>
      </c>
      <c r="AB2" s="87"/>
      <c r="AC2" s="87"/>
      <c r="AD2" s="407" t="s">
        <v>606</v>
      </c>
      <c r="AE2" s="87"/>
    </row>
    <row r="3" spans="1:31" ht="201" customHeight="1">
      <c r="A3" s="87">
        <v>2</v>
      </c>
      <c r="B3" s="244" t="s">
        <v>5</v>
      </c>
      <c r="C3" s="241">
        <v>45876</v>
      </c>
      <c r="D3" s="241">
        <v>45890</v>
      </c>
      <c r="E3" s="242" t="s">
        <v>139</v>
      </c>
      <c r="F3" s="87" t="s">
        <v>219</v>
      </c>
      <c r="G3" s="229" t="s">
        <v>588</v>
      </c>
      <c r="H3" s="87" t="s">
        <v>589</v>
      </c>
      <c r="I3" s="242" t="s">
        <v>13</v>
      </c>
      <c r="J3" s="87">
        <v>5</v>
      </c>
      <c r="K3" s="87">
        <v>4</v>
      </c>
      <c r="L3" s="87">
        <v>85.25</v>
      </c>
      <c r="M3" s="241">
        <v>45880</v>
      </c>
      <c r="N3" s="241">
        <v>45888</v>
      </c>
      <c r="O3" s="87"/>
      <c r="P3" s="87" t="s">
        <v>274</v>
      </c>
      <c r="Q3" s="87"/>
      <c r="R3" s="87" t="s">
        <v>570</v>
      </c>
      <c r="S3" s="116"/>
      <c r="T3" s="140" t="s">
        <v>590</v>
      </c>
      <c r="U3" s="404">
        <v>45888</v>
      </c>
      <c r="V3" s="241">
        <v>45889</v>
      </c>
      <c r="W3" s="87" t="s">
        <v>570</v>
      </c>
      <c r="X3" s="87" t="s">
        <v>607</v>
      </c>
      <c r="Y3" s="142" t="s">
        <v>548</v>
      </c>
      <c r="Z3" s="241">
        <v>45889</v>
      </c>
      <c r="AA3" s="141"/>
      <c r="AB3" s="87"/>
      <c r="AC3" s="87"/>
      <c r="AD3" s="407" t="s">
        <v>608</v>
      </c>
      <c r="AE3" s="87"/>
    </row>
    <row r="4" spans="1:31" ht="35.25" customHeight="1">
      <c r="A4" s="87">
        <v>3</v>
      </c>
      <c r="B4" s="244" t="s">
        <v>5</v>
      </c>
      <c r="C4" s="241">
        <v>45876</v>
      </c>
      <c r="D4" s="241">
        <v>45890</v>
      </c>
      <c r="E4" s="90" t="s">
        <v>139</v>
      </c>
      <c r="F4" s="141" t="s">
        <v>219</v>
      </c>
      <c r="G4" s="229" t="s">
        <v>609</v>
      </c>
      <c r="H4" s="87" t="s">
        <v>610</v>
      </c>
      <c r="I4" s="242" t="s">
        <v>13</v>
      </c>
      <c r="J4" s="87">
        <v>2</v>
      </c>
      <c r="K4" s="87">
        <v>2</v>
      </c>
      <c r="L4" s="87">
        <v>22.75</v>
      </c>
      <c r="M4" s="241">
        <v>45874</v>
      </c>
      <c r="N4" s="241">
        <v>45877</v>
      </c>
      <c r="O4" s="87"/>
      <c r="P4" s="87" t="s">
        <v>274</v>
      </c>
      <c r="Q4" s="87"/>
      <c r="R4" s="87" t="s">
        <v>275</v>
      </c>
      <c r="S4" s="87"/>
      <c r="T4" s="403" t="s">
        <v>611</v>
      </c>
      <c r="U4" s="404">
        <v>45878</v>
      </c>
      <c r="V4" s="404">
        <v>45878</v>
      </c>
      <c r="W4" s="142" t="s">
        <v>275</v>
      </c>
      <c r="X4" s="142"/>
      <c r="Y4" s="142" t="s">
        <v>548</v>
      </c>
      <c r="Z4" s="404">
        <v>45878</v>
      </c>
      <c r="AA4" s="87"/>
      <c r="AB4" s="87"/>
      <c r="AC4" s="87"/>
      <c r="AD4" s="407" t="s">
        <v>612</v>
      </c>
      <c r="AE4" s="87"/>
    </row>
    <row r="5" spans="1:31" ht="35.25" customHeight="1">
      <c r="A5" s="87">
        <v>4</v>
      </c>
      <c r="B5" s="244" t="s">
        <v>5</v>
      </c>
      <c r="C5" s="241">
        <v>45876</v>
      </c>
      <c r="D5" s="241">
        <v>45890</v>
      </c>
      <c r="E5" s="90" t="s">
        <v>139</v>
      </c>
      <c r="F5" s="141" t="s">
        <v>567</v>
      </c>
      <c r="G5" s="229" t="s">
        <v>613</v>
      </c>
      <c r="H5" s="87" t="s">
        <v>614</v>
      </c>
      <c r="I5" s="242" t="s">
        <v>13</v>
      </c>
      <c r="J5" s="87">
        <v>3</v>
      </c>
      <c r="K5" s="87">
        <v>3</v>
      </c>
      <c r="L5" s="87">
        <v>26</v>
      </c>
      <c r="M5" s="241">
        <v>45875</v>
      </c>
      <c r="N5" s="241">
        <v>45877</v>
      </c>
      <c r="O5" s="87"/>
      <c r="P5" s="87" t="s">
        <v>274</v>
      </c>
      <c r="Q5" s="87"/>
      <c r="R5" s="87" t="s">
        <v>275</v>
      </c>
      <c r="S5" s="87"/>
      <c r="T5" s="140" t="s">
        <v>611</v>
      </c>
      <c r="U5" s="241">
        <v>45878</v>
      </c>
      <c r="V5" s="241">
        <v>45878</v>
      </c>
      <c r="W5" s="87" t="s">
        <v>275</v>
      </c>
      <c r="X5" s="87"/>
      <c r="Y5" s="87" t="s">
        <v>548</v>
      </c>
      <c r="Z5" s="241">
        <v>45878</v>
      </c>
      <c r="AA5" s="87"/>
      <c r="AB5" s="87"/>
      <c r="AC5" s="87"/>
      <c r="AD5" s="407" t="s">
        <v>615</v>
      </c>
      <c r="AE5" s="103"/>
    </row>
    <row r="6" spans="1:31" ht="35.25" customHeight="1">
      <c r="A6" s="87">
        <v>5</v>
      </c>
      <c r="B6" s="244" t="s">
        <v>5</v>
      </c>
      <c r="C6" s="241">
        <v>45876</v>
      </c>
      <c r="D6" s="241">
        <v>45890</v>
      </c>
      <c r="E6" s="90" t="s">
        <v>616</v>
      </c>
      <c r="F6" s="141" t="s">
        <v>567</v>
      </c>
      <c r="G6" s="229" t="s">
        <v>568</v>
      </c>
      <c r="H6" s="87" t="s">
        <v>569</v>
      </c>
      <c r="I6" s="242" t="s">
        <v>392</v>
      </c>
      <c r="J6" s="87">
        <v>3</v>
      </c>
      <c r="K6" s="87"/>
      <c r="L6" s="87">
        <v>33.75</v>
      </c>
      <c r="M6" s="241">
        <v>45882</v>
      </c>
      <c r="N6" s="241">
        <v>45888</v>
      </c>
      <c r="O6" s="87"/>
      <c r="P6" s="87" t="s">
        <v>274</v>
      </c>
      <c r="Q6" s="87"/>
      <c r="R6" s="87" t="s">
        <v>570</v>
      </c>
      <c r="S6" s="87" t="s">
        <v>617</v>
      </c>
      <c r="T6" s="140" t="s">
        <v>572</v>
      </c>
      <c r="U6" s="241">
        <v>45888</v>
      </c>
      <c r="V6" s="241">
        <v>45889</v>
      </c>
      <c r="W6" s="87" t="s">
        <v>570</v>
      </c>
      <c r="X6" s="87" t="s">
        <v>618</v>
      </c>
      <c r="Y6" s="87" t="s">
        <v>548</v>
      </c>
      <c r="Z6" s="241">
        <v>45889</v>
      </c>
      <c r="AA6" s="87"/>
      <c r="AB6" s="87"/>
      <c r="AC6" s="87"/>
      <c r="AD6" s="407" t="s">
        <v>619</v>
      </c>
      <c r="AE6" s="399" t="s">
        <v>620</v>
      </c>
    </row>
    <row r="7" spans="1:31" ht="35.25" customHeight="1">
      <c r="A7" s="87">
        <v>6</v>
      </c>
      <c r="B7" s="244" t="s">
        <v>5</v>
      </c>
      <c r="C7" s="241">
        <v>45876</v>
      </c>
      <c r="D7" s="241">
        <v>45890</v>
      </c>
      <c r="E7" s="90" t="s">
        <v>616</v>
      </c>
      <c r="F7" s="141" t="s">
        <v>567</v>
      </c>
      <c r="G7" s="229" t="s">
        <v>575</v>
      </c>
      <c r="H7" s="87" t="s">
        <v>576</v>
      </c>
      <c r="I7" s="242" t="s">
        <v>13</v>
      </c>
      <c r="J7" s="87">
        <v>3</v>
      </c>
      <c r="K7" s="87"/>
      <c r="L7" s="87">
        <v>18</v>
      </c>
      <c r="M7" s="241">
        <v>45889</v>
      </c>
      <c r="N7" s="241"/>
      <c r="O7" s="87"/>
      <c r="P7" s="87"/>
      <c r="Q7" s="87"/>
      <c r="R7" s="198"/>
      <c r="S7" s="87"/>
      <c r="T7" s="140"/>
      <c r="U7" s="241"/>
      <c r="V7" s="241"/>
      <c r="W7" s="87"/>
      <c r="X7" s="87"/>
      <c r="Y7" s="98"/>
      <c r="Z7" s="241"/>
      <c r="AA7" s="87"/>
      <c r="AB7" s="87"/>
      <c r="AC7" s="87"/>
      <c r="AD7" s="407"/>
      <c r="AE7" s="142"/>
    </row>
    <row r="8" spans="1:31" ht="35.25" customHeight="1">
      <c r="A8" s="87">
        <v>7</v>
      </c>
      <c r="B8" s="244" t="s">
        <v>5</v>
      </c>
      <c r="C8" s="241">
        <v>45876</v>
      </c>
      <c r="D8" s="241">
        <v>45890</v>
      </c>
      <c r="E8" s="90" t="s">
        <v>616</v>
      </c>
      <c r="F8" s="141" t="s">
        <v>219</v>
      </c>
      <c r="G8" s="229" t="s">
        <v>580</v>
      </c>
      <c r="H8" s="87" t="s">
        <v>581</v>
      </c>
      <c r="I8" s="242" t="s">
        <v>13</v>
      </c>
      <c r="J8" s="87">
        <v>5</v>
      </c>
      <c r="K8" s="87"/>
      <c r="L8" s="87">
        <v>17.5</v>
      </c>
      <c r="M8" s="241">
        <v>45889</v>
      </c>
      <c r="N8" s="87"/>
      <c r="O8" s="87"/>
      <c r="P8" s="87"/>
      <c r="Q8" s="87"/>
      <c r="R8" s="198"/>
      <c r="S8" s="87"/>
      <c r="T8" s="140"/>
      <c r="U8" s="241"/>
      <c r="V8" s="241"/>
      <c r="W8" s="87"/>
      <c r="X8" s="87"/>
      <c r="Y8" s="87"/>
      <c r="Z8" s="241"/>
      <c r="AA8" s="87"/>
      <c r="AB8" s="87"/>
      <c r="AC8" s="87"/>
      <c r="AD8" s="407"/>
      <c r="AE8" s="87"/>
    </row>
    <row r="9" spans="1:31" ht="35.25" customHeight="1">
      <c r="A9" s="87"/>
      <c r="B9" s="244"/>
      <c r="C9" s="241"/>
      <c r="D9" s="241"/>
      <c r="E9" s="360"/>
      <c r="F9" s="87"/>
      <c r="G9" s="229"/>
      <c r="H9" s="87"/>
      <c r="I9" s="242"/>
      <c r="J9" s="87"/>
      <c r="K9" s="87"/>
      <c r="L9" s="87"/>
      <c r="M9" s="241"/>
      <c r="N9" s="241"/>
      <c r="O9" s="87"/>
      <c r="P9" s="87"/>
      <c r="Q9" s="87"/>
      <c r="R9" s="198"/>
      <c r="S9" s="87"/>
      <c r="T9" s="140"/>
      <c r="U9" s="241"/>
      <c r="V9" s="241"/>
      <c r="W9" s="87"/>
      <c r="X9" s="87"/>
      <c r="Y9" s="98"/>
      <c r="Z9" s="241"/>
      <c r="AA9" s="87"/>
      <c r="AB9" s="87"/>
      <c r="AC9" s="87"/>
      <c r="AD9" s="407"/>
      <c r="AE9" s="87"/>
    </row>
  </sheetData>
  <hyperlinks>
    <hyperlink ref="T4" r:id="rId1" xr:uid="{D921D22F-AF98-465A-A148-03DFAA3D1E18}"/>
    <hyperlink ref="T5" r:id="rId2" xr:uid="{C2C4A118-DAE6-46B7-8FA5-43569FB6A967}"/>
    <hyperlink ref="T2" r:id="rId3" xr:uid="{6641B5B7-984D-487F-868C-40BBFE7F1B0F}"/>
    <hyperlink ref="T3" r:id="rId4" xr:uid="{28A2F061-34CD-4751-82D6-41B99EDE2E96}"/>
    <hyperlink ref="T6" r:id="rId5" xr:uid="{1CD2102F-E081-465A-9683-502EBB1272D8}"/>
  </hyperlinks>
  <pageMargins left="0" right="0" top="0" bottom="0" header="0" footer="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ABDA0-17D7-4DDB-8A2D-22AB7490FB6B}">
  <dimension ref="A1:O2"/>
  <sheetViews>
    <sheetView workbookViewId="0">
      <selection activeCell="O3" sqref="O3"/>
    </sheetView>
  </sheetViews>
  <sheetFormatPr defaultRowHeight="12.75"/>
  <cols>
    <col min="2" max="2" width="18" customWidth="1"/>
    <col min="3" max="3" width="13.42578125" customWidth="1"/>
    <col min="4" max="4" width="10.42578125" customWidth="1"/>
    <col min="7" max="7" width="28.7109375" customWidth="1"/>
    <col min="11" max="11" width="9.5703125" bestFit="1" customWidth="1"/>
    <col min="12" max="12" width="16.28515625" customWidth="1"/>
    <col min="14" max="14" width="42.5703125" customWidth="1"/>
    <col min="15" max="15" width="60.140625" customWidth="1"/>
  </cols>
  <sheetData>
    <row r="1" spans="1:15" s="289" customFormat="1" ht="27">
      <c r="A1" s="334" t="s">
        <v>234</v>
      </c>
      <c r="B1" s="42" t="s">
        <v>11</v>
      </c>
      <c r="C1" s="42" t="s">
        <v>350</v>
      </c>
      <c r="D1" s="42" t="s">
        <v>351</v>
      </c>
      <c r="E1" s="42" t="s">
        <v>236</v>
      </c>
      <c r="F1" s="42" t="s">
        <v>352</v>
      </c>
      <c r="G1" s="42" t="s">
        <v>353</v>
      </c>
      <c r="H1" s="42" t="s">
        <v>354</v>
      </c>
      <c r="I1" s="42" t="s">
        <v>355</v>
      </c>
      <c r="J1" s="42" t="s">
        <v>356</v>
      </c>
      <c r="K1" s="42" t="s">
        <v>239</v>
      </c>
      <c r="L1" s="335" t="s">
        <v>357</v>
      </c>
      <c r="M1" s="214" t="s">
        <v>358</v>
      </c>
      <c r="N1" s="214" t="s">
        <v>621</v>
      </c>
      <c r="O1" s="214" t="s">
        <v>359</v>
      </c>
    </row>
    <row r="2" spans="1:15" s="289" customFormat="1" ht="36.75" customHeight="1">
      <c r="A2" s="5">
        <v>1</v>
      </c>
      <c r="B2" s="5" t="s">
        <v>139</v>
      </c>
      <c r="C2" s="5" t="s">
        <v>622</v>
      </c>
      <c r="D2" s="5" t="s">
        <v>568</v>
      </c>
      <c r="E2" s="5" t="s">
        <v>544</v>
      </c>
      <c r="F2" s="5" t="s">
        <v>623</v>
      </c>
      <c r="G2" s="5" t="s">
        <v>624</v>
      </c>
      <c r="H2" s="5" t="s">
        <v>625</v>
      </c>
      <c r="I2" s="5" t="s">
        <v>626</v>
      </c>
      <c r="J2" s="5" t="s">
        <v>627</v>
      </c>
      <c r="K2" s="382" t="s">
        <v>628</v>
      </c>
      <c r="L2" s="5" t="s">
        <v>629</v>
      </c>
      <c r="M2" s="5" t="s">
        <v>630</v>
      </c>
      <c r="N2" s="5" t="s">
        <v>631</v>
      </c>
      <c r="O2" s="5" t="s">
        <v>632</v>
      </c>
    </row>
  </sheetData>
  <dataValidations count="5">
    <dataValidation type="list" allowBlank="1" showErrorMessage="1" sqref="I2" xr:uid="{10C724E0-E226-475F-BFDC-B5C8CDF94BFB}">
      <formula1>"Manual, Automation"</formula1>
    </dataValidation>
    <dataValidation type="list" allowBlank="1" showErrorMessage="1" sqref="H2" xr:uid="{63EAF276-0FCC-4B2D-A4ED-30B837FABB2B}">
      <formula1>"Minor,Significant,Major"</formula1>
    </dataValidation>
    <dataValidation type="list" allowBlank="1" showErrorMessage="1" sqref="J2" xr:uid="{B4F915F2-FDDC-4121-BBC0-DF543D8CF0EF}">
      <formula1>"Internal,External"</formula1>
    </dataValidation>
    <dataValidation type="list" allowBlank="1" showErrorMessage="1" sqref="F2" xr:uid="{739BEBC2-50CB-4F7E-8537-34DB3F85A12D}">
      <formula1>"Bounceback/Sub-Defect,Defect,None"</formula1>
    </dataValidation>
    <dataValidation type="list" allowBlank="1" showErrorMessage="1" sqref="K1:K2" xr:uid="{A6D79B30-798D-4AF8-8218-8BEB7FF0F24E}">
      <formula1>"Open,Inprogress,Closed, Rejected"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C887B474-06C6-4318-95E5-C1A74C609A2E}">
          <x14:formula1>
            <xm:f>Details!$A$2:$A$10</xm:f>
          </x14:formula1>
          <xm:sqref>L2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78B07-1F85-4F15-9595-66AC710B0007}">
  <sheetPr>
    <outlinePr summaryBelow="0" summaryRight="0"/>
  </sheetPr>
  <dimension ref="A1:AD9"/>
  <sheetViews>
    <sheetView showGridLines="0" workbookViewId="0">
      <pane xSplit="7" topLeftCell="N3" activePane="topRight" state="frozen"/>
      <selection pane="topRight" activeCell="P2" sqref="P2:P6"/>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6.7109375" style="43" customWidth="1"/>
    <col min="6" max="6" width="26.5703125" style="43" customWidth="1"/>
    <col min="7" max="7" width="12.85546875" style="62" customWidth="1"/>
    <col min="8" max="8" width="48" style="43" customWidth="1"/>
    <col min="9" max="9" width="20"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5"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23.710937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30" ht="36.75" customHeight="1">
      <c r="A1" s="396" t="s">
        <v>234</v>
      </c>
      <c r="B1" s="57" t="s">
        <v>4</v>
      </c>
      <c r="C1" s="57" t="s">
        <v>2</v>
      </c>
      <c r="D1" s="57" t="s">
        <v>3</v>
      </c>
      <c r="E1" s="396" t="s">
        <v>235</v>
      </c>
      <c r="F1" s="396" t="s">
        <v>236</v>
      </c>
      <c r="G1" s="396" t="s">
        <v>515</v>
      </c>
      <c r="H1" s="396" t="s">
        <v>238</v>
      </c>
      <c r="I1" s="396" t="s">
        <v>239</v>
      </c>
      <c r="J1" s="57" t="s">
        <v>516</v>
      </c>
      <c r="K1" s="57" t="s">
        <v>517</v>
      </c>
      <c r="L1" s="57" t="s">
        <v>242</v>
      </c>
      <c r="M1" s="57" t="s">
        <v>243</v>
      </c>
      <c r="N1" s="57" t="s">
        <v>244</v>
      </c>
      <c r="O1" s="396" t="s">
        <v>245</v>
      </c>
      <c r="P1" s="396" t="s">
        <v>246</v>
      </c>
      <c r="Q1" s="396" t="s">
        <v>247</v>
      </c>
      <c r="R1" s="397" t="s">
        <v>248</v>
      </c>
      <c r="S1" s="396" t="s">
        <v>249</v>
      </c>
      <c r="T1" s="396" t="s">
        <v>250</v>
      </c>
      <c r="U1" s="396" t="s">
        <v>251</v>
      </c>
      <c r="V1" s="396" t="s">
        <v>252</v>
      </c>
      <c r="W1" s="396" t="s">
        <v>253</v>
      </c>
      <c r="X1" s="396" t="s">
        <v>254</v>
      </c>
      <c r="Y1" s="396" t="s">
        <v>255</v>
      </c>
      <c r="Z1" s="396" t="s">
        <v>256</v>
      </c>
      <c r="AA1" s="396" t="s">
        <v>487</v>
      </c>
      <c r="AB1" s="396" t="s">
        <v>465</v>
      </c>
      <c r="AC1" s="396" t="s">
        <v>466</v>
      </c>
      <c r="AD1" s="398" t="s">
        <v>260</v>
      </c>
    </row>
    <row r="2" spans="1:30" ht="35.25" customHeight="1">
      <c r="A2" s="87">
        <v>1</v>
      </c>
      <c r="B2" s="244" t="s">
        <v>5</v>
      </c>
      <c r="C2" s="241">
        <v>45862</v>
      </c>
      <c r="D2" s="241">
        <v>45876</v>
      </c>
      <c r="E2" s="242" t="s">
        <v>135</v>
      </c>
      <c r="F2" s="87" t="s">
        <v>544</v>
      </c>
      <c r="G2" s="229" t="s">
        <v>633</v>
      </c>
      <c r="H2" s="87" t="s">
        <v>634</v>
      </c>
      <c r="I2" s="242" t="s">
        <v>13</v>
      </c>
      <c r="J2" s="87">
        <v>3</v>
      </c>
      <c r="K2" s="87"/>
      <c r="L2" s="87"/>
      <c r="M2" s="241">
        <v>45863</v>
      </c>
      <c r="N2" s="241">
        <v>45866</v>
      </c>
      <c r="O2" s="87"/>
      <c r="P2" s="87" t="s">
        <v>274</v>
      </c>
      <c r="Q2" s="87"/>
      <c r="R2" s="198" t="s">
        <v>275</v>
      </c>
      <c r="S2" s="87"/>
      <c r="T2" s="140" t="s">
        <v>635</v>
      </c>
      <c r="U2" s="241">
        <v>45866</v>
      </c>
      <c r="V2" s="241">
        <v>45868</v>
      </c>
      <c r="W2" s="87" t="s">
        <v>275</v>
      </c>
      <c r="X2" s="87"/>
      <c r="Y2" s="87" t="s">
        <v>548</v>
      </c>
      <c r="Z2" s="241">
        <v>45868</v>
      </c>
      <c r="AA2" s="87"/>
      <c r="AB2" s="87"/>
      <c r="AC2" s="87"/>
      <c r="AD2" s="399" t="s">
        <v>636</v>
      </c>
    </row>
    <row r="3" spans="1:30" ht="48" customHeight="1">
      <c r="A3" s="87">
        <v>2</v>
      </c>
      <c r="B3" s="244" t="s">
        <v>5</v>
      </c>
      <c r="C3" s="241">
        <v>45862</v>
      </c>
      <c r="D3" s="241">
        <v>45876</v>
      </c>
      <c r="E3" s="242" t="s">
        <v>135</v>
      </c>
      <c r="F3" s="87" t="s">
        <v>567</v>
      </c>
      <c r="G3" s="229" t="s">
        <v>637</v>
      </c>
      <c r="H3" s="87" t="s">
        <v>638</v>
      </c>
      <c r="I3" s="242" t="s">
        <v>13</v>
      </c>
      <c r="J3" s="87">
        <v>2</v>
      </c>
      <c r="K3" s="87"/>
      <c r="L3" s="87"/>
      <c r="M3" s="400">
        <v>45861</v>
      </c>
      <c r="N3" s="218">
        <v>45866</v>
      </c>
      <c r="O3" s="87"/>
      <c r="P3" s="87" t="s">
        <v>274</v>
      </c>
      <c r="Q3" s="87"/>
      <c r="R3" s="198" t="s">
        <v>275</v>
      </c>
      <c r="S3" s="87"/>
      <c r="T3" s="140" t="s">
        <v>639</v>
      </c>
      <c r="U3" s="241">
        <v>45866</v>
      </c>
      <c r="V3" s="241">
        <v>45867</v>
      </c>
      <c r="W3" s="87" t="s">
        <v>275</v>
      </c>
      <c r="X3" s="87"/>
      <c r="Y3" s="87" t="s">
        <v>548</v>
      </c>
      <c r="Z3" s="241">
        <v>45867</v>
      </c>
      <c r="AA3" s="87"/>
      <c r="AB3" s="87"/>
      <c r="AC3" s="87"/>
      <c r="AD3" s="399" t="s">
        <v>640</v>
      </c>
    </row>
    <row r="4" spans="1:30" ht="35.25" customHeight="1">
      <c r="A4" s="87">
        <v>3</v>
      </c>
      <c r="B4" s="244" t="s">
        <v>5</v>
      </c>
      <c r="C4" s="241">
        <v>45862</v>
      </c>
      <c r="D4" s="241">
        <v>45876</v>
      </c>
      <c r="E4" s="242" t="s">
        <v>135</v>
      </c>
      <c r="F4" s="87" t="s">
        <v>567</v>
      </c>
      <c r="G4" s="229" t="s">
        <v>641</v>
      </c>
      <c r="H4" s="87" t="s">
        <v>642</v>
      </c>
      <c r="I4" s="242" t="s">
        <v>13</v>
      </c>
      <c r="J4" s="87">
        <v>5</v>
      </c>
      <c r="K4" s="87"/>
      <c r="L4" s="87"/>
      <c r="M4" s="241">
        <v>45867</v>
      </c>
      <c r="N4" s="241">
        <v>45874</v>
      </c>
      <c r="O4" s="87"/>
      <c r="P4" s="87" t="s">
        <v>274</v>
      </c>
      <c r="Q4" s="87"/>
      <c r="R4" s="198" t="s">
        <v>275</v>
      </c>
      <c r="S4" s="87"/>
      <c r="T4" s="140" t="s">
        <v>643</v>
      </c>
      <c r="U4" s="241">
        <v>45874</v>
      </c>
      <c r="V4" s="241">
        <v>45874</v>
      </c>
      <c r="W4" s="87" t="s">
        <v>275</v>
      </c>
      <c r="X4" s="87"/>
      <c r="Y4" s="87" t="s">
        <v>548</v>
      </c>
      <c r="Z4" s="241">
        <v>45874</v>
      </c>
      <c r="AA4" s="87"/>
      <c r="AB4" s="87"/>
      <c r="AC4" s="87"/>
      <c r="AD4" s="399" t="s">
        <v>644</v>
      </c>
    </row>
    <row r="5" spans="1:30" ht="35.25" customHeight="1">
      <c r="A5" s="87">
        <v>4</v>
      </c>
      <c r="B5" s="244" t="s">
        <v>5</v>
      </c>
      <c r="C5" s="241">
        <v>45862</v>
      </c>
      <c r="D5" s="241">
        <v>45876</v>
      </c>
      <c r="E5" s="242" t="s">
        <v>135</v>
      </c>
      <c r="F5" s="87" t="s">
        <v>219</v>
      </c>
      <c r="G5" s="229" t="s">
        <v>645</v>
      </c>
      <c r="H5" s="87" t="s">
        <v>646</v>
      </c>
      <c r="I5" s="242" t="s">
        <v>13</v>
      </c>
      <c r="J5" s="87">
        <v>3</v>
      </c>
      <c r="K5" s="87"/>
      <c r="L5" s="87"/>
      <c r="M5" s="241">
        <v>45863</v>
      </c>
      <c r="N5" s="241">
        <v>45874</v>
      </c>
      <c r="O5" s="87"/>
      <c r="P5" s="87" t="s">
        <v>274</v>
      </c>
      <c r="Q5" s="87"/>
      <c r="R5" s="87" t="s">
        <v>275</v>
      </c>
      <c r="S5" s="87"/>
      <c r="T5" s="140" t="s">
        <v>647</v>
      </c>
      <c r="U5" s="241">
        <v>45873</v>
      </c>
      <c r="V5" s="241">
        <v>45874</v>
      </c>
      <c r="W5" s="87" t="s">
        <v>275</v>
      </c>
      <c r="X5" s="87"/>
      <c r="Y5" s="87" t="s">
        <v>548</v>
      </c>
      <c r="Z5" s="241">
        <v>45874</v>
      </c>
      <c r="AA5" s="87"/>
      <c r="AB5" s="87"/>
      <c r="AC5" s="87"/>
      <c r="AD5" s="399" t="s">
        <v>648</v>
      </c>
    </row>
    <row r="6" spans="1:30" ht="35.25" customHeight="1">
      <c r="A6" s="87">
        <v>5</v>
      </c>
      <c r="B6" s="244" t="s">
        <v>5</v>
      </c>
      <c r="C6" s="241">
        <v>45862</v>
      </c>
      <c r="D6" s="241">
        <v>45876</v>
      </c>
      <c r="E6" s="251" t="s">
        <v>649</v>
      </c>
      <c r="F6" s="87" t="s">
        <v>544</v>
      </c>
      <c r="G6" s="229" t="s">
        <v>650</v>
      </c>
      <c r="H6" s="87" t="s">
        <v>651</v>
      </c>
      <c r="I6" s="242" t="s">
        <v>13</v>
      </c>
      <c r="J6" s="87">
        <v>2</v>
      </c>
      <c r="K6" s="87"/>
      <c r="L6" s="87"/>
      <c r="M6" s="241">
        <v>45874</v>
      </c>
      <c r="N6" s="241">
        <v>45874</v>
      </c>
      <c r="O6" s="87"/>
      <c r="P6" s="87" t="s">
        <v>274</v>
      </c>
      <c r="Q6" s="87"/>
      <c r="R6" s="198" t="s">
        <v>275</v>
      </c>
      <c r="S6" s="87"/>
      <c r="T6" s="140" t="s">
        <v>652</v>
      </c>
      <c r="U6" s="241">
        <v>45874</v>
      </c>
      <c r="V6" s="241">
        <v>45874</v>
      </c>
      <c r="W6" s="87" t="s">
        <v>275</v>
      </c>
      <c r="X6" s="87"/>
      <c r="Y6" s="98" t="s">
        <v>548</v>
      </c>
      <c r="Z6" s="241">
        <v>45874</v>
      </c>
      <c r="AA6" s="87"/>
      <c r="AB6" s="87"/>
      <c r="AC6" s="87"/>
      <c r="AD6" s="399" t="s">
        <v>653</v>
      </c>
    </row>
    <row r="7" spans="1:30" ht="35.25" customHeight="1">
      <c r="A7" s="87">
        <v>6</v>
      </c>
      <c r="B7" s="244" t="s">
        <v>5</v>
      </c>
      <c r="C7" s="241">
        <v>45862</v>
      </c>
      <c r="D7" s="372">
        <v>45876</v>
      </c>
      <c r="E7" s="90" t="s">
        <v>649</v>
      </c>
      <c r="F7" s="141" t="s">
        <v>219</v>
      </c>
      <c r="G7" s="229" t="s">
        <v>609</v>
      </c>
      <c r="H7" s="87" t="s">
        <v>610</v>
      </c>
      <c r="I7" s="242" t="s">
        <v>263</v>
      </c>
      <c r="J7" s="87">
        <v>2</v>
      </c>
      <c r="K7" s="87"/>
      <c r="L7" s="87"/>
      <c r="M7" s="241">
        <v>45874</v>
      </c>
      <c r="N7" s="241"/>
      <c r="O7" s="87"/>
      <c r="P7" s="87"/>
      <c r="Q7" s="87"/>
      <c r="R7" s="198"/>
      <c r="S7" s="87"/>
      <c r="T7" s="140"/>
      <c r="U7" s="241"/>
      <c r="V7" s="241"/>
      <c r="W7" s="87"/>
      <c r="X7" s="87"/>
      <c r="Y7" s="98"/>
      <c r="Z7" s="241"/>
      <c r="AA7" s="87"/>
      <c r="AB7" s="87"/>
      <c r="AC7" s="87"/>
      <c r="AD7" s="399" t="s">
        <v>612</v>
      </c>
    </row>
    <row r="8" spans="1:30" ht="35.25" customHeight="1">
      <c r="A8" s="87">
        <v>7</v>
      </c>
      <c r="B8" s="244" t="s">
        <v>5</v>
      </c>
      <c r="C8" s="241">
        <v>45862</v>
      </c>
      <c r="D8" s="372">
        <v>45876</v>
      </c>
      <c r="E8" s="90" t="s">
        <v>649</v>
      </c>
      <c r="F8" s="141" t="s">
        <v>567</v>
      </c>
      <c r="G8" s="229" t="s">
        <v>613</v>
      </c>
      <c r="H8" s="87" t="s">
        <v>614</v>
      </c>
      <c r="I8" s="242" t="s">
        <v>263</v>
      </c>
      <c r="J8" s="87">
        <v>3</v>
      </c>
      <c r="K8" s="87"/>
      <c r="L8" s="87"/>
      <c r="M8" s="241">
        <v>45875</v>
      </c>
      <c r="N8" s="87"/>
      <c r="O8" s="87"/>
      <c r="P8" s="87"/>
      <c r="Q8" s="87"/>
      <c r="R8" s="198"/>
      <c r="S8" s="87"/>
      <c r="T8" s="140"/>
      <c r="U8" s="241"/>
      <c r="V8" s="241"/>
      <c r="W8" s="87"/>
      <c r="X8" s="87"/>
      <c r="Y8" s="87"/>
      <c r="Z8" s="241"/>
      <c r="AA8" s="87"/>
      <c r="AB8" s="87"/>
      <c r="AC8" s="87"/>
      <c r="AD8" s="399" t="s">
        <v>615</v>
      </c>
    </row>
    <row r="9" spans="1:30" ht="35.25" customHeight="1">
      <c r="A9" s="87"/>
      <c r="B9" s="244"/>
      <c r="C9" s="241"/>
      <c r="D9" s="241"/>
      <c r="E9" s="360"/>
      <c r="F9" s="87"/>
      <c r="G9" s="229"/>
      <c r="H9" s="87"/>
      <c r="I9" s="242"/>
      <c r="J9" s="87"/>
      <c r="K9" s="87"/>
      <c r="L9" s="87"/>
      <c r="M9" s="241"/>
      <c r="N9" s="241"/>
      <c r="O9" s="87"/>
      <c r="P9" s="87"/>
      <c r="Q9" s="87"/>
      <c r="R9" s="198"/>
      <c r="S9" s="87"/>
      <c r="T9" s="140"/>
      <c r="U9" s="241"/>
      <c r="V9" s="241"/>
      <c r="W9" s="87"/>
      <c r="X9" s="87"/>
      <c r="Y9" s="98"/>
      <c r="Z9" s="241"/>
      <c r="AA9" s="87"/>
      <c r="AB9" s="87"/>
      <c r="AC9" s="87"/>
      <c r="AD9" s="399"/>
    </row>
  </sheetData>
  <hyperlinks>
    <hyperlink ref="T3" r:id="rId1" xr:uid="{35A16E13-DA2F-445E-B455-DCFDAA8DB24D}"/>
    <hyperlink ref="T5" r:id="rId2" xr:uid="{E5088FF6-C271-40E0-AEED-0ADC777924F5}"/>
    <hyperlink ref="T4" r:id="rId3" xr:uid="{A1BD2175-6AEE-4CA2-A951-BC0BA93C1E5E}"/>
  </hyperlinks>
  <pageMargins left="0" right="0" top="0" bottom="0" header="0" footer="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EB90-1518-477D-AE5F-C1FF1AA16954}">
  <sheetPr>
    <outlinePr summaryBelow="0" summaryRight="0"/>
  </sheetPr>
  <dimension ref="A1:AD9"/>
  <sheetViews>
    <sheetView showGridLines="0" workbookViewId="0">
      <pane xSplit="7" topLeftCell="H9" activePane="topRight" state="frozen"/>
      <selection pane="topRight" activeCell="P9" sqref="P9"/>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6.7109375" style="43" customWidth="1"/>
    <col min="6" max="6" width="26.5703125" style="43" customWidth="1"/>
    <col min="7" max="7" width="12.85546875" style="62" customWidth="1"/>
    <col min="8" max="8" width="48" style="43" customWidth="1"/>
    <col min="9" max="9" width="20"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5"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23.710937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30" ht="36.75" customHeight="1">
      <c r="A1" s="396" t="s">
        <v>234</v>
      </c>
      <c r="B1" s="57" t="s">
        <v>4</v>
      </c>
      <c r="C1" s="57" t="s">
        <v>2</v>
      </c>
      <c r="D1" s="57" t="s">
        <v>3</v>
      </c>
      <c r="E1" s="396" t="s">
        <v>235</v>
      </c>
      <c r="F1" s="396" t="s">
        <v>236</v>
      </c>
      <c r="G1" s="396" t="s">
        <v>515</v>
      </c>
      <c r="H1" s="396" t="s">
        <v>238</v>
      </c>
      <c r="I1" s="396" t="s">
        <v>239</v>
      </c>
      <c r="J1" s="57" t="s">
        <v>516</v>
      </c>
      <c r="K1" s="57" t="s">
        <v>517</v>
      </c>
      <c r="L1" s="57" t="s">
        <v>242</v>
      </c>
      <c r="M1" s="57" t="s">
        <v>243</v>
      </c>
      <c r="N1" s="57" t="s">
        <v>244</v>
      </c>
      <c r="O1" s="396" t="s">
        <v>245</v>
      </c>
      <c r="P1" s="396" t="s">
        <v>246</v>
      </c>
      <c r="Q1" s="396" t="s">
        <v>247</v>
      </c>
      <c r="R1" s="397" t="s">
        <v>248</v>
      </c>
      <c r="S1" s="396" t="s">
        <v>249</v>
      </c>
      <c r="T1" s="396" t="s">
        <v>250</v>
      </c>
      <c r="U1" s="396" t="s">
        <v>251</v>
      </c>
      <c r="V1" s="396" t="s">
        <v>252</v>
      </c>
      <c r="W1" s="396" t="s">
        <v>253</v>
      </c>
      <c r="X1" s="396" t="s">
        <v>254</v>
      </c>
      <c r="Y1" s="396" t="s">
        <v>255</v>
      </c>
      <c r="Z1" s="396" t="s">
        <v>256</v>
      </c>
      <c r="AA1" s="396" t="s">
        <v>487</v>
      </c>
      <c r="AB1" s="396" t="s">
        <v>465</v>
      </c>
      <c r="AC1" s="396" t="s">
        <v>466</v>
      </c>
      <c r="AD1" s="398" t="s">
        <v>260</v>
      </c>
    </row>
    <row r="2" spans="1:30" ht="35.25" customHeight="1">
      <c r="A2" s="87">
        <v>1</v>
      </c>
      <c r="B2" s="244" t="s">
        <v>5</v>
      </c>
      <c r="C2" s="241">
        <v>45848</v>
      </c>
      <c r="D2" s="241">
        <v>45862</v>
      </c>
      <c r="E2" s="242" t="s">
        <v>132</v>
      </c>
      <c r="F2" s="87" t="s">
        <v>654</v>
      </c>
      <c r="G2" s="229" t="s">
        <v>655</v>
      </c>
      <c r="H2" s="87" t="s">
        <v>656</v>
      </c>
      <c r="I2" s="242" t="s">
        <v>13</v>
      </c>
      <c r="J2" s="87">
        <v>5</v>
      </c>
      <c r="K2" s="87"/>
      <c r="L2" s="87"/>
      <c r="M2" s="241">
        <v>45848</v>
      </c>
      <c r="N2" s="241">
        <v>45858</v>
      </c>
      <c r="O2" s="87"/>
      <c r="P2" s="87" t="s">
        <v>274</v>
      </c>
      <c r="Q2" s="87"/>
      <c r="R2" s="198" t="s">
        <v>657</v>
      </c>
      <c r="S2" s="87"/>
      <c r="T2" s="140" t="s">
        <v>658</v>
      </c>
      <c r="U2" s="241">
        <v>45859</v>
      </c>
      <c r="V2" s="241">
        <v>45859</v>
      </c>
      <c r="W2" s="87" t="s">
        <v>275</v>
      </c>
      <c r="X2" s="87"/>
      <c r="Y2" s="87" t="s">
        <v>548</v>
      </c>
      <c r="Z2" s="241">
        <v>45859</v>
      </c>
      <c r="AA2" s="87"/>
      <c r="AB2" s="87"/>
      <c r="AC2" s="87"/>
      <c r="AD2" s="393" t="s">
        <v>659</v>
      </c>
    </row>
    <row r="3" spans="1:30" ht="48" customHeight="1">
      <c r="A3" s="87">
        <v>2</v>
      </c>
      <c r="B3" s="244" t="s">
        <v>5</v>
      </c>
      <c r="C3" s="241">
        <v>45848</v>
      </c>
      <c r="D3" s="241">
        <v>45862</v>
      </c>
      <c r="E3" s="242" t="s">
        <v>132</v>
      </c>
      <c r="F3" s="87" t="s">
        <v>558</v>
      </c>
      <c r="G3" s="229" t="s">
        <v>660</v>
      </c>
      <c r="H3" s="87" t="s">
        <v>661</v>
      </c>
      <c r="I3" s="242" t="s">
        <v>662</v>
      </c>
      <c r="J3" s="87">
        <v>2</v>
      </c>
      <c r="K3" s="87"/>
      <c r="L3" s="87"/>
      <c r="N3" s="87"/>
      <c r="O3" s="87"/>
      <c r="P3" s="87"/>
      <c r="Q3" s="87"/>
      <c r="R3" s="198"/>
      <c r="S3" s="87"/>
      <c r="T3" s="140"/>
      <c r="U3" s="241"/>
      <c r="V3" s="241"/>
      <c r="W3" s="87"/>
      <c r="X3" s="87"/>
      <c r="Y3" s="87"/>
      <c r="Z3" s="241"/>
      <c r="AA3" s="87"/>
      <c r="AB3" s="87"/>
      <c r="AC3" s="87"/>
      <c r="AD3" s="399" t="s">
        <v>663</v>
      </c>
    </row>
    <row r="4" spans="1:30" ht="35.25" customHeight="1">
      <c r="A4" s="87">
        <v>3</v>
      </c>
      <c r="B4" s="244" t="s">
        <v>5</v>
      </c>
      <c r="C4" s="241">
        <v>45848</v>
      </c>
      <c r="D4" s="241">
        <v>45862</v>
      </c>
      <c r="E4" s="242" t="s">
        <v>132</v>
      </c>
      <c r="F4" s="87" t="s">
        <v>558</v>
      </c>
      <c r="G4" s="229" t="s">
        <v>664</v>
      </c>
      <c r="H4" s="87" t="s">
        <v>665</v>
      </c>
      <c r="I4" s="242" t="s">
        <v>13</v>
      </c>
      <c r="J4" s="87">
        <v>5</v>
      </c>
      <c r="K4" s="87"/>
      <c r="L4" s="87"/>
      <c r="M4" s="241">
        <v>45853</v>
      </c>
      <c r="N4" s="241">
        <v>45860</v>
      </c>
      <c r="O4" s="87"/>
      <c r="P4" s="87" t="s">
        <v>274</v>
      </c>
      <c r="Q4" s="87"/>
      <c r="R4" s="198" t="s">
        <v>275</v>
      </c>
      <c r="S4" s="87"/>
      <c r="T4" s="140" t="s">
        <v>666</v>
      </c>
      <c r="U4" s="241">
        <v>45860</v>
      </c>
      <c r="V4" s="241">
        <v>45860</v>
      </c>
      <c r="W4" s="87" t="s">
        <v>275</v>
      </c>
      <c r="X4" s="87"/>
      <c r="Y4" s="87" t="s">
        <v>548</v>
      </c>
      <c r="Z4" s="241">
        <v>45860</v>
      </c>
      <c r="AA4" s="87"/>
      <c r="AB4" s="87"/>
      <c r="AC4" s="87"/>
      <c r="AD4" s="393" t="s">
        <v>667</v>
      </c>
    </row>
    <row r="5" spans="1:30" ht="35.25" customHeight="1">
      <c r="A5" s="87">
        <v>4</v>
      </c>
      <c r="B5" s="244" t="s">
        <v>5</v>
      </c>
      <c r="C5" s="241">
        <v>45848</v>
      </c>
      <c r="D5" s="241">
        <v>45862</v>
      </c>
      <c r="E5" s="242" t="s">
        <v>132</v>
      </c>
      <c r="F5" s="87" t="s">
        <v>274</v>
      </c>
      <c r="G5" s="229" t="s">
        <v>668</v>
      </c>
      <c r="H5" s="87" t="s">
        <v>669</v>
      </c>
      <c r="I5" s="242" t="s">
        <v>13</v>
      </c>
      <c r="J5" s="87">
        <v>2</v>
      </c>
      <c r="K5" s="87"/>
      <c r="L5" s="87"/>
      <c r="M5" s="87"/>
      <c r="N5" s="87"/>
      <c r="O5" s="87"/>
      <c r="P5" s="87" t="s">
        <v>274</v>
      </c>
      <c r="Q5" s="87"/>
      <c r="R5" s="87" t="s">
        <v>275</v>
      </c>
      <c r="S5" s="87"/>
      <c r="T5" s="140" t="s">
        <v>670</v>
      </c>
      <c r="U5" s="241"/>
      <c r="V5" s="241"/>
      <c r="W5" s="87"/>
      <c r="X5" s="87"/>
      <c r="Y5" s="87"/>
      <c r="Z5" s="241"/>
      <c r="AA5" s="87"/>
      <c r="AB5" s="87"/>
      <c r="AC5" s="87"/>
      <c r="AD5" s="393" t="s">
        <v>671</v>
      </c>
    </row>
    <row r="6" spans="1:30" ht="35.25" customHeight="1">
      <c r="A6" s="87">
        <v>5</v>
      </c>
      <c r="B6" s="244" t="s">
        <v>5</v>
      </c>
      <c r="C6" s="241">
        <v>45848</v>
      </c>
      <c r="D6" s="241">
        <v>45862</v>
      </c>
      <c r="E6" s="242" t="s">
        <v>132</v>
      </c>
      <c r="F6" s="87" t="s">
        <v>219</v>
      </c>
      <c r="G6" s="229" t="s">
        <v>672</v>
      </c>
      <c r="H6" s="87" t="s">
        <v>673</v>
      </c>
      <c r="I6" s="242" t="s">
        <v>13</v>
      </c>
      <c r="J6" s="87">
        <v>2</v>
      </c>
      <c r="K6" s="87"/>
      <c r="L6" s="87"/>
      <c r="M6" s="241">
        <v>45848</v>
      </c>
      <c r="N6" s="241">
        <v>45849</v>
      </c>
      <c r="O6" s="87"/>
      <c r="P6" s="87" t="s">
        <v>274</v>
      </c>
      <c r="Q6" s="87"/>
      <c r="R6" s="198" t="s">
        <v>275</v>
      </c>
      <c r="S6" s="87"/>
      <c r="T6" s="140" t="s">
        <v>674</v>
      </c>
      <c r="U6" s="241">
        <v>45852</v>
      </c>
      <c r="V6" s="241">
        <v>45852</v>
      </c>
      <c r="W6" s="87" t="s">
        <v>275</v>
      </c>
      <c r="X6" s="87"/>
      <c r="Y6" s="98" t="s">
        <v>548</v>
      </c>
      <c r="Z6" s="241">
        <v>45852</v>
      </c>
      <c r="AA6" s="87"/>
      <c r="AB6" s="87"/>
      <c r="AC6" s="87"/>
      <c r="AD6" s="399" t="s">
        <v>675</v>
      </c>
    </row>
    <row r="7" spans="1:30" ht="35.25" customHeight="1">
      <c r="A7" s="87">
        <v>6</v>
      </c>
      <c r="B7" s="244" t="s">
        <v>5</v>
      </c>
      <c r="C7" s="241">
        <v>45848</v>
      </c>
      <c r="D7" s="241">
        <v>45862</v>
      </c>
      <c r="E7" s="242" t="s">
        <v>132</v>
      </c>
      <c r="F7" s="87" t="s">
        <v>219</v>
      </c>
      <c r="G7" s="244" t="s">
        <v>676</v>
      </c>
      <c r="H7" s="87" t="s">
        <v>677</v>
      </c>
      <c r="I7" s="242" t="s">
        <v>13</v>
      </c>
      <c r="J7" s="87">
        <v>2</v>
      </c>
      <c r="K7" s="87"/>
      <c r="L7" s="87"/>
      <c r="M7" s="241">
        <v>45852</v>
      </c>
      <c r="N7" s="241">
        <v>45856</v>
      </c>
      <c r="O7" s="87"/>
      <c r="P7" s="87" t="s">
        <v>274</v>
      </c>
      <c r="Q7" s="87"/>
      <c r="R7" s="198" t="s">
        <v>275</v>
      </c>
      <c r="S7" s="87"/>
      <c r="T7" s="140" t="s">
        <v>678</v>
      </c>
      <c r="U7" s="241">
        <v>45859</v>
      </c>
      <c r="V7" s="241">
        <v>45859</v>
      </c>
      <c r="W7" s="87" t="s">
        <v>275</v>
      </c>
      <c r="X7" s="87"/>
      <c r="Y7" s="98" t="s">
        <v>548</v>
      </c>
      <c r="Z7" s="241">
        <v>45859</v>
      </c>
      <c r="AA7" s="87"/>
      <c r="AB7" s="87"/>
      <c r="AC7" s="87"/>
      <c r="AD7" s="399" t="s">
        <v>679</v>
      </c>
    </row>
    <row r="8" spans="1:30" ht="35.25" customHeight="1">
      <c r="A8" s="87">
        <v>7</v>
      </c>
      <c r="B8" s="244" t="s">
        <v>5</v>
      </c>
      <c r="C8" s="241">
        <v>45848</v>
      </c>
      <c r="D8" s="241">
        <v>45862</v>
      </c>
      <c r="E8" s="242" t="s">
        <v>680</v>
      </c>
      <c r="F8" s="87" t="s">
        <v>654</v>
      </c>
      <c r="G8" s="229" t="s">
        <v>637</v>
      </c>
      <c r="H8" s="87" t="s">
        <v>681</v>
      </c>
      <c r="I8" s="242" t="s">
        <v>263</v>
      </c>
      <c r="J8" s="87">
        <v>3</v>
      </c>
      <c r="K8" s="87"/>
      <c r="L8" s="87"/>
      <c r="M8" s="241">
        <v>45861</v>
      </c>
      <c r="N8" s="87"/>
      <c r="O8" s="87"/>
      <c r="P8" s="87"/>
      <c r="Q8" s="87"/>
      <c r="R8" s="198"/>
      <c r="S8" s="87"/>
      <c r="T8" s="140"/>
      <c r="U8" s="241"/>
      <c r="V8" s="241"/>
      <c r="W8" s="87"/>
      <c r="X8" s="87"/>
      <c r="Y8" s="87"/>
      <c r="Z8" s="241"/>
      <c r="AA8" s="87"/>
      <c r="AB8" s="87"/>
      <c r="AC8" s="87"/>
      <c r="AD8" s="399"/>
    </row>
    <row r="9" spans="1:30" ht="35.25" customHeight="1">
      <c r="A9" s="87">
        <v>8</v>
      </c>
      <c r="B9" s="244" t="s">
        <v>5</v>
      </c>
      <c r="C9" s="241">
        <v>45848</v>
      </c>
      <c r="D9" s="241">
        <v>45862</v>
      </c>
      <c r="E9" s="242" t="s">
        <v>680</v>
      </c>
      <c r="F9" s="87" t="s">
        <v>219</v>
      </c>
      <c r="G9" s="229" t="s">
        <v>682</v>
      </c>
      <c r="H9" s="87" t="s">
        <v>683</v>
      </c>
      <c r="I9" s="242" t="s">
        <v>13</v>
      </c>
      <c r="J9" s="87">
        <v>2</v>
      </c>
      <c r="K9" s="87"/>
      <c r="L9" s="87"/>
      <c r="M9" s="241">
        <v>45859</v>
      </c>
      <c r="N9" s="241">
        <v>45861</v>
      </c>
      <c r="O9" s="87"/>
      <c r="P9" s="87" t="s">
        <v>274</v>
      </c>
      <c r="Q9" s="87"/>
      <c r="R9" s="198" t="s">
        <v>275</v>
      </c>
      <c r="S9" s="87"/>
      <c r="T9" s="140" t="s">
        <v>684</v>
      </c>
      <c r="U9" s="241">
        <v>45861</v>
      </c>
      <c r="V9" s="241">
        <v>45861</v>
      </c>
      <c r="W9" s="87" t="s">
        <v>275</v>
      </c>
      <c r="X9" s="87"/>
      <c r="Y9" s="98" t="s">
        <v>548</v>
      </c>
      <c r="Z9" s="241">
        <v>45861</v>
      </c>
      <c r="AA9" s="87"/>
      <c r="AB9" s="87"/>
      <c r="AC9" s="87"/>
      <c r="AD9" s="399" t="s">
        <v>685</v>
      </c>
    </row>
  </sheetData>
  <hyperlinks>
    <hyperlink ref="T5" r:id="rId1" xr:uid="{02183ACB-36CB-490A-87E0-56E71F03875C}"/>
    <hyperlink ref="T6" r:id="rId2" xr:uid="{65D97338-ECCE-448E-9C84-79BAD35900E3}"/>
    <hyperlink ref="T4" r:id="rId3" xr:uid="{C0F0021B-109B-4E22-8C37-AB819D1ECFFC}"/>
    <hyperlink ref="T7" r:id="rId4" xr:uid="{8E71B08F-E4F2-4790-A21C-C91C49D83F6F}"/>
    <hyperlink ref="T9" r:id="rId5" xr:uid="{D3AC1F40-8D57-4621-BF75-9F87EAD6EF73}"/>
  </hyperlinks>
  <pageMargins left="0" right="0" top="0" bottom="0" header="0" footer="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D6401-8862-452E-BA12-6F557311F7C5}">
  <sheetPr>
    <outlinePr summaryBelow="0" summaryRight="0"/>
  </sheetPr>
  <dimension ref="A1:AB7"/>
  <sheetViews>
    <sheetView showGridLines="0" workbookViewId="0">
      <pane xSplit="7" topLeftCell="H1" activePane="topRight" state="frozen"/>
      <selection pane="topRight" activeCell="N3" sqref="N3"/>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6.7109375" style="43" customWidth="1"/>
    <col min="6" max="6" width="26.570312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23.7109375" style="43" customWidth="1"/>
    <col min="24" max="24" width="16" style="43" bestFit="1" customWidth="1"/>
    <col min="25" max="25" width="31" style="43" customWidth="1"/>
    <col min="26" max="26" width="25.7109375" style="43" bestFit="1" customWidth="1"/>
    <col min="27" max="27" width="24" style="43" bestFit="1" customWidth="1"/>
    <col min="28" max="28" width="59.7109375" style="43" customWidth="1"/>
    <col min="29" max="16384" width="12.5703125" style="43"/>
  </cols>
  <sheetData>
    <row r="1" spans="1:28" ht="36.75" customHeight="1">
      <c r="A1" s="245" t="s">
        <v>234</v>
      </c>
      <c r="B1" s="57" t="s">
        <v>4</v>
      </c>
      <c r="C1" s="57" t="s">
        <v>2</v>
      </c>
      <c r="D1" s="57" t="s">
        <v>3</v>
      </c>
      <c r="E1" s="246" t="s">
        <v>235</v>
      </c>
      <c r="F1" s="247" t="s">
        <v>236</v>
      </c>
      <c r="G1" s="248" t="s">
        <v>515</v>
      </c>
      <c r="H1" s="246" t="s">
        <v>238</v>
      </c>
      <c r="I1" s="246"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6" t="s">
        <v>255</v>
      </c>
      <c r="X1" s="248" t="s">
        <v>256</v>
      </c>
      <c r="Y1" s="248" t="s">
        <v>487</v>
      </c>
      <c r="Z1" s="248" t="s">
        <v>465</v>
      </c>
      <c r="AA1" s="248" t="s">
        <v>466</v>
      </c>
      <c r="AB1" s="249" t="s">
        <v>260</v>
      </c>
    </row>
    <row r="2" spans="1:28" ht="35.25" customHeight="1">
      <c r="A2" s="103">
        <v>1</v>
      </c>
      <c r="B2" s="258" t="s">
        <v>5</v>
      </c>
      <c r="C2" s="241">
        <v>45835</v>
      </c>
      <c r="D2" s="241">
        <v>45848</v>
      </c>
      <c r="E2" s="242" t="s">
        <v>129</v>
      </c>
      <c r="F2" s="103" t="s">
        <v>654</v>
      </c>
      <c r="G2" s="231" t="s">
        <v>686</v>
      </c>
      <c r="H2" s="103" t="s">
        <v>687</v>
      </c>
      <c r="I2" s="251" t="s">
        <v>13</v>
      </c>
      <c r="J2" s="103">
        <v>5</v>
      </c>
      <c r="K2" s="103"/>
      <c r="L2" s="103"/>
      <c r="M2" s="123"/>
      <c r="N2" s="103" t="s">
        <v>274</v>
      </c>
      <c r="O2" s="103"/>
      <c r="P2" s="224" t="s">
        <v>275</v>
      </c>
      <c r="Q2" s="123"/>
      <c r="R2" s="230" t="s">
        <v>688</v>
      </c>
      <c r="S2" s="262">
        <v>45845</v>
      </c>
      <c r="T2" s="262">
        <v>45846</v>
      </c>
      <c r="U2" s="103" t="s">
        <v>275</v>
      </c>
      <c r="V2" s="123"/>
      <c r="W2" s="103" t="s">
        <v>689</v>
      </c>
      <c r="X2" s="262">
        <v>45846</v>
      </c>
      <c r="Y2" s="103"/>
      <c r="Z2" s="103"/>
      <c r="AA2" s="103"/>
      <c r="AB2" s="393" t="s">
        <v>690</v>
      </c>
    </row>
    <row r="3" spans="1:28" ht="48" customHeight="1">
      <c r="A3" s="87">
        <v>2</v>
      </c>
      <c r="B3" s="258" t="s">
        <v>5</v>
      </c>
      <c r="C3" s="241">
        <v>45835</v>
      </c>
      <c r="D3" s="241">
        <v>45848</v>
      </c>
      <c r="E3" s="242" t="s">
        <v>129</v>
      </c>
      <c r="F3" s="87" t="s">
        <v>219</v>
      </c>
      <c r="G3" s="229" t="s">
        <v>691</v>
      </c>
      <c r="H3" s="103" t="s">
        <v>692</v>
      </c>
      <c r="I3" s="318" t="s">
        <v>13</v>
      </c>
      <c r="J3" s="87">
        <v>3</v>
      </c>
      <c r="K3" s="112"/>
      <c r="L3" s="103"/>
      <c r="M3" s="123"/>
      <c r="N3" s="103" t="s">
        <v>274</v>
      </c>
      <c r="O3" s="103"/>
      <c r="P3" s="224" t="s">
        <v>275</v>
      </c>
      <c r="Q3" s="123"/>
      <c r="R3" s="388" t="s">
        <v>693</v>
      </c>
      <c r="S3" s="389">
        <v>45840</v>
      </c>
      <c r="T3" s="262">
        <v>45846</v>
      </c>
      <c r="U3" s="103" t="s">
        <v>275</v>
      </c>
      <c r="V3" s="123"/>
      <c r="W3" s="103" t="s">
        <v>689</v>
      </c>
      <c r="X3" s="262">
        <v>45846</v>
      </c>
      <c r="Y3" s="103"/>
      <c r="Z3" s="103"/>
      <c r="AA3" s="103" t="s">
        <v>694</v>
      </c>
      <c r="AB3" s="393" t="s">
        <v>695</v>
      </c>
    </row>
    <row r="4" spans="1:28" ht="35.25" customHeight="1">
      <c r="A4" s="103">
        <v>3</v>
      </c>
      <c r="B4" s="258" t="s">
        <v>5</v>
      </c>
      <c r="C4" s="241">
        <v>45835</v>
      </c>
      <c r="D4" s="241">
        <v>45848</v>
      </c>
      <c r="E4" s="242" t="s">
        <v>696</v>
      </c>
      <c r="F4" s="103" t="s">
        <v>654</v>
      </c>
      <c r="G4" s="264" t="s">
        <v>697</v>
      </c>
      <c r="H4" s="87" t="s">
        <v>698</v>
      </c>
      <c r="I4" s="318" t="s">
        <v>13</v>
      </c>
      <c r="J4" s="103">
        <v>3</v>
      </c>
      <c r="K4" s="103"/>
      <c r="L4" s="103"/>
      <c r="M4" s="103"/>
      <c r="N4" s="103" t="s">
        <v>274</v>
      </c>
      <c r="O4" s="103"/>
      <c r="P4" s="224" t="s">
        <v>275</v>
      </c>
      <c r="Q4" s="103"/>
      <c r="R4" s="230" t="s">
        <v>699</v>
      </c>
      <c r="S4" s="241">
        <v>45846</v>
      </c>
      <c r="T4" s="241">
        <v>45846</v>
      </c>
      <c r="U4" s="112" t="s">
        <v>275</v>
      </c>
      <c r="V4" s="123"/>
      <c r="W4" s="83" t="s">
        <v>548</v>
      </c>
      <c r="X4" s="241">
        <v>45846</v>
      </c>
      <c r="Y4" s="103"/>
      <c r="Z4" s="103"/>
      <c r="AA4" s="123"/>
      <c r="AB4" s="393" t="s">
        <v>700</v>
      </c>
    </row>
    <row r="5" spans="1:28" ht="35.25" customHeight="1">
      <c r="A5" s="87">
        <v>4</v>
      </c>
      <c r="B5" s="258" t="s">
        <v>5</v>
      </c>
      <c r="C5" s="241">
        <v>45835</v>
      </c>
      <c r="D5" s="241">
        <v>45848</v>
      </c>
      <c r="E5" s="242" t="s">
        <v>696</v>
      </c>
      <c r="F5" s="87" t="s">
        <v>558</v>
      </c>
      <c r="G5" s="229" t="s">
        <v>668</v>
      </c>
      <c r="H5" s="87" t="s">
        <v>669</v>
      </c>
      <c r="I5" s="318" t="s">
        <v>392</v>
      </c>
      <c r="J5" s="87">
        <v>2</v>
      </c>
      <c r="K5" s="87"/>
      <c r="L5" s="116"/>
      <c r="M5" s="123"/>
      <c r="N5" s="103" t="s">
        <v>274</v>
      </c>
      <c r="O5" s="87"/>
      <c r="P5" s="224" t="s">
        <v>275</v>
      </c>
      <c r="Q5" s="116"/>
      <c r="R5" s="390" t="s">
        <v>670</v>
      </c>
      <c r="S5" s="262">
        <v>45847</v>
      </c>
      <c r="T5" s="241">
        <v>45848</v>
      </c>
      <c r="U5" s="112" t="s">
        <v>275</v>
      </c>
      <c r="V5" s="391"/>
      <c r="W5" s="83" t="s">
        <v>548</v>
      </c>
      <c r="X5" s="392">
        <v>45848</v>
      </c>
      <c r="Y5" s="141"/>
      <c r="Z5" s="116"/>
      <c r="AA5" s="87"/>
      <c r="AB5" s="393" t="s">
        <v>671</v>
      </c>
    </row>
    <row r="6" spans="1:28" ht="35.25" customHeight="1">
      <c r="A6" s="87">
        <v>5</v>
      </c>
      <c r="B6" s="258" t="s">
        <v>5</v>
      </c>
      <c r="C6" s="241">
        <v>45835</v>
      </c>
      <c r="D6" s="241">
        <v>45848</v>
      </c>
      <c r="E6" s="242" t="s">
        <v>696</v>
      </c>
      <c r="F6" s="87" t="s">
        <v>219</v>
      </c>
      <c r="G6" s="229" t="s">
        <v>672</v>
      </c>
      <c r="H6" s="87" t="s">
        <v>673</v>
      </c>
      <c r="I6" s="318" t="s">
        <v>263</v>
      </c>
      <c r="J6" s="87">
        <v>2</v>
      </c>
      <c r="K6" s="87"/>
      <c r="L6" s="116"/>
      <c r="M6" s="116"/>
      <c r="N6" s="87" t="s">
        <v>274</v>
      </c>
      <c r="O6" s="87"/>
      <c r="P6" s="198" t="s">
        <v>275</v>
      </c>
      <c r="Q6" s="116"/>
      <c r="R6" s="390" t="s">
        <v>674</v>
      </c>
      <c r="S6" s="262">
        <v>45852</v>
      </c>
      <c r="T6" s="241">
        <v>45852</v>
      </c>
      <c r="U6" s="87" t="s">
        <v>275</v>
      </c>
      <c r="V6" s="391"/>
      <c r="W6" s="83" t="s">
        <v>548</v>
      </c>
      <c r="X6" s="392">
        <v>45852</v>
      </c>
      <c r="Y6" s="141"/>
      <c r="Z6" s="116"/>
      <c r="AA6" s="87"/>
      <c r="AB6" s="399" t="s">
        <v>675</v>
      </c>
    </row>
    <row r="7" spans="1:28" ht="35.25" customHeight="1">
      <c r="A7" s="43">
        <v>6</v>
      </c>
    </row>
  </sheetData>
  <hyperlinks>
    <hyperlink ref="R2" r:id="rId1" xr:uid="{1A118AFC-0D1F-461C-81BF-D6EA99557E4B}"/>
    <hyperlink ref="R5" r:id="rId2" xr:uid="{5A4039A2-1B79-4B04-8BEC-480A710ECCB7}"/>
    <hyperlink ref="R4" r:id="rId3" xr:uid="{21DECB92-7DE2-4D7C-ADD5-50612036806D}"/>
    <hyperlink ref="R3" r:id="rId4" xr:uid="{7554D6C7-8FD1-4F32-AA64-85C9D4BD4471}"/>
    <hyperlink ref="R6" r:id="rId5" xr:uid="{FEA2BC28-8041-49C4-B0E9-CBFD849F7B85}"/>
  </hyperlinks>
  <pageMargins left="0" right="0" top="0" bottom="0" header="0" footer="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97FB-D76C-4F88-9190-0C4628C7D709}">
  <sheetPr>
    <outlinePr summaryBelow="0" summaryRight="0"/>
  </sheetPr>
  <dimension ref="A1:AB5"/>
  <sheetViews>
    <sheetView showGridLines="0" workbookViewId="0">
      <pane xSplit="7" topLeftCell="W1" activePane="topRight" state="frozen"/>
      <selection pane="topRight" activeCell="W5" sqref="W5"/>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6.7109375" style="43" customWidth="1"/>
    <col min="6" max="6" width="26.570312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23.7109375" style="43" customWidth="1"/>
    <col min="24" max="24" width="16" style="43" bestFit="1" customWidth="1"/>
    <col min="25" max="25" width="31" style="43" customWidth="1"/>
    <col min="26" max="26" width="25.7109375" style="43" bestFit="1" customWidth="1"/>
    <col min="27" max="27" width="24" style="43" bestFit="1" customWidth="1"/>
    <col min="28" max="28" width="59.7109375" style="43" customWidth="1"/>
    <col min="29" max="16384" width="12.5703125" style="43"/>
  </cols>
  <sheetData>
    <row r="1" spans="1:28" ht="36.75" customHeight="1">
      <c r="A1" s="245" t="s">
        <v>234</v>
      </c>
      <c r="B1" s="57" t="s">
        <v>4</v>
      </c>
      <c r="C1" s="57" t="s">
        <v>2</v>
      </c>
      <c r="D1" s="57" t="s">
        <v>3</v>
      </c>
      <c r="E1" s="246" t="s">
        <v>235</v>
      </c>
      <c r="F1" s="247" t="s">
        <v>236</v>
      </c>
      <c r="G1" s="248" t="s">
        <v>515</v>
      </c>
      <c r="H1" s="246" t="s">
        <v>238</v>
      </c>
      <c r="I1" s="246"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8" t="s">
        <v>255</v>
      </c>
      <c r="X1" s="248" t="s">
        <v>256</v>
      </c>
      <c r="Y1" s="248" t="s">
        <v>487</v>
      </c>
      <c r="Z1" s="248" t="s">
        <v>465</v>
      </c>
      <c r="AA1" s="248" t="s">
        <v>466</v>
      </c>
      <c r="AB1" s="249" t="s">
        <v>260</v>
      </c>
    </row>
    <row r="2" spans="1:28" ht="35.25" customHeight="1">
      <c r="A2" s="103">
        <v>1</v>
      </c>
      <c r="B2" s="258" t="s">
        <v>5</v>
      </c>
      <c r="C2" s="241">
        <v>45820</v>
      </c>
      <c r="D2" s="241">
        <v>45834</v>
      </c>
      <c r="E2" s="242" t="s">
        <v>125</v>
      </c>
      <c r="F2" s="103" t="s">
        <v>654</v>
      </c>
      <c r="G2" s="231" t="s">
        <v>701</v>
      </c>
      <c r="H2" s="103" t="s">
        <v>702</v>
      </c>
      <c r="I2" s="251" t="s">
        <v>13</v>
      </c>
      <c r="J2" s="103">
        <v>5</v>
      </c>
      <c r="K2" s="103"/>
      <c r="L2" s="103"/>
      <c r="M2" s="123" t="s">
        <v>544</v>
      </c>
      <c r="N2" s="103" t="s">
        <v>274</v>
      </c>
      <c r="O2" s="103"/>
      <c r="P2" s="224" t="s">
        <v>275</v>
      </c>
      <c r="Q2" s="123"/>
      <c r="R2" s="230" t="s">
        <v>703</v>
      </c>
      <c r="S2" s="262">
        <v>45828</v>
      </c>
      <c r="T2" s="262">
        <v>45832</v>
      </c>
      <c r="U2" s="103" t="s">
        <v>275</v>
      </c>
      <c r="V2" s="103"/>
      <c r="W2" s="103" t="s">
        <v>689</v>
      </c>
      <c r="X2" s="262">
        <v>45828</v>
      </c>
      <c r="Y2" s="103"/>
      <c r="Z2" s="103"/>
      <c r="AA2" s="103"/>
      <c r="AB2" s="393" t="s">
        <v>704</v>
      </c>
    </row>
    <row r="3" spans="1:28" ht="35.25" customHeight="1">
      <c r="A3" s="87">
        <v>2</v>
      </c>
      <c r="B3" s="258" t="s">
        <v>5</v>
      </c>
      <c r="C3" s="241">
        <v>45820</v>
      </c>
      <c r="D3" s="241">
        <v>45834</v>
      </c>
      <c r="E3" s="259" t="s">
        <v>705</v>
      </c>
      <c r="F3" s="87" t="s">
        <v>219</v>
      </c>
      <c r="G3" s="229" t="s">
        <v>706</v>
      </c>
      <c r="H3" s="87" t="s">
        <v>707</v>
      </c>
      <c r="I3" s="318" t="s">
        <v>13</v>
      </c>
      <c r="J3" s="87">
        <v>2</v>
      </c>
      <c r="K3" s="112"/>
      <c r="L3" s="103">
        <v>8</v>
      </c>
      <c r="M3" s="123" t="s">
        <v>219</v>
      </c>
      <c r="N3" s="103" t="s">
        <v>275</v>
      </c>
      <c r="O3" s="103"/>
      <c r="P3" s="224" t="s">
        <v>275</v>
      </c>
      <c r="Q3" s="123"/>
      <c r="R3" s="388" t="s">
        <v>708</v>
      </c>
      <c r="S3" s="389">
        <v>45819</v>
      </c>
      <c r="T3" s="262">
        <v>45825</v>
      </c>
      <c r="U3" s="112" t="s">
        <v>275</v>
      </c>
      <c r="V3" s="103"/>
      <c r="W3" s="103" t="s">
        <v>311</v>
      </c>
      <c r="X3" s="262">
        <v>45825</v>
      </c>
      <c r="Y3" s="103"/>
      <c r="Z3" s="103"/>
      <c r="AA3" s="123"/>
      <c r="AB3" s="103"/>
    </row>
    <row r="4" spans="1:28" ht="51" customHeight="1">
      <c r="A4" s="103">
        <v>3</v>
      </c>
      <c r="B4" s="258" t="s">
        <v>5</v>
      </c>
      <c r="C4" s="241">
        <v>45820</v>
      </c>
      <c r="D4" s="241">
        <v>45834</v>
      </c>
      <c r="E4" s="242" t="s">
        <v>125</v>
      </c>
      <c r="F4" s="103" t="s">
        <v>219</v>
      </c>
      <c r="G4" s="264" t="s">
        <v>709</v>
      </c>
      <c r="H4" s="87" t="s">
        <v>710</v>
      </c>
      <c r="I4" s="318" t="s">
        <v>13</v>
      </c>
      <c r="J4" s="103">
        <v>5</v>
      </c>
      <c r="K4" s="103"/>
      <c r="L4" s="103">
        <v>36</v>
      </c>
      <c r="M4" s="103" t="s">
        <v>219</v>
      </c>
      <c r="N4" s="103" t="s">
        <v>274</v>
      </c>
      <c r="O4" s="103"/>
      <c r="P4" s="224" t="s">
        <v>275</v>
      </c>
      <c r="Q4" s="103"/>
      <c r="R4" s="388" t="s">
        <v>711</v>
      </c>
      <c r="S4" s="241">
        <v>45828</v>
      </c>
      <c r="T4" s="241">
        <v>45829</v>
      </c>
      <c r="U4" s="112" t="s">
        <v>275</v>
      </c>
      <c r="V4" s="103"/>
      <c r="W4" s="103" t="s">
        <v>689</v>
      </c>
      <c r="X4" s="241">
        <v>45829</v>
      </c>
      <c r="Y4" s="394" t="s">
        <v>712</v>
      </c>
      <c r="Z4" s="103"/>
      <c r="AA4" s="123"/>
      <c r="AB4" s="393" t="s">
        <v>713</v>
      </c>
    </row>
    <row r="5" spans="1:28" ht="35.25" customHeight="1">
      <c r="A5" s="87">
        <v>4</v>
      </c>
      <c r="B5" s="258" t="s">
        <v>5</v>
      </c>
      <c r="C5" s="241">
        <v>45820</v>
      </c>
      <c r="D5" s="241">
        <v>45834</v>
      </c>
      <c r="E5" s="259" t="s">
        <v>714</v>
      </c>
      <c r="F5" s="87" t="s">
        <v>654</v>
      </c>
      <c r="G5" s="229" t="s">
        <v>686</v>
      </c>
      <c r="H5" s="87" t="s">
        <v>687</v>
      </c>
      <c r="I5" s="318" t="s">
        <v>715</v>
      </c>
      <c r="J5" s="87">
        <v>5</v>
      </c>
      <c r="K5" s="87"/>
      <c r="L5" s="116"/>
      <c r="M5" s="116"/>
      <c r="N5" s="87"/>
      <c r="O5" s="87"/>
      <c r="P5" s="198"/>
      <c r="Q5" s="116"/>
      <c r="R5" s="390"/>
      <c r="S5" s="241"/>
      <c r="T5" s="241"/>
      <c r="U5" s="87"/>
      <c r="V5" s="87"/>
      <c r="W5" s="87"/>
      <c r="X5" s="392"/>
      <c r="Y5" s="141"/>
      <c r="Z5" s="116"/>
      <c r="AA5" s="87"/>
      <c r="AB5" s="87"/>
    </row>
  </sheetData>
  <hyperlinks>
    <hyperlink ref="R3" r:id="rId1" xr:uid="{E09B8102-659E-4C37-8BB6-C77A215E4662}"/>
    <hyperlink ref="R4" r:id="rId2" xr:uid="{F675FDB7-4A1A-47DB-972C-EC6B350D92F5}"/>
  </hyperlinks>
  <pageMargins left="0" right="0" top="0" bottom="0" header="0" footer="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35437-BBDF-469D-B40C-4AE448886429}">
  <sheetPr>
    <outlinePr summaryBelow="0" summaryRight="0"/>
  </sheetPr>
  <dimension ref="A1:AB5"/>
  <sheetViews>
    <sheetView showGridLines="0" workbookViewId="0">
      <pane xSplit="7" topLeftCell="AA1" activePane="topRight" state="frozen"/>
      <selection pane="topRight" activeCell="B2" sqref="B2"/>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6.7109375" style="43" customWidth="1"/>
    <col min="6" max="6" width="26.570312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9.7109375" style="43" customWidth="1"/>
    <col min="29" max="16384" width="12.5703125" style="43"/>
  </cols>
  <sheetData>
    <row r="1" spans="1:28" customFormat="1" ht="36.75" customHeight="1">
      <c r="A1" s="245" t="s">
        <v>234</v>
      </c>
      <c r="B1" s="57" t="s">
        <v>4</v>
      </c>
      <c r="C1" s="57" t="s">
        <v>2</v>
      </c>
      <c r="D1" s="57" t="s">
        <v>3</v>
      </c>
      <c r="E1" s="246" t="s">
        <v>235</v>
      </c>
      <c r="F1" s="247" t="s">
        <v>236</v>
      </c>
      <c r="G1" s="248" t="s">
        <v>515</v>
      </c>
      <c r="H1" s="246" t="s">
        <v>238</v>
      </c>
      <c r="I1" s="246"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6" t="s">
        <v>255</v>
      </c>
      <c r="X1" s="248" t="s">
        <v>256</v>
      </c>
      <c r="Y1" s="248" t="s">
        <v>487</v>
      </c>
      <c r="Z1" s="248" t="s">
        <v>465</v>
      </c>
      <c r="AA1" s="248" t="s">
        <v>466</v>
      </c>
      <c r="AB1" s="249" t="s">
        <v>260</v>
      </c>
    </row>
    <row r="2" spans="1:28" ht="35.25" customHeight="1">
      <c r="A2" s="103">
        <v>1</v>
      </c>
      <c r="B2" s="258" t="s">
        <v>5</v>
      </c>
      <c r="C2" s="241">
        <v>45806</v>
      </c>
      <c r="D2" s="241">
        <v>45820</v>
      </c>
      <c r="E2" s="242" t="s">
        <v>121</v>
      </c>
      <c r="F2" s="103" t="s">
        <v>544</v>
      </c>
      <c r="G2" s="231" t="s">
        <v>716</v>
      </c>
      <c r="H2" s="103" t="s">
        <v>717</v>
      </c>
      <c r="I2" s="251" t="s">
        <v>13</v>
      </c>
      <c r="J2" s="103">
        <v>3</v>
      </c>
      <c r="K2" s="103">
        <v>3</v>
      </c>
      <c r="L2" s="43">
        <v>25</v>
      </c>
      <c r="M2" s="123" t="s">
        <v>219</v>
      </c>
      <c r="N2" s="103" t="s">
        <v>275</v>
      </c>
      <c r="O2" s="103"/>
      <c r="P2" s="224" t="s">
        <v>275</v>
      </c>
      <c r="Q2" s="123"/>
      <c r="R2" s="230" t="s">
        <v>718</v>
      </c>
      <c r="S2" s="262">
        <v>45813</v>
      </c>
      <c r="T2" s="262">
        <v>45817</v>
      </c>
      <c r="U2" s="103" t="s">
        <v>275</v>
      </c>
      <c r="V2" s="123"/>
      <c r="W2" s="123" t="s">
        <v>719</v>
      </c>
      <c r="X2" s="262">
        <v>45817</v>
      </c>
      <c r="Y2" s="103"/>
      <c r="Z2" s="103"/>
      <c r="AA2" s="103"/>
      <c r="AB2" s="393"/>
    </row>
    <row r="3" spans="1:28" ht="35.25" customHeight="1">
      <c r="A3" s="103">
        <v>2</v>
      </c>
      <c r="B3" s="258" t="s">
        <v>5</v>
      </c>
      <c r="C3" s="241">
        <v>45806</v>
      </c>
      <c r="D3" s="241">
        <v>45820</v>
      </c>
      <c r="E3" s="242" t="s">
        <v>121</v>
      </c>
      <c r="F3" s="87" t="s">
        <v>219</v>
      </c>
      <c r="G3" s="387" t="s">
        <v>720</v>
      </c>
      <c r="H3" s="194" t="s">
        <v>721</v>
      </c>
      <c r="I3" s="251" t="s">
        <v>13</v>
      </c>
      <c r="J3" s="112">
        <v>3</v>
      </c>
      <c r="K3" s="112">
        <v>3</v>
      </c>
      <c r="L3" s="103">
        <v>39</v>
      </c>
      <c r="M3" s="123" t="s">
        <v>219</v>
      </c>
      <c r="N3" s="103" t="s">
        <v>544</v>
      </c>
      <c r="O3" s="103"/>
      <c r="P3" s="224" t="s">
        <v>544</v>
      </c>
      <c r="Q3" s="123"/>
      <c r="R3" s="388" t="s">
        <v>722</v>
      </c>
      <c r="S3" s="389">
        <v>45814</v>
      </c>
      <c r="T3" s="262">
        <v>45818</v>
      </c>
      <c r="U3" s="112" t="s">
        <v>275</v>
      </c>
      <c r="V3" s="123"/>
      <c r="W3" s="103" t="s">
        <v>723</v>
      </c>
      <c r="X3" s="262">
        <v>45818</v>
      </c>
      <c r="Y3" s="103"/>
      <c r="Z3" s="103"/>
      <c r="AA3" s="123"/>
      <c r="AB3" s="103"/>
    </row>
    <row r="4" spans="1:28" ht="35.25" customHeight="1">
      <c r="A4" s="103">
        <v>3</v>
      </c>
      <c r="B4" s="258" t="s">
        <v>5</v>
      </c>
      <c r="C4" s="241">
        <v>45806</v>
      </c>
      <c r="D4" s="241">
        <v>45820</v>
      </c>
      <c r="E4" s="242" t="s">
        <v>121</v>
      </c>
      <c r="F4" s="103" t="s">
        <v>724</v>
      </c>
      <c r="G4" s="264" t="s">
        <v>725</v>
      </c>
      <c r="H4" s="123" t="s">
        <v>726</v>
      </c>
      <c r="I4" s="251" t="s">
        <v>13</v>
      </c>
      <c r="J4" s="103">
        <v>3</v>
      </c>
      <c r="K4" s="103">
        <v>3</v>
      </c>
      <c r="L4" s="103">
        <v>60</v>
      </c>
      <c r="M4" s="103" t="s">
        <v>558</v>
      </c>
      <c r="N4" s="103" t="s">
        <v>275</v>
      </c>
      <c r="O4" s="103"/>
      <c r="P4" s="224" t="s">
        <v>544</v>
      </c>
      <c r="Q4" s="103"/>
      <c r="R4" s="388" t="s">
        <v>727</v>
      </c>
      <c r="S4" s="241">
        <v>45818</v>
      </c>
      <c r="T4" s="241">
        <v>45819</v>
      </c>
      <c r="U4" s="112" t="s">
        <v>275</v>
      </c>
      <c r="V4" s="123"/>
      <c r="W4" s="103" t="s">
        <v>728</v>
      </c>
      <c r="X4" s="241">
        <v>45936</v>
      </c>
      <c r="Y4" s="103" t="s">
        <v>729</v>
      </c>
      <c r="Z4" s="103"/>
      <c r="AA4" s="123"/>
      <c r="AB4" s="103"/>
    </row>
    <row r="5" spans="1:28" ht="35.25" customHeight="1">
      <c r="A5" s="87">
        <v>4</v>
      </c>
      <c r="B5" s="258" t="s">
        <v>5</v>
      </c>
      <c r="C5" s="241">
        <v>45806</v>
      </c>
      <c r="D5" s="241">
        <v>45820</v>
      </c>
      <c r="E5" s="259" t="s">
        <v>705</v>
      </c>
      <c r="F5" s="87" t="s">
        <v>544</v>
      </c>
      <c r="G5" s="229" t="s">
        <v>706</v>
      </c>
      <c r="H5" s="87" t="s">
        <v>707</v>
      </c>
      <c r="I5" s="318" t="s">
        <v>263</v>
      </c>
      <c r="J5" s="87">
        <v>3</v>
      </c>
      <c r="K5" s="87"/>
      <c r="L5" s="103">
        <v>43.5</v>
      </c>
      <c r="M5" s="123" t="s">
        <v>219</v>
      </c>
      <c r="N5" s="103" t="s">
        <v>275</v>
      </c>
      <c r="O5" s="87"/>
      <c r="P5" s="198" t="s">
        <v>275</v>
      </c>
      <c r="Q5" s="116"/>
      <c r="R5" s="390" t="s">
        <v>730</v>
      </c>
      <c r="S5" s="262">
        <v>45819</v>
      </c>
      <c r="T5" s="241"/>
      <c r="U5" s="87"/>
      <c r="V5" s="391"/>
      <c r="W5" s="87"/>
      <c r="X5" s="392"/>
      <c r="Y5" s="141"/>
      <c r="Z5" s="116"/>
      <c r="AA5" s="87"/>
      <c r="AB5" s="87"/>
    </row>
  </sheetData>
  <hyperlinks>
    <hyperlink ref="R3" r:id="rId1" xr:uid="{3B58CD45-A88D-40B8-9C59-AD7825210BD4}"/>
    <hyperlink ref="R4" r:id="rId2" xr:uid="{C09DF24C-FAFB-4142-BF38-C1F5E03D52D7}"/>
    <hyperlink ref="R2" r:id="rId3" xr:uid="{D9494B38-1FC4-47A0-8059-DB91884811DA}"/>
    <hyperlink ref="R5" r:id="rId4" xr:uid="{0D230B68-24CD-4895-8870-18C50EA7A1D4}"/>
  </hyperlinks>
  <pageMargins left="0" right="0" top="0" bottom="0" header="0" footer="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47EB-70AE-44FE-BF94-3F3AAF28D274}">
  <sheetPr>
    <outlinePr summaryBelow="0" summaryRight="0"/>
  </sheetPr>
  <dimension ref="A1:AB10"/>
  <sheetViews>
    <sheetView showGridLines="0" workbookViewId="0">
      <pane xSplit="7" topLeftCell="H1" activePane="topRight" state="frozen"/>
      <selection pane="topRight" activeCell="F1" sqref="F1"/>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26.570312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9.7109375" style="43" customWidth="1"/>
    <col min="29" max="16384" width="12.5703125" style="43"/>
  </cols>
  <sheetData>
    <row r="1" spans="1:28" customFormat="1" ht="36.75" customHeight="1">
      <c r="A1" s="245" t="s">
        <v>234</v>
      </c>
      <c r="B1" s="57" t="s">
        <v>4</v>
      </c>
      <c r="C1" s="57" t="s">
        <v>2</v>
      </c>
      <c r="D1" s="57" t="s">
        <v>3</v>
      </c>
      <c r="E1" s="246" t="s">
        <v>235</v>
      </c>
      <c r="F1" s="247" t="s">
        <v>236</v>
      </c>
      <c r="G1" s="248" t="s">
        <v>515</v>
      </c>
      <c r="H1" s="246" t="s">
        <v>238</v>
      </c>
      <c r="I1" s="246"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6" t="s">
        <v>255</v>
      </c>
      <c r="X1" s="248" t="s">
        <v>256</v>
      </c>
      <c r="Y1" s="248" t="s">
        <v>487</v>
      </c>
      <c r="Z1" s="248" t="s">
        <v>465</v>
      </c>
      <c r="AA1" s="248" t="s">
        <v>466</v>
      </c>
      <c r="AB1" s="249" t="s">
        <v>260</v>
      </c>
    </row>
    <row r="2" spans="1:28" ht="35.25" customHeight="1">
      <c r="A2" s="103">
        <v>1</v>
      </c>
      <c r="B2" s="258" t="s">
        <v>731</v>
      </c>
      <c r="C2" s="241">
        <v>45793</v>
      </c>
      <c r="D2" s="241">
        <v>45806</v>
      </c>
      <c r="E2" s="242" t="s">
        <v>117</v>
      </c>
      <c r="F2" s="265" t="s">
        <v>275</v>
      </c>
      <c r="G2" s="229" t="s">
        <v>732</v>
      </c>
      <c r="H2" s="377" t="s">
        <v>733</v>
      </c>
      <c r="I2" s="242" t="s">
        <v>263</v>
      </c>
      <c r="J2" s="88">
        <v>3</v>
      </c>
      <c r="K2" s="88"/>
      <c r="L2" s="88">
        <v>27.5</v>
      </c>
      <c r="M2" s="273"/>
      <c r="N2" s="88"/>
      <c r="O2" s="88"/>
      <c r="P2" s="88"/>
      <c r="Q2" s="273"/>
      <c r="R2" s="230"/>
      <c r="S2" s="351"/>
      <c r="T2" s="351"/>
      <c r="U2" s="88"/>
      <c r="V2" s="88"/>
      <c r="W2" s="273"/>
      <c r="X2" s="351"/>
      <c r="Y2" s="88"/>
      <c r="Z2" s="88"/>
      <c r="AA2" s="88"/>
      <c r="AB2" s="378" t="s">
        <v>734</v>
      </c>
    </row>
    <row r="3" spans="1:28" ht="35.25" customHeight="1">
      <c r="A3" s="103">
        <v>2</v>
      </c>
      <c r="B3" s="258" t="s">
        <v>731</v>
      </c>
      <c r="C3" s="241">
        <v>45793</v>
      </c>
      <c r="D3" s="241">
        <v>45806</v>
      </c>
      <c r="E3" s="259" t="s">
        <v>117</v>
      </c>
      <c r="F3" s="103" t="s">
        <v>735</v>
      </c>
      <c r="G3" s="264" t="s">
        <v>736</v>
      </c>
      <c r="H3" s="103" t="s">
        <v>737</v>
      </c>
      <c r="I3" s="355" t="s">
        <v>13</v>
      </c>
      <c r="J3" s="103">
        <v>5</v>
      </c>
      <c r="K3" s="103">
        <v>5</v>
      </c>
      <c r="L3" s="103">
        <v>107</v>
      </c>
      <c r="M3" s="123" t="s">
        <v>738</v>
      </c>
      <c r="N3" s="103" t="s">
        <v>739</v>
      </c>
      <c r="O3" s="103"/>
      <c r="P3" s="224" t="s">
        <v>275</v>
      </c>
      <c r="Q3" s="103"/>
      <c r="R3" s="388" t="s">
        <v>740</v>
      </c>
      <c r="S3" s="241">
        <v>45805</v>
      </c>
      <c r="T3" s="241">
        <v>45805</v>
      </c>
      <c r="U3" s="103" t="s">
        <v>275</v>
      </c>
      <c r="V3" s="103"/>
      <c r="W3" s="123" t="s">
        <v>741</v>
      </c>
      <c r="X3" s="241">
        <v>45805</v>
      </c>
      <c r="Y3" s="103"/>
      <c r="Z3" s="103"/>
      <c r="AA3" s="103"/>
      <c r="AB3" s="103" t="s">
        <v>742</v>
      </c>
    </row>
    <row r="4" spans="1:28" ht="35.25" customHeight="1">
      <c r="A4" s="103">
        <v>3</v>
      </c>
      <c r="B4" s="258" t="s">
        <v>731</v>
      </c>
      <c r="C4" s="241">
        <v>45793</v>
      </c>
      <c r="D4" s="241">
        <v>45806</v>
      </c>
      <c r="E4" s="259" t="s">
        <v>117</v>
      </c>
      <c r="F4" s="103" t="s">
        <v>743</v>
      </c>
      <c r="G4" s="229" t="s">
        <v>744</v>
      </c>
      <c r="H4" s="103" t="s">
        <v>745</v>
      </c>
      <c r="I4" s="242" t="s">
        <v>13</v>
      </c>
      <c r="J4" s="103">
        <v>3</v>
      </c>
      <c r="K4" s="103">
        <v>3</v>
      </c>
      <c r="L4" s="103">
        <v>19</v>
      </c>
      <c r="M4" s="123" t="s">
        <v>743</v>
      </c>
      <c r="N4" s="103" t="s">
        <v>275</v>
      </c>
      <c r="O4" s="112"/>
      <c r="P4" s="385" t="s">
        <v>746</v>
      </c>
      <c r="Q4" s="103"/>
      <c r="R4" s="386" t="s">
        <v>747</v>
      </c>
      <c r="S4" s="241">
        <v>45793</v>
      </c>
      <c r="T4" s="241">
        <v>45797</v>
      </c>
      <c r="U4" s="103" t="s">
        <v>275</v>
      </c>
      <c r="V4" s="103"/>
      <c r="W4" s="123" t="s">
        <v>741</v>
      </c>
      <c r="X4" s="262">
        <v>45797</v>
      </c>
      <c r="Y4" s="103"/>
      <c r="Z4" s="103"/>
      <c r="AA4" s="103"/>
      <c r="AB4" s="103" t="s">
        <v>748</v>
      </c>
    </row>
    <row r="5" spans="1:28" ht="33" customHeight="1">
      <c r="A5" s="103">
        <v>4</v>
      </c>
      <c r="B5" s="261" t="s">
        <v>731</v>
      </c>
      <c r="C5" s="262">
        <v>45793</v>
      </c>
      <c r="D5" s="262">
        <v>45806</v>
      </c>
      <c r="E5" s="265" t="s">
        <v>117</v>
      </c>
      <c r="F5" s="103" t="s">
        <v>743</v>
      </c>
      <c r="G5" s="264" t="s">
        <v>749</v>
      </c>
      <c r="H5" s="103" t="s">
        <v>750</v>
      </c>
      <c r="I5" s="265" t="s">
        <v>13</v>
      </c>
      <c r="J5" s="103">
        <v>2</v>
      </c>
      <c r="K5" s="103">
        <v>2</v>
      </c>
      <c r="L5" s="103">
        <v>11.5</v>
      </c>
      <c r="M5" s="103" t="s">
        <v>743</v>
      </c>
      <c r="N5" s="103" t="s">
        <v>739</v>
      </c>
      <c r="O5" s="123"/>
      <c r="P5" s="224" t="s">
        <v>275</v>
      </c>
      <c r="Q5" s="103"/>
      <c r="R5" s="230" t="s">
        <v>751</v>
      </c>
      <c r="S5" s="241">
        <v>45796</v>
      </c>
      <c r="T5" s="241">
        <v>45797</v>
      </c>
      <c r="U5" s="103" t="s">
        <v>275</v>
      </c>
      <c r="V5" s="103"/>
      <c r="W5" s="123" t="s">
        <v>741</v>
      </c>
      <c r="X5" s="262">
        <v>45796</v>
      </c>
      <c r="Y5" s="123"/>
      <c r="Z5" s="103"/>
      <c r="AA5" s="103"/>
      <c r="AB5" s="103" t="s">
        <v>752</v>
      </c>
    </row>
    <row r="6" spans="1:28" ht="41.25" customHeight="1">
      <c r="A6" s="103">
        <v>5</v>
      </c>
      <c r="B6" s="244" t="s">
        <v>731</v>
      </c>
      <c r="C6" s="241">
        <v>45793</v>
      </c>
      <c r="D6" s="241">
        <v>45806</v>
      </c>
      <c r="E6" s="242" t="s">
        <v>117</v>
      </c>
      <c r="F6" s="103" t="s">
        <v>275</v>
      </c>
      <c r="G6" s="231" t="s">
        <v>753</v>
      </c>
      <c r="H6" s="103" t="s">
        <v>754</v>
      </c>
      <c r="I6" s="251" t="s">
        <v>13</v>
      </c>
      <c r="J6" s="103">
        <v>2</v>
      </c>
      <c r="K6" s="103">
        <v>2</v>
      </c>
      <c r="L6" s="103">
        <v>33</v>
      </c>
      <c r="M6" s="123" t="s">
        <v>275</v>
      </c>
      <c r="N6" s="103" t="s">
        <v>739</v>
      </c>
      <c r="O6" s="103"/>
      <c r="P6" s="224" t="s">
        <v>743</v>
      </c>
      <c r="Q6" s="123"/>
      <c r="R6" s="230" t="s">
        <v>755</v>
      </c>
      <c r="S6" s="262">
        <v>45794</v>
      </c>
      <c r="T6" s="262">
        <v>45796</v>
      </c>
      <c r="U6" s="103" t="s">
        <v>743</v>
      </c>
      <c r="V6" s="123"/>
      <c r="W6" s="123" t="s">
        <v>741</v>
      </c>
      <c r="X6" s="262">
        <v>45797</v>
      </c>
      <c r="Y6" s="112"/>
      <c r="Z6" s="103"/>
      <c r="AA6" s="123"/>
      <c r="AB6" s="103" t="s">
        <v>756</v>
      </c>
    </row>
    <row r="7" spans="1:28" ht="35.25" customHeight="1">
      <c r="A7" s="103">
        <v>6</v>
      </c>
      <c r="B7" s="258" t="s">
        <v>731</v>
      </c>
      <c r="C7" s="241">
        <v>45793</v>
      </c>
      <c r="D7" s="241">
        <v>45806</v>
      </c>
      <c r="E7" s="259" t="s">
        <v>117</v>
      </c>
      <c r="F7" s="103" t="s">
        <v>757</v>
      </c>
      <c r="G7" s="231" t="s">
        <v>758</v>
      </c>
      <c r="H7" s="103" t="s">
        <v>759</v>
      </c>
      <c r="I7" s="251" t="s">
        <v>13</v>
      </c>
      <c r="J7" s="103">
        <v>2</v>
      </c>
      <c r="K7" s="103">
        <v>2</v>
      </c>
      <c r="L7" s="103">
        <v>23.75</v>
      </c>
      <c r="M7" s="123" t="s">
        <v>743</v>
      </c>
      <c r="N7" s="103" t="s">
        <v>739</v>
      </c>
      <c r="O7" s="103"/>
      <c r="P7" s="224" t="s">
        <v>275</v>
      </c>
      <c r="Q7" s="123"/>
      <c r="R7" s="230" t="s">
        <v>760</v>
      </c>
      <c r="S7" s="262">
        <v>45798</v>
      </c>
      <c r="T7" s="262">
        <v>45798</v>
      </c>
      <c r="U7" s="103" t="s">
        <v>275</v>
      </c>
      <c r="V7" s="123"/>
      <c r="W7" s="123" t="s">
        <v>741</v>
      </c>
      <c r="X7" s="262">
        <v>45798</v>
      </c>
      <c r="Y7" s="103"/>
      <c r="Z7" s="103"/>
      <c r="AA7" s="103"/>
      <c r="AB7" s="103" t="s">
        <v>761</v>
      </c>
    </row>
    <row r="8" spans="1:28" ht="35.25" customHeight="1">
      <c r="A8" s="103">
        <v>7</v>
      </c>
      <c r="B8" s="258" t="s">
        <v>731</v>
      </c>
      <c r="C8" s="241">
        <v>45793</v>
      </c>
      <c r="D8" s="241">
        <v>45806</v>
      </c>
      <c r="E8" s="259" t="s">
        <v>117</v>
      </c>
      <c r="F8" s="87" t="s">
        <v>757</v>
      </c>
      <c r="G8" s="387" t="s">
        <v>762</v>
      </c>
      <c r="H8" s="194" t="s">
        <v>763</v>
      </c>
      <c r="I8" s="251" t="s">
        <v>13</v>
      </c>
      <c r="J8" s="112">
        <v>2</v>
      </c>
      <c r="K8" s="103">
        <v>2</v>
      </c>
      <c r="L8" s="103">
        <v>38</v>
      </c>
      <c r="M8" s="123" t="s">
        <v>743</v>
      </c>
      <c r="N8" s="103" t="s">
        <v>739</v>
      </c>
      <c r="O8" s="103"/>
      <c r="P8" s="224" t="s">
        <v>275</v>
      </c>
      <c r="Q8" s="123"/>
      <c r="R8" s="388" t="s">
        <v>764</v>
      </c>
      <c r="S8" s="389">
        <v>45799</v>
      </c>
      <c r="T8" s="262">
        <v>45800</v>
      </c>
      <c r="U8" s="112" t="s">
        <v>275</v>
      </c>
      <c r="V8" s="123"/>
      <c r="W8" s="103" t="s">
        <v>765</v>
      </c>
      <c r="X8" s="262">
        <v>45800</v>
      </c>
      <c r="Y8" s="103"/>
      <c r="Z8" s="103"/>
      <c r="AA8" s="123"/>
      <c r="AB8" s="103" t="s">
        <v>761</v>
      </c>
    </row>
    <row r="9" spans="1:28" ht="35.25" customHeight="1">
      <c r="A9" s="103">
        <v>8</v>
      </c>
      <c r="B9" s="261" t="s">
        <v>731</v>
      </c>
      <c r="C9" s="262">
        <v>45793</v>
      </c>
      <c r="D9" s="262">
        <v>45806</v>
      </c>
      <c r="E9" s="265" t="s">
        <v>117</v>
      </c>
      <c r="F9" s="103" t="s">
        <v>766</v>
      </c>
      <c r="G9" s="264" t="s">
        <v>767</v>
      </c>
      <c r="H9" s="123" t="s">
        <v>768</v>
      </c>
      <c r="I9" s="251" t="s">
        <v>13</v>
      </c>
      <c r="J9" s="103">
        <v>5</v>
      </c>
      <c r="K9" s="103">
        <v>5</v>
      </c>
      <c r="L9" s="103">
        <v>41.75</v>
      </c>
      <c r="M9" s="103" t="s">
        <v>275</v>
      </c>
      <c r="N9" s="103" t="s">
        <v>739</v>
      </c>
      <c r="O9" s="103"/>
      <c r="P9" s="224" t="s">
        <v>769</v>
      </c>
      <c r="Q9" s="103"/>
      <c r="R9" s="388" t="s">
        <v>770</v>
      </c>
      <c r="S9" s="241">
        <v>45804</v>
      </c>
      <c r="T9" s="241">
        <v>45806</v>
      </c>
      <c r="U9" s="112" t="s">
        <v>275</v>
      </c>
      <c r="V9" s="123" t="s">
        <v>771</v>
      </c>
      <c r="W9" s="103" t="s">
        <v>765</v>
      </c>
      <c r="X9" s="241">
        <v>45806</v>
      </c>
      <c r="Y9" s="103"/>
      <c r="Z9" s="103"/>
      <c r="AA9" s="123"/>
      <c r="AB9" s="103" t="s">
        <v>772</v>
      </c>
    </row>
    <row r="10" spans="1:28" ht="35.25" customHeight="1">
      <c r="A10" s="87">
        <v>9</v>
      </c>
      <c r="B10" s="244" t="s">
        <v>731</v>
      </c>
      <c r="C10" s="241">
        <v>45793</v>
      </c>
      <c r="D10" s="241">
        <v>45806</v>
      </c>
      <c r="E10" s="242" t="s">
        <v>117</v>
      </c>
      <c r="F10" s="116" t="s">
        <v>743</v>
      </c>
      <c r="G10" s="229" t="s">
        <v>773</v>
      </c>
      <c r="H10" s="141" t="s">
        <v>774</v>
      </c>
      <c r="I10" s="242" t="s">
        <v>13</v>
      </c>
      <c r="J10" s="87">
        <v>2</v>
      </c>
      <c r="K10" s="87">
        <v>2</v>
      </c>
      <c r="L10" s="116">
        <v>20.5</v>
      </c>
      <c r="M10" s="87" t="s">
        <v>743</v>
      </c>
      <c r="N10" s="87" t="s">
        <v>275</v>
      </c>
      <c r="O10" s="87"/>
      <c r="P10" s="198" t="s">
        <v>275</v>
      </c>
      <c r="Q10" s="116"/>
      <c r="R10" s="390" t="s">
        <v>775</v>
      </c>
      <c r="S10" s="241">
        <v>45804</v>
      </c>
      <c r="T10" s="241">
        <v>45805</v>
      </c>
      <c r="U10" s="87" t="s">
        <v>275</v>
      </c>
      <c r="V10" s="391"/>
      <c r="W10" s="87" t="s">
        <v>741</v>
      </c>
      <c r="X10" s="392">
        <v>45805</v>
      </c>
      <c r="Y10" s="141"/>
      <c r="Z10" s="116"/>
      <c r="AA10" s="87"/>
      <c r="AB10" s="87"/>
    </row>
  </sheetData>
  <hyperlinks>
    <hyperlink ref="R4" r:id="rId1" xr:uid="{C42BAB4E-EA7E-438A-BF82-00CAD5C9E294}"/>
    <hyperlink ref="R5" r:id="rId2" xr:uid="{644C1A93-5724-4C45-8672-BEDD4A0195E9}"/>
    <hyperlink ref="R6" r:id="rId3" xr:uid="{E7A78469-2A90-46DC-B947-A02FD5CA0700}"/>
    <hyperlink ref="R7" r:id="rId4" xr:uid="{13DEA1B6-510C-4CEA-877D-56F0594181F9}"/>
    <hyperlink ref="R8" r:id="rId5" xr:uid="{6FE6B0A2-F096-4B13-8997-C3F489E68E40}"/>
    <hyperlink ref="R10" r:id="rId6" xr:uid="{F9C401ED-B87F-43A3-AD21-145D424BE4B8}"/>
    <hyperlink ref="R9" r:id="rId7" xr:uid="{B717430D-B920-4562-B099-3B2823BB6EF8}"/>
    <hyperlink ref="R3" r:id="rId8" xr:uid="{EC828FB8-ED53-4A1C-B740-E3574DD33D2F}"/>
  </hyperlinks>
  <pageMargins left="0" right="0" top="0" bottom="0" header="0" footer="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88F8B-4316-4A29-B70B-F1195B31187C}">
  <sheetPr>
    <outlinePr summaryBelow="0" summaryRight="0"/>
  </sheetPr>
  <dimension ref="A1:O2"/>
  <sheetViews>
    <sheetView topLeftCell="B1" workbookViewId="0">
      <selection activeCell="B6" sqref="B6"/>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9" customWidth="1"/>
    <col min="13" max="13" width="14.140625" style="289" customWidth="1"/>
    <col min="14" max="14" width="30.140625" customWidth="1"/>
    <col min="15" max="15" width="21.7109375" customWidth="1"/>
  </cols>
  <sheetData>
    <row r="1" spans="1:15" ht="13.5">
      <c r="A1" s="334" t="s">
        <v>234</v>
      </c>
      <c r="B1" s="42" t="s">
        <v>11</v>
      </c>
      <c r="C1" s="237" t="s">
        <v>350</v>
      </c>
      <c r="D1" s="237" t="s">
        <v>351</v>
      </c>
      <c r="E1" s="42" t="s">
        <v>236</v>
      </c>
      <c r="F1" s="237" t="s">
        <v>352</v>
      </c>
      <c r="G1" s="237" t="s">
        <v>353</v>
      </c>
      <c r="H1" s="42" t="s">
        <v>354</v>
      </c>
      <c r="I1" s="42" t="s">
        <v>355</v>
      </c>
      <c r="J1" s="42" t="s">
        <v>356</v>
      </c>
      <c r="K1" s="42" t="s">
        <v>239</v>
      </c>
      <c r="L1" s="335" t="s">
        <v>357</v>
      </c>
      <c r="M1" s="214" t="s">
        <v>358</v>
      </c>
      <c r="N1" s="214" t="s">
        <v>621</v>
      </c>
      <c r="O1" s="214" t="s">
        <v>359</v>
      </c>
    </row>
    <row r="2" spans="1:15" s="99" customFormat="1" ht="27.75" customHeight="1">
      <c r="B2" s="242"/>
      <c r="C2" s="357"/>
      <c r="E2" s="358"/>
      <c r="F2" s="382"/>
      <c r="I2" s="382"/>
      <c r="K2" s="382"/>
      <c r="L2" s="109"/>
      <c r="M2" s="109"/>
      <c r="O2" s="87"/>
    </row>
  </sheetData>
  <autoFilter ref="A1:M1" xr:uid="{3A2BB050-11AC-4ED7-A296-96B42C7FCFBA}"/>
  <dataValidations count="5">
    <dataValidation type="list" allowBlank="1" showErrorMessage="1" sqref="I2" xr:uid="{18352605-BF0F-45F9-8DA7-5E20F8CD66A8}">
      <formula1>"Manual, Automation"</formula1>
    </dataValidation>
    <dataValidation type="list" allowBlank="1" showErrorMessage="1" sqref="H2" xr:uid="{79DFF060-CA8E-4050-BB1D-4DD70AA5EF59}">
      <formula1>"Minor,Significant,Major"</formula1>
    </dataValidation>
    <dataValidation type="list" allowBlank="1" showErrorMessage="1" sqref="J2" xr:uid="{1A429A81-9A75-496B-8E3A-3237C83E462F}">
      <formula1>"Internal,External"</formula1>
    </dataValidation>
    <dataValidation type="list" allowBlank="1" showErrorMessage="1" sqref="F2" xr:uid="{6D9FE2FE-DE79-43DD-801E-D2AF02D74FD8}">
      <formula1>"Bounceback/Sub-Defect,Defect,None"</formula1>
    </dataValidation>
    <dataValidation type="list" allowBlank="1" showErrorMessage="1" sqref="K1:K1048576" xr:uid="{2BA18248-D2C5-4A0B-9CEA-F857934C6046}">
      <formula1>"Open,Inprogress,Closed, Rejected"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4FF628BC-036A-4699-B313-F583C98DB28F}">
          <x14:formula1>
            <xm:f>Details!$A$2:$A$10</xm:f>
          </x14:formula1>
          <xm:sqref>L2</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4EC9-7663-4FCF-8BAE-1DC99BB9FC3F}">
  <sheetPr>
    <outlinePr summaryBelow="0" summaryRight="0"/>
  </sheetPr>
  <dimension ref="A1:AK11"/>
  <sheetViews>
    <sheetView showGridLines="0" workbookViewId="0">
      <pane ySplit="1" topLeftCell="O2" activePane="bottomLeft" state="frozen"/>
      <selection pane="bottomLeft" activeCell="AA12" sqref="AA12"/>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16.8554687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9.7109375" style="43" customWidth="1"/>
    <col min="29" max="16384" width="12.5703125" style="43"/>
  </cols>
  <sheetData>
    <row r="1" spans="1:37" customFormat="1" ht="36.75" customHeight="1">
      <c r="A1" s="245" t="s">
        <v>234</v>
      </c>
      <c r="B1" s="57" t="s">
        <v>4</v>
      </c>
      <c r="C1" s="57" t="s">
        <v>2</v>
      </c>
      <c r="D1" s="57" t="s">
        <v>3</v>
      </c>
      <c r="E1" s="246" t="s">
        <v>235</v>
      </c>
      <c r="F1" s="247" t="s">
        <v>236</v>
      </c>
      <c r="G1" s="248" t="s">
        <v>515</v>
      </c>
      <c r="H1" s="246" t="s">
        <v>238</v>
      </c>
      <c r="I1" s="246"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6" t="s">
        <v>255</v>
      </c>
      <c r="X1" s="248" t="s">
        <v>256</v>
      </c>
      <c r="Y1" s="248" t="s">
        <v>487</v>
      </c>
      <c r="Z1" s="248" t="s">
        <v>465</v>
      </c>
      <c r="AA1" s="248" t="s">
        <v>466</v>
      </c>
      <c r="AB1" s="249" t="s">
        <v>260</v>
      </c>
    </row>
    <row r="2" spans="1:37" ht="42" customHeight="1">
      <c r="A2" s="103">
        <v>1</v>
      </c>
      <c r="B2" s="244" t="s">
        <v>731</v>
      </c>
      <c r="C2" s="241">
        <v>45779</v>
      </c>
      <c r="D2" s="241">
        <v>45792</v>
      </c>
      <c r="E2" s="251" t="s">
        <v>113</v>
      </c>
      <c r="F2" s="251" t="s">
        <v>738</v>
      </c>
      <c r="G2" s="231" t="s">
        <v>776</v>
      </c>
      <c r="H2" s="265" t="s">
        <v>777</v>
      </c>
      <c r="I2" s="251" t="s">
        <v>13</v>
      </c>
      <c r="J2" s="269">
        <v>1</v>
      </c>
      <c r="K2" s="88">
        <v>1</v>
      </c>
      <c r="L2" s="88">
        <v>15</v>
      </c>
      <c r="M2" s="88" t="s">
        <v>738</v>
      </c>
      <c r="N2" s="88" t="s">
        <v>739</v>
      </c>
      <c r="O2" s="88"/>
      <c r="P2" s="88"/>
      <c r="Q2" s="88"/>
      <c r="R2" s="230" t="s">
        <v>778</v>
      </c>
      <c r="S2" s="262">
        <v>45779</v>
      </c>
      <c r="T2" s="262">
        <v>45779</v>
      </c>
      <c r="U2" s="88" t="s">
        <v>275</v>
      </c>
      <c r="V2" s="273"/>
      <c r="W2" s="88" t="s">
        <v>741</v>
      </c>
      <c r="X2" s="262">
        <v>45780</v>
      </c>
      <c r="Y2" s="88"/>
      <c r="Z2" s="88"/>
      <c r="AA2" s="273"/>
      <c r="AB2" s="349" t="s">
        <v>779</v>
      </c>
    </row>
    <row r="3" spans="1:37" ht="39" customHeight="1">
      <c r="A3" s="103">
        <v>2</v>
      </c>
      <c r="B3" s="244" t="s">
        <v>731</v>
      </c>
      <c r="C3" s="241">
        <v>45779</v>
      </c>
      <c r="D3" s="372">
        <v>45792</v>
      </c>
      <c r="E3" s="87" t="s">
        <v>113</v>
      </c>
      <c r="F3" s="355" t="s">
        <v>738</v>
      </c>
      <c r="G3" s="231" t="s">
        <v>780</v>
      </c>
      <c r="H3" s="355" t="s">
        <v>781</v>
      </c>
      <c r="I3" s="251" t="s">
        <v>13</v>
      </c>
      <c r="J3" s="369">
        <v>1</v>
      </c>
      <c r="K3" s="88">
        <v>1</v>
      </c>
      <c r="L3" s="269">
        <v>34.5</v>
      </c>
      <c r="M3" s="88" t="s">
        <v>738</v>
      </c>
      <c r="N3" s="88" t="s">
        <v>739</v>
      </c>
      <c r="O3" s="88"/>
      <c r="P3" s="88"/>
      <c r="Q3" s="88"/>
      <c r="R3" s="230" t="s">
        <v>782</v>
      </c>
      <c r="S3" s="262">
        <v>45779</v>
      </c>
      <c r="T3" s="262">
        <v>45783</v>
      </c>
      <c r="U3" s="88" t="s">
        <v>275</v>
      </c>
      <c r="V3" s="273"/>
      <c r="W3" s="88" t="s">
        <v>783</v>
      </c>
      <c r="X3" s="371">
        <v>45784</v>
      </c>
      <c r="Y3" s="88"/>
      <c r="Z3" s="88"/>
      <c r="AA3" s="273"/>
      <c r="AB3" s="349" t="s">
        <v>784</v>
      </c>
    </row>
    <row r="4" spans="1:37" ht="39" customHeight="1">
      <c r="A4" s="103">
        <v>3</v>
      </c>
      <c r="B4" s="258" t="s">
        <v>731</v>
      </c>
      <c r="C4" s="241">
        <v>45779</v>
      </c>
      <c r="D4" s="241">
        <v>45792</v>
      </c>
      <c r="E4" s="43" t="s">
        <v>113</v>
      </c>
      <c r="F4" s="265" t="s">
        <v>738</v>
      </c>
      <c r="G4" s="231" t="s">
        <v>785</v>
      </c>
      <c r="H4" s="355" t="s">
        <v>786</v>
      </c>
      <c r="I4" s="251" t="s">
        <v>13</v>
      </c>
      <c r="J4" s="369">
        <v>2</v>
      </c>
      <c r="K4" s="88">
        <v>2</v>
      </c>
      <c r="L4" s="269">
        <v>10.25</v>
      </c>
      <c r="M4" s="88" t="s">
        <v>738</v>
      </c>
      <c r="N4" s="88" t="s">
        <v>275</v>
      </c>
      <c r="O4" s="88"/>
      <c r="P4" s="88"/>
      <c r="Q4" s="88"/>
      <c r="R4" s="230" t="s">
        <v>787</v>
      </c>
      <c r="S4" s="262">
        <v>45784</v>
      </c>
      <c r="T4" s="262">
        <v>45785</v>
      </c>
      <c r="U4" s="88" t="s">
        <v>275</v>
      </c>
      <c r="V4" s="273"/>
      <c r="W4" s="88" t="s">
        <v>741</v>
      </c>
      <c r="X4" s="371">
        <v>45785</v>
      </c>
      <c r="Y4" s="88"/>
      <c r="Z4" s="88"/>
      <c r="AA4" s="273"/>
      <c r="AB4" s="349" t="s">
        <v>788</v>
      </c>
    </row>
    <row r="5" spans="1:37" ht="39" customHeight="1">
      <c r="A5" s="103">
        <v>4</v>
      </c>
      <c r="B5" s="258" t="s">
        <v>731</v>
      </c>
      <c r="C5" s="241">
        <v>45779</v>
      </c>
      <c r="D5" s="241">
        <v>45792</v>
      </c>
      <c r="E5" s="242" t="s">
        <v>113</v>
      </c>
      <c r="F5" s="265" t="s">
        <v>766</v>
      </c>
      <c r="G5" s="231" t="s">
        <v>789</v>
      </c>
      <c r="H5" s="355" t="s">
        <v>790</v>
      </c>
      <c r="I5" s="251" t="s">
        <v>13</v>
      </c>
      <c r="J5" s="369">
        <v>2</v>
      </c>
      <c r="K5" s="273">
        <v>2</v>
      </c>
      <c r="L5" s="16">
        <v>18</v>
      </c>
      <c r="M5" s="269" t="s">
        <v>743</v>
      </c>
      <c r="N5" s="88" t="s">
        <v>275</v>
      </c>
      <c r="O5" s="88"/>
      <c r="P5" s="88"/>
      <c r="Q5" s="88"/>
      <c r="R5" s="230" t="s">
        <v>791</v>
      </c>
      <c r="S5" s="262">
        <v>45785</v>
      </c>
      <c r="T5" s="262">
        <v>45786</v>
      </c>
      <c r="U5" s="88" t="s">
        <v>275</v>
      </c>
      <c r="V5" s="273"/>
      <c r="W5" s="16" t="s">
        <v>741</v>
      </c>
      <c r="X5" s="262">
        <v>45786</v>
      </c>
      <c r="Y5" s="88"/>
      <c r="Z5" s="88"/>
      <c r="AA5" s="273"/>
      <c r="AB5" s="373" t="s">
        <v>792</v>
      </c>
    </row>
    <row r="6" spans="1:37" ht="35.25" customHeight="1">
      <c r="A6" s="103">
        <v>5</v>
      </c>
      <c r="B6" s="261" t="s">
        <v>731</v>
      </c>
      <c r="C6" s="262">
        <v>45779</v>
      </c>
      <c r="D6" s="262">
        <v>45792</v>
      </c>
      <c r="E6" s="251" t="s">
        <v>113</v>
      </c>
      <c r="F6" s="268" t="s">
        <v>743</v>
      </c>
      <c r="G6" s="231" t="s">
        <v>793</v>
      </c>
      <c r="H6" s="370" t="s">
        <v>794</v>
      </c>
      <c r="I6" s="251" t="s">
        <v>13</v>
      </c>
      <c r="J6" s="269">
        <v>2</v>
      </c>
      <c r="K6" s="269">
        <v>2</v>
      </c>
      <c r="L6" s="333">
        <v>35</v>
      </c>
      <c r="M6" s="269" t="s">
        <v>743</v>
      </c>
      <c r="N6" s="88" t="s">
        <v>739</v>
      </c>
      <c r="O6" s="88"/>
      <c r="P6" s="88"/>
      <c r="Q6" s="88"/>
      <c r="R6" s="230" t="s">
        <v>795</v>
      </c>
      <c r="S6" s="262">
        <v>45782</v>
      </c>
      <c r="T6" s="262">
        <v>45783</v>
      </c>
      <c r="U6" s="88" t="s">
        <v>275</v>
      </c>
      <c r="V6" s="88"/>
      <c r="W6" s="88" t="s">
        <v>741</v>
      </c>
      <c r="X6" s="262">
        <v>45783</v>
      </c>
      <c r="Y6" s="88"/>
      <c r="Z6" s="88"/>
      <c r="AA6" s="273"/>
      <c r="AB6" s="376" t="s">
        <v>796</v>
      </c>
    </row>
    <row r="7" spans="1:37" s="87" customFormat="1" ht="35.25" customHeight="1">
      <c r="A7" s="103">
        <v>6</v>
      </c>
      <c r="B7" s="244" t="s">
        <v>731</v>
      </c>
      <c r="C7" s="241">
        <v>45779</v>
      </c>
      <c r="D7" s="241">
        <v>45792</v>
      </c>
      <c r="E7" s="242" t="s">
        <v>113</v>
      </c>
      <c r="F7" s="49" t="s">
        <v>743</v>
      </c>
      <c r="G7" s="229" t="s">
        <v>797</v>
      </c>
      <c r="H7" s="350" t="s">
        <v>798</v>
      </c>
      <c r="I7" s="251" t="s">
        <v>13</v>
      </c>
      <c r="J7" s="88">
        <v>5</v>
      </c>
      <c r="K7" s="88">
        <v>5</v>
      </c>
      <c r="L7" s="88">
        <v>49.5</v>
      </c>
      <c r="M7" s="88" t="s">
        <v>743</v>
      </c>
      <c r="N7" s="88" t="s">
        <v>275</v>
      </c>
      <c r="O7" s="88"/>
      <c r="P7" s="88"/>
      <c r="Q7" s="88"/>
      <c r="R7" s="230" t="s">
        <v>799</v>
      </c>
      <c r="S7" s="262">
        <v>45785</v>
      </c>
      <c r="T7" s="262">
        <v>45787</v>
      </c>
      <c r="U7" s="88" t="s">
        <v>275</v>
      </c>
      <c r="V7" s="88"/>
      <c r="W7" s="88" t="s">
        <v>741</v>
      </c>
      <c r="X7" s="262">
        <v>45789</v>
      </c>
      <c r="Y7" s="88"/>
      <c r="Z7" s="88"/>
      <c r="AA7" s="273"/>
      <c r="AB7" s="347" t="s">
        <v>800</v>
      </c>
      <c r="AC7" s="43"/>
      <c r="AD7" s="43"/>
      <c r="AE7" s="43"/>
      <c r="AF7" s="43"/>
      <c r="AG7" s="43"/>
      <c r="AH7" s="43"/>
      <c r="AI7" s="43"/>
      <c r="AJ7" s="43"/>
      <c r="AK7" s="141"/>
    </row>
    <row r="8" spans="1:37" ht="35.25" customHeight="1">
      <c r="A8" s="103">
        <v>7</v>
      </c>
      <c r="B8" s="261" t="s">
        <v>731</v>
      </c>
      <c r="C8" s="262">
        <v>45779</v>
      </c>
      <c r="D8" s="262">
        <v>45792</v>
      </c>
      <c r="E8" s="242" t="s">
        <v>801</v>
      </c>
      <c r="F8" s="122" t="s">
        <v>275</v>
      </c>
      <c r="G8" s="374" t="s">
        <v>802</v>
      </c>
      <c r="H8" s="375" t="s">
        <v>803</v>
      </c>
      <c r="I8" s="375" t="s">
        <v>13</v>
      </c>
      <c r="J8" s="273">
        <v>2</v>
      </c>
      <c r="K8" s="273">
        <v>2</v>
      </c>
      <c r="L8" s="273">
        <v>19</v>
      </c>
      <c r="M8" s="273" t="s">
        <v>275</v>
      </c>
      <c r="N8" s="273" t="s">
        <v>804</v>
      </c>
      <c r="O8" s="273"/>
      <c r="P8" s="273"/>
      <c r="Q8" s="273"/>
      <c r="R8" s="273" t="s">
        <v>93</v>
      </c>
      <c r="S8" s="273" t="s">
        <v>93</v>
      </c>
      <c r="T8" s="273" t="s">
        <v>93</v>
      </c>
      <c r="U8" s="273" t="s">
        <v>93</v>
      </c>
      <c r="V8" s="273"/>
      <c r="W8" s="273" t="s">
        <v>93</v>
      </c>
      <c r="X8" s="88" t="s">
        <v>93</v>
      </c>
      <c r="Y8" s="88"/>
      <c r="Z8" s="88"/>
      <c r="AA8" s="273"/>
      <c r="AB8" s="343"/>
    </row>
    <row r="9" spans="1:37" ht="35.25" customHeight="1">
      <c r="A9" s="103">
        <v>8</v>
      </c>
      <c r="B9" s="261" t="s">
        <v>731</v>
      </c>
      <c r="C9" s="262">
        <v>45779</v>
      </c>
      <c r="D9" s="262">
        <v>45792</v>
      </c>
      <c r="E9" s="251" t="s">
        <v>113</v>
      </c>
      <c r="F9" s="265" t="s">
        <v>275</v>
      </c>
      <c r="G9" s="231" t="s">
        <v>732</v>
      </c>
      <c r="H9" s="377" t="s">
        <v>733</v>
      </c>
      <c r="I9" s="251" t="s">
        <v>263</v>
      </c>
      <c r="J9" s="88">
        <v>3</v>
      </c>
      <c r="K9" s="88">
        <v>0</v>
      </c>
      <c r="L9" s="88">
        <v>50.5</v>
      </c>
      <c r="M9" s="273"/>
      <c r="N9" s="88"/>
      <c r="O9" s="88"/>
      <c r="P9" s="88"/>
      <c r="Q9" s="273"/>
      <c r="R9" s="230"/>
      <c r="S9" s="351"/>
      <c r="T9" s="351"/>
      <c r="U9" s="88"/>
      <c r="V9" s="88"/>
      <c r="W9" s="273"/>
      <c r="X9" s="351"/>
      <c r="Y9" s="88"/>
      <c r="Z9" s="88"/>
      <c r="AA9" s="88"/>
      <c r="AB9" s="378" t="s">
        <v>805</v>
      </c>
    </row>
    <row r="10" spans="1:37" ht="35.25" customHeight="1">
      <c r="A10" s="87">
        <v>9</v>
      </c>
      <c r="B10" s="244" t="s">
        <v>731</v>
      </c>
      <c r="C10" s="241">
        <v>45779</v>
      </c>
      <c r="D10" s="241">
        <v>45792</v>
      </c>
      <c r="E10" s="242" t="s">
        <v>113</v>
      </c>
      <c r="F10" s="87" t="s">
        <v>735</v>
      </c>
      <c r="G10" s="229" t="s">
        <v>736</v>
      </c>
      <c r="H10" s="87" t="s">
        <v>737</v>
      </c>
      <c r="I10" s="242" t="s">
        <v>263</v>
      </c>
      <c r="J10" s="87">
        <v>3</v>
      </c>
      <c r="K10" s="87">
        <v>0</v>
      </c>
      <c r="L10" s="87">
        <v>64.5</v>
      </c>
      <c r="M10" s="87"/>
      <c r="N10" s="87"/>
      <c r="O10" s="87"/>
      <c r="P10" s="198"/>
      <c r="Q10" s="87"/>
      <c r="R10" s="87"/>
      <c r="S10" s="87"/>
      <c r="T10" s="87"/>
      <c r="U10" s="87"/>
      <c r="V10" s="87"/>
      <c r="W10" s="87"/>
      <c r="X10" s="87"/>
      <c r="Y10" s="87"/>
      <c r="Z10" s="87"/>
      <c r="AA10" s="87"/>
      <c r="AB10" s="384" t="s">
        <v>806</v>
      </c>
    </row>
    <row r="11" spans="1:37" ht="35.25" customHeight="1">
      <c r="A11" s="87">
        <v>10</v>
      </c>
      <c r="B11" s="244" t="s">
        <v>731</v>
      </c>
      <c r="C11" s="241">
        <v>45779</v>
      </c>
      <c r="D11" s="241">
        <v>45792</v>
      </c>
      <c r="E11" s="242" t="s">
        <v>113</v>
      </c>
      <c r="F11" s="49" t="s">
        <v>807</v>
      </c>
      <c r="G11" s="140" t="s">
        <v>808</v>
      </c>
      <c r="H11" s="79" t="s">
        <v>809</v>
      </c>
      <c r="I11" s="79" t="s">
        <v>13</v>
      </c>
      <c r="J11" s="16">
        <v>1</v>
      </c>
      <c r="K11" s="16">
        <v>1</v>
      </c>
      <c r="L11" s="16">
        <v>29</v>
      </c>
      <c r="M11" s="16" t="s">
        <v>93</v>
      </c>
      <c r="N11" s="16" t="s">
        <v>93</v>
      </c>
      <c r="O11" s="16" t="s">
        <v>93</v>
      </c>
      <c r="P11" s="16" t="s">
        <v>93</v>
      </c>
      <c r="Q11" s="16" t="s">
        <v>93</v>
      </c>
      <c r="R11" s="16" t="s">
        <v>93</v>
      </c>
      <c r="S11" s="16" t="s">
        <v>93</v>
      </c>
      <c r="T11" s="16" t="s">
        <v>93</v>
      </c>
      <c r="U11" s="16" t="s">
        <v>93</v>
      </c>
      <c r="V11" s="16" t="s">
        <v>93</v>
      </c>
      <c r="W11" s="16" t="s">
        <v>93</v>
      </c>
      <c r="X11" s="16" t="s">
        <v>93</v>
      </c>
      <c r="Y11" s="16" t="s">
        <v>93</v>
      </c>
      <c r="Z11" s="16" t="s">
        <v>93</v>
      </c>
      <c r="AA11" s="87" t="s">
        <v>93</v>
      </c>
      <c r="AB11" s="87" t="s">
        <v>810</v>
      </c>
    </row>
  </sheetData>
  <hyperlinks>
    <hyperlink ref="R6" r:id="rId1" xr:uid="{B0AF20EC-D34A-4554-B47C-F8D35A435AB5}"/>
    <hyperlink ref="R2" r:id="rId2" xr:uid="{1C19E6EA-CD33-4D6E-A56F-157AC43E27AD}"/>
    <hyperlink ref="R3" r:id="rId3" xr:uid="{742FC957-454A-4BA1-8E09-2183ABE3E477}"/>
    <hyperlink ref="R4" r:id="rId4" xr:uid="{3FBD08CF-9D9B-475A-ABCC-A02EE236751F}"/>
    <hyperlink ref="R5" r:id="rId5" xr:uid="{5A27994E-E89D-4CBB-AF70-6B31B84FE12D}"/>
    <hyperlink ref="R7" r:id="rId6" xr:uid="{BC446442-B72E-47BF-AE8C-D7F50285B4E2}"/>
    <hyperlink ref="G11" r:id="rId7" display="https://greatergiving.atlassian.net/browse/GGO-14619" xr:uid="{EB98FA76-FEDB-41B0-9639-A5DDD1BF996E}"/>
  </hyperlinks>
  <pageMargins left="0" right="0" top="0" bottom="0" header="0" footer="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52D8B-7D5C-4BF8-9B15-272C2B74FBB0}">
  <sheetPr>
    <outlinePr summaryBelow="0" summaryRight="0"/>
  </sheetPr>
  <dimension ref="A1:O3"/>
  <sheetViews>
    <sheetView topLeftCell="B1" workbookViewId="0">
      <selection activeCell="K2" sqref="K2"/>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9" customWidth="1"/>
    <col min="13" max="13" width="14.140625" style="289" customWidth="1"/>
    <col min="14" max="14" width="30.140625" customWidth="1"/>
    <col min="15" max="15" width="40.5703125" customWidth="1"/>
  </cols>
  <sheetData>
    <row r="1" spans="1:15" ht="13.5">
      <c r="A1" s="334" t="s">
        <v>234</v>
      </c>
      <c r="B1" s="42" t="s">
        <v>11</v>
      </c>
      <c r="C1" s="237" t="s">
        <v>350</v>
      </c>
      <c r="D1" s="237" t="s">
        <v>351</v>
      </c>
      <c r="E1" s="42" t="s">
        <v>236</v>
      </c>
      <c r="F1" s="237" t="s">
        <v>352</v>
      </c>
      <c r="G1" s="237" t="s">
        <v>353</v>
      </c>
      <c r="H1" s="42" t="s">
        <v>354</v>
      </c>
      <c r="I1" s="42" t="s">
        <v>355</v>
      </c>
      <c r="J1" s="42" t="s">
        <v>356</v>
      </c>
      <c r="K1" s="42" t="s">
        <v>239</v>
      </c>
      <c r="L1" s="335" t="s">
        <v>357</v>
      </c>
      <c r="M1" s="214" t="s">
        <v>358</v>
      </c>
      <c r="N1" s="214" t="s">
        <v>621</v>
      </c>
      <c r="O1" s="214" t="s">
        <v>359</v>
      </c>
    </row>
    <row r="2" spans="1:15" s="99" customFormat="1" ht="220.5" customHeight="1">
      <c r="B2" s="242" t="s">
        <v>113</v>
      </c>
      <c r="C2" s="99" t="s">
        <v>802</v>
      </c>
      <c r="D2" s="99" t="s">
        <v>811</v>
      </c>
      <c r="E2" s="99" t="s">
        <v>275</v>
      </c>
      <c r="F2" s="382" t="s">
        <v>623</v>
      </c>
      <c r="G2" s="99" t="s">
        <v>803</v>
      </c>
      <c r="H2" s="99" t="s">
        <v>625</v>
      </c>
      <c r="I2" s="382" t="s">
        <v>626</v>
      </c>
      <c r="J2" s="99" t="s">
        <v>627</v>
      </c>
      <c r="K2" s="382" t="s">
        <v>812</v>
      </c>
      <c r="L2" s="109" t="s">
        <v>629</v>
      </c>
      <c r="M2" s="109" t="s">
        <v>630</v>
      </c>
      <c r="N2" s="87" t="s">
        <v>813</v>
      </c>
      <c r="O2" s="87" t="s">
        <v>814</v>
      </c>
    </row>
    <row r="3" spans="1:15" ht="15" customHeight="1">
      <c r="D3" s="99"/>
    </row>
  </sheetData>
  <autoFilter ref="A1:M1" xr:uid="{3A2BB050-11AC-4ED7-A296-96B42C7FCFBA}"/>
  <dataValidations count="5">
    <dataValidation type="list" allowBlank="1" showErrorMessage="1" sqref="K1:K1048576" xr:uid="{F17D880E-1E6E-4A13-93B0-B18270E29484}">
      <formula1>"Open,Inprogress,Closed, Rejected"</formula1>
    </dataValidation>
    <dataValidation type="list" allowBlank="1" showErrorMessage="1" sqref="F2" xr:uid="{113BF9C4-7EF2-4A9B-B3C4-BFAE0AFFD970}">
      <formula1>"Bounceback/Sub-Defect,Defect,None"</formula1>
    </dataValidation>
    <dataValidation type="list" allowBlank="1" showErrorMessage="1" sqref="J2" xr:uid="{960C7CE3-730D-4E3D-96CB-E6198C140141}">
      <formula1>"Internal,External"</formula1>
    </dataValidation>
    <dataValidation type="list" allowBlank="1" showErrorMessage="1" sqref="H2" xr:uid="{2EE1F353-005F-4E4F-A512-5EE8C48E2EAE}">
      <formula1>"Minor,Significant,Major"</formula1>
    </dataValidation>
    <dataValidation type="list" allowBlank="1" showErrorMessage="1" sqref="I2" xr:uid="{135E2024-C63A-4698-94AE-3E30132F3A41}">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333F8AA0-CDAD-4FBC-9551-626C2676D7DA}">
          <x14:formula1>
            <xm:f>Details!$A$2:$A$10</xm:f>
          </x14:formula1>
          <xm:sqref>L2</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FD89-14D4-43E6-BE11-7781ECD87390}">
  <sheetPr>
    <outlinePr summaryBelow="0" summaryRight="0"/>
  </sheetPr>
  <dimension ref="A1:AB14"/>
  <sheetViews>
    <sheetView showGridLines="0" workbookViewId="0">
      <pane xSplit="7" topLeftCell="H1" activePane="topRight" state="frozen"/>
      <selection pane="topRight" activeCell="E10" sqref="E10"/>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16.85546875" style="43" customWidth="1"/>
    <col min="7" max="7" width="25.14062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3.28515625" style="43" customWidth="1"/>
    <col min="29" max="16384" width="12.5703125" style="43"/>
  </cols>
  <sheetData>
    <row r="1" spans="1:28" customFormat="1" ht="36.75" customHeight="1">
      <c r="A1" s="245" t="s">
        <v>234</v>
      </c>
      <c r="B1" s="57" t="s">
        <v>4</v>
      </c>
      <c r="C1" s="57" t="s">
        <v>2</v>
      </c>
      <c r="D1" s="57" t="s">
        <v>3</v>
      </c>
      <c r="E1" s="246" t="s">
        <v>235</v>
      </c>
      <c r="F1" s="247" t="s">
        <v>236</v>
      </c>
      <c r="G1" s="248" t="s">
        <v>515</v>
      </c>
      <c r="H1" s="246" t="s">
        <v>238</v>
      </c>
      <c r="I1" s="246"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6" t="s">
        <v>255</v>
      </c>
      <c r="X1" s="248" t="s">
        <v>256</v>
      </c>
      <c r="Y1" s="248" t="s">
        <v>487</v>
      </c>
      <c r="Z1" s="248" t="s">
        <v>465</v>
      </c>
      <c r="AA1" s="248" t="s">
        <v>466</v>
      </c>
      <c r="AB1" s="249" t="s">
        <v>260</v>
      </c>
    </row>
    <row r="2" spans="1:28" ht="42" customHeight="1">
      <c r="A2" s="103">
        <v>1</v>
      </c>
      <c r="B2" s="244" t="s">
        <v>731</v>
      </c>
      <c r="C2" s="241">
        <v>45764</v>
      </c>
      <c r="D2" s="241">
        <v>45778</v>
      </c>
      <c r="E2" s="242" t="s">
        <v>108</v>
      </c>
      <c r="F2" s="251" t="s">
        <v>743</v>
      </c>
      <c r="G2" s="251" t="s">
        <v>815</v>
      </c>
      <c r="H2" s="265" t="s">
        <v>816</v>
      </c>
      <c r="I2" s="251" t="s">
        <v>13</v>
      </c>
      <c r="J2" s="269">
        <v>3</v>
      </c>
      <c r="K2" s="88">
        <v>3</v>
      </c>
      <c r="L2" s="88">
        <v>23.5</v>
      </c>
      <c r="M2" s="88"/>
      <c r="N2" s="88"/>
      <c r="O2" s="88"/>
      <c r="P2" s="88"/>
      <c r="Q2" s="88"/>
      <c r="R2" s="230"/>
      <c r="S2" s="351"/>
      <c r="T2" s="351"/>
      <c r="U2" s="88"/>
      <c r="V2" s="273"/>
      <c r="W2" s="16"/>
      <c r="X2" s="361"/>
      <c r="Y2" s="88"/>
      <c r="Z2" s="88"/>
      <c r="AA2" s="273"/>
      <c r="AB2" s="349"/>
    </row>
    <row r="3" spans="1:28" ht="33" customHeight="1">
      <c r="A3" s="103">
        <v>2</v>
      </c>
      <c r="B3" s="244" t="s">
        <v>731</v>
      </c>
      <c r="C3" s="241">
        <v>45764</v>
      </c>
      <c r="D3" s="241">
        <v>45778</v>
      </c>
      <c r="E3" s="242" t="s">
        <v>108</v>
      </c>
      <c r="F3" s="251" t="s">
        <v>817</v>
      </c>
      <c r="G3" s="251" t="s">
        <v>818</v>
      </c>
      <c r="H3" s="16" t="s">
        <v>819</v>
      </c>
      <c r="I3" s="242" t="s">
        <v>13</v>
      </c>
      <c r="J3" s="269">
        <v>1</v>
      </c>
      <c r="K3" s="88">
        <v>1</v>
      </c>
      <c r="L3" s="88">
        <v>14.5</v>
      </c>
      <c r="M3" s="88"/>
      <c r="N3" s="88"/>
      <c r="O3" s="88"/>
      <c r="P3" s="88"/>
      <c r="Q3" s="88"/>
      <c r="R3" s="230"/>
      <c r="S3" s="351"/>
      <c r="T3" s="351"/>
      <c r="U3" s="88"/>
      <c r="V3" s="88"/>
      <c r="W3" s="333"/>
      <c r="X3" s="351"/>
      <c r="Y3" s="88"/>
      <c r="Z3" s="88"/>
      <c r="AA3" s="273"/>
      <c r="AB3" s="349" t="s">
        <v>820</v>
      </c>
    </row>
    <row r="4" spans="1:28" ht="42" customHeight="1">
      <c r="A4" s="103">
        <v>3</v>
      </c>
      <c r="B4" s="244" t="s">
        <v>731</v>
      </c>
      <c r="C4" s="241">
        <v>45764</v>
      </c>
      <c r="D4" s="241">
        <v>45778</v>
      </c>
      <c r="E4" s="242" t="s">
        <v>108</v>
      </c>
      <c r="F4" s="251" t="s">
        <v>275</v>
      </c>
      <c r="G4" s="251" t="s">
        <v>821</v>
      </c>
      <c r="H4" s="265" t="s">
        <v>822</v>
      </c>
      <c r="I4" s="242" t="s">
        <v>13</v>
      </c>
      <c r="J4" s="269">
        <v>2</v>
      </c>
      <c r="K4" s="88">
        <v>2</v>
      </c>
      <c r="L4" s="88">
        <v>19.5</v>
      </c>
      <c r="M4" s="88" t="s">
        <v>275</v>
      </c>
      <c r="N4" s="88" t="s">
        <v>823</v>
      </c>
      <c r="O4" s="88"/>
      <c r="P4" s="88"/>
      <c r="Q4" s="88"/>
      <c r="R4" s="230" t="s">
        <v>824</v>
      </c>
      <c r="S4" s="351">
        <v>45770</v>
      </c>
      <c r="T4" s="351">
        <v>45770</v>
      </c>
      <c r="U4" s="88" t="s">
        <v>275</v>
      </c>
      <c r="V4" s="273"/>
      <c r="W4" s="16" t="s">
        <v>825</v>
      </c>
      <c r="X4" s="361">
        <v>45770</v>
      </c>
      <c r="Y4" s="88"/>
      <c r="Z4" s="88"/>
      <c r="AA4" s="273"/>
      <c r="AB4" s="349" t="s">
        <v>826</v>
      </c>
    </row>
    <row r="5" spans="1:28" ht="39" customHeight="1">
      <c r="A5" s="103">
        <v>4</v>
      </c>
      <c r="B5" s="244" t="s">
        <v>731</v>
      </c>
      <c r="C5" s="241">
        <v>45764</v>
      </c>
      <c r="D5" s="241">
        <v>45778</v>
      </c>
      <c r="E5" s="242" t="s">
        <v>108</v>
      </c>
      <c r="F5" s="265" t="s">
        <v>746</v>
      </c>
      <c r="G5" s="354" t="s">
        <v>827</v>
      </c>
      <c r="H5" s="355" t="s">
        <v>828</v>
      </c>
      <c r="I5" s="242" t="s">
        <v>13</v>
      </c>
      <c r="J5" s="269">
        <v>2</v>
      </c>
      <c r="K5" s="88">
        <v>2</v>
      </c>
      <c r="L5" s="88">
        <v>34.5</v>
      </c>
      <c r="M5" s="88" t="s">
        <v>738</v>
      </c>
      <c r="N5" s="88" t="s">
        <v>829</v>
      </c>
      <c r="O5" s="88"/>
      <c r="P5" s="88"/>
      <c r="Q5" s="88"/>
      <c r="R5" s="230" t="s">
        <v>830</v>
      </c>
      <c r="S5" s="351">
        <v>45771</v>
      </c>
      <c r="T5" s="351">
        <v>45775</v>
      </c>
      <c r="U5" s="88" t="s">
        <v>275</v>
      </c>
      <c r="V5" s="273"/>
      <c r="W5" s="333" t="s">
        <v>783</v>
      </c>
      <c r="X5" s="361">
        <v>45775</v>
      </c>
      <c r="Y5" s="88"/>
      <c r="Z5" s="88"/>
      <c r="AA5" s="273"/>
      <c r="AB5" s="349"/>
    </row>
    <row r="6" spans="1:28" ht="39" customHeight="1">
      <c r="A6" s="103">
        <v>5</v>
      </c>
      <c r="B6" s="244" t="s">
        <v>731</v>
      </c>
      <c r="C6" s="241">
        <v>45764</v>
      </c>
      <c r="D6" s="241">
        <v>45778</v>
      </c>
      <c r="E6" s="242" t="s">
        <v>831</v>
      </c>
      <c r="F6" s="265" t="s">
        <v>746</v>
      </c>
      <c r="G6" s="354" t="s">
        <v>832</v>
      </c>
      <c r="H6" s="355" t="s">
        <v>833</v>
      </c>
      <c r="I6" s="251" t="s">
        <v>13</v>
      </c>
      <c r="J6" s="269">
        <v>1</v>
      </c>
      <c r="K6" s="88">
        <v>1</v>
      </c>
      <c r="L6" s="88">
        <v>14</v>
      </c>
      <c r="M6" s="88" t="s">
        <v>738</v>
      </c>
      <c r="N6" s="88" t="s">
        <v>829</v>
      </c>
      <c r="O6" s="88"/>
      <c r="P6" s="88"/>
      <c r="Q6" s="88"/>
      <c r="R6" s="230" t="s">
        <v>834</v>
      </c>
      <c r="S6" s="351">
        <v>45772</v>
      </c>
      <c r="T6" s="351">
        <v>45775</v>
      </c>
      <c r="U6" s="88" t="s">
        <v>275</v>
      </c>
      <c r="V6" s="273"/>
      <c r="W6" s="333" t="s">
        <v>741</v>
      </c>
      <c r="X6" s="361">
        <v>45775</v>
      </c>
      <c r="Y6" s="88"/>
      <c r="Z6" s="88"/>
      <c r="AA6" s="273"/>
      <c r="AB6" s="349" t="s">
        <v>835</v>
      </c>
    </row>
    <row r="7" spans="1:28" ht="39" customHeight="1">
      <c r="A7" s="103">
        <v>6</v>
      </c>
      <c r="B7" s="244" t="s">
        <v>731</v>
      </c>
      <c r="C7" s="241">
        <v>45764</v>
      </c>
      <c r="D7" s="241">
        <v>45778</v>
      </c>
      <c r="E7" s="242" t="s">
        <v>108</v>
      </c>
      <c r="F7" s="265" t="s">
        <v>836</v>
      </c>
      <c r="G7" s="354" t="s">
        <v>776</v>
      </c>
      <c r="H7" s="355" t="s">
        <v>777</v>
      </c>
      <c r="I7" s="251" t="s">
        <v>837</v>
      </c>
      <c r="J7" s="269">
        <v>1</v>
      </c>
      <c r="K7" s="88">
        <v>0.5</v>
      </c>
      <c r="L7" s="88">
        <v>12.5</v>
      </c>
      <c r="M7" s="88" t="s">
        <v>738</v>
      </c>
      <c r="N7" s="88" t="s">
        <v>275</v>
      </c>
      <c r="O7" s="88"/>
      <c r="P7" s="88"/>
      <c r="Q7" s="88"/>
      <c r="R7" s="230" t="s">
        <v>93</v>
      </c>
      <c r="S7" s="351"/>
      <c r="T7" s="351"/>
      <c r="U7" s="88"/>
      <c r="V7" s="273"/>
      <c r="W7" s="88"/>
      <c r="X7" s="361"/>
      <c r="Y7" s="88"/>
      <c r="Z7" s="88"/>
      <c r="AA7" s="273"/>
      <c r="AB7" s="349"/>
    </row>
    <row r="8" spans="1:28" ht="44.25" customHeight="1">
      <c r="A8" s="103">
        <v>7</v>
      </c>
      <c r="B8" s="258" t="s">
        <v>731</v>
      </c>
      <c r="C8" s="241">
        <v>45764</v>
      </c>
      <c r="D8" s="241">
        <v>45778</v>
      </c>
      <c r="E8" s="242" t="s">
        <v>108</v>
      </c>
      <c r="F8" s="251" t="s">
        <v>743</v>
      </c>
      <c r="G8" s="354" t="s">
        <v>838</v>
      </c>
      <c r="H8" s="355" t="s">
        <v>839</v>
      </c>
      <c r="I8" s="242" t="s">
        <v>13</v>
      </c>
      <c r="J8" s="269">
        <v>2</v>
      </c>
      <c r="K8" s="88">
        <v>2</v>
      </c>
      <c r="L8" s="88">
        <v>10.5</v>
      </c>
      <c r="M8" s="88" t="s">
        <v>743</v>
      </c>
      <c r="N8" s="88" t="s">
        <v>275</v>
      </c>
      <c r="O8" s="88"/>
      <c r="P8" s="88"/>
      <c r="Q8" s="88"/>
      <c r="R8" s="230" t="s">
        <v>840</v>
      </c>
      <c r="S8" s="351">
        <v>45769</v>
      </c>
      <c r="T8" s="351">
        <v>45769</v>
      </c>
      <c r="U8" s="88" t="s">
        <v>275</v>
      </c>
      <c r="V8" s="273"/>
      <c r="W8" s="16" t="s">
        <v>825</v>
      </c>
      <c r="X8" s="361">
        <v>45769</v>
      </c>
      <c r="Y8" s="88"/>
      <c r="Z8" s="88"/>
      <c r="AA8" s="273"/>
      <c r="AB8" s="349" t="s">
        <v>826</v>
      </c>
    </row>
    <row r="9" spans="1:28" ht="44.25" customHeight="1">
      <c r="A9" s="103">
        <v>8</v>
      </c>
      <c r="B9" s="258" t="s">
        <v>731</v>
      </c>
      <c r="C9" s="241">
        <v>45764</v>
      </c>
      <c r="D9" s="241">
        <v>45778</v>
      </c>
      <c r="E9" s="242" t="s">
        <v>108</v>
      </c>
      <c r="F9" s="265" t="s">
        <v>743</v>
      </c>
      <c r="G9" s="354" t="s">
        <v>780</v>
      </c>
      <c r="H9" s="355" t="s">
        <v>781</v>
      </c>
      <c r="I9" s="360" t="s">
        <v>837</v>
      </c>
      <c r="J9" s="269">
        <v>1</v>
      </c>
      <c r="K9" s="88">
        <v>0.5</v>
      </c>
      <c r="L9" s="88">
        <v>22</v>
      </c>
      <c r="M9" s="88"/>
      <c r="N9" s="88"/>
      <c r="O9" s="88"/>
      <c r="P9" s="88"/>
      <c r="Q9" s="88"/>
      <c r="R9" s="230" t="s">
        <v>93</v>
      </c>
      <c r="S9" s="351"/>
      <c r="T9" s="351"/>
      <c r="U9" s="88"/>
      <c r="V9" s="88"/>
      <c r="W9" s="333"/>
      <c r="X9" s="351"/>
      <c r="Y9" s="88"/>
      <c r="Z9" s="88"/>
      <c r="AA9" s="273"/>
      <c r="AB9" s="349"/>
    </row>
    <row r="10" spans="1:28" ht="48.75" customHeight="1">
      <c r="A10" s="103">
        <v>9</v>
      </c>
      <c r="B10" s="258" t="s">
        <v>731</v>
      </c>
      <c r="C10" s="241">
        <v>45764</v>
      </c>
      <c r="D10" s="241">
        <v>45778</v>
      </c>
      <c r="E10" s="242" t="s">
        <v>831</v>
      </c>
      <c r="F10" s="242" t="s">
        <v>841</v>
      </c>
      <c r="G10" s="363" t="s">
        <v>842</v>
      </c>
      <c r="H10" s="355" t="s">
        <v>843</v>
      </c>
      <c r="I10" s="353" t="s">
        <v>13</v>
      </c>
      <c r="J10" s="269">
        <v>2</v>
      </c>
      <c r="K10" s="269">
        <v>2</v>
      </c>
      <c r="L10" s="88">
        <v>36</v>
      </c>
      <c r="M10" s="88"/>
      <c r="N10" s="88"/>
      <c r="O10" s="88"/>
      <c r="P10" s="88"/>
      <c r="Q10" s="273"/>
      <c r="R10" s="140" t="s">
        <v>844</v>
      </c>
      <c r="S10" s="361">
        <v>45775</v>
      </c>
      <c r="T10" s="351">
        <v>45775</v>
      </c>
      <c r="U10" s="88" t="s">
        <v>275</v>
      </c>
      <c r="V10" s="273"/>
      <c r="W10" s="16" t="s">
        <v>741</v>
      </c>
      <c r="X10" s="361">
        <v>45775</v>
      </c>
      <c r="Y10" s="88"/>
      <c r="Z10" s="88"/>
      <c r="AA10" s="273"/>
      <c r="AB10" s="349"/>
    </row>
    <row r="11" spans="1:28" ht="44.25" customHeight="1">
      <c r="A11" s="103">
        <v>10</v>
      </c>
      <c r="B11" s="258" t="s">
        <v>731</v>
      </c>
      <c r="C11" s="241">
        <v>45764</v>
      </c>
      <c r="D11" s="241">
        <v>45778</v>
      </c>
      <c r="E11" s="242" t="s">
        <v>108</v>
      </c>
      <c r="F11" s="364" t="s">
        <v>845</v>
      </c>
      <c r="G11" s="362" t="s">
        <v>846</v>
      </c>
      <c r="H11" s="355" t="s">
        <v>847</v>
      </c>
      <c r="I11" s="353" t="s">
        <v>13</v>
      </c>
      <c r="J11" s="269">
        <v>3</v>
      </c>
      <c r="K11" s="269">
        <v>3</v>
      </c>
      <c r="L11" s="88">
        <v>48</v>
      </c>
      <c r="M11" s="88"/>
      <c r="N11" s="88"/>
      <c r="O11" s="88"/>
      <c r="P11" s="88"/>
      <c r="Q11" s="88"/>
      <c r="R11" s="348" t="s">
        <v>848</v>
      </c>
      <c r="S11" s="351">
        <v>45775</v>
      </c>
      <c r="T11" s="351">
        <v>45775</v>
      </c>
      <c r="U11" s="88" t="s">
        <v>275</v>
      </c>
      <c r="V11" s="88"/>
      <c r="W11" s="333" t="s">
        <v>741</v>
      </c>
      <c r="X11" s="351">
        <v>45775</v>
      </c>
      <c r="Y11" s="88"/>
      <c r="Z11" s="88"/>
      <c r="AA11" s="273"/>
      <c r="AB11" s="349"/>
    </row>
    <row r="12" spans="1:28" ht="40.5" customHeight="1">
      <c r="A12" s="103">
        <v>11</v>
      </c>
      <c r="B12" s="258" t="s">
        <v>731</v>
      </c>
      <c r="C12" s="241">
        <v>45764</v>
      </c>
      <c r="D12" s="241">
        <v>45778</v>
      </c>
      <c r="E12" s="242" t="s">
        <v>108</v>
      </c>
      <c r="F12" s="187" t="s">
        <v>807</v>
      </c>
      <c r="G12" s="362" t="s">
        <v>849</v>
      </c>
      <c r="H12" s="365" t="s">
        <v>850</v>
      </c>
      <c r="I12" s="366" t="s">
        <v>13</v>
      </c>
      <c r="J12" s="88">
        <v>5</v>
      </c>
      <c r="K12" s="88">
        <v>5</v>
      </c>
      <c r="L12" s="16">
        <v>35.5</v>
      </c>
      <c r="M12" s="16"/>
      <c r="N12" s="16"/>
      <c r="O12" s="16"/>
      <c r="P12" s="16"/>
      <c r="Q12" s="16"/>
      <c r="R12" s="16"/>
      <c r="S12" s="16"/>
      <c r="T12" s="16"/>
      <c r="U12" s="16"/>
      <c r="V12" s="16"/>
      <c r="W12" s="16"/>
      <c r="X12" s="16"/>
      <c r="Y12" s="16"/>
      <c r="Z12" s="16"/>
      <c r="AA12" s="271"/>
      <c r="AB12" s="343" t="s">
        <v>851</v>
      </c>
    </row>
    <row r="13" spans="1:28" ht="35.25" customHeight="1">
      <c r="A13" s="103">
        <v>12</v>
      </c>
      <c r="B13" s="261" t="s">
        <v>731</v>
      </c>
      <c r="C13" s="262">
        <v>45764</v>
      </c>
      <c r="D13" s="262">
        <v>45778</v>
      </c>
      <c r="E13" s="251" t="s">
        <v>108</v>
      </c>
      <c r="F13" s="268" t="s">
        <v>807</v>
      </c>
      <c r="G13" s="367" t="s">
        <v>852</v>
      </c>
      <c r="H13" s="79" t="s">
        <v>853</v>
      </c>
      <c r="I13" s="79" t="s">
        <v>13</v>
      </c>
      <c r="J13" s="16">
        <v>3</v>
      </c>
      <c r="K13" s="16">
        <v>3</v>
      </c>
      <c r="L13" s="269">
        <v>22</v>
      </c>
      <c r="M13" s="88"/>
      <c r="N13" s="88"/>
      <c r="O13" s="88"/>
      <c r="P13" s="88"/>
      <c r="Q13" s="88"/>
      <c r="R13" s="88"/>
      <c r="S13" s="88"/>
      <c r="T13" s="88"/>
      <c r="U13" s="88"/>
      <c r="V13" s="88"/>
      <c r="W13" s="88"/>
      <c r="X13" s="88"/>
      <c r="Y13" s="88"/>
      <c r="Z13" s="88"/>
      <c r="AA13" s="273"/>
      <c r="AB13" s="340" t="s">
        <v>851</v>
      </c>
    </row>
    <row r="14" spans="1:28" s="87" customFormat="1" ht="35.25" customHeight="1">
      <c r="A14" s="87">
        <v>13</v>
      </c>
      <c r="B14" s="244" t="s">
        <v>731</v>
      </c>
      <c r="C14" s="241">
        <v>45764</v>
      </c>
      <c r="D14" s="241">
        <v>45778</v>
      </c>
      <c r="E14" s="242" t="s">
        <v>831</v>
      </c>
      <c r="F14" s="187" t="s">
        <v>738</v>
      </c>
      <c r="G14" s="368" t="s">
        <v>854</v>
      </c>
      <c r="H14" s="241" t="s">
        <v>855</v>
      </c>
      <c r="I14" s="79" t="s">
        <v>13</v>
      </c>
      <c r="J14" s="16">
        <v>2</v>
      </c>
      <c r="K14" s="242">
        <v>2</v>
      </c>
      <c r="L14" s="32">
        <v>5.5</v>
      </c>
      <c r="M14" s="16" t="s">
        <v>856</v>
      </c>
      <c r="N14" s="16" t="s">
        <v>856</v>
      </c>
      <c r="O14" s="16" t="s">
        <v>856</v>
      </c>
      <c r="P14" s="16" t="s">
        <v>275</v>
      </c>
      <c r="Q14" s="16"/>
      <c r="R14" s="16" t="s">
        <v>856</v>
      </c>
      <c r="S14" s="16"/>
      <c r="T14" s="16"/>
      <c r="U14" s="16"/>
      <c r="V14" s="16"/>
      <c r="W14" s="16"/>
      <c r="X14" s="16"/>
      <c r="Y14" s="16"/>
      <c r="Z14" s="16"/>
      <c r="AA14" s="16"/>
      <c r="AB14" s="343" t="s">
        <v>857</v>
      </c>
    </row>
  </sheetData>
  <hyperlinks>
    <hyperlink ref="G3" r:id="rId1" display="https://greatergiving.atlassian.net/browse/GGO-14644" xr:uid="{C072BD59-A126-4D0B-8E2A-140CD41C6FA0}"/>
    <hyperlink ref="G12" r:id="rId2" display="https://greatergiving.atlassian.net/browse/GGO-14649" xr:uid="{11EEC8AB-EBC6-4260-BC3E-0510D8CDFEA6}"/>
    <hyperlink ref="G13" r:id="rId3" display="https://greatergiving.atlassian.net/browse/PAPI-851" xr:uid="{5F760FB5-6F6F-43EB-9EFF-6A20C0E1BEAE}"/>
    <hyperlink ref="R5" r:id="rId4" xr:uid="{365E40E4-1525-4788-A2C0-C20141E03809}"/>
    <hyperlink ref="R8" r:id="rId5" xr:uid="{F12E15E1-C923-47A6-BD6D-AF14D90142B7}"/>
    <hyperlink ref="R4" r:id="rId6" xr:uid="{5C12788A-C0AF-48F9-A8C6-131D45F11629}"/>
    <hyperlink ref="R10" r:id="rId7" xr:uid="{C0DDD29A-8F56-4105-95E6-E1727DE78214}"/>
    <hyperlink ref="R11" r:id="rId8" xr:uid="{87D30D0B-A2A5-4C6B-BEF1-83845B724685}"/>
    <hyperlink ref="R6" r:id="rId9" xr:uid="{78CD9C4C-850E-44EE-B05F-4DDFD2A1A3C7}"/>
  </hyperlinks>
  <pageMargins left="0" right="0" top="0" bottom="0" header="0" footer="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CF211-6D98-4D08-A848-5735BE2AA8BF}">
  <sheetPr>
    <outlinePr summaryBelow="0" summaryRight="0"/>
  </sheetPr>
  <dimension ref="A1:O2"/>
  <sheetViews>
    <sheetView topLeftCell="E1" workbookViewId="0">
      <selection activeCell="G2" sqref="G2"/>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9" customWidth="1"/>
    <col min="13" max="13" width="14.140625" style="289" customWidth="1"/>
    <col min="14" max="14" width="30.140625" customWidth="1"/>
  </cols>
  <sheetData>
    <row r="1" spans="1:15" ht="13.5">
      <c r="A1" s="334" t="s">
        <v>234</v>
      </c>
      <c r="B1" s="42" t="s">
        <v>11</v>
      </c>
      <c r="C1" s="237" t="s">
        <v>350</v>
      </c>
      <c r="D1" s="237" t="s">
        <v>351</v>
      </c>
      <c r="E1" s="42" t="s">
        <v>236</v>
      </c>
      <c r="F1" s="237" t="s">
        <v>352</v>
      </c>
      <c r="G1" s="237" t="s">
        <v>353</v>
      </c>
      <c r="H1" s="42" t="s">
        <v>354</v>
      </c>
      <c r="I1" s="42" t="s">
        <v>355</v>
      </c>
      <c r="J1" s="42" t="s">
        <v>356</v>
      </c>
      <c r="K1" s="42" t="s">
        <v>239</v>
      </c>
      <c r="L1" s="335" t="s">
        <v>357</v>
      </c>
      <c r="M1" s="214" t="s">
        <v>358</v>
      </c>
      <c r="N1" s="214" t="s">
        <v>621</v>
      </c>
      <c r="O1" s="214" t="s">
        <v>359</v>
      </c>
    </row>
    <row r="2" spans="1:15" ht="15" customHeight="1">
      <c r="B2" s="244" t="s">
        <v>731</v>
      </c>
      <c r="C2" s="197" t="s">
        <v>821</v>
      </c>
      <c r="D2" s="197" t="s">
        <v>858</v>
      </c>
      <c r="E2" s="99" t="s">
        <v>738</v>
      </c>
      <c r="F2" s="212" t="s">
        <v>623</v>
      </c>
      <c r="G2" s="99" t="s">
        <v>859</v>
      </c>
      <c r="H2" s="10" t="s">
        <v>860</v>
      </c>
      <c r="I2" s="212" t="s">
        <v>626</v>
      </c>
      <c r="J2" s="10" t="s">
        <v>861</v>
      </c>
      <c r="K2" s="212" t="s">
        <v>812</v>
      </c>
      <c r="L2" s="5" t="s">
        <v>862</v>
      </c>
      <c r="M2" s="109" t="s">
        <v>863</v>
      </c>
      <c r="N2" s="87"/>
      <c r="O2" s="87" t="s">
        <v>864</v>
      </c>
    </row>
  </sheetData>
  <autoFilter ref="A1:M1" xr:uid="{3A2BB050-11AC-4ED7-A296-96B42C7FCFBA}"/>
  <dataValidations count="5">
    <dataValidation type="list" allowBlank="1" showErrorMessage="1" sqref="I2" xr:uid="{D36B79E9-C36F-4A5D-9295-E99A3CDA5F70}">
      <formula1>"Manual, Automation"</formula1>
    </dataValidation>
    <dataValidation type="list" allowBlank="1" showErrorMessage="1" sqref="H2" xr:uid="{18DD1402-F41E-4890-8087-DD567C8BAA40}">
      <formula1>"Minor,Significant,Major"</formula1>
    </dataValidation>
    <dataValidation type="list" allowBlank="1" showErrorMessage="1" sqref="J2" xr:uid="{245C4416-CD25-4E34-9E7A-23245E9CC97E}">
      <formula1>"Internal,External"</formula1>
    </dataValidation>
    <dataValidation type="list" allowBlank="1" showErrorMessage="1" sqref="F2" xr:uid="{EA37BDEA-CA71-4F0C-8919-ABCCC2BD90C7}">
      <formula1>"Bounceback/Sub-Defect,Defect,None"</formula1>
    </dataValidation>
    <dataValidation type="list" allowBlank="1" showErrorMessage="1" sqref="K1:K1048576" xr:uid="{DC1B3177-A946-4B7D-AE8A-7A3F7B1AF46D}">
      <formula1>"Open,Inprogress,Closed, Rejected"</formula1>
    </dataValidation>
  </dataValidations>
  <hyperlinks>
    <hyperlink ref="D2" r:id="rId1" display="https://greatergiving.atlassian.net/browse/GGO-14662" xr:uid="{85C6FCCC-CA25-4B9F-A44E-6EFBDF8C91BD}"/>
  </hyperlinks>
  <pageMargins left="0" right="0" top="0" bottom="0" header="0" footer="0"/>
  <legacyDrawing r:id="rId2"/>
  <extLst>
    <ext xmlns:x14="http://schemas.microsoft.com/office/spreadsheetml/2009/9/main" uri="{CCE6A557-97BC-4b89-ADB6-D9C93CAAB3DF}">
      <x14:dataValidations xmlns:xm="http://schemas.microsoft.com/office/excel/2006/main" count="1">
        <x14:dataValidation type="list" allowBlank="1" showErrorMessage="1" xr:uid="{CCA23B0C-B795-4549-BCFB-771BD167A3CA}">
          <x14:formula1>
            <xm:f>Details!$A$2:$A$10</xm:f>
          </x14:formula1>
          <xm:sqref>L2</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2EE5-E29C-4756-B783-1501DDDDC4D2}">
  <sheetPr>
    <outlinePr summaryBelow="0" summaryRight="0"/>
  </sheetPr>
  <dimension ref="A1:AB10"/>
  <sheetViews>
    <sheetView showGridLines="0" topLeftCell="A3" workbookViewId="0">
      <selection activeCell="I1" sqref="I1"/>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16.8554687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3.28515625" style="43" customWidth="1"/>
    <col min="29" max="16384" width="12.5703125" style="43"/>
  </cols>
  <sheetData>
    <row r="1" spans="1:28" customFormat="1" ht="36.75" customHeight="1">
      <c r="A1" s="245" t="s">
        <v>234</v>
      </c>
      <c r="B1" s="57" t="s">
        <v>4</v>
      </c>
      <c r="C1" s="57" t="s">
        <v>2</v>
      </c>
      <c r="D1" s="57" t="s">
        <v>3</v>
      </c>
      <c r="E1" s="246" t="s">
        <v>235</v>
      </c>
      <c r="F1" s="247" t="s">
        <v>236</v>
      </c>
      <c r="G1" s="248" t="s">
        <v>515</v>
      </c>
      <c r="H1" s="246" t="s">
        <v>238</v>
      </c>
      <c r="I1" s="248"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8" t="s">
        <v>255</v>
      </c>
      <c r="X1" s="248" t="s">
        <v>256</v>
      </c>
      <c r="Y1" s="248" t="s">
        <v>487</v>
      </c>
      <c r="Z1" s="248" t="s">
        <v>465</v>
      </c>
      <c r="AA1" s="248" t="s">
        <v>466</v>
      </c>
      <c r="AB1" s="249" t="s">
        <v>260</v>
      </c>
    </row>
    <row r="2" spans="1:28" ht="51.75" customHeight="1">
      <c r="A2" s="103">
        <v>1</v>
      </c>
      <c r="B2" s="244" t="s">
        <v>731</v>
      </c>
      <c r="C2" s="241">
        <v>45750</v>
      </c>
      <c r="D2" s="241">
        <v>45764</v>
      </c>
      <c r="E2" s="242" t="s">
        <v>103</v>
      </c>
      <c r="F2" s="251" t="s">
        <v>738</v>
      </c>
      <c r="G2" s="344" t="s">
        <v>865</v>
      </c>
      <c r="H2" s="345" t="s">
        <v>866</v>
      </c>
      <c r="I2" s="16" t="s">
        <v>13</v>
      </c>
      <c r="J2" s="269">
        <v>3</v>
      </c>
      <c r="K2" s="88">
        <v>3</v>
      </c>
      <c r="L2" s="88">
        <v>42</v>
      </c>
      <c r="M2" s="88" t="s">
        <v>738</v>
      </c>
      <c r="N2" s="88" t="s">
        <v>739</v>
      </c>
      <c r="O2" s="88" t="s">
        <v>867</v>
      </c>
      <c r="P2" s="88"/>
      <c r="Q2" s="88"/>
      <c r="R2" s="230" t="s">
        <v>868</v>
      </c>
      <c r="S2" s="351">
        <v>45754</v>
      </c>
      <c r="T2" s="351">
        <v>45755</v>
      </c>
      <c r="U2" s="88" t="s">
        <v>275</v>
      </c>
      <c r="V2" s="88"/>
      <c r="W2" s="333" t="s">
        <v>869</v>
      </c>
      <c r="X2" s="351">
        <v>45755</v>
      </c>
      <c r="Y2" s="88"/>
      <c r="Z2" s="88"/>
      <c r="AA2" s="273"/>
      <c r="AB2" s="349"/>
    </row>
    <row r="3" spans="1:28" ht="42" customHeight="1">
      <c r="A3" s="103">
        <v>2</v>
      </c>
      <c r="B3" s="244" t="s">
        <v>731</v>
      </c>
      <c r="C3" s="241">
        <v>45750</v>
      </c>
      <c r="D3" s="241">
        <v>45764</v>
      </c>
      <c r="E3" s="242" t="s">
        <v>103</v>
      </c>
      <c r="F3" s="265" t="s">
        <v>275</v>
      </c>
      <c r="G3" s="344" t="s">
        <v>870</v>
      </c>
      <c r="H3" s="345" t="s">
        <v>871</v>
      </c>
      <c r="I3" s="339" t="s">
        <v>13</v>
      </c>
      <c r="J3" s="269">
        <v>3</v>
      </c>
      <c r="K3" s="88">
        <v>3</v>
      </c>
      <c r="L3" s="88">
        <v>53</v>
      </c>
      <c r="M3" s="88" t="s">
        <v>275</v>
      </c>
      <c r="N3" s="88" t="s">
        <v>739</v>
      </c>
      <c r="O3" s="88" t="s">
        <v>867</v>
      </c>
      <c r="P3" s="88"/>
      <c r="Q3" s="88"/>
      <c r="R3" s="88"/>
      <c r="S3" s="88"/>
      <c r="T3" s="88"/>
      <c r="U3" s="88"/>
      <c r="V3" s="88"/>
      <c r="W3" s="333"/>
      <c r="X3" s="88"/>
      <c r="Y3" s="88"/>
      <c r="Z3" s="88"/>
      <c r="AA3" s="273"/>
      <c r="AB3" s="349"/>
    </row>
    <row r="4" spans="1:28" ht="39" customHeight="1">
      <c r="A4" s="103">
        <v>3</v>
      </c>
      <c r="B4" s="244" t="s">
        <v>731</v>
      </c>
      <c r="C4" s="241">
        <v>45750</v>
      </c>
      <c r="D4" s="241">
        <v>45764</v>
      </c>
      <c r="E4" s="242" t="s">
        <v>103</v>
      </c>
      <c r="F4" s="265" t="s">
        <v>738</v>
      </c>
      <c r="G4" s="344" t="s">
        <v>872</v>
      </c>
      <c r="H4" s="339" t="s">
        <v>873</v>
      </c>
      <c r="I4" s="352" t="s">
        <v>13</v>
      </c>
      <c r="J4" s="269">
        <v>5</v>
      </c>
      <c r="K4" s="88">
        <v>5</v>
      </c>
      <c r="L4" s="88">
        <v>83</v>
      </c>
      <c r="M4" s="88" t="s">
        <v>874</v>
      </c>
      <c r="N4" s="88" t="s">
        <v>739</v>
      </c>
      <c r="O4" s="88" t="s">
        <v>867</v>
      </c>
      <c r="P4" s="88"/>
      <c r="Q4" s="88"/>
      <c r="R4" s="230" t="s">
        <v>875</v>
      </c>
      <c r="S4" s="351">
        <v>45761</v>
      </c>
      <c r="T4" s="351">
        <v>45762</v>
      </c>
      <c r="U4" s="88" t="s">
        <v>275</v>
      </c>
      <c r="V4" s="88"/>
      <c r="W4" s="333" t="s">
        <v>869</v>
      </c>
      <c r="X4" s="351">
        <v>45762</v>
      </c>
      <c r="Y4" s="88"/>
      <c r="Z4" s="88"/>
      <c r="AA4" s="273"/>
      <c r="AB4" s="349"/>
    </row>
    <row r="5" spans="1:28" ht="44.25" customHeight="1">
      <c r="A5" s="103">
        <v>4</v>
      </c>
      <c r="B5" s="258" t="s">
        <v>731</v>
      </c>
      <c r="C5" s="241">
        <v>45750</v>
      </c>
      <c r="D5" s="241">
        <v>45764</v>
      </c>
      <c r="E5" s="242" t="s">
        <v>876</v>
      </c>
      <c r="F5" s="265" t="s">
        <v>877</v>
      </c>
      <c r="G5" s="337" t="s">
        <v>878</v>
      </c>
      <c r="H5" s="338" t="s">
        <v>879</v>
      </c>
      <c r="I5" s="339" t="s">
        <v>13</v>
      </c>
      <c r="J5" s="269">
        <v>3</v>
      </c>
      <c r="K5" s="88">
        <v>3</v>
      </c>
      <c r="L5" s="88">
        <v>13.5</v>
      </c>
      <c r="M5" s="88" t="s">
        <v>738</v>
      </c>
      <c r="N5" s="88" t="s">
        <v>739</v>
      </c>
      <c r="O5" s="88" t="s">
        <v>867</v>
      </c>
      <c r="P5" s="88"/>
      <c r="Q5" s="88"/>
      <c r="R5" s="230" t="s">
        <v>880</v>
      </c>
      <c r="S5" s="351">
        <v>45763</v>
      </c>
      <c r="T5" s="351">
        <v>45763</v>
      </c>
      <c r="U5" s="88" t="s">
        <v>275</v>
      </c>
      <c r="V5" s="88"/>
      <c r="W5" s="333" t="s">
        <v>881</v>
      </c>
      <c r="X5" s="351">
        <v>45763</v>
      </c>
      <c r="Y5" s="88"/>
      <c r="Z5" s="88"/>
      <c r="AA5" s="273"/>
      <c r="AB5" s="349"/>
    </row>
    <row r="6" spans="1:28" ht="40.5" customHeight="1">
      <c r="A6" s="87">
        <v>5</v>
      </c>
      <c r="B6" s="258" t="s">
        <v>731</v>
      </c>
      <c r="C6" s="241">
        <v>45750</v>
      </c>
      <c r="D6" s="241">
        <v>45764</v>
      </c>
      <c r="E6" s="242" t="s">
        <v>876</v>
      </c>
      <c r="F6" s="187" t="s">
        <v>882</v>
      </c>
      <c r="G6" s="72" t="s">
        <v>883</v>
      </c>
      <c r="H6" s="79" t="s">
        <v>884</v>
      </c>
      <c r="I6" s="339" t="s">
        <v>13</v>
      </c>
      <c r="J6" s="16">
        <v>1</v>
      </c>
      <c r="K6" s="16">
        <v>1</v>
      </c>
      <c r="L6" s="16">
        <v>13.25</v>
      </c>
      <c r="M6" s="16" t="s">
        <v>93</v>
      </c>
      <c r="N6" s="16" t="s">
        <v>93</v>
      </c>
      <c r="O6" s="16" t="s">
        <v>93</v>
      </c>
      <c r="P6" s="16" t="s">
        <v>93</v>
      </c>
      <c r="Q6" s="16" t="s">
        <v>93</v>
      </c>
      <c r="R6" s="16" t="s">
        <v>93</v>
      </c>
      <c r="S6" s="16" t="s">
        <v>93</v>
      </c>
      <c r="T6" s="16" t="s">
        <v>93</v>
      </c>
      <c r="U6" s="16" t="s">
        <v>93</v>
      </c>
      <c r="V6" s="16" t="s">
        <v>93</v>
      </c>
      <c r="W6" s="16" t="s">
        <v>93</v>
      </c>
      <c r="X6" s="16" t="s">
        <v>93</v>
      </c>
      <c r="Y6" s="16" t="s">
        <v>93</v>
      </c>
      <c r="Z6" s="16" t="s">
        <v>93</v>
      </c>
      <c r="AA6" s="271" t="s">
        <v>93</v>
      </c>
      <c r="AB6" s="343" t="s">
        <v>885</v>
      </c>
    </row>
    <row r="7" spans="1:28" ht="35.25" customHeight="1">
      <c r="A7" s="103">
        <v>6</v>
      </c>
      <c r="B7" s="244" t="s">
        <v>731</v>
      </c>
      <c r="C7" s="241">
        <v>45750</v>
      </c>
      <c r="D7" s="241">
        <v>45764</v>
      </c>
      <c r="E7" s="242" t="s">
        <v>103</v>
      </c>
      <c r="F7" s="187" t="s">
        <v>807</v>
      </c>
      <c r="G7" s="337" t="s">
        <v>886</v>
      </c>
      <c r="H7" s="338" t="s">
        <v>887</v>
      </c>
      <c r="I7" s="16" t="s">
        <v>13</v>
      </c>
      <c r="J7" s="269">
        <v>1</v>
      </c>
      <c r="K7" s="88">
        <v>1</v>
      </c>
      <c r="L7" s="88">
        <v>3</v>
      </c>
      <c r="M7" s="16" t="s">
        <v>93</v>
      </c>
      <c r="N7" s="16" t="s">
        <v>93</v>
      </c>
      <c r="O7" s="16" t="s">
        <v>93</v>
      </c>
      <c r="P7" s="16" t="s">
        <v>93</v>
      </c>
      <c r="Q7" s="16" t="s">
        <v>93</v>
      </c>
      <c r="R7" s="16" t="s">
        <v>93</v>
      </c>
      <c r="S7" s="16" t="s">
        <v>93</v>
      </c>
      <c r="T7" s="16" t="s">
        <v>93</v>
      </c>
      <c r="U7" s="16" t="s">
        <v>93</v>
      </c>
      <c r="V7" s="16" t="s">
        <v>93</v>
      </c>
      <c r="W7" s="16" t="s">
        <v>93</v>
      </c>
      <c r="X7" s="16" t="s">
        <v>93</v>
      </c>
      <c r="Y7" s="16" t="s">
        <v>93</v>
      </c>
      <c r="Z7" s="16" t="s">
        <v>93</v>
      </c>
      <c r="AA7" s="271" t="s">
        <v>93</v>
      </c>
      <c r="AB7" s="349" t="s">
        <v>888</v>
      </c>
    </row>
    <row r="8" spans="1:28" ht="35.25" customHeight="1">
      <c r="A8" s="103">
        <v>7</v>
      </c>
      <c r="B8" s="261" t="s">
        <v>731</v>
      </c>
      <c r="C8" s="241">
        <v>45750</v>
      </c>
      <c r="D8" s="262">
        <v>45764</v>
      </c>
      <c r="E8" s="251" t="s">
        <v>103</v>
      </c>
      <c r="F8" s="268" t="s">
        <v>882</v>
      </c>
      <c r="G8" s="104" t="s">
        <v>889</v>
      </c>
      <c r="H8" s="350" t="s">
        <v>890</v>
      </c>
      <c r="I8" s="88" t="s">
        <v>13</v>
      </c>
      <c r="J8" s="88">
        <v>2</v>
      </c>
      <c r="K8" s="88">
        <v>2</v>
      </c>
      <c r="L8" s="16">
        <v>17.25</v>
      </c>
      <c r="M8" s="16" t="s">
        <v>93</v>
      </c>
      <c r="N8" s="16" t="s">
        <v>93</v>
      </c>
      <c r="O8" s="16" t="s">
        <v>93</v>
      </c>
      <c r="P8" s="16" t="s">
        <v>93</v>
      </c>
      <c r="Q8" s="16" t="s">
        <v>93</v>
      </c>
      <c r="R8" s="16" t="s">
        <v>93</v>
      </c>
      <c r="S8" s="16" t="s">
        <v>93</v>
      </c>
      <c r="T8" s="16" t="s">
        <v>93</v>
      </c>
      <c r="U8" s="16" t="s">
        <v>93</v>
      </c>
      <c r="V8" s="16" t="s">
        <v>93</v>
      </c>
      <c r="W8" s="16" t="s">
        <v>93</v>
      </c>
      <c r="X8" s="16" t="s">
        <v>93</v>
      </c>
      <c r="Y8" s="16" t="s">
        <v>93</v>
      </c>
      <c r="Z8" s="16" t="s">
        <v>93</v>
      </c>
      <c r="AA8" s="16" t="s">
        <v>93</v>
      </c>
      <c r="AB8" s="347" t="s">
        <v>891</v>
      </c>
    </row>
    <row r="9" spans="1:28" ht="35.25" customHeight="1">
      <c r="A9" s="103">
        <v>8</v>
      </c>
      <c r="B9" s="267" t="s">
        <v>731</v>
      </c>
      <c r="C9" s="241">
        <v>45750</v>
      </c>
      <c r="D9" s="262">
        <v>45764</v>
      </c>
      <c r="E9" s="251" t="s">
        <v>103</v>
      </c>
      <c r="F9" s="251" t="s">
        <v>743</v>
      </c>
      <c r="G9" s="104" t="s">
        <v>815</v>
      </c>
      <c r="H9" s="350" t="s">
        <v>816</v>
      </c>
      <c r="I9" s="88" t="s">
        <v>416</v>
      </c>
      <c r="J9" s="88">
        <v>8</v>
      </c>
      <c r="K9" s="88">
        <v>5</v>
      </c>
      <c r="L9" s="269">
        <v>90.5</v>
      </c>
      <c r="M9" s="88" t="s">
        <v>738</v>
      </c>
      <c r="N9" s="88" t="s">
        <v>739</v>
      </c>
      <c r="O9" s="88" t="s">
        <v>867</v>
      </c>
      <c r="P9" s="88"/>
      <c r="Q9" s="88"/>
      <c r="R9" s="88"/>
      <c r="S9" s="88"/>
      <c r="T9" s="88"/>
      <c r="U9" s="88"/>
      <c r="V9" s="88"/>
      <c r="W9" s="88"/>
      <c r="X9" s="88"/>
      <c r="Y9" s="88"/>
      <c r="Z9" s="88"/>
      <c r="AA9" s="273"/>
      <c r="AB9" s="359" t="s">
        <v>892</v>
      </c>
    </row>
    <row r="10" spans="1:28" ht="35.25" customHeight="1">
      <c r="A10" s="87">
        <v>9</v>
      </c>
      <c r="B10" s="244" t="s">
        <v>731</v>
      </c>
      <c r="C10" s="241">
        <v>45750</v>
      </c>
      <c r="D10" s="241">
        <v>45764</v>
      </c>
      <c r="E10" s="242" t="s">
        <v>876</v>
      </c>
      <c r="F10" s="242" t="s">
        <v>893</v>
      </c>
      <c r="G10" s="72" t="s">
        <v>818</v>
      </c>
      <c r="H10" s="16" t="s">
        <v>819</v>
      </c>
      <c r="I10" s="16" t="s">
        <v>416</v>
      </c>
      <c r="J10" s="16">
        <v>2</v>
      </c>
      <c r="K10" s="16">
        <v>1</v>
      </c>
      <c r="L10" s="16">
        <v>19.5</v>
      </c>
      <c r="M10" s="88" t="s">
        <v>738</v>
      </c>
      <c r="N10" s="88" t="s">
        <v>739</v>
      </c>
      <c r="O10" s="88" t="s">
        <v>867</v>
      </c>
      <c r="P10" s="49"/>
      <c r="Q10" s="97"/>
      <c r="R10" s="5"/>
      <c r="S10" s="5"/>
      <c r="T10" s="5"/>
      <c r="U10" s="5"/>
      <c r="V10" s="87"/>
      <c r="W10" s="87"/>
      <c r="X10" s="87"/>
      <c r="Y10" s="87"/>
      <c r="Z10" s="87"/>
      <c r="AA10" s="116"/>
      <c r="AB10" s="359" t="s">
        <v>894</v>
      </c>
    </row>
  </sheetData>
  <hyperlinks>
    <hyperlink ref="G6" r:id="rId1" display="https://greatergiving.atlassian.net/browse/PAPI-839" xr:uid="{C421A5B1-EBAA-4C8E-A0D7-081624F1BADD}"/>
    <hyperlink ref="G7" r:id="rId2" display="https://greatergiving.atlassian.net/browse/GGO-14617" xr:uid="{1A96AFD7-2AF0-42CF-B915-FE32DA20BEAC}"/>
    <hyperlink ref="G8" r:id="rId3" display="https://greatergiving.atlassian.net/browse/PAPI-842" xr:uid="{72C16C05-43D1-498B-8DD6-639E4A49DDDC}"/>
    <hyperlink ref="G9" r:id="rId4" display="https://greatergiving.atlassian.net/browse/PAPI-842" xr:uid="{A55E1986-DB33-47F4-8E95-ECDB32959205}"/>
    <hyperlink ref="R5" r:id="rId5" xr:uid="{A97CB960-2CF6-427D-9FCB-EF0964486235}"/>
    <hyperlink ref="R4" r:id="rId6" xr:uid="{0312F5D7-5816-4A2A-98E7-C63479E826FB}"/>
    <hyperlink ref="R2" r:id="rId7" xr:uid="{842709E8-77BB-494E-AFED-A87CE174BED5}"/>
    <hyperlink ref="G10" r:id="rId8" display="https://greatergiving.atlassian.net/browse/GGO-14644" xr:uid="{2625E1AC-8DEB-44BB-B56A-AB1F70C55730}"/>
  </hyperlinks>
  <pageMargins left="0" right="0" top="0" bottom="0" header="0" footer="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F2B59-C3A1-436B-BEC8-ECAB7FBC6382}">
  <sheetPr>
    <outlinePr summaryBelow="0" summaryRight="0"/>
  </sheetPr>
  <dimension ref="A1:O2"/>
  <sheetViews>
    <sheetView topLeftCell="F1" workbookViewId="0">
      <selection activeCell="O2" sqref="O2"/>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9" customWidth="1"/>
    <col min="13" max="13" width="14.140625" style="289" customWidth="1"/>
    <col min="14" max="14" width="30.140625" customWidth="1"/>
  </cols>
  <sheetData>
    <row r="1" spans="1:15" ht="13.5">
      <c r="A1" s="334" t="s">
        <v>234</v>
      </c>
      <c r="B1" s="42" t="s">
        <v>11</v>
      </c>
      <c r="C1" s="237" t="s">
        <v>350</v>
      </c>
      <c r="D1" s="237" t="s">
        <v>351</v>
      </c>
      <c r="E1" s="42" t="s">
        <v>236</v>
      </c>
      <c r="F1" s="237" t="s">
        <v>352</v>
      </c>
      <c r="G1" s="237" t="s">
        <v>353</v>
      </c>
      <c r="H1" s="42" t="s">
        <v>354</v>
      </c>
      <c r="I1" s="42" t="s">
        <v>355</v>
      </c>
      <c r="J1" s="42" t="s">
        <v>356</v>
      </c>
      <c r="K1" s="42" t="s">
        <v>239</v>
      </c>
      <c r="L1" s="335" t="s">
        <v>357</v>
      </c>
      <c r="M1" s="214" t="s">
        <v>358</v>
      </c>
      <c r="N1" s="214" t="s">
        <v>621</v>
      </c>
      <c r="O1" s="214" t="s">
        <v>359</v>
      </c>
    </row>
    <row r="2" spans="1:15" ht="110.25" customHeight="1">
      <c r="B2" s="244" t="s">
        <v>731</v>
      </c>
      <c r="C2" s="313" t="s">
        <v>895</v>
      </c>
      <c r="D2" s="313" t="s">
        <v>872</v>
      </c>
      <c r="E2" t="s">
        <v>275</v>
      </c>
      <c r="F2" s="212" t="s">
        <v>623</v>
      </c>
      <c r="G2" t="s">
        <v>896</v>
      </c>
      <c r="H2" s="10" t="s">
        <v>860</v>
      </c>
      <c r="I2" s="212" t="s">
        <v>626</v>
      </c>
      <c r="J2" s="10" t="s">
        <v>861</v>
      </c>
      <c r="K2" s="212" t="s">
        <v>812</v>
      </c>
      <c r="L2" s="5" t="s">
        <v>862</v>
      </c>
      <c r="M2" s="109" t="s">
        <v>275</v>
      </c>
      <c r="N2" s="87" t="s">
        <v>897</v>
      </c>
      <c r="O2" s="87" t="s">
        <v>898</v>
      </c>
    </row>
  </sheetData>
  <autoFilter ref="A1:M1" xr:uid="{3A2BB050-11AC-4ED7-A296-96B42C7FCFBA}"/>
  <dataValidations count="5">
    <dataValidation type="list" allowBlank="1" showErrorMessage="1" sqref="K1:K1048576" xr:uid="{828358A9-CA6F-4917-BC2A-89CA1F35A439}">
      <formula1>"Open,Inprogress,Closed, Rejected"</formula1>
    </dataValidation>
    <dataValidation type="list" allowBlank="1" showErrorMessage="1" sqref="F2" xr:uid="{CFDBFF06-AA4B-4F87-9641-59E59B3C423A}">
      <formula1>"Bounceback/Sub-Defect,Defect,None"</formula1>
    </dataValidation>
    <dataValidation type="list" allowBlank="1" showErrorMessage="1" sqref="J2" xr:uid="{E9DCABC1-A9DC-41B0-8D73-6A121F069A93}">
      <formula1>"Internal,External"</formula1>
    </dataValidation>
    <dataValidation type="list" allowBlank="1" showErrorMessage="1" sqref="H2" xr:uid="{28C86757-9101-4012-8C5C-FEDB595DCB93}">
      <formula1>"Minor,Significant,Major"</formula1>
    </dataValidation>
    <dataValidation type="list" allowBlank="1" showErrorMessage="1" sqref="I2" xr:uid="{284ECBD7-5C23-4C05-B7B5-855EFC2277CA}">
      <formula1>"Manual, Automation"</formula1>
    </dataValidation>
  </dataValidations>
  <hyperlinks>
    <hyperlink ref="C2" r:id="rId1" display="https://greatergiving.atlassian.net/browse/GGO-14646" xr:uid="{535D01D8-879C-438B-8564-9FC5E6F75423}"/>
    <hyperlink ref="D2" r:id="rId2" display="https://greatergiving.atlassian.net/browse/GGO-14457" xr:uid="{1500322F-7A22-4180-AA7E-1067934F0D92}"/>
  </hyperlinks>
  <pageMargins left="0" right="0" top="0" bottom="0" header="0" footer="0"/>
  <legacyDrawing r:id="rId3"/>
  <extLst>
    <ext xmlns:x14="http://schemas.microsoft.com/office/spreadsheetml/2009/9/main" uri="{CCE6A557-97BC-4b89-ADB6-D9C93CAAB3DF}">
      <x14:dataValidations xmlns:xm="http://schemas.microsoft.com/office/excel/2006/main" count="1">
        <x14:dataValidation type="list" allowBlank="1" showErrorMessage="1" xr:uid="{64345FE8-EAD1-4210-89DF-5E7A1C03CDD5}">
          <x14:formula1>
            <xm:f>Details!$A$2:$A$10</xm:f>
          </x14:formula1>
          <xm:sqref>L2</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AA3A4-280D-4237-8890-20F154389EAD}">
  <sheetPr>
    <outlinePr summaryBelow="0" summaryRight="0"/>
  </sheetPr>
  <dimension ref="A1:AB16"/>
  <sheetViews>
    <sheetView showGridLines="0" workbookViewId="0">
      <pane xSplit="7" ySplit="1" topLeftCell="Z10" activePane="bottomRight" state="frozen"/>
      <selection pane="bottomRight" activeCell="M13" sqref="M13:AB13"/>
      <selection pane="bottomLeft" activeCell="A3" sqref="A3"/>
      <selection pane="topRight" activeCell="F1" sqref="F1"/>
    </sheetView>
  </sheetViews>
  <sheetFormatPr defaultColWidth="12.5703125" defaultRowHeight="35.25" customHeight="1"/>
  <cols>
    <col min="1" max="1" width="5.140625" style="43" customWidth="1"/>
    <col min="2" max="2" width="9.7109375" style="43" customWidth="1"/>
    <col min="3" max="3" width="13.85546875" style="43" customWidth="1"/>
    <col min="4" max="4" width="12.5703125" style="43" customWidth="1"/>
    <col min="5" max="5" width="14.5703125" style="43" customWidth="1"/>
    <col min="6" max="6" width="16.8554687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3.28515625" style="43" customWidth="1"/>
    <col min="29" max="16384" width="12.5703125" style="43"/>
  </cols>
  <sheetData>
    <row r="1" spans="1:28" customFormat="1" ht="36.75" customHeight="1">
      <c r="A1" s="245" t="s">
        <v>234</v>
      </c>
      <c r="B1" s="57" t="s">
        <v>4</v>
      </c>
      <c r="C1" s="57" t="s">
        <v>2</v>
      </c>
      <c r="D1" s="57" t="s">
        <v>3</v>
      </c>
      <c r="E1" s="246" t="s">
        <v>235</v>
      </c>
      <c r="F1" s="247" t="s">
        <v>236</v>
      </c>
      <c r="G1" s="248" t="s">
        <v>515</v>
      </c>
      <c r="H1" s="248" t="s">
        <v>238</v>
      </c>
      <c r="I1" s="248"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8" t="s">
        <v>255</v>
      </c>
      <c r="X1" s="248" t="s">
        <v>256</v>
      </c>
      <c r="Y1" s="248" t="s">
        <v>487</v>
      </c>
      <c r="Z1" s="248" t="s">
        <v>465</v>
      </c>
      <c r="AA1" s="248" t="s">
        <v>466</v>
      </c>
      <c r="AB1" s="249" t="s">
        <v>260</v>
      </c>
    </row>
    <row r="2" spans="1:28" s="87" customFormat="1" ht="60.75" customHeight="1">
      <c r="A2" s="87">
        <v>1</v>
      </c>
      <c r="B2" s="244" t="s">
        <v>731</v>
      </c>
      <c r="C2" s="241">
        <v>45736</v>
      </c>
      <c r="D2" s="241">
        <v>45750</v>
      </c>
      <c r="E2" s="242" t="s">
        <v>98</v>
      </c>
      <c r="F2" s="49" t="s">
        <v>275</v>
      </c>
      <c r="G2" s="72" t="s">
        <v>899</v>
      </c>
      <c r="H2" s="85" t="s">
        <v>900</v>
      </c>
      <c r="I2" s="16" t="s">
        <v>13</v>
      </c>
      <c r="J2" s="16">
        <v>2</v>
      </c>
      <c r="K2" s="16">
        <v>2</v>
      </c>
      <c r="L2" s="16">
        <v>22.5</v>
      </c>
      <c r="M2" s="87" t="s">
        <v>275</v>
      </c>
      <c r="N2" s="5" t="s">
        <v>901</v>
      </c>
      <c r="O2" s="87" t="s">
        <v>93</v>
      </c>
      <c r="P2" s="49"/>
      <c r="Q2" s="97"/>
      <c r="R2" s="70" t="s">
        <v>902</v>
      </c>
      <c r="S2" s="115">
        <v>45740</v>
      </c>
      <c r="T2" s="115">
        <v>45740</v>
      </c>
      <c r="U2" s="5" t="s">
        <v>275</v>
      </c>
      <c r="W2" s="87" t="s">
        <v>825</v>
      </c>
      <c r="X2" s="115">
        <v>45740</v>
      </c>
      <c r="AB2" s="343" t="s">
        <v>903</v>
      </c>
    </row>
    <row r="3" spans="1:28" s="87" customFormat="1" ht="60.75" customHeight="1">
      <c r="A3" s="103">
        <v>2</v>
      </c>
      <c r="B3" s="244" t="s">
        <v>731</v>
      </c>
      <c r="C3" s="241">
        <v>45736</v>
      </c>
      <c r="D3" s="241">
        <v>45750</v>
      </c>
      <c r="E3" s="242" t="s">
        <v>904</v>
      </c>
      <c r="F3" s="49" t="s">
        <v>275</v>
      </c>
      <c r="G3" s="72" t="s">
        <v>905</v>
      </c>
      <c r="H3" s="336" t="s">
        <v>906</v>
      </c>
      <c r="I3" s="16" t="s">
        <v>13</v>
      </c>
      <c r="J3" s="269">
        <v>1</v>
      </c>
      <c r="K3" s="88">
        <v>1</v>
      </c>
      <c r="L3" s="16">
        <v>9</v>
      </c>
      <c r="N3" s="5"/>
      <c r="O3" s="88" t="s">
        <v>907</v>
      </c>
      <c r="P3" s="49"/>
      <c r="Q3" s="97"/>
      <c r="R3" s="70"/>
      <c r="S3" s="115"/>
      <c r="T3" s="115"/>
      <c r="U3" s="5"/>
      <c r="X3" s="115"/>
      <c r="AA3" s="116"/>
      <c r="AB3" s="87" t="s">
        <v>908</v>
      </c>
    </row>
    <row r="4" spans="1:28" s="87" customFormat="1" ht="60.75" customHeight="1">
      <c r="A4" s="103">
        <v>3</v>
      </c>
      <c r="B4" s="244" t="s">
        <v>731</v>
      </c>
      <c r="C4" s="241">
        <v>45736</v>
      </c>
      <c r="D4" s="241">
        <v>45750</v>
      </c>
      <c r="E4" s="242" t="s">
        <v>904</v>
      </c>
      <c r="F4" s="49" t="s">
        <v>275</v>
      </c>
      <c r="G4" s="72" t="s">
        <v>909</v>
      </c>
      <c r="H4" s="336" t="s">
        <v>910</v>
      </c>
      <c r="I4" s="16" t="s">
        <v>13</v>
      </c>
      <c r="J4" s="269">
        <v>1</v>
      </c>
      <c r="K4" s="88">
        <v>1</v>
      </c>
      <c r="L4" s="16">
        <v>2</v>
      </c>
      <c r="N4" s="5"/>
      <c r="O4" s="88" t="s">
        <v>907</v>
      </c>
      <c r="P4" s="49"/>
      <c r="Q4" s="97"/>
      <c r="R4" s="70"/>
      <c r="S4" s="115"/>
      <c r="T4" s="115"/>
      <c r="U4" s="5"/>
      <c r="X4" s="115"/>
      <c r="AA4" s="116"/>
      <c r="AB4" s="87" t="s">
        <v>911</v>
      </c>
    </row>
    <row r="5" spans="1:28" s="87" customFormat="1" ht="45.75" customHeight="1">
      <c r="A5" s="103">
        <v>4</v>
      </c>
      <c r="B5" s="244" t="s">
        <v>731</v>
      </c>
      <c r="C5" s="241">
        <v>45736</v>
      </c>
      <c r="D5" s="241">
        <v>45750</v>
      </c>
      <c r="E5" s="242" t="s">
        <v>98</v>
      </c>
      <c r="F5" s="251" t="s">
        <v>738</v>
      </c>
      <c r="G5" s="72" t="s">
        <v>912</v>
      </c>
      <c r="H5" s="88" t="s">
        <v>913</v>
      </c>
      <c r="I5" s="16" t="s">
        <v>13</v>
      </c>
      <c r="J5" s="269">
        <v>2</v>
      </c>
      <c r="K5" s="88">
        <v>2</v>
      </c>
      <c r="L5" s="16">
        <v>13</v>
      </c>
      <c r="M5" s="16" t="s">
        <v>746</v>
      </c>
      <c r="N5" s="16" t="s">
        <v>275</v>
      </c>
      <c r="O5" s="16"/>
      <c r="P5" s="16"/>
      <c r="Q5" s="16"/>
      <c r="R5" s="140" t="s">
        <v>914</v>
      </c>
      <c r="S5" s="115">
        <v>45737</v>
      </c>
      <c r="T5" s="115">
        <v>45737</v>
      </c>
      <c r="U5" s="16" t="s">
        <v>275</v>
      </c>
      <c r="V5" s="16"/>
      <c r="W5" s="16" t="s">
        <v>915</v>
      </c>
      <c r="X5" s="115">
        <v>45738</v>
      </c>
      <c r="Y5" s="16"/>
      <c r="Z5" s="16"/>
      <c r="AA5" s="271"/>
      <c r="AB5" s="340" t="s">
        <v>916</v>
      </c>
    </row>
    <row r="6" spans="1:28" ht="42" customHeight="1">
      <c r="A6" s="103">
        <v>5</v>
      </c>
      <c r="B6" s="244" t="s">
        <v>731</v>
      </c>
      <c r="C6" s="241">
        <v>45736</v>
      </c>
      <c r="D6" s="241">
        <v>45750</v>
      </c>
      <c r="E6" s="242" t="s">
        <v>98</v>
      </c>
      <c r="F6" s="251" t="s">
        <v>738</v>
      </c>
      <c r="G6" s="331" t="s">
        <v>917</v>
      </c>
      <c r="H6" s="88" t="s">
        <v>918</v>
      </c>
      <c r="I6" s="16" t="s">
        <v>13</v>
      </c>
      <c r="J6" s="269">
        <v>3</v>
      </c>
      <c r="K6" s="88">
        <v>3</v>
      </c>
      <c r="L6" s="88">
        <v>71</v>
      </c>
      <c r="M6" s="88" t="s">
        <v>746</v>
      </c>
      <c r="N6" s="16" t="s">
        <v>829</v>
      </c>
      <c r="O6" s="88" t="s">
        <v>907</v>
      </c>
      <c r="P6" s="88"/>
      <c r="Q6" s="88"/>
      <c r="R6" s="230" t="s">
        <v>919</v>
      </c>
      <c r="S6" s="115">
        <v>45743</v>
      </c>
      <c r="T6" s="115">
        <v>45744</v>
      </c>
      <c r="U6" s="16" t="s">
        <v>275</v>
      </c>
      <c r="V6" s="88"/>
      <c r="W6" s="87" t="s">
        <v>920</v>
      </c>
      <c r="X6" s="115">
        <v>45744</v>
      </c>
      <c r="Y6" s="88"/>
      <c r="Z6" s="88"/>
      <c r="AA6" s="273"/>
      <c r="AB6" s="87" t="s">
        <v>921</v>
      </c>
    </row>
    <row r="7" spans="1:28" ht="36" customHeight="1">
      <c r="A7" s="103">
        <v>6</v>
      </c>
      <c r="B7" s="244" t="s">
        <v>731</v>
      </c>
      <c r="C7" s="241">
        <v>45736</v>
      </c>
      <c r="D7" s="241">
        <v>45750</v>
      </c>
      <c r="E7" s="242" t="s">
        <v>98</v>
      </c>
      <c r="F7" s="251" t="s">
        <v>743</v>
      </c>
      <c r="G7" s="331" t="s">
        <v>922</v>
      </c>
      <c r="H7" s="16" t="s">
        <v>923</v>
      </c>
      <c r="I7" s="16" t="s">
        <v>13</v>
      </c>
      <c r="J7" s="269">
        <v>2</v>
      </c>
      <c r="K7" s="88">
        <v>2</v>
      </c>
      <c r="L7" s="88">
        <v>32</v>
      </c>
      <c r="M7" s="88" t="s">
        <v>743</v>
      </c>
      <c r="N7" s="88" t="s">
        <v>746</v>
      </c>
      <c r="O7" s="88"/>
      <c r="P7" s="88"/>
      <c r="Q7" s="88"/>
      <c r="R7" s="230" t="s">
        <v>924</v>
      </c>
      <c r="S7" s="115">
        <v>45740</v>
      </c>
      <c r="T7" s="115">
        <v>45741</v>
      </c>
      <c r="U7" s="88" t="s">
        <v>275</v>
      </c>
      <c r="V7" s="273"/>
      <c r="W7" s="87" t="s">
        <v>825</v>
      </c>
      <c r="X7" s="332">
        <v>45741</v>
      </c>
      <c r="Y7" s="88"/>
      <c r="Z7" s="88"/>
      <c r="AA7" s="273"/>
      <c r="AB7" s="142" t="s">
        <v>925</v>
      </c>
    </row>
    <row r="8" spans="1:28" ht="77.25" customHeight="1">
      <c r="A8" s="103">
        <v>7</v>
      </c>
      <c r="B8" s="244" t="s">
        <v>731</v>
      </c>
      <c r="C8" s="241">
        <v>45736</v>
      </c>
      <c r="D8" s="241">
        <v>45750</v>
      </c>
      <c r="E8" s="242" t="s">
        <v>98</v>
      </c>
      <c r="F8" s="251" t="s">
        <v>743</v>
      </c>
      <c r="G8" s="337" t="s">
        <v>865</v>
      </c>
      <c r="H8" s="338" t="s">
        <v>866</v>
      </c>
      <c r="I8" s="339" t="s">
        <v>263</v>
      </c>
      <c r="J8" s="269">
        <v>3</v>
      </c>
      <c r="K8" s="88">
        <v>5</v>
      </c>
      <c r="L8" s="88">
        <v>97</v>
      </c>
      <c r="M8" s="88"/>
      <c r="N8" s="88"/>
      <c r="O8" s="88"/>
      <c r="P8" s="88"/>
      <c r="Q8" s="88"/>
      <c r="R8" s="88"/>
      <c r="S8" s="88"/>
      <c r="T8" s="88"/>
      <c r="U8" s="88"/>
      <c r="V8" s="88"/>
      <c r="W8" s="333"/>
      <c r="X8" s="88"/>
      <c r="Y8" s="88"/>
      <c r="Z8" s="88"/>
      <c r="AA8" s="273"/>
      <c r="AB8" s="341" t="s">
        <v>926</v>
      </c>
    </row>
    <row r="9" spans="1:28" ht="35.25" customHeight="1">
      <c r="A9" s="87">
        <v>8</v>
      </c>
      <c r="B9" s="258" t="s">
        <v>731</v>
      </c>
      <c r="C9" s="241">
        <v>45736</v>
      </c>
      <c r="D9" s="241">
        <v>45750</v>
      </c>
      <c r="E9" s="242" t="s">
        <v>98</v>
      </c>
      <c r="F9" s="187" t="s">
        <v>807</v>
      </c>
      <c r="G9" s="72" t="s">
        <v>927</v>
      </c>
      <c r="H9" s="16" t="s">
        <v>928</v>
      </c>
      <c r="I9" s="16" t="s">
        <v>13</v>
      </c>
      <c r="J9" s="16">
        <v>1</v>
      </c>
      <c r="K9" s="16">
        <v>1</v>
      </c>
      <c r="L9" s="16">
        <v>8</v>
      </c>
      <c r="M9" s="16" t="s">
        <v>93</v>
      </c>
      <c r="N9" s="16" t="s">
        <v>93</v>
      </c>
      <c r="O9" s="16" t="s">
        <v>93</v>
      </c>
      <c r="P9" s="16" t="s">
        <v>93</v>
      </c>
      <c r="Q9" s="16" t="s">
        <v>93</v>
      </c>
      <c r="R9" s="16" t="s">
        <v>93</v>
      </c>
      <c r="S9" s="16" t="s">
        <v>93</v>
      </c>
      <c r="T9" s="16" t="s">
        <v>93</v>
      </c>
      <c r="U9" s="16" t="s">
        <v>93</v>
      </c>
      <c r="V9" s="16" t="s">
        <v>93</v>
      </c>
      <c r="W9" s="16" t="s">
        <v>93</v>
      </c>
      <c r="X9" s="16" t="s">
        <v>93</v>
      </c>
      <c r="Y9" s="16" t="s">
        <v>93</v>
      </c>
      <c r="Z9" s="16" t="s">
        <v>93</v>
      </c>
      <c r="AA9" s="271" t="s">
        <v>93</v>
      </c>
      <c r="AB9" s="103" t="s">
        <v>916</v>
      </c>
    </row>
    <row r="10" spans="1:28" ht="35.25" customHeight="1">
      <c r="A10" s="87">
        <v>9</v>
      </c>
      <c r="B10" s="258" t="s">
        <v>731</v>
      </c>
      <c r="C10" s="241">
        <v>45736</v>
      </c>
      <c r="D10" s="241">
        <v>45750</v>
      </c>
      <c r="E10" s="242" t="s">
        <v>904</v>
      </c>
      <c r="F10" s="187" t="s">
        <v>807</v>
      </c>
      <c r="G10" s="72" t="s">
        <v>929</v>
      </c>
      <c r="H10" s="79" t="s">
        <v>930</v>
      </c>
      <c r="I10" s="16" t="s">
        <v>13</v>
      </c>
      <c r="J10" s="16">
        <v>1</v>
      </c>
      <c r="K10" s="16">
        <v>1</v>
      </c>
      <c r="L10" s="16">
        <v>1</v>
      </c>
      <c r="M10" s="16" t="s">
        <v>93</v>
      </c>
      <c r="N10" s="16" t="s">
        <v>93</v>
      </c>
      <c r="O10" s="16" t="s">
        <v>93</v>
      </c>
      <c r="P10" s="16" t="s">
        <v>93</v>
      </c>
      <c r="Q10" s="16" t="s">
        <v>93</v>
      </c>
      <c r="R10" s="16" t="s">
        <v>93</v>
      </c>
      <c r="S10" s="16" t="s">
        <v>93</v>
      </c>
      <c r="T10" s="16" t="s">
        <v>93</v>
      </c>
      <c r="U10" s="16" t="s">
        <v>93</v>
      </c>
      <c r="V10" s="16" t="s">
        <v>93</v>
      </c>
      <c r="W10" s="16" t="s">
        <v>93</v>
      </c>
      <c r="X10" s="16" t="s">
        <v>93</v>
      </c>
      <c r="Y10" s="16" t="s">
        <v>93</v>
      </c>
      <c r="Z10" s="16" t="s">
        <v>93</v>
      </c>
      <c r="AA10" s="271" t="s">
        <v>93</v>
      </c>
      <c r="AB10" s="87" t="s">
        <v>925</v>
      </c>
    </row>
    <row r="11" spans="1:28" ht="35.25" customHeight="1">
      <c r="A11" s="87">
        <v>10</v>
      </c>
      <c r="B11" s="258" t="s">
        <v>731</v>
      </c>
      <c r="C11" s="241">
        <v>45736</v>
      </c>
      <c r="D11" s="241">
        <v>45750</v>
      </c>
      <c r="E11" s="242" t="s">
        <v>904</v>
      </c>
      <c r="F11" s="187" t="s">
        <v>807</v>
      </c>
      <c r="G11" s="72" t="s">
        <v>931</v>
      </c>
      <c r="H11" s="79" t="s">
        <v>932</v>
      </c>
      <c r="I11" s="16" t="s">
        <v>13</v>
      </c>
      <c r="J11" s="16">
        <v>1</v>
      </c>
      <c r="K11" s="16">
        <v>1</v>
      </c>
      <c r="L11" s="16">
        <v>2</v>
      </c>
      <c r="M11" s="16" t="s">
        <v>93</v>
      </c>
      <c r="N11" s="16" t="s">
        <v>93</v>
      </c>
      <c r="O11" s="16" t="s">
        <v>93</v>
      </c>
      <c r="P11" s="16" t="s">
        <v>93</v>
      </c>
      <c r="Q11" s="16" t="s">
        <v>93</v>
      </c>
      <c r="R11" s="16" t="s">
        <v>93</v>
      </c>
      <c r="S11" s="16" t="s">
        <v>93</v>
      </c>
      <c r="T11" s="16" t="s">
        <v>93</v>
      </c>
      <c r="U11" s="16" t="s">
        <v>93</v>
      </c>
      <c r="V11" s="16" t="s">
        <v>93</v>
      </c>
      <c r="W11" s="16" t="s">
        <v>93</v>
      </c>
      <c r="X11" s="16" t="s">
        <v>93</v>
      </c>
      <c r="Y11" s="16" t="s">
        <v>93</v>
      </c>
      <c r="Z11" s="16" t="s">
        <v>93</v>
      </c>
      <c r="AA11" s="16" t="s">
        <v>93</v>
      </c>
      <c r="AB11" s="342" t="s">
        <v>885</v>
      </c>
    </row>
    <row r="12" spans="1:28" ht="35.25" customHeight="1">
      <c r="A12" s="87">
        <v>11</v>
      </c>
      <c r="B12" s="258" t="s">
        <v>731</v>
      </c>
      <c r="C12" s="241">
        <v>45736</v>
      </c>
      <c r="D12" s="241">
        <v>45750</v>
      </c>
      <c r="E12" s="242" t="s">
        <v>904</v>
      </c>
      <c r="F12" s="187" t="s">
        <v>807</v>
      </c>
      <c r="G12" s="72" t="s">
        <v>933</v>
      </c>
      <c r="H12" s="79" t="s">
        <v>932</v>
      </c>
      <c r="I12" s="16" t="s">
        <v>13</v>
      </c>
      <c r="J12" s="16">
        <v>1</v>
      </c>
      <c r="K12" s="16">
        <v>1</v>
      </c>
      <c r="L12" s="16">
        <v>2</v>
      </c>
      <c r="M12" s="16" t="s">
        <v>93</v>
      </c>
      <c r="N12" s="16" t="s">
        <v>93</v>
      </c>
      <c r="O12" s="16" t="s">
        <v>93</v>
      </c>
      <c r="P12" s="16" t="s">
        <v>93</v>
      </c>
      <c r="Q12" s="16" t="s">
        <v>93</v>
      </c>
      <c r="R12" s="16" t="s">
        <v>93</v>
      </c>
      <c r="S12" s="16" t="s">
        <v>93</v>
      </c>
      <c r="T12" s="16" t="s">
        <v>93</v>
      </c>
      <c r="U12" s="16" t="s">
        <v>93</v>
      </c>
      <c r="V12" s="16" t="s">
        <v>93</v>
      </c>
      <c r="W12" s="16" t="s">
        <v>93</v>
      </c>
      <c r="X12" s="16" t="s">
        <v>93</v>
      </c>
      <c r="Y12" s="16" t="s">
        <v>93</v>
      </c>
      <c r="Z12" s="16" t="s">
        <v>93</v>
      </c>
      <c r="AA12" s="16" t="s">
        <v>93</v>
      </c>
      <c r="AB12" s="340" t="s">
        <v>885</v>
      </c>
    </row>
    <row r="13" spans="1:28" ht="35.25" customHeight="1">
      <c r="A13" s="87">
        <v>12</v>
      </c>
      <c r="B13" s="258" t="s">
        <v>731</v>
      </c>
      <c r="C13" s="241">
        <v>45736</v>
      </c>
      <c r="D13" s="241">
        <v>45750</v>
      </c>
      <c r="E13" s="242" t="s">
        <v>904</v>
      </c>
      <c r="F13" s="187" t="s">
        <v>807</v>
      </c>
      <c r="G13" s="72" t="s">
        <v>934</v>
      </c>
      <c r="H13" s="79" t="s">
        <v>935</v>
      </c>
      <c r="I13" s="16" t="s">
        <v>13</v>
      </c>
      <c r="J13" s="16">
        <v>1</v>
      </c>
      <c r="K13" s="16">
        <v>1</v>
      </c>
      <c r="L13" s="43">
        <v>1</v>
      </c>
      <c r="M13" s="16" t="s">
        <v>93</v>
      </c>
      <c r="N13" s="16" t="s">
        <v>93</v>
      </c>
      <c r="O13" s="16" t="s">
        <v>93</v>
      </c>
      <c r="P13" s="16" t="s">
        <v>93</v>
      </c>
      <c r="Q13" s="16" t="s">
        <v>93</v>
      </c>
      <c r="R13" s="16" t="s">
        <v>93</v>
      </c>
      <c r="S13" s="16" t="s">
        <v>93</v>
      </c>
      <c r="T13" s="16" t="s">
        <v>93</v>
      </c>
      <c r="U13" s="16" t="s">
        <v>93</v>
      </c>
      <c r="V13" s="16" t="s">
        <v>93</v>
      </c>
      <c r="W13" s="16" t="s">
        <v>93</v>
      </c>
      <c r="X13" s="16" t="s">
        <v>93</v>
      </c>
      <c r="Y13" s="16" t="s">
        <v>93</v>
      </c>
      <c r="Z13" s="16" t="s">
        <v>93</v>
      </c>
      <c r="AA13" s="271" t="s">
        <v>93</v>
      </c>
      <c r="AB13" s="87" t="s">
        <v>916</v>
      </c>
    </row>
    <row r="14" spans="1:28" ht="35.25" customHeight="1">
      <c r="A14" s="103">
        <v>13</v>
      </c>
      <c r="B14" s="261" t="s">
        <v>731</v>
      </c>
      <c r="C14" s="262">
        <v>45736</v>
      </c>
      <c r="D14" s="262">
        <v>45750</v>
      </c>
      <c r="E14" s="251" t="s">
        <v>904</v>
      </c>
      <c r="F14" s="268" t="s">
        <v>807</v>
      </c>
      <c r="G14" s="346" t="s">
        <v>883</v>
      </c>
      <c r="H14" s="338" t="s">
        <v>884</v>
      </c>
      <c r="I14" s="338" t="s">
        <v>936</v>
      </c>
      <c r="J14" s="88">
        <v>1</v>
      </c>
      <c r="K14" s="88">
        <v>1</v>
      </c>
      <c r="L14" s="16">
        <v>7</v>
      </c>
      <c r="M14" s="88" t="s">
        <v>93</v>
      </c>
      <c r="N14" s="88" t="s">
        <v>93</v>
      </c>
      <c r="O14" s="88" t="s">
        <v>93</v>
      </c>
      <c r="P14" s="88" t="s">
        <v>93</v>
      </c>
      <c r="Q14" s="88" t="s">
        <v>93</v>
      </c>
      <c r="R14" s="88" t="s">
        <v>93</v>
      </c>
      <c r="S14" s="88" t="s">
        <v>93</v>
      </c>
      <c r="T14" s="88" t="s">
        <v>93</v>
      </c>
      <c r="U14" s="88" t="s">
        <v>93</v>
      </c>
      <c r="V14" s="88" t="s">
        <v>93</v>
      </c>
      <c r="W14" s="88" t="s">
        <v>93</v>
      </c>
      <c r="X14" s="88" t="s">
        <v>93</v>
      </c>
      <c r="Y14" s="88" t="s">
        <v>93</v>
      </c>
      <c r="Z14" s="88" t="s">
        <v>93</v>
      </c>
      <c r="AA14" s="88" t="s">
        <v>93</v>
      </c>
      <c r="AB14" s="347" t="s">
        <v>937</v>
      </c>
    </row>
    <row r="15" spans="1:28" s="87" customFormat="1" ht="35.25" customHeight="1">
      <c r="A15" s="87">
        <v>14</v>
      </c>
      <c r="B15" s="244" t="s">
        <v>731</v>
      </c>
      <c r="C15" s="241">
        <v>45736</v>
      </c>
      <c r="D15" s="241">
        <v>45750</v>
      </c>
      <c r="E15" s="242" t="s">
        <v>904</v>
      </c>
      <c r="F15" s="49" t="s">
        <v>938</v>
      </c>
      <c r="G15" s="72" t="s">
        <v>939</v>
      </c>
      <c r="H15" s="79" t="s">
        <v>940</v>
      </c>
      <c r="I15" s="16" t="s">
        <v>13</v>
      </c>
      <c r="J15" s="16">
        <v>2</v>
      </c>
      <c r="K15" s="16">
        <v>2</v>
      </c>
      <c r="L15" s="16">
        <v>1</v>
      </c>
      <c r="M15" s="16"/>
      <c r="N15" s="16"/>
      <c r="O15" s="16"/>
      <c r="P15" s="16"/>
      <c r="Q15" s="16"/>
      <c r="R15" s="348" t="s">
        <v>941</v>
      </c>
      <c r="S15" s="115">
        <v>45748</v>
      </c>
      <c r="T15" s="115">
        <v>45748</v>
      </c>
      <c r="U15" s="16" t="s">
        <v>275</v>
      </c>
      <c r="V15" s="88" t="s">
        <v>93</v>
      </c>
      <c r="W15" s="16" t="s">
        <v>942</v>
      </c>
      <c r="X15" s="16"/>
      <c r="Y15" s="16"/>
      <c r="Z15" s="16"/>
      <c r="AA15" s="16"/>
      <c r="AB15" s="329"/>
    </row>
    <row r="16" spans="1:28" s="87" customFormat="1" ht="35.25" customHeight="1">
      <c r="A16" s="87">
        <v>14</v>
      </c>
      <c r="B16" s="244" t="s">
        <v>731</v>
      </c>
      <c r="C16" s="241">
        <v>45736</v>
      </c>
      <c r="D16" s="241">
        <v>45750</v>
      </c>
      <c r="E16" s="242" t="s">
        <v>904</v>
      </c>
      <c r="F16" s="49" t="s">
        <v>943</v>
      </c>
      <c r="G16" s="72" t="s">
        <v>944</v>
      </c>
      <c r="H16" s="79" t="s">
        <v>945</v>
      </c>
      <c r="I16" s="16" t="s">
        <v>13</v>
      </c>
      <c r="J16" s="16">
        <v>1</v>
      </c>
      <c r="K16" s="16">
        <v>1</v>
      </c>
      <c r="L16" s="16">
        <v>1</v>
      </c>
      <c r="N16" s="5"/>
      <c r="P16" s="49"/>
      <c r="Q16" s="97"/>
      <c r="R16" s="348" t="s">
        <v>946</v>
      </c>
      <c r="S16" s="115">
        <v>45748</v>
      </c>
      <c r="T16" s="115">
        <v>45748</v>
      </c>
      <c r="U16" s="5" t="s">
        <v>275</v>
      </c>
      <c r="V16" s="88" t="s">
        <v>93</v>
      </c>
      <c r="W16" s="87" t="s">
        <v>947</v>
      </c>
      <c r="AB16" s="87" t="s">
        <v>948</v>
      </c>
    </row>
  </sheetData>
  <hyperlinks>
    <hyperlink ref="G5" r:id="rId1" display="https://greatergiving.atlassian.net/browse/GGO-14596" xr:uid="{2C532DAD-E948-4ACA-9A05-BE6338D968E8}"/>
    <hyperlink ref="G9" r:id="rId2" display="https://greatergiving.atlassian.net/browse/GGO-14161" xr:uid="{4852ED71-F4A7-4BCD-8111-ED53C8EABC36}"/>
    <hyperlink ref="R7" r:id="rId3" xr:uid="{DA5C0875-E637-4DBF-BE19-A6BF10D00CDD}"/>
    <hyperlink ref="R5" r:id="rId4" xr:uid="{BB689C46-816E-43F5-AEF1-DCCEA9CBFA15}"/>
    <hyperlink ref="R2" r:id="rId5" xr:uid="{75AF1961-91C4-402C-8312-1045034CF227}"/>
    <hyperlink ref="R6" r:id="rId6" xr:uid="{12E76D53-38A1-4B5E-AEA6-4E607A188F38}"/>
    <hyperlink ref="G10" r:id="rId7" display="https://greatergiving.atlassian.net/browse/GGO-14597" xr:uid="{7062E3F7-3FDA-440C-8A5A-C2C9FC15B949}"/>
    <hyperlink ref="G11" r:id="rId8" display="https://greatergiving.atlassian.net/browse/GGO-14597" xr:uid="{8C8D5B42-D8C0-4C4B-ACED-19D450DB07CB}"/>
    <hyperlink ref="G12" r:id="rId9" display="https://greatergiving.atlassian.net/browse/GGO-14592" xr:uid="{E62F5E86-AE6E-4C90-9407-8C87759F0A4B}"/>
    <hyperlink ref="G13" r:id="rId10" display="https://greatergiving.atlassian.net/browse/GGO-14592" xr:uid="{D01078F4-B18B-4CE9-B1CD-6527DEE1FEC4}"/>
    <hyperlink ref="G14" r:id="rId11" display="https://greatergiving.atlassian.net/browse/PAPI-839" xr:uid="{46E73D81-BDF2-423F-B7EC-05F9A83FC28B}"/>
    <hyperlink ref="G15" r:id="rId12" display="https://greatergiving.atlassian.net/browse/GGO-14602" xr:uid="{0E71E69E-765B-441B-BC6C-1D05CA247AC6}"/>
    <hyperlink ref="G16" r:id="rId13" display="https://greatergiving.atlassian.net/browse/GGO-14624" xr:uid="{B0594B48-181C-457B-9B54-436B179D95D1}"/>
    <hyperlink ref="R16" r:id="rId14" xr:uid="{B6714123-D453-4A61-8433-2521BA74C1A5}"/>
    <hyperlink ref="R15" r:id="rId15" xr:uid="{AE848560-F572-4F7F-BE8E-5AD089723A86}"/>
  </hyperlinks>
  <pageMargins left="0" right="0" top="0" bottom="0" header="0" footer="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CE72-0692-4FAA-9F6C-EE79B89353DB}">
  <sheetPr>
    <outlinePr summaryBelow="0" summaryRight="0"/>
  </sheetPr>
  <dimension ref="A1:N3"/>
  <sheetViews>
    <sheetView topLeftCell="E1" workbookViewId="0">
      <selection activeCell="H2" sqref="H2:N2"/>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9" customWidth="1"/>
    <col min="13" max="13" width="14.140625" style="289" customWidth="1"/>
    <col min="14" max="14" width="29" customWidth="1"/>
  </cols>
  <sheetData>
    <row r="1" spans="1:14" ht="13.5">
      <c r="A1" s="334" t="s">
        <v>234</v>
      </c>
      <c r="B1" s="42" t="s">
        <v>11</v>
      </c>
      <c r="C1" s="237" t="s">
        <v>350</v>
      </c>
      <c r="D1" s="237" t="s">
        <v>351</v>
      </c>
      <c r="E1" s="42" t="s">
        <v>236</v>
      </c>
      <c r="F1" s="237" t="s">
        <v>352</v>
      </c>
      <c r="G1" s="237" t="s">
        <v>353</v>
      </c>
      <c r="H1" s="42" t="s">
        <v>354</v>
      </c>
      <c r="I1" s="42" t="s">
        <v>355</v>
      </c>
      <c r="J1" s="42" t="s">
        <v>356</v>
      </c>
      <c r="K1" s="42" t="s">
        <v>239</v>
      </c>
      <c r="L1" s="335" t="s">
        <v>357</v>
      </c>
      <c r="M1" s="214" t="s">
        <v>358</v>
      </c>
      <c r="N1" s="214" t="s">
        <v>359</v>
      </c>
    </row>
    <row r="2" spans="1:14" s="99" customFormat="1" ht="133.5" customHeight="1">
      <c r="B2" s="242" t="s">
        <v>98</v>
      </c>
      <c r="C2" s="197" t="s">
        <v>909</v>
      </c>
      <c r="D2" s="197" t="s">
        <v>93</v>
      </c>
      <c r="E2" s="242" t="s">
        <v>275</v>
      </c>
      <c r="F2" s="212" t="s">
        <v>623</v>
      </c>
      <c r="G2" s="159" t="s">
        <v>910</v>
      </c>
      <c r="H2" s="10" t="s">
        <v>860</v>
      </c>
      <c r="I2" s="212" t="s">
        <v>626</v>
      </c>
      <c r="J2" s="10" t="s">
        <v>861</v>
      </c>
      <c r="K2" s="212" t="s">
        <v>812</v>
      </c>
      <c r="L2" s="5" t="s">
        <v>949</v>
      </c>
      <c r="M2" s="109" t="s">
        <v>739</v>
      </c>
      <c r="N2" s="87" t="s">
        <v>950</v>
      </c>
    </row>
    <row r="3" spans="1:14" s="99" customFormat="1" ht="80.25" customHeight="1">
      <c r="B3" s="242" t="s">
        <v>98</v>
      </c>
      <c r="C3" s="197" t="s">
        <v>905</v>
      </c>
      <c r="D3" s="197" t="s">
        <v>93</v>
      </c>
      <c r="E3" s="242" t="s">
        <v>275</v>
      </c>
      <c r="F3" s="212" t="s">
        <v>623</v>
      </c>
      <c r="G3" s="159" t="s">
        <v>906</v>
      </c>
      <c r="H3" s="10" t="s">
        <v>860</v>
      </c>
      <c r="I3" s="212" t="s">
        <v>626</v>
      </c>
      <c r="J3" s="10" t="s">
        <v>861</v>
      </c>
      <c r="K3" s="212" t="s">
        <v>812</v>
      </c>
      <c r="L3" s="5" t="s">
        <v>949</v>
      </c>
      <c r="M3" s="109" t="s">
        <v>951</v>
      </c>
      <c r="N3" s="87" t="s">
        <v>952</v>
      </c>
    </row>
  </sheetData>
  <autoFilter ref="A1:M1" xr:uid="{3A2BB050-11AC-4ED7-A296-96B42C7FCFBA}"/>
  <dataValidations count="5">
    <dataValidation type="list" allowBlank="1" showErrorMessage="1" sqref="I2:I3" xr:uid="{79F88FE8-A3D2-423B-99F8-22F3F156183E}">
      <formula1>"Manual, Automation"</formula1>
    </dataValidation>
    <dataValidation type="list" allowBlank="1" showErrorMessage="1" sqref="F2:F3" xr:uid="{32FFB0C2-F871-42BE-9F96-CB012940EA1E}">
      <formula1>"Bounceback/Sub-Defect,Defect,None"</formula1>
    </dataValidation>
    <dataValidation type="list" allowBlank="1" showErrorMessage="1" sqref="H2:H3" xr:uid="{DF5B0B94-533D-4190-9CC8-735EC5793A15}">
      <formula1>"Minor,Significant,Major"</formula1>
    </dataValidation>
    <dataValidation type="list" allowBlank="1" showErrorMessage="1" sqref="J2:J3" xr:uid="{5E9C9BA0-8DC1-4D74-B97E-BB2CB4B1E394}">
      <formula1>"Internal,External"</formula1>
    </dataValidation>
    <dataValidation type="list" allowBlank="1" showErrorMessage="1" sqref="K1:K1048576" xr:uid="{E972BC2E-0214-4EE1-B3E1-A097A6FE657E}">
      <formula1>"Open,Inprogress,Closed, Rejected"</formula1>
    </dataValidation>
  </dataValidations>
  <hyperlinks>
    <hyperlink ref="C2" r:id="rId1" display="https://greatergiving.atlassian.net/browse/GGO-14626" xr:uid="{23A9142A-72C8-4D32-A06D-11BDC7E53F51}"/>
    <hyperlink ref="C3" r:id="rId2" display="https://greatergiving.atlassian.net/browse/GGO-14621" xr:uid="{09844457-0807-44E3-BE67-B74BFAC26CB4}"/>
  </hyperlinks>
  <pageMargins left="0" right="0" top="0" bottom="0" header="0" footer="0"/>
  <legacyDrawing r:id="rId3"/>
  <extLst>
    <ext xmlns:x14="http://schemas.microsoft.com/office/spreadsheetml/2009/9/main" uri="{CCE6A557-97BC-4b89-ADB6-D9C93CAAB3DF}">
      <x14:dataValidations xmlns:xm="http://schemas.microsoft.com/office/excel/2006/main" count="1">
        <x14:dataValidation type="list" allowBlank="1" showErrorMessage="1" xr:uid="{A9F3A923-D5BF-4FDB-B619-36DF84370A26}">
          <x14:formula1>
            <xm:f>Details!$A$2:$A$10</xm:f>
          </x14:formula1>
          <xm:sqref>L2:L3</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21E7-05E6-4E17-B5B6-3CC364C2DBCE}">
  <sheetPr>
    <outlinePr summaryBelow="0" summaryRight="0"/>
  </sheetPr>
  <dimension ref="A1:AB15"/>
  <sheetViews>
    <sheetView showGridLines="0" workbookViewId="0">
      <pane xSplit="7" ySplit="1" topLeftCell="H2" activePane="bottomRight" state="frozen"/>
      <selection pane="bottomRight" activeCell="C3" sqref="C3"/>
      <selection pane="bottomLeft" activeCell="A3" sqref="A3"/>
      <selection pane="topRight" activeCell="F1" sqref="F1"/>
    </sheetView>
  </sheetViews>
  <sheetFormatPr defaultColWidth="12.5703125" defaultRowHeight="35.25" customHeight="1"/>
  <cols>
    <col min="1" max="1" width="5.140625" style="43" customWidth="1"/>
    <col min="2" max="2" width="9.7109375" style="43" customWidth="1"/>
    <col min="3" max="3" width="13.85546875" style="43" customWidth="1"/>
    <col min="4" max="4" width="12.5703125" style="43" customWidth="1"/>
    <col min="5" max="5" width="14.5703125" style="43" customWidth="1"/>
    <col min="6" max="6" width="16.8554687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customFormat="1" ht="36.75" customHeight="1">
      <c r="A1" s="245" t="s">
        <v>234</v>
      </c>
      <c r="B1" s="57" t="s">
        <v>4</v>
      </c>
      <c r="C1" s="57" t="s">
        <v>2</v>
      </c>
      <c r="D1" s="57" t="s">
        <v>3</v>
      </c>
      <c r="E1" s="246" t="s">
        <v>235</v>
      </c>
      <c r="F1" s="247" t="s">
        <v>236</v>
      </c>
      <c r="G1" s="248" t="s">
        <v>515</v>
      </c>
      <c r="H1" s="248" t="s">
        <v>238</v>
      </c>
      <c r="I1" s="248"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8" t="s">
        <v>255</v>
      </c>
      <c r="X1" s="248" t="s">
        <v>256</v>
      </c>
      <c r="Y1" s="248" t="s">
        <v>487</v>
      </c>
      <c r="Z1" s="248" t="s">
        <v>465</v>
      </c>
      <c r="AA1" s="248" t="s">
        <v>466</v>
      </c>
      <c r="AB1" s="249" t="s">
        <v>260</v>
      </c>
    </row>
    <row r="2" spans="1:28" s="87" customFormat="1" ht="60.75" customHeight="1">
      <c r="A2" s="87">
        <v>1</v>
      </c>
      <c r="B2" s="244" t="s">
        <v>731</v>
      </c>
      <c r="C2" s="241">
        <v>45723</v>
      </c>
      <c r="D2" s="241">
        <v>45736</v>
      </c>
      <c r="E2" s="242" t="s">
        <v>94</v>
      </c>
      <c r="F2" s="49" t="s">
        <v>275</v>
      </c>
      <c r="G2" s="72" t="s">
        <v>953</v>
      </c>
      <c r="H2" s="85" t="s">
        <v>954</v>
      </c>
      <c r="I2" s="16" t="s">
        <v>13</v>
      </c>
      <c r="J2" s="16">
        <v>2</v>
      </c>
      <c r="K2" s="16">
        <v>2</v>
      </c>
      <c r="L2" s="16">
        <v>22</v>
      </c>
      <c r="M2" s="87" t="s">
        <v>275</v>
      </c>
      <c r="N2" s="5" t="s">
        <v>739</v>
      </c>
      <c r="O2" s="87" t="s">
        <v>907</v>
      </c>
      <c r="P2" s="49"/>
      <c r="Q2" s="97"/>
      <c r="R2" s="70" t="s">
        <v>955</v>
      </c>
      <c r="S2" s="86">
        <v>45722</v>
      </c>
      <c r="T2" s="86">
        <v>45723</v>
      </c>
      <c r="U2" s="5" t="s">
        <v>275</v>
      </c>
      <c r="W2" s="87" t="s">
        <v>741</v>
      </c>
      <c r="X2" s="86">
        <v>45723</v>
      </c>
      <c r="AB2" s="87" t="s">
        <v>956</v>
      </c>
    </row>
    <row r="3" spans="1:28" ht="60.75" customHeight="1">
      <c r="A3" s="103">
        <v>2</v>
      </c>
      <c r="B3" s="244" t="s">
        <v>731</v>
      </c>
      <c r="C3" s="241">
        <v>45723</v>
      </c>
      <c r="D3" s="241">
        <v>45736</v>
      </c>
      <c r="E3" s="242" t="s">
        <v>94</v>
      </c>
      <c r="F3" s="49" t="s">
        <v>275</v>
      </c>
      <c r="G3" s="104" t="s">
        <v>957</v>
      </c>
      <c r="H3" s="315" t="s">
        <v>958</v>
      </c>
      <c r="I3" s="16" t="s">
        <v>13</v>
      </c>
      <c r="J3" s="269">
        <v>2</v>
      </c>
      <c r="K3" s="88">
        <v>2</v>
      </c>
      <c r="L3" s="88">
        <v>2.25</v>
      </c>
      <c r="M3" s="103" t="s">
        <v>275</v>
      </c>
      <c r="N3" s="89"/>
      <c r="O3" s="103"/>
      <c r="P3" s="122"/>
      <c r="Q3" s="110"/>
      <c r="R3" s="105" t="s">
        <v>959</v>
      </c>
      <c r="S3" s="93">
        <v>45723</v>
      </c>
      <c r="T3" s="93">
        <v>45724</v>
      </c>
      <c r="U3" s="89" t="s">
        <v>275</v>
      </c>
      <c r="V3" s="103"/>
      <c r="W3" s="87" t="s">
        <v>960</v>
      </c>
      <c r="X3" s="93">
        <v>45724</v>
      </c>
      <c r="Y3" s="103"/>
      <c r="Z3" s="103"/>
      <c r="AA3" s="103"/>
      <c r="AB3" s="103"/>
    </row>
    <row r="4" spans="1:28" ht="35.25" customHeight="1">
      <c r="A4" s="103">
        <v>3</v>
      </c>
      <c r="B4" s="244" t="s">
        <v>731</v>
      </c>
      <c r="C4" s="241">
        <v>45723</v>
      </c>
      <c r="D4" s="241">
        <v>45736</v>
      </c>
      <c r="E4" s="242" t="s">
        <v>94</v>
      </c>
      <c r="F4" s="251" t="s">
        <v>961</v>
      </c>
      <c r="G4" s="104" t="s">
        <v>811</v>
      </c>
      <c r="H4" s="273" t="s">
        <v>962</v>
      </c>
      <c r="I4" s="16" t="s">
        <v>13</v>
      </c>
      <c r="J4" s="269">
        <v>3</v>
      </c>
      <c r="K4" s="88">
        <v>3</v>
      </c>
      <c r="L4" s="88">
        <v>45.5</v>
      </c>
      <c r="M4" s="103" t="s">
        <v>963</v>
      </c>
      <c r="N4" s="89" t="s">
        <v>739</v>
      </c>
      <c r="O4" s="87" t="s">
        <v>907</v>
      </c>
      <c r="P4" s="122" t="s">
        <v>275</v>
      </c>
      <c r="Q4" s="110"/>
      <c r="R4" s="105" t="s">
        <v>964</v>
      </c>
      <c r="S4" s="93">
        <v>45727</v>
      </c>
      <c r="T4" s="93">
        <v>45727</v>
      </c>
      <c r="U4" s="89" t="s">
        <v>275</v>
      </c>
      <c r="V4" s="103"/>
      <c r="W4" s="103" t="s">
        <v>741</v>
      </c>
      <c r="X4" s="93">
        <v>45727</v>
      </c>
      <c r="Y4" s="103"/>
      <c r="Z4" s="103"/>
      <c r="AA4" s="103"/>
      <c r="AB4" s="103" t="s">
        <v>965</v>
      </c>
    </row>
    <row r="5" spans="1:28" ht="35.25" customHeight="1">
      <c r="A5" s="103">
        <v>4</v>
      </c>
      <c r="B5" s="244" t="s">
        <v>731</v>
      </c>
      <c r="C5" s="241">
        <v>45723</v>
      </c>
      <c r="D5" s="241">
        <v>45736</v>
      </c>
      <c r="E5" s="242" t="s">
        <v>94</v>
      </c>
      <c r="F5" s="251" t="s">
        <v>743</v>
      </c>
      <c r="G5" s="104" t="s">
        <v>966</v>
      </c>
      <c r="H5" s="273" t="s">
        <v>967</v>
      </c>
      <c r="I5" s="88" t="s">
        <v>13</v>
      </c>
      <c r="J5" s="269">
        <v>2</v>
      </c>
      <c r="K5" s="88">
        <v>2</v>
      </c>
      <c r="L5" s="88">
        <v>14.25</v>
      </c>
      <c r="M5" s="103" t="s">
        <v>743</v>
      </c>
      <c r="N5" s="89" t="s">
        <v>738</v>
      </c>
      <c r="O5" s="103"/>
      <c r="P5" s="122" t="s">
        <v>275</v>
      </c>
      <c r="Q5" s="110"/>
      <c r="R5" s="105" t="s">
        <v>968</v>
      </c>
      <c r="S5" s="93">
        <v>45723</v>
      </c>
      <c r="T5" s="93">
        <v>45726</v>
      </c>
      <c r="U5" s="89" t="s">
        <v>275</v>
      </c>
      <c r="V5" s="103"/>
      <c r="W5" s="103" t="s">
        <v>741</v>
      </c>
      <c r="X5" s="93">
        <v>45727</v>
      </c>
      <c r="Y5" s="103"/>
      <c r="Z5" s="103"/>
      <c r="AA5" s="103"/>
      <c r="AB5" s="103" t="s">
        <v>969</v>
      </c>
    </row>
    <row r="6" spans="1:28" ht="35.25" customHeight="1">
      <c r="A6" s="103">
        <v>5</v>
      </c>
      <c r="B6" s="244" t="s">
        <v>731</v>
      </c>
      <c r="C6" s="241">
        <v>45723</v>
      </c>
      <c r="D6" s="241">
        <v>45736</v>
      </c>
      <c r="E6" s="242" t="s">
        <v>94</v>
      </c>
      <c r="F6" s="251" t="s">
        <v>275</v>
      </c>
      <c r="G6" s="104" t="s">
        <v>970</v>
      </c>
      <c r="H6" s="273" t="s">
        <v>971</v>
      </c>
      <c r="I6" s="16" t="s">
        <v>13</v>
      </c>
      <c r="J6" s="269">
        <v>2</v>
      </c>
      <c r="K6" s="88">
        <v>2</v>
      </c>
      <c r="L6" s="88">
        <v>2.25</v>
      </c>
      <c r="M6" s="103"/>
      <c r="N6" s="89"/>
      <c r="O6" s="103"/>
      <c r="P6" s="122"/>
      <c r="Q6" s="110"/>
      <c r="R6" s="105" t="s">
        <v>972</v>
      </c>
      <c r="S6" s="93">
        <v>45723</v>
      </c>
      <c r="T6" s="93">
        <v>45724</v>
      </c>
      <c r="U6" s="89" t="s">
        <v>275</v>
      </c>
      <c r="V6" s="103"/>
      <c r="W6" s="87" t="s">
        <v>960</v>
      </c>
      <c r="X6" s="93">
        <v>45724</v>
      </c>
      <c r="Y6" s="103"/>
      <c r="Z6" s="103"/>
      <c r="AA6" s="103"/>
      <c r="AB6" s="103"/>
    </row>
    <row r="7" spans="1:28" ht="35.25" customHeight="1">
      <c r="A7" s="103">
        <v>6</v>
      </c>
      <c r="B7" s="244" t="s">
        <v>731</v>
      </c>
      <c r="C7" s="241">
        <v>45723</v>
      </c>
      <c r="D7" s="241">
        <v>45736</v>
      </c>
      <c r="E7" s="242" t="s">
        <v>94</v>
      </c>
      <c r="F7" s="251" t="s">
        <v>743</v>
      </c>
      <c r="G7" s="104" t="s">
        <v>973</v>
      </c>
      <c r="H7" s="273" t="s">
        <v>974</v>
      </c>
      <c r="I7" s="16" t="s">
        <v>13</v>
      </c>
      <c r="J7" s="269">
        <v>2</v>
      </c>
      <c r="K7" s="88">
        <v>2</v>
      </c>
      <c r="L7" s="88">
        <v>33.75</v>
      </c>
      <c r="M7" s="103" t="s">
        <v>743</v>
      </c>
      <c r="N7" s="89" t="s">
        <v>275</v>
      </c>
      <c r="O7" s="103"/>
      <c r="P7" s="122" t="s">
        <v>738</v>
      </c>
      <c r="Q7" s="110"/>
      <c r="R7" s="105" t="s">
        <v>975</v>
      </c>
      <c r="S7" s="93">
        <v>45730</v>
      </c>
      <c r="T7" s="93">
        <v>45730</v>
      </c>
      <c r="U7" s="89" t="s">
        <v>275</v>
      </c>
      <c r="V7" s="103"/>
      <c r="W7" s="87" t="s">
        <v>960</v>
      </c>
      <c r="X7" s="93">
        <v>45730</v>
      </c>
      <c r="Y7" s="83"/>
      <c r="Z7" s="103"/>
      <c r="AA7" s="103"/>
      <c r="AB7" s="103" t="s">
        <v>976</v>
      </c>
    </row>
    <row r="8" spans="1:28" ht="35.25" customHeight="1">
      <c r="A8" s="103">
        <v>7</v>
      </c>
      <c r="B8" s="244" t="s">
        <v>731</v>
      </c>
      <c r="C8" s="241">
        <v>45723</v>
      </c>
      <c r="D8" s="241">
        <v>45736</v>
      </c>
      <c r="E8" s="242" t="s">
        <v>94</v>
      </c>
      <c r="F8" s="251" t="s">
        <v>275</v>
      </c>
      <c r="G8" s="104" t="s">
        <v>977</v>
      </c>
      <c r="H8" s="273" t="s">
        <v>978</v>
      </c>
      <c r="I8" s="16" t="s">
        <v>13</v>
      </c>
      <c r="J8" s="269">
        <v>2</v>
      </c>
      <c r="K8" s="88">
        <v>2</v>
      </c>
      <c r="L8" s="88">
        <v>11.75</v>
      </c>
      <c r="M8" s="103" t="s">
        <v>275</v>
      </c>
      <c r="N8" s="89" t="s">
        <v>743</v>
      </c>
      <c r="O8" s="103"/>
      <c r="P8" s="122" t="s">
        <v>743</v>
      </c>
      <c r="Q8" s="110"/>
      <c r="R8" s="105" t="s">
        <v>979</v>
      </c>
      <c r="S8" s="93">
        <v>45729</v>
      </c>
      <c r="T8" s="93">
        <v>45730</v>
      </c>
      <c r="U8" s="89" t="s">
        <v>275</v>
      </c>
      <c r="V8" s="103"/>
      <c r="W8" s="87" t="s">
        <v>960</v>
      </c>
      <c r="X8" s="93">
        <v>45730</v>
      </c>
      <c r="Y8" s="103"/>
      <c r="Z8" s="103"/>
      <c r="AA8" s="103"/>
      <c r="AB8" s="103" t="s">
        <v>976</v>
      </c>
    </row>
    <row r="9" spans="1:28" ht="35.25" customHeight="1">
      <c r="A9" s="103">
        <v>8</v>
      </c>
      <c r="B9" s="244" t="s">
        <v>731</v>
      </c>
      <c r="C9" s="241">
        <v>45723</v>
      </c>
      <c r="D9" s="241">
        <v>45736</v>
      </c>
      <c r="E9" s="242" t="s">
        <v>980</v>
      </c>
      <c r="F9" s="251" t="s">
        <v>981</v>
      </c>
      <c r="G9" s="104" t="s">
        <v>982</v>
      </c>
      <c r="H9" s="273" t="s">
        <v>983</v>
      </c>
      <c r="I9" s="88" t="s">
        <v>984</v>
      </c>
      <c r="J9" s="269">
        <v>5</v>
      </c>
      <c r="K9" s="88">
        <v>5</v>
      </c>
      <c r="L9" s="88">
        <v>72</v>
      </c>
      <c r="M9" s="103" t="s">
        <v>985</v>
      </c>
      <c r="N9" s="89" t="s">
        <v>739</v>
      </c>
      <c r="O9" s="87" t="s">
        <v>907</v>
      </c>
      <c r="P9" s="122" t="s">
        <v>743</v>
      </c>
      <c r="Q9" s="110"/>
      <c r="R9" s="105" t="s">
        <v>986</v>
      </c>
      <c r="S9" s="115">
        <v>45734</v>
      </c>
      <c r="T9" s="115">
        <v>45735</v>
      </c>
      <c r="U9" s="89" t="s">
        <v>275</v>
      </c>
      <c r="V9" s="103"/>
      <c r="W9" s="103" t="s">
        <v>741</v>
      </c>
      <c r="X9" s="314">
        <v>45735</v>
      </c>
      <c r="Y9" s="103"/>
      <c r="Z9" s="103"/>
      <c r="AA9" s="103"/>
      <c r="AB9" s="103" t="s">
        <v>987</v>
      </c>
    </row>
    <row r="10" spans="1:28" ht="35.25" customHeight="1">
      <c r="A10" s="103">
        <v>9</v>
      </c>
      <c r="B10" s="244" t="s">
        <v>731</v>
      </c>
      <c r="C10" s="241">
        <v>45723</v>
      </c>
      <c r="D10" s="241">
        <v>45736</v>
      </c>
      <c r="E10" s="242" t="s">
        <v>980</v>
      </c>
      <c r="F10" s="251" t="s">
        <v>988</v>
      </c>
      <c r="G10" s="104" t="s">
        <v>989</v>
      </c>
      <c r="H10" s="273" t="s">
        <v>983</v>
      </c>
      <c r="I10" s="88" t="s">
        <v>984</v>
      </c>
      <c r="J10" s="269">
        <v>2</v>
      </c>
      <c r="K10" s="88">
        <v>2</v>
      </c>
      <c r="L10" s="88">
        <v>11.5</v>
      </c>
      <c r="M10" s="103" t="s">
        <v>963</v>
      </c>
      <c r="N10" s="89" t="s">
        <v>739</v>
      </c>
      <c r="O10" s="103"/>
      <c r="P10" s="122" t="s">
        <v>743</v>
      </c>
      <c r="Q10" s="110"/>
      <c r="R10" s="105" t="s">
        <v>990</v>
      </c>
      <c r="S10" s="115">
        <v>45734</v>
      </c>
      <c r="T10" s="115">
        <v>45735</v>
      </c>
      <c r="U10" s="89" t="s">
        <v>275</v>
      </c>
      <c r="V10" s="103"/>
      <c r="W10" s="103" t="s">
        <v>741</v>
      </c>
      <c r="X10" s="314">
        <v>45735</v>
      </c>
      <c r="Y10" s="103"/>
      <c r="Z10" s="103"/>
      <c r="AA10" s="103"/>
      <c r="AB10" s="103" t="s">
        <v>991</v>
      </c>
    </row>
    <row r="11" spans="1:28" ht="35.25" customHeight="1">
      <c r="A11" s="103">
        <v>10</v>
      </c>
      <c r="B11" s="244" t="s">
        <v>731</v>
      </c>
      <c r="C11" s="241">
        <v>45723</v>
      </c>
      <c r="D11" s="241">
        <v>45736</v>
      </c>
      <c r="E11" s="242" t="s">
        <v>980</v>
      </c>
      <c r="F11" s="251" t="s">
        <v>275</v>
      </c>
      <c r="G11" s="104" t="s">
        <v>922</v>
      </c>
      <c r="H11" s="273" t="s">
        <v>992</v>
      </c>
      <c r="I11" s="88" t="s">
        <v>263</v>
      </c>
      <c r="J11" s="269">
        <v>3</v>
      </c>
      <c r="K11" s="88"/>
      <c r="L11" s="88">
        <v>14.5</v>
      </c>
      <c r="M11" s="103"/>
      <c r="N11" s="89"/>
      <c r="O11" s="103"/>
      <c r="P11" s="122"/>
      <c r="Q11" s="110"/>
      <c r="R11" s="105"/>
      <c r="S11" s="115"/>
      <c r="T11" s="115"/>
      <c r="U11" s="89"/>
      <c r="V11" s="103"/>
      <c r="W11" s="103"/>
      <c r="X11" s="314"/>
      <c r="Y11" s="103"/>
      <c r="Z11" s="103"/>
      <c r="AA11" s="103"/>
      <c r="AB11" s="103"/>
    </row>
    <row r="12" spans="1:28" ht="35.25" customHeight="1">
      <c r="A12" s="103">
        <v>11</v>
      </c>
      <c r="B12" s="244" t="s">
        <v>731</v>
      </c>
      <c r="C12" s="241">
        <v>45723</v>
      </c>
      <c r="D12" s="241">
        <v>45736</v>
      </c>
      <c r="E12" s="242" t="s">
        <v>94</v>
      </c>
      <c r="F12" s="251" t="s">
        <v>807</v>
      </c>
      <c r="G12" s="104" t="s">
        <v>993</v>
      </c>
      <c r="H12" s="273" t="s">
        <v>994</v>
      </c>
      <c r="I12" s="88" t="s">
        <v>13</v>
      </c>
      <c r="J12" s="269">
        <v>1</v>
      </c>
      <c r="K12" s="88">
        <v>1</v>
      </c>
      <c r="L12" s="88">
        <v>22</v>
      </c>
      <c r="M12" s="103"/>
      <c r="N12" s="89"/>
      <c r="O12" s="103"/>
      <c r="P12" s="122"/>
      <c r="Q12" s="110"/>
      <c r="R12" s="105"/>
      <c r="S12" s="115"/>
      <c r="T12" s="115"/>
      <c r="U12" s="89"/>
      <c r="V12" s="103"/>
      <c r="W12" s="103"/>
      <c r="X12" s="115"/>
      <c r="Y12" s="103"/>
      <c r="Z12" s="103"/>
      <c r="AA12" s="103"/>
      <c r="AB12" s="103" t="s">
        <v>995</v>
      </c>
    </row>
    <row r="13" spans="1:28" s="103" customFormat="1" ht="55.5" customHeight="1">
      <c r="A13" s="103">
        <v>12</v>
      </c>
      <c r="B13" s="244" t="s">
        <v>731</v>
      </c>
      <c r="C13" s="241">
        <v>45723</v>
      </c>
      <c r="D13" s="241">
        <v>45736</v>
      </c>
      <c r="E13" s="242" t="s">
        <v>94</v>
      </c>
      <c r="F13" s="251" t="s">
        <v>996</v>
      </c>
      <c r="G13" s="330" t="s">
        <v>997</v>
      </c>
      <c r="H13" s="88" t="s">
        <v>998</v>
      </c>
      <c r="I13" s="16" t="s">
        <v>13</v>
      </c>
      <c r="J13" s="269">
        <v>1</v>
      </c>
      <c r="K13" s="88">
        <v>1</v>
      </c>
      <c r="L13" s="88">
        <v>18</v>
      </c>
      <c r="R13" s="89"/>
      <c r="T13" s="122"/>
      <c r="U13" s="110"/>
      <c r="V13" s="89"/>
      <c r="W13" s="89"/>
      <c r="AA13" s="123"/>
      <c r="AB13" s="329" t="s">
        <v>885</v>
      </c>
    </row>
    <row r="14" spans="1:28" s="87" customFormat="1" ht="55.5" customHeight="1">
      <c r="A14" s="103">
        <v>13</v>
      </c>
      <c r="B14" s="244" t="s">
        <v>731</v>
      </c>
      <c r="C14" s="241">
        <v>45723</v>
      </c>
      <c r="D14" s="241">
        <v>45736</v>
      </c>
      <c r="E14" s="242" t="s">
        <v>94</v>
      </c>
      <c r="F14" s="251" t="s">
        <v>999</v>
      </c>
      <c r="G14" s="72" t="s">
        <v>1000</v>
      </c>
      <c r="H14" s="16" t="s">
        <v>1001</v>
      </c>
      <c r="I14" s="16" t="s">
        <v>13</v>
      </c>
      <c r="J14" s="269">
        <v>1</v>
      </c>
      <c r="K14" s="88">
        <v>1</v>
      </c>
      <c r="L14" s="16">
        <v>2</v>
      </c>
      <c r="M14" s="16"/>
      <c r="N14" s="16"/>
      <c r="O14" s="16"/>
      <c r="P14" s="16"/>
      <c r="Q14" s="16"/>
      <c r="R14" s="16"/>
      <c r="S14" s="16"/>
      <c r="T14" s="16"/>
      <c r="U14" s="16"/>
      <c r="V14" s="16"/>
      <c r="W14" s="16"/>
      <c r="X14" s="16"/>
      <c r="Y14" s="16"/>
      <c r="Z14" s="16"/>
      <c r="AA14" s="271"/>
      <c r="AB14" s="329" t="s">
        <v>885</v>
      </c>
    </row>
    <row r="15" spans="1:28" ht="35.25" customHeight="1">
      <c r="A15" s="103">
        <v>14</v>
      </c>
      <c r="B15" s="244" t="s">
        <v>731</v>
      </c>
      <c r="C15" s="241">
        <v>45723</v>
      </c>
      <c r="D15" s="241">
        <v>45736</v>
      </c>
      <c r="E15" s="242" t="s">
        <v>94</v>
      </c>
      <c r="F15" s="251" t="s">
        <v>807</v>
      </c>
      <c r="G15" s="113" t="s">
        <v>1002</v>
      </c>
      <c r="H15" s="23" t="s">
        <v>1003</v>
      </c>
      <c r="I15" s="16" t="s">
        <v>13</v>
      </c>
      <c r="J15" s="269">
        <v>1</v>
      </c>
      <c r="K15" s="88">
        <v>1</v>
      </c>
      <c r="L15" s="88">
        <v>1</v>
      </c>
      <c r="M15" s="88"/>
      <c r="N15" s="88"/>
      <c r="O15" s="88"/>
      <c r="P15" s="88"/>
      <c r="Q15" s="88"/>
      <c r="R15" s="88"/>
      <c r="S15" s="88"/>
      <c r="T15" s="88"/>
      <c r="U15" s="88"/>
      <c r="V15" s="88"/>
      <c r="W15" s="88"/>
      <c r="X15" s="88"/>
      <c r="Y15" s="88"/>
      <c r="Z15" s="88"/>
      <c r="AA15" s="273"/>
      <c r="AB15" s="329" t="s">
        <v>885</v>
      </c>
    </row>
  </sheetData>
  <hyperlinks>
    <hyperlink ref="R2" r:id="rId1" xr:uid="{62ACA9E7-701D-407E-A1CD-57FF7C83B39B}"/>
    <hyperlink ref="R3" r:id="rId2" xr:uid="{7F327471-2F4C-4FCF-AB1F-9C329245FF0A}"/>
    <hyperlink ref="R6" r:id="rId3" xr:uid="{DA0FB2A2-F3C5-4741-9BD6-39F136C6770C}"/>
    <hyperlink ref="R5" r:id="rId4" xr:uid="{47E38963-C6DE-4B2F-BA23-83B15F0698FA}"/>
    <hyperlink ref="R4" r:id="rId5" xr:uid="{4ED00CE6-1FD3-4F6A-9E98-F304A1C795DF}"/>
    <hyperlink ref="G12" r:id="rId6" display="https://greatergiving.atlassian.net/browse/GGO-14584" xr:uid="{FDE4747C-E379-44A3-ADAC-9B99768FE655}"/>
    <hyperlink ref="R7" r:id="rId7" xr:uid="{647B0A23-6D22-4625-B1C3-627E5629BC1F}"/>
    <hyperlink ref="R8" r:id="rId8" xr:uid="{58193E9A-635D-4C20-8B04-1EC89C4BFFF4}"/>
    <hyperlink ref="G13" r:id="rId9" display="https://greatergiving.atlassian.net/browse/PAPI-820" xr:uid="{65637190-40E6-4626-89A4-F475C13BFF05}"/>
    <hyperlink ref="G14" r:id="rId10" display="https://greatergiving.atlassian.net/browse/GGO-14596" xr:uid="{A58674FA-2804-4540-970E-A8764056A5B1}"/>
    <hyperlink ref="G15" r:id="rId11" display="https://greatergiving.atlassian.net/browse/PAPI-819" xr:uid="{00089266-7A74-40C5-9B43-EC5789433326}"/>
    <hyperlink ref="R9" r:id="rId12" xr:uid="{68B3735E-F61A-4502-B349-53383D8A6025}"/>
    <hyperlink ref="R10" r:id="rId13" xr:uid="{136B2103-C698-48A5-9915-D5387D178B2B}"/>
  </hyperlinks>
  <pageMargins left="0" right="0" top="0" bottom="0" header="0" footer="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6BE4-8610-4131-8D86-081947DA1ACA}">
  <sheetPr>
    <outlinePr summaryBelow="0" summaryRight="0"/>
  </sheetPr>
  <dimension ref="A1:N1"/>
  <sheetViews>
    <sheetView topLeftCell="B1" workbookViewId="0">
      <selection activeCell="G5" sqref="G5"/>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9" customWidth="1"/>
    <col min="13" max="13" width="14.140625" style="289" customWidth="1"/>
    <col min="14" max="14" width="14.140625" customWidth="1"/>
  </cols>
  <sheetData>
    <row r="1" spans="1:14" ht="13.5">
      <c r="A1" s="210" t="s">
        <v>234</v>
      </c>
      <c r="B1" s="1" t="s">
        <v>11</v>
      </c>
      <c r="C1" s="208" t="s">
        <v>350</v>
      </c>
      <c r="D1" s="208" t="s">
        <v>351</v>
      </c>
      <c r="E1" s="1" t="s">
        <v>236</v>
      </c>
      <c r="F1" s="208" t="s">
        <v>352</v>
      </c>
      <c r="G1" s="208" t="s">
        <v>353</v>
      </c>
      <c r="H1" s="1" t="s">
        <v>354</v>
      </c>
      <c r="I1" s="1" t="s">
        <v>355</v>
      </c>
      <c r="J1" s="1" t="s">
        <v>356</v>
      </c>
      <c r="K1" s="1" t="s">
        <v>239</v>
      </c>
      <c r="L1" s="286" t="s">
        <v>357</v>
      </c>
      <c r="M1" s="3" t="s">
        <v>358</v>
      </c>
      <c r="N1" s="3" t="s">
        <v>359</v>
      </c>
    </row>
  </sheetData>
  <autoFilter ref="A1:M1" xr:uid="{3A2BB050-11AC-4ED7-A296-96B42C7FCFBA}"/>
  <dataValidations count="5">
    <dataValidation type="list" allowBlank="1" showErrorMessage="1" sqref="K1:K1048576" xr:uid="{8F4ECDA6-9D97-4C6C-A567-9B4DB1228432}">
      <formula1>"Open,Inprogress,Closed, Rejected"</formula1>
    </dataValidation>
    <dataValidation type="list" allowBlank="1" showErrorMessage="1" sqref="J2:J5" xr:uid="{07D7C63C-7B25-4EDC-BE40-46A8237E5F4F}">
      <formula1>"Internal,External"</formula1>
    </dataValidation>
    <dataValidation type="list" allowBlank="1" showErrorMessage="1" sqref="H2:H5" xr:uid="{1D705083-2719-40AD-8143-7562508883C4}">
      <formula1>"Minor,Significant,Major"</formula1>
    </dataValidation>
    <dataValidation type="list" allowBlank="1" showErrorMessage="1" sqref="F2:F5" xr:uid="{EC82511D-F8D9-4089-A6E7-0E2D08438CAC}">
      <formula1>"Bounceback/Sub-Defect,Defect,None"</formula1>
    </dataValidation>
    <dataValidation type="list" allowBlank="1" showErrorMessage="1" sqref="I2:I5" xr:uid="{D6D74417-B0EC-4AB2-9B8E-751CCB6681F2}">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0DF17583-0B1E-4E8D-BBC6-2812479FCC9D}">
          <x14:formula1>
            <xm:f>Details!$A$2:$A$10</xm:f>
          </x14:formula1>
          <xm:sqref>L2:L5</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C847-0E39-4F9B-8C89-6D6990AE482D}">
  <sheetPr>
    <outlinePr summaryBelow="0" summaryRight="0"/>
  </sheetPr>
  <dimension ref="A1:AB13"/>
  <sheetViews>
    <sheetView showGridLines="0" workbookViewId="0">
      <pane xSplit="7" ySplit="1" topLeftCell="H10" activePane="bottomRight" state="frozen"/>
      <selection pane="bottomRight" activeCell="I5" sqref="I5"/>
      <selection pane="bottomLeft" activeCell="A3" sqref="A3"/>
      <selection pane="topRight" activeCell="F1" sqref="F1"/>
    </sheetView>
  </sheetViews>
  <sheetFormatPr defaultColWidth="12.5703125" defaultRowHeight="35.25" customHeight="1"/>
  <cols>
    <col min="1" max="1" width="5.140625" style="43" customWidth="1"/>
    <col min="2" max="2" width="9.7109375" style="43" customWidth="1"/>
    <col min="3" max="3" width="13.85546875" style="43" customWidth="1"/>
    <col min="4" max="4" width="12.5703125" style="43" customWidth="1"/>
    <col min="5" max="5" width="14.5703125" style="43" customWidth="1"/>
    <col min="6" max="6" width="14.14062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customFormat="1" ht="36.75" customHeight="1">
      <c r="A1" s="245" t="s">
        <v>234</v>
      </c>
      <c r="B1" s="57" t="s">
        <v>4</v>
      </c>
      <c r="C1" s="57" t="s">
        <v>2</v>
      </c>
      <c r="D1" s="57" t="s">
        <v>3</v>
      </c>
      <c r="E1" s="246" t="s">
        <v>235</v>
      </c>
      <c r="F1" s="247" t="s">
        <v>236</v>
      </c>
      <c r="G1" s="248" t="s">
        <v>515</v>
      </c>
      <c r="H1" s="248" t="s">
        <v>238</v>
      </c>
      <c r="I1" s="248"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8" t="s">
        <v>255</v>
      </c>
      <c r="X1" s="248" t="s">
        <v>256</v>
      </c>
      <c r="Y1" s="248" t="s">
        <v>487</v>
      </c>
      <c r="Z1" s="248" t="s">
        <v>465</v>
      </c>
      <c r="AA1" s="248" t="s">
        <v>466</v>
      </c>
      <c r="AB1" s="249" t="s">
        <v>260</v>
      </c>
    </row>
    <row r="2" spans="1:28" s="87" customFormat="1" ht="60.75" customHeight="1">
      <c r="A2" s="87">
        <v>1</v>
      </c>
      <c r="B2" s="244" t="str">
        <f>Dashboard!$J$1</f>
        <v>GGO Donor Wave</v>
      </c>
      <c r="C2" s="262">
        <v>45709</v>
      </c>
      <c r="D2" s="262">
        <v>45722</v>
      </c>
      <c r="E2" s="242" t="s">
        <v>90</v>
      </c>
      <c r="F2" s="49" t="s">
        <v>743</v>
      </c>
      <c r="G2" s="72" t="s">
        <v>1004</v>
      </c>
      <c r="H2" s="16" t="s">
        <v>1005</v>
      </c>
      <c r="I2" s="16" t="s">
        <v>13</v>
      </c>
      <c r="J2" s="16">
        <v>2</v>
      </c>
      <c r="K2" s="16">
        <v>2</v>
      </c>
      <c r="L2" s="16">
        <v>15.5</v>
      </c>
      <c r="M2" s="87" t="s">
        <v>743</v>
      </c>
      <c r="N2" s="5" t="s">
        <v>739</v>
      </c>
      <c r="O2" s="87" t="s">
        <v>1006</v>
      </c>
      <c r="P2" s="49"/>
      <c r="Q2" s="97"/>
      <c r="R2" s="5"/>
      <c r="S2" s="5"/>
      <c r="T2" s="5"/>
      <c r="U2" s="5"/>
      <c r="AB2" s="87" t="s">
        <v>1007</v>
      </c>
    </row>
    <row r="3" spans="1:28" ht="35.25" customHeight="1">
      <c r="A3" s="103">
        <v>3</v>
      </c>
      <c r="B3" s="267" t="str">
        <f>Dashboard!$J$1</f>
        <v>GGO Donor Wave</v>
      </c>
      <c r="C3" s="262">
        <v>45709</v>
      </c>
      <c r="D3" s="262">
        <v>45722</v>
      </c>
      <c r="E3" s="251" t="s">
        <v>90</v>
      </c>
      <c r="F3" s="251" t="s">
        <v>1008</v>
      </c>
      <c r="G3" s="104" t="s">
        <v>1009</v>
      </c>
      <c r="H3" s="273" t="s">
        <v>1010</v>
      </c>
      <c r="I3" s="88" t="s">
        <v>13</v>
      </c>
      <c r="J3" s="269">
        <v>2</v>
      </c>
      <c r="K3" s="88">
        <v>1</v>
      </c>
      <c r="L3" s="88">
        <v>9</v>
      </c>
      <c r="M3" s="103" t="s">
        <v>738</v>
      </c>
      <c r="N3" s="89" t="s">
        <v>739</v>
      </c>
      <c r="O3" s="103" t="s">
        <v>93</v>
      </c>
      <c r="P3" s="122"/>
      <c r="Q3" s="110"/>
      <c r="R3" s="105" t="s">
        <v>1011</v>
      </c>
      <c r="S3" s="115">
        <v>45709</v>
      </c>
      <c r="T3" s="115"/>
      <c r="U3" s="89" t="s">
        <v>275</v>
      </c>
      <c r="V3" s="103"/>
      <c r="W3" s="103"/>
      <c r="X3" s="121"/>
      <c r="Y3" s="103"/>
      <c r="Z3" s="103"/>
      <c r="AA3" s="103"/>
      <c r="AB3" s="103" t="s">
        <v>1012</v>
      </c>
    </row>
    <row r="4" spans="1:28" ht="35.25" customHeight="1">
      <c r="A4" s="103">
        <v>4</v>
      </c>
      <c r="B4" s="267" t="s">
        <v>731</v>
      </c>
      <c r="C4" s="262">
        <v>45709</v>
      </c>
      <c r="D4" s="262">
        <v>45722</v>
      </c>
      <c r="E4" s="251" t="s">
        <v>90</v>
      </c>
      <c r="F4" s="251" t="s">
        <v>1008</v>
      </c>
      <c r="G4" s="104" t="s">
        <v>1013</v>
      </c>
      <c r="H4" s="273" t="s">
        <v>1014</v>
      </c>
      <c r="I4" s="88" t="s">
        <v>13</v>
      </c>
      <c r="J4" s="269">
        <v>2</v>
      </c>
      <c r="K4" s="88">
        <v>3</v>
      </c>
      <c r="L4" s="88">
        <v>40.25</v>
      </c>
      <c r="M4" s="103" t="s">
        <v>738</v>
      </c>
      <c r="N4" s="89" t="s">
        <v>739</v>
      </c>
      <c r="O4" s="103" t="s">
        <v>93</v>
      </c>
      <c r="P4" s="122"/>
      <c r="Q4" s="110"/>
      <c r="R4" s="105" t="s">
        <v>1015</v>
      </c>
      <c r="S4" s="115">
        <v>45714</v>
      </c>
      <c r="T4" s="115">
        <v>45714</v>
      </c>
      <c r="U4" s="89" t="s">
        <v>275</v>
      </c>
      <c r="V4" s="103"/>
      <c r="W4" s="103"/>
      <c r="X4" s="121"/>
      <c r="Y4" s="103"/>
      <c r="Z4" s="103"/>
      <c r="AA4" s="103"/>
      <c r="AB4" s="103" t="s">
        <v>1016</v>
      </c>
    </row>
    <row r="5" spans="1:28" ht="35.25" customHeight="1">
      <c r="A5" s="103">
        <v>5</v>
      </c>
      <c r="B5" s="267" t="s">
        <v>731</v>
      </c>
      <c r="C5" s="262">
        <v>45709</v>
      </c>
      <c r="D5" s="262">
        <v>45722</v>
      </c>
      <c r="E5" s="251" t="s">
        <v>90</v>
      </c>
      <c r="F5" s="251" t="s">
        <v>1017</v>
      </c>
      <c r="G5" s="316" t="s">
        <v>1018</v>
      </c>
      <c r="H5" s="273" t="s">
        <v>1019</v>
      </c>
      <c r="I5" s="88" t="s">
        <v>936</v>
      </c>
      <c r="J5" s="269">
        <v>5</v>
      </c>
      <c r="K5" s="88">
        <v>3</v>
      </c>
      <c r="L5" s="88">
        <v>75.25</v>
      </c>
      <c r="M5" s="103" t="s">
        <v>738</v>
      </c>
      <c r="N5" s="89"/>
      <c r="O5" s="103" t="s">
        <v>93</v>
      </c>
      <c r="P5" s="122"/>
      <c r="Q5" s="110"/>
      <c r="R5" s="105"/>
      <c r="S5" s="115"/>
      <c r="T5" s="115"/>
      <c r="U5" s="89"/>
      <c r="V5" s="103"/>
      <c r="W5" s="103" t="s">
        <v>825</v>
      </c>
      <c r="X5" s="314">
        <v>45714</v>
      </c>
      <c r="Y5" s="103"/>
      <c r="Z5" s="103"/>
      <c r="AA5" s="103"/>
      <c r="AB5" s="103" t="s">
        <v>1020</v>
      </c>
    </row>
    <row r="6" spans="1:28" ht="35.25" customHeight="1">
      <c r="A6" s="103">
        <v>6</v>
      </c>
      <c r="B6" s="267" t="s">
        <v>731</v>
      </c>
      <c r="C6" s="262">
        <v>45709</v>
      </c>
      <c r="D6" s="262">
        <v>45722</v>
      </c>
      <c r="E6" s="251" t="s">
        <v>90</v>
      </c>
      <c r="F6" s="251" t="s">
        <v>743</v>
      </c>
      <c r="G6" s="104" t="s">
        <v>1021</v>
      </c>
      <c r="H6" s="273" t="s">
        <v>1022</v>
      </c>
      <c r="I6" s="88" t="s">
        <v>13</v>
      </c>
      <c r="J6" s="269">
        <v>2</v>
      </c>
      <c r="K6" s="88">
        <v>2</v>
      </c>
      <c r="L6" s="88">
        <v>34.5</v>
      </c>
      <c r="M6" s="103" t="s">
        <v>743</v>
      </c>
      <c r="N6" s="89" t="s">
        <v>739</v>
      </c>
      <c r="O6" s="103"/>
      <c r="P6" s="122"/>
      <c r="Q6" s="110"/>
      <c r="R6" s="105" t="s">
        <v>1023</v>
      </c>
      <c r="S6" s="115">
        <v>45716</v>
      </c>
      <c r="T6" s="115">
        <v>45720</v>
      </c>
      <c r="U6" s="89" t="s">
        <v>275</v>
      </c>
      <c r="V6" s="103"/>
      <c r="W6" s="103" t="s">
        <v>825</v>
      </c>
      <c r="X6" s="115">
        <v>45721</v>
      </c>
      <c r="Y6" s="103"/>
      <c r="Z6" s="103"/>
      <c r="AA6" s="103"/>
      <c r="AB6" s="103" t="s">
        <v>1024</v>
      </c>
    </row>
    <row r="7" spans="1:28" ht="35.25" customHeight="1">
      <c r="A7" s="103">
        <v>7</v>
      </c>
      <c r="B7" s="267" t="s">
        <v>731</v>
      </c>
      <c r="C7" s="262">
        <v>45709</v>
      </c>
      <c r="D7" s="262">
        <v>45722</v>
      </c>
      <c r="E7" s="251" t="s">
        <v>90</v>
      </c>
      <c r="F7" s="251" t="s">
        <v>743</v>
      </c>
      <c r="G7" s="104" t="s">
        <v>1025</v>
      </c>
      <c r="H7" s="273" t="s">
        <v>1022</v>
      </c>
      <c r="I7" s="88" t="s">
        <v>13</v>
      </c>
      <c r="J7" s="269">
        <v>2</v>
      </c>
      <c r="K7" s="88">
        <v>2</v>
      </c>
      <c r="L7" s="88">
        <v>35.75</v>
      </c>
      <c r="M7" s="103" t="s">
        <v>743</v>
      </c>
      <c r="N7" s="89" t="s">
        <v>739</v>
      </c>
      <c r="O7" s="103"/>
      <c r="P7" s="122"/>
      <c r="Q7" s="110"/>
      <c r="R7" s="105" t="s">
        <v>1026</v>
      </c>
      <c r="S7" s="115">
        <v>45716</v>
      </c>
      <c r="T7" s="115">
        <v>45720</v>
      </c>
      <c r="U7" s="91" t="s">
        <v>275</v>
      </c>
      <c r="V7" s="87"/>
      <c r="W7" s="87" t="s">
        <v>825</v>
      </c>
      <c r="X7" s="71">
        <v>45721</v>
      </c>
      <c r="Y7" s="87"/>
      <c r="Z7" s="87"/>
      <c r="AA7" s="87"/>
      <c r="AB7" s="116" t="s">
        <v>1024</v>
      </c>
    </row>
    <row r="8" spans="1:28" ht="35.25" customHeight="1">
      <c r="A8" s="103">
        <v>8</v>
      </c>
      <c r="B8" s="267" t="s">
        <v>731</v>
      </c>
      <c r="C8" s="262">
        <v>45709</v>
      </c>
      <c r="D8" s="262">
        <v>45722</v>
      </c>
      <c r="E8" s="251" t="s">
        <v>1027</v>
      </c>
      <c r="F8" s="251" t="s">
        <v>743</v>
      </c>
      <c r="G8" s="104" t="s">
        <v>953</v>
      </c>
      <c r="H8" s="273" t="s">
        <v>954</v>
      </c>
      <c r="I8" s="88" t="s">
        <v>263</v>
      </c>
      <c r="J8" s="269">
        <v>2</v>
      </c>
      <c r="K8" s="88">
        <v>2</v>
      </c>
      <c r="L8" s="88">
        <v>31</v>
      </c>
      <c r="M8" s="103"/>
      <c r="N8" s="89"/>
      <c r="O8" s="103"/>
      <c r="P8" s="122"/>
      <c r="Q8" s="110"/>
      <c r="R8" s="105"/>
      <c r="S8" s="115"/>
      <c r="T8" s="115"/>
      <c r="U8" s="91"/>
      <c r="V8" s="87"/>
      <c r="W8" s="87"/>
      <c r="X8" s="144"/>
      <c r="Y8" s="87"/>
      <c r="Z8" s="87"/>
      <c r="AA8" s="87"/>
      <c r="AB8" s="116" t="s">
        <v>1028</v>
      </c>
    </row>
    <row r="9" spans="1:28" s="103" customFormat="1" ht="55.5" customHeight="1">
      <c r="A9" s="103">
        <v>8</v>
      </c>
      <c r="B9" s="267" t="str">
        <f>Dashboard!$J$1</f>
        <v>GGO Donor Wave</v>
      </c>
      <c r="C9" s="262">
        <v>45709</v>
      </c>
      <c r="D9" s="262">
        <v>45722</v>
      </c>
      <c r="E9" s="251" t="s">
        <v>90</v>
      </c>
      <c r="F9" s="89" t="s">
        <v>807</v>
      </c>
      <c r="G9" s="104" t="s">
        <v>1029</v>
      </c>
      <c r="H9" s="88" t="s">
        <v>1030</v>
      </c>
      <c r="I9" s="88" t="s">
        <v>13</v>
      </c>
      <c r="J9" s="88">
        <v>1</v>
      </c>
      <c r="K9" s="88">
        <v>1</v>
      </c>
      <c r="L9" s="88">
        <v>10</v>
      </c>
      <c r="R9" s="89"/>
      <c r="T9" s="122"/>
      <c r="U9" s="110"/>
      <c r="V9" s="317"/>
      <c r="W9" s="317"/>
      <c r="X9" s="195"/>
      <c r="Y9" s="195"/>
      <c r="Z9" s="195"/>
      <c r="AA9" s="195"/>
      <c r="AB9" s="195" t="s">
        <v>1031</v>
      </c>
    </row>
    <row r="10" spans="1:28" s="87" customFormat="1" ht="55.5" customHeight="1">
      <c r="A10" s="87">
        <v>9</v>
      </c>
      <c r="B10" s="244" t="str">
        <f>Dashboard!$J$1</f>
        <v>GGO Donor Wave</v>
      </c>
      <c r="C10" s="262">
        <v>45709</v>
      </c>
      <c r="D10" s="262">
        <v>45722</v>
      </c>
      <c r="E10" s="242" t="s">
        <v>90</v>
      </c>
      <c r="F10" s="5" t="s">
        <v>807</v>
      </c>
      <c r="G10" s="72" t="s">
        <v>1032</v>
      </c>
      <c r="H10" s="16" t="s">
        <v>1033</v>
      </c>
      <c r="I10" s="16" t="s">
        <v>13</v>
      </c>
      <c r="J10" s="16">
        <v>1</v>
      </c>
      <c r="K10" s="16">
        <v>1</v>
      </c>
      <c r="L10" s="16">
        <v>3</v>
      </c>
      <c r="M10" s="16" t="s">
        <v>93</v>
      </c>
      <c r="N10" s="16" t="s">
        <v>93</v>
      </c>
      <c r="O10" s="16" t="s">
        <v>93</v>
      </c>
      <c r="P10" s="16" t="s">
        <v>93</v>
      </c>
      <c r="Q10" s="16" t="s">
        <v>93</v>
      </c>
      <c r="R10" s="16" t="s">
        <v>93</v>
      </c>
      <c r="S10" s="16" t="s">
        <v>93</v>
      </c>
      <c r="T10" s="16" t="s">
        <v>93</v>
      </c>
      <c r="U10" s="16" t="s">
        <v>93</v>
      </c>
      <c r="V10" s="16" t="s">
        <v>93</v>
      </c>
      <c r="W10" s="16" t="s">
        <v>93</v>
      </c>
      <c r="X10" s="16" t="s">
        <v>93</v>
      </c>
      <c r="Y10" s="16" t="s">
        <v>93</v>
      </c>
      <c r="Z10" s="16" t="s">
        <v>93</v>
      </c>
      <c r="AA10" s="16" t="s">
        <v>93</v>
      </c>
      <c r="AB10" s="123" t="s">
        <v>1034</v>
      </c>
    </row>
    <row r="11" spans="1:28" ht="35.25" customHeight="1">
      <c r="A11" s="103">
        <v>10</v>
      </c>
      <c r="B11" s="319" t="str">
        <f>Dashboard!$J$1</f>
        <v>GGO Donor Wave</v>
      </c>
      <c r="C11" s="320">
        <v>45709</v>
      </c>
      <c r="D11" s="320">
        <v>45722</v>
      </c>
      <c r="E11" s="321" t="s">
        <v>90</v>
      </c>
      <c r="F11" s="322" t="s">
        <v>807</v>
      </c>
      <c r="G11" s="113" t="s">
        <v>1035</v>
      </c>
      <c r="H11" s="323" t="s">
        <v>1036</v>
      </c>
      <c r="I11" s="77" t="s">
        <v>13</v>
      </c>
      <c r="J11" s="324">
        <v>1</v>
      </c>
      <c r="K11" s="324">
        <v>1</v>
      </c>
      <c r="L11" s="324"/>
      <c r="M11" s="88" t="s">
        <v>93</v>
      </c>
      <c r="N11" s="88" t="s">
        <v>93</v>
      </c>
      <c r="O11" s="88" t="s">
        <v>93</v>
      </c>
      <c r="P11" s="88" t="s">
        <v>93</v>
      </c>
      <c r="Q11" s="88" t="s">
        <v>93</v>
      </c>
      <c r="R11" s="88" t="s">
        <v>93</v>
      </c>
      <c r="S11" s="88" t="s">
        <v>93</v>
      </c>
      <c r="T11" s="88" t="s">
        <v>93</v>
      </c>
      <c r="U11" s="88" t="s">
        <v>93</v>
      </c>
      <c r="V11" s="88" t="s">
        <v>93</v>
      </c>
      <c r="W11" s="88" t="s">
        <v>93</v>
      </c>
      <c r="X11" s="88" t="s">
        <v>93</v>
      </c>
      <c r="Y11" s="88" t="s">
        <v>93</v>
      </c>
      <c r="Z11" s="88" t="s">
        <v>93</v>
      </c>
      <c r="AA11" s="273" t="s">
        <v>93</v>
      </c>
      <c r="AB11" s="116" t="s">
        <v>1037</v>
      </c>
    </row>
    <row r="12" spans="1:28" s="87" customFormat="1" ht="35.25" customHeight="1">
      <c r="A12" s="116">
        <v>11</v>
      </c>
      <c r="B12" s="244" t="s">
        <v>731</v>
      </c>
      <c r="C12" s="241">
        <v>45709</v>
      </c>
      <c r="D12" s="241">
        <v>45722</v>
      </c>
      <c r="E12" s="318" t="s">
        <v>90</v>
      </c>
      <c r="F12" s="5" t="s">
        <v>807</v>
      </c>
      <c r="G12" s="104" t="s">
        <v>1038</v>
      </c>
      <c r="H12" s="88" t="s">
        <v>1039</v>
      </c>
      <c r="I12" s="16" t="s">
        <v>13</v>
      </c>
      <c r="J12" s="16">
        <v>1</v>
      </c>
      <c r="K12" s="16">
        <v>1</v>
      </c>
      <c r="L12" s="16">
        <v>6</v>
      </c>
      <c r="M12" s="16" t="s">
        <v>93</v>
      </c>
      <c r="N12" s="16" t="s">
        <v>93</v>
      </c>
      <c r="O12" s="16" t="s">
        <v>93</v>
      </c>
      <c r="P12" s="16" t="s">
        <v>93</v>
      </c>
      <c r="Q12" s="16" t="s">
        <v>93</v>
      </c>
      <c r="R12" s="16" t="s">
        <v>93</v>
      </c>
      <c r="S12" s="16" t="s">
        <v>93</v>
      </c>
      <c r="T12" s="16" t="s">
        <v>93</v>
      </c>
      <c r="U12" s="16" t="s">
        <v>93</v>
      </c>
      <c r="V12" s="16" t="s">
        <v>93</v>
      </c>
      <c r="W12" s="16" t="s">
        <v>93</v>
      </c>
      <c r="X12" s="16" t="s">
        <v>93</v>
      </c>
      <c r="Y12" s="16" t="s">
        <v>93</v>
      </c>
      <c r="Z12" s="16" t="s">
        <v>93</v>
      </c>
      <c r="AA12" s="16" t="s">
        <v>93</v>
      </c>
      <c r="AB12" s="142" t="s">
        <v>1040</v>
      </c>
    </row>
    <row r="13" spans="1:28" ht="35.25" customHeight="1">
      <c r="A13" s="116">
        <v>12</v>
      </c>
      <c r="B13" s="325" t="s">
        <v>731</v>
      </c>
      <c r="C13" s="326">
        <v>45709</v>
      </c>
      <c r="D13" s="326">
        <v>45722</v>
      </c>
      <c r="E13" s="327" t="s">
        <v>90</v>
      </c>
      <c r="F13" s="328" t="s">
        <v>807</v>
      </c>
      <c r="G13" s="113" t="s">
        <v>1041</v>
      </c>
      <c r="H13" s="77" t="s">
        <v>1042</v>
      </c>
      <c r="I13" s="77" t="s">
        <v>13</v>
      </c>
      <c r="J13" s="77">
        <v>1</v>
      </c>
      <c r="K13" s="77">
        <v>1</v>
      </c>
      <c r="L13" s="77"/>
      <c r="M13" s="16" t="s">
        <v>93</v>
      </c>
      <c r="N13" s="16" t="s">
        <v>93</v>
      </c>
      <c r="O13" s="16" t="s">
        <v>93</v>
      </c>
      <c r="P13" s="16" t="s">
        <v>93</v>
      </c>
      <c r="Q13" s="16" t="s">
        <v>93</v>
      </c>
      <c r="R13" s="16" t="s">
        <v>93</v>
      </c>
      <c r="S13" s="16" t="s">
        <v>93</v>
      </c>
      <c r="T13" s="16" t="s">
        <v>93</v>
      </c>
      <c r="U13" s="16" t="s">
        <v>93</v>
      </c>
      <c r="V13" s="16" t="s">
        <v>93</v>
      </c>
      <c r="W13" s="16" t="s">
        <v>93</v>
      </c>
      <c r="X13" s="16" t="s">
        <v>93</v>
      </c>
      <c r="Y13" s="16" t="s">
        <v>93</v>
      </c>
      <c r="Z13" s="16" t="s">
        <v>93</v>
      </c>
      <c r="AA13" s="16" t="s">
        <v>93</v>
      </c>
      <c r="AB13" s="87" t="s">
        <v>1043</v>
      </c>
    </row>
  </sheetData>
  <hyperlinks>
    <hyperlink ref="G2" r:id="rId1" display="https://greatergiving.atlassian.net/browse/GGO-14070" xr:uid="{F477B1D7-A211-4474-9DA5-F2D5900F969A}"/>
    <hyperlink ref="G9" r:id="rId2" display="https://greatergiving.atlassian.net/browse/GGO-14546" xr:uid="{8E48EF3C-E1DD-48BF-A8AB-2D24BF758102}"/>
    <hyperlink ref="R3" r:id="rId3" xr:uid="{9EC89A60-A61D-4107-925D-F04326D9E53B}"/>
    <hyperlink ref="G12" r:id="rId4" display="https://greatergiving.atlassian.net/browse/GGO-14509" xr:uid="{FE0FA3FE-0082-49A7-B307-89F7A086A093}"/>
    <hyperlink ref="G13" r:id="rId5" display="https://greatergiving.atlassian.net/browse/PAPI-812" xr:uid="{D04938CB-AE27-4075-A0C6-17707B221E89}"/>
    <hyperlink ref="R6" r:id="rId6" xr:uid="{D4E4242F-CDBB-4855-B578-073653533452}"/>
    <hyperlink ref="R7" r:id="rId7" xr:uid="{6422CAC9-718B-4D0D-AB9A-89E3F7406165}"/>
    <hyperlink ref="R4" r:id="rId8" xr:uid="{AFDD0544-55B9-4F48-B0B8-C0F7E138062D}"/>
  </hyperlinks>
  <pageMargins left="0" right="0" top="0" bottom="0" header="0" footer="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5D5F5-9DA0-49FD-AE46-12E6C89586A5}">
  <sheetPr>
    <outlinePr summaryBelow="0" summaryRight="0"/>
  </sheetPr>
  <dimension ref="A1:N5"/>
  <sheetViews>
    <sheetView topLeftCell="F1" workbookViewId="0">
      <selection activeCell="K4" sqref="K4:K5"/>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9" customWidth="1"/>
    <col min="13" max="13" width="14.140625" style="289" customWidth="1"/>
    <col min="14" max="14" width="14.140625" customWidth="1"/>
  </cols>
  <sheetData>
    <row r="1" spans="1:14" ht="13.5">
      <c r="A1" s="210" t="s">
        <v>234</v>
      </c>
      <c r="B1" s="1" t="s">
        <v>11</v>
      </c>
      <c r="C1" s="208" t="s">
        <v>350</v>
      </c>
      <c r="D1" s="208" t="s">
        <v>351</v>
      </c>
      <c r="E1" s="1" t="s">
        <v>236</v>
      </c>
      <c r="F1" s="208" t="s">
        <v>352</v>
      </c>
      <c r="G1" s="208" t="s">
        <v>353</v>
      </c>
      <c r="H1" s="1" t="s">
        <v>354</v>
      </c>
      <c r="I1" s="1" t="s">
        <v>355</v>
      </c>
      <c r="J1" s="1" t="s">
        <v>356</v>
      </c>
      <c r="K1" s="1" t="s">
        <v>239</v>
      </c>
      <c r="L1" s="286" t="s">
        <v>357</v>
      </c>
      <c r="M1" s="3" t="s">
        <v>358</v>
      </c>
      <c r="N1" s="3" t="s">
        <v>359</v>
      </c>
    </row>
    <row r="2" spans="1:14" ht="54.75" customHeight="1">
      <c r="B2" s="242" t="s">
        <v>90</v>
      </c>
      <c r="C2" s="197" t="s">
        <v>1044</v>
      </c>
      <c r="D2" s="197" t="s">
        <v>1045</v>
      </c>
      <c r="E2" s="242" t="s">
        <v>1008</v>
      </c>
      <c r="F2" s="212" t="s">
        <v>623</v>
      </c>
      <c r="G2" s="138" t="s">
        <v>1046</v>
      </c>
      <c r="H2" s="10" t="s">
        <v>860</v>
      </c>
      <c r="I2" s="212" t="s">
        <v>626</v>
      </c>
      <c r="J2" s="10" t="s">
        <v>861</v>
      </c>
      <c r="K2" s="274" t="s">
        <v>812</v>
      </c>
      <c r="L2" s="287" t="s">
        <v>862</v>
      </c>
      <c r="M2" s="109" t="s">
        <v>1047</v>
      </c>
      <c r="N2" s="99"/>
    </row>
    <row r="3" spans="1:14" ht="35.25" customHeight="1">
      <c r="B3" s="251" t="s">
        <v>90</v>
      </c>
      <c r="C3" s="272" t="s">
        <v>1048</v>
      </c>
      <c r="D3" s="272" t="s">
        <v>1004</v>
      </c>
      <c r="E3" s="251" t="s">
        <v>743</v>
      </c>
      <c r="F3" s="274" t="s">
        <v>623</v>
      </c>
      <c r="G3" s="138" t="s">
        <v>1049</v>
      </c>
      <c r="H3" s="216" t="s">
        <v>860</v>
      </c>
      <c r="I3" s="274" t="s">
        <v>626</v>
      </c>
      <c r="J3" s="216" t="s">
        <v>861</v>
      </c>
      <c r="K3" s="274" t="s">
        <v>812</v>
      </c>
      <c r="L3" s="288" t="s">
        <v>862</v>
      </c>
      <c r="M3" s="109" t="s">
        <v>739</v>
      </c>
      <c r="N3" s="99"/>
    </row>
    <row r="4" spans="1:14" ht="15.75" customHeight="1">
      <c r="B4" s="242" t="s">
        <v>90</v>
      </c>
      <c r="C4" s="197" t="s">
        <v>1050</v>
      </c>
      <c r="D4" s="197" t="s">
        <v>1004</v>
      </c>
      <c r="E4" s="99" t="s">
        <v>275</v>
      </c>
      <c r="F4" s="212" t="s">
        <v>623</v>
      </c>
      <c r="G4" s="99" t="s">
        <v>1051</v>
      </c>
      <c r="H4" s="10" t="s">
        <v>860</v>
      </c>
      <c r="I4" s="212" t="s">
        <v>626</v>
      </c>
      <c r="J4" s="211" t="s">
        <v>861</v>
      </c>
      <c r="K4" s="212" t="s">
        <v>812</v>
      </c>
      <c r="L4" s="292" t="s">
        <v>862</v>
      </c>
      <c r="M4" s="109" t="s">
        <v>739</v>
      </c>
      <c r="N4" s="99"/>
    </row>
    <row r="5" spans="1:14" ht="15.75" customHeight="1">
      <c r="B5" s="242" t="s">
        <v>90</v>
      </c>
      <c r="C5" s="197" t="s">
        <v>1018</v>
      </c>
      <c r="D5" s="313" t="s">
        <v>1052</v>
      </c>
      <c r="E5" t="s">
        <v>1017</v>
      </c>
      <c r="F5" s="212" t="s">
        <v>623</v>
      </c>
      <c r="G5" t="s">
        <v>1053</v>
      </c>
      <c r="H5" s="10" t="s">
        <v>860</v>
      </c>
      <c r="I5" s="212" t="s">
        <v>626</v>
      </c>
      <c r="J5" s="211" t="s">
        <v>861</v>
      </c>
      <c r="K5" s="212" t="s">
        <v>812</v>
      </c>
      <c r="L5" s="292" t="s">
        <v>862</v>
      </c>
      <c r="M5" s="289" t="s">
        <v>739</v>
      </c>
    </row>
  </sheetData>
  <autoFilter ref="A1:M1" xr:uid="{3A2BB050-11AC-4ED7-A296-96B42C7FCFBA}"/>
  <dataValidations count="5">
    <dataValidation type="list" allowBlank="1" showErrorMessage="1" sqref="I2:I5" xr:uid="{3B63B257-1E73-48E6-B18F-4C447B42979B}">
      <formula1>"Manual, Automation"</formula1>
    </dataValidation>
    <dataValidation type="list" allowBlank="1" showErrorMessage="1" sqref="F2:F5" xr:uid="{2EFAACCE-171E-4C14-AAF5-A1F52633CFA3}">
      <formula1>"Bounceback/Sub-Defect,Defect,None"</formula1>
    </dataValidation>
    <dataValidation type="list" allowBlank="1" showErrorMessage="1" sqref="H2:H5" xr:uid="{24084C49-81EF-4C60-B9FB-5E8819E1E84A}">
      <formula1>"Minor,Significant,Major"</formula1>
    </dataValidation>
    <dataValidation type="list" allowBlank="1" showErrorMessage="1" sqref="J2:J5" xr:uid="{61AEDBA5-3976-4BD3-85FD-669C4D9A53FC}">
      <formula1>"Internal,External"</formula1>
    </dataValidation>
    <dataValidation type="list" allowBlank="1" showErrorMessage="1" sqref="K1:K1048576" xr:uid="{5920D0DC-7597-487A-81ED-E3AE31341530}">
      <formula1>"Open,Inprogress,Closed, Rejected"</formula1>
    </dataValidation>
  </dataValidations>
  <hyperlinks>
    <hyperlink ref="C2" r:id="rId1" display="https://greatergiving.atlassian.net/browse/GGO-14563" xr:uid="{D9AE7E63-4579-4FEA-BB63-D12A60FB5978}"/>
    <hyperlink ref="D2" r:id="rId2" display="https://greatergiving.atlassian.net/browse/GGO-14504" xr:uid="{50E3768A-B066-425B-B02A-90F8523F8A53}"/>
    <hyperlink ref="D3" r:id="rId3" display="https://greatergiving.atlassian.net/browse/GGO-14070" xr:uid="{D1AA5213-8B4A-4165-B8EC-7D5DBB6C5DFD}"/>
    <hyperlink ref="C3" r:id="rId4" display="https://greatergiving.atlassian.net/browse/GGO-14564" xr:uid="{06875F8E-D20B-47EC-8354-A02A6151B3BC}"/>
    <hyperlink ref="D4" r:id="rId5" display="https://greatergiving.atlassian.net/browse/GGO-14070" xr:uid="{37342425-20DD-4D84-A056-8F9846C855FC}"/>
    <hyperlink ref="D5" r:id="rId6" display="https://greatergiving.atlassian.net/browse/GGO-14579" xr:uid="{64ACB1BA-D6A2-4DBA-9C66-0A375E018981}"/>
    <hyperlink ref="C4" r:id="rId7" display="https://greatergiving.atlassian.net/browse/GGO-14571" xr:uid="{46A3BC01-3B6B-4BF1-B453-993BACD508B7}"/>
    <hyperlink ref="C5" r:id="rId8" display="https://greatergiving.atlassian.net/browse/GGO-14510" xr:uid="{F0787EFE-F1EE-4C17-AEED-6CAF1887D3F4}"/>
  </hyperlinks>
  <pageMargins left="0" right="0" top="0" bottom="0" header="0" footer="0"/>
  <legacyDrawing r:id="rId9"/>
  <extLst>
    <ext xmlns:x14="http://schemas.microsoft.com/office/spreadsheetml/2009/9/main" uri="{CCE6A557-97BC-4b89-ADB6-D9C93CAAB3DF}">
      <x14:dataValidations xmlns:xm="http://schemas.microsoft.com/office/excel/2006/main" count="1">
        <x14:dataValidation type="list" allowBlank="1" showErrorMessage="1" xr:uid="{E570ACCA-B08E-48E9-A95F-F7ADA30D63EE}">
          <x14:formula1>
            <xm:f>Details!$A$2:$A$10</xm:f>
          </x14:formula1>
          <xm:sqref>L2:L5</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077F6-FE6E-42F8-A212-6E59D9D9099D}">
  <sheetPr>
    <outlinePr summaryBelow="0" summaryRight="0"/>
  </sheetPr>
  <dimension ref="A1:AB9"/>
  <sheetViews>
    <sheetView showGridLines="0" workbookViewId="0">
      <pane xSplit="7" ySplit="1" topLeftCell="AA4" activePane="bottomRight" state="frozen"/>
      <selection pane="bottomRight" activeCell="AH11" sqref="AH11"/>
      <selection pane="bottomLeft" activeCell="A3" sqref="A3"/>
      <selection pane="topRight" activeCell="F1" sqref="F1"/>
    </sheetView>
  </sheetViews>
  <sheetFormatPr defaultColWidth="12.5703125" defaultRowHeight="35.25" customHeight="1"/>
  <cols>
    <col min="1" max="1" width="5.140625" style="43" customWidth="1"/>
    <col min="2" max="2" width="9.7109375" style="43" customWidth="1"/>
    <col min="3" max="3" width="13.85546875" style="43" customWidth="1"/>
    <col min="4" max="4" width="12.5703125" style="43" customWidth="1"/>
    <col min="5" max="5" width="14.5703125" style="43" customWidth="1"/>
    <col min="6" max="6" width="14.140625" style="43" customWidth="1"/>
    <col min="7" max="7" width="12.85546875" style="62" customWidth="1"/>
    <col min="8" max="8" width="48" style="43" customWidth="1"/>
    <col min="9" max="9" width="16.5703125" style="43" customWidth="1"/>
    <col min="10" max="10" width="11.85546875" style="43" customWidth="1"/>
    <col min="11" max="11" width="10.140625" style="43" customWidth="1"/>
    <col min="12" max="12" width="19.42578125" style="43" customWidth="1"/>
    <col min="13" max="13" width="12" style="43" customWidth="1"/>
    <col min="14" max="14" width="22.85546875" style="43" bestFit="1" customWidth="1"/>
    <col min="15" max="15" width="24.28515625" style="43" bestFit="1" customWidth="1"/>
    <col min="16" max="16" width="17.2851562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customFormat="1" ht="36.75" customHeight="1">
      <c r="A1" s="245" t="s">
        <v>234</v>
      </c>
      <c r="B1" s="57" t="s">
        <v>4</v>
      </c>
      <c r="C1" s="57" t="s">
        <v>2</v>
      </c>
      <c r="D1" s="57" t="s">
        <v>3</v>
      </c>
      <c r="E1" s="246" t="s">
        <v>235</v>
      </c>
      <c r="F1" s="247" t="s">
        <v>236</v>
      </c>
      <c r="G1" s="248" t="s">
        <v>515</v>
      </c>
      <c r="H1" s="248" t="s">
        <v>238</v>
      </c>
      <c r="I1" s="248"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8" t="s">
        <v>255</v>
      </c>
      <c r="X1" s="248" t="s">
        <v>256</v>
      </c>
      <c r="Y1" s="248" t="s">
        <v>487</v>
      </c>
      <c r="Z1" s="248" t="s">
        <v>465</v>
      </c>
      <c r="AA1" s="248" t="s">
        <v>466</v>
      </c>
      <c r="AB1" s="249" t="s">
        <v>260</v>
      </c>
    </row>
    <row r="2" spans="1:28" customFormat="1" ht="49.5" customHeight="1">
      <c r="A2" s="240">
        <v>1</v>
      </c>
      <c r="B2" s="240" t="str">
        <f>Dashboard!$J$1</f>
        <v>GGO Donor Wave</v>
      </c>
      <c r="C2" s="241">
        <f ca="1">Dashboard!$F$1</f>
        <v>46156</v>
      </c>
      <c r="D2" s="241">
        <f ca="1">Dashboard!$H$1</f>
        <v>46170</v>
      </c>
      <c r="E2" s="242" t="s">
        <v>87</v>
      </c>
      <c r="F2" s="242" t="s">
        <v>1008</v>
      </c>
      <c r="G2" s="229" t="s">
        <v>1054</v>
      </c>
      <c r="H2" s="242" t="s">
        <v>1055</v>
      </c>
      <c r="I2" s="88" t="s">
        <v>13</v>
      </c>
      <c r="J2" s="256">
        <v>2</v>
      </c>
      <c r="K2" s="257">
        <v>2</v>
      </c>
      <c r="L2" s="257">
        <v>23</v>
      </c>
      <c r="M2" s="198" t="s">
        <v>738</v>
      </c>
      <c r="N2" s="5" t="s">
        <v>739</v>
      </c>
      <c r="O2" s="198"/>
      <c r="P2" s="49" t="s">
        <v>275</v>
      </c>
      <c r="Q2" s="213"/>
      <c r="R2" s="219" t="s">
        <v>1056</v>
      </c>
      <c r="S2" s="71">
        <v>45691</v>
      </c>
      <c r="T2" s="71">
        <v>45692</v>
      </c>
      <c r="U2" s="49" t="s">
        <v>275</v>
      </c>
      <c r="V2" s="198"/>
      <c r="W2" s="222" t="s">
        <v>825</v>
      </c>
      <c r="X2" s="221">
        <v>45692</v>
      </c>
      <c r="Y2" s="198"/>
      <c r="Z2" s="198"/>
      <c r="AA2" s="198"/>
      <c r="AB2" s="198" t="s">
        <v>1057</v>
      </c>
    </row>
    <row r="3" spans="1:28" ht="35.25" customHeight="1">
      <c r="A3" s="87">
        <v>2</v>
      </c>
      <c r="B3" s="258" t="str">
        <f>Dashboard!$J$1</f>
        <v>GGO Donor Wave</v>
      </c>
      <c r="C3" s="241">
        <f ca="1">Dashboard!$F$1</f>
        <v>46156</v>
      </c>
      <c r="D3" s="241">
        <f ca="1">Dashboard!$H$1</f>
        <v>46170</v>
      </c>
      <c r="E3" s="242" t="s">
        <v>87</v>
      </c>
      <c r="F3" s="16" t="s">
        <v>1058</v>
      </c>
      <c r="G3" s="254" t="s">
        <v>1059</v>
      </c>
      <c r="H3" s="16" t="s">
        <v>1060</v>
      </c>
      <c r="I3" s="88" t="s">
        <v>13</v>
      </c>
      <c r="J3" s="52">
        <v>2</v>
      </c>
      <c r="K3" s="16">
        <v>2</v>
      </c>
      <c r="L3" s="16">
        <v>2</v>
      </c>
      <c r="M3" s="87" t="s">
        <v>275</v>
      </c>
      <c r="N3" s="49" t="s">
        <v>743</v>
      </c>
      <c r="O3" s="87"/>
      <c r="P3" s="49" t="s">
        <v>743</v>
      </c>
      <c r="Q3" s="97"/>
      <c r="R3" s="70" t="s">
        <v>1061</v>
      </c>
      <c r="S3" s="71">
        <v>45692</v>
      </c>
      <c r="T3" s="71">
        <v>45693</v>
      </c>
      <c r="U3" s="49" t="s">
        <v>275</v>
      </c>
      <c r="V3" s="87"/>
      <c r="W3" s="220" t="s">
        <v>825</v>
      </c>
      <c r="X3" s="71">
        <v>45693</v>
      </c>
      <c r="Y3" s="87"/>
      <c r="Z3" s="87"/>
      <c r="AA3" s="87"/>
      <c r="AB3" s="87"/>
    </row>
    <row r="4" spans="1:28" s="103" customFormat="1" ht="35.25" customHeight="1">
      <c r="A4" s="103">
        <v>3</v>
      </c>
      <c r="B4" s="267" t="str">
        <f>Dashboard!$J$1</f>
        <v>GGO Donor Wave</v>
      </c>
      <c r="C4" s="262">
        <f ca="1">Dashboard!$F$1</f>
        <v>46156</v>
      </c>
      <c r="D4" s="262">
        <f ca="1">Dashboard!$H$1</f>
        <v>46170</v>
      </c>
      <c r="E4" s="251" t="s">
        <v>87</v>
      </c>
      <c r="F4" s="268" t="s">
        <v>766</v>
      </c>
      <c r="G4" s="231" t="s">
        <v>1062</v>
      </c>
      <c r="H4" s="269" t="s">
        <v>1063</v>
      </c>
      <c r="I4" s="88" t="s">
        <v>13</v>
      </c>
      <c r="J4" s="88">
        <v>1</v>
      </c>
      <c r="K4" s="88">
        <v>1</v>
      </c>
      <c r="L4" s="88">
        <v>7.5</v>
      </c>
      <c r="N4" s="5" t="s">
        <v>739</v>
      </c>
      <c r="P4" s="122"/>
      <c r="Q4" s="110"/>
      <c r="R4" s="105" t="s">
        <v>1064</v>
      </c>
      <c r="S4" s="89"/>
      <c r="T4" s="89"/>
      <c r="U4" s="89"/>
    </row>
    <row r="5" spans="1:28" s="87" customFormat="1" ht="60.75" customHeight="1">
      <c r="A5" s="87">
        <v>4</v>
      </c>
      <c r="B5" s="244" t="str">
        <f>Dashboard!$J$1</f>
        <v>GGO Donor Wave</v>
      </c>
      <c r="C5" s="241">
        <f ca="1">Dashboard!$F$1</f>
        <v>46156</v>
      </c>
      <c r="D5" s="241">
        <f ca="1">Dashboard!$H$1</f>
        <v>46170</v>
      </c>
      <c r="E5" s="242" t="s">
        <v>87</v>
      </c>
      <c r="F5" s="49" t="s">
        <v>743</v>
      </c>
      <c r="G5" s="72" t="s">
        <v>1004</v>
      </c>
      <c r="H5" s="16" t="s">
        <v>1005</v>
      </c>
      <c r="I5" s="16" t="s">
        <v>416</v>
      </c>
      <c r="J5" s="16">
        <v>5</v>
      </c>
      <c r="K5" s="16">
        <v>5</v>
      </c>
      <c r="L5" s="16">
        <v>84.5</v>
      </c>
      <c r="N5" s="5" t="s">
        <v>739</v>
      </c>
      <c r="P5" s="49"/>
      <c r="Q5" s="97"/>
      <c r="R5" s="5"/>
      <c r="S5" s="5"/>
      <c r="T5" s="5"/>
      <c r="U5" s="5"/>
      <c r="AB5" s="87" t="s">
        <v>1065</v>
      </c>
    </row>
    <row r="6" spans="1:28" s="87" customFormat="1" ht="35.25" customHeight="1">
      <c r="A6" s="87">
        <v>6</v>
      </c>
      <c r="B6" s="244" t="str">
        <f>Dashboard!$J$1</f>
        <v>GGO Donor Wave</v>
      </c>
      <c r="C6" s="241">
        <f ca="1">Dashboard!$F$1</f>
        <v>46156</v>
      </c>
      <c r="D6" s="241">
        <f ca="1">Dashboard!$H$1</f>
        <v>46170</v>
      </c>
      <c r="E6" s="242" t="s">
        <v>87</v>
      </c>
      <c r="F6" s="242" t="s">
        <v>1008</v>
      </c>
      <c r="G6" s="72" t="s">
        <v>1066</v>
      </c>
      <c r="H6" s="16" t="s">
        <v>1067</v>
      </c>
      <c r="I6" s="88" t="s">
        <v>13</v>
      </c>
      <c r="J6" s="16">
        <v>1</v>
      </c>
      <c r="K6" s="16">
        <v>1</v>
      </c>
      <c r="L6" s="16">
        <v>25.5</v>
      </c>
      <c r="M6" s="87" t="s">
        <v>275</v>
      </c>
      <c r="N6" s="5" t="s">
        <v>739</v>
      </c>
      <c r="P6" s="49" t="s">
        <v>739</v>
      </c>
      <c r="Q6" s="97"/>
      <c r="R6" s="70" t="s">
        <v>1068</v>
      </c>
      <c r="S6" s="71">
        <v>45695</v>
      </c>
      <c r="T6" s="71">
        <v>45695</v>
      </c>
      <c r="U6" s="5" t="s">
        <v>275</v>
      </c>
      <c r="W6" s="220" t="s">
        <v>825</v>
      </c>
      <c r="X6" s="71">
        <v>45695</v>
      </c>
      <c r="AB6" s="87" t="s">
        <v>1069</v>
      </c>
    </row>
    <row r="7" spans="1:28" ht="35.25" customHeight="1">
      <c r="A7" s="87">
        <v>7</v>
      </c>
      <c r="B7" s="244" t="str">
        <f>Dashboard!$J$1</f>
        <v>GGO Donor Wave</v>
      </c>
      <c r="C7" s="241">
        <f ca="1">Dashboard!$F$1</f>
        <v>46156</v>
      </c>
      <c r="D7" s="241">
        <f ca="1">Dashboard!$H$1</f>
        <v>46170</v>
      </c>
      <c r="E7" s="242" t="s">
        <v>87</v>
      </c>
      <c r="F7" s="242" t="s">
        <v>1008</v>
      </c>
      <c r="G7" s="72" t="s">
        <v>1045</v>
      </c>
      <c r="H7" s="271" t="s">
        <v>1070</v>
      </c>
      <c r="I7" s="16" t="s">
        <v>495</v>
      </c>
      <c r="J7" s="32">
        <v>5</v>
      </c>
      <c r="K7" s="16">
        <v>5</v>
      </c>
      <c r="L7" s="16">
        <v>60</v>
      </c>
      <c r="M7" s="87"/>
      <c r="N7" s="5" t="s">
        <v>739</v>
      </c>
      <c r="O7" s="87"/>
      <c r="P7" s="49"/>
      <c r="Q7" s="97"/>
      <c r="R7" s="70" t="s">
        <v>1071</v>
      </c>
      <c r="S7" s="71">
        <v>45700</v>
      </c>
      <c r="T7" s="71">
        <v>45706</v>
      </c>
      <c r="U7" s="5" t="s">
        <v>275</v>
      </c>
      <c r="V7" s="87"/>
      <c r="W7" s="87" t="s">
        <v>825</v>
      </c>
      <c r="X7" s="144">
        <v>45706</v>
      </c>
      <c r="Y7" s="87" t="s">
        <v>1072</v>
      </c>
      <c r="Z7" s="87"/>
      <c r="AA7" s="87"/>
      <c r="AB7" s="87" t="s">
        <v>1073</v>
      </c>
    </row>
    <row r="8" spans="1:28" ht="35.25" customHeight="1">
      <c r="A8" s="87">
        <v>8</v>
      </c>
      <c r="B8" s="244" t="str">
        <f>Dashboard!$J$1</f>
        <v>GGO Donor Wave</v>
      </c>
      <c r="C8" s="241">
        <f ca="1">Dashboard!$F$1</f>
        <v>46156</v>
      </c>
      <c r="D8" s="241">
        <f ca="1">Dashboard!$H$1</f>
        <v>46170</v>
      </c>
      <c r="E8" s="242" t="s">
        <v>87</v>
      </c>
      <c r="F8" s="49" t="s">
        <v>807</v>
      </c>
      <c r="G8" s="72" t="s">
        <v>1074</v>
      </c>
      <c r="H8" s="16" t="s">
        <v>1075</v>
      </c>
      <c r="I8" s="16" t="s">
        <v>13</v>
      </c>
      <c r="J8" s="16">
        <v>1</v>
      </c>
      <c r="K8" s="16">
        <v>1</v>
      </c>
      <c r="L8" s="88">
        <v>22</v>
      </c>
      <c r="M8" s="224" t="s">
        <v>93</v>
      </c>
      <c r="N8" s="122" t="s">
        <v>93</v>
      </c>
      <c r="O8" s="224" t="s">
        <v>93</v>
      </c>
      <c r="P8" s="122" t="s">
        <v>93</v>
      </c>
      <c r="Q8" s="235" t="s">
        <v>93</v>
      </c>
      <c r="R8" s="122" t="s">
        <v>93</v>
      </c>
      <c r="S8" s="122" t="s">
        <v>93</v>
      </c>
      <c r="T8" s="122" t="s">
        <v>93</v>
      </c>
      <c r="U8" s="122" t="s">
        <v>93</v>
      </c>
      <c r="V8" s="224" t="s">
        <v>93</v>
      </c>
      <c r="W8" s="224" t="s">
        <v>93</v>
      </c>
      <c r="X8" s="224" t="s">
        <v>93</v>
      </c>
      <c r="Y8" s="224" t="s">
        <v>93</v>
      </c>
      <c r="Z8" s="224" t="s">
        <v>93</v>
      </c>
      <c r="AA8" s="224" t="s">
        <v>93</v>
      </c>
      <c r="AB8" s="103" t="s">
        <v>1076</v>
      </c>
    </row>
    <row r="9" spans="1:28" ht="35.25" customHeight="1">
      <c r="A9" s="87">
        <v>9</v>
      </c>
      <c r="B9" s="244" t="str">
        <f>Dashboard!$J$1</f>
        <v>GGO Donor Wave</v>
      </c>
      <c r="C9" s="241">
        <f ca="1">Dashboard!$F$1</f>
        <v>46156</v>
      </c>
      <c r="D9" s="241">
        <f ca="1">Dashboard!$H$1</f>
        <v>46170</v>
      </c>
      <c r="E9" s="242" t="s">
        <v>87</v>
      </c>
      <c r="F9" s="49" t="s">
        <v>807</v>
      </c>
      <c r="G9" s="72" t="s">
        <v>1077</v>
      </c>
      <c r="H9" s="16" t="s">
        <v>1078</v>
      </c>
      <c r="I9" s="16" t="s">
        <v>13</v>
      </c>
      <c r="J9" s="16">
        <v>1</v>
      </c>
      <c r="K9" s="271">
        <v>1</v>
      </c>
      <c r="L9" s="16">
        <v>1</v>
      </c>
      <c r="M9" s="198" t="s">
        <v>93</v>
      </c>
      <c r="N9" s="49" t="s">
        <v>93</v>
      </c>
      <c r="O9" s="198" t="s">
        <v>93</v>
      </c>
      <c r="P9" s="49" t="s">
        <v>93</v>
      </c>
      <c r="Q9" s="213" t="s">
        <v>93</v>
      </c>
      <c r="R9" s="49" t="s">
        <v>93</v>
      </c>
      <c r="S9" s="49" t="s">
        <v>93</v>
      </c>
      <c r="T9" s="49" t="s">
        <v>93</v>
      </c>
      <c r="U9" s="49" t="s">
        <v>93</v>
      </c>
      <c r="V9" s="198" t="s">
        <v>93</v>
      </c>
      <c r="W9" s="198" t="s">
        <v>93</v>
      </c>
      <c r="X9" s="198" t="s">
        <v>93</v>
      </c>
      <c r="Y9" s="198" t="s">
        <v>93</v>
      </c>
      <c r="Z9" s="198" t="s">
        <v>93</v>
      </c>
      <c r="AA9" s="198" t="s">
        <v>93</v>
      </c>
      <c r="AB9" s="87" t="s">
        <v>1079</v>
      </c>
    </row>
  </sheetData>
  <hyperlinks>
    <hyperlink ref="G2" r:id="rId1" display="https://greatergiving.atlassian.net/browse/GGO-14474" xr:uid="{1C67C0FD-8B01-4ACF-87A9-D1EC76C95246}"/>
    <hyperlink ref="R2" r:id="rId2" xr:uid="{8E58BC5C-B4ED-44AA-8EB3-F43821A7C7F8}"/>
    <hyperlink ref="R4" r:id="rId3" xr:uid="{91F85426-32A2-4DBD-93F5-704617D3FF87}"/>
    <hyperlink ref="R3" r:id="rId4" xr:uid="{A476A8F2-688B-4BE9-A4C0-BA23CB44A0F8}"/>
    <hyperlink ref="G5" r:id="rId5" display="https://greatergiving.atlassian.net/browse/GGO-14070" xr:uid="{ACF43583-CD7C-4269-9A33-D51E5B876E7F}"/>
    <hyperlink ref="G6" r:id="rId6" display="https://greatergiving.atlassian.net/browse/GGO-14530" xr:uid="{576ED417-690E-4603-8473-4454BC3AB7B5}"/>
    <hyperlink ref="G7" r:id="rId7" display="https://greatergiving.atlassian.net/browse/GGO-14530" xr:uid="{C1A9E4ED-AE9A-4E86-935D-D40E949F7D3A}"/>
    <hyperlink ref="R6" r:id="rId8" xr:uid="{C990A566-F761-4416-8D23-32EF4D51297C}"/>
    <hyperlink ref="R7" r:id="rId9" xr:uid="{CEEC9E59-0661-41C7-868A-026F3D41089E}"/>
    <hyperlink ref="G8" r:id="rId10" display="https://greatergiving.atlassian.net/browse/GGO-14071" xr:uid="{60756C3B-782F-44FC-BA35-8A7662C10069}"/>
    <hyperlink ref="G9" r:id="rId11" display="https://greatergiving.atlassian.net/browse/PAPI-758" xr:uid="{6CE87B57-7861-40B0-B7E1-C8AF7E0FABAE}"/>
  </hyperlinks>
  <pageMargins left="0" right="0" top="0" bottom="0" header="0" footer="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98F3-949B-44D7-9A60-12A2B0D6BA33}">
  <sheetPr>
    <outlinePr summaryBelow="0" summaryRight="0"/>
  </sheetPr>
  <dimension ref="A1:M6"/>
  <sheetViews>
    <sheetView topLeftCell="F1" workbookViewId="0">
      <selection activeCell="M6" sqref="M6"/>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39.5703125" customWidth="1"/>
  </cols>
  <sheetData>
    <row r="1" spans="1:13" ht="13.5">
      <c r="A1" s="210" t="s">
        <v>234</v>
      </c>
      <c r="B1" s="1" t="s">
        <v>11</v>
      </c>
      <c r="C1" s="208" t="s">
        <v>350</v>
      </c>
      <c r="D1" s="208" t="s">
        <v>351</v>
      </c>
      <c r="E1" s="1" t="s">
        <v>236</v>
      </c>
      <c r="F1" s="208" t="s">
        <v>352</v>
      </c>
      <c r="G1" s="208" t="s">
        <v>353</v>
      </c>
      <c r="H1" s="1" t="s">
        <v>354</v>
      </c>
      <c r="I1" s="1" t="s">
        <v>355</v>
      </c>
      <c r="J1" s="1" t="s">
        <v>356</v>
      </c>
      <c r="K1" s="1" t="s">
        <v>239</v>
      </c>
      <c r="L1" s="209" t="s">
        <v>357</v>
      </c>
      <c r="M1" s="3" t="s">
        <v>260</v>
      </c>
    </row>
    <row r="2" spans="1:13" ht="70.5" customHeight="1">
      <c r="B2" s="242" t="s">
        <v>87</v>
      </c>
      <c r="C2" s="229" t="s">
        <v>1080</v>
      </c>
      <c r="D2" s="229" t="s">
        <v>1054</v>
      </c>
      <c r="E2" s="242" t="s">
        <v>1008</v>
      </c>
      <c r="F2" s="212" t="s">
        <v>1081</v>
      </c>
      <c r="G2" s="198" t="s">
        <v>1082</v>
      </c>
      <c r="H2" s="10" t="s">
        <v>860</v>
      </c>
      <c r="I2" s="212" t="s">
        <v>626</v>
      </c>
      <c r="J2" s="10" t="s">
        <v>861</v>
      </c>
      <c r="K2" s="212" t="s">
        <v>1083</v>
      </c>
      <c r="L2" s="10" t="s">
        <v>862</v>
      </c>
      <c r="M2" s="99"/>
    </row>
    <row r="3" spans="1:13" ht="33.75" customHeight="1">
      <c r="B3" s="251" t="s">
        <v>87</v>
      </c>
      <c r="C3" s="272" t="s">
        <v>1084</v>
      </c>
      <c r="D3" s="231" t="s">
        <v>1054</v>
      </c>
      <c r="E3" s="242" t="s">
        <v>1008</v>
      </c>
      <c r="F3" s="212" t="s">
        <v>1081</v>
      </c>
      <c r="G3" s="224" t="s">
        <v>1085</v>
      </c>
      <c r="H3" s="10" t="s">
        <v>860</v>
      </c>
      <c r="I3" s="212" t="s">
        <v>626</v>
      </c>
      <c r="J3" s="10" t="s">
        <v>861</v>
      </c>
      <c r="K3" s="212" t="s">
        <v>1083</v>
      </c>
      <c r="L3" s="10" t="s">
        <v>862</v>
      </c>
      <c r="M3" s="99"/>
    </row>
    <row r="4" spans="1:13" ht="54.75" customHeight="1">
      <c r="B4" s="242" t="s">
        <v>87</v>
      </c>
      <c r="C4" s="197" t="s">
        <v>1044</v>
      </c>
      <c r="D4" s="197" t="s">
        <v>1045</v>
      </c>
      <c r="E4" s="242" t="s">
        <v>1008</v>
      </c>
      <c r="F4" s="312" t="s">
        <v>1081</v>
      </c>
      <c r="G4" s="159" t="s">
        <v>1046</v>
      </c>
      <c r="H4" s="41" t="s">
        <v>860</v>
      </c>
      <c r="I4" s="212" t="s">
        <v>626</v>
      </c>
      <c r="J4" s="10" t="s">
        <v>861</v>
      </c>
      <c r="K4" s="212" t="s">
        <v>628</v>
      </c>
      <c r="L4" s="10" t="s">
        <v>862</v>
      </c>
      <c r="M4" s="99"/>
    </row>
    <row r="5" spans="1:13" ht="31.5" customHeight="1">
      <c r="B5" s="242" t="s">
        <v>87</v>
      </c>
      <c r="C5" s="197" t="s">
        <v>1048</v>
      </c>
      <c r="D5" s="197" t="s">
        <v>1004</v>
      </c>
      <c r="E5" s="242" t="s">
        <v>1008</v>
      </c>
      <c r="F5" s="312" t="s">
        <v>1081</v>
      </c>
      <c r="G5" s="159" t="s">
        <v>1049</v>
      </c>
      <c r="H5" s="41" t="s">
        <v>860</v>
      </c>
      <c r="I5" s="212" t="s">
        <v>626</v>
      </c>
      <c r="J5" s="10" t="s">
        <v>861</v>
      </c>
      <c r="K5" s="212" t="s">
        <v>628</v>
      </c>
      <c r="L5" s="10" t="s">
        <v>862</v>
      </c>
      <c r="M5" s="99"/>
    </row>
    <row r="6" spans="1:13" ht="76.5" customHeight="1">
      <c r="B6" s="242" t="s">
        <v>87</v>
      </c>
      <c r="C6" s="72" t="s">
        <v>1066</v>
      </c>
      <c r="D6" s="197"/>
      <c r="E6" s="242"/>
      <c r="F6" s="312" t="s">
        <v>623</v>
      </c>
      <c r="G6" s="159" t="s">
        <v>1086</v>
      </c>
      <c r="H6" s="41" t="s">
        <v>860</v>
      </c>
      <c r="I6" s="212" t="s">
        <v>626</v>
      </c>
      <c r="J6" s="10" t="s">
        <v>627</v>
      </c>
      <c r="K6" s="212" t="s">
        <v>1083</v>
      </c>
      <c r="L6" s="10" t="s">
        <v>629</v>
      </c>
      <c r="M6" s="87" t="s">
        <v>1087</v>
      </c>
    </row>
  </sheetData>
  <autoFilter ref="A1:M2" xr:uid="{3A2BB050-11AC-4ED7-A296-96B42C7FCFBA}"/>
  <dataValidations count="5">
    <dataValidation type="list" allowBlank="1" showErrorMessage="1" sqref="J2:J6" xr:uid="{14FA5D59-9D68-4238-83E1-63F82D13F9B4}">
      <formula1>"Internal,External"</formula1>
    </dataValidation>
    <dataValidation type="list" allowBlank="1" showErrorMessage="1" sqref="H2:H6" xr:uid="{51644904-C868-4CB1-9D3C-31A2EE5D16A0}">
      <formula1>"Minor,Significant,Major"</formula1>
    </dataValidation>
    <dataValidation type="list" allowBlank="1" showErrorMessage="1" sqref="F2:F6" xr:uid="{E1A1F98B-F625-4C05-87D6-7D185EABEF0D}">
      <formula1>"Bounceback/Sub-Defect,Defect,None"</formula1>
    </dataValidation>
    <dataValidation type="list" allowBlank="1" showErrorMessage="1" sqref="I2:I6" xr:uid="{B3DE7E57-80BB-445D-BF65-7ED7623F9625}">
      <formula1>"Manual, Automation"</formula1>
    </dataValidation>
    <dataValidation type="list" allowBlank="1" showErrorMessage="1" sqref="K2:K6" xr:uid="{E6E2BF86-841F-4060-AD01-CC7EC6C85B77}">
      <formula1>"Open,Inprogress,Closed/Rejected"</formula1>
    </dataValidation>
  </dataValidations>
  <hyperlinks>
    <hyperlink ref="D2" r:id="rId1" display="https://greatergiving.atlassian.net/browse/GGO-14474" xr:uid="{0AE9D26D-A462-47AD-8BEC-6ADF36205868}"/>
    <hyperlink ref="C2" r:id="rId2" display="https://greatergiving.atlassian.net/browse/GGO-14542" xr:uid="{64FA2DB7-7C25-48E6-A66E-8EE4D1BA5AB0}"/>
    <hyperlink ref="D3" r:id="rId3" display="https://greatergiving.atlassian.net/browse/GGO-14474" xr:uid="{6AC05E2C-8DAC-4852-98D8-1B5D4A9C18E5}"/>
    <hyperlink ref="C3" r:id="rId4" display="https://greatergiving.atlassian.net/browse/GGO-14544" xr:uid="{60069D59-C681-4D00-9DBC-EEF3BED75940}"/>
    <hyperlink ref="C4" r:id="rId5" display="https://greatergiving.atlassian.net/browse/GGO-14563" xr:uid="{06347465-9CC1-4FBA-BF4C-26680D77726E}"/>
    <hyperlink ref="D4" r:id="rId6" display="https://greatergiving.atlassian.net/browse/GGO-14504" xr:uid="{DEFA4524-EDC7-47CC-BCE1-EB8378923D3D}"/>
    <hyperlink ref="D5" r:id="rId7" display="https://greatergiving.atlassian.net/browse/GGO-14070" xr:uid="{5598358A-A627-4008-A571-4AB0279009A5}"/>
    <hyperlink ref="C5" r:id="rId8" display="https://greatergiving.atlassian.net/browse/GGO-14564" xr:uid="{69E39D07-7F84-48A9-A394-455936EC37FF}"/>
    <hyperlink ref="C6" r:id="rId9" display="https://greatergiving.atlassian.net/browse/GGO-14530" xr:uid="{0E662192-12D6-4DED-AEBF-239096E43209}"/>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643FE5B-3EE6-4F5F-A049-FF1973B0A4F9}">
          <x14:formula1>
            <xm:f>Details!$A$2:$A$10</xm:f>
          </x14:formula1>
          <xm:sqref>L2:L6</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FE2B-D160-4ED4-A11D-1745EF58E9ED}">
  <sheetPr>
    <outlinePr summaryBelow="0" summaryRight="0"/>
  </sheetPr>
  <dimension ref="A1:AB9"/>
  <sheetViews>
    <sheetView showGridLines="0" workbookViewId="0">
      <pane xSplit="7" ySplit="1" topLeftCell="H2" activePane="bottomRight" state="frozen"/>
      <selection pane="bottomRight" activeCell="E9" sqref="E9"/>
      <selection pane="bottomLeft" activeCell="A3" sqref="A3"/>
      <selection pane="topRight" activeCell="F1" sqref="F1"/>
    </sheetView>
  </sheetViews>
  <sheetFormatPr defaultColWidth="12.5703125" defaultRowHeight="35.25" customHeight="1"/>
  <cols>
    <col min="1" max="1" width="5.140625" style="43" customWidth="1"/>
    <col min="2" max="2" width="9.7109375" style="43" customWidth="1"/>
    <col min="3" max="3" width="13.85546875" style="43" customWidth="1"/>
    <col min="4" max="4" width="12.5703125" style="43" customWidth="1"/>
    <col min="5" max="5" width="14.5703125" style="43" customWidth="1"/>
    <col min="6" max="6" width="14.140625" style="43" customWidth="1"/>
    <col min="7" max="7" width="12.85546875" style="62" customWidth="1"/>
    <col min="8" max="8" width="70.42578125" style="43" customWidth="1"/>
    <col min="9" max="9" width="29.85546875" style="43" customWidth="1"/>
    <col min="10" max="10" width="13.28515625" style="43" customWidth="1"/>
    <col min="11" max="11" width="14.42578125" style="43" bestFit="1"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5"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customFormat="1" ht="36.75" customHeight="1">
      <c r="A1" s="245" t="s">
        <v>234</v>
      </c>
      <c r="B1" s="57" t="s">
        <v>4</v>
      </c>
      <c r="C1" s="57" t="s">
        <v>2</v>
      </c>
      <c r="D1" s="57" t="s">
        <v>3</v>
      </c>
      <c r="E1" s="246" t="s">
        <v>235</v>
      </c>
      <c r="F1" s="247" t="s">
        <v>236</v>
      </c>
      <c r="G1" s="248" t="s">
        <v>515</v>
      </c>
      <c r="H1" s="248" t="s">
        <v>238</v>
      </c>
      <c r="I1" s="248" t="s">
        <v>239</v>
      </c>
      <c r="J1" s="260" t="s">
        <v>516</v>
      </c>
      <c r="K1" s="260" t="s">
        <v>517</v>
      </c>
      <c r="L1" s="260" t="s">
        <v>242</v>
      </c>
      <c r="M1" s="248" t="s">
        <v>245</v>
      </c>
      <c r="N1" s="246" t="s">
        <v>246</v>
      </c>
      <c r="O1" s="246" t="s">
        <v>247</v>
      </c>
      <c r="P1" s="252" t="s">
        <v>248</v>
      </c>
      <c r="Q1" s="246" t="s">
        <v>249</v>
      </c>
      <c r="R1" s="248" t="s">
        <v>250</v>
      </c>
      <c r="S1" s="248" t="s">
        <v>251</v>
      </c>
      <c r="T1" s="248" t="s">
        <v>252</v>
      </c>
      <c r="U1" s="248" t="s">
        <v>253</v>
      </c>
      <c r="V1" s="248" t="s">
        <v>254</v>
      </c>
      <c r="W1" s="248" t="s">
        <v>255</v>
      </c>
      <c r="X1" s="248" t="s">
        <v>256</v>
      </c>
      <c r="Y1" s="248" t="s">
        <v>487</v>
      </c>
      <c r="Z1" s="248" t="s">
        <v>465</v>
      </c>
      <c r="AA1" s="248" t="s">
        <v>466</v>
      </c>
      <c r="AB1" s="249" t="s">
        <v>260</v>
      </c>
    </row>
    <row r="2" spans="1:28" customFormat="1" ht="44.25" customHeight="1">
      <c r="A2" s="240">
        <v>1</v>
      </c>
      <c r="B2" s="240" t="str">
        <f>Dashboard!$J$1</f>
        <v>GGO Donor Wave</v>
      </c>
      <c r="C2" s="241">
        <f ca="1">Dashboard!$F$1</f>
        <v>46156</v>
      </c>
      <c r="D2" s="241">
        <f ca="1">Dashboard!$H$1</f>
        <v>46170</v>
      </c>
      <c r="E2" s="242" t="s">
        <v>83</v>
      </c>
      <c r="F2" s="242" t="s">
        <v>743</v>
      </c>
      <c r="G2" s="243" t="s">
        <v>1088</v>
      </c>
      <c r="H2" s="242" t="s">
        <v>1089</v>
      </c>
      <c r="I2" s="9" t="s">
        <v>13</v>
      </c>
      <c r="J2" s="257">
        <v>5</v>
      </c>
      <c r="K2" s="257">
        <v>5</v>
      </c>
      <c r="L2" s="257">
        <v>23</v>
      </c>
      <c r="M2" s="198" t="s">
        <v>743</v>
      </c>
      <c r="N2" s="136" t="s">
        <v>739</v>
      </c>
      <c r="O2" s="198"/>
      <c r="P2" s="49" t="s">
        <v>746</v>
      </c>
      <c r="Q2" s="213"/>
      <c r="R2" s="219" t="s">
        <v>1090</v>
      </c>
      <c r="S2" s="71">
        <v>45687</v>
      </c>
      <c r="T2" s="71">
        <v>45687</v>
      </c>
      <c r="U2" s="49" t="s">
        <v>275</v>
      </c>
      <c r="V2" s="198"/>
      <c r="W2" s="220" t="s">
        <v>825</v>
      </c>
      <c r="X2" s="71">
        <v>45687</v>
      </c>
      <c r="Y2" s="198"/>
      <c r="Z2" s="198"/>
      <c r="AA2" s="198"/>
      <c r="AB2" s="198" t="s">
        <v>1091</v>
      </c>
    </row>
    <row r="3" spans="1:28" customFormat="1" ht="49.5" customHeight="1">
      <c r="A3" s="240">
        <v>2</v>
      </c>
      <c r="B3" s="240" t="str">
        <f>Dashboard!$J$1</f>
        <v>GGO Donor Wave</v>
      </c>
      <c r="C3" s="241">
        <f ca="1">Dashboard!$F$1</f>
        <v>46156</v>
      </c>
      <c r="D3" s="241">
        <f ca="1">Dashboard!$H$1</f>
        <v>46170</v>
      </c>
      <c r="E3" s="242" t="s">
        <v>83</v>
      </c>
      <c r="F3" s="242" t="s">
        <v>1008</v>
      </c>
      <c r="G3" s="229" t="s">
        <v>1054</v>
      </c>
      <c r="H3" s="242" t="s">
        <v>1055</v>
      </c>
      <c r="I3" s="9" t="s">
        <v>495</v>
      </c>
      <c r="J3" s="256">
        <v>5</v>
      </c>
      <c r="K3" s="257">
        <v>5</v>
      </c>
      <c r="L3" s="257"/>
      <c r="M3" s="198" t="s">
        <v>738</v>
      </c>
      <c r="N3" s="136"/>
      <c r="O3" s="198"/>
      <c r="P3" s="49" t="s">
        <v>275</v>
      </c>
      <c r="Q3" s="213"/>
      <c r="R3" s="219" t="s">
        <v>1056</v>
      </c>
      <c r="S3" s="71">
        <v>45691</v>
      </c>
      <c r="T3" s="71">
        <v>45692</v>
      </c>
      <c r="U3" s="49" t="s">
        <v>275</v>
      </c>
      <c r="V3" s="198"/>
      <c r="W3" s="222" t="s">
        <v>825</v>
      </c>
      <c r="X3" s="221">
        <v>45692</v>
      </c>
      <c r="Y3" s="198"/>
      <c r="Z3" s="198"/>
      <c r="AA3" s="198"/>
      <c r="AB3" s="198" t="s">
        <v>1092</v>
      </c>
    </row>
    <row r="4" spans="1:28" customFormat="1" ht="42.75" customHeight="1">
      <c r="A4" s="240">
        <v>3</v>
      </c>
      <c r="B4" s="240" t="str">
        <f>Dashboard!$J$1</f>
        <v>GGO Donor Wave</v>
      </c>
      <c r="C4" s="241">
        <f ca="1">Dashboard!$F$1</f>
        <v>46156</v>
      </c>
      <c r="D4" s="241">
        <f ca="1">Dashboard!$H$1</f>
        <v>46170</v>
      </c>
      <c r="E4" s="242" t="s">
        <v>83</v>
      </c>
      <c r="F4" s="242" t="s">
        <v>1058</v>
      </c>
      <c r="G4" s="229" t="s">
        <v>1093</v>
      </c>
      <c r="H4" s="242" t="s">
        <v>1094</v>
      </c>
      <c r="I4" s="9" t="s">
        <v>13</v>
      </c>
      <c r="J4" s="256">
        <v>1</v>
      </c>
      <c r="K4" s="256">
        <v>1</v>
      </c>
      <c r="L4" s="256"/>
      <c r="M4" s="198" t="s">
        <v>275</v>
      </c>
      <c r="N4" s="49" t="s">
        <v>739</v>
      </c>
      <c r="O4" s="198"/>
      <c r="P4" s="49" t="s">
        <v>746</v>
      </c>
      <c r="Q4" s="213"/>
      <c r="R4" s="219" t="s">
        <v>1095</v>
      </c>
      <c r="S4" s="71">
        <v>45681</v>
      </c>
      <c r="T4" s="71">
        <v>45681</v>
      </c>
      <c r="U4" s="49" t="s">
        <v>275</v>
      </c>
      <c r="V4" s="198"/>
      <c r="W4" s="220" t="s">
        <v>825</v>
      </c>
      <c r="X4" s="71">
        <v>45681</v>
      </c>
      <c r="Y4" s="198"/>
      <c r="Z4" s="198"/>
      <c r="AA4" s="198"/>
      <c r="AB4" s="198" t="s">
        <v>1096</v>
      </c>
    </row>
    <row r="5" spans="1:28" customFormat="1" ht="63" customHeight="1">
      <c r="A5" s="250">
        <v>4</v>
      </c>
      <c r="B5" s="244" t="str">
        <f>Dashboard!$J$1</f>
        <v>GGO Donor Wave</v>
      </c>
      <c r="C5" s="241">
        <f ca="1">Dashboard!$F$1</f>
        <v>46156</v>
      </c>
      <c r="D5" s="241">
        <f ca="1">Dashboard!$H$1</f>
        <v>46170</v>
      </c>
      <c r="E5" s="9" t="s">
        <v>83</v>
      </c>
      <c r="F5" s="251" t="s">
        <v>1008</v>
      </c>
      <c r="G5" s="229" t="s">
        <v>1097</v>
      </c>
      <c r="H5" s="8" t="s">
        <v>1098</v>
      </c>
      <c r="I5" s="9" t="s">
        <v>13</v>
      </c>
      <c r="J5" s="255">
        <v>2</v>
      </c>
      <c r="K5" s="255">
        <v>2</v>
      </c>
      <c r="L5" s="255"/>
      <c r="M5" s="103" t="s">
        <v>738</v>
      </c>
      <c r="N5" s="180" t="s">
        <v>739</v>
      </c>
      <c r="O5" s="103"/>
      <c r="P5" s="122" t="s">
        <v>275</v>
      </c>
      <c r="Q5" s="110"/>
      <c r="R5" s="105" t="s">
        <v>1099</v>
      </c>
      <c r="S5" s="115">
        <v>45680</v>
      </c>
      <c r="T5" s="115">
        <v>45681</v>
      </c>
      <c r="U5" s="122" t="s">
        <v>275</v>
      </c>
      <c r="V5" s="103"/>
      <c r="W5" s="103" t="s">
        <v>741</v>
      </c>
      <c r="X5" s="115">
        <v>45681</v>
      </c>
      <c r="Y5" s="103"/>
      <c r="Z5" s="103" t="s">
        <v>1100</v>
      </c>
      <c r="AA5" s="103"/>
      <c r="AB5" s="103" t="s">
        <v>1101</v>
      </c>
    </row>
    <row r="6" spans="1:28" ht="35.25" customHeight="1">
      <c r="A6" s="87">
        <v>5</v>
      </c>
      <c r="B6" s="258" t="str">
        <f>Dashboard!$J$1</f>
        <v>GGO Donor Wave</v>
      </c>
      <c r="C6" s="241">
        <f ca="1">Dashboard!$F$1</f>
        <v>46156</v>
      </c>
      <c r="D6" s="241">
        <f ca="1">Dashboard!$H$1</f>
        <v>46170</v>
      </c>
      <c r="E6" s="253" t="s">
        <v>83</v>
      </c>
      <c r="F6" s="16" t="s">
        <v>1058</v>
      </c>
      <c r="G6" s="254" t="s">
        <v>1059</v>
      </c>
      <c r="H6" s="16" t="s">
        <v>1060</v>
      </c>
      <c r="I6" s="73" t="s">
        <v>495</v>
      </c>
      <c r="J6" s="52">
        <v>2</v>
      </c>
      <c r="K6" s="16">
        <v>2</v>
      </c>
      <c r="L6" s="16"/>
      <c r="M6" s="87" t="s">
        <v>275</v>
      </c>
      <c r="N6" s="49" t="s">
        <v>743</v>
      </c>
      <c r="O6" s="87"/>
      <c r="P6" s="49" t="s">
        <v>743</v>
      </c>
      <c r="Q6" s="97"/>
      <c r="R6" s="70" t="s">
        <v>1061</v>
      </c>
      <c r="S6" s="71">
        <v>45692</v>
      </c>
      <c r="T6" s="71">
        <v>45693</v>
      </c>
      <c r="U6" s="49" t="s">
        <v>275</v>
      </c>
      <c r="V6" s="87"/>
      <c r="W6" s="220" t="s">
        <v>825</v>
      </c>
      <c r="X6" s="71">
        <v>45693</v>
      </c>
      <c r="Y6" s="87"/>
      <c r="Z6" s="87"/>
      <c r="AA6" s="87"/>
      <c r="AB6" s="87" t="s">
        <v>1102</v>
      </c>
    </row>
    <row r="7" spans="1:28" ht="35.25" customHeight="1">
      <c r="A7" s="87">
        <v>6</v>
      </c>
      <c r="B7" s="258" t="str">
        <f>Dashboard!$J$1</f>
        <v>GGO Donor Wave</v>
      </c>
      <c r="C7" s="241">
        <f ca="1">Dashboard!$F$1</f>
        <v>46156</v>
      </c>
      <c r="D7" s="241">
        <f ca="1">Dashboard!$H$1</f>
        <v>46170</v>
      </c>
      <c r="E7" s="253" t="s">
        <v>83</v>
      </c>
      <c r="F7" s="49" t="s">
        <v>807</v>
      </c>
      <c r="G7" s="254" t="s">
        <v>1103</v>
      </c>
      <c r="H7" s="49" t="s">
        <v>1104</v>
      </c>
      <c r="I7" s="259" t="s">
        <v>13</v>
      </c>
      <c r="J7" s="52">
        <v>2</v>
      </c>
      <c r="K7" s="52">
        <v>2</v>
      </c>
      <c r="L7" s="52"/>
      <c r="M7" s="198" t="s">
        <v>93</v>
      </c>
      <c r="N7" s="49" t="s">
        <v>93</v>
      </c>
      <c r="O7" s="198" t="s">
        <v>93</v>
      </c>
      <c r="P7" s="49" t="s">
        <v>93</v>
      </c>
      <c r="Q7" s="213" t="s">
        <v>93</v>
      </c>
      <c r="R7" s="49" t="s">
        <v>93</v>
      </c>
      <c r="S7" s="49" t="s">
        <v>93</v>
      </c>
      <c r="T7" s="49" t="s">
        <v>93</v>
      </c>
      <c r="U7" s="49" t="s">
        <v>93</v>
      </c>
      <c r="V7" s="198" t="s">
        <v>93</v>
      </c>
      <c r="W7" s="198" t="s">
        <v>93</v>
      </c>
      <c r="X7" s="198" t="s">
        <v>93</v>
      </c>
      <c r="Y7" s="198" t="s">
        <v>93</v>
      </c>
      <c r="Z7" s="198" t="s">
        <v>93</v>
      </c>
      <c r="AA7" s="198" t="s">
        <v>93</v>
      </c>
      <c r="AB7" s="198" t="s">
        <v>1105</v>
      </c>
    </row>
    <row r="8" spans="1:28" ht="35.25" customHeight="1">
      <c r="A8" s="103">
        <v>7</v>
      </c>
      <c r="B8" s="261" t="str">
        <f>Dashboard!$J$1</f>
        <v>GGO Donor Wave</v>
      </c>
      <c r="C8" s="262">
        <f ca="1">Dashboard!$F$1</f>
        <v>46156</v>
      </c>
      <c r="D8" s="262">
        <f ca="1">Dashboard!$H$1</f>
        <v>46170</v>
      </c>
      <c r="E8" s="263" t="s">
        <v>83</v>
      </c>
      <c r="F8" s="122" t="s">
        <v>807</v>
      </c>
      <c r="G8" s="264" t="s">
        <v>1106</v>
      </c>
      <c r="H8" s="122" t="s">
        <v>1107</v>
      </c>
      <c r="I8" s="265" t="s">
        <v>13</v>
      </c>
      <c r="J8" s="266" t="s">
        <v>1108</v>
      </c>
      <c r="K8" s="266">
        <v>1</v>
      </c>
      <c r="L8" s="266"/>
      <c r="M8" s="224" t="s">
        <v>93</v>
      </c>
      <c r="N8" s="122" t="s">
        <v>93</v>
      </c>
      <c r="O8" s="224" t="s">
        <v>93</v>
      </c>
      <c r="P8" s="122" t="s">
        <v>93</v>
      </c>
      <c r="Q8" s="235" t="s">
        <v>93</v>
      </c>
      <c r="R8" s="122" t="s">
        <v>93</v>
      </c>
      <c r="S8" s="122" t="s">
        <v>93</v>
      </c>
      <c r="T8" s="122" t="s">
        <v>93</v>
      </c>
      <c r="U8" s="122" t="s">
        <v>93</v>
      </c>
      <c r="V8" s="224" t="s">
        <v>93</v>
      </c>
      <c r="W8" s="224" t="s">
        <v>93</v>
      </c>
      <c r="X8" s="224" t="s">
        <v>93</v>
      </c>
      <c r="Y8" s="224" t="s">
        <v>93</v>
      </c>
      <c r="Z8" s="224" t="s">
        <v>93</v>
      </c>
      <c r="AA8" s="224" t="s">
        <v>93</v>
      </c>
      <c r="AB8" s="224" t="s">
        <v>1109</v>
      </c>
    </row>
    <row r="9" spans="1:28" s="87" customFormat="1" ht="35.25" customHeight="1">
      <c r="A9" s="87">
        <v>8</v>
      </c>
      <c r="B9" s="244" t="str">
        <f>Dashboard!$J$1</f>
        <v>GGO Donor Wave</v>
      </c>
      <c r="C9" s="241">
        <f ca="1">Dashboard!$F$1</f>
        <v>46156</v>
      </c>
      <c r="D9" s="241">
        <f ca="1">Dashboard!$H$1</f>
        <v>46170</v>
      </c>
      <c r="E9" s="9" t="s">
        <v>83</v>
      </c>
      <c r="F9" s="187" t="s">
        <v>743</v>
      </c>
      <c r="G9" s="229" t="s">
        <v>1062</v>
      </c>
      <c r="H9" s="32" t="s">
        <v>1110</v>
      </c>
      <c r="I9" s="16" t="s">
        <v>416</v>
      </c>
      <c r="J9" s="16">
        <v>2</v>
      </c>
      <c r="K9" s="16">
        <v>2</v>
      </c>
      <c r="L9" s="16">
        <v>12</v>
      </c>
      <c r="N9" s="5"/>
      <c r="P9" s="49"/>
      <c r="Q9" s="97"/>
      <c r="R9" s="70" t="s">
        <v>1064</v>
      </c>
      <c r="S9" s="5"/>
      <c r="T9" s="5"/>
      <c r="U9" s="5"/>
    </row>
  </sheetData>
  <hyperlinks>
    <hyperlink ref="G3" r:id="rId1" display="https://greatergiving.atlassian.net/browse/GGO-14474" xr:uid="{BDBB4551-DCED-468A-B505-79C011D0F8FF}"/>
    <hyperlink ref="G4" r:id="rId2" display="https://greatergiving.atlassian.net/browse/PAPI-790" xr:uid="{1CD73FB5-DFBC-497F-8A05-FA89130F98AB}"/>
    <hyperlink ref="R5" r:id="rId3" xr:uid="{0D931F80-027C-4DA0-812A-D4FF694AF0D5}"/>
    <hyperlink ref="R4" r:id="rId4" xr:uid="{9BE73DFD-850C-4B7A-9B0E-86590DD1EEA2}"/>
    <hyperlink ref="G7" r:id="rId5" display="https://greatergiving.atlassian.net/browse/GGO-14511" xr:uid="{980F6A27-F98F-452B-B5B2-4A7FD79F71A1}"/>
    <hyperlink ref="G8" r:id="rId6" display="https://greatergiving.atlassian.net/browse/PAPI-794" xr:uid="{22976151-6AEF-4033-A4E6-A282985C4188}"/>
    <hyperlink ref="R2" r:id="rId7" xr:uid="{1925CB9A-7E1E-4049-B55A-37E9E72D73CB}"/>
    <hyperlink ref="R3" r:id="rId8" xr:uid="{09B396D2-AA8B-4EEE-B386-91ECC24D24F4}"/>
    <hyperlink ref="R9" r:id="rId9" xr:uid="{F890DAA7-9635-4506-8F3B-891B6F20A785}"/>
    <hyperlink ref="R6" r:id="rId10" xr:uid="{B44C7B37-14D3-457C-A81F-414D48019890}"/>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EAB6B382-B02D-4ACE-B535-E86A05CBB2A9}">
          <x14:formula1>
            <xm:f>Settings!$C$3:$C$20</xm:f>
          </x14:formula1>
          <xm:sqref>I2:I3 I7:I8</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7CDF-283E-448C-AC72-E623C5DA1CCB}">
  <sheetPr>
    <outlinePr summaryBelow="0" summaryRight="0"/>
  </sheetPr>
  <dimension ref="A1:M12"/>
  <sheetViews>
    <sheetView topLeftCell="G1" workbookViewId="0">
      <selection activeCell="L1" sqref="L1"/>
    </sheetView>
  </sheetViews>
  <sheetFormatPr defaultColWidth="12.5703125" defaultRowHeight="15" customHeight="1"/>
  <cols>
    <col min="1" max="1" width="12.5703125" style="280" hidden="1" customWidth="1"/>
    <col min="2" max="2" width="21.42578125" style="280" customWidth="1"/>
    <col min="3" max="4" width="14.42578125" style="280" customWidth="1"/>
    <col min="5" max="5" width="19.140625" style="280" customWidth="1"/>
    <col min="6" max="6" width="37.5703125" style="280" customWidth="1"/>
    <col min="7" max="7" width="41.140625" style="280" customWidth="1"/>
    <col min="8" max="9" width="18.7109375" style="280" customWidth="1"/>
    <col min="10" max="10" width="9.140625" style="280" bestFit="1" customWidth="1"/>
    <col min="11" max="11" width="19" style="280" customWidth="1"/>
    <col min="12" max="12" width="18" style="280" customWidth="1"/>
    <col min="13" max="13" width="52.140625" style="280" customWidth="1"/>
    <col min="14" max="16384" width="12.5703125" style="280"/>
  </cols>
  <sheetData>
    <row r="1" spans="1:13" ht="13.5">
      <c r="A1" s="276" t="s">
        <v>234</v>
      </c>
      <c r="B1" s="57" t="s">
        <v>11</v>
      </c>
      <c r="C1" s="277" t="s">
        <v>350</v>
      </c>
      <c r="D1" s="277" t="s">
        <v>351</v>
      </c>
      <c r="E1" s="57" t="s">
        <v>236</v>
      </c>
      <c r="F1" s="277" t="s">
        <v>352</v>
      </c>
      <c r="G1" s="277" t="s">
        <v>353</v>
      </c>
      <c r="H1" s="57" t="s">
        <v>354</v>
      </c>
      <c r="I1" s="57" t="s">
        <v>355</v>
      </c>
      <c r="J1" s="57" t="s">
        <v>356</v>
      </c>
      <c r="K1" s="57" t="s">
        <v>239</v>
      </c>
      <c r="L1" s="278" t="s">
        <v>357</v>
      </c>
      <c r="M1" s="279" t="s">
        <v>260</v>
      </c>
    </row>
    <row r="2" spans="1:13" ht="104.25">
      <c r="B2" s="9" t="s">
        <v>83</v>
      </c>
      <c r="C2" s="229" t="s">
        <v>1062</v>
      </c>
      <c r="D2" s="281" t="s">
        <v>1111</v>
      </c>
      <c r="E2" s="282"/>
      <c r="F2" s="283" t="s">
        <v>623</v>
      </c>
      <c r="G2" s="240" t="s">
        <v>1112</v>
      </c>
      <c r="H2" s="284" t="s">
        <v>625</v>
      </c>
      <c r="I2" s="283" t="s">
        <v>626</v>
      </c>
      <c r="J2" s="284" t="s">
        <v>627</v>
      </c>
      <c r="K2" s="283" t="s">
        <v>1113</v>
      </c>
      <c r="L2" s="290" t="s">
        <v>862</v>
      </c>
      <c r="M2" s="291" t="s">
        <v>1114</v>
      </c>
    </row>
    <row r="3" spans="1:13" ht="33.75" customHeight="1">
      <c r="B3" s="284"/>
      <c r="C3" s="285"/>
      <c r="D3" s="285"/>
      <c r="E3" s="284"/>
      <c r="F3" s="284"/>
      <c r="G3" s="240"/>
      <c r="H3" s="284"/>
      <c r="I3" s="284"/>
      <c r="J3" s="284"/>
      <c r="K3" s="284"/>
      <c r="L3" s="284"/>
      <c r="M3" s="282"/>
    </row>
    <row r="4" spans="1:13" ht="15.75" customHeight="1"/>
    <row r="5" spans="1:13" ht="15.75" customHeight="1"/>
    <row r="6" spans="1:13" ht="15.75" customHeight="1"/>
    <row r="7" spans="1:13" ht="15.75" customHeight="1">
      <c r="F7" s="62"/>
    </row>
    <row r="8" spans="1:13" ht="15.75" customHeight="1"/>
    <row r="9" spans="1:13" ht="15.75" customHeight="1"/>
    <row r="10" spans="1:13" ht="15.75" customHeight="1">
      <c r="K10" s="62"/>
    </row>
    <row r="11" spans="1:13" ht="15.75" customHeight="1">
      <c r="M11" s="477"/>
    </row>
    <row r="12" spans="1:13" ht="15.75" customHeight="1">
      <c r="M12" s="477"/>
    </row>
  </sheetData>
  <autoFilter ref="A1:M2" xr:uid="{B9017CDF-283E-448C-AC72-E623C5DA1CCB}"/>
  <mergeCells count="1">
    <mergeCell ref="M11:M12"/>
  </mergeCells>
  <dataValidations count="7">
    <dataValidation type="list" allowBlank="1" showErrorMessage="1" sqref="K2" xr:uid="{03990519-8CAA-4E30-9523-F9C9E0707772}">
      <formula1>"Open,Inprogress,Closed/Rejected"</formula1>
    </dataValidation>
    <dataValidation type="list" allowBlank="1" showErrorMessage="1" sqref="I2:I3" xr:uid="{0BA25BE3-E952-4BFE-86FB-51B1B942807A}">
      <formula1>"Manual, Automation"</formula1>
    </dataValidation>
    <dataValidation type="list" allowBlank="1" showErrorMessage="1" sqref="F2" xr:uid="{C76E48E9-8D2D-4A1F-B6DC-7301A4F25E18}">
      <formula1>"Bounceback/Sub-Defect,Defect,None"</formula1>
    </dataValidation>
    <dataValidation type="list" allowBlank="1" showErrorMessage="1" sqref="F3" xr:uid="{5625670D-3115-4131-97E3-D8FDF1DD6F07}">
      <formula1>"Bounceback,Defect,None"</formula1>
    </dataValidation>
    <dataValidation type="list" allowBlank="1" showErrorMessage="1" sqref="H2:H3" xr:uid="{3F4DB7BB-652D-4F7A-8B95-B1E6ABFA87AC}">
      <formula1>"Minor,Significant,Major"</formula1>
    </dataValidation>
    <dataValidation type="list" allowBlank="1" showErrorMessage="1" sqref="K3" xr:uid="{201EBFE2-673A-4428-AB8A-4709696D8831}">
      <formula1>"Open,Inprogress,Closed"</formula1>
    </dataValidation>
    <dataValidation type="list" allowBlank="1" showErrorMessage="1" sqref="J2:J3" xr:uid="{0D328FB4-3E44-4E74-90C7-C4FA6403FF6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AD2EC56-6B13-4F60-A231-EC18DB725FF5}">
          <x14:formula1>
            <xm:f>Details!$A$2:$A$10</xm:f>
          </x14:formula1>
          <xm:sqref>L2:L3</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4E97-F99F-4233-AE38-89606839B945}">
  <sheetPr>
    <outlinePr summaryBelow="0" summaryRight="0"/>
  </sheetPr>
  <dimension ref="A1:AB15"/>
  <sheetViews>
    <sheetView showGridLines="0" workbookViewId="0">
      <pane xSplit="7" ySplit="1" topLeftCell="H3" activePane="bottomRight" state="frozen"/>
      <selection pane="bottomRight" activeCell="A3" sqref="A3"/>
      <selection pane="bottomLeft" activeCell="A3" sqref="A3"/>
      <selection pane="topRight" activeCell="F1" sqref="F1"/>
    </sheetView>
  </sheetViews>
  <sheetFormatPr defaultColWidth="12.5703125" defaultRowHeight="35.25" customHeight="1"/>
  <cols>
    <col min="1" max="1" width="7.5703125" style="43" customWidth="1"/>
    <col min="2" max="2" width="12" style="43" customWidth="1"/>
    <col min="3" max="4" width="10" style="43" customWidth="1"/>
    <col min="5" max="5" width="22.7109375" style="43" customWidth="1"/>
    <col min="6" max="6" width="27.85546875" style="43" customWidth="1"/>
    <col min="7" max="7" width="19.28515625" style="62" customWidth="1"/>
    <col min="8" max="8" width="53.85546875" style="43" bestFit="1" customWidth="1"/>
    <col min="9" max="9" width="29.85546875" style="43" customWidth="1"/>
    <col min="10" max="10" width="13.28515625" style="43" customWidth="1"/>
    <col min="11" max="11" width="14.42578125" style="43" bestFit="1"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43"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s="87" customFormat="1" ht="35.25" customHeight="1">
      <c r="A1" s="204" t="s">
        <v>234</v>
      </c>
      <c r="B1" s="205" t="s">
        <v>4</v>
      </c>
      <c r="C1" s="205" t="s">
        <v>2</v>
      </c>
      <c r="D1" s="205" t="s">
        <v>3</v>
      </c>
      <c r="E1" s="200" t="s">
        <v>235</v>
      </c>
      <c r="F1" s="200" t="s">
        <v>236</v>
      </c>
      <c r="G1" s="206" t="s">
        <v>515</v>
      </c>
      <c r="H1" s="200" t="s">
        <v>238</v>
      </c>
      <c r="I1" s="207" t="s">
        <v>239</v>
      </c>
      <c r="J1" s="200" t="s">
        <v>1115</v>
      </c>
      <c r="K1" s="200" t="s">
        <v>1116</v>
      </c>
      <c r="L1" s="200" t="s">
        <v>242</v>
      </c>
      <c r="M1" s="200" t="s">
        <v>245</v>
      </c>
      <c r="N1" s="200" t="s">
        <v>246</v>
      </c>
      <c r="O1" s="200" t="s">
        <v>247</v>
      </c>
      <c r="P1" s="200" t="s">
        <v>248</v>
      </c>
      <c r="Q1" s="200" t="s">
        <v>249</v>
      </c>
      <c r="R1" s="200" t="s">
        <v>250</v>
      </c>
      <c r="S1" s="200" t="s">
        <v>251</v>
      </c>
      <c r="T1" s="200" t="s">
        <v>252</v>
      </c>
      <c r="U1" s="200" t="s">
        <v>253</v>
      </c>
      <c r="V1" s="200" t="s">
        <v>254</v>
      </c>
      <c r="W1" s="200" t="s">
        <v>255</v>
      </c>
      <c r="X1" s="200" t="s">
        <v>256</v>
      </c>
      <c r="Y1" s="200" t="s">
        <v>487</v>
      </c>
      <c r="Z1" s="200" t="s">
        <v>465</v>
      </c>
      <c r="AA1" s="200" t="s">
        <v>466</v>
      </c>
      <c r="AB1" s="200" t="s">
        <v>260</v>
      </c>
    </row>
    <row r="2" spans="1:28" s="87" customFormat="1" ht="3" customHeight="1">
      <c r="A2" s="148"/>
      <c r="B2" s="148"/>
      <c r="C2" s="215"/>
      <c r="D2" s="215"/>
      <c r="E2" s="216"/>
      <c r="F2" s="89"/>
      <c r="G2" s="191"/>
      <c r="H2" s="88"/>
      <c r="I2" s="186"/>
      <c r="J2" s="180"/>
      <c r="K2" s="180"/>
      <c r="L2" s="180"/>
      <c r="M2" s="217"/>
      <c r="N2" s="180"/>
      <c r="O2" s="148"/>
      <c r="P2" s="89"/>
      <c r="Q2" s="149"/>
      <c r="R2" s="105"/>
      <c r="S2" s="115"/>
      <c r="T2" s="115"/>
      <c r="U2" s="149"/>
      <c r="V2" s="148"/>
      <c r="W2" s="103"/>
      <c r="X2" s="115"/>
      <c r="Y2" s="148"/>
      <c r="Z2" s="148"/>
      <c r="AA2" s="148"/>
      <c r="AB2" s="103"/>
    </row>
    <row r="3" spans="1:28" s="87" customFormat="1" ht="58.5" customHeight="1">
      <c r="A3" s="198">
        <v>1</v>
      </c>
      <c r="B3" s="198" t="str">
        <f>Dashboard!$J$1</f>
        <v>GGO Donor Wave</v>
      </c>
      <c r="C3" s="218">
        <f ca="1">Dashboard!$F$1</f>
        <v>46156</v>
      </c>
      <c r="D3" s="218">
        <f ca="1">Dashboard!$H$1</f>
        <v>46170</v>
      </c>
      <c r="E3" s="17" t="s">
        <v>79</v>
      </c>
      <c r="F3" s="49" t="s">
        <v>1117</v>
      </c>
      <c r="G3" s="223" t="s">
        <v>1118</v>
      </c>
      <c r="H3" s="49" t="s">
        <v>1119</v>
      </c>
      <c r="I3" s="16" t="s">
        <v>13</v>
      </c>
      <c r="J3" s="136">
        <v>2</v>
      </c>
      <c r="K3" s="136">
        <v>2</v>
      </c>
      <c r="L3" s="136"/>
      <c r="M3" s="198"/>
      <c r="N3" s="136" t="s">
        <v>739</v>
      </c>
      <c r="O3" s="198"/>
      <c r="P3" s="49" t="s">
        <v>1120</v>
      </c>
      <c r="Q3" s="213"/>
      <c r="R3" s="219" t="s">
        <v>1121</v>
      </c>
      <c r="S3" s="220">
        <v>45657</v>
      </c>
      <c r="T3" s="220">
        <v>37621</v>
      </c>
      <c r="U3" s="49" t="s">
        <v>275</v>
      </c>
      <c r="V3" s="198"/>
      <c r="W3" s="198" t="s">
        <v>741</v>
      </c>
      <c r="X3" s="221">
        <v>45657</v>
      </c>
      <c r="Y3" s="198"/>
      <c r="Z3" s="198"/>
      <c r="AA3" s="198"/>
      <c r="AB3" s="198" t="s">
        <v>1122</v>
      </c>
    </row>
    <row r="4" spans="1:28" s="142" customFormat="1" ht="35.25" customHeight="1">
      <c r="A4" s="198">
        <v>2</v>
      </c>
      <c r="B4" s="198" t="str">
        <f>Dashboard!$J$1</f>
        <v>GGO Donor Wave</v>
      </c>
      <c r="C4" s="218">
        <f ca="1">Dashboard!$F$1</f>
        <v>46156</v>
      </c>
      <c r="D4" s="218">
        <f ca="1">Dashboard!$H$1</f>
        <v>46170</v>
      </c>
      <c r="E4" s="17" t="s">
        <v>79</v>
      </c>
      <c r="F4" s="49" t="s">
        <v>1008</v>
      </c>
      <c r="G4" s="219" t="s">
        <v>1123</v>
      </c>
      <c r="H4" s="49" t="s">
        <v>1124</v>
      </c>
      <c r="I4" s="73" t="s">
        <v>13</v>
      </c>
      <c r="J4" s="49">
        <v>3</v>
      </c>
      <c r="K4" s="136">
        <v>3</v>
      </c>
      <c r="L4" s="136"/>
      <c r="M4" s="198"/>
      <c r="N4" s="136" t="s">
        <v>739</v>
      </c>
      <c r="O4" s="198"/>
      <c r="P4" s="49" t="s">
        <v>1120</v>
      </c>
      <c r="Q4" s="213"/>
      <c r="R4" s="219" t="s">
        <v>1125</v>
      </c>
      <c r="S4" s="220">
        <v>45664</v>
      </c>
      <c r="T4" s="220">
        <v>45665</v>
      </c>
      <c r="U4" s="49" t="s">
        <v>275</v>
      </c>
      <c r="V4" s="198"/>
      <c r="W4" s="222" t="s">
        <v>825</v>
      </c>
      <c r="X4" s="221">
        <v>45665</v>
      </c>
      <c r="Y4" s="198"/>
      <c r="Z4" s="198"/>
      <c r="AA4" s="198"/>
      <c r="AB4" s="198" t="s">
        <v>1126</v>
      </c>
    </row>
    <row r="5" spans="1:28" ht="35.25" customHeight="1">
      <c r="A5" s="198">
        <v>3</v>
      </c>
      <c r="B5" s="198" t="str">
        <f>Dashboard!$J$1</f>
        <v>GGO Donor Wave</v>
      </c>
      <c r="C5" s="218">
        <f ca="1">Dashboard!$F$1</f>
        <v>46156</v>
      </c>
      <c r="D5" s="218">
        <f ca="1">Dashboard!$H$1</f>
        <v>46170</v>
      </c>
      <c r="E5" s="17" t="s">
        <v>79</v>
      </c>
      <c r="F5" s="49" t="s">
        <v>743</v>
      </c>
      <c r="G5" s="219" t="s">
        <v>1127</v>
      </c>
      <c r="H5" s="49" t="s">
        <v>1128</v>
      </c>
      <c r="I5" s="16" t="s">
        <v>13</v>
      </c>
      <c r="J5" s="49">
        <v>1</v>
      </c>
      <c r="K5" s="49">
        <v>1</v>
      </c>
      <c r="L5" s="49"/>
      <c r="M5" s="198"/>
      <c r="N5" s="49" t="s">
        <v>739</v>
      </c>
      <c r="O5" s="198"/>
      <c r="P5" s="49" t="s">
        <v>1120</v>
      </c>
      <c r="Q5" s="213"/>
      <c r="R5" s="219" t="s">
        <v>1129</v>
      </c>
      <c r="S5" s="220">
        <v>45668</v>
      </c>
      <c r="T5" s="220">
        <v>45668</v>
      </c>
      <c r="U5" s="49" t="s">
        <v>275</v>
      </c>
      <c r="V5" s="198"/>
      <c r="W5" s="198" t="s">
        <v>825</v>
      </c>
      <c r="X5" s="221">
        <v>45668</v>
      </c>
      <c r="Y5" s="198"/>
      <c r="Z5" s="198"/>
      <c r="AA5" s="198"/>
      <c r="AB5" s="198" t="s">
        <v>1130</v>
      </c>
    </row>
    <row r="6" spans="1:28" ht="35.25" customHeight="1">
      <c r="A6" s="198">
        <v>4</v>
      </c>
      <c r="B6" s="198" t="str">
        <f>Dashboard!$J$1</f>
        <v>GGO Donor Wave</v>
      </c>
      <c r="C6" s="218">
        <f ca="1">Dashboard!$F$1</f>
        <v>46156</v>
      </c>
      <c r="D6" s="218">
        <f ca="1">Dashboard!$H$1</f>
        <v>46170</v>
      </c>
      <c r="E6" s="17" t="s">
        <v>79</v>
      </c>
      <c r="F6" s="49" t="s">
        <v>1131</v>
      </c>
      <c r="G6" s="219" t="s">
        <v>1059</v>
      </c>
      <c r="H6" s="49" t="s">
        <v>1060</v>
      </c>
      <c r="I6" s="16" t="s">
        <v>263</v>
      </c>
      <c r="J6" s="49">
        <v>3</v>
      </c>
      <c r="K6" s="49">
        <v>3</v>
      </c>
      <c r="L6" s="49"/>
      <c r="M6" s="198"/>
      <c r="N6" s="49" t="s">
        <v>739</v>
      </c>
      <c r="O6" s="198"/>
      <c r="P6" s="49" t="s">
        <v>1120</v>
      </c>
      <c r="Q6" s="213"/>
      <c r="R6" s="219" t="s">
        <v>1132</v>
      </c>
      <c r="S6" s="220">
        <v>45674</v>
      </c>
      <c r="T6" s="220">
        <v>45678</v>
      </c>
      <c r="U6" s="49" t="s">
        <v>275</v>
      </c>
      <c r="V6" s="198"/>
      <c r="W6" s="198" t="s">
        <v>825</v>
      </c>
      <c r="X6" s="221">
        <v>45678</v>
      </c>
      <c r="Y6" s="198"/>
      <c r="Z6" s="198"/>
      <c r="AA6" s="198"/>
      <c r="AB6" s="198"/>
    </row>
    <row r="7" spans="1:28" ht="54.75" customHeight="1">
      <c r="A7" s="198">
        <v>5</v>
      </c>
      <c r="B7" s="198" t="str">
        <f>Dashboard!$J$1</f>
        <v>GGO Donor Wave</v>
      </c>
      <c r="C7" s="218">
        <f ca="1">Dashboard!$F$1</f>
        <v>46156</v>
      </c>
      <c r="D7" s="218">
        <f ca="1">Dashboard!$H$1</f>
        <v>46170</v>
      </c>
      <c r="E7" s="17" t="s">
        <v>79</v>
      </c>
      <c r="F7" s="49" t="s">
        <v>807</v>
      </c>
      <c r="G7" s="219" t="s">
        <v>1133</v>
      </c>
      <c r="H7" s="49" t="s">
        <v>1134</v>
      </c>
      <c r="I7" s="16" t="s">
        <v>495</v>
      </c>
      <c r="J7" s="49">
        <v>1</v>
      </c>
      <c r="K7" s="49">
        <v>1</v>
      </c>
      <c r="L7" s="49"/>
      <c r="M7" s="198"/>
      <c r="N7" s="49" t="s">
        <v>93</v>
      </c>
      <c r="O7" s="198" t="s">
        <v>93</v>
      </c>
      <c r="P7" s="49" t="s">
        <v>93</v>
      </c>
      <c r="Q7" s="213" t="s">
        <v>93</v>
      </c>
      <c r="R7" s="49" t="s">
        <v>93</v>
      </c>
      <c r="S7" s="49" t="s">
        <v>93</v>
      </c>
      <c r="T7" s="49" t="s">
        <v>93</v>
      </c>
      <c r="U7" s="49" t="s">
        <v>93</v>
      </c>
      <c r="V7" s="198" t="s">
        <v>93</v>
      </c>
      <c r="W7" s="198" t="s">
        <v>93</v>
      </c>
      <c r="X7" s="198" t="s">
        <v>93</v>
      </c>
      <c r="Y7" s="198" t="s">
        <v>93</v>
      </c>
      <c r="Z7" s="198" t="s">
        <v>93</v>
      </c>
      <c r="AA7" s="198" t="s">
        <v>93</v>
      </c>
      <c r="AB7" s="198" t="s">
        <v>1135</v>
      </c>
    </row>
    <row r="8" spans="1:28" ht="48" customHeight="1">
      <c r="A8" s="198">
        <v>6</v>
      </c>
      <c r="B8" s="198" t="str">
        <f>Dashboard!$J$1</f>
        <v>GGO Donor Wave</v>
      </c>
      <c r="C8" s="218">
        <f ca="1">Dashboard!$F$1</f>
        <v>46156</v>
      </c>
      <c r="D8" s="218">
        <f ca="1">Dashboard!$H$1</f>
        <v>46170</v>
      </c>
      <c r="E8" s="17" t="s">
        <v>79</v>
      </c>
      <c r="F8" s="49" t="s">
        <v>1136</v>
      </c>
      <c r="G8" s="219" t="s">
        <v>1137</v>
      </c>
      <c r="H8" s="122" t="s">
        <v>1138</v>
      </c>
      <c r="I8" s="16" t="s">
        <v>13</v>
      </c>
      <c r="J8" s="49">
        <v>5</v>
      </c>
      <c r="K8" s="122">
        <v>5</v>
      </c>
      <c r="L8" s="122"/>
      <c r="M8" s="224"/>
      <c r="N8" s="49" t="s">
        <v>93</v>
      </c>
      <c r="O8" s="198" t="s">
        <v>93</v>
      </c>
      <c r="P8" s="49" t="s">
        <v>93</v>
      </c>
      <c r="Q8" s="213" t="s">
        <v>93</v>
      </c>
      <c r="R8" s="49" t="s">
        <v>93</v>
      </c>
      <c r="S8" s="49" t="s">
        <v>93</v>
      </c>
      <c r="T8" s="49" t="s">
        <v>93</v>
      </c>
      <c r="U8" s="49" t="s">
        <v>93</v>
      </c>
      <c r="V8" s="198" t="s">
        <v>93</v>
      </c>
      <c r="W8" s="198" t="s">
        <v>93</v>
      </c>
      <c r="X8" s="198" t="s">
        <v>93</v>
      </c>
      <c r="Y8" s="198" t="s">
        <v>93</v>
      </c>
      <c r="Z8" s="198" t="s">
        <v>93</v>
      </c>
      <c r="AA8" s="198" t="s">
        <v>93</v>
      </c>
      <c r="AB8" s="198" t="s">
        <v>1139</v>
      </c>
    </row>
    <row r="9" spans="1:28" ht="112.5" customHeight="1">
      <c r="A9" s="225">
        <v>7</v>
      </c>
      <c r="B9" s="224" t="str">
        <f>Dashboard!$J$1</f>
        <v>GGO Donor Wave</v>
      </c>
      <c r="C9" s="226">
        <f ca="1">Dashboard!$F$1</f>
        <v>46156</v>
      </c>
      <c r="D9" s="226">
        <f ca="1">Dashboard!$H$1</f>
        <v>46170</v>
      </c>
      <c r="E9" s="227" t="s">
        <v>79</v>
      </c>
      <c r="F9" s="122" t="s">
        <v>743</v>
      </c>
      <c r="G9" s="228" t="s">
        <v>1140</v>
      </c>
      <c r="H9" s="88" t="s">
        <v>1141</v>
      </c>
      <c r="I9" s="16" t="s">
        <v>13</v>
      </c>
      <c r="J9" s="122">
        <v>2</v>
      </c>
      <c r="K9" s="122">
        <v>2</v>
      </c>
      <c r="L9" s="122"/>
      <c r="M9" s="103"/>
      <c r="N9" s="89"/>
      <c r="O9" s="103"/>
      <c r="P9" s="89"/>
      <c r="Q9" s="110"/>
      <c r="R9" s="49" t="s">
        <v>93</v>
      </c>
      <c r="S9" s="49" t="s">
        <v>93</v>
      </c>
      <c r="T9" s="49" t="s">
        <v>93</v>
      </c>
      <c r="U9" s="49" t="s">
        <v>93</v>
      </c>
      <c r="V9" s="49" t="s">
        <v>93</v>
      </c>
      <c r="W9" s="49" t="s">
        <v>93</v>
      </c>
      <c r="X9" s="49" t="s">
        <v>93</v>
      </c>
      <c r="Y9" s="49" t="s">
        <v>93</v>
      </c>
      <c r="Z9" s="49" t="s">
        <v>93</v>
      </c>
      <c r="AA9" s="49" t="s">
        <v>93</v>
      </c>
      <c r="AB9" s="103" t="s">
        <v>1142</v>
      </c>
    </row>
    <row r="10" spans="1:28" s="87" customFormat="1" ht="35.25" customHeight="1">
      <c r="A10" s="198">
        <v>8</v>
      </c>
      <c r="B10" s="87" t="str">
        <f>Dashboard!$J$1</f>
        <v>GGO Donor Wave</v>
      </c>
      <c r="C10" s="196">
        <f ca="1">Dashboard!$F$1</f>
        <v>46156</v>
      </c>
      <c r="D10" s="196">
        <f ca="1">Dashboard!$H$1</f>
        <v>46170</v>
      </c>
      <c r="E10" s="10" t="s">
        <v>79</v>
      </c>
      <c r="F10" s="16" t="s">
        <v>807</v>
      </c>
      <c r="G10" s="230" t="s">
        <v>1143</v>
      </c>
      <c r="H10" s="88" t="s">
        <v>1144</v>
      </c>
      <c r="I10" s="16" t="s">
        <v>13</v>
      </c>
      <c r="J10" s="49">
        <v>1</v>
      </c>
      <c r="K10" s="49">
        <v>1</v>
      </c>
      <c r="L10" s="49"/>
      <c r="N10" s="49" t="s">
        <v>93</v>
      </c>
      <c r="O10" s="198" t="s">
        <v>93</v>
      </c>
      <c r="P10" s="49" t="s">
        <v>93</v>
      </c>
      <c r="Q10" s="213" t="s">
        <v>93</v>
      </c>
      <c r="R10" s="49" t="s">
        <v>93</v>
      </c>
      <c r="S10" s="49" t="s">
        <v>93</v>
      </c>
      <c r="T10" s="49" t="s">
        <v>93</v>
      </c>
      <c r="U10" s="49" t="s">
        <v>93</v>
      </c>
      <c r="V10" s="198" t="s">
        <v>93</v>
      </c>
      <c r="W10" s="198" t="s">
        <v>93</v>
      </c>
      <c r="X10" s="198" t="s">
        <v>93</v>
      </c>
      <c r="Y10" s="198" t="s">
        <v>93</v>
      </c>
      <c r="Z10" s="198" t="s">
        <v>93</v>
      </c>
      <c r="AA10" s="198" t="s">
        <v>93</v>
      </c>
      <c r="AB10" s="198" t="s">
        <v>1145</v>
      </c>
    </row>
    <row r="11" spans="1:28" ht="35.25" customHeight="1">
      <c r="A11" s="198">
        <v>9</v>
      </c>
      <c r="B11" s="87" t="str">
        <f>Dashboard!$J$1</f>
        <v>GGO Donor Wave</v>
      </c>
      <c r="C11" s="196">
        <f ca="1">Dashboard!$F$1</f>
        <v>46156</v>
      </c>
      <c r="D11" s="196">
        <f ca="1">Dashboard!$H$1</f>
        <v>46170</v>
      </c>
      <c r="E11" s="10" t="s">
        <v>79</v>
      </c>
      <c r="F11" s="88" t="s">
        <v>807</v>
      </c>
      <c r="G11" s="231" t="s">
        <v>1146</v>
      </c>
      <c r="H11" s="88" t="s">
        <v>1147</v>
      </c>
      <c r="I11" s="16" t="s">
        <v>13</v>
      </c>
      <c r="J11" s="122">
        <v>1</v>
      </c>
      <c r="K11" s="49">
        <v>1</v>
      </c>
      <c r="L11" s="122"/>
      <c r="M11" s="103"/>
      <c r="N11" s="122" t="s">
        <v>93</v>
      </c>
      <c r="O11" s="224" t="s">
        <v>93</v>
      </c>
      <c r="P11" s="122" t="s">
        <v>93</v>
      </c>
      <c r="Q11" s="213" t="s">
        <v>93</v>
      </c>
      <c r="R11" s="49" t="s">
        <v>93</v>
      </c>
      <c r="S11" s="122" t="s">
        <v>93</v>
      </c>
      <c r="T11" s="122" t="s">
        <v>93</v>
      </c>
      <c r="U11" s="122" t="s">
        <v>93</v>
      </c>
      <c r="V11" s="224" t="s">
        <v>93</v>
      </c>
      <c r="W11" s="224" t="s">
        <v>93</v>
      </c>
      <c r="X11" s="224" t="s">
        <v>93</v>
      </c>
      <c r="Y11" s="224" t="s">
        <v>93</v>
      </c>
      <c r="Z11" s="224" t="s">
        <v>93</v>
      </c>
      <c r="AA11" s="224" t="s">
        <v>93</v>
      </c>
      <c r="AB11" s="224" t="s">
        <v>1145</v>
      </c>
    </row>
    <row r="12" spans="1:28" ht="35.25" customHeight="1">
      <c r="A12" s="225">
        <v>10</v>
      </c>
      <c r="B12" s="103" t="str">
        <f>Dashboard!$J$1</f>
        <v>GGO Donor Wave</v>
      </c>
      <c r="C12" s="124">
        <f ca="1">Dashboard!$F$1</f>
        <v>46156</v>
      </c>
      <c r="D12" s="124">
        <f ca="1">Dashboard!$H$1</f>
        <v>46170</v>
      </c>
      <c r="E12" s="233" t="s">
        <v>79</v>
      </c>
      <c r="F12" s="88" t="s">
        <v>807</v>
      </c>
      <c r="G12" s="234" t="s">
        <v>1148</v>
      </c>
      <c r="H12" s="88" t="s">
        <v>1149</v>
      </c>
      <c r="I12" s="16" t="s">
        <v>263</v>
      </c>
      <c r="J12" s="122">
        <v>1</v>
      </c>
      <c r="K12" s="232">
        <v>1</v>
      </c>
      <c r="L12" s="232"/>
      <c r="M12" s="224"/>
      <c r="N12" s="122"/>
      <c r="O12" s="224" t="s">
        <v>93</v>
      </c>
      <c r="P12" s="122"/>
      <c r="Q12" s="235"/>
      <c r="R12" s="228" t="s">
        <v>1150</v>
      </c>
      <c r="S12" s="236">
        <v>45674</v>
      </c>
      <c r="T12" s="89"/>
      <c r="U12" s="89"/>
      <c r="V12" s="103"/>
      <c r="W12" s="103"/>
      <c r="X12" s="103"/>
      <c r="Y12" s="103"/>
      <c r="Z12" s="103"/>
      <c r="AA12" s="103"/>
      <c r="AB12" s="103"/>
    </row>
    <row r="13" spans="1:28" s="103" customFormat="1" ht="35.25" customHeight="1">
      <c r="A13" s="224">
        <v>11</v>
      </c>
      <c r="B13" s="103" t="str">
        <f>Dashboard!$J$1</f>
        <v>GGO Donor Wave</v>
      </c>
      <c r="C13" s="124">
        <f ca="1">Dashboard!$F$1</f>
        <v>46156</v>
      </c>
      <c r="D13" s="124">
        <f ca="1">Dashboard!$H$1</f>
        <v>46170</v>
      </c>
      <c r="E13" s="216" t="s">
        <v>79</v>
      </c>
      <c r="F13" s="122" t="s">
        <v>807</v>
      </c>
      <c r="G13" s="231" t="s">
        <v>1151</v>
      </c>
      <c r="H13" s="122" t="s">
        <v>1152</v>
      </c>
      <c r="I13" s="16" t="s">
        <v>495</v>
      </c>
      <c r="J13" s="122">
        <v>1</v>
      </c>
      <c r="K13" s="122">
        <v>1</v>
      </c>
      <c r="L13" s="122"/>
      <c r="N13" s="122" t="s">
        <v>93</v>
      </c>
      <c r="O13" s="224" t="s">
        <v>93</v>
      </c>
      <c r="P13" s="122" t="s">
        <v>93</v>
      </c>
      <c r="Q13" s="235" t="s">
        <v>93</v>
      </c>
      <c r="R13" s="122" t="s">
        <v>93</v>
      </c>
      <c r="S13" s="122" t="s">
        <v>93</v>
      </c>
      <c r="T13" s="122" t="s">
        <v>93</v>
      </c>
      <c r="U13" s="122" t="s">
        <v>93</v>
      </c>
      <c r="V13" s="224" t="s">
        <v>93</v>
      </c>
      <c r="W13" s="224" t="s">
        <v>93</v>
      </c>
      <c r="X13" s="224" t="s">
        <v>93</v>
      </c>
      <c r="Y13" s="224" t="s">
        <v>93</v>
      </c>
      <c r="Z13" s="224" t="s">
        <v>93</v>
      </c>
      <c r="AA13" s="224" t="s">
        <v>93</v>
      </c>
      <c r="AB13" s="224" t="s">
        <v>1153</v>
      </c>
    </row>
    <row r="14" spans="1:28" s="87" customFormat="1" ht="35.25" customHeight="1">
      <c r="A14" s="198">
        <v>12</v>
      </c>
      <c r="B14" s="87" t="str">
        <f>Dashboard!$J$1</f>
        <v>GGO Donor Wave</v>
      </c>
      <c r="C14" s="196">
        <f ca="1">Dashboard!$F$1</f>
        <v>46156</v>
      </c>
      <c r="D14" s="196">
        <f ca="1">Dashboard!$H$1</f>
        <v>46170</v>
      </c>
      <c r="E14" s="10" t="s">
        <v>79</v>
      </c>
      <c r="F14" s="49" t="s">
        <v>743</v>
      </c>
      <c r="G14" s="229" t="s">
        <v>1154</v>
      </c>
      <c r="H14" s="16" t="s">
        <v>1155</v>
      </c>
      <c r="I14" s="16" t="s">
        <v>13</v>
      </c>
      <c r="J14" s="49">
        <v>2</v>
      </c>
      <c r="K14" s="49">
        <v>2</v>
      </c>
      <c r="L14" s="49"/>
      <c r="N14" s="136" t="s">
        <v>739</v>
      </c>
      <c r="P14" s="5" t="s">
        <v>1120</v>
      </c>
      <c r="Q14" s="97"/>
      <c r="R14" s="70" t="s">
        <v>1156</v>
      </c>
      <c r="S14" s="220">
        <v>45678</v>
      </c>
      <c r="T14" s="71">
        <v>45679</v>
      </c>
      <c r="U14" s="5" t="s">
        <v>275</v>
      </c>
      <c r="W14" s="87" t="s">
        <v>825</v>
      </c>
      <c r="X14" s="144">
        <v>45679</v>
      </c>
      <c r="AB14" s="87" t="s">
        <v>1157</v>
      </c>
    </row>
    <row r="15" spans="1:28" ht="35.25" customHeight="1">
      <c r="A15" s="198">
        <v>13</v>
      </c>
      <c r="B15" s="87" t="str">
        <f>Dashboard!$J$1</f>
        <v>GGO Donor Wave</v>
      </c>
      <c r="C15" s="196">
        <f ca="1">Dashboard!$F$1</f>
        <v>46156</v>
      </c>
      <c r="D15" s="196">
        <f ca="1">Dashboard!$H$1</f>
        <v>46170</v>
      </c>
      <c r="E15" s="10" t="s">
        <v>79</v>
      </c>
      <c r="F15" s="49" t="s">
        <v>1008</v>
      </c>
      <c r="G15" s="229" t="s">
        <v>1097</v>
      </c>
      <c r="H15" s="16" t="s">
        <v>1158</v>
      </c>
      <c r="I15" s="16" t="s">
        <v>263</v>
      </c>
      <c r="J15" s="49">
        <v>2</v>
      </c>
      <c r="K15" s="49">
        <v>2</v>
      </c>
      <c r="L15" s="49"/>
      <c r="M15" s="87"/>
      <c r="N15" s="136"/>
      <c r="O15" s="87"/>
      <c r="P15" s="5"/>
      <c r="Q15" s="97"/>
      <c r="R15" s="70"/>
      <c r="S15" s="220"/>
      <c r="T15" s="71"/>
      <c r="U15" s="5"/>
      <c r="V15" s="87"/>
      <c r="W15" s="87"/>
      <c r="X15" s="144"/>
      <c r="Y15" s="87"/>
      <c r="Z15" s="87"/>
      <c r="AA15" s="87"/>
      <c r="AB15" s="87" t="s">
        <v>1159</v>
      </c>
    </row>
  </sheetData>
  <hyperlinks>
    <hyperlink ref="G4" r:id="rId1" display="https://greatergiving.atlassian.net/browse/GGO-14474" xr:uid="{5D59942D-1C4C-4B36-B3FF-CC6BBDBB1547}"/>
    <hyperlink ref="R4" r:id="rId2" xr:uid="{5F6FB60A-7601-41C0-8217-DC08D18A7736}"/>
    <hyperlink ref="R3" r:id="rId3" xr:uid="{BCD36BFF-56F7-4F63-8BAD-8D1CC9D903B6}"/>
    <hyperlink ref="G5" r:id="rId4" display="https://greatergiving.atlassian.net/browse/PAPI-790" xr:uid="{951B7BF5-2067-4FE3-B137-D953CF97EC6B}"/>
    <hyperlink ref="G6" r:id="rId5" display="https://greatergiving.atlassian.net/browse/GGO-14450" xr:uid="{F4776FED-073F-4150-B990-12F2FD890329}"/>
    <hyperlink ref="G7" r:id="rId6" display="https://greatergiving.atlassian.net/browse/GGO-14422" xr:uid="{1A4F1344-A1A9-4B6A-9116-F75165BAB46D}"/>
    <hyperlink ref="G8" r:id="rId7" display="https://greatergiving.atlassian.net/browse/GGO-14483" xr:uid="{FAC73DA1-3076-4CED-A5FA-B4A1E7C84651}"/>
    <hyperlink ref="R5" r:id="rId8" xr:uid="{90FB854E-F786-4605-90B0-902A87205BE7}"/>
    <hyperlink ref="G9" r:id="rId9" display="https://greatergiving.atlassian.net/browse/PAPI-790" xr:uid="{90205948-C5AF-4F41-90DD-D0F468A15F14}"/>
    <hyperlink ref="G10" r:id="rId10" display="https://greatergiving.atlassian.net/browse/GGO-14469" xr:uid="{38B68C43-7C0E-47F9-8933-D92003C35876}"/>
    <hyperlink ref="G11" r:id="rId11" display="https://greatergiving.atlassian.net/browse/GGO-14468" xr:uid="{FE8E44B8-1137-4F6D-B6A9-79EE535A01CC}"/>
    <hyperlink ref="G12" r:id="rId12" display="https://greatergiving.atlassian.net/browse/GGO-14447" xr:uid="{9443A514-FDDD-4061-A5F2-ACB54B8091B2}"/>
    <hyperlink ref="R12" r:id="rId13" xr:uid="{75178069-34D3-498E-BADD-6F4A0B8C2CF7}"/>
    <hyperlink ref="G13" r:id="rId14" display="https://greatergiving.atlassian.net/browse/PAPI-789" xr:uid="{0ED0091C-34B1-432A-B79E-5F480CBA8349}"/>
    <hyperlink ref="R14" r:id="rId15" xr:uid="{15EA2BA2-BE03-4393-987C-C1EAF91AEE2D}"/>
    <hyperlink ref="R6" r:id="rId16" xr:uid="{6DBC49CE-7F43-42AF-B800-5F5189EEF795}"/>
  </hyperlinks>
  <pageMargins left="0" right="0" top="0" bottom="0" header="0" footer="0"/>
  <tableParts count="1">
    <tablePart r:id="rId17"/>
  </tableParts>
  <extLst>
    <ext xmlns:x14="http://schemas.microsoft.com/office/spreadsheetml/2009/9/main" uri="{CCE6A557-97BC-4b89-ADB6-D9C93CAAB3DF}">
      <x14:dataValidations xmlns:xm="http://schemas.microsoft.com/office/excel/2006/main" count="2">
        <x14:dataValidation type="list" allowBlank="1" showErrorMessage="1" xr:uid="{0C70CD8A-7B22-459F-A358-2755DE9908A1}">
          <x14:formula1>
            <xm:f>Settings!$C$3:$C$20</xm:f>
          </x14:formula1>
          <xm:sqref>I12:I14</xm:sqref>
        </x14:dataValidation>
        <x14:dataValidation type="list" allowBlank="1" showInputMessage="1" showErrorMessage="1" xr:uid="{3F2F7E11-4AC8-44B8-8803-82F1708884DC}">
          <x14:formula1>
            <xm:f>Settings!$C$3:$C$20</xm:f>
          </x14:formula1>
          <xm:sqref>I3 I5 I7:I11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4BCBB-D5F8-4498-9F34-CE89A0A2DCE5}">
  <sheetPr>
    <outlinePr summaryBelow="0" summaryRight="0"/>
  </sheetPr>
  <dimension ref="A1:M6"/>
  <sheetViews>
    <sheetView topLeftCell="B1" workbookViewId="0">
      <selection activeCell="M6" sqref="M6"/>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2.5703125" customWidth="1"/>
    <col min="7" max="7" width="41.140625" customWidth="1"/>
    <col min="8" max="9" width="18.7109375" customWidth="1"/>
    <col min="10" max="10" width="9.140625" bestFit="1" customWidth="1"/>
    <col min="11" max="11" width="11.5703125" customWidth="1"/>
    <col min="12" max="12" width="18" customWidth="1"/>
    <col min="13" max="13" width="41.85546875" customWidth="1"/>
  </cols>
  <sheetData>
    <row r="1" spans="1:13" ht="13.5">
      <c r="A1" s="210" t="s">
        <v>234</v>
      </c>
      <c r="B1" s="42" t="s">
        <v>11</v>
      </c>
      <c r="C1" s="237" t="s">
        <v>350</v>
      </c>
      <c r="D1" s="237" t="s">
        <v>351</v>
      </c>
      <c r="E1" s="42" t="s">
        <v>236</v>
      </c>
      <c r="F1" s="237" t="s">
        <v>352</v>
      </c>
      <c r="G1" s="237" t="s">
        <v>353</v>
      </c>
      <c r="H1" s="1" t="s">
        <v>354</v>
      </c>
      <c r="I1" s="1" t="s">
        <v>355</v>
      </c>
      <c r="J1" s="1" t="s">
        <v>356</v>
      </c>
      <c r="K1" s="1" t="s">
        <v>239</v>
      </c>
      <c r="L1" s="209" t="s">
        <v>357</v>
      </c>
      <c r="M1" s="214" t="s">
        <v>260</v>
      </c>
    </row>
    <row r="2" spans="1:13" ht="70.5" customHeight="1">
      <c r="B2" s="10" t="s">
        <v>79</v>
      </c>
      <c r="C2" s="197" t="s">
        <v>1160</v>
      </c>
      <c r="D2" s="197" t="s">
        <v>1118</v>
      </c>
      <c r="E2" s="99" t="s">
        <v>738</v>
      </c>
      <c r="F2" s="10" t="s">
        <v>623</v>
      </c>
      <c r="G2" s="198" t="s">
        <v>1161</v>
      </c>
      <c r="H2" s="41" t="s">
        <v>860</v>
      </c>
      <c r="I2" s="238" t="s">
        <v>626</v>
      </c>
      <c r="J2" s="10" t="s">
        <v>861</v>
      </c>
      <c r="K2" s="10" t="s">
        <v>812</v>
      </c>
      <c r="L2" s="211" t="s">
        <v>862</v>
      </c>
      <c r="M2" s="99"/>
    </row>
    <row r="3" spans="1:13" ht="33.75" customHeight="1">
      <c r="B3" s="10" t="s">
        <v>79</v>
      </c>
      <c r="C3" s="197" t="s">
        <v>1162</v>
      </c>
      <c r="D3" s="197" t="s">
        <v>1118</v>
      </c>
      <c r="E3" s="10" t="s">
        <v>275</v>
      </c>
      <c r="F3" s="10" t="s">
        <v>623</v>
      </c>
      <c r="G3" s="198" t="s">
        <v>1163</v>
      </c>
      <c r="H3" s="41" t="s">
        <v>860</v>
      </c>
      <c r="I3" s="238" t="s">
        <v>626</v>
      </c>
      <c r="J3" s="10" t="s">
        <v>861</v>
      </c>
      <c r="K3" s="10" t="s">
        <v>812</v>
      </c>
      <c r="L3" s="211" t="s">
        <v>862</v>
      </c>
      <c r="M3" s="99"/>
    </row>
    <row r="4" spans="1:13" ht="50.25" customHeight="1">
      <c r="B4" s="10" t="s">
        <v>79</v>
      </c>
      <c r="C4" s="197" t="s">
        <v>1164</v>
      </c>
      <c r="D4" s="197" t="s">
        <v>1137</v>
      </c>
      <c r="E4" s="10" t="s">
        <v>275</v>
      </c>
      <c r="F4" s="10" t="s">
        <v>623</v>
      </c>
      <c r="G4" s="198" t="s">
        <v>1165</v>
      </c>
      <c r="H4" s="41" t="s">
        <v>860</v>
      </c>
      <c r="I4" s="238" t="s">
        <v>626</v>
      </c>
      <c r="J4" s="10" t="s">
        <v>861</v>
      </c>
      <c r="K4" s="10" t="s">
        <v>812</v>
      </c>
      <c r="L4" s="211" t="s">
        <v>862</v>
      </c>
      <c r="M4" s="99" t="s">
        <v>1166</v>
      </c>
    </row>
    <row r="5" spans="1:13" ht="72" customHeight="1">
      <c r="B5" s="10" t="s">
        <v>79</v>
      </c>
      <c r="C5" s="197" t="s">
        <v>1167</v>
      </c>
      <c r="D5" s="197" t="s">
        <v>1137</v>
      </c>
      <c r="E5" s="10" t="s">
        <v>275</v>
      </c>
      <c r="F5" s="10" t="s">
        <v>623</v>
      </c>
      <c r="G5" s="198" t="s">
        <v>1168</v>
      </c>
      <c r="H5" s="41" t="s">
        <v>860</v>
      </c>
      <c r="I5" s="238" t="s">
        <v>626</v>
      </c>
      <c r="J5" s="10" t="s">
        <v>861</v>
      </c>
      <c r="K5" s="10" t="s">
        <v>812</v>
      </c>
      <c r="L5" s="211" t="s">
        <v>862</v>
      </c>
      <c r="M5" s="87" t="s">
        <v>1169</v>
      </c>
    </row>
    <row r="6" spans="1:13" ht="15.75" customHeight="1">
      <c r="B6" s="10" t="s">
        <v>79</v>
      </c>
      <c r="C6" s="197" t="s">
        <v>1170</v>
      </c>
      <c r="D6" s="197" t="s">
        <v>1137</v>
      </c>
      <c r="E6" s="10" t="s">
        <v>275</v>
      </c>
      <c r="F6" s="10" t="s">
        <v>623</v>
      </c>
      <c r="G6" s="239" t="s">
        <v>1171</v>
      </c>
      <c r="H6" s="41" t="s">
        <v>860</v>
      </c>
      <c r="I6" s="238" t="s">
        <v>626</v>
      </c>
      <c r="J6" s="10" t="s">
        <v>861</v>
      </c>
      <c r="K6" s="10" t="s">
        <v>812</v>
      </c>
      <c r="L6" s="211" t="s">
        <v>862</v>
      </c>
      <c r="M6" t="s">
        <v>1172</v>
      </c>
    </row>
  </sheetData>
  <dataValidations count="5">
    <dataValidation type="list" allowBlank="1" showErrorMessage="1" sqref="F2:F6" xr:uid="{6025611A-5776-4BEB-9410-52CD9255C42D}">
      <formula1>"Bounceback,Defect,None"</formula1>
    </dataValidation>
    <dataValidation type="list" allowBlank="1" showErrorMessage="1" sqref="H2:H6" xr:uid="{D6D1C0BF-9884-454A-8027-60D1F3AAA566}">
      <formula1>"Minor,Significant,Major"</formula1>
    </dataValidation>
    <dataValidation type="list" allowBlank="1" showErrorMessage="1" sqref="K2:K6" xr:uid="{87CC80D8-F7FB-4873-BFF4-19DAD6196266}">
      <formula1>"Open,Inprogress,Closed"</formula1>
    </dataValidation>
    <dataValidation type="list" allowBlank="1" showErrorMessage="1" sqref="J2:J6" xr:uid="{1ADAEE41-D86C-4F67-A2F1-A3699A76CF52}">
      <formula1>"Internal,External"</formula1>
    </dataValidation>
    <dataValidation type="list" allowBlank="1" showErrorMessage="1" sqref="I2:I6" xr:uid="{79360F3B-1CBB-45EC-B37F-C5B8ABF96332}">
      <formula1>"Manual, Automation"</formula1>
    </dataValidation>
  </dataValidations>
  <hyperlinks>
    <hyperlink ref="C2" r:id="rId1" display="https://greatergiving.atlassian.net/browse/GGO-14489" xr:uid="{EC515BD1-7BB2-4327-BCAD-CEAF6E13F9F6}"/>
    <hyperlink ref="C4" r:id="rId2" display="https://greatergiving.atlassian.net/browse/GGO-14489" xr:uid="{CD1BFABB-2231-4C06-8BC9-7BA1711CBBFB}"/>
    <hyperlink ref="C5" r:id="rId3" display="https://greatergiving.atlassian.net/browse/GGO-14489" xr:uid="{5AF327B4-AFB1-420A-A41A-FC4C62C13559}"/>
    <hyperlink ref="C6" r:id="rId4" display="https://greatergiving.atlassian.net/browse/GGO-14512" xr:uid="{FB2BA5FE-0691-4C91-9775-F08ED4C3F48D}"/>
    <hyperlink ref="D6" r:id="rId5" display="https://greatergiving.atlassian.net/browse/GGO-14483" xr:uid="{CFE88C5A-DC6D-4F5B-84B3-57BA8C4FED29}"/>
    <hyperlink ref="D5" r:id="rId6" display="https://greatergiving.atlassian.net/browse/GGO-14483" xr:uid="{AFFE9ED6-0C2D-46B1-A558-ED1BDDD19B74}"/>
    <hyperlink ref="D4" r:id="rId7" display="https://greatergiving.atlassian.net/browse/GGO-14483" xr:uid="{8978B27C-78B2-42E2-8C22-F38576F327A1}"/>
    <hyperlink ref="D3" r:id="rId8" display="https://greatergiving.atlassian.net/browse/GGO-14427" xr:uid="{2BF3FE31-8773-447A-BD7C-36A045F4EF07}"/>
    <hyperlink ref="D2" r:id="rId9" display="https://greatergiving.atlassian.net/browse/GGO-14427" xr:uid="{AC44BBEC-D6A4-471E-9BD2-FDE1808BBE82}"/>
    <hyperlink ref="C3" r:id="rId10" display="https://greatergiving.atlassian.net/browse/GGO-14489" xr:uid="{B79E12DE-9BF8-4586-94CF-736389CE0E80}"/>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855D2C3-1FA2-4A97-8CEB-E2D2A4FFA2AE}">
          <x14:formula1>
            <xm:f>Details!$A$2:$A$10</xm:f>
          </x14:formula1>
          <xm:sqref>L2:L6</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37E21-7995-44C4-8199-FCEF51F2D81B}">
  <sheetPr>
    <outlinePr summaryBelow="0" summaryRight="0"/>
  </sheetPr>
  <dimension ref="A1:AB9"/>
  <sheetViews>
    <sheetView showGridLines="0" workbookViewId="0">
      <pane xSplit="8" ySplit="1" topLeftCell="I2" activePane="bottomRight" state="frozen"/>
      <selection pane="bottomRight" activeCell="L1" sqref="L1"/>
      <selection pane="bottomLeft" activeCell="A3" sqref="A3"/>
      <selection pane="topRight" activeCell="F1" sqref="F1"/>
    </sheetView>
  </sheetViews>
  <sheetFormatPr defaultColWidth="12.5703125" defaultRowHeight="35.25" customHeight="1"/>
  <cols>
    <col min="1" max="1" width="7.5703125" style="43" customWidth="1"/>
    <col min="2" max="2" width="12" style="43" customWidth="1"/>
    <col min="3" max="4" width="10" style="43" customWidth="1"/>
    <col min="5" max="5" width="16.42578125" style="43" customWidth="1"/>
    <col min="6" max="6" width="27.85546875" style="43" customWidth="1"/>
    <col min="7" max="7" width="19.28515625" style="62" customWidth="1"/>
    <col min="8" max="8" width="53.85546875" style="43" bestFit="1" customWidth="1"/>
    <col min="9" max="9" width="53.85546875" style="43" customWidth="1"/>
    <col min="10" max="10" width="13.28515625" style="43" customWidth="1"/>
    <col min="11" max="11" width="14.42578125" style="43" bestFit="1"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43"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s="87" customFormat="1" ht="35.25" customHeight="1">
      <c r="A1" s="204" t="s">
        <v>234</v>
      </c>
      <c r="B1" s="205" t="s">
        <v>4</v>
      </c>
      <c r="C1" s="205" t="s">
        <v>2</v>
      </c>
      <c r="D1" s="205" t="s">
        <v>3</v>
      </c>
      <c r="E1" s="200" t="s">
        <v>235</v>
      </c>
      <c r="F1" s="200" t="s">
        <v>236</v>
      </c>
      <c r="G1" s="206" t="s">
        <v>515</v>
      </c>
      <c r="H1" s="200" t="s">
        <v>238</v>
      </c>
      <c r="I1" s="207" t="s">
        <v>239</v>
      </c>
      <c r="J1" s="200" t="s">
        <v>1115</v>
      </c>
      <c r="K1" s="200" t="s">
        <v>1116</v>
      </c>
      <c r="L1" s="200" t="s">
        <v>242</v>
      </c>
      <c r="M1" s="200" t="s">
        <v>245</v>
      </c>
      <c r="N1" s="200" t="s">
        <v>246</v>
      </c>
      <c r="O1" s="200" t="s">
        <v>247</v>
      </c>
      <c r="P1" s="200" t="s">
        <v>248</v>
      </c>
      <c r="Q1" s="200" t="s">
        <v>249</v>
      </c>
      <c r="R1" s="200" t="s">
        <v>250</v>
      </c>
      <c r="S1" s="200" t="s">
        <v>251</v>
      </c>
      <c r="T1" s="200" t="s">
        <v>252</v>
      </c>
      <c r="U1" s="200" t="s">
        <v>253</v>
      </c>
      <c r="V1" s="200" t="s">
        <v>254</v>
      </c>
      <c r="W1" s="200" t="s">
        <v>255</v>
      </c>
      <c r="X1" s="200" t="s">
        <v>256</v>
      </c>
      <c r="Y1" s="200" t="s">
        <v>487</v>
      </c>
      <c r="Z1" s="200" t="s">
        <v>465</v>
      </c>
      <c r="AA1" s="200" t="s">
        <v>466</v>
      </c>
      <c r="AB1" s="200" t="s">
        <v>260</v>
      </c>
    </row>
    <row r="2" spans="1:28" s="87" customFormat="1" ht="35.25" customHeight="1">
      <c r="A2" s="128">
        <v>1</v>
      </c>
      <c r="B2" s="128" t="str">
        <f>Dashboard!$J$1</f>
        <v>GGO Donor Wave</v>
      </c>
      <c r="C2" s="201">
        <f ca="1">Dashboard!$F$1</f>
        <v>46156</v>
      </c>
      <c r="D2" s="201">
        <f ca="1">Dashboard!$H$1</f>
        <v>46170</v>
      </c>
      <c r="E2" s="10" t="s">
        <v>75</v>
      </c>
      <c r="F2" s="5" t="s">
        <v>1173</v>
      </c>
      <c r="G2" s="190" t="s">
        <v>1174</v>
      </c>
      <c r="H2" s="16" t="s">
        <v>1175</v>
      </c>
      <c r="I2" s="182" t="s">
        <v>13</v>
      </c>
      <c r="J2" s="136">
        <v>3</v>
      </c>
      <c r="K2" s="136">
        <v>3</v>
      </c>
      <c r="L2" s="136"/>
      <c r="M2" s="170"/>
      <c r="N2" s="136" t="s">
        <v>739</v>
      </c>
      <c r="O2" s="128"/>
      <c r="P2" s="5" t="s">
        <v>1176</v>
      </c>
      <c r="Q2" s="130"/>
      <c r="R2" s="70" t="s">
        <v>1177</v>
      </c>
      <c r="S2" s="71">
        <v>45643</v>
      </c>
      <c r="T2" s="71">
        <v>45643</v>
      </c>
      <c r="U2" s="130" t="s">
        <v>275</v>
      </c>
      <c r="V2" s="128"/>
      <c r="W2" s="87" t="s">
        <v>741</v>
      </c>
      <c r="X2" s="71">
        <v>45643</v>
      </c>
      <c r="Y2" s="128"/>
      <c r="Z2" s="128"/>
      <c r="AA2" s="128"/>
      <c r="AB2" s="87" t="s">
        <v>1178</v>
      </c>
    </row>
    <row r="3" spans="1:28" s="103" customFormat="1" ht="35.25" customHeight="1">
      <c r="A3" s="87">
        <v>2</v>
      </c>
      <c r="B3" s="87" t="str">
        <f>Dashboard!$J$1</f>
        <v>GGO Donor Wave</v>
      </c>
      <c r="C3" s="196">
        <f ca="1">Dashboard!$F$1</f>
        <v>46156</v>
      </c>
      <c r="D3" s="196">
        <f ca="1">Dashboard!$H$1</f>
        <v>46170</v>
      </c>
      <c r="E3" s="10" t="s">
        <v>75</v>
      </c>
      <c r="F3" s="5" t="s">
        <v>1173</v>
      </c>
      <c r="G3" s="190" t="s">
        <v>1179</v>
      </c>
      <c r="H3" s="16" t="s">
        <v>1180</v>
      </c>
      <c r="I3" s="182" t="s">
        <v>13</v>
      </c>
      <c r="J3" s="136">
        <v>5</v>
      </c>
      <c r="K3" s="136">
        <v>5</v>
      </c>
      <c r="L3" s="136"/>
      <c r="M3" s="87"/>
      <c r="N3" s="136" t="s">
        <v>739</v>
      </c>
      <c r="O3" s="87"/>
      <c r="P3" s="5" t="s">
        <v>1120</v>
      </c>
      <c r="Q3" s="97"/>
      <c r="R3" s="5"/>
      <c r="S3" s="5"/>
      <c r="T3" s="5"/>
      <c r="U3" s="5"/>
      <c r="V3" s="87"/>
      <c r="W3" s="87"/>
      <c r="X3" s="87"/>
      <c r="Y3" s="87"/>
      <c r="Z3" s="87"/>
      <c r="AA3" s="87"/>
      <c r="AB3" s="202" t="s">
        <v>1181</v>
      </c>
    </row>
    <row r="4" spans="1:28" s="87" customFormat="1" ht="35.25" customHeight="1">
      <c r="A4" s="87">
        <v>3</v>
      </c>
      <c r="B4" s="87" t="str">
        <f>Dashboard!$J$1</f>
        <v>GGO Donor Wave</v>
      </c>
      <c r="C4" s="196">
        <f ca="1">Dashboard!$F$1</f>
        <v>46156</v>
      </c>
      <c r="D4" s="196">
        <f ca="1">Dashboard!$H$1</f>
        <v>46170</v>
      </c>
      <c r="E4" s="10" t="s">
        <v>75</v>
      </c>
      <c r="F4" s="5" t="s">
        <v>743</v>
      </c>
      <c r="G4" s="190" t="s">
        <v>1182</v>
      </c>
      <c r="H4" s="16" t="s">
        <v>1183</v>
      </c>
      <c r="I4" s="182" t="s">
        <v>13</v>
      </c>
      <c r="J4" s="136">
        <v>3</v>
      </c>
      <c r="K4" s="136">
        <v>3</v>
      </c>
      <c r="L4" s="136"/>
      <c r="N4" s="136" t="s">
        <v>739</v>
      </c>
      <c r="P4" s="5" t="s">
        <v>1120</v>
      </c>
      <c r="Q4" s="97"/>
      <c r="R4" s="70" t="s">
        <v>1184</v>
      </c>
      <c r="S4" s="71">
        <v>45639</v>
      </c>
      <c r="T4" s="71">
        <v>45643</v>
      </c>
      <c r="U4" s="5" t="s">
        <v>275</v>
      </c>
      <c r="W4" s="87" t="s">
        <v>741</v>
      </c>
      <c r="X4" s="144">
        <v>45643</v>
      </c>
      <c r="AB4" s="87" t="s">
        <v>1185</v>
      </c>
    </row>
    <row r="5" spans="1:28" s="195" customFormat="1" ht="36.75" customHeight="1">
      <c r="A5" s="87">
        <v>4</v>
      </c>
      <c r="B5" s="87" t="str">
        <f>Dashboard!$J$1</f>
        <v>GGO Donor Wave</v>
      </c>
      <c r="C5" s="196">
        <f ca="1">Dashboard!$F$1</f>
        <v>46156</v>
      </c>
      <c r="D5" s="196">
        <f ca="1">Dashboard!$H$1</f>
        <v>46170</v>
      </c>
      <c r="E5" s="10" t="s">
        <v>75</v>
      </c>
      <c r="F5" s="5" t="s">
        <v>743</v>
      </c>
      <c r="G5" s="190" t="s">
        <v>1186</v>
      </c>
      <c r="H5" s="16" t="s">
        <v>1187</v>
      </c>
      <c r="I5" s="182" t="s">
        <v>13</v>
      </c>
      <c r="J5" s="136">
        <v>2</v>
      </c>
      <c r="K5" s="136">
        <v>2</v>
      </c>
      <c r="L5" s="136"/>
      <c r="M5" s="87"/>
      <c r="N5" s="136" t="s">
        <v>739</v>
      </c>
      <c r="O5" s="87"/>
      <c r="P5" s="5" t="s">
        <v>1120</v>
      </c>
      <c r="Q5" s="97"/>
      <c r="R5" s="70" t="s">
        <v>1188</v>
      </c>
      <c r="S5" s="71">
        <v>45639</v>
      </c>
      <c r="T5" s="71">
        <v>45642</v>
      </c>
      <c r="U5" s="5" t="s">
        <v>275</v>
      </c>
      <c r="V5" s="87"/>
      <c r="W5" s="87" t="s">
        <v>825</v>
      </c>
      <c r="X5" s="144">
        <v>45642</v>
      </c>
      <c r="Y5" s="87"/>
      <c r="Z5" s="87"/>
      <c r="AA5" s="87"/>
      <c r="AB5" s="87" t="s">
        <v>1189</v>
      </c>
    </row>
    <row r="6" spans="1:28" s="87" customFormat="1" ht="35.25" customHeight="1">
      <c r="A6" s="87">
        <v>5</v>
      </c>
      <c r="B6" s="87" t="str">
        <f>Dashboard!$J$1</f>
        <v>GGO Donor Wave</v>
      </c>
      <c r="C6" s="196">
        <f ca="1">Dashboard!$F$1</f>
        <v>46156</v>
      </c>
      <c r="D6" s="196">
        <f ca="1">Dashboard!$H$1</f>
        <v>46170</v>
      </c>
      <c r="E6" s="10" t="s">
        <v>75</v>
      </c>
      <c r="F6" s="5" t="s">
        <v>1120</v>
      </c>
      <c r="G6" s="190" t="s">
        <v>1190</v>
      </c>
      <c r="H6" s="16" t="s">
        <v>1191</v>
      </c>
      <c r="I6" s="182" t="s">
        <v>13</v>
      </c>
      <c r="J6" s="49">
        <v>3</v>
      </c>
      <c r="K6" s="49">
        <v>3</v>
      </c>
      <c r="L6" s="49"/>
      <c r="N6" s="136" t="s">
        <v>739</v>
      </c>
      <c r="P6" s="5" t="s">
        <v>743</v>
      </c>
      <c r="Q6" s="97"/>
      <c r="R6" s="70" t="s">
        <v>1192</v>
      </c>
      <c r="S6" s="71">
        <v>45653</v>
      </c>
      <c r="T6" s="199">
        <v>45656</v>
      </c>
      <c r="U6" s="5" t="s">
        <v>275</v>
      </c>
      <c r="W6" s="87" t="s">
        <v>741</v>
      </c>
      <c r="X6" s="199">
        <v>45656</v>
      </c>
    </row>
    <row r="7" spans="1:28" s="87" customFormat="1" ht="35.25" customHeight="1">
      <c r="A7" s="87">
        <v>6</v>
      </c>
      <c r="B7" s="87" t="str">
        <f>Dashboard!$J$1</f>
        <v>GGO Donor Wave</v>
      </c>
      <c r="C7" s="196">
        <f ca="1">Dashboard!$F$1</f>
        <v>46156</v>
      </c>
      <c r="D7" s="196">
        <f ca="1">Dashboard!$H$1</f>
        <v>46170</v>
      </c>
      <c r="E7" s="10" t="s">
        <v>75</v>
      </c>
      <c r="F7" s="5" t="s">
        <v>1131</v>
      </c>
      <c r="G7" s="190" t="s">
        <v>1193</v>
      </c>
      <c r="H7" s="16" t="s">
        <v>1194</v>
      </c>
      <c r="I7" s="182" t="s">
        <v>13</v>
      </c>
      <c r="J7" s="136">
        <v>3</v>
      </c>
      <c r="K7" s="136">
        <v>3</v>
      </c>
      <c r="L7" s="136"/>
      <c r="N7" s="136" t="s">
        <v>739</v>
      </c>
      <c r="P7" s="5" t="s">
        <v>1120</v>
      </c>
      <c r="Q7" s="97"/>
      <c r="R7" s="70" t="s">
        <v>1195</v>
      </c>
      <c r="S7" s="71">
        <v>45657</v>
      </c>
      <c r="T7" s="199">
        <v>45657</v>
      </c>
      <c r="U7" s="5" t="s">
        <v>275</v>
      </c>
      <c r="W7" s="87" t="s">
        <v>741</v>
      </c>
      <c r="X7" s="199">
        <v>45657</v>
      </c>
      <c r="AB7" s="87" t="s">
        <v>1196</v>
      </c>
    </row>
    <row r="8" spans="1:28" s="87" customFormat="1" ht="42" customHeight="1">
      <c r="A8" s="87">
        <v>7</v>
      </c>
      <c r="B8" s="87" t="str">
        <f>Dashboard!$J$1</f>
        <v>GGO Donor Wave</v>
      </c>
      <c r="C8" s="196">
        <f ca="1">Dashboard!$F$1</f>
        <v>46156</v>
      </c>
      <c r="D8" s="196">
        <f ca="1">Dashboard!$H$1</f>
        <v>46170</v>
      </c>
      <c r="E8" s="10" t="s">
        <v>75</v>
      </c>
      <c r="F8" s="5" t="s">
        <v>1117</v>
      </c>
      <c r="G8" s="190" t="s">
        <v>1118</v>
      </c>
      <c r="H8" s="16" t="s">
        <v>1119</v>
      </c>
      <c r="I8" s="203" t="s">
        <v>936</v>
      </c>
      <c r="J8" s="136">
        <v>5</v>
      </c>
      <c r="K8" s="136">
        <v>5</v>
      </c>
      <c r="L8" s="136"/>
      <c r="N8" s="136" t="s">
        <v>739</v>
      </c>
      <c r="P8" s="5" t="s">
        <v>1120</v>
      </c>
      <c r="Q8" s="97"/>
      <c r="R8" s="70" t="s">
        <v>1121</v>
      </c>
      <c r="S8" s="71">
        <v>45657</v>
      </c>
      <c r="T8" s="71">
        <v>37621</v>
      </c>
      <c r="U8" s="5" t="s">
        <v>275</v>
      </c>
      <c r="W8" s="87" t="s">
        <v>741</v>
      </c>
      <c r="X8" s="144">
        <v>45657</v>
      </c>
      <c r="AB8" s="87" t="s">
        <v>1122</v>
      </c>
    </row>
    <row r="9" spans="1:28" s="142" customFormat="1" ht="35.25" customHeight="1">
      <c r="A9" s="87">
        <v>8</v>
      </c>
      <c r="B9" s="87" t="str">
        <f>Dashboard!$J$1</f>
        <v>GGO Donor Wave</v>
      </c>
      <c r="C9" s="196">
        <f ca="1">Dashboard!$F$1</f>
        <v>46156</v>
      </c>
      <c r="D9" s="196">
        <f ca="1">Dashboard!$H$1</f>
        <v>46170</v>
      </c>
      <c r="E9" s="10" t="s">
        <v>75</v>
      </c>
      <c r="F9" s="5" t="s">
        <v>1008</v>
      </c>
      <c r="G9" s="72" t="s">
        <v>1123</v>
      </c>
      <c r="H9" s="16" t="s">
        <v>1197</v>
      </c>
      <c r="I9" s="16" t="s">
        <v>984</v>
      </c>
      <c r="J9" s="49">
        <v>3</v>
      </c>
      <c r="K9" s="16">
        <v>3</v>
      </c>
      <c r="L9" s="16"/>
      <c r="M9" s="87"/>
      <c r="N9" s="136" t="s">
        <v>739</v>
      </c>
      <c r="O9" s="87"/>
      <c r="P9" s="5" t="s">
        <v>1120</v>
      </c>
      <c r="Q9" s="97"/>
      <c r="R9" s="70" t="s">
        <v>1125</v>
      </c>
      <c r="S9" s="71">
        <v>45664</v>
      </c>
      <c r="T9" s="71">
        <v>45665</v>
      </c>
      <c r="U9" s="5" t="s">
        <v>275</v>
      </c>
      <c r="V9" s="87"/>
      <c r="W9" s="87" t="s">
        <v>942</v>
      </c>
      <c r="X9" s="144">
        <v>45665</v>
      </c>
      <c r="Y9" s="87"/>
      <c r="Z9" s="87"/>
      <c r="AA9" s="87"/>
      <c r="AB9" s="87"/>
    </row>
  </sheetData>
  <hyperlinks>
    <hyperlink ref="R4" r:id="rId1" xr:uid="{6BE0A780-3E86-4E56-B3BD-5B3238C486DE}"/>
    <hyperlink ref="R5" r:id="rId2" xr:uid="{43D78E56-40F6-4714-9D09-EDAD28BED2AE}"/>
    <hyperlink ref="R2" r:id="rId3" xr:uid="{4C0FC325-672E-439C-9511-6A176933B228}"/>
    <hyperlink ref="R7" r:id="rId4" xr:uid="{6851F33F-3E5F-4E20-BF93-E9E40B500A05}"/>
    <hyperlink ref="R6" r:id="rId5" xr:uid="{BCA7AA28-51CF-409C-9A3B-4D704AC78570}"/>
    <hyperlink ref="G9" r:id="rId6" display="https://greatergiving.atlassian.net/browse/GGO-14474" xr:uid="{867594FA-00C1-40F0-AB8D-BEDB070C02D4}"/>
    <hyperlink ref="R9" r:id="rId7" xr:uid="{CD3BC1D1-36F2-40B6-AA9E-70DB414A52C5}"/>
    <hyperlink ref="R8" r:id="rId8" xr:uid="{90D73EA3-CAA0-4250-9C1E-D036DD7395CA}"/>
  </hyperlinks>
  <pageMargins left="0" right="0" top="0" bottom="0" header="0" footer="0"/>
  <tableParts count="1">
    <tablePart r:id="rId9"/>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7C0C-E23E-4D10-97A0-FA917BB61692}">
  <sheetPr>
    <outlinePr summaryBelow="0" summaryRight="0"/>
  </sheetPr>
  <dimension ref="A1:K9"/>
  <sheetViews>
    <sheetView topLeftCell="B1" workbookViewId="0">
      <selection activeCell="F8" sqref="F8"/>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210" t="s">
        <v>234</v>
      </c>
      <c r="B1" s="1" t="s">
        <v>11</v>
      </c>
      <c r="C1" s="208" t="s">
        <v>350</v>
      </c>
      <c r="D1" s="1" t="s">
        <v>236</v>
      </c>
      <c r="E1" s="208" t="s">
        <v>352</v>
      </c>
      <c r="F1" s="208" t="s">
        <v>353</v>
      </c>
      <c r="G1" s="1" t="s">
        <v>354</v>
      </c>
      <c r="H1" s="1" t="s">
        <v>356</v>
      </c>
      <c r="I1" s="1" t="s">
        <v>239</v>
      </c>
      <c r="J1" s="209" t="s">
        <v>357</v>
      </c>
      <c r="K1" s="3" t="s">
        <v>260</v>
      </c>
    </row>
    <row r="2" spans="1:11" ht="48" customHeight="1">
      <c r="A2" s="156"/>
      <c r="B2" s="10" t="s">
        <v>75</v>
      </c>
      <c r="C2" s="72" t="s">
        <v>1198</v>
      </c>
      <c r="D2" s="99" t="s">
        <v>738</v>
      </c>
      <c r="E2" s="10" t="s">
        <v>623</v>
      </c>
      <c r="F2" s="133" t="s">
        <v>1199</v>
      </c>
      <c r="G2" s="10" t="s">
        <v>1200</v>
      </c>
      <c r="H2" s="10" t="s">
        <v>861</v>
      </c>
      <c r="I2" s="10" t="s">
        <v>812</v>
      </c>
      <c r="J2" s="10" t="s">
        <v>1201</v>
      </c>
      <c r="K2" s="159"/>
    </row>
    <row r="3" spans="1:11" ht="57.75" customHeight="1">
      <c r="A3" s="156"/>
      <c r="B3" s="10" t="s">
        <v>75</v>
      </c>
      <c r="C3" s="140" t="s">
        <v>1202</v>
      </c>
      <c r="D3" s="10" t="s">
        <v>275</v>
      </c>
      <c r="E3" s="10" t="s">
        <v>623</v>
      </c>
      <c r="F3" s="16" t="s">
        <v>1203</v>
      </c>
      <c r="G3" s="10" t="s">
        <v>860</v>
      </c>
      <c r="H3" s="10" t="s">
        <v>861</v>
      </c>
      <c r="I3" s="10" t="s">
        <v>812</v>
      </c>
      <c r="J3" s="10" t="s">
        <v>862</v>
      </c>
      <c r="K3" s="10"/>
    </row>
    <row r="4" spans="1:11" ht="51.75" customHeight="1">
      <c r="B4" s="10" t="s">
        <v>75</v>
      </c>
      <c r="C4" s="197" t="s">
        <v>1204</v>
      </c>
      <c r="D4" s="99" t="s">
        <v>738</v>
      </c>
      <c r="E4" s="10" t="s">
        <v>623</v>
      </c>
      <c r="F4" s="87" t="s">
        <v>1205</v>
      </c>
      <c r="G4" s="10" t="s">
        <v>860</v>
      </c>
      <c r="H4" s="10" t="s">
        <v>861</v>
      </c>
      <c r="I4" s="10" t="s">
        <v>812</v>
      </c>
      <c r="J4" s="10" t="s">
        <v>862</v>
      </c>
      <c r="K4" s="99"/>
    </row>
    <row r="5" spans="1:11" ht="33" customHeight="1">
      <c r="B5" s="10" t="s">
        <v>75</v>
      </c>
      <c r="C5" s="197" t="s">
        <v>1206</v>
      </c>
      <c r="D5" s="10" t="s">
        <v>275</v>
      </c>
      <c r="E5" s="10" t="s">
        <v>623</v>
      </c>
      <c r="F5" s="87" t="s">
        <v>1207</v>
      </c>
      <c r="G5" s="10" t="s">
        <v>860</v>
      </c>
      <c r="H5" s="10" t="s">
        <v>861</v>
      </c>
      <c r="I5" s="10" t="s">
        <v>812</v>
      </c>
      <c r="J5" s="10" t="s">
        <v>862</v>
      </c>
      <c r="K5" s="99"/>
    </row>
    <row r="6" spans="1:11" ht="15.75" customHeight="1">
      <c r="B6" s="10" t="s">
        <v>75</v>
      </c>
      <c r="C6" s="197" t="s">
        <v>1208</v>
      </c>
      <c r="D6" s="10" t="s">
        <v>275</v>
      </c>
      <c r="E6" s="10" t="s">
        <v>623</v>
      </c>
      <c r="F6" s="99" t="s">
        <v>1209</v>
      </c>
      <c r="G6" s="10" t="s">
        <v>860</v>
      </c>
      <c r="H6" s="10" t="s">
        <v>861</v>
      </c>
      <c r="I6" s="10" t="s">
        <v>812</v>
      </c>
      <c r="J6" s="10" t="s">
        <v>862</v>
      </c>
      <c r="K6" s="99"/>
    </row>
    <row r="7" spans="1:11" ht="15.75" customHeight="1">
      <c r="B7" s="10" t="s">
        <v>75</v>
      </c>
      <c r="C7" s="197" t="s">
        <v>1210</v>
      </c>
      <c r="D7" s="10" t="s">
        <v>743</v>
      </c>
      <c r="E7" s="10" t="s">
        <v>623</v>
      </c>
      <c r="F7" s="99" t="s">
        <v>1211</v>
      </c>
      <c r="G7" s="10" t="s">
        <v>860</v>
      </c>
      <c r="H7" s="10" t="s">
        <v>861</v>
      </c>
      <c r="I7" s="10" t="s">
        <v>812</v>
      </c>
      <c r="J7" s="10" t="s">
        <v>862</v>
      </c>
      <c r="K7" s="99"/>
    </row>
    <row r="8" spans="1:11" ht="70.5" customHeight="1">
      <c r="B8" s="10" t="s">
        <v>75</v>
      </c>
      <c r="C8" s="197" t="s">
        <v>1160</v>
      </c>
      <c r="D8" s="99" t="s">
        <v>738</v>
      </c>
      <c r="E8" s="10" t="s">
        <v>623</v>
      </c>
      <c r="F8" s="198" t="s">
        <v>1161</v>
      </c>
      <c r="G8" s="10" t="s">
        <v>860</v>
      </c>
      <c r="H8" s="10" t="s">
        <v>861</v>
      </c>
      <c r="I8" s="10" t="s">
        <v>628</v>
      </c>
      <c r="J8" s="10" t="s">
        <v>862</v>
      </c>
      <c r="K8" s="99"/>
    </row>
    <row r="9" spans="1:11" ht="15.75" customHeight="1">
      <c r="B9" s="10" t="s">
        <v>75</v>
      </c>
      <c r="C9" s="197" t="s">
        <v>1162</v>
      </c>
      <c r="D9" s="10" t="s">
        <v>275</v>
      </c>
      <c r="E9" s="10" t="s">
        <v>623</v>
      </c>
      <c r="F9" s="198" t="s">
        <v>1163</v>
      </c>
      <c r="G9" s="10" t="s">
        <v>860</v>
      </c>
      <c r="H9" s="10" t="s">
        <v>861</v>
      </c>
      <c r="I9" s="10" t="s">
        <v>812</v>
      </c>
      <c r="J9" s="10" t="s">
        <v>862</v>
      </c>
      <c r="K9" s="99"/>
    </row>
  </sheetData>
  <dataValidations count="4">
    <dataValidation type="list" allowBlank="1" showErrorMessage="1" sqref="F2 E2:E9" xr:uid="{45043BB9-0302-4809-BDD9-E474BA84841C}">
      <formula1>"Bounceback,Defect,None"</formula1>
    </dataValidation>
    <dataValidation type="list" allowBlank="1" showErrorMessage="1" sqref="H2:H9" xr:uid="{E338FACC-F3A3-42EE-948C-A94363AE53F1}">
      <formula1>"Internal,External"</formula1>
    </dataValidation>
    <dataValidation type="list" allowBlank="1" showErrorMessage="1" sqref="I2:I9" xr:uid="{E42D4599-0038-44DF-B4CD-E805D5FAD8D4}">
      <formula1>"Open,Inprogress,Closed"</formula1>
    </dataValidation>
    <dataValidation type="list" allowBlank="1" showErrorMessage="1" sqref="G2:G9" xr:uid="{DD806246-C78D-46A4-80E6-6EBC7CE5BCA5}">
      <formula1>"Minor,Significant,Major"</formula1>
    </dataValidation>
  </dataValidations>
  <hyperlinks>
    <hyperlink ref="C2" r:id="rId1" display="https://greatergiving.atlassian.net/browse/GGO-14479" xr:uid="{4E335917-1DAB-42E8-A272-1F6682A48E3E}"/>
    <hyperlink ref="C3" r:id="rId2" display="https://greatergiving.atlassian.net/browse/GGO-14480" xr:uid="{D0549279-E6F7-438B-A3B8-84E92FEFB6E8}"/>
    <hyperlink ref="C4" r:id="rId3" display="https://greatergiving.atlassian.net/browse/GGO-14481" xr:uid="{60C02D1C-3B00-489F-BB6B-07C2435426EA}"/>
    <hyperlink ref="C5" r:id="rId4" display="https://greatergiving.atlassian.net/browse/GGO-14486" xr:uid="{36ECB0C2-B1F8-4871-BF26-EA7DB773A069}"/>
    <hyperlink ref="C6" r:id="rId5" display="https://greatergiving.atlassian.net/browse/GGO-14488" xr:uid="{BBF674C7-B76B-4382-A62F-4E811BF601A2}"/>
    <hyperlink ref="C7" r:id="rId6" display="https://greatergiving.atlassian.net/browse/GGO-14476" xr:uid="{1EF83C99-7C6A-485A-BB83-638A7A2CA39C}"/>
    <hyperlink ref="C8" r:id="rId7" display="https://greatergiving.atlassian.net/browse/GGO-14489" xr:uid="{7D58D067-F9F1-4455-8D93-B2B51CD3582D}"/>
    <hyperlink ref="C9" r:id="rId8" display="https://greatergiving.atlassian.net/browse/GGO-14489" xr:uid="{DD9CB282-AC5D-4F9E-8478-37E90E63A63B}"/>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6C4AD00-012C-4E35-A5FC-1C2513A53BB5}">
          <x14:formula1>
            <xm:f>Details!$A$2:$A$10</xm:f>
          </x14:formula1>
          <xm:sqref>J2:J9</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03835-0094-424F-A4E5-8B002BDCC0A9}">
  <sheetPr>
    <outlinePr summaryBelow="0" summaryRight="0"/>
  </sheetPr>
  <dimension ref="A1:X11"/>
  <sheetViews>
    <sheetView showGridLines="0" workbookViewId="0">
      <pane xSplit="5" ySplit="1" topLeftCell="F4" activePane="bottomRight" state="frozen"/>
      <selection pane="bottomRight" activeCell="E4" sqref="E4"/>
      <selection pane="bottomLeft" activeCell="A3" sqref="A3"/>
      <selection pane="topRight" activeCell="F1" sqref="F1"/>
    </sheetView>
  </sheetViews>
  <sheetFormatPr defaultColWidth="12.5703125" defaultRowHeight="35.25" customHeight="1"/>
  <cols>
    <col min="1" max="1" width="7.5703125" style="43" customWidth="1"/>
    <col min="2" max="2" width="22.7109375" style="43" customWidth="1"/>
    <col min="3" max="3" width="27.85546875" style="43" customWidth="1"/>
    <col min="4" max="4" width="19.28515625" style="62" customWidth="1"/>
    <col min="5" max="5" width="53.85546875" style="43" bestFit="1" customWidth="1"/>
    <col min="6" max="6" width="53.85546875" style="43" customWidth="1"/>
    <col min="7" max="7" width="13.28515625" style="43" customWidth="1"/>
    <col min="8" max="8" width="14.42578125" style="43" bestFit="1" customWidth="1"/>
    <col min="9" max="9" width="15.28515625" style="43" customWidth="1"/>
    <col min="10" max="10" width="22.85546875" style="43" bestFit="1" customWidth="1"/>
    <col min="11" max="11" width="24.28515625" style="43" bestFit="1" customWidth="1"/>
    <col min="12" max="12" width="19.7109375" style="43" customWidth="1"/>
    <col min="13" max="13" width="40" style="43" customWidth="1"/>
    <col min="14" max="14" width="25.42578125" style="43" customWidth="1"/>
    <col min="15" max="15" width="17.5703125" style="43" customWidth="1"/>
    <col min="16" max="16" width="14.85546875" style="43" customWidth="1"/>
    <col min="17" max="17" width="15.85546875" style="43" customWidth="1"/>
    <col min="18" max="18" width="37.85546875" style="43" customWidth="1"/>
    <col min="19" max="19" width="13.140625" style="43" customWidth="1"/>
    <col min="20" max="20" width="16" style="43" bestFit="1" customWidth="1"/>
    <col min="21" max="21" width="31" style="43" customWidth="1"/>
    <col min="22" max="22" width="25.7109375" style="43" bestFit="1" customWidth="1"/>
    <col min="23" max="23" width="24" style="43" bestFit="1" customWidth="1"/>
    <col min="24" max="24" width="35.5703125" style="43" customWidth="1"/>
    <col min="25" max="16384" width="12.5703125" style="43"/>
  </cols>
  <sheetData>
    <row r="1" spans="1:24" s="87" customFormat="1" ht="35.25" customHeight="1">
      <c r="A1" s="175" t="s">
        <v>234</v>
      </c>
      <c r="B1" s="176" t="s">
        <v>235</v>
      </c>
      <c r="C1" s="176" t="s">
        <v>236</v>
      </c>
      <c r="D1" s="177" t="s">
        <v>515</v>
      </c>
      <c r="E1" s="176" t="s">
        <v>238</v>
      </c>
      <c r="F1" s="178" t="s">
        <v>239</v>
      </c>
      <c r="G1" s="176" t="s">
        <v>1115</v>
      </c>
      <c r="H1" s="176" t="s">
        <v>1116</v>
      </c>
      <c r="I1" s="176" t="s">
        <v>245</v>
      </c>
      <c r="J1" s="176" t="s">
        <v>246</v>
      </c>
      <c r="K1" s="176" t="s">
        <v>247</v>
      </c>
      <c r="L1" s="176" t="s">
        <v>248</v>
      </c>
      <c r="M1" s="176" t="s">
        <v>249</v>
      </c>
      <c r="N1" s="176" t="s">
        <v>250</v>
      </c>
      <c r="O1" s="176" t="s">
        <v>251</v>
      </c>
      <c r="P1" s="176" t="s">
        <v>252</v>
      </c>
      <c r="Q1" s="176" t="s">
        <v>253</v>
      </c>
      <c r="R1" s="176" t="s">
        <v>254</v>
      </c>
      <c r="S1" s="176" t="s">
        <v>255</v>
      </c>
      <c r="T1" s="176" t="s">
        <v>256</v>
      </c>
      <c r="U1" s="176" t="s">
        <v>487</v>
      </c>
      <c r="V1" s="176" t="s">
        <v>465</v>
      </c>
      <c r="W1" s="176" t="s">
        <v>466</v>
      </c>
      <c r="X1" s="176" t="s">
        <v>260</v>
      </c>
    </row>
    <row r="2" spans="1:24" s="87" customFormat="1" ht="35.25" customHeight="1">
      <c r="A2" s="173">
        <v>1</v>
      </c>
      <c r="B2" s="10" t="s">
        <v>71</v>
      </c>
      <c r="C2" s="5" t="s">
        <v>1173</v>
      </c>
      <c r="D2" s="190" t="s">
        <v>1174</v>
      </c>
      <c r="E2" s="16" t="s">
        <v>1212</v>
      </c>
      <c r="F2" s="174" t="s">
        <v>628</v>
      </c>
      <c r="G2" s="136">
        <v>5</v>
      </c>
      <c r="H2" s="136">
        <v>5</v>
      </c>
      <c r="I2" s="170"/>
      <c r="J2" s="136"/>
      <c r="K2" s="128"/>
      <c r="L2" s="130"/>
      <c r="M2" s="130"/>
      <c r="N2" s="70"/>
      <c r="O2" s="135"/>
      <c r="P2" s="135"/>
      <c r="Q2" s="130"/>
      <c r="R2" s="128"/>
      <c r="S2" s="128"/>
      <c r="T2" s="137"/>
      <c r="U2" s="128"/>
      <c r="V2" s="128"/>
      <c r="W2" s="128"/>
      <c r="X2" s="87" t="s">
        <v>1213</v>
      </c>
    </row>
    <row r="3" spans="1:24" s="87" customFormat="1" ht="35.25" customHeight="1">
      <c r="A3" s="112">
        <v>2</v>
      </c>
      <c r="B3" s="10" t="s">
        <v>71</v>
      </c>
      <c r="C3" s="89" t="s">
        <v>743</v>
      </c>
      <c r="D3" s="191" t="s">
        <v>1214</v>
      </c>
      <c r="E3" s="16" t="s">
        <v>1215</v>
      </c>
      <c r="F3" s="182" t="s">
        <v>13</v>
      </c>
      <c r="G3" s="136">
        <v>3</v>
      </c>
      <c r="H3" s="136">
        <v>3</v>
      </c>
      <c r="I3" s="103"/>
      <c r="J3" s="180"/>
      <c r="K3" s="103"/>
      <c r="L3" s="89"/>
      <c r="M3" s="110"/>
      <c r="N3" s="89"/>
      <c r="O3" s="89"/>
      <c r="P3" s="89"/>
      <c r="Q3" s="89"/>
      <c r="R3" s="103"/>
      <c r="S3" s="103"/>
      <c r="T3" s="103"/>
      <c r="U3" s="103"/>
      <c r="V3" s="103"/>
      <c r="W3" s="103"/>
      <c r="X3" s="103" t="s">
        <v>1216</v>
      </c>
    </row>
    <row r="4" spans="1:24" s="87" customFormat="1" ht="35.25" customHeight="1">
      <c r="A4" s="112">
        <v>3</v>
      </c>
      <c r="B4" s="10" t="s">
        <v>71</v>
      </c>
      <c r="C4" s="89" t="s">
        <v>743</v>
      </c>
      <c r="D4" s="191" t="s">
        <v>1217</v>
      </c>
      <c r="E4" s="16" t="s">
        <v>1218</v>
      </c>
      <c r="F4" s="183" t="s">
        <v>13</v>
      </c>
      <c r="G4" s="180">
        <v>3</v>
      </c>
      <c r="H4" s="184">
        <v>3</v>
      </c>
      <c r="I4" s="103"/>
      <c r="J4" s="180"/>
      <c r="K4" s="103"/>
      <c r="L4" s="89"/>
      <c r="M4" s="110"/>
      <c r="N4" s="105" t="s">
        <v>1219</v>
      </c>
      <c r="O4" s="115">
        <v>45630</v>
      </c>
      <c r="P4" s="115">
        <v>45632</v>
      </c>
      <c r="Q4" s="89" t="s">
        <v>275</v>
      </c>
      <c r="R4" s="103"/>
      <c r="S4" s="103" t="s">
        <v>1220</v>
      </c>
      <c r="T4" s="89" t="s">
        <v>1221</v>
      </c>
      <c r="U4" s="123"/>
      <c r="X4" s="112"/>
    </row>
    <row r="5" spans="1:24" ht="35.25" customHeight="1">
      <c r="A5" s="112">
        <v>4</v>
      </c>
      <c r="B5" s="10" t="s">
        <v>71</v>
      </c>
      <c r="C5" s="89" t="s">
        <v>1120</v>
      </c>
      <c r="D5" s="191" t="s">
        <v>1222</v>
      </c>
      <c r="E5" s="16" t="s">
        <v>1223</v>
      </c>
      <c r="F5" s="182" t="s">
        <v>13</v>
      </c>
      <c r="G5" s="136">
        <v>2</v>
      </c>
      <c r="H5" s="136">
        <v>2</v>
      </c>
      <c r="I5" s="87"/>
      <c r="J5" s="136"/>
      <c r="K5" s="87"/>
      <c r="L5" s="5"/>
      <c r="M5" s="97"/>
      <c r="N5" s="5"/>
      <c r="O5" s="5"/>
      <c r="P5" s="5"/>
      <c r="Q5" s="5"/>
      <c r="R5" s="87"/>
      <c r="S5" s="87"/>
      <c r="T5" s="87"/>
      <c r="U5" s="116"/>
      <c r="V5" s="87"/>
      <c r="W5" s="87"/>
      <c r="X5" s="141" t="s">
        <v>1224</v>
      </c>
    </row>
    <row r="6" spans="1:24" ht="35.25" customHeight="1">
      <c r="A6" s="112">
        <v>5</v>
      </c>
      <c r="B6" s="10" t="s">
        <v>71</v>
      </c>
      <c r="C6" s="89" t="s">
        <v>739</v>
      </c>
      <c r="D6" s="192" t="s">
        <v>1225</v>
      </c>
      <c r="E6" s="16" t="s">
        <v>1226</v>
      </c>
      <c r="F6" s="182" t="s">
        <v>13</v>
      </c>
      <c r="G6" s="136">
        <v>1</v>
      </c>
      <c r="H6" s="136">
        <v>1</v>
      </c>
      <c r="I6" s="87"/>
      <c r="J6" s="136"/>
      <c r="K6" s="103"/>
      <c r="L6" s="89"/>
      <c r="M6" s="110"/>
      <c r="N6" s="89"/>
      <c r="O6" s="89"/>
      <c r="P6" s="89"/>
      <c r="Q6" s="89"/>
      <c r="R6" s="103"/>
      <c r="S6" s="103"/>
      <c r="T6" s="103"/>
      <c r="U6" s="123"/>
      <c r="V6" s="87"/>
      <c r="W6" s="87"/>
      <c r="X6" s="112" t="s">
        <v>1227</v>
      </c>
    </row>
    <row r="7" spans="1:24" ht="35.25" customHeight="1">
      <c r="A7" s="112">
        <v>6</v>
      </c>
      <c r="B7" s="10" t="s">
        <v>71</v>
      </c>
      <c r="C7" s="89" t="s">
        <v>739</v>
      </c>
      <c r="D7" s="192" t="s">
        <v>1228</v>
      </c>
      <c r="E7" s="16" t="s">
        <v>1229</v>
      </c>
      <c r="F7" s="186" t="s">
        <v>13</v>
      </c>
      <c r="G7" s="180">
        <v>2</v>
      </c>
      <c r="H7" s="180">
        <v>2</v>
      </c>
      <c r="J7" s="184"/>
      <c r="K7" s="116"/>
      <c r="L7" s="65"/>
      <c r="M7" s="189"/>
      <c r="N7" s="5"/>
      <c r="O7" s="5"/>
      <c r="P7" s="5"/>
      <c r="Q7" s="5"/>
      <c r="R7" s="116"/>
      <c r="S7" s="87"/>
      <c r="T7" s="87"/>
      <c r="U7" s="116"/>
      <c r="V7" s="87"/>
      <c r="W7" s="87"/>
      <c r="X7" s="112"/>
    </row>
    <row r="8" spans="1:24" ht="35.25" customHeight="1">
      <c r="A8" s="112">
        <v>7</v>
      </c>
      <c r="B8" s="10" t="s">
        <v>71</v>
      </c>
      <c r="C8" s="89" t="s">
        <v>743</v>
      </c>
      <c r="D8" s="191" t="s">
        <v>1230</v>
      </c>
      <c r="E8" s="16" t="s">
        <v>1231</v>
      </c>
      <c r="F8" s="182" t="s">
        <v>13</v>
      </c>
      <c r="G8" s="187">
        <v>2</v>
      </c>
      <c r="H8" s="187">
        <v>2</v>
      </c>
      <c r="I8" s="87"/>
      <c r="J8" s="188"/>
      <c r="K8" s="116"/>
      <c r="L8" s="65"/>
      <c r="M8" s="189"/>
      <c r="N8" s="70" t="s">
        <v>1232</v>
      </c>
      <c r="O8" s="71">
        <v>45636</v>
      </c>
      <c r="P8" s="71">
        <v>45637</v>
      </c>
      <c r="Q8" s="5" t="s">
        <v>275</v>
      </c>
      <c r="R8" s="116"/>
      <c r="S8" s="103" t="s">
        <v>1220</v>
      </c>
      <c r="T8" s="71">
        <v>45637</v>
      </c>
      <c r="U8" s="116"/>
      <c r="V8" s="87"/>
      <c r="W8" s="87"/>
      <c r="X8" s="112" t="s">
        <v>1233</v>
      </c>
    </row>
    <row r="9" spans="1:24" ht="35.25" customHeight="1">
      <c r="A9" s="112">
        <v>8</v>
      </c>
      <c r="B9" s="10" t="s">
        <v>71</v>
      </c>
      <c r="C9" s="89" t="s">
        <v>739</v>
      </c>
      <c r="D9" s="104" t="s">
        <v>1234</v>
      </c>
      <c r="E9" s="16" t="s">
        <v>1235</v>
      </c>
      <c r="F9" s="182" t="s">
        <v>495</v>
      </c>
      <c r="G9" s="187">
        <v>1</v>
      </c>
      <c r="H9" s="187">
        <v>1</v>
      </c>
      <c r="J9" s="180"/>
      <c r="L9" s="55"/>
      <c r="M9" s="56"/>
      <c r="N9" s="55"/>
      <c r="O9" s="55"/>
      <c r="P9" s="55"/>
      <c r="Q9" s="55"/>
      <c r="V9" s="87"/>
      <c r="W9" s="87"/>
      <c r="X9" s="112" t="s">
        <v>1236</v>
      </c>
    </row>
    <row r="10" spans="1:24" s="193" customFormat="1" ht="35.25" customHeight="1">
      <c r="A10" s="112">
        <v>9</v>
      </c>
      <c r="B10" s="112" t="s">
        <v>71</v>
      </c>
      <c r="C10" s="89" t="s">
        <v>739</v>
      </c>
      <c r="D10" s="92" t="s">
        <v>1237</v>
      </c>
      <c r="E10" s="16" t="s">
        <v>1238</v>
      </c>
      <c r="F10" s="182" t="s">
        <v>495</v>
      </c>
      <c r="G10" s="187">
        <v>1</v>
      </c>
      <c r="H10" s="187">
        <v>1</v>
      </c>
      <c r="I10" s="112"/>
      <c r="J10" s="112"/>
      <c r="K10" s="112"/>
      <c r="L10" s="112"/>
      <c r="M10" s="112"/>
      <c r="N10" s="112"/>
      <c r="O10" s="112"/>
      <c r="P10" s="112"/>
      <c r="Q10" s="112"/>
      <c r="R10" s="112"/>
      <c r="S10" s="112"/>
      <c r="T10" s="112"/>
      <c r="U10" s="194"/>
      <c r="V10" s="87"/>
      <c r="W10" s="87"/>
      <c r="X10" s="112" t="s">
        <v>1236</v>
      </c>
    </row>
    <row r="11" spans="1:24" ht="35.25" customHeight="1">
      <c r="A11" s="112">
        <v>10</v>
      </c>
      <c r="B11" s="112" t="s">
        <v>71</v>
      </c>
      <c r="C11" s="89" t="s">
        <v>739</v>
      </c>
      <c r="D11" s="104" t="s">
        <v>1239</v>
      </c>
      <c r="E11" s="16" t="s">
        <v>1240</v>
      </c>
      <c r="F11" s="182" t="s">
        <v>13</v>
      </c>
      <c r="G11" s="187">
        <v>1</v>
      </c>
      <c r="H11" s="187">
        <v>1</v>
      </c>
      <c r="J11" s="180"/>
      <c r="L11" s="55"/>
      <c r="M11" s="56"/>
      <c r="N11" s="55"/>
      <c r="O11" s="55"/>
      <c r="P11" s="55"/>
      <c r="Q11" s="55"/>
      <c r="V11" s="87"/>
      <c r="W11" s="87"/>
      <c r="X11" s="112" t="s">
        <v>1241</v>
      </c>
    </row>
  </sheetData>
  <hyperlinks>
    <hyperlink ref="D7" r:id="rId1" display="https://greatergiving.atlassian.net/browse/GGO-14402" xr:uid="{FE40B93B-AA15-4388-8631-42049107D9C5}"/>
    <hyperlink ref="D6" r:id="rId2" display="https://greatergiving.atlassian.net/browse/GGO-13319" xr:uid="{7E8C50A3-E7A1-4CEF-865C-0587BF352780}"/>
    <hyperlink ref="N4" r:id="rId3" xr:uid="{C3EE0EEB-39A0-4F0E-B531-75D822245F61}"/>
    <hyperlink ref="N8" r:id="rId4" xr:uid="{25BC3F3F-3417-42F2-8644-DCFBE1779F1A}"/>
    <hyperlink ref="D9" r:id="rId5" display="https://greatergiving.atlassian.net/browse/PAPI-773" xr:uid="{8768455D-CB88-4EB9-A5DC-019A06F3B0DA}"/>
    <hyperlink ref="D10" r:id="rId6" display="https://greatergiving.atlassian.net/browse/PAPI-781" xr:uid="{F0E33E63-B278-4E4F-83CC-919A268BF135}"/>
    <hyperlink ref="D11" r:id="rId7" display="https://greatergiving.atlassian.net/browse/GGO-14425" xr:uid="{D4F0F9DA-7B89-461F-9FFE-D1553F5F97E3}"/>
  </hyperlinks>
  <pageMargins left="0" right="0" top="0" bottom="0" header="0" footer="0"/>
  <tableParts count="1">
    <tablePart r:id="rId8"/>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EC20-3C67-47FD-971C-28F8E24C6F9A}">
  <sheetPr>
    <outlinePr summaryBelow="0" summaryRight="0"/>
  </sheetPr>
  <dimension ref="A1:K2"/>
  <sheetViews>
    <sheetView topLeftCell="B1" workbookViewId="0">
      <selection activeCell="B2" sqref="B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1" t="s">
        <v>234</v>
      </c>
      <c r="B1" s="157" t="s">
        <v>11</v>
      </c>
      <c r="C1" s="158" t="s">
        <v>350</v>
      </c>
      <c r="D1" s="157" t="s">
        <v>236</v>
      </c>
      <c r="E1" s="158" t="s">
        <v>352</v>
      </c>
      <c r="F1" s="158" t="s">
        <v>353</v>
      </c>
      <c r="G1" s="157" t="s">
        <v>354</v>
      </c>
      <c r="H1" s="157" t="s">
        <v>356</v>
      </c>
      <c r="I1" s="157" t="s">
        <v>239</v>
      </c>
      <c r="J1" s="26" t="s">
        <v>357</v>
      </c>
      <c r="K1" s="161" t="s">
        <v>260</v>
      </c>
    </row>
    <row r="2" spans="1:11" ht="48" customHeight="1">
      <c r="A2" s="156"/>
      <c r="B2" s="129" t="s">
        <v>427</v>
      </c>
      <c r="C2" s="131"/>
      <c r="D2" s="99"/>
      <c r="E2" s="10"/>
      <c r="F2" s="133"/>
      <c r="G2" s="10"/>
      <c r="H2" s="10"/>
      <c r="I2" s="10"/>
      <c r="J2" s="160"/>
      <c r="K2" s="159"/>
    </row>
  </sheetData>
  <dataValidations count="4">
    <dataValidation type="list" allowBlank="1" showErrorMessage="1" sqref="G2:G3" xr:uid="{7E92BEFD-41B3-401B-A46C-1A3B8E84A886}">
      <formula1>"Minor,Significant,Major"</formula1>
    </dataValidation>
    <dataValidation type="list" allowBlank="1" showErrorMessage="1" sqref="I2:I3" xr:uid="{21AE4B49-B3F5-430B-ACED-7AD7820FA8C3}">
      <formula1>"Open,Inprogress,Closed"</formula1>
    </dataValidation>
    <dataValidation type="list" allowBlank="1" showErrorMessage="1" sqref="H2:H3" xr:uid="{991E5BE7-7B01-4668-97D7-DD6AA6F97EB9}">
      <formula1>"Internal,External"</formula1>
    </dataValidation>
    <dataValidation type="list" allowBlank="1" showErrorMessage="1" sqref="F2 E2:E3" xr:uid="{ADB1E2C0-5CB2-43E8-8DD9-746C6A1568DB}">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C800C00-0187-4D79-8C1A-5A03CEC3B899}">
          <x14:formula1>
            <xm:f>Details!$A$2:$A$10</xm:f>
          </x14:formula1>
          <xm:sqref>J2:J3</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170F-6C7D-41DB-9DDF-C9BF9F252705}">
  <sheetPr>
    <outlinePr summaryBelow="0" summaryRight="0"/>
  </sheetPr>
  <dimension ref="A1:X8"/>
  <sheetViews>
    <sheetView showGridLines="0" workbookViewId="0">
      <pane xSplit="5" ySplit="1" topLeftCell="F2" activePane="bottomRight" state="frozen"/>
      <selection pane="bottomRight" activeCell="E1" sqref="E1"/>
      <selection pane="bottomLeft" activeCell="A3" sqref="A3"/>
      <selection pane="topRight" activeCell="F1" sqref="F1"/>
    </sheetView>
  </sheetViews>
  <sheetFormatPr defaultColWidth="12.5703125" defaultRowHeight="12.75"/>
  <cols>
    <col min="1" max="1" width="7.5703125" style="43" customWidth="1"/>
    <col min="2" max="2" width="22.7109375" style="43" customWidth="1"/>
    <col min="3" max="3" width="27.85546875" style="43" customWidth="1"/>
    <col min="4" max="4" width="19.28515625" style="62" customWidth="1"/>
    <col min="5" max="5" width="53.85546875" style="43" bestFit="1" customWidth="1"/>
    <col min="6" max="6" width="53.85546875" style="43" customWidth="1"/>
    <col min="7" max="7" width="13.28515625" style="43" customWidth="1"/>
    <col min="8" max="8" width="14.42578125" style="43" bestFit="1" customWidth="1"/>
    <col min="9" max="9" width="15.28515625" style="43" customWidth="1"/>
    <col min="10" max="10" width="22.85546875" style="43" bestFit="1" customWidth="1"/>
    <col min="11" max="11" width="24.28515625" style="43" bestFit="1" customWidth="1"/>
    <col min="12" max="12" width="19.7109375" style="43" customWidth="1"/>
    <col min="13" max="13" width="40" style="43" customWidth="1"/>
    <col min="14" max="14" width="25.42578125" style="43" customWidth="1"/>
    <col min="15" max="16" width="14.85546875" style="43" customWidth="1"/>
    <col min="17" max="17" width="15.85546875" style="43" customWidth="1"/>
    <col min="18" max="18" width="37.85546875" style="43" customWidth="1"/>
    <col min="19" max="19" width="13.140625" style="43" customWidth="1"/>
    <col min="20" max="20" width="16" style="43" bestFit="1" customWidth="1"/>
    <col min="21" max="21" width="31" style="43" customWidth="1"/>
    <col min="22" max="22" width="25.7109375" style="43" bestFit="1" customWidth="1"/>
    <col min="23" max="23" width="24" style="43" bestFit="1" customWidth="1"/>
    <col min="24" max="24" width="35.5703125" style="43" customWidth="1"/>
    <col min="25" max="16384" width="12.5703125" style="43"/>
  </cols>
  <sheetData>
    <row r="1" spans="1:24" s="87" customFormat="1" ht="23.25">
      <c r="A1" s="175" t="s">
        <v>234</v>
      </c>
      <c r="B1" s="176" t="s">
        <v>235</v>
      </c>
      <c r="C1" s="176" t="s">
        <v>236</v>
      </c>
      <c r="D1" s="177" t="s">
        <v>515</v>
      </c>
      <c r="E1" s="176" t="s">
        <v>238</v>
      </c>
      <c r="F1" s="178" t="s">
        <v>239</v>
      </c>
      <c r="G1" s="176" t="s">
        <v>1115</v>
      </c>
      <c r="H1" s="176" t="s">
        <v>1116</v>
      </c>
      <c r="I1" s="176" t="s">
        <v>245</v>
      </c>
      <c r="J1" s="176" t="s">
        <v>246</v>
      </c>
      <c r="K1" s="176" t="s">
        <v>247</v>
      </c>
      <c r="L1" s="176" t="s">
        <v>248</v>
      </c>
      <c r="M1" s="176" t="s">
        <v>249</v>
      </c>
      <c r="N1" s="176" t="s">
        <v>250</v>
      </c>
      <c r="O1" s="176" t="s">
        <v>251</v>
      </c>
      <c r="P1" s="176" t="s">
        <v>252</v>
      </c>
      <c r="Q1" s="176" t="s">
        <v>253</v>
      </c>
      <c r="R1" s="176" t="s">
        <v>254</v>
      </c>
      <c r="S1" s="176" t="s">
        <v>255</v>
      </c>
      <c r="T1" s="176" t="s">
        <v>256</v>
      </c>
      <c r="U1" s="176" t="s">
        <v>487</v>
      </c>
      <c r="V1" s="176" t="s">
        <v>465</v>
      </c>
      <c r="W1" s="176" t="s">
        <v>466</v>
      </c>
      <c r="X1" s="176" t="s">
        <v>260</v>
      </c>
    </row>
    <row r="2" spans="1:24" s="87" customFormat="1" ht="65.25" customHeight="1">
      <c r="A2" s="173">
        <v>1</v>
      </c>
      <c r="B2" s="129" t="s">
        <v>67</v>
      </c>
      <c r="C2" s="130" t="s">
        <v>1242</v>
      </c>
      <c r="D2" s="131" t="s">
        <v>1243</v>
      </c>
      <c r="E2" s="133" t="s">
        <v>1244</v>
      </c>
      <c r="F2" s="174" t="s">
        <v>13</v>
      </c>
      <c r="G2" s="136">
        <v>3</v>
      </c>
      <c r="H2" s="136">
        <v>3</v>
      </c>
      <c r="I2" s="170" t="s">
        <v>1008</v>
      </c>
      <c r="J2" s="136" t="s">
        <v>739</v>
      </c>
      <c r="K2" s="128"/>
      <c r="L2" s="130"/>
      <c r="M2" s="130"/>
      <c r="N2" s="70" t="s">
        <v>1245</v>
      </c>
      <c r="O2" s="135">
        <v>45614</v>
      </c>
      <c r="P2" s="135">
        <v>45615</v>
      </c>
      <c r="Q2" s="130" t="s">
        <v>275</v>
      </c>
      <c r="R2" s="128"/>
      <c r="S2" s="128"/>
      <c r="T2" s="137"/>
      <c r="U2" s="128"/>
      <c r="V2" s="128" t="s">
        <v>1246</v>
      </c>
      <c r="W2" s="128"/>
    </row>
    <row r="3" spans="1:24" s="87" customFormat="1" ht="78.75" customHeight="1">
      <c r="A3" s="173">
        <v>2</v>
      </c>
      <c r="B3" s="129" t="s">
        <v>67</v>
      </c>
      <c r="C3" s="130" t="s">
        <v>743</v>
      </c>
      <c r="D3" s="72" t="s">
        <v>1247</v>
      </c>
      <c r="E3" s="133" t="s">
        <v>1248</v>
      </c>
      <c r="F3" s="174" t="s">
        <v>13</v>
      </c>
      <c r="G3" s="136">
        <v>2</v>
      </c>
      <c r="H3" s="136">
        <v>2</v>
      </c>
      <c r="I3" s="136" t="s">
        <v>743</v>
      </c>
      <c r="J3" s="136" t="s">
        <v>739</v>
      </c>
      <c r="K3" s="128"/>
      <c r="L3" s="130"/>
      <c r="M3" s="130"/>
      <c r="N3" s="70" t="s">
        <v>1249</v>
      </c>
      <c r="O3" s="135">
        <v>45611</v>
      </c>
      <c r="P3" s="135">
        <v>45612</v>
      </c>
      <c r="Q3" s="130" t="s">
        <v>275</v>
      </c>
      <c r="R3" s="128"/>
      <c r="S3" s="128" t="s">
        <v>825</v>
      </c>
      <c r="T3" s="137">
        <v>45612</v>
      </c>
      <c r="U3" s="172" t="s">
        <v>1250</v>
      </c>
      <c r="V3" s="128" t="s">
        <v>1251</v>
      </c>
      <c r="W3" s="128"/>
    </row>
    <row r="4" spans="1:24" s="87" customFormat="1">
      <c r="A4" s="141">
        <v>3</v>
      </c>
      <c r="B4" s="129" t="s">
        <v>67</v>
      </c>
      <c r="C4" s="5" t="s">
        <v>807</v>
      </c>
      <c r="D4" s="72" t="s">
        <v>1252</v>
      </c>
      <c r="E4" s="16" t="s">
        <v>1078</v>
      </c>
      <c r="F4" s="174" t="s">
        <v>13</v>
      </c>
      <c r="G4" s="49">
        <v>1</v>
      </c>
      <c r="H4" s="49">
        <v>1</v>
      </c>
      <c r="I4" s="170" t="s">
        <v>93</v>
      </c>
      <c r="J4" s="136" t="s">
        <v>739</v>
      </c>
      <c r="K4" s="171" t="s">
        <v>93</v>
      </c>
      <c r="L4" s="171" t="s">
        <v>93</v>
      </c>
      <c r="M4" s="171" t="s">
        <v>93</v>
      </c>
      <c r="N4" s="171" t="s">
        <v>93</v>
      </c>
      <c r="O4" s="136" t="s">
        <v>93</v>
      </c>
      <c r="P4" s="136" t="s">
        <v>93</v>
      </c>
      <c r="Q4" s="136" t="s">
        <v>93</v>
      </c>
      <c r="R4" s="170" t="s">
        <v>93</v>
      </c>
      <c r="S4" s="170" t="s">
        <v>93</v>
      </c>
      <c r="T4" s="170" t="s">
        <v>93</v>
      </c>
      <c r="U4" s="170" t="s">
        <v>93</v>
      </c>
      <c r="V4" s="170" t="s">
        <v>93</v>
      </c>
      <c r="W4" s="170" t="s">
        <v>93</v>
      </c>
    </row>
    <row r="5" spans="1:24" s="87" customFormat="1">
      <c r="A5" s="141">
        <v>4</v>
      </c>
      <c r="B5" s="129" t="s">
        <v>67</v>
      </c>
      <c r="C5" s="5" t="s">
        <v>807</v>
      </c>
      <c r="D5" s="140" t="s">
        <v>1225</v>
      </c>
      <c r="E5" s="87" t="s">
        <v>1226</v>
      </c>
      <c r="F5" s="174" t="s">
        <v>1253</v>
      </c>
      <c r="G5" s="49">
        <v>3</v>
      </c>
      <c r="H5" s="49">
        <v>3</v>
      </c>
      <c r="I5" s="170" t="s">
        <v>93</v>
      </c>
      <c r="J5" s="136" t="s">
        <v>739</v>
      </c>
      <c r="K5" s="171" t="s">
        <v>93</v>
      </c>
      <c r="L5" s="171" t="s">
        <v>93</v>
      </c>
      <c r="M5" s="171" t="s">
        <v>93</v>
      </c>
      <c r="N5" s="171" t="s">
        <v>93</v>
      </c>
      <c r="O5" s="136" t="s">
        <v>93</v>
      </c>
      <c r="P5" s="136" t="s">
        <v>93</v>
      </c>
      <c r="Q5" s="136" t="s">
        <v>93</v>
      </c>
      <c r="R5" s="170" t="s">
        <v>93</v>
      </c>
      <c r="S5" s="170" t="s">
        <v>93</v>
      </c>
      <c r="T5" s="170" t="s">
        <v>93</v>
      </c>
      <c r="U5" s="170" t="s">
        <v>93</v>
      </c>
      <c r="V5" s="170" t="s">
        <v>93</v>
      </c>
      <c r="W5" s="170" t="s">
        <v>93</v>
      </c>
    </row>
    <row r="6" spans="1:24" s="87" customFormat="1" ht="46.5">
      <c r="A6" s="141">
        <v>5</v>
      </c>
      <c r="B6" s="129" t="s">
        <v>67</v>
      </c>
      <c r="C6" s="5" t="s">
        <v>743</v>
      </c>
      <c r="D6" s="72" t="s">
        <v>1254</v>
      </c>
      <c r="E6" s="16" t="s">
        <v>1255</v>
      </c>
      <c r="F6" s="174" t="s">
        <v>13</v>
      </c>
      <c r="G6" s="16">
        <v>1</v>
      </c>
      <c r="H6" s="16">
        <v>1</v>
      </c>
      <c r="I6" s="87" t="s">
        <v>743</v>
      </c>
      <c r="J6" s="5" t="s">
        <v>739</v>
      </c>
      <c r="K6" s="87" t="s">
        <v>1256</v>
      </c>
      <c r="L6" s="5" t="s">
        <v>738</v>
      </c>
      <c r="M6" s="97" t="s">
        <v>1256</v>
      </c>
      <c r="N6" s="70" t="s">
        <v>1257</v>
      </c>
      <c r="O6" s="71">
        <v>45618</v>
      </c>
      <c r="P6" s="71">
        <v>45618</v>
      </c>
      <c r="Q6" s="5" t="s">
        <v>275</v>
      </c>
      <c r="R6" s="87" t="s">
        <v>1256</v>
      </c>
      <c r="S6" s="87" t="s">
        <v>881</v>
      </c>
      <c r="T6" s="144">
        <v>45618</v>
      </c>
      <c r="U6" s="87" t="s">
        <v>1256</v>
      </c>
      <c r="V6" s="87" t="s">
        <v>1258</v>
      </c>
      <c r="W6" s="87" t="s">
        <v>1256</v>
      </c>
    </row>
    <row r="7" spans="1:24" s="87" customFormat="1" ht="46.5">
      <c r="A7" s="112">
        <v>6</v>
      </c>
      <c r="B7" s="147" t="s">
        <v>67</v>
      </c>
      <c r="C7" s="89" t="s">
        <v>275</v>
      </c>
      <c r="D7" s="104" t="s">
        <v>1259</v>
      </c>
      <c r="E7" s="88" t="s">
        <v>1260</v>
      </c>
      <c r="F7" s="174" t="s">
        <v>13</v>
      </c>
      <c r="G7" s="88">
        <v>2</v>
      </c>
      <c r="H7" s="88">
        <v>2</v>
      </c>
      <c r="I7" s="103" t="s">
        <v>275</v>
      </c>
      <c r="J7" s="89" t="s">
        <v>739</v>
      </c>
      <c r="K7" s="103" t="s">
        <v>1256</v>
      </c>
      <c r="L7" s="89" t="s">
        <v>738</v>
      </c>
      <c r="M7" s="110" t="s">
        <v>1256</v>
      </c>
      <c r="N7" s="105" t="s">
        <v>1257</v>
      </c>
      <c r="O7" s="115">
        <v>45618</v>
      </c>
      <c r="P7" s="115">
        <v>45618</v>
      </c>
      <c r="Q7" s="89" t="s">
        <v>738</v>
      </c>
      <c r="R7" s="103" t="s">
        <v>1256</v>
      </c>
      <c r="S7" s="103" t="s">
        <v>881</v>
      </c>
      <c r="T7" s="121">
        <v>45618</v>
      </c>
      <c r="U7" s="103" t="s">
        <v>1256</v>
      </c>
      <c r="V7" s="103" t="s">
        <v>1246</v>
      </c>
      <c r="W7" s="103" t="s">
        <v>1256</v>
      </c>
    </row>
    <row r="8" spans="1:24" s="87" customFormat="1" ht="23.25">
      <c r="A8" s="112">
        <v>7</v>
      </c>
      <c r="B8" s="179" t="s">
        <v>67</v>
      </c>
      <c r="C8" s="89" t="s">
        <v>1261</v>
      </c>
      <c r="D8" s="104" t="s">
        <v>1262</v>
      </c>
      <c r="E8" s="88" t="s">
        <v>1263</v>
      </c>
      <c r="F8" s="174" t="s">
        <v>13</v>
      </c>
      <c r="G8" s="88">
        <v>2</v>
      </c>
      <c r="H8" s="88">
        <v>2</v>
      </c>
      <c r="I8" s="103" t="s">
        <v>93</v>
      </c>
      <c r="J8" s="180" t="s">
        <v>93</v>
      </c>
      <c r="K8" s="103" t="s">
        <v>93</v>
      </c>
      <c r="L8" s="89" t="s">
        <v>93</v>
      </c>
      <c r="M8" s="110" t="s">
        <v>93</v>
      </c>
      <c r="N8" s="89" t="s">
        <v>93</v>
      </c>
      <c r="O8" s="89" t="s">
        <v>93</v>
      </c>
      <c r="P8" s="89" t="s">
        <v>93</v>
      </c>
      <c r="Q8" s="89" t="s">
        <v>93</v>
      </c>
      <c r="R8" s="103" t="s">
        <v>93</v>
      </c>
      <c r="S8" s="103" t="s">
        <v>93</v>
      </c>
      <c r="T8" s="103" t="s">
        <v>93</v>
      </c>
      <c r="U8" s="103" t="s">
        <v>93</v>
      </c>
      <c r="V8" s="103" t="s">
        <v>1264</v>
      </c>
      <c r="W8" s="103" t="s">
        <v>93</v>
      </c>
      <c r="X8" s="103" t="s">
        <v>1265</v>
      </c>
    </row>
  </sheetData>
  <hyperlinks>
    <hyperlink ref="D3" r:id="rId1" display="https://greatergiving.atlassian.net/browse/GGO-14355" xr:uid="{C3A0FA68-1A63-4ECE-8345-B6F5967FE2BE}"/>
    <hyperlink ref="D4" r:id="rId2" display="https://greatergiving.atlassian.net/browse/GGO-14361" xr:uid="{3916EF7A-F3A8-4BD5-93B6-0BA56B029659}"/>
    <hyperlink ref="N3" r:id="rId3" xr:uid="{EFF788FA-CCD7-4362-B146-6B16B5CF8729}"/>
    <hyperlink ref="D5" r:id="rId4" display="https://greatergiving.atlassian.net/browse/GGO-13319" xr:uid="{33CD8A65-B1BA-482A-877B-F942A022D63D}"/>
    <hyperlink ref="N2" r:id="rId5" xr:uid="{CA77288E-5672-48AF-A1DF-E9F99D70F684}"/>
    <hyperlink ref="D7" r:id="rId6" display="https://greatergiving.atlassian.net/browse/GGO-14355" xr:uid="{D9DE9AEB-0EEF-4541-8034-1526087F9A3E}"/>
    <hyperlink ref="N7" r:id="rId7" xr:uid="{B37E10C9-D6B1-4F36-BCFB-C8820EA618F8}"/>
    <hyperlink ref="N6" r:id="rId8" xr:uid="{69BC9AE6-30A6-434F-9966-D96BF1571D2D}"/>
  </hyperlinks>
  <pageMargins left="0" right="0" top="0" bottom="0" header="0" footer="0"/>
  <tableParts count="1">
    <tablePart r:id="rId9"/>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4B26B-B57B-4DBA-BDAD-90F86E51A232}">
  <sheetPr>
    <outlinePr summaryBelow="0" summaryRight="0"/>
  </sheetPr>
  <dimension ref="A1:K1"/>
  <sheetViews>
    <sheetView topLeftCell="B1" workbookViewId="0">
      <selection activeCell="D14" sqref="D14"/>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1" t="s">
        <v>234</v>
      </c>
      <c r="B1" s="157" t="s">
        <v>11</v>
      </c>
      <c r="C1" s="158" t="s">
        <v>350</v>
      </c>
      <c r="D1" s="157" t="s">
        <v>236</v>
      </c>
      <c r="E1" s="158" t="s">
        <v>352</v>
      </c>
      <c r="F1" s="158" t="s">
        <v>353</v>
      </c>
      <c r="G1" s="157" t="s">
        <v>354</v>
      </c>
      <c r="H1" s="157" t="s">
        <v>356</v>
      </c>
      <c r="I1" s="157" t="s">
        <v>239</v>
      </c>
      <c r="J1" s="26" t="s">
        <v>357</v>
      </c>
      <c r="K1" s="161" t="s">
        <v>260</v>
      </c>
    </row>
  </sheetData>
  <dataValidations count="4">
    <dataValidation type="list" allowBlank="1" showErrorMessage="1" sqref="F2 E2:E3" xr:uid="{D9E02287-3D55-40FB-A64D-6AA5EC1757F1}">
      <formula1>"Bounceback,Defect,None"</formula1>
    </dataValidation>
    <dataValidation type="list" allowBlank="1" showErrorMessage="1" sqref="H2:H3" xr:uid="{374BD630-E790-4C16-B7B1-5E58D83C5BCC}">
      <formula1>"Internal,External"</formula1>
    </dataValidation>
    <dataValidation type="list" allowBlank="1" showErrorMessage="1" sqref="I2:I3" xr:uid="{A2478AF7-6AF0-4173-8D09-45AC89FC9F32}">
      <formula1>"Open,Inprogress,Closed"</formula1>
    </dataValidation>
    <dataValidation type="list" allowBlank="1" showErrorMessage="1" sqref="G2:G3" xr:uid="{6926D04F-F628-4057-A202-4D791EB89248}">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5556B44-FF39-4A28-87E7-39383912A97C}">
          <x14:formula1>
            <xm:f>Details!$A$2:$A$10</xm:f>
          </x14:formula1>
          <xm:sqref>J2:J3</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CEAF7-1D76-4C31-AE77-54D79CE91715}">
  <sheetPr>
    <outlinePr summaryBelow="0" summaryRight="0"/>
  </sheetPr>
  <dimension ref="A2:X13"/>
  <sheetViews>
    <sheetView showGridLines="0" workbookViewId="0">
      <pane xSplit="5" ySplit="2" topLeftCell="F3" activePane="bottomRight" state="frozen"/>
      <selection pane="bottomRight" activeCell="E3" sqref="E3"/>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7.85546875" style="43" customWidth="1"/>
    <col min="4" max="4" width="17.42578125" style="62" customWidth="1"/>
    <col min="5" max="5" width="53.85546875" style="43" bestFit="1" customWidth="1"/>
    <col min="6" max="6" width="11" style="43" customWidth="1"/>
    <col min="7" max="7" width="12.140625" style="43" bestFit="1" customWidth="1"/>
    <col min="8" max="8" width="15.28515625" style="43"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18.85546875" style="43" customWidth="1"/>
    <col min="24" max="24" width="35.5703125" style="43" customWidth="1"/>
    <col min="25" max="16384" width="12.5703125" style="43"/>
  </cols>
  <sheetData>
    <row r="2" spans="1:24" ht="23.25">
      <c r="A2" s="126" t="s">
        <v>234</v>
      </c>
      <c r="B2" s="126" t="s">
        <v>235</v>
      </c>
      <c r="C2" s="126" t="s">
        <v>236</v>
      </c>
      <c r="D2" s="127" t="s">
        <v>515</v>
      </c>
      <c r="E2" s="126" t="s">
        <v>238</v>
      </c>
      <c r="F2" s="126" t="s">
        <v>1115</v>
      </c>
      <c r="G2" s="126" t="s">
        <v>1116</v>
      </c>
      <c r="H2" s="126" t="s">
        <v>245</v>
      </c>
      <c r="I2" s="126" t="s">
        <v>246</v>
      </c>
      <c r="J2" s="126" t="s">
        <v>247</v>
      </c>
      <c r="K2" s="126" t="s">
        <v>248</v>
      </c>
      <c r="L2" s="126" t="s">
        <v>249</v>
      </c>
      <c r="M2" s="126" t="s">
        <v>250</v>
      </c>
      <c r="N2" s="126" t="s">
        <v>251</v>
      </c>
      <c r="O2" s="126" t="s">
        <v>252</v>
      </c>
      <c r="P2" s="126" t="s">
        <v>253</v>
      </c>
      <c r="Q2" s="126" t="s">
        <v>254</v>
      </c>
      <c r="R2" s="126" t="s">
        <v>255</v>
      </c>
      <c r="S2" s="126" t="s">
        <v>256</v>
      </c>
      <c r="T2" s="126" t="s">
        <v>254</v>
      </c>
      <c r="U2" s="126" t="s">
        <v>465</v>
      </c>
      <c r="V2" s="126" t="s">
        <v>466</v>
      </c>
      <c r="W2" s="126" t="s">
        <v>239</v>
      </c>
      <c r="X2" s="3"/>
    </row>
    <row r="3" spans="1:24" ht="65.25" customHeight="1">
      <c r="A3" s="128">
        <v>1</v>
      </c>
      <c r="B3" s="129" t="s">
        <v>63</v>
      </c>
      <c r="C3" s="130" t="s">
        <v>1266</v>
      </c>
      <c r="D3" s="131" t="s">
        <v>1267</v>
      </c>
      <c r="E3" s="133" t="s">
        <v>1268</v>
      </c>
      <c r="F3" s="133">
        <v>5</v>
      </c>
      <c r="G3" s="133">
        <v>5</v>
      </c>
      <c r="H3" s="128" t="s">
        <v>1269</v>
      </c>
      <c r="I3" s="130" t="s">
        <v>739</v>
      </c>
      <c r="J3" s="128" t="s">
        <v>1270</v>
      </c>
      <c r="K3" s="130" t="s">
        <v>743</v>
      </c>
      <c r="L3" s="130" t="s">
        <v>1256</v>
      </c>
      <c r="M3" s="70" t="s">
        <v>93</v>
      </c>
      <c r="N3" s="135" t="s">
        <v>93</v>
      </c>
      <c r="O3" s="135" t="s">
        <v>93</v>
      </c>
      <c r="P3" s="130" t="s">
        <v>93</v>
      </c>
      <c r="Q3" s="128"/>
      <c r="R3" s="128" t="s">
        <v>93</v>
      </c>
      <c r="S3" s="137"/>
      <c r="T3" s="128"/>
      <c r="U3" s="128" t="s">
        <v>1271</v>
      </c>
      <c r="V3" s="128"/>
      <c r="W3" s="148" t="s">
        <v>13</v>
      </c>
      <c r="X3" s="103" t="s">
        <v>1272</v>
      </c>
    </row>
    <row r="4" spans="1:24" ht="36" customHeight="1">
      <c r="A4" s="128">
        <v>2</v>
      </c>
      <c r="B4" s="129" t="s">
        <v>63</v>
      </c>
      <c r="C4" s="130" t="s">
        <v>275</v>
      </c>
      <c r="D4" s="131" t="s">
        <v>1273</v>
      </c>
      <c r="E4" s="133" t="s">
        <v>1274</v>
      </c>
      <c r="F4" s="133">
        <v>3</v>
      </c>
      <c r="G4" s="133">
        <v>3</v>
      </c>
      <c r="H4" s="128" t="s">
        <v>275</v>
      </c>
      <c r="I4" s="130" t="s">
        <v>739</v>
      </c>
      <c r="J4" s="128" t="s">
        <v>1256</v>
      </c>
      <c r="K4" s="130" t="s">
        <v>738</v>
      </c>
      <c r="L4" s="130" t="s">
        <v>1256</v>
      </c>
      <c r="M4" s="70" t="s">
        <v>1275</v>
      </c>
      <c r="N4" s="135">
        <v>45602</v>
      </c>
      <c r="O4" s="135">
        <v>45602</v>
      </c>
      <c r="P4" s="130" t="s">
        <v>942</v>
      </c>
      <c r="Q4" s="128" t="s">
        <v>1276</v>
      </c>
      <c r="R4" s="128"/>
      <c r="S4" s="137">
        <v>45602</v>
      </c>
      <c r="T4" s="128"/>
      <c r="U4" s="128" t="s">
        <v>1246</v>
      </c>
      <c r="V4" s="153"/>
      <c r="W4" s="148" t="s">
        <v>13</v>
      </c>
      <c r="X4" s="141"/>
    </row>
    <row r="5" spans="1:24" ht="36" customHeight="1">
      <c r="A5" s="128">
        <v>3</v>
      </c>
      <c r="B5" s="129" t="s">
        <v>63</v>
      </c>
      <c r="C5" s="130" t="s">
        <v>1008</v>
      </c>
      <c r="D5" s="131" t="s">
        <v>1277</v>
      </c>
      <c r="E5" s="133" t="s">
        <v>1278</v>
      </c>
      <c r="F5" s="133" t="s">
        <v>93</v>
      </c>
      <c r="G5" s="133" t="s">
        <v>93</v>
      </c>
      <c r="H5" s="128" t="s">
        <v>1008</v>
      </c>
      <c r="I5" s="130" t="s">
        <v>739</v>
      </c>
      <c r="J5" s="128" t="s">
        <v>1256</v>
      </c>
      <c r="K5" s="130" t="s">
        <v>743</v>
      </c>
      <c r="L5" s="130" t="s">
        <v>1256</v>
      </c>
      <c r="M5" s="70" t="s">
        <v>1279</v>
      </c>
      <c r="N5" s="135">
        <v>45604</v>
      </c>
      <c r="O5" s="135">
        <v>45604</v>
      </c>
      <c r="P5" s="130"/>
      <c r="Q5" s="128" t="s">
        <v>1280</v>
      </c>
      <c r="R5" s="128" t="s">
        <v>1281</v>
      </c>
      <c r="S5" s="137">
        <v>45604</v>
      </c>
      <c r="T5" s="128" t="s">
        <v>1280</v>
      </c>
      <c r="U5" s="128"/>
      <c r="V5" s="153"/>
      <c r="W5" s="154" t="s">
        <v>13</v>
      </c>
      <c r="X5" s="145"/>
    </row>
    <row r="6" spans="1:24" ht="36" customHeight="1">
      <c r="A6" s="128">
        <v>4</v>
      </c>
      <c r="B6" s="129" t="s">
        <v>63</v>
      </c>
      <c r="C6" s="130" t="s">
        <v>1008</v>
      </c>
      <c r="D6" s="131" t="s">
        <v>1282</v>
      </c>
      <c r="E6" s="133" t="s">
        <v>1283</v>
      </c>
      <c r="F6" s="133" t="s">
        <v>93</v>
      </c>
      <c r="G6" s="133" t="s">
        <v>93</v>
      </c>
      <c r="H6" s="128" t="s">
        <v>1008</v>
      </c>
      <c r="I6" s="130" t="s">
        <v>739</v>
      </c>
      <c r="J6" s="128"/>
      <c r="K6" s="130" t="s">
        <v>743</v>
      </c>
      <c r="L6" s="130" t="s">
        <v>1256</v>
      </c>
      <c r="M6" s="70" t="s">
        <v>1284</v>
      </c>
      <c r="N6" s="135">
        <v>45608</v>
      </c>
      <c r="O6" s="135">
        <v>45608</v>
      </c>
      <c r="P6" s="130" t="s">
        <v>275</v>
      </c>
      <c r="Q6" s="128" t="s">
        <v>1280</v>
      </c>
      <c r="R6" s="128" t="s">
        <v>1281</v>
      </c>
      <c r="S6" s="137">
        <v>45608</v>
      </c>
      <c r="T6" s="128" t="s">
        <v>1285</v>
      </c>
      <c r="U6" s="128" t="s">
        <v>1286</v>
      </c>
      <c r="V6" s="153"/>
      <c r="W6" s="154" t="s">
        <v>13</v>
      </c>
      <c r="X6" s="145"/>
    </row>
    <row r="7" spans="1:24" ht="40.5" customHeight="1">
      <c r="A7" s="103">
        <v>5</v>
      </c>
      <c r="B7" s="147" t="s">
        <v>63</v>
      </c>
      <c r="C7" s="89" t="s">
        <v>743</v>
      </c>
      <c r="D7" s="104" t="s">
        <v>1287</v>
      </c>
      <c r="E7" s="88" t="s">
        <v>1288</v>
      </c>
      <c r="F7" s="88">
        <v>3</v>
      </c>
      <c r="G7" s="88">
        <v>3</v>
      </c>
      <c r="H7" s="103" t="s">
        <v>743</v>
      </c>
      <c r="I7" s="149" t="s">
        <v>739</v>
      </c>
      <c r="J7" s="103"/>
      <c r="K7" s="89" t="s">
        <v>738</v>
      </c>
      <c r="L7" s="110" t="s">
        <v>1256</v>
      </c>
      <c r="M7" s="105" t="s">
        <v>1289</v>
      </c>
      <c r="N7" s="71">
        <v>45609</v>
      </c>
      <c r="O7" s="71">
        <v>45609</v>
      </c>
      <c r="P7" s="115" t="s">
        <v>275</v>
      </c>
      <c r="Q7" s="103"/>
      <c r="R7" s="103" t="s">
        <v>741</v>
      </c>
      <c r="S7" s="71">
        <v>45609</v>
      </c>
      <c r="T7" s="103"/>
      <c r="U7" s="103" t="s">
        <v>1290</v>
      </c>
      <c r="V7" s="123"/>
      <c r="W7" s="154" t="s">
        <v>1253</v>
      </c>
      <c r="X7" s="155" t="s">
        <v>1291</v>
      </c>
    </row>
    <row r="8" spans="1:24" ht="40.5" customHeight="1">
      <c r="A8" s="103">
        <v>6</v>
      </c>
      <c r="B8" s="147" t="s">
        <v>63</v>
      </c>
      <c r="C8" s="89" t="s">
        <v>275</v>
      </c>
      <c r="D8" s="104" t="s">
        <v>1292</v>
      </c>
      <c r="E8" s="88" t="s">
        <v>1293</v>
      </c>
      <c r="F8" s="88">
        <v>2</v>
      </c>
      <c r="G8" s="88">
        <v>2</v>
      </c>
      <c r="H8" s="103" t="s">
        <v>275</v>
      </c>
      <c r="I8" s="149" t="s">
        <v>739</v>
      </c>
      <c r="J8" s="103" t="s">
        <v>1256</v>
      </c>
      <c r="K8" s="89" t="s">
        <v>738</v>
      </c>
      <c r="L8" s="110" t="s">
        <v>1256</v>
      </c>
      <c r="M8" s="105" t="s">
        <v>1294</v>
      </c>
      <c r="N8" s="115">
        <v>45603</v>
      </c>
      <c r="O8" s="115">
        <v>45604</v>
      </c>
      <c r="P8" s="115" t="s">
        <v>942</v>
      </c>
      <c r="Q8" s="103" t="s">
        <v>1280</v>
      </c>
      <c r="R8" s="103"/>
      <c r="S8" s="115"/>
      <c r="T8" s="103"/>
      <c r="U8" s="103" t="s">
        <v>1246</v>
      </c>
      <c r="V8" s="123"/>
      <c r="W8" s="154" t="s">
        <v>13</v>
      </c>
      <c r="X8" s="155"/>
    </row>
    <row r="9" spans="1:24" s="87" customFormat="1" ht="40.5" customHeight="1">
      <c r="A9" s="103">
        <v>6</v>
      </c>
      <c r="B9" s="147" t="s">
        <v>63</v>
      </c>
      <c r="C9" s="89" t="s">
        <v>743</v>
      </c>
      <c r="D9" s="104" t="s">
        <v>1247</v>
      </c>
      <c r="E9" s="88" t="s">
        <v>1295</v>
      </c>
      <c r="F9" s="88">
        <v>3</v>
      </c>
      <c r="G9" s="88">
        <v>2</v>
      </c>
      <c r="H9" s="103"/>
      <c r="I9" s="149" t="s">
        <v>739</v>
      </c>
      <c r="J9" s="103"/>
      <c r="K9" s="89"/>
      <c r="L9" s="110"/>
      <c r="M9" s="105" t="s">
        <v>1296</v>
      </c>
      <c r="N9" s="115">
        <v>45609</v>
      </c>
      <c r="O9" s="115"/>
      <c r="P9" s="89" t="s">
        <v>275</v>
      </c>
      <c r="Q9" s="103"/>
      <c r="R9" s="103"/>
      <c r="S9" s="121"/>
      <c r="T9" s="103"/>
      <c r="U9" s="103" t="s">
        <v>1290</v>
      </c>
      <c r="V9" s="103"/>
      <c r="W9" s="154" t="s">
        <v>1253</v>
      </c>
      <c r="X9" s="103" t="s">
        <v>1297</v>
      </c>
    </row>
    <row r="10" spans="1:24">
      <c r="A10" s="87">
        <v>7</v>
      </c>
      <c r="B10" s="129" t="s">
        <v>63</v>
      </c>
      <c r="C10" s="5" t="s">
        <v>807</v>
      </c>
      <c r="D10" s="72" t="s">
        <v>1298</v>
      </c>
      <c r="E10" s="16" t="s">
        <v>1299</v>
      </c>
      <c r="F10" s="118">
        <v>1</v>
      </c>
      <c r="G10" s="5">
        <v>1</v>
      </c>
      <c r="H10" s="128" t="s">
        <v>93</v>
      </c>
      <c r="I10" s="130" t="s">
        <v>739</v>
      </c>
      <c r="J10" s="134" t="s">
        <v>93</v>
      </c>
      <c r="K10" s="134" t="s">
        <v>93</v>
      </c>
      <c r="L10" s="134" t="s">
        <v>93</v>
      </c>
      <c r="M10" s="134" t="s">
        <v>93</v>
      </c>
      <c r="N10" s="130" t="s">
        <v>93</v>
      </c>
      <c r="O10" s="130" t="s">
        <v>93</v>
      </c>
      <c r="P10" s="130" t="s">
        <v>93</v>
      </c>
      <c r="Q10" s="128" t="s">
        <v>93</v>
      </c>
      <c r="R10" s="128" t="s">
        <v>93</v>
      </c>
      <c r="S10" s="128" t="s">
        <v>93</v>
      </c>
      <c r="T10" s="128" t="s">
        <v>93</v>
      </c>
      <c r="U10" s="128" t="s">
        <v>93</v>
      </c>
      <c r="V10" s="128" t="s">
        <v>93</v>
      </c>
      <c r="W10" s="128" t="s">
        <v>1300</v>
      </c>
      <c r="X10" s="87"/>
    </row>
    <row r="11" spans="1:24">
      <c r="A11" s="87">
        <v>8</v>
      </c>
      <c r="B11" s="129" t="s">
        <v>63</v>
      </c>
      <c r="C11" s="89" t="s">
        <v>807</v>
      </c>
      <c r="D11" s="104" t="s">
        <v>1252</v>
      </c>
      <c r="E11" s="88" t="s">
        <v>1078</v>
      </c>
      <c r="F11" s="118">
        <v>1</v>
      </c>
      <c r="G11" s="5">
        <v>1</v>
      </c>
      <c r="H11" s="128" t="s">
        <v>93</v>
      </c>
      <c r="I11" s="130" t="s">
        <v>739</v>
      </c>
      <c r="J11" s="134" t="s">
        <v>93</v>
      </c>
      <c r="K11" s="134" t="s">
        <v>93</v>
      </c>
      <c r="L11" s="134" t="s">
        <v>93</v>
      </c>
      <c r="M11" s="134" t="s">
        <v>93</v>
      </c>
      <c r="N11" s="130" t="s">
        <v>93</v>
      </c>
      <c r="O11" s="130" t="s">
        <v>93</v>
      </c>
      <c r="P11" s="130" t="s">
        <v>93</v>
      </c>
      <c r="Q11" s="128" t="s">
        <v>93</v>
      </c>
      <c r="R11" s="128" t="s">
        <v>93</v>
      </c>
      <c r="S11" s="128" t="s">
        <v>93</v>
      </c>
      <c r="T11" s="128" t="s">
        <v>93</v>
      </c>
      <c r="U11" s="128" t="s">
        <v>93</v>
      </c>
      <c r="V11" s="128" t="s">
        <v>93</v>
      </c>
      <c r="W11" s="90" t="s">
        <v>1253</v>
      </c>
      <c r="X11" s="87"/>
    </row>
    <row r="12" spans="1:24">
      <c r="A12" s="87">
        <v>9</v>
      </c>
      <c r="B12" s="162" t="s">
        <v>63</v>
      </c>
      <c r="C12" s="5" t="s">
        <v>807</v>
      </c>
      <c r="D12" s="72" t="s">
        <v>1292</v>
      </c>
      <c r="E12" s="16" t="s">
        <v>1293</v>
      </c>
      <c r="F12" s="118">
        <v>1</v>
      </c>
      <c r="G12" s="5">
        <v>1</v>
      </c>
      <c r="H12" s="128" t="s">
        <v>93</v>
      </c>
      <c r="I12" s="130" t="s">
        <v>739</v>
      </c>
      <c r="J12" s="134" t="s">
        <v>93</v>
      </c>
      <c r="K12" s="134" t="s">
        <v>93</v>
      </c>
      <c r="L12" s="134" t="s">
        <v>93</v>
      </c>
      <c r="M12" s="134" t="s">
        <v>93</v>
      </c>
      <c r="N12" s="130" t="s">
        <v>93</v>
      </c>
      <c r="O12" s="130" t="s">
        <v>93</v>
      </c>
      <c r="P12" s="130" t="s">
        <v>93</v>
      </c>
      <c r="Q12" s="128" t="s">
        <v>93</v>
      </c>
      <c r="R12" s="128" t="s">
        <v>93</v>
      </c>
      <c r="S12" s="128" t="s">
        <v>93</v>
      </c>
      <c r="T12" s="128" t="s">
        <v>93</v>
      </c>
      <c r="U12" s="128" t="s">
        <v>93</v>
      </c>
      <c r="V12" s="128" t="s">
        <v>93</v>
      </c>
      <c r="W12" s="154" t="s">
        <v>13</v>
      </c>
      <c r="X12" s="87"/>
    </row>
    <row r="13" spans="1:24">
      <c r="A13" s="87">
        <v>10</v>
      </c>
      <c r="B13" s="162" t="s">
        <v>63</v>
      </c>
      <c r="C13" s="5" t="s">
        <v>807</v>
      </c>
      <c r="D13" s="72" t="s">
        <v>1273</v>
      </c>
      <c r="E13" s="16" t="s">
        <v>1274</v>
      </c>
      <c r="F13" s="118">
        <v>1</v>
      </c>
      <c r="G13" s="5">
        <v>1</v>
      </c>
      <c r="H13" s="128" t="s">
        <v>93</v>
      </c>
      <c r="I13" s="130" t="s">
        <v>739</v>
      </c>
      <c r="J13" s="134" t="s">
        <v>93</v>
      </c>
      <c r="K13" s="134" t="s">
        <v>93</v>
      </c>
      <c r="L13" s="134" t="s">
        <v>93</v>
      </c>
      <c r="M13" s="134" t="s">
        <v>93</v>
      </c>
      <c r="N13" s="130" t="s">
        <v>93</v>
      </c>
      <c r="O13" s="130" t="s">
        <v>93</v>
      </c>
      <c r="P13" s="130" t="s">
        <v>93</v>
      </c>
      <c r="Q13" s="128" t="s">
        <v>93</v>
      </c>
      <c r="R13" s="128" t="s">
        <v>93</v>
      </c>
      <c r="S13" s="128" t="s">
        <v>93</v>
      </c>
      <c r="T13" s="128" t="s">
        <v>93</v>
      </c>
      <c r="U13" s="128" t="s">
        <v>93</v>
      </c>
      <c r="V13" s="128" t="s">
        <v>93</v>
      </c>
      <c r="W13" s="154" t="s">
        <v>13</v>
      </c>
    </row>
  </sheetData>
  <hyperlinks>
    <hyperlink ref="D7" r:id="rId1" display="https://greatergiving.atlassian.net/browse/GGO-14295" xr:uid="{B8976636-531F-4491-8EA8-48DA30A6C19E}"/>
    <hyperlink ref="M9" r:id="rId2" xr:uid="{A5B820C6-9CEC-4E4A-8B1D-1B3B98EB3A79}"/>
    <hyperlink ref="M7" r:id="rId3" xr:uid="{3397FAD1-93FE-49C5-8155-E087A30545E9}"/>
    <hyperlink ref="M5" r:id="rId4" xr:uid="{D6A43CA1-709E-41A3-B30E-04D643442D14}"/>
    <hyperlink ref="M6" r:id="rId5" xr:uid="{8EE9C81F-1013-4977-99E9-534BB9C8D90D}"/>
    <hyperlink ref="D10" r:id="rId6" display="https://greatergiving.atlassian.net/browse/PAPI-774" xr:uid="{4A6830EC-4A79-440D-8706-3AB1738A1E32}"/>
    <hyperlink ref="D11" r:id="rId7" display="https://greatergiving.atlassian.net/browse/GGO-14361" xr:uid="{F972A292-0982-4B51-9F4F-4AA1724F7E2C}"/>
    <hyperlink ref="D12" r:id="rId8" display="https://greatergiving.atlassian.net/browse/GGO-14361" xr:uid="{13FC7350-F270-472D-A77C-6BE18E60DA55}"/>
    <hyperlink ref="D13" r:id="rId9" display="https://greatergiving.atlassian.net/browse/GGO-14244" xr:uid="{0A8379C3-12DF-4427-9177-AFB564830F70}"/>
    <hyperlink ref="M4" r:id="rId10" xr:uid="{8AD85A11-912F-4017-A2BC-830407B8007C}"/>
    <hyperlink ref="M8" r:id="rId11" xr:uid="{FB3795E6-2884-4E16-B8BC-F35E63F5B255}"/>
  </hyperlinks>
  <pageMargins left="0" right="0" top="0" bottom="0" header="0" footer="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0BA25-7EB6-456D-B9C0-CB4BE54AC27C}">
  <sheetPr>
    <outlinePr summaryBelow="0" summaryRight="0"/>
  </sheetPr>
  <dimension ref="A1:K4"/>
  <sheetViews>
    <sheetView topLeftCell="B1" workbookViewId="0">
      <selection activeCell="C4" sqref="C4"/>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1" t="s">
        <v>234</v>
      </c>
      <c r="B1" s="157" t="s">
        <v>11</v>
      </c>
      <c r="C1" s="158" t="s">
        <v>350</v>
      </c>
      <c r="D1" s="157" t="s">
        <v>236</v>
      </c>
      <c r="E1" s="158" t="s">
        <v>352</v>
      </c>
      <c r="F1" s="158" t="s">
        <v>353</v>
      </c>
      <c r="G1" s="157" t="s">
        <v>354</v>
      </c>
      <c r="H1" s="157" t="s">
        <v>356</v>
      </c>
      <c r="I1" s="157" t="s">
        <v>239</v>
      </c>
      <c r="J1" s="26" t="s">
        <v>357</v>
      </c>
      <c r="K1" s="161" t="s">
        <v>260</v>
      </c>
    </row>
    <row r="2" spans="1:11" ht="48" customHeight="1">
      <c r="A2" s="156"/>
      <c r="B2" s="129" t="s">
        <v>63</v>
      </c>
      <c r="C2" s="131" t="s">
        <v>1273</v>
      </c>
      <c r="D2" s="99" t="s">
        <v>275</v>
      </c>
      <c r="E2" s="10" t="s">
        <v>623</v>
      </c>
      <c r="F2" s="133" t="s">
        <v>1274</v>
      </c>
      <c r="G2" s="10" t="s">
        <v>625</v>
      </c>
      <c r="H2" s="10" t="s">
        <v>861</v>
      </c>
      <c r="I2" s="10" t="s">
        <v>812</v>
      </c>
      <c r="J2" s="160"/>
      <c r="K2" s="159"/>
    </row>
    <row r="3" spans="1:11" ht="26.25" customHeight="1">
      <c r="A3" s="156"/>
      <c r="B3" s="129" t="s">
        <v>63</v>
      </c>
      <c r="C3" s="140" t="s">
        <v>1282</v>
      </c>
      <c r="D3" s="49" t="s">
        <v>738</v>
      </c>
      <c r="E3" s="10" t="s">
        <v>623</v>
      </c>
      <c r="F3" s="163" t="s">
        <v>1283</v>
      </c>
      <c r="G3" s="10" t="s">
        <v>860</v>
      </c>
      <c r="H3" s="10" t="s">
        <v>861</v>
      </c>
      <c r="I3" s="10" t="s">
        <v>812</v>
      </c>
      <c r="J3" s="160"/>
      <c r="K3" s="159"/>
    </row>
    <row r="4" spans="1:11" ht="130.5">
      <c r="A4" s="4"/>
      <c r="B4" s="164" t="s">
        <v>63</v>
      </c>
      <c r="C4" s="165" t="s">
        <v>1292</v>
      </c>
      <c r="D4" s="166" t="s">
        <v>1301</v>
      </c>
      <c r="E4" s="167" t="s">
        <v>623</v>
      </c>
      <c r="F4" s="168" t="s">
        <v>1302</v>
      </c>
      <c r="G4" s="169" t="s">
        <v>625</v>
      </c>
      <c r="H4" s="169" t="s">
        <v>627</v>
      </c>
      <c r="I4" s="169" t="s">
        <v>812</v>
      </c>
      <c r="J4" s="167"/>
      <c r="K4" s="77" t="s">
        <v>1303</v>
      </c>
    </row>
  </sheetData>
  <dataValidations count="4">
    <dataValidation type="list" allowBlank="1" showErrorMessage="1" sqref="G2:G5" xr:uid="{6A6FB4DC-C7D7-4373-98EB-749528840E34}">
      <formula1>"Minor,Significant,Major"</formula1>
    </dataValidation>
    <dataValidation type="list" allowBlank="1" showErrorMessage="1" sqref="I2:I5" xr:uid="{9E1696F3-5D35-430F-A64A-15EF4A561788}">
      <formula1>"Open,Inprogress,Closed"</formula1>
    </dataValidation>
    <dataValidation type="list" allowBlank="1" showErrorMessage="1" sqref="H2:H5" xr:uid="{3939551F-4C17-4EE2-91BB-66D63217532E}">
      <formula1>"Internal,External"</formula1>
    </dataValidation>
    <dataValidation type="list" allowBlank="1" showErrorMessage="1" sqref="F2 E2:E5" xr:uid="{3A202B44-A310-4CE6-97D9-9A36481A4239}">
      <formula1>"Bounceback,Defect,None"</formula1>
    </dataValidation>
  </dataValidations>
  <hyperlinks>
    <hyperlink ref="C3" r:id="rId1" display="https://greatergiving.atlassian.net/browse/GGO-14353" xr:uid="{E55B94E7-ECD4-4E17-A8BC-8DAC6C47CF92}"/>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491DA6D-4A69-499F-8F10-AE343848804B}">
          <x14:formula1>
            <xm:f>Details!$A$2:$A$10</xm:f>
          </x14:formula1>
          <xm:sqref>J2:J5</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12AC5-A1AD-4EC6-834E-E0EFE7E6336D}">
  <sheetPr>
    <outlinePr summaryBelow="0" summaryRight="0"/>
  </sheetPr>
  <dimension ref="A2:X10"/>
  <sheetViews>
    <sheetView showGridLines="0" workbookViewId="0">
      <pane xSplit="5" ySplit="2" topLeftCell="V3" activePane="bottomRight" state="frozen"/>
      <selection pane="bottomRight" activeCell="Y2" sqref="Y2"/>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7.85546875" style="43" customWidth="1"/>
    <col min="4" max="4" width="17.42578125" style="62" customWidth="1"/>
    <col min="5" max="5" width="53.85546875" style="43" bestFit="1" customWidth="1"/>
    <col min="6" max="6" width="11" style="138" customWidth="1"/>
    <col min="7" max="7" width="12.140625" style="138" bestFit="1" customWidth="1"/>
    <col min="8" max="8" width="15.28515625" style="43"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18.85546875" style="43" customWidth="1"/>
    <col min="24" max="24" width="35.5703125" style="43" customWidth="1"/>
    <col min="25" max="16384" width="12.5703125" style="43"/>
  </cols>
  <sheetData>
    <row r="2" spans="1:24" ht="24">
      <c r="A2" s="126" t="s">
        <v>234</v>
      </c>
      <c r="B2" s="126" t="s">
        <v>235</v>
      </c>
      <c r="C2" s="126" t="s">
        <v>236</v>
      </c>
      <c r="D2" s="127" t="s">
        <v>515</v>
      </c>
      <c r="E2" s="126" t="s">
        <v>238</v>
      </c>
      <c r="F2" s="126" t="s">
        <v>1115</v>
      </c>
      <c r="G2" s="126" t="s">
        <v>1116</v>
      </c>
      <c r="H2" s="126" t="s">
        <v>245</v>
      </c>
      <c r="I2" s="126" t="s">
        <v>246</v>
      </c>
      <c r="J2" s="126" t="s">
        <v>247</v>
      </c>
      <c r="K2" s="126" t="s">
        <v>248</v>
      </c>
      <c r="L2" s="126" t="s">
        <v>249</v>
      </c>
      <c r="M2" s="126" t="s">
        <v>250</v>
      </c>
      <c r="N2" s="126" t="s">
        <v>251</v>
      </c>
      <c r="O2" s="126" t="s">
        <v>252</v>
      </c>
      <c r="P2" s="126" t="s">
        <v>253</v>
      </c>
      <c r="Q2" s="126" t="s">
        <v>254</v>
      </c>
      <c r="R2" s="126" t="s">
        <v>255</v>
      </c>
      <c r="S2" s="126" t="s">
        <v>256</v>
      </c>
      <c r="T2" s="126" t="s">
        <v>254</v>
      </c>
      <c r="U2" s="126" t="s">
        <v>465</v>
      </c>
      <c r="V2" s="126" t="s">
        <v>466</v>
      </c>
      <c r="W2" s="126" t="s">
        <v>239</v>
      </c>
      <c r="X2" s="3"/>
    </row>
    <row r="3" spans="1:24" ht="65.25" customHeight="1">
      <c r="A3" s="128">
        <v>1</v>
      </c>
      <c r="B3" s="129" t="s">
        <v>60</v>
      </c>
      <c r="C3" s="130" t="s">
        <v>1266</v>
      </c>
      <c r="D3" s="131" t="s">
        <v>1267</v>
      </c>
      <c r="E3" s="133" t="s">
        <v>1268</v>
      </c>
      <c r="F3" s="130">
        <v>5</v>
      </c>
      <c r="G3" s="130"/>
      <c r="H3" s="128"/>
      <c r="I3" s="130" t="s">
        <v>739</v>
      </c>
      <c r="J3" s="128"/>
      <c r="K3" s="130"/>
      <c r="L3" s="130"/>
      <c r="M3" s="70" t="s">
        <v>1304</v>
      </c>
      <c r="N3" s="135">
        <v>45589</v>
      </c>
      <c r="O3" s="135">
        <v>45589</v>
      </c>
      <c r="P3" s="130" t="s">
        <v>275</v>
      </c>
      <c r="Q3" s="128" t="s">
        <v>1256</v>
      </c>
      <c r="R3" s="128" t="s">
        <v>741</v>
      </c>
      <c r="S3" s="137">
        <v>45589</v>
      </c>
      <c r="T3" s="128" t="s">
        <v>1305</v>
      </c>
      <c r="U3" s="128" t="s">
        <v>1306</v>
      </c>
      <c r="V3" s="128"/>
      <c r="W3" s="128" t="s">
        <v>1253</v>
      </c>
      <c r="X3" s="87" t="s">
        <v>1307</v>
      </c>
    </row>
    <row r="4" spans="1:24" ht="45" customHeight="1">
      <c r="A4" s="87">
        <v>2</v>
      </c>
      <c r="B4" s="129" t="s">
        <v>60</v>
      </c>
      <c r="C4" s="5" t="s">
        <v>743</v>
      </c>
      <c r="D4" s="146" t="s">
        <v>1308</v>
      </c>
      <c r="E4" s="16" t="s">
        <v>1309</v>
      </c>
      <c r="F4" s="5">
        <v>3</v>
      </c>
      <c r="G4" s="5">
        <v>3</v>
      </c>
      <c r="H4" s="87"/>
      <c r="I4" s="130" t="s">
        <v>739</v>
      </c>
      <c r="J4" s="87"/>
      <c r="K4" s="5"/>
      <c r="L4" s="97"/>
      <c r="M4" s="70" t="s">
        <v>1310</v>
      </c>
      <c r="N4" s="71">
        <v>45588</v>
      </c>
      <c r="O4" s="71">
        <v>45590</v>
      </c>
      <c r="P4" s="5" t="s">
        <v>275</v>
      </c>
      <c r="Q4" s="87"/>
      <c r="R4" s="87" t="s">
        <v>741</v>
      </c>
      <c r="S4" s="144">
        <v>45590</v>
      </c>
      <c r="T4" s="87"/>
      <c r="U4" s="87" t="s">
        <v>1311</v>
      </c>
      <c r="V4" s="87"/>
      <c r="W4" s="128" t="s">
        <v>1300</v>
      </c>
      <c r="X4" s="87"/>
    </row>
    <row r="5" spans="1:24" ht="45" customHeight="1">
      <c r="A5" s="103">
        <v>3</v>
      </c>
      <c r="B5" s="129" t="s">
        <v>60</v>
      </c>
      <c r="C5" s="5" t="s">
        <v>743</v>
      </c>
      <c r="D5" s="151" t="s">
        <v>1273</v>
      </c>
      <c r="E5" s="88" t="s">
        <v>1312</v>
      </c>
      <c r="F5" s="89">
        <v>3</v>
      </c>
      <c r="G5" s="89">
        <v>3</v>
      </c>
      <c r="H5" s="103"/>
      <c r="I5" s="130" t="s">
        <v>739</v>
      </c>
      <c r="J5" s="103"/>
      <c r="K5" s="89"/>
      <c r="L5" s="110"/>
      <c r="M5" s="105" t="s">
        <v>1313</v>
      </c>
      <c r="N5" s="115">
        <v>45595</v>
      </c>
      <c r="O5" s="115">
        <v>45595</v>
      </c>
      <c r="P5" s="89" t="s">
        <v>275</v>
      </c>
      <c r="Q5" s="103" t="s">
        <v>1256</v>
      </c>
      <c r="R5" s="87" t="s">
        <v>741</v>
      </c>
      <c r="S5" s="121">
        <v>45595</v>
      </c>
      <c r="T5" s="103"/>
      <c r="U5" s="103" t="s">
        <v>1314</v>
      </c>
      <c r="V5" s="103"/>
      <c r="W5" s="128" t="s">
        <v>1253</v>
      </c>
      <c r="X5" s="103"/>
    </row>
    <row r="6" spans="1:24" ht="45" customHeight="1">
      <c r="A6" s="103">
        <v>4</v>
      </c>
      <c r="B6" s="147" t="s">
        <v>60</v>
      </c>
      <c r="C6" s="89" t="s">
        <v>275</v>
      </c>
      <c r="D6" s="151" t="s">
        <v>1315</v>
      </c>
      <c r="E6" s="88" t="s">
        <v>1316</v>
      </c>
      <c r="F6" s="89" t="s">
        <v>93</v>
      </c>
      <c r="G6" s="89" t="s">
        <v>93</v>
      </c>
      <c r="H6" s="103"/>
      <c r="I6" s="149" t="s">
        <v>93</v>
      </c>
      <c r="J6" s="103"/>
      <c r="K6" s="89"/>
      <c r="L6" s="110"/>
      <c r="M6" s="105" t="s">
        <v>1317</v>
      </c>
      <c r="N6" s="115">
        <v>45589</v>
      </c>
      <c r="O6" s="115">
        <v>45589</v>
      </c>
      <c r="P6" s="89"/>
      <c r="Q6" s="103"/>
      <c r="R6" s="103" t="s">
        <v>741</v>
      </c>
      <c r="S6" s="121">
        <v>45589</v>
      </c>
      <c r="T6" s="103" t="s">
        <v>1256</v>
      </c>
      <c r="U6" s="103"/>
      <c r="V6" s="103"/>
      <c r="W6" s="128" t="s">
        <v>1300</v>
      </c>
      <c r="X6" s="103"/>
    </row>
    <row r="7" spans="1:24" ht="45" customHeight="1">
      <c r="A7" s="103">
        <v>5</v>
      </c>
      <c r="B7" s="147" t="s">
        <v>60</v>
      </c>
      <c r="C7" s="89" t="s">
        <v>807</v>
      </c>
      <c r="D7" s="104" t="s">
        <v>1318</v>
      </c>
      <c r="E7" s="88" t="s">
        <v>1319</v>
      </c>
      <c r="F7" s="89">
        <v>1</v>
      </c>
      <c r="G7" s="89">
        <v>1</v>
      </c>
      <c r="H7" s="148" t="s">
        <v>942</v>
      </c>
      <c r="I7" s="149" t="s">
        <v>739</v>
      </c>
      <c r="J7" s="148"/>
      <c r="K7" s="149"/>
      <c r="L7" s="149"/>
      <c r="M7" s="150" t="s">
        <v>93</v>
      </c>
      <c r="N7" s="149" t="s">
        <v>93</v>
      </c>
      <c r="O7" s="149" t="s">
        <v>93</v>
      </c>
      <c r="P7" s="149" t="s">
        <v>93</v>
      </c>
      <c r="Q7" s="148" t="s">
        <v>93</v>
      </c>
      <c r="R7" s="148" t="s">
        <v>93</v>
      </c>
      <c r="S7" s="148" t="s">
        <v>93</v>
      </c>
      <c r="T7" s="148" t="s">
        <v>93</v>
      </c>
      <c r="U7" s="148" t="s">
        <v>1290</v>
      </c>
      <c r="V7" s="148" t="s">
        <v>93</v>
      </c>
      <c r="W7" s="128" t="s">
        <v>1300</v>
      </c>
      <c r="X7" s="103"/>
    </row>
    <row r="8" spans="1:24" ht="45" customHeight="1">
      <c r="A8" s="103">
        <v>6</v>
      </c>
      <c r="B8" s="147" t="s">
        <v>60</v>
      </c>
      <c r="C8" s="89" t="s">
        <v>275</v>
      </c>
      <c r="D8" s="104" t="s">
        <v>1320</v>
      </c>
      <c r="E8" s="88" t="s">
        <v>1321</v>
      </c>
      <c r="F8" s="89">
        <v>2</v>
      </c>
      <c r="G8" s="89">
        <v>2</v>
      </c>
      <c r="H8" s="148" t="s">
        <v>275</v>
      </c>
      <c r="I8" s="149" t="s">
        <v>739</v>
      </c>
      <c r="J8" s="148" t="s">
        <v>1256</v>
      </c>
      <c r="K8" s="149" t="s">
        <v>93</v>
      </c>
      <c r="L8" s="149" t="s">
        <v>93</v>
      </c>
      <c r="M8" s="105" t="s">
        <v>1322</v>
      </c>
      <c r="N8" s="152">
        <v>45590</v>
      </c>
      <c r="O8" s="152">
        <v>45590</v>
      </c>
      <c r="P8" s="149" t="s">
        <v>1323</v>
      </c>
      <c r="Q8" s="148" t="s">
        <v>1256</v>
      </c>
      <c r="R8" s="148" t="s">
        <v>93</v>
      </c>
      <c r="S8" s="148" t="s">
        <v>93</v>
      </c>
      <c r="T8" s="148" t="s">
        <v>1256</v>
      </c>
      <c r="U8" s="148" t="s">
        <v>1246</v>
      </c>
      <c r="V8" s="148"/>
      <c r="W8" s="128" t="s">
        <v>1300</v>
      </c>
      <c r="X8" s="103"/>
    </row>
    <row r="9" spans="1:24" s="103" customFormat="1" ht="42" customHeight="1">
      <c r="A9" s="103">
        <v>7</v>
      </c>
      <c r="B9" s="147" t="s">
        <v>60</v>
      </c>
      <c r="C9" s="149" t="s">
        <v>275</v>
      </c>
      <c r="D9" s="104" t="s">
        <v>1324</v>
      </c>
      <c r="E9" s="88" t="s">
        <v>1325</v>
      </c>
      <c r="F9" s="89">
        <v>1</v>
      </c>
      <c r="G9" s="89">
        <v>1</v>
      </c>
      <c r="H9" s="148" t="s">
        <v>738</v>
      </c>
      <c r="I9" s="149" t="s">
        <v>739</v>
      </c>
      <c r="J9" s="148"/>
      <c r="K9" s="149"/>
      <c r="L9" s="149"/>
      <c r="M9" s="150"/>
      <c r="N9" s="149"/>
      <c r="O9" s="149"/>
      <c r="P9" s="149"/>
      <c r="Q9" s="148"/>
      <c r="R9" s="148"/>
      <c r="S9" s="148"/>
      <c r="T9" s="148"/>
      <c r="U9" s="148" t="s">
        <v>1246</v>
      </c>
      <c r="V9" s="148"/>
      <c r="W9" s="148" t="s">
        <v>13</v>
      </c>
    </row>
    <row r="10" spans="1:24" s="87" customFormat="1" ht="48">
      <c r="A10" s="87">
        <v>8</v>
      </c>
      <c r="B10" s="129" t="s">
        <v>60</v>
      </c>
      <c r="C10" s="130" t="s">
        <v>743</v>
      </c>
      <c r="D10" s="72" t="s">
        <v>1326</v>
      </c>
      <c r="E10" s="16" t="s">
        <v>1327</v>
      </c>
      <c r="F10" s="5">
        <v>1</v>
      </c>
      <c r="G10" s="5">
        <v>1</v>
      </c>
      <c r="H10" s="128" t="s">
        <v>743</v>
      </c>
      <c r="I10" s="130" t="s">
        <v>739</v>
      </c>
      <c r="J10" s="128"/>
      <c r="K10" s="130"/>
      <c r="L10" s="130"/>
      <c r="M10" s="70" t="s">
        <v>1313</v>
      </c>
      <c r="N10" s="130"/>
      <c r="O10" s="130"/>
      <c r="P10" s="130"/>
      <c r="Q10" s="128"/>
      <c r="R10" s="128"/>
      <c r="S10" s="128"/>
      <c r="T10" s="128"/>
      <c r="U10" s="128"/>
      <c r="V10" s="128"/>
      <c r="W10" s="148" t="s">
        <v>13</v>
      </c>
    </row>
  </sheetData>
  <hyperlinks>
    <hyperlink ref="D7" r:id="rId1" display="https://greatergiving.atlassian.net/browse/GGO-13860" xr:uid="{A3858ACE-34CE-4227-AB36-AEC7EDB87F28}"/>
    <hyperlink ref="M4" r:id="rId2" xr:uid="{FD671CB4-CE97-40B4-9814-3A99A9A232A9}"/>
    <hyperlink ref="D9" r:id="rId3" display="https://greatergiving.atlassian.net/browse/GGO-14340" xr:uid="{8C9B13B3-01D6-487D-B1B4-AE680FC358D3}"/>
    <hyperlink ref="M3" r:id="rId4" xr:uid="{A72D1321-81B7-4278-9820-0C79201593BA}"/>
    <hyperlink ref="M6" r:id="rId5" xr:uid="{0D5A4483-F5F3-42A0-B8FB-71B1B98B4B1C}"/>
    <hyperlink ref="M8" r:id="rId6" xr:uid="{8791EAC1-5BC1-4C10-925A-4621B38526B8}"/>
    <hyperlink ref="M5" r:id="rId7" xr:uid="{951B2817-0C1A-47CF-AEBC-CE136B9638B4}"/>
    <hyperlink ref="M10" r:id="rId8" xr:uid="{E42FA3D4-D81B-4B88-A9BB-D2BDB639A0A0}"/>
  </hyperlinks>
  <pageMargins left="0" right="0" top="0" bottom="0" header="0" footer="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A3271-083D-4202-8C17-37D281BAEF5A}">
  <sheetPr>
    <outlinePr summaryBelow="0" summaryRight="0"/>
  </sheetPr>
  <dimension ref="A1:K3"/>
  <sheetViews>
    <sheetView topLeftCell="B2" workbookViewId="0">
      <selection activeCell="A2" sqref="A2:XFD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129" t="s">
        <v>60</v>
      </c>
      <c r="C2" s="69" t="s">
        <v>1277</v>
      </c>
      <c r="D2" s="143" t="s">
        <v>738</v>
      </c>
      <c r="E2" s="12" t="s">
        <v>623</v>
      </c>
      <c r="F2" s="76" t="s">
        <v>1278</v>
      </c>
      <c r="G2" s="12" t="s">
        <v>1200</v>
      </c>
      <c r="H2" s="12" t="s">
        <v>861</v>
      </c>
      <c r="I2" s="12" t="s">
        <v>1113</v>
      </c>
      <c r="J2" s="12"/>
      <c r="K2" s="138"/>
    </row>
    <row r="3" spans="1:11" ht="26.25" customHeight="1">
      <c r="A3" s="4"/>
      <c r="B3" s="478"/>
      <c r="C3" s="479"/>
      <c r="D3" s="479"/>
      <c r="E3" s="480"/>
      <c r="F3" s="29"/>
      <c r="G3" s="12"/>
      <c r="H3" s="12"/>
      <c r="I3" s="12"/>
      <c r="J3" s="12"/>
      <c r="K3" s="12"/>
    </row>
  </sheetData>
  <mergeCells count="1">
    <mergeCell ref="B3:E3"/>
  </mergeCells>
  <dataValidations count="4">
    <dataValidation type="list" allowBlank="1" showErrorMessage="1" sqref="H2:H5" xr:uid="{6CB5AF57-A390-414C-86ED-BB75584C15FC}">
      <formula1>"Internal,External"</formula1>
    </dataValidation>
    <dataValidation type="list" allowBlank="1" showErrorMessage="1" sqref="E2:E5" xr:uid="{F6BF0C3F-EA85-4A3E-B487-347FAE1120C5}">
      <formula1>"Bounceback,Defect,None"</formula1>
    </dataValidation>
    <dataValidation type="list" allowBlank="1" showErrorMessage="1" sqref="I2:I5" xr:uid="{0AF180B6-2CF1-47F6-8B8E-C38AF37A5FC4}">
      <formula1>"Open,Inprogress,Closed"</formula1>
    </dataValidation>
    <dataValidation type="list" allowBlank="1" showErrorMessage="1" sqref="G2:G5" xr:uid="{E0707375-556E-4B87-BA90-56FAC77D4287}">
      <formula1>"Minor,Significant,Major"</formula1>
    </dataValidation>
  </dataValidations>
  <hyperlinks>
    <hyperlink ref="C2" r:id="rId1" display="https://greatergiving.atlassian.net/browse/GGO-14353" xr:uid="{22153108-F296-441E-887C-D47015B97F79}"/>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B684BC9-2CF4-4334-8B93-19311E7B599A}">
          <x14:formula1>
            <xm:f>Details!$A$2:$A$10</xm:f>
          </x14:formula1>
          <xm:sqref>J2:J5</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F6C7-0692-4827-A9C9-96FC010D1FC0}">
  <sheetPr>
    <outlinePr summaryBelow="0" summaryRight="0"/>
  </sheetPr>
  <dimension ref="A2:W9"/>
  <sheetViews>
    <sheetView showGridLines="0" workbookViewId="0">
      <pane xSplit="5" ySplit="2" topLeftCell="T3" activePane="bottomRight" state="frozen"/>
      <selection pane="bottomRight" activeCell="W8" sqref="W8"/>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7.85546875" style="43" customWidth="1"/>
    <col min="4" max="4" width="17.42578125" style="62" customWidth="1"/>
    <col min="5" max="5" width="53.85546875" style="43" bestFit="1" customWidth="1"/>
    <col min="6" max="6" width="11" style="43" customWidth="1"/>
    <col min="7" max="7" width="12.140625" style="43" bestFit="1" customWidth="1"/>
    <col min="8" max="8" width="15.28515625" style="43"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18.85546875" style="43" customWidth="1"/>
    <col min="24" max="24" width="35.5703125" style="43" customWidth="1"/>
    <col min="25" max="16384" width="12.5703125" style="43"/>
  </cols>
  <sheetData>
    <row r="2" spans="1:23" ht="23.25">
      <c r="A2" s="126" t="s">
        <v>234</v>
      </c>
      <c r="B2" s="126" t="s">
        <v>235</v>
      </c>
      <c r="C2" s="126" t="s">
        <v>236</v>
      </c>
      <c r="D2" s="127" t="s">
        <v>515</v>
      </c>
      <c r="E2" s="126" t="s">
        <v>238</v>
      </c>
      <c r="F2" s="126" t="s">
        <v>1115</v>
      </c>
      <c r="G2" s="126" t="s">
        <v>1116</v>
      </c>
      <c r="H2" s="126" t="s">
        <v>245</v>
      </c>
      <c r="I2" s="126" t="s">
        <v>246</v>
      </c>
      <c r="J2" s="126" t="s">
        <v>247</v>
      </c>
      <c r="K2" s="126" t="s">
        <v>248</v>
      </c>
      <c r="L2" s="126" t="s">
        <v>249</v>
      </c>
      <c r="M2" s="126" t="s">
        <v>250</v>
      </c>
      <c r="N2" s="126" t="s">
        <v>251</v>
      </c>
      <c r="O2" s="126" t="s">
        <v>252</v>
      </c>
      <c r="P2" s="126" t="s">
        <v>253</v>
      </c>
      <c r="Q2" s="126" t="s">
        <v>254</v>
      </c>
      <c r="R2" s="126" t="s">
        <v>255</v>
      </c>
      <c r="S2" s="126" t="s">
        <v>256</v>
      </c>
      <c r="T2" s="126" t="s">
        <v>254</v>
      </c>
      <c r="U2" s="126" t="s">
        <v>465</v>
      </c>
      <c r="V2" s="126" t="s">
        <v>466</v>
      </c>
      <c r="W2" s="126" t="s">
        <v>239</v>
      </c>
    </row>
    <row r="3" spans="1:23" ht="65.25" customHeight="1">
      <c r="A3" s="128">
        <v>1</v>
      </c>
      <c r="B3" s="129" t="s">
        <v>58</v>
      </c>
      <c r="C3" s="130" t="s">
        <v>1328</v>
      </c>
      <c r="D3" s="131" t="s">
        <v>1267</v>
      </c>
      <c r="E3" s="133" t="s">
        <v>1268</v>
      </c>
      <c r="F3" s="133">
        <v>5</v>
      </c>
      <c r="G3" s="133"/>
      <c r="H3" s="128"/>
      <c r="I3" s="130"/>
      <c r="J3" s="128"/>
      <c r="K3" s="130"/>
      <c r="L3" s="130"/>
      <c r="M3" s="134"/>
      <c r="N3" s="130"/>
      <c r="O3" s="130"/>
      <c r="P3" s="130"/>
      <c r="Q3" s="128"/>
      <c r="R3" s="128"/>
      <c r="S3" s="128"/>
      <c r="T3" s="128"/>
      <c r="U3" s="128" t="s">
        <v>1329</v>
      </c>
      <c r="V3" s="128"/>
      <c r="W3" s="128" t="s">
        <v>628</v>
      </c>
    </row>
    <row r="4" spans="1:23" ht="45" customHeight="1">
      <c r="A4" s="87">
        <v>2</v>
      </c>
      <c r="B4" s="129" t="s">
        <v>58</v>
      </c>
      <c r="C4" s="5" t="s">
        <v>766</v>
      </c>
      <c r="D4" s="107" t="s">
        <v>1330</v>
      </c>
      <c r="E4" s="16" t="s">
        <v>1331</v>
      </c>
      <c r="F4" s="16">
        <v>5</v>
      </c>
      <c r="G4" s="16">
        <v>5</v>
      </c>
      <c r="H4" s="87" t="s">
        <v>766</v>
      </c>
      <c r="I4" s="5" t="s">
        <v>739</v>
      </c>
      <c r="J4" s="87"/>
      <c r="K4" s="5" t="s">
        <v>746</v>
      </c>
      <c r="L4" s="97"/>
      <c r="M4" s="70" t="s">
        <v>1332</v>
      </c>
      <c r="N4" s="71">
        <v>45577</v>
      </c>
      <c r="O4" s="71">
        <v>45577</v>
      </c>
      <c r="P4" s="5" t="s">
        <v>275</v>
      </c>
      <c r="Q4" s="87" t="s">
        <v>1256</v>
      </c>
      <c r="R4" s="87" t="s">
        <v>1220</v>
      </c>
      <c r="S4" s="144">
        <v>45577</v>
      </c>
      <c r="T4" s="87" t="s">
        <v>1256</v>
      </c>
      <c r="U4" s="87" t="s">
        <v>1333</v>
      </c>
      <c r="V4" s="87"/>
      <c r="W4" s="128" t="s">
        <v>812</v>
      </c>
    </row>
    <row r="5" spans="1:23" ht="46.5" customHeight="1">
      <c r="A5" s="87">
        <v>3</v>
      </c>
      <c r="B5" s="129" t="s">
        <v>58</v>
      </c>
      <c r="C5" s="5" t="s">
        <v>743</v>
      </c>
      <c r="D5" s="107" t="s">
        <v>1334</v>
      </c>
      <c r="E5" s="16" t="s">
        <v>1335</v>
      </c>
      <c r="F5" s="16">
        <v>2</v>
      </c>
      <c r="G5" s="16">
        <v>2</v>
      </c>
      <c r="H5" s="87" t="s">
        <v>743</v>
      </c>
      <c r="I5" s="5" t="s">
        <v>275</v>
      </c>
      <c r="J5" s="87"/>
      <c r="K5" s="5"/>
      <c r="L5" s="97"/>
      <c r="M5" s="70" t="s">
        <v>1336</v>
      </c>
      <c r="N5" s="71">
        <v>45580</v>
      </c>
      <c r="O5" s="71">
        <v>45580</v>
      </c>
      <c r="P5" s="5" t="s">
        <v>275</v>
      </c>
      <c r="Q5" s="87" t="s">
        <v>1256</v>
      </c>
      <c r="R5" s="87" t="s">
        <v>1220</v>
      </c>
      <c r="S5" s="144">
        <v>45580</v>
      </c>
      <c r="T5" s="87" t="s">
        <v>1256</v>
      </c>
      <c r="U5" s="87" t="s">
        <v>1337</v>
      </c>
      <c r="V5" s="87"/>
      <c r="W5" s="128" t="s">
        <v>812</v>
      </c>
    </row>
    <row r="6" spans="1:23" ht="44.25" customHeight="1">
      <c r="A6" s="87">
        <v>4</v>
      </c>
      <c r="B6" s="129" t="s">
        <v>58</v>
      </c>
      <c r="C6" s="5" t="s">
        <v>275</v>
      </c>
      <c r="D6" s="107" t="s">
        <v>1338</v>
      </c>
      <c r="E6" s="16" t="s">
        <v>1339</v>
      </c>
      <c r="F6" s="16">
        <v>1</v>
      </c>
      <c r="G6" s="16">
        <v>1</v>
      </c>
      <c r="H6" s="87" t="s">
        <v>275</v>
      </c>
      <c r="I6" s="5" t="s">
        <v>739</v>
      </c>
      <c r="J6" s="87"/>
      <c r="K6" s="5" t="s">
        <v>743</v>
      </c>
      <c r="L6" s="97"/>
      <c r="M6" s="70" t="s">
        <v>1340</v>
      </c>
      <c r="N6" s="71">
        <v>45570</v>
      </c>
      <c r="O6" s="71">
        <v>45570</v>
      </c>
      <c r="P6" s="5" t="s">
        <v>93</v>
      </c>
      <c r="Q6" s="87" t="s">
        <v>1256</v>
      </c>
      <c r="R6" s="87" t="s">
        <v>1341</v>
      </c>
      <c r="S6" s="144">
        <v>45570</v>
      </c>
      <c r="T6" s="87" t="s">
        <v>1256</v>
      </c>
      <c r="U6" s="87"/>
      <c r="V6" s="87"/>
      <c r="W6" s="128" t="s">
        <v>812</v>
      </c>
    </row>
    <row r="7" spans="1:23" ht="46.5" customHeight="1">
      <c r="A7" s="87">
        <v>5</v>
      </c>
      <c r="B7" s="129" t="s">
        <v>58</v>
      </c>
      <c r="C7" s="5" t="s">
        <v>275</v>
      </c>
      <c r="D7" s="107" t="s">
        <v>1342</v>
      </c>
      <c r="E7" s="16" t="s">
        <v>1343</v>
      </c>
      <c r="F7" s="16">
        <v>3</v>
      </c>
      <c r="G7" s="16">
        <v>3</v>
      </c>
      <c r="H7" s="87" t="s">
        <v>766</v>
      </c>
      <c r="I7" s="5" t="s">
        <v>739</v>
      </c>
      <c r="J7" s="87"/>
      <c r="K7" s="5" t="s">
        <v>746</v>
      </c>
      <c r="L7" s="97"/>
      <c r="M7" s="70" t="s">
        <v>1332</v>
      </c>
      <c r="N7" s="71">
        <v>45577</v>
      </c>
      <c r="O7" s="71">
        <v>45577</v>
      </c>
      <c r="P7" s="5"/>
      <c r="Q7" s="87" t="s">
        <v>1256</v>
      </c>
      <c r="R7" s="87" t="s">
        <v>1220</v>
      </c>
      <c r="S7" s="71">
        <v>45577</v>
      </c>
      <c r="T7" s="87" t="s">
        <v>1256</v>
      </c>
      <c r="U7" s="87"/>
      <c r="V7" s="87"/>
      <c r="W7" s="128" t="s">
        <v>812</v>
      </c>
    </row>
    <row r="8" spans="1:23" s="87" customFormat="1" ht="33.75" customHeight="1">
      <c r="A8" s="87">
        <v>6</v>
      </c>
      <c r="B8" s="129" t="s">
        <v>58</v>
      </c>
      <c r="C8" s="5" t="s">
        <v>807</v>
      </c>
      <c r="D8" s="72" t="s">
        <v>1344</v>
      </c>
      <c r="E8" s="16" t="s">
        <v>1345</v>
      </c>
      <c r="F8" s="16">
        <v>1</v>
      </c>
      <c r="G8" s="16">
        <v>1</v>
      </c>
      <c r="H8" s="128" t="s">
        <v>942</v>
      </c>
      <c r="I8" s="130" t="s">
        <v>739</v>
      </c>
      <c r="J8" s="128"/>
      <c r="K8" s="130"/>
      <c r="L8" s="130"/>
      <c r="M8" s="134" t="s">
        <v>93</v>
      </c>
      <c r="N8" s="130" t="s">
        <v>93</v>
      </c>
      <c r="O8" s="130" t="s">
        <v>93</v>
      </c>
      <c r="P8" s="130" t="s">
        <v>93</v>
      </c>
      <c r="Q8" s="128" t="s">
        <v>93</v>
      </c>
      <c r="R8" s="128" t="s">
        <v>93</v>
      </c>
      <c r="S8" s="128" t="s">
        <v>93</v>
      </c>
      <c r="T8" s="128" t="s">
        <v>93</v>
      </c>
      <c r="U8" s="128" t="s">
        <v>93</v>
      </c>
      <c r="V8" s="128" t="s">
        <v>93</v>
      </c>
      <c r="W8" s="128" t="s">
        <v>812</v>
      </c>
    </row>
    <row r="9" spans="1:23" s="142" customFormat="1" ht="44.25" customHeight="1">
      <c r="A9" s="87">
        <v>7</v>
      </c>
      <c r="B9" s="129" t="s">
        <v>58</v>
      </c>
      <c r="C9" s="5" t="s">
        <v>766</v>
      </c>
      <c r="D9" s="72" t="s">
        <v>1346</v>
      </c>
      <c r="E9" s="16" t="s">
        <v>1347</v>
      </c>
      <c r="F9" s="16"/>
      <c r="G9" s="16"/>
      <c r="H9" s="128" t="s">
        <v>766</v>
      </c>
      <c r="I9" s="130" t="s">
        <v>746</v>
      </c>
      <c r="J9" s="128"/>
      <c r="K9" s="130"/>
      <c r="L9" s="130"/>
      <c r="M9" s="70" t="s">
        <v>1348</v>
      </c>
      <c r="N9" s="71">
        <v>45581</v>
      </c>
      <c r="O9" s="71">
        <v>45581</v>
      </c>
      <c r="P9" s="130" t="s">
        <v>275</v>
      </c>
      <c r="Q9" s="128" t="s">
        <v>1256</v>
      </c>
      <c r="R9" s="87" t="s">
        <v>741</v>
      </c>
      <c r="S9" s="137">
        <v>45581</v>
      </c>
      <c r="T9" s="128" t="s">
        <v>1256</v>
      </c>
      <c r="U9" s="107" t="s">
        <v>1349</v>
      </c>
      <c r="V9" s="128"/>
      <c r="W9" s="128" t="s">
        <v>812</v>
      </c>
    </row>
  </sheetData>
  <hyperlinks>
    <hyperlink ref="D8" r:id="rId1" display="https://greatergiving.atlassian.net/browse/GGO-14199" xr:uid="{2370FB85-78DA-4946-8C9D-7FD26E9D8212}"/>
    <hyperlink ref="M5" r:id="rId2" xr:uid="{D4AA353B-87BF-4EDE-A157-80EBFCC9CFCF}"/>
    <hyperlink ref="M9" r:id="rId3" xr:uid="{C978AD3E-55BF-4296-AEAD-D51C4D75E363}"/>
    <hyperlink ref="M4" r:id="rId4" xr:uid="{2931ADEB-ADE0-4937-AFBC-E00ED63D63EB}"/>
    <hyperlink ref="M7" r:id="rId5" xr:uid="{4DCBDF54-50B1-4A16-9E7A-CFC77B083C6F}"/>
    <hyperlink ref="M6" r:id="rId6" xr:uid="{0CF1F1C8-F38E-434E-8707-0770453C0FDC}"/>
  </hyperlinks>
  <pageMargins left="0" right="0" top="0" bottom="0" header="0" footer="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4B25B-4D1E-4BCA-9E10-4C9D9455FF3E}">
  <sheetPr>
    <outlinePr summaryBelow="0" summaryRight="0"/>
  </sheetPr>
  <dimension ref="A1:K3"/>
  <sheetViews>
    <sheetView topLeftCell="B1" workbookViewId="0">
      <selection activeCell="D2" sqref="D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129" t="s">
        <v>58</v>
      </c>
      <c r="C2" s="69" t="s">
        <v>1346</v>
      </c>
      <c r="D2" s="143" t="s">
        <v>766</v>
      </c>
      <c r="E2" s="12" t="s">
        <v>623</v>
      </c>
      <c r="F2" s="76" t="s">
        <v>1347</v>
      </c>
      <c r="G2" s="12" t="s">
        <v>625</v>
      </c>
      <c r="H2" s="12" t="s">
        <v>861</v>
      </c>
      <c r="I2" s="12" t="s">
        <v>812</v>
      </c>
      <c r="J2" s="12" t="s">
        <v>629</v>
      </c>
      <c r="K2" s="138"/>
    </row>
    <row r="3" spans="1:11" ht="26.25" customHeight="1">
      <c r="A3" s="4"/>
      <c r="B3" s="478"/>
      <c r="C3" s="479"/>
      <c r="D3" s="479"/>
      <c r="E3" s="480"/>
      <c r="F3" s="29"/>
      <c r="G3" s="12"/>
      <c r="H3" s="12"/>
      <c r="I3" s="12"/>
      <c r="J3" s="12"/>
      <c r="K3" s="12"/>
    </row>
  </sheetData>
  <mergeCells count="1">
    <mergeCell ref="B3:E3"/>
  </mergeCells>
  <dataValidations count="4">
    <dataValidation type="list" allowBlank="1" showErrorMessage="1" sqref="G2:G5" xr:uid="{FC7BD584-F90C-415C-8025-AAF823805740}">
      <formula1>"Minor,Significant,Major"</formula1>
    </dataValidation>
    <dataValidation type="list" allowBlank="1" showErrorMessage="1" sqref="I2:I5" xr:uid="{6F737121-E303-40B5-B90C-FCB48498CA63}">
      <formula1>"Open,Inprogress,Closed"</formula1>
    </dataValidation>
    <dataValidation type="list" allowBlank="1" showErrorMessage="1" sqref="E2:E5" xr:uid="{879D7B34-FE72-422D-96D6-9A31D75AB836}">
      <formula1>"Bounceback,Defect,None"</formula1>
    </dataValidation>
    <dataValidation type="list" allowBlank="1" showErrorMessage="1" sqref="H2:H5" xr:uid="{D6281E9A-9E2E-456F-912A-ADD5A33AC6C7}">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B195BC8-114F-48E6-84DB-55B7E491BA39}">
          <x14:formula1>
            <xm:f>Details!$A$2:$A$10</xm:f>
          </x14:formula1>
          <xm:sqref>J2:J5</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1963-DE24-4D3E-9A28-EC0563C9B9AE}">
  <sheetPr>
    <outlinePr summaryBelow="0" summaryRight="0"/>
  </sheetPr>
  <dimension ref="A2:W10"/>
  <sheetViews>
    <sheetView showGridLines="0" workbookViewId="0">
      <pane xSplit="5" ySplit="2" topLeftCell="T3" activePane="bottomRight" state="frozen"/>
      <selection pane="bottomRight" activeCell="W8" sqref="W8"/>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7.85546875" style="43" customWidth="1"/>
    <col min="4" max="4" width="17.42578125" style="62" customWidth="1"/>
    <col min="5" max="5" width="53.85546875" style="43" bestFit="1" customWidth="1"/>
    <col min="6" max="6" width="11" style="43"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3" ht="23.25">
      <c r="A2" s="126" t="s">
        <v>234</v>
      </c>
      <c r="B2" s="126" t="s">
        <v>235</v>
      </c>
      <c r="C2" s="126" t="s">
        <v>236</v>
      </c>
      <c r="D2" s="127" t="s">
        <v>515</v>
      </c>
      <c r="E2" s="126" t="s">
        <v>238</v>
      </c>
      <c r="F2" s="126" t="s">
        <v>1115</v>
      </c>
      <c r="G2" s="126" t="s">
        <v>1116</v>
      </c>
      <c r="H2" s="126" t="s">
        <v>245</v>
      </c>
      <c r="I2" s="126" t="s">
        <v>246</v>
      </c>
      <c r="J2" s="126" t="s">
        <v>247</v>
      </c>
      <c r="K2" s="126" t="s">
        <v>248</v>
      </c>
      <c r="L2" s="126" t="s">
        <v>249</v>
      </c>
      <c r="M2" s="126" t="s">
        <v>250</v>
      </c>
      <c r="N2" s="126" t="s">
        <v>251</v>
      </c>
      <c r="O2" s="126" t="s">
        <v>252</v>
      </c>
      <c r="P2" s="126" t="s">
        <v>253</v>
      </c>
      <c r="Q2" s="126" t="s">
        <v>254</v>
      </c>
      <c r="R2" s="126" t="s">
        <v>255</v>
      </c>
      <c r="S2" s="126" t="s">
        <v>256</v>
      </c>
      <c r="T2" s="126" t="s">
        <v>254</v>
      </c>
      <c r="U2" s="126" t="s">
        <v>465</v>
      </c>
      <c r="V2" s="126" t="s">
        <v>466</v>
      </c>
      <c r="W2" s="126" t="s">
        <v>239</v>
      </c>
    </row>
    <row r="3" spans="1:23" ht="53.25" customHeight="1">
      <c r="A3" s="128">
        <v>1</v>
      </c>
      <c r="B3" s="129" t="s">
        <v>56</v>
      </c>
      <c r="C3" s="130" t="s">
        <v>1008</v>
      </c>
      <c r="D3" s="131" t="s">
        <v>1350</v>
      </c>
      <c r="E3" s="132" t="s">
        <v>1351</v>
      </c>
      <c r="F3" s="133">
        <v>3</v>
      </c>
      <c r="G3" s="133">
        <v>3</v>
      </c>
      <c r="H3" s="128" t="s">
        <v>874</v>
      </c>
      <c r="I3" s="130" t="s">
        <v>739</v>
      </c>
      <c r="J3" s="128" t="s">
        <v>1256</v>
      </c>
      <c r="K3" s="130" t="s">
        <v>743</v>
      </c>
      <c r="L3" s="130" t="s">
        <v>1256</v>
      </c>
      <c r="M3" s="70" t="s">
        <v>1352</v>
      </c>
      <c r="N3" s="135">
        <v>45558</v>
      </c>
      <c r="O3" s="135">
        <v>45561</v>
      </c>
      <c r="P3" s="130" t="s">
        <v>275</v>
      </c>
      <c r="Q3" s="128" t="s">
        <v>1256</v>
      </c>
      <c r="R3" s="128" t="s">
        <v>825</v>
      </c>
      <c r="S3" s="135">
        <v>45561</v>
      </c>
      <c r="T3" s="128" t="s">
        <v>1256</v>
      </c>
      <c r="U3" s="128" t="s">
        <v>1353</v>
      </c>
      <c r="V3" s="128" t="s">
        <v>1256</v>
      </c>
      <c r="W3" s="128" t="s">
        <v>812</v>
      </c>
    </row>
    <row r="4" spans="1:23" ht="36" customHeight="1">
      <c r="A4" s="128">
        <v>2</v>
      </c>
      <c r="B4" s="129" t="s">
        <v>56</v>
      </c>
      <c r="C4" s="130" t="s">
        <v>1328</v>
      </c>
      <c r="D4" s="131" t="s">
        <v>1267</v>
      </c>
      <c r="E4" s="133" t="s">
        <v>1268</v>
      </c>
      <c r="F4" s="133">
        <v>5</v>
      </c>
      <c r="G4" s="133"/>
      <c r="H4" s="128"/>
      <c r="I4" s="130"/>
      <c r="J4" s="128"/>
      <c r="K4" s="130"/>
      <c r="L4" s="130"/>
      <c r="M4" s="134"/>
      <c r="N4" s="130"/>
      <c r="O4" s="130"/>
      <c r="P4" s="130"/>
      <c r="Q4" s="128"/>
      <c r="R4" s="128"/>
      <c r="S4" s="128"/>
      <c r="T4" s="128"/>
      <c r="U4" s="128" t="s">
        <v>1353</v>
      </c>
      <c r="V4" s="128"/>
      <c r="W4" s="128" t="s">
        <v>628</v>
      </c>
    </row>
    <row r="5" spans="1:23" ht="41.25" customHeight="1">
      <c r="A5" s="128">
        <v>3</v>
      </c>
      <c r="B5" s="129" t="s">
        <v>56</v>
      </c>
      <c r="C5" s="130" t="s">
        <v>743</v>
      </c>
      <c r="D5" s="131" t="s">
        <v>1354</v>
      </c>
      <c r="E5" s="133" t="s">
        <v>1355</v>
      </c>
      <c r="F5" s="133">
        <v>3</v>
      </c>
      <c r="G5" s="133">
        <v>3</v>
      </c>
      <c r="H5" s="128"/>
      <c r="I5" s="130" t="s">
        <v>739</v>
      </c>
      <c r="J5" s="128" t="s">
        <v>1356</v>
      </c>
      <c r="K5" s="130" t="s">
        <v>961</v>
      </c>
      <c r="L5" s="130" t="s">
        <v>1256</v>
      </c>
      <c r="M5" s="70" t="s">
        <v>1357</v>
      </c>
      <c r="N5" s="135">
        <v>45558</v>
      </c>
      <c r="O5" s="135">
        <v>45559</v>
      </c>
      <c r="P5" s="130" t="s">
        <v>275</v>
      </c>
      <c r="Q5" s="128" t="s">
        <v>1256</v>
      </c>
      <c r="R5" s="128" t="s">
        <v>1220</v>
      </c>
      <c r="S5" s="135">
        <v>45559</v>
      </c>
      <c r="T5" s="128" t="s">
        <v>1256</v>
      </c>
      <c r="U5" s="128" t="s">
        <v>1256</v>
      </c>
      <c r="V5" s="128" t="s">
        <v>1256</v>
      </c>
      <c r="W5" s="128" t="s">
        <v>812</v>
      </c>
    </row>
    <row r="6" spans="1:23" ht="49.5" customHeight="1">
      <c r="A6" s="128">
        <v>4</v>
      </c>
      <c r="B6" s="129" t="s">
        <v>56</v>
      </c>
      <c r="C6" s="139" t="s">
        <v>743</v>
      </c>
      <c r="D6" s="131" t="s">
        <v>1358</v>
      </c>
      <c r="E6" s="128" t="s">
        <v>1359</v>
      </c>
      <c r="F6" s="128">
        <v>2</v>
      </c>
      <c r="G6" s="128">
        <v>2</v>
      </c>
      <c r="H6" s="128"/>
      <c r="I6" s="130" t="s">
        <v>739</v>
      </c>
      <c r="J6" s="128"/>
      <c r="K6" s="128" t="s">
        <v>1242</v>
      </c>
      <c r="L6" s="128"/>
      <c r="M6" s="140" t="s">
        <v>1360</v>
      </c>
      <c r="N6" s="135">
        <v>45555</v>
      </c>
      <c r="O6" s="135">
        <v>45555</v>
      </c>
      <c r="P6" s="130" t="s">
        <v>275</v>
      </c>
      <c r="Q6" s="128" t="s">
        <v>1256</v>
      </c>
      <c r="R6" s="128" t="s">
        <v>1361</v>
      </c>
      <c r="S6" s="135">
        <v>45555</v>
      </c>
      <c r="T6" s="128" t="s">
        <v>1256</v>
      </c>
      <c r="U6" s="128"/>
      <c r="V6" s="128"/>
      <c r="W6" s="128" t="s">
        <v>812</v>
      </c>
    </row>
    <row r="7" spans="1:23" ht="36" customHeight="1">
      <c r="A7" s="128">
        <v>5</v>
      </c>
      <c r="B7" s="129" t="s">
        <v>56</v>
      </c>
      <c r="C7" s="130" t="s">
        <v>1008</v>
      </c>
      <c r="D7" s="131" t="s">
        <v>1362</v>
      </c>
      <c r="E7" s="133" t="s">
        <v>1363</v>
      </c>
      <c r="F7" s="133">
        <v>1</v>
      </c>
      <c r="G7" s="133">
        <v>1</v>
      </c>
      <c r="H7" s="128" t="s">
        <v>739</v>
      </c>
      <c r="I7" s="130" t="s">
        <v>739</v>
      </c>
      <c r="J7" s="128" t="s">
        <v>1256</v>
      </c>
      <c r="K7" s="130" t="s">
        <v>275</v>
      </c>
      <c r="L7" s="130"/>
      <c r="M7" s="70" t="s">
        <v>1364</v>
      </c>
      <c r="N7" s="135">
        <v>45548</v>
      </c>
      <c r="O7" s="135">
        <v>45554</v>
      </c>
      <c r="P7" s="130" t="s">
        <v>275</v>
      </c>
      <c r="Q7" s="128" t="s">
        <v>1256</v>
      </c>
      <c r="R7" s="128" t="s">
        <v>825</v>
      </c>
      <c r="S7" s="137">
        <v>45554</v>
      </c>
      <c r="T7" s="128" t="s">
        <v>1256</v>
      </c>
      <c r="U7" s="128" t="s">
        <v>1256</v>
      </c>
      <c r="V7" s="128" t="s">
        <v>1256</v>
      </c>
      <c r="W7" s="128" t="s">
        <v>812</v>
      </c>
    </row>
    <row r="8" spans="1:23" ht="44.25" customHeight="1">
      <c r="A8" s="128">
        <v>5</v>
      </c>
      <c r="B8" s="129" t="s">
        <v>56</v>
      </c>
      <c r="C8" s="139" t="s">
        <v>807</v>
      </c>
      <c r="D8" s="70" t="s">
        <v>1365</v>
      </c>
      <c r="E8" s="128" t="s">
        <v>1366</v>
      </c>
      <c r="F8" s="128">
        <v>2</v>
      </c>
      <c r="G8" s="128">
        <v>2</v>
      </c>
      <c r="H8" s="128" t="s">
        <v>942</v>
      </c>
      <c r="I8" s="130" t="s">
        <v>739</v>
      </c>
      <c r="J8" s="128"/>
      <c r="K8" s="130"/>
      <c r="L8" s="130"/>
      <c r="M8" s="134" t="s">
        <v>93</v>
      </c>
      <c r="N8" s="130" t="s">
        <v>93</v>
      </c>
      <c r="O8" s="130" t="s">
        <v>93</v>
      </c>
      <c r="P8" s="130" t="s">
        <v>93</v>
      </c>
      <c r="Q8" s="128" t="s">
        <v>93</v>
      </c>
      <c r="R8" s="128" t="s">
        <v>93</v>
      </c>
      <c r="S8" s="128" t="s">
        <v>93</v>
      </c>
      <c r="T8" s="128" t="s">
        <v>93</v>
      </c>
      <c r="U8" s="128" t="s">
        <v>93</v>
      </c>
      <c r="V8" s="128" t="s">
        <v>93</v>
      </c>
      <c r="W8" s="128" t="s">
        <v>812</v>
      </c>
    </row>
    <row r="9" spans="1:23" ht="44.25" customHeight="1">
      <c r="A9" s="128">
        <v>6</v>
      </c>
      <c r="B9" s="129" t="s">
        <v>56</v>
      </c>
      <c r="C9" s="130" t="s">
        <v>275</v>
      </c>
      <c r="D9" s="131" t="s">
        <v>1367</v>
      </c>
      <c r="E9" s="133" t="s">
        <v>1368</v>
      </c>
      <c r="F9" s="133">
        <v>2</v>
      </c>
      <c r="G9" s="133">
        <v>2</v>
      </c>
      <c r="H9" s="128" t="s">
        <v>275</v>
      </c>
      <c r="I9" s="130" t="s">
        <v>739</v>
      </c>
      <c r="J9" s="128" t="s">
        <v>1256</v>
      </c>
      <c r="K9" s="130" t="s">
        <v>743</v>
      </c>
      <c r="L9" s="130" t="s">
        <v>1256</v>
      </c>
      <c r="M9" s="70" t="s">
        <v>1369</v>
      </c>
      <c r="N9" s="135">
        <v>45555</v>
      </c>
      <c r="O9" s="135">
        <v>45558</v>
      </c>
      <c r="P9" s="130" t="s">
        <v>942</v>
      </c>
      <c r="Q9" s="128" t="s">
        <v>1256</v>
      </c>
      <c r="R9" s="128" t="s">
        <v>1323</v>
      </c>
      <c r="S9" s="135">
        <v>45558</v>
      </c>
      <c r="T9" s="128" t="s">
        <v>1256</v>
      </c>
      <c r="U9" s="128" t="s">
        <v>1370</v>
      </c>
      <c r="V9" s="128" t="s">
        <v>1256</v>
      </c>
      <c r="W9" s="128" t="s">
        <v>812</v>
      </c>
    </row>
    <row r="10" spans="1:23">
      <c r="A10" s="128">
        <v>7</v>
      </c>
      <c r="B10" s="129" t="s">
        <v>56</v>
      </c>
      <c r="C10" s="139" t="s">
        <v>807</v>
      </c>
      <c r="D10" s="70" t="s">
        <v>1371</v>
      </c>
      <c r="E10" s="128" t="s">
        <v>1372</v>
      </c>
      <c r="F10" s="128">
        <v>1</v>
      </c>
      <c r="G10" s="128">
        <v>1</v>
      </c>
      <c r="H10" s="128" t="s">
        <v>1323</v>
      </c>
      <c r="I10" s="130" t="s">
        <v>739</v>
      </c>
      <c r="J10" s="128" t="s">
        <v>1256</v>
      </c>
      <c r="K10" s="130" t="s">
        <v>93</v>
      </c>
      <c r="L10" s="130" t="s">
        <v>93</v>
      </c>
      <c r="M10" s="134" t="s">
        <v>93</v>
      </c>
      <c r="N10" s="130" t="s">
        <v>93</v>
      </c>
      <c r="O10" s="130" t="s">
        <v>93</v>
      </c>
      <c r="P10" s="130" t="s">
        <v>93</v>
      </c>
      <c r="Q10" s="128" t="s">
        <v>93</v>
      </c>
      <c r="R10" s="128" t="s">
        <v>93</v>
      </c>
      <c r="S10" s="128" t="s">
        <v>93</v>
      </c>
      <c r="T10" s="128" t="s">
        <v>93</v>
      </c>
      <c r="U10" s="128" t="s">
        <v>93</v>
      </c>
      <c r="V10" s="128" t="s">
        <v>93</v>
      </c>
      <c r="W10" s="128" t="s">
        <v>812</v>
      </c>
    </row>
  </sheetData>
  <hyperlinks>
    <hyperlink ref="M6" r:id="rId1" xr:uid="{4358320A-7D38-46D0-B06B-5DFAAFAA8EEB}"/>
    <hyperlink ref="M5" r:id="rId2" xr:uid="{FCA562DA-561D-4D07-878F-3C337C2D4729}"/>
    <hyperlink ref="M7" r:id="rId3" xr:uid="{03E7202D-EE75-47FF-9869-7AD6C5DE8F53}"/>
    <hyperlink ref="D8" r:id="rId4" display="https://greatergiving.atlassian.net/browse/GGO-14267" xr:uid="{95FA730C-B666-48C6-9EE8-2F4499FB78E4}"/>
    <hyperlink ref="M3" r:id="rId5" xr:uid="{F8BCE842-8247-47AC-B5C1-29E3F64A0D17}"/>
    <hyperlink ref="M9" r:id="rId6" xr:uid="{61F96E36-E839-4D30-81FF-BA0633D78D0A}"/>
    <hyperlink ref="D10" r:id="rId7" display="https://greatergiving.atlassian.net/browse/PAPI-750" xr:uid="{90BA00D5-5FDD-4E12-A199-31617FD066A6}"/>
  </hyperlinks>
  <pageMargins left="0" right="0" top="0" bottom="0" header="0" footer="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31E7C-5614-436E-9926-2DCA1837BF50}">
  <sheetPr>
    <outlinePr summaryBelow="0" summaryRight="0"/>
  </sheetPr>
  <dimension ref="A1:K3"/>
  <sheetViews>
    <sheetView topLeftCell="B1" workbookViewId="0">
      <selection activeCell="B2" sqref="B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 min="11" max="11" width="14.140625"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2"/>
      <c r="C2" s="69"/>
      <c r="D2" s="11"/>
      <c r="E2" s="12"/>
      <c r="F2" s="76"/>
      <c r="G2" s="12"/>
      <c r="H2" s="12"/>
      <c r="I2" s="12"/>
      <c r="J2" s="12"/>
      <c r="K2" s="138"/>
    </row>
    <row r="3" spans="1:11" ht="26.25" customHeight="1">
      <c r="A3" s="4"/>
      <c r="B3" s="478"/>
      <c r="C3" s="479"/>
      <c r="D3" s="479"/>
      <c r="E3" s="480"/>
      <c r="F3" s="29"/>
      <c r="G3" s="12"/>
      <c r="H3" s="12"/>
      <c r="I3" s="12"/>
      <c r="J3" s="12"/>
      <c r="K3" s="12"/>
    </row>
  </sheetData>
  <mergeCells count="1">
    <mergeCell ref="B3:E3"/>
  </mergeCells>
  <dataValidations count="4">
    <dataValidation type="list" allowBlank="1" showErrorMessage="1" sqref="H2:H5" xr:uid="{95A02152-A7FC-491C-B6FC-23BCC291B45D}">
      <formula1>"Internal,External"</formula1>
    </dataValidation>
    <dataValidation type="list" allowBlank="1" showErrorMessage="1" sqref="E2:E5" xr:uid="{2F63CB1E-D36D-4EEE-B64D-7023BEA067A8}">
      <formula1>"Bounceback,Defect,None"</formula1>
    </dataValidation>
    <dataValidation type="list" allowBlank="1" showErrorMessage="1" sqref="I2:I5" xr:uid="{C1F1CBF5-5189-427E-A962-0C7024D86091}">
      <formula1>"Open,Inprogress,Closed"</formula1>
    </dataValidation>
    <dataValidation type="list" allowBlank="1" showErrorMessage="1" sqref="G2:G5" xr:uid="{BC740893-51AA-4121-AAF1-088C73FF100A}">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BAB438D-8552-4124-8D4B-04C6416B9A6B}">
          <x14:formula1>
            <xm:f>Details!$A$2:$A$10</xm:f>
          </x14:formula1>
          <xm:sqref>J2:J5</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A5D04-E04E-45B5-B9EC-9F2E4FFACEB9}">
  <sheetPr>
    <outlinePr summaryBelow="0" summaryRight="0"/>
  </sheetPr>
  <dimension ref="A2:W9"/>
  <sheetViews>
    <sheetView showGridLines="0" workbookViewId="0">
      <pane xSplit="5" ySplit="2" topLeftCell="L3" activePane="bottomRight" state="frozen"/>
      <selection pane="bottomRight" activeCell="M5" sqref="M5"/>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1" style="43"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3" ht="23.25">
      <c r="A2" s="126" t="s">
        <v>234</v>
      </c>
      <c r="B2" s="126" t="s">
        <v>235</v>
      </c>
      <c r="C2" s="126" t="s">
        <v>236</v>
      </c>
      <c r="D2" s="127" t="s">
        <v>515</v>
      </c>
      <c r="E2" s="126" t="s">
        <v>238</v>
      </c>
      <c r="F2" s="126" t="s">
        <v>1115</v>
      </c>
      <c r="G2" s="126" t="s">
        <v>1116</v>
      </c>
      <c r="H2" s="126" t="s">
        <v>245</v>
      </c>
      <c r="I2" s="126" t="s">
        <v>246</v>
      </c>
      <c r="J2" s="126" t="s">
        <v>247</v>
      </c>
      <c r="K2" s="126" t="s">
        <v>248</v>
      </c>
      <c r="L2" s="126" t="s">
        <v>249</v>
      </c>
      <c r="M2" s="126" t="s">
        <v>250</v>
      </c>
      <c r="N2" s="126" t="s">
        <v>251</v>
      </c>
      <c r="O2" s="126" t="s">
        <v>252</v>
      </c>
      <c r="P2" s="126" t="s">
        <v>253</v>
      </c>
      <c r="Q2" s="126" t="s">
        <v>254</v>
      </c>
      <c r="R2" s="126" t="s">
        <v>255</v>
      </c>
      <c r="S2" s="126" t="s">
        <v>256</v>
      </c>
      <c r="T2" s="126" t="s">
        <v>254</v>
      </c>
      <c r="U2" s="126" t="s">
        <v>465</v>
      </c>
      <c r="V2" s="126" t="s">
        <v>466</v>
      </c>
      <c r="W2" s="126" t="s">
        <v>239</v>
      </c>
    </row>
    <row r="3" spans="1:23" ht="53.25" customHeight="1">
      <c r="A3" s="128">
        <v>1</v>
      </c>
      <c r="B3" s="129" t="s">
        <v>54</v>
      </c>
      <c r="C3" s="130" t="s">
        <v>1008</v>
      </c>
      <c r="D3" s="131" t="s">
        <v>1373</v>
      </c>
      <c r="E3" s="132" t="s">
        <v>1374</v>
      </c>
      <c r="F3" s="133">
        <v>1</v>
      </c>
      <c r="G3" s="133">
        <v>1</v>
      </c>
      <c r="H3" s="128" t="s">
        <v>275</v>
      </c>
      <c r="I3" s="130" t="s">
        <v>275</v>
      </c>
      <c r="J3" s="128" t="s">
        <v>1256</v>
      </c>
      <c r="K3" s="130" t="s">
        <v>275</v>
      </c>
      <c r="L3" s="130"/>
      <c r="M3" s="70" t="s">
        <v>1375</v>
      </c>
      <c r="N3" s="135">
        <v>45544</v>
      </c>
      <c r="O3" s="135">
        <v>45544</v>
      </c>
      <c r="P3" s="130" t="s">
        <v>275</v>
      </c>
      <c r="Q3" s="128"/>
      <c r="R3" s="128" t="s">
        <v>1376</v>
      </c>
      <c r="S3" s="135">
        <v>45544</v>
      </c>
      <c r="T3" s="128" t="s">
        <v>1256</v>
      </c>
      <c r="U3" s="128" t="s">
        <v>1256</v>
      </c>
      <c r="V3" s="128" t="s">
        <v>1256</v>
      </c>
      <c r="W3" s="128" t="s">
        <v>812</v>
      </c>
    </row>
    <row r="4" spans="1:23" ht="36" customHeight="1">
      <c r="A4" s="128">
        <v>2</v>
      </c>
      <c r="B4" s="129" t="s">
        <v>54</v>
      </c>
      <c r="C4" s="130" t="s">
        <v>275</v>
      </c>
      <c r="D4" s="131" t="s">
        <v>1377</v>
      </c>
      <c r="E4" s="133" t="s">
        <v>1378</v>
      </c>
      <c r="F4" s="133">
        <v>1</v>
      </c>
      <c r="G4" s="133">
        <v>1</v>
      </c>
      <c r="H4" s="128" t="s">
        <v>275</v>
      </c>
      <c r="I4" s="130" t="s">
        <v>275</v>
      </c>
      <c r="J4" s="128" t="s">
        <v>1256</v>
      </c>
      <c r="K4" s="130" t="s">
        <v>275</v>
      </c>
      <c r="L4" s="130"/>
      <c r="M4" s="134" t="s">
        <v>93</v>
      </c>
      <c r="N4" s="130" t="s">
        <v>93</v>
      </c>
      <c r="O4" s="130" t="s">
        <v>93</v>
      </c>
      <c r="P4" s="130" t="s">
        <v>93</v>
      </c>
      <c r="Q4" s="128" t="s">
        <v>93</v>
      </c>
      <c r="R4" s="128" t="s">
        <v>93</v>
      </c>
      <c r="S4" s="128" t="s">
        <v>93</v>
      </c>
      <c r="T4" s="128" t="s">
        <v>93</v>
      </c>
      <c r="U4" s="128" t="s">
        <v>93</v>
      </c>
      <c r="V4" s="128" t="s">
        <v>93</v>
      </c>
      <c r="W4" s="128" t="s">
        <v>812</v>
      </c>
    </row>
    <row r="5" spans="1:23" ht="41.25" customHeight="1">
      <c r="A5" s="128">
        <v>3</v>
      </c>
      <c r="B5" s="129" t="s">
        <v>54</v>
      </c>
      <c r="C5" s="130" t="s">
        <v>743</v>
      </c>
      <c r="D5" s="131" t="s">
        <v>1379</v>
      </c>
      <c r="E5" s="133" t="s">
        <v>1380</v>
      </c>
      <c r="F5" s="133">
        <v>2</v>
      </c>
      <c r="G5" s="133">
        <v>2</v>
      </c>
      <c r="H5" s="128" t="s">
        <v>739</v>
      </c>
      <c r="I5" s="130" t="s">
        <v>739</v>
      </c>
      <c r="J5" s="128" t="s">
        <v>1256</v>
      </c>
      <c r="K5" s="130" t="s">
        <v>275</v>
      </c>
      <c r="L5" s="130"/>
      <c r="M5" s="70" t="s">
        <v>1381</v>
      </c>
      <c r="N5" s="135">
        <v>45546</v>
      </c>
      <c r="O5" s="135">
        <v>45546</v>
      </c>
      <c r="P5" s="130" t="s">
        <v>275</v>
      </c>
      <c r="Q5" s="128" t="s">
        <v>1256</v>
      </c>
      <c r="R5" s="128" t="s">
        <v>741</v>
      </c>
      <c r="S5" s="135">
        <v>45546</v>
      </c>
      <c r="T5" s="128" t="s">
        <v>1256</v>
      </c>
      <c r="U5" s="128" t="s">
        <v>1382</v>
      </c>
      <c r="V5" s="128" t="s">
        <v>1256</v>
      </c>
      <c r="W5" s="128" t="s">
        <v>812</v>
      </c>
    </row>
    <row r="6" spans="1:23" ht="49.5" customHeight="1">
      <c r="A6" s="128">
        <v>4</v>
      </c>
      <c r="B6" s="129" t="s">
        <v>54</v>
      </c>
      <c r="C6" s="130" t="s">
        <v>1008</v>
      </c>
      <c r="D6" s="131" t="s">
        <v>1383</v>
      </c>
      <c r="E6" s="136" t="s">
        <v>1384</v>
      </c>
      <c r="F6" s="133">
        <v>2</v>
      </c>
      <c r="G6" s="133">
        <v>2</v>
      </c>
      <c r="H6" s="128" t="s">
        <v>739</v>
      </c>
      <c r="I6" s="130" t="s">
        <v>739</v>
      </c>
      <c r="J6" s="128" t="s">
        <v>1256</v>
      </c>
      <c r="K6" s="130" t="s">
        <v>275</v>
      </c>
      <c r="L6" s="130"/>
      <c r="M6" s="70" t="s">
        <v>1385</v>
      </c>
      <c r="N6" s="135">
        <v>45547</v>
      </c>
      <c r="O6" s="135">
        <v>45547</v>
      </c>
      <c r="P6" s="130" t="s">
        <v>275</v>
      </c>
      <c r="Q6" s="128" t="s">
        <v>1256</v>
      </c>
      <c r="R6" s="128" t="s">
        <v>825</v>
      </c>
      <c r="S6" s="135">
        <v>45547</v>
      </c>
      <c r="T6" s="128" t="s">
        <v>1256</v>
      </c>
      <c r="U6" s="128" t="s">
        <v>1386</v>
      </c>
      <c r="V6" s="128" t="s">
        <v>1256</v>
      </c>
      <c r="W6" s="128" t="s">
        <v>812</v>
      </c>
    </row>
    <row r="7" spans="1:23" ht="36" customHeight="1">
      <c r="A7" s="128">
        <v>5</v>
      </c>
      <c r="B7" s="129" t="s">
        <v>54</v>
      </c>
      <c r="C7" s="130" t="s">
        <v>1387</v>
      </c>
      <c r="D7" s="131" t="s">
        <v>1362</v>
      </c>
      <c r="E7" s="133" t="s">
        <v>1363</v>
      </c>
      <c r="F7" s="133">
        <v>2</v>
      </c>
      <c r="G7" s="133">
        <v>2</v>
      </c>
      <c r="H7" s="128" t="s">
        <v>739</v>
      </c>
      <c r="I7" s="130" t="s">
        <v>739</v>
      </c>
      <c r="J7" s="128" t="s">
        <v>1256</v>
      </c>
      <c r="K7" s="130" t="s">
        <v>275</v>
      </c>
      <c r="L7" s="130"/>
      <c r="M7" s="70" t="s">
        <v>1364</v>
      </c>
      <c r="N7" s="135">
        <v>45548</v>
      </c>
      <c r="O7" s="135">
        <v>45554</v>
      </c>
      <c r="P7" s="130" t="s">
        <v>275</v>
      </c>
      <c r="Q7" s="128" t="s">
        <v>1256</v>
      </c>
      <c r="R7" s="128" t="s">
        <v>825</v>
      </c>
      <c r="S7" s="137">
        <v>45554</v>
      </c>
      <c r="T7" s="128" t="s">
        <v>1256</v>
      </c>
      <c r="U7" s="128" t="s">
        <v>1256</v>
      </c>
      <c r="V7" s="128" t="s">
        <v>1256</v>
      </c>
      <c r="W7" s="128" t="s">
        <v>628</v>
      </c>
    </row>
    <row r="8" spans="1:23" ht="122.25" customHeight="1">
      <c r="A8" s="128">
        <v>6</v>
      </c>
      <c r="B8" s="129" t="s">
        <v>54</v>
      </c>
      <c r="C8" s="130" t="s">
        <v>807</v>
      </c>
      <c r="D8" s="131" t="s">
        <v>1388</v>
      </c>
      <c r="E8" s="133" t="s">
        <v>1389</v>
      </c>
      <c r="F8" s="133">
        <v>2</v>
      </c>
      <c r="G8" s="133">
        <v>2</v>
      </c>
      <c r="H8" s="128" t="s">
        <v>739</v>
      </c>
      <c r="I8" s="130" t="s">
        <v>739</v>
      </c>
      <c r="J8" s="128" t="s">
        <v>1256</v>
      </c>
      <c r="K8" s="130" t="s">
        <v>275</v>
      </c>
      <c r="L8" s="130"/>
      <c r="M8" s="70" t="s">
        <v>1390</v>
      </c>
      <c r="N8" s="135">
        <v>45553</v>
      </c>
      <c r="O8" s="137">
        <v>45554</v>
      </c>
      <c r="P8" s="130" t="s">
        <v>1391</v>
      </c>
      <c r="Q8" s="128" t="s">
        <v>1392</v>
      </c>
      <c r="R8" s="128" t="s">
        <v>1391</v>
      </c>
      <c r="S8" s="137">
        <v>45554</v>
      </c>
      <c r="T8" s="128" t="s">
        <v>1256</v>
      </c>
      <c r="U8" s="128" t="s">
        <v>1256</v>
      </c>
      <c r="V8" s="128" t="s">
        <v>1256</v>
      </c>
      <c r="W8" s="128" t="s">
        <v>812</v>
      </c>
    </row>
    <row r="9" spans="1:23" ht="44.25" customHeight="1">
      <c r="A9" s="128">
        <v>7</v>
      </c>
      <c r="B9" s="129" t="s">
        <v>54</v>
      </c>
      <c r="C9" s="130" t="s">
        <v>743</v>
      </c>
      <c r="D9" s="131" t="s">
        <v>1393</v>
      </c>
      <c r="E9" s="133" t="s">
        <v>1394</v>
      </c>
      <c r="F9" s="133">
        <v>5</v>
      </c>
      <c r="G9" s="133">
        <v>5</v>
      </c>
      <c r="H9" s="128" t="s">
        <v>739</v>
      </c>
      <c r="I9" s="130" t="s">
        <v>738</v>
      </c>
      <c r="J9" s="128" t="s">
        <v>1256</v>
      </c>
      <c r="K9" s="130" t="s">
        <v>275</v>
      </c>
      <c r="L9" s="130"/>
      <c r="M9" s="70" t="s">
        <v>1395</v>
      </c>
      <c r="N9" s="135">
        <v>45551</v>
      </c>
      <c r="O9" s="135">
        <v>45551</v>
      </c>
      <c r="P9" s="130" t="s">
        <v>275</v>
      </c>
      <c r="Q9" s="128" t="s">
        <v>1256</v>
      </c>
      <c r="R9" s="128" t="s">
        <v>1396</v>
      </c>
      <c r="S9" s="135">
        <v>45551</v>
      </c>
      <c r="T9" s="128" t="s">
        <v>1256</v>
      </c>
      <c r="U9" s="128" t="s">
        <v>1256</v>
      </c>
      <c r="V9" s="128" t="s">
        <v>1256</v>
      </c>
      <c r="W9" s="128" t="s">
        <v>812</v>
      </c>
    </row>
  </sheetData>
  <hyperlinks>
    <hyperlink ref="D8" r:id="rId1" display="https://greatergiving.atlassian.net/browse/GGO-14275" xr:uid="{A2EF3A40-C7E5-4F9E-8463-B634915FB0DE}"/>
    <hyperlink ref="M3" r:id="rId2" xr:uid="{755D8E4E-C15B-437B-85B2-C099CA260F78}"/>
    <hyperlink ref="M5" r:id="rId3" xr:uid="{9FC4D378-6332-4668-A848-FB3E312CEFE1}"/>
    <hyperlink ref="M6" r:id="rId4" xr:uid="{3E2E0DAF-90C6-48FB-9C94-0BC098BAD270}"/>
    <hyperlink ref="M7" r:id="rId5" xr:uid="{6896208D-EF96-44DB-9CA7-F4D9644C336B}"/>
    <hyperlink ref="M8" r:id="rId6" xr:uid="{52B847C7-68F3-494A-A0F5-D3B820960FAF}"/>
    <hyperlink ref="M9" r:id="rId7" xr:uid="{C63B549B-8156-4B06-9AB2-72D73179ED2A}"/>
  </hyperlinks>
  <pageMargins left="0" right="0" top="0" bottom="0" header="0" footer="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71E4B-D121-4937-96E5-E3E5966D814D}">
  <sheetPr>
    <outlinePr summaryBelow="0" summaryRight="0"/>
  </sheetPr>
  <dimension ref="A1:K3"/>
  <sheetViews>
    <sheetView topLeftCell="B1" workbookViewId="0">
      <selection activeCell="B2" sqref="B2:E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 min="11" max="11" width="14.140625"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76"/>
      <c r="G2" s="12"/>
      <c r="H2" s="12"/>
      <c r="I2" s="12"/>
      <c r="J2" s="12"/>
      <c r="K2" s="138"/>
    </row>
    <row r="3" spans="1:11" ht="26.25" customHeight="1">
      <c r="A3" s="4"/>
      <c r="B3" s="478"/>
      <c r="C3" s="479"/>
      <c r="D3" s="479"/>
      <c r="E3" s="480"/>
      <c r="F3" s="29"/>
      <c r="G3" s="12"/>
      <c r="H3" s="12"/>
      <c r="I3" s="12"/>
      <c r="J3" s="12"/>
      <c r="K3" s="12"/>
    </row>
  </sheetData>
  <mergeCells count="2">
    <mergeCell ref="B3:E3"/>
    <mergeCell ref="B2:E2"/>
  </mergeCells>
  <dataValidations count="4">
    <dataValidation type="list" allowBlank="1" showErrorMessage="1" sqref="G2:G5" xr:uid="{9953F54F-B372-4B54-A63D-3FF040341A46}">
      <formula1>"Minor,Significant,Major"</formula1>
    </dataValidation>
    <dataValidation type="list" allowBlank="1" showErrorMessage="1" sqref="I2:I5" xr:uid="{DFCE35B8-1298-4DA3-813E-65309C734923}">
      <formula1>"Open,Inprogress,Closed"</formula1>
    </dataValidation>
    <dataValidation type="list" allowBlank="1" showErrorMessage="1" sqref="E3:E5" xr:uid="{C448A0A2-88BE-4879-AA4C-2B9530CCE969}">
      <formula1>"Bounceback,Defect,None"</formula1>
    </dataValidation>
    <dataValidation type="list" allowBlank="1" showErrorMessage="1" sqref="H2:H5" xr:uid="{846673C1-54EE-4001-B6FD-773B024D5C3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5D1D9A0-392C-475A-95F7-7BB84C01B707}">
          <x14:formula1>
            <xm:f>Details!$A$2:$A$10</xm:f>
          </x14:formula1>
          <xm:sqref>J2:J5</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AB732-B991-4603-9759-6076B706F9D5}">
  <sheetPr>
    <outlinePr summaryBelow="0" summaryRight="0"/>
  </sheetPr>
  <dimension ref="A2:W10"/>
  <sheetViews>
    <sheetView showGridLines="0" workbookViewId="0">
      <pane xSplit="5" ySplit="2" topLeftCell="H5" activePane="bottomRight" state="frozen"/>
      <selection pane="bottomRight" activeCell="H5" sqref="H5"/>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1" style="43"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3" ht="23.25">
      <c r="A2" s="126" t="s">
        <v>234</v>
      </c>
      <c r="B2" s="126" t="s">
        <v>235</v>
      </c>
      <c r="C2" s="126" t="s">
        <v>236</v>
      </c>
      <c r="D2" s="127" t="s">
        <v>515</v>
      </c>
      <c r="E2" s="126" t="s">
        <v>238</v>
      </c>
      <c r="F2" s="126" t="s">
        <v>1115</v>
      </c>
      <c r="G2" s="126" t="s">
        <v>1116</v>
      </c>
      <c r="H2" s="126" t="s">
        <v>245</v>
      </c>
      <c r="I2" s="126" t="s">
        <v>246</v>
      </c>
      <c r="J2" s="126" t="s">
        <v>247</v>
      </c>
      <c r="K2" s="126" t="s">
        <v>248</v>
      </c>
      <c r="L2" s="126" t="s">
        <v>249</v>
      </c>
      <c r="M2" s="126" t="s">
        <v>250</v>
      </c>
      <c r="N2" s="126" t="s">
        <v>251</v>
      </c>
      <c r="O2" s="126" t="s">
        <v>252</v>
      </c>
      <c r="P2" s="126" t="s">
        <v>253</v>
      </c>
      <c r="Q2" s="126" t="s">
        <v>254</v>
      </c>
      <c r="R2" s="126" t="s">
        <v>255</v>
      </c>
      <c r="S2" s="126" t="s">
        <v>256</v>
      </c>
      <c r="T2" s="126" t="s">
        <v>254</v>
      </c>
      <c r="U2" s="126" t="s">
        <v>465</v>
      </c>
      <c r="V2" s="126" t="s">
        <v>466</v>
      </c>
      <c r="W2" s="126" t="s">
        <v>239</v>
      </c>
    </row>
    <row r="3" spans="1:23" ht="53.25" customHeight="1">
      <c r="A3" s="128">
        <v>1</v>
      </c>
      <c r="B3" s="129" t="s">
        <v>52</v>
      </c>
      <c r="C3" s="130" t="s">
        <v>1387</v>
      </c>
      <c r="D3" s="131" t="s">
        <v>1398</v>
      </c>
      <c r="E3" s="132" t="s">
        <v>1399</v>
      </c>
      <c r="F3" s="133">
        <v>2</v>
      </c>
      <c r="G3" s="133">
        <v>2</v>
      </c>
      <c r="H3" s="128"/>
      <c r="I3" s="130" t="s">
        <v>1387</v>
      </c>
      <c r="J3" s="128" t="s">
        <v>1256</v>
      </c>
      <c r="K3" s="130" t="s">
        <v>743</v>
      </c>
      <c r="L3" s="130"/>
      <c r="M3" s="134" t="s">
        <v>1400</v>
      </c>
      <c r="N3" s="135">
        <v>45527</v>
      </c>
      <c r="O3" s="135">
        <v>45538</v>
      </c>
      <c r="P3" s="130" t="s">
        <v>275</v>
      </c>
      <c r="Q3" s="128"/>
      <c r="R3" s="128" t="s">
        <v>741</v>
      </c>
      <c r="S3" s="135">
        <v>45538</v>
      </c>
      <c r="T3" s="128" t="s">
        <v>1256</v>
      </c>
      <c r="U3" s="128" t="s">
        <v>1256</v>
      </c>
      <c r="V3" s="128" t="s">
        <v>1256</v>
      </c>
      <c r="W3" s="128" t="s">
        <v>812</v>
      </c>
    </row>
    <row r="4" spans="1:23" ht="36" customHeight="1">
      <c r="A4" s="128">
        <v>2</v>
      </c>
      <c r="B4" s="129" t="s">
        <v>52</v>
      </c>
      <c r="C4" s="130" t="s">
        <v>807</v>
      </c>
      <c r="D4" s="131" t="s">
        <v>1401</v>
      </c>
      <c r="E4" s="133" t="s">
        <v>1402</v>
      </c>
      <c r="F4" s="133">
        <v>3</v>
      </c>
      <c r="G4" s="133"/>
      <c r="H4" s="128" t="s">
        <v>739</v>
      </c>
      <c r="I4" s="130" t="s">
        <v>739</v>
      </c>
      <c r="J4" s="128"/>
      <c r="K4" s="130"/>
      <c r="L4" s="130"/>
      <c r="M4" s="134" t="s">
        <v>93</v>
      </c>
      <c r="N4" s="130" t="s">
        <v>93</v>
      </c>
      <c r="O4" s="130" t="s">
        <v>93</v>
      </c>
      <c r="P4" s="130" t="s">
        <v>93</v>
      </c>
      <c r="Q4" s="128" t="s">
        <v>93</v>
      </c>
      <c r="R4" s="128" t="s">
        <v>93</v>
      </c>
      <c r="S4" s="128" t="s">
        <v>93</v>
      </c>
      <c r="T4" s="128" t="s">
        <v>93</v>
      </c>
      <c r="U4" s="128" t="s">
        <v>93</v>
      </c>
      <c r="V4" s="128" t="s">
        <v>93</v>
      </c>
      <c r="W4" s="128" t="s">
        <v>812</v>
      </c>
    </row>
    <row r="5" spans="1:23" ht="41.25" customHeight="1">
      <c r="A5" s="128">
        <v>3</v>
      </c>
      <c r="B5" s="129" t="s">
        <v>52</v>
      </c>
      <c r="C5" s="130" t="s">
        <v>807</v>
      </c>
      <c r="D5" s="131" t="s">
        <v>1403</v>
      </c>
      <c r="E5" s="133" t="s">
        <v>1404</v>
      </c>
      <c r="F5" s="133">
        <v>1</v>
      </c>
      <c r="G5" s="133">
        <v>1</v>
      </c>
      <c r="H5" s="128" t="s">
        <v>739</v>
      </c>
      <c r="I5" s="130" t="s">
        <v>739</v>
      </c>
      <c r="J5" s="128"/>
      <c r="K5" s="130"/>
      <c r="L5" s="130"/>
      <c r="M5" s="134" t="s">
        <v>93</v>
      </c>
      <c r="N5" s="130" t="s">
        <v>93</v>
      </c>
      <c r="O5" s="130" t="s">
        <v>93</v>
      </c>
      <c r="P5" s="130" t="s">
        <v>93</v>
      </c>
      <c r="Q5" s="128" t="s">
        <v>93</v>
      </c>
      <c r="R5" s="128" t="s">
        <v>93</v>
      </c>
      <c r="S5" s="128" t="s">
        <v>93</v>
      </c>
      <c r="T5" s="128" t="s">
        <v>93</v>
      </c>
      <c r="U5" s="128" t="s">
        <v>93</v>
      </c>
      <c r="V5" s="128" t="s">
        <v>93</v>
      </c>
      <c r="W5" s="128" t="s">
        <v>812</v>
      </c>
    </row>
    <row r="6" spans="1:23" ht="49.5" customHeight="1">
      <c r="A6" s="128">
        <v>4</v>
      </c>
      <c r="B6" s="129" t="s">
        <v>52</v>
      </c>
      <c r="C6" s="130" t="s">
        <v>743</v>
      </c>
      <c r="D6" s="131" t="s">
        <v>1405</v>
      </c>
      <c r="E6" s="136" t="s">
        <v>1406</v>
      </c>
      <c r="F6" s="133">
        <v>1</v>
      </c>
      <c r="G6" s="133">
        <v>1</v>
      </c>
      <c r="H6" s="128" t="s">
        <v>739</v>
      </c>
      <c r="I6" s="130"/>
      <c r="J6" s="128"/>
      <c r="K6" s="130"/>
      <c r="L6" s="130"/>
      <c r="M6" s="70" t="s">
        <v>1407</v>
      </c>
      <c r="N6" s="135">
        <v>45527</v>
      </c>
      <c r="O6" s="135">
        <v>45527</v>
      </c>
      <c r="P6" s="130" t="s">
        <v>275</v>
      </c>
      <c r="Q6" s="128" t="s">
        <v>1256</v>
      </c>
      <c r="R6" s="128" t="s">
        <v>825</v>
      </c>
      <c r="S6" s="137">
        <v>45527</v>
      </c>
      <c r="T6" s="128" t="s">
        <v>1256</v>
      </c>
      <c r="U6" s="128"/>
      <c r="V6" s="128"/>
      <c r="W6" s="128" t="s">
        <v>812</v>
      </c>
    </row>
    <row r="7" spans="1:23" ht="46.5" customHeight="1">
      <c r="A7" s="128">
        <v>5</v>
      </c>
      <c r="B7" s="129" t="s">
        <v>52</v>
      </c>
      <c r="C7" s="130" t="s">
        <v>963</v>
      </c>
      <c r="D7" s="131" t="s">
        <v>1408</v>
      </c>
      <c r="E7" s="133" t="s">
        <v>1409</v>
      </c>
      <c r="F7" s="133">
        <v>3</v>
      </c>
      <c r="G7" s="133">
        <v>3</v>
      </c>
      <c r="H7" s="128" t="s">
        <v>739</v>
      </c>
      <c r="I7" s="130" t="s">
        <v>739</v>
      </c>
      <c r="J7" s="128"/>
      <c r="K7" s="130" t="s">
        <v>743</v>
      </c>
      <c r="L7" s="130"/>
      <c r="M7" s="70" t="s">
        <v>1410</v>
      </c>
      <c r="N7" s="135">
        <v>45533</v>
      </c>
      <c r="O7" s="135">
        <v>45534</v>
      </c>
      <c r="P7" s="130" t="s">
        <v>275</v>
      </c>
      <c r="Q7" s="128" t="s">
        <v>1256</v>
      </c>
      <c r="R7" s="128" t="s">
        <v>741</v>
      </c>
      <c r="S7" s="137">
        <v>45534</v>
      </c>
      <c r="T7" s="128" t="s">
        <v>1256</v>
      </c>
      <c r="U7" s="128"/>
      <c r="V7" s="128"/>
      <c r="W7" s="128" t="s">
        <v>812</v>
      </c>
    </row>
    <row r="8" spans="1:23" ht="36" customHeight="1">
      <c r="A8" s="128">
        <v>6</v>
      </c>
      <c r="B8" s="129" t="s">
        <v>52</v>
      </c>
      <c r="C8" s="130" t="s">
        <v>1387</v>
      </c>
      <c r="D8" s="131" t="s">
        <v>1362</v>
      </c>
      <c r="E8" s="133" t="s">
        <v>1363</v>
      </c>
      <c r="F8" s="133">
        <v>2</v>
      </c>
      <c r="G8" s="133">
        <v>1</v>
      </c>
      <c r="H8" s="128" t="s">
        <v>739</v>
      </c>
      <c r="I8" s="130" t="s">
        <v>739</v>
      </c>
      <c r="J8" s="128"/>
      <c r="K8" s="130"/>
      <c r="L8" s="130"/>
      <c r="M8" s="70" t="s">
        <v>1364</v>
      </c>
      <c r="N8" s="130"/>
      <c r="O8" s="130"/>
      <c r="P8" s="130"/>
      <c r="Q8" s="128"/>
      <c r="R8" s="128"/>
      <c r="S8" s="128"/>
      <c r="T8" s="128"/>
      <c r="U8" s="128"/>
      <c r="V8" s="128"/>
      <c r="W8" s="128" t="s">
        <v>628</v>
      </c>
    </row>
    <row r="9" spans="1:23" ht="40.5" customHeight="1">
      <c r="A9" s="128">
        <v>7</v>
      </c>
      <c r="B9" s="129" t="s">
        <v>52</v>
      </c>
      <c r="C9" s="130" t="s">
        <v>743</v>
      </c>
      <c r="D9" s="131" t="s">
        <v>1411</v>
      </c>
      <c r="E9" s="133" t="s">
        <v>1412</v>
      </c>
      <c r="F9" s="133">
        <v>2</v>
      </c>
      <c r="G9" s="133">
        <v>2</v>
      </c>
      <c r="H9" s="128" t="s">
        <v>743</v>
      </c>
      <c r="I9" s="130" t="s">
        <v>739</v>
      </c>
      <c r="J9" s="128"/>
      <c r="K9" s="130" t="s">
        <v>961</v>
      </c>
      <c r="L9" s="130"/>
      <c r="M9" s="134" t="s">
        <v>1413</v>
      </c>
      <c r="N9" s="135">
        <v>45527</v>
      </c>
      <c r="O9" s="135">
        <v>45527</v>
      </c>
      <c r="P9" s="130" t="s">
        <v>275</v>
      </c>
      <c r="Q9" s="128" t="s">
        <v>1256</v>
      </c>
      <c r="R9" s="128" t="s">
        <v>825</v>
      </c>
      <c r="S9" s="137">
        <v>45527</v>
      </c>
      <c r="T9" s="128" t="s">
        <v>1256</v>
      </c>
      <c r="U9" s="128" t="s">
        <v>1256</v>
      </c>
      <c r="V9" s="128" t="s">
        <v>1256</v>
      </c>
      <c r="W9" s="128" t="s">
        <v>812</v>
      </c>
    </row>
    <row r="10" spans="1:23" ht="44.25" customHeight="1">
      <c r="A10" s="128">
        <v>8</v>
      </c>
      <c r="B10" s="129" t="s">
        <v>52</v>
      </c>
      <c r="C10" s="130" t="s">
        <v>807</v>
      </c>
      <c r="D10" s="131" t="s">
        <v>1388</v>
      </c>
      <c r="E10" s="133" t="s">
        <v>1389</v>
      </c>
      <c r="F10" s="133">
        <v>3</v>
      </c>
      <c r="G10" s="133"/>
      <c r="H10" s="128" t="s">
        <v>739</v>
      </c>
      <c r="I10" s="130" t="s">
        <v>739</v>
      </c>
      <c r="J10" s="103"/>
      <c r="K10" s="89"/>
      <c r="L10" s="110"/>
      <c r="M10" s="105" t="s">
        <v>93</v>
      </c>
      <c r="N10" s="89" t="s">
        <v>93</v>
      </c>
      <c r="O10" s="89" t="s">
        <v>93</v>
      </c>
      <c r="P10" s="89" t="s">
        <v>93</v>
      </c>
      <c r="Q10" s="103" t="s">
        <v>93</v>
      </c>
      <c r="R10" s="103" t="s">
        <v>93</v>
      </c>
      <c r="S10" s="103" t="s">
        <v>93</v>
      </c>
      <c r="T10" s="103" t="s">
        <v>93</v>
      </c>
      <c r="U10" s="103" t="s">
        <v>93</v>
      </c>
      <c r="V10" s="103" t="s">
        <v>93</v>
      </c>
      <c r="W10" s="103" t="s">
        <v>628</v>
      </c>
    </row>
  </sheetData>
  <hyperlinks>
    <hyperlink ref="D4" r:id="rId1" xr:uid="{E4113BD7-607C-4777-974E-3D694B9EFDC7}"/>
    <hyperlink ref="D5" r:id="rId2" display="https://greatergiving.atlassian.net/browse/PAPI-734" xr:uid="{CE44B579-FBE3-49B8-BB03-230A05BB06C4}"/>
    <hyperlink ref="D6" r:id="rId3" display="https://greatergiving.atlassian.net/browse/GGO-14216" xr:uid="{F964EA7D-D66F-4A40-A364-45D0915B808F}"/>
    <hyperlink ref="D7" r:id="rId4" display="https://greatergiving.atlassian.net/browse/GGO-14264" xr:uid="{CCC9DF93-DF99-490D-BA00-8E65803CA276}"/>
    <hyperlink ref="D10" r:id="rId5" display="https://greatergiving.atlassian.net/browse/GGO-14275" xr:uid="{5D12B66C-BA9D-4B17-810B-6A02333E0559}"/>
    <hyperlink ref="M9" r:id="rId6" xr:uid="{1FDA4E90-723D-47BE-B617-67742BC2E112}"/>
    <hyperlink ref="M3" r:id="rId7" xr:uid="{E43BB9AB-0551-47CF-B722-9616A05C750E}"/>
    <hyperlink ref="M6" r:id="rId8" xr:uid="{9CC38F08-399E-4B9D-9AC6-BA7526284CCD}"/>
    <hyperlink ref="M8" r:id="rId9" xr:uid="{CA6C0994-C25D-4D15-B966-EA3D31589674}"/>
    <hyperlink ref="M7" r:id="rId10" xr:uid="{F0125090-084D-4B3D-8F36-3E7130225888}"/>
  </hyperlinks>
  <pageMargins left="0" right="0" top="0" bottom="0" header="0" footer="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D3345-DA08-4DAA-A908-F2D8DE523EEE}">
  <sheetPr>
    <outlinePr summaryBelow="0" summaryRight="0"/>
  </sheetPr>
  <dimension ref="A1:K2"/>
  <sheetViews>
    <sheetView topLeftCell="B1" workbookViewId="0">
      <selection activeCell="B2" sqref="B2:E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69"/>
      <c r="G2" s="12"/>
      <c r="H2" s="12"/>
      <c r="I2" s="12"/>
      <c r="J2" s="12"/>
      <c r="K2" s="12"/>
    </row>
  </sheetData>
  <mergeCells count="1">
    <mergeCell ref="B2:E2"/>
  </mergeCells>
  <dataValidations count="4">
    <dataValidation type="list" allowBlank="1" showErrorMessage="1" sqref="H2:H5" xr:uid="{12059397-233F-4E4D-90A6-6C2D323C1EFE}">
      <formula1>"Internal,External"</formula1>
    </dataValidation>
    <dataValidation type="list" allowBlank="1" showErrorMessage="1" sqref="E3:E5" xr:uid="{AA85E5C8-D01A-434B-9315-3F5841668D81}">
      <formula1>"Bounceback,Defect,None"</formula1>
    </dataValidation>
    <dataValidation type="list" allowBlank="1" showErrorMessage="1" sqref="I2:I5" xr:uid="{B63894ED-D798-43D6-A95D-7201D6D140D6}">
      <formula1>"Open,Inprogress,Closed"</formula1>
    </dataValidation>
    <dataValidation type="list" allowBlank="1" showErrorMessage="1" sqref="G2:G5" xr:uid="{8BD15CBE-4016-459F-9265-E415201D26D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A9A13F9-DAF8-48CA-9B63-A75118F9556E}">
          <x14:formula1>
            <xm:f>Details!$A$2:$A$10</xm:f>
          </x14:formula1>
          <xm:sqref>J2:J5</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E38E8-74E0-4D78-9784-0923A34A6635}">
  <sheetPr>
    <outlinePr summaryBelow="0" summaryRight="0"/>
  </sheetPr>
  <dimension ref="A2:X8"/>
  <sheetViews>
    <sheetView showGridLines="0" workbookViewId="0">
      <pane xSplit="5" ySplit="2" topLeftCell="T3" activePane="bottomRight" state="frozen"/>
      <selection pane="bottomRight" activeCell="U4" sqref="U4"/>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row>
    <row r="3" spans="1:24" ht="48">
      <c r="A3" s="43">
        <v>1</v>
      </c>
      <c r="B3" s="95" t="s">
        <v>51</v>
      </c>
      <c r="C3" s="89" t="s">
        <v>1414</v>
      </c>
      <c r="D3" s="104" t="s">
        <v>1415</v>
      </c>
      <c r="E3" s="125" t="s">
        <v>1416</v>
      </c>
      <c r="F3" s="88">
        <v>2</v>
      </c>
      <c r="G3" s="88">
        <v>1</v>
      </c>
      <c r="H3" s="103" t="s">
        <v>743</v>
      </c>
      <c r="I3" s="89" t="s">
        <v>739</v>
      </c>
      <c r="J3" s="103"/>
      <c r="K3" s="89" t="s">
        <v>275</v>
      </c>
      <c r="L3" s="110"/>
      <c r="M3" s="105" t="s">
        <v>1417</v>
      </c>
      <c r="N3" s="93">
        <v>45524</v>
      </c>
      <c r="O3" s="93">
        <v>45524</v>
      </c>
      <c r="P3" s="89" t="s">
        <v>275</v>
      </c>
      <c r="Q3" s="103" t="s">
        <v>93</v>
      </c>
      <c r="R3" s="103" t="s">
        <v>1418</v>
      </c>
      <c r="S3" s="93">
        <v>45524</v>
      </c>
      <c r="T3" s="103" t="s">
        <v>1419</v>
      </c>
      <c r="U3" s="103" t="s">
        <v>1420</v>
      </c>
      <c r="V3" s="103" t="s">
        <v>93</v>
      </c>
      <c r="W3" s="103" t="s">
        <v>812</v>
      </c>
      <c r="X3" s="103"/>
    </row>
    <row r="4" spans="1:24" ht="27" customHeight="1">
      <c r="A4" s="103">
        <v>2</v>
      </c>
      <c r="B4" s="95" t="s">
        <v>51</v>
      </c>
      <c r="C4" s="89" t="s">
        <v>1008</v>
      </c>
      <c r="D4" s="104" t="s">
        <v>1421</v>
      </c>
      <c r="E4" s="88" t="s">
        <v>1422</v>
      </c>
      <c r="F4" s="88">
        <v>5</v>
      </c>
      <c r="G4" s="88">
        <v>5</v>
      </c>
      <c r="H4" s="103" t="s">
        <v>1008</v>
      </c>
      <c r="I4" s="89" t="s">
        <v>739</v>
      </c>
      <c r="J4" s="103" t="s">
        <v>1256</v>
      </c>
      <c r="K4" s="89" t="s">
        <v>275</v>
      </c>
      <c r="L4" s="110"/>
      <c r="M4" s="105" t="s">
        <v>1423</v>
      </c>
      <c r="N4" s="115">
        <v>45517</v>
      </c>
      <c r="O4" s="115">
        <v>45523</v>
      </c>
      <c r="P4" s="89" t="s">
        <v>275</v>
      </c>
      <c r="Q4" s="103" t="s">
        <v>93</v>
      </c>
      <c r="R4" s="103" t="s">
        <v>942</v>
      </c>
      <c r="S4" s="93">
        <v>45523</v>
      </c>
      <c r="T4" s="103" t="s">
        <v>1256</v>
      </c>
      <c r="U4" s="103" t="s">
        <v>93</v>
      </c>
      <c r="V4" s="103" t="s">
        <v>93</v>
      </c>
      <c r="W4" s="103" t="s">
        <v>812</v>
      </c>
      <c r="X4" s="103"/>
    </row>
    <row r="5" spans="1:24" ht="48">
      <c r="A5" s="103">
        <v>3</v>
      </c>
      <c r="B5" s="95" t="s">
        <v>51</v>
      </c>
      <c r="C5" s="89" t="s">
        <v>743</v>
      </c>
      <c r="D5" s="104" t="s">
        <v>1424</v>
      </c>
      <c r="E5" s="88" t="s">
        <v>1425</v>
      </c>
      <c r="F5" s="88">
        <v>2</v>
      </c>
      <c r="G5" s="88">
        <v>2</v>
      </c>
      <c r="H5" s="103" t="s">
        <v>743</v>
      </c>
      <c r="I5" s="89" t="s">
        <v>739</v>
      </c>
      <c r="J5" s="103"/>
      <c r="K5" s="89" t="s">
        <v>275</v>
      </c>
      <c r="L5" s="110"/>
      <c r="M5" s="105" t="s">
        <v>1426</v>
      </c>
      <c r="N5" s="93">
        <v>45511</v>
      </c>
      <c r="O5" s="93">
        <v>45511</v>
      </c>
      <c r="P5" s="89" t="s">
        <v>275</v>
      </c>
      <c r="Q5" s="103"/>
      <c r="R5" s="103" t="s">
        <v>915</v>
      </c>
      <c r="S5" s="124">
        <v>45517</v>
      </c>
      <c r="T5" s="103"/>
      <c r="U5" s="103" t="s">
        <v>1427</v>
      </c>
      <c r="V5" s="103"/>
      <c r="W5" s="103" t="s">
        <v>812</v>
      </c>
      <c r="X5" s="103"/>
    </row>
    <row r="6" spans="1:24" ht="31.5" customHeight="1">
      <c r="A6" s="103">
        <v>4</v>
      </c>
      <c r="B6" s="95" t="s">
        <v>51</v>
      </c>
      <c r="C6" s="89" t="s">
        <v>807</v>
      </c>
      <c r="D6" s="104" t="s">
        <v>1428</v>
      </c>
      <c r="E6" s="122" t="s">
        <v>1429</v>
      </c>
      <c r="F6" s="88">
        <v>3</v>
      </c>
      <c r="G6" s="88"/>
      <c r="H6" s="123" t="s">
        <v>739</v>
      </c>
      <c r="I6" s="89" t="s">
        <v>739</v>
      </c>
      <c r="J6" s="103"/>
      <c r="K6" s="89"/>
      <c r="L6" s="110"/>
      <c r="M6" s="105" t="s">
        <v>93</v>
      </c>
      <c r="N6" s="89" t="s">
        <v>93</v>
      </c>
      <c r="O6" s="89" t="s">
        <v>93</v>
      </c>
      <c r="P6" s="89" t="s">
        <v>93</v>
      </c>
      <c r="Q6" s="103" t="s">
        <v>93</v>
      </c>
      <c r="R6" s="103" t="s">
        <v>93</v>
      </c>
      <c r="S6" s="103" t="s">
        <v>93</v>
      </c>
      <c r="T6" s="103" t="s">
        <v>93</v>
      </c>
      <c r="U6" s="103" t="s">
        <v>93</v>
      </c>
      <c r="V6" s="103" t="s">
        <v>93</v>
      </c>
      <c r="W6" s="103" t="s">
        <v>812</v>
      </c>
      <c r="X6" s="103"/>
    </row>
    <row r="7" spans="1:24" ht="49.5" customHeight="1">
      <c r="A7" s="103">
        <v>5</v>
      </c>
      <c r="B7" s="2" t="s">
        <v>51</v>
      </c>
      <c r="C7" s="55" t="s">
        <v>743</v>
      </c>
      <c r="D7" s="72" t="s">
        <v>1405</v>
      </c>
      <c r="E7" s="23" t="s">
        <v>1406</v>
      </c>
      <c r="F7" s="88">
        <v>2</v>
      </c>
      <c r="G7" s="88">
        <v>1</v>
      </c>
      <c r="H7" s="123" t="s">
        <v>743</v>
      </c>
      <c r="I7" s="89" t="s">
        <v>739</v>
      </c>
      <c r="J7" s="103"/>
      <c r="K7" s="89" t="s">
        <v>275</v>
      </c>
      <c r="L7" s="110"/>
      <c r="M7" s="105" t="s">
        <v>93</v>
      </c>
      <c r="N7" s="89"/>
      <c r="O7" s="89"/>
      <c r="P7" s="89"/>
      <c r="Q7" s="103"/>
      <c r="R7" s="103"/>
      <c r="S7" s="103"/>
      <c r="T7" s="103"/>
      <c r="U7" s="103" t="s">
        <v>1430</v>
      </c>
      <c r="V7" s="103"/>
      <c r="W7" s="103" t="s">
        <v>812</v>
      </c>
      <c r="X7" s="103" t="s">
        <v>1431</v>
      </c>
    </row>
    <row r="8" spans="1:24" ht="44.25" customHeight="1">
      <c r="A8" s="87">
        <v>6</v>
      </c>
      <c r="B8" s="2" t="s">
        <v>51</v>
      </c>
      <c r="C8" s="5" t="s">
        <v>1008</v>
      </c>
      <c r="D8" s="72" t="s">
        <v>1432</v>
      </c>
      <c r="E8" s="16" t="s">
        <v>1433</v>
      </c>
      <c r="F8" s="16">
        <v>2</v>
      </c>
      <c r="G8" s="16">
        <v>2</v>
      </c>
      <c r="H8" s="87" t="s">
        <v>1008</v>
      </c>
      <c r="I8" s="5" t="s">
        <v>93</v>
      </c>
      <c r="J8" s="87" t="s">
        <v>93</v>
      </c>
      <c r="K8" s="5" t="s">
        <v>275</v>
      </c>
      <c r="L8" s="97"/>
      <c r="M8" s="5" t="s">
        <v>93</v>
      </c>
      <c r="N8" s="5" t="s">
        <v>93</v>
      </c>
      <c r="O8" s="5" t="s">
        <v>93</v>
      </c>
      <c r="P8" s="5" t="s">
        <v>275</v>
      </c>
      <c r="Q8" s="87" t="s">
        <v>93</v>
      </c>
      <c r="R8" s="87" t="s">
        <v>93</v>
      </c>
      <c r="S8" s="87" t="s">
        <v>93</v>
      </c>
      <c r="T8" s="87" t="s">
        <v>93</v>
      </c>
      <c r="U8" s="87" t="s">
        <v>1386</v>
      </c>
      <c r="V8" s="87" t="s">
        <v>93</v>
      </c>
      <c r="W8" s="103" t="s">
        <v>812</v>
      </c>
      <c r="X8" s="87" t="s">
        <v>1434</v>
      </c>
    </row>
  </sheetData>
  <hyperlinks>
    <hyperlink ref="D3" r:id="rId1" display="https://greatergiving.atlassian.net/browse/GGO-14232" xr:uid="{8C7081B7-7D99-4CA4-AB05-C4AC60D2D3EE}"/>
    <hyperlink ref="D4" r:id="rId2" display="https://greatergiving.atlassian.net/browse/GGO-14236" xr:uid="{B573C41C-959E-4AB2-8FA5-3C11AD7BFE6D}"/>
    <hyperlink ref="D5" r:id="rId3" display="https://greatergiving.atlassian.net/browse/GGO-14225" xr:uid="{5B56D1A5-3A07-463A-B9BE-B18BE5CB7360}"/>
    <hyperlink ref="D6" r:id="rId4" xr:uid="{505C4EA8-1BFC-4077-8AA1-734C0B108E31}"/>
    <hyperlink ref="M5" r:id="rId5" xr:uid="{3612C9AF-69D3-4EE5-98E7-1A8257DF8D69}"/>
    <hyperlink ref="D8" r:id="rId6" xr:uid="{B92E98E0-37DC-4FC7-9B0B-754E7898FE28}"/>
    <hyperlink ref="M3" r:id="rId7" xr:uid="{CF772324-7EEA-41BF-B381-3BCBB82E2B3D}"/>
    <hyperlink ref="D7" r:id="rId8" xr:uid="{88BE7375-5465-4683-9516-556880E43194}"/>
    <hyperlink ref="M4" r:id="rId9" xr:uid="{A7869A86-66AA-4139-B9A8-E744E18D982F}"/>
  </hyperlinks>
  <pageMargins left="0" right="0" top="0" bottom="0" header="0" footer="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BC357-7646-4202-A3C4-A683CA43680A}">
  <sheetPr>
    <outlinePr summaryBelow="0" summaryRight="0"/>
  </sheetPr>
  <dimension ref="A1:K2"/>
  <sheetViews>
    <sheetView topLeftCell="B1" workbookViewId="0">
      <selection activeCell="F14" sqref="F14"/>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69"/>
      <c r="G2" s="12"/>
      <c r="H2" s="12"/>
      <c r="I2" s="12"/>
      <c r="J2" s="12"/>
      <c r="K2" s="12"/>
    </row>
  </sheetData>
  <mergeCells count="1">
    <mergeCell ref="B2:E2"/>
  </mergeCells>
  <dataValidations count="4">
    <dataValidation type="list" allowBlank="1" showErrorMessage="1" sqref="G2:G5" xr:uid="{E0A7F85A-1F1B-4610-9A78-02F0C5D44FAD}">
      <formula1>"Minor,Significant,Major"</formula1>
    </dataValidation>
    <dataValidation type="list" allowBlank="1" showErrorMessage="1" sqref="I2:I5" xr:uid="{D560487D-04C0-4460-A19E-C7F3642EB187}">
      <formula1>"Open,Inprogress,Closed"</formula1>
    </dataValidation>
    <dataValidation type="list" allowBlank="1" showErrorMessage="1" sqref="E3:E5" xr:uid="{80B4A494-D455-4E73-8DFF-1FE676860183}">
      <formula1>"Bounceback,Defect,None"</formula1>
    </dataValidation>
    <dataValidation type="list" allowBlank="1" showErrorMessage="1" sqref="H2:H5" xr:uid="{A7930EC6-5E94-48AC-B3BC-E18847E48FD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96E91B0-D7C3-44F9-9BDC-D4C9AE03B499}">
          <x14:formula1>
            <xm:f>Details!$A$2:$A$10</xm:f>
          </x14:formula1>
          <xm:sqref>J2:J5</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2E391-E383-4767-B1B1-F3432FA0876B}">
  <sheetPr>
    <outlinePr summaryBelow="0" summaryRight="0"/>
  </sheetPr>
  <dimension ref="A2:X7"/>
  <sheetViews>
    <sheetView showGridLines="0" workbookViewId="0">
      <pane xSplit="5" ySplit="2" topLeftCell="T3" activePane="bottomRight" state="frozen"/>
      <selection pane="bottomRight" activeCell="U6" sqref="U6"/>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s="87" customFormat="1" ht="190.5">
      <c r="A3" s="103">
        <v>1</v>
      </c>
      <c r="B3" s="95" t="s">
        <v>50</v>
      </c>
      <c r="C3" s="89" t="s">
        <v>1008</v>
      </c>
      <c r="D3" s="114" t="s">
        <v>1435</v>
      </c>
      <c r="E3" s="88" t="s">
        <v>1436</v>
      </c>
      <c r="F3" s="88">
        <v>2</v>
      </c>
      <c r="G3" s="88">
        <v>2</v>
      </c>
      <c r="H3" s="103" t="s">
        <v>1008</v>
      </c>
      <c r="I3" s="89" t="s">
        <v>739</v>
      </c>
      <c r="J3" s="103" t="s">
        <v>1256</v>
      </c>
      <c r="K3" s="89" t="s">
        <v>743</v>
      </c>
      <c r="L3" s="110" t="s">
        <v>1256</v>
      </c>
      <c r="M3" s="105" t="s">
        <v>1437</v>
      </c>
      <c r="N3" s="115">
        <v>45489</v>
      </c>
      <c r="O3" s="115">
        <v>45491</v>
      </c>
      <c r="P3" s="89" t="s">
        <v>275</v>
      </c>
      <c r="Q3" s="103" t="s">
        <v>1256</v>
      </c>
      <c r="R3" s="103" t="s">
        <v>942</v>
      </c>
      <c r="S3" s="121">
        <v>45491</v>
      </c>
      <c r="T3" s="103" t="s">
        <v>1438</v>
      </c>
      <c r="U3" s="103" t="s">
        <v>1439</v>
      </c>
      <c r="V3" s="103"/>
      <c r="W3" s="88" t="s">
        <v>812</v>
      </c>
      <c r="X3" s="103" t="s">
        <v>1440</v>
      </c>
    </row>
    <row r="4" spans="1:24" ht="36">
      <c r="A4" s="87">
        <v>2</v>
      </c>
      <c r="B4" s="2" t="s">
        <v>50</v>
      </c>
      <c r="C4" s="89" t="s">
        <v>807</v>
      </c>
      <c r="D4" s="104" t="s">
        <v>1441</v>
      </c>
      <c r="E4" s="88" t="s">
        <v>1442</v>
      </c>
      <c r="F4" s="88">
        <v>1</v>
      </c>
      <c r="G4" s="88">
        <v>1</v>
      </c>
      <c r="H4" s="88" t="s">
        <v>93</v>
      </c>
      <c r="I4" s="89" t="s">
        <v>739</v>
      </c>
      <c r="J4" s="88" t="s">
        <v>1443</v>
      </c>
      <c r="K4" s="89" t="s">
        <v>93</v>
      </c>
      <c r="L4" s="89" t="s">
        <v>1280</v>
      </c>
      <c r="M4" s="105" t="s">
        <v>93</v>
      </c>
      <c r="N4" s="106" t="s">
        <v>93</v>
      </c>
      <c r="O4" s="89" t="s">
        <v>93</v>
      </c>
      <c r="P4" s="89" t="s">
        <v>93</v>
      </c>
      <c r="Q4" s="88" t="s">
        <v>93</v>
      </c>
      <c r="R4" s="88" t="s">
        <v>93</v>
      </c>
      <c r="S4" s="88" t="s">
        <v>93</v>
      </c>
      <c r="T4" s="88" t="s">
        <v>93</v>
      </c>
      <c r="U4" s="88" t="s">
        <v>1444</v>
      </c>
      <c r="V4" s="88" t="s">
        <v>93</v>
      </c>
      <c r="W4" s="88" t="s">
        <v>812</v>
      </c>
      <c r="X4" s="103"/>
    </row>
    <row r="5" spans="1:24">
      <c r="A5" s="43">
        <v>3</v>
      </c>
      <c r="B5" s="111" t="s">
        <v>50</v>
      </c>
      <c r="C5" s="89" t="s">
        <v>807</v>
      </c>
      <c r="D5" s="104" t="s">
        <v>1445</v>
      </c>
      <c r="E5" s="88" t="s">
        <v>1446</v>
      </c>
      <c r="F5" s="88">
        <v>3</v>
      </c>
      <c r="G5" s="88">
        <v>2</v>
      </c>
      <c r="H5" s="88" t="s">
        <v>93</v>
      </c>
      <c r="I5" s="89" t="s">
        <v>739</v>
      </c>
      <c r="J5" s="103"/>
      <c r="K5" s="89" t="s">
        <v>93</v>
      </c>
      <c r="L5" s="89" t="s">
        <v>1280</v>
      </c>
      <c r="M5" s="105" t="s">
        <v>93</v>
      </c>
      <c r="N5" s="106" t="s">
        <v>93</v>
      </c>
      <c r="O5" s="89" t="s">
        <v>93</v>
      </c>
      <c r="P5" s="89" t="s">
        <v>93</v>
      </c>
      <c r="Q5" s="88" t="s">
        <v>93</v>
      </c>
      <c r="R5" s="88" t="s">
        <v>93</v>
      </c>
      <c r="S5" s="88" t="s">
        <v>93</v>
      </c>
      <c r="T5" s="88" t="s">
        <v>93</v>
      </c>
      <c r="U5" s="88" t="s">
        <v>1386</v>
      </c>
      <c r="V5" s="88" t="s">
        <v>93</v>
      </c>
      <c r="W5" s="88" t="s">
        <v>812</v>
      </c>
      <c r="X5" s="103"/>
    </row>
    <row r="6" spans="1:24" ht="36">
      <c r="A6" s="43">
        <v>4</v>
      </c>
      <c r="B6" s="95" t="s">
        <v>1447</v>
      </c>
      <c r="C6" s="89" t="s">
        <v>743</v>
      </c>
      <c r="D6" s="104" t="s">
        <v>1415</v>
      </c>
      <c r="E6" s="88" t="s">
        <v>1416</v>
      </c>
      <c r="F6" s="88">
        <v>2</v>
      </c>
      <c r="G6" s="88">
        <v>1</v>
      </c>
      <c r="H6" s="103"/>
      <c r="I6" s="89" t="s">
        <v>739</v>
      </c>
      <c r="J6" s="103"/>
      <c r="K6" s="89" t="s">
        <v>93</v>
      </c>
      <c r="L6" s="110"/>
      <c r="M6" s="105" t="s">
        <v>93</v>
      </c>
      <c r="N6" s="89" t="s">
        <v>93</v>
      </c>
      <c r="O6" s="89" t="s">
        <v>93</v>
      </c>
      <c r="P6" s="89" t="s">
        <v>93</v>
      </c>
      <c r="Q6" s="103" t="s">
        <v>93</v>
      </c>
      <c r="R6" s="103" t="s">
        <v>93</v>
      </c>
      <c r="S6" s="103" t="s">
        <v>93</v>
      </c>
      <c r="T6" s="103" t="s">
        <v>93</v>
      </c>
      <c r="U6" s="103" t="s">
        <v>1290</v>
      </c>
      <c r="V6" s="103" t="s">
        <v>93</v>
      </c>
      <c r="W6" s="103" t="s">
        <v>628</v>
      </c>
      <c r="X6" s="103" t="s">
        <v>1448</v>
      </c>
    </row>
    <row r="7" spans="1:24">
      <c r="A7" s="116">
        <v>5</v>
      </c>
      <c r="B7" s="2" t="s">
        <v>1447</v>
      </c>
      <c r="C7" s="118" t="s">
        <v>1008</v>
      </c>
      <c r="D7" s="72" t="s">
        <v>1421</v>
      </c>
      <c r="E7" s="16" t="s">
        <v>1422</v>
      </c>
      <c r="F7" s="16">
        <v>5</v>
      </c>
      <c r="G7" s="16">
        <v>5</v>
      </c>
      <c r="H7" s="87"/>
      <c r="I7" s="5" t="s">
        <v>93</v>
      </c>
      <c r="J7" s="87"/>
      <c r="K7" s="5"/>
      <c r="L7" s="97"/>
      <c r="M7" s="5"/>
      <c r="N7" s="5"/>
      <c r="O7" s="5"/>
      <c r="P7" s="5"/>
      <c r="Q7" s="87"/>
      <c r="R7" s="87"/>
      <c r="S7" s="87"/>
      <c r="T7" s="87"/>
      <c r="U7" s="87" t="s">
        <v>1290</v>
      </c>
      <c r="V7" s="87"/>
      <c r="W7" s="87" t="s">
        <v>628</v>
      </c>
      <c r="X7" s="87"/>
    </row>
  </sheetData>
  <dataValidations count="1">
    <dataValidation type="list" allowBlank="1" showErrorMessage="1" sqref="W3:W5" xr:uid="{F38CDA17-4235-4829-AF88-5978DACC2779}">
      <formula1>"Open,Inprogress,Closed"</formula1>
    </dataValidation>
  </dataValidations>
  <hyperlinks>
    <hyperlink ref="M3" r:id="rId1" xr:uid="{354EA237-AAAE-45FD-AA34-6BC8122DF418}"/>
    <hyperlink ref="D3" r:id="rId2" xr:uid="{FD30B9F4-C054-41F9-B710-C40B30ED7DCA}"/>
    <hyperlink ref="D4" r:id="rId3" display="https://greatergiving.atlassian.net/browse/GGO-14233" xr:uid="{A77992A2-0CDB-4F09-B0B7-B3D6F35B2F7A}"/>
    <hyperlink ref="D5" r:id="rId4" display="https://greatergiving.atlassian.net/browse/GGO-14247" xr:uid="{98BEB5A4-F692-4606-B7FC-B876563AC679}"/>
    <hyperlink ref="D6" r:id="rId5" display="https://greatergiving.atlassian.net/browse/GGO-14232" xr:uid="{27A53B1A-5FF7-48BE-9B28-F456D969DE4A}"/>
    <hyperlink ref="D7" r:id="rId6" display="https://greatergiving.atlassian.net/browse/GGO-14236" xr:uid="{4D18A889-C08B-498B-9141-069FAC75C2BE}"/>
  </hyperlinks>
  <pageMargins left="0" right="0" top="0" bottom="0" header="0" footer="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0A328-C19D-4525-8E3B-AE7ABB2ED823}">
  <sheetPr>
    <outlinePr summaryBelow="0" summaryRight="0"/>
  </sheetPr>
  <dimension ref="A1:K2"/>
  <sheetViews>
    <sheetView topLeftCell="B1" workbookViewId="0">
      <selection activeCell="E16" sqref="E16"/>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69"/>
      <c r="G2" s="12"/>
      <c r="H2" s="12"/>
      <c r="I2" s="12"/>
      <c r="J2" s="12"/>
      <c r="K2" s="12"/>
    </row>
  </sheetData>
  <mergeCells count="1">
    <mergeCell ref="B2:E2"/>
  </mergeCells>
  <dataValidations count="4">
    <dataValidation type="list" allowBlank="1" showErrorMessage="1" sqref="H2:H5" xr:uid="{FC0E487E-01D1-4CA6-9112-60108E141561}">
      <formula1>"Internal,External"</formula1>
    </dataValidation>
    <dataValidation type="list" allowBlank="1" showErrorMessage="1" sqref="E3:E5" xr:uid="{7C774A30-1F21-49DD-A84B-A42DD6855CAA}">
      <formula1>"Bounceback,Defect,None"</formula1>
    </dataValidation>
    <dataValidation type="list" allowBlank="1" showErrorMessage="1" sqref="I2:I5" xr:uid="{CE88A35C-0A4B-4B15-86A1-E5F54D1E8688}">
      <formula1>"Open,Inprogress,Closed"</formula1>
    </dataValidation>
    <dataValidation type="list" allowBlank="1" showErrorMessage="1" sqref="G2:G5" xr:uid="{96BE2279-A383-48FD-B447-404085AFB236}">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FE88A56-0418-4C6A-9E06-45EE6BEDFF06}">
          <x14:formula1>
            <xm:f>Details!$A$2:$A$10</xm:f>
          </x14:formula1>
          <xm:sqref>J2:J5</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F848C-2186-44A4-8F12-975211F33BC5}">
  <sheetPr>
    <outlinePr summaryBelow="0" summaryRight="0"/>
  </sheetPr>
  <dimension ref="A2:X14"/>
  <sheetViews>
    <sheetView showGridLines="0" workbookViewId="0">
      <pane xSplit="5" ySplit="2" topLeftCell="T8" activePane="bottomRight" state="frozen"/>
      <selection pane="bottomRight" activeCell="U13" sqref="U13"/>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36">
      <c r="A3" s="44">
        <v>1</v>
      </c>
      <c r="B3" s="2" t="s">
        <v>48</v>
      </c>
      <c r="C3" s="5" t="s">
        <v>275</v>
      </c>
      <c r="D3" s="81" t="s">
        <v>1449</v>
      </c>
      <c r="E3" s="78" t="s">
        <v>1450</v>
      </c>
      <c r="F3" s="35">
        <v>3</v>
      </c>
      <c r="G3" s="35">
        <v>3</v>
      </c>
      <c r="H3" s="16" t="s">
        <v>275</v>
      </c>
      <c r="I3" s="5" t="s">
        <v>856</v>
      </c>
      <c r="J3" s="32" t="s">
        <v>856</v>
      </c>
      <c r="K3" s="31" t="s">
        <v>856</v>
      </c>
      <c r="L3" s="31" t="s">
        <v>856</v>
      </c>
      <c r="M3" s="70" t="s">
        <v>856</v>
      </c>
      <c r="N3" s="50"/>
      <c r="O3" s="71"/>
      <c r="P3" s="5"/>
      <c r="Q3" s="16"/>
      <c r="R3" s="16"/>
      <c r="S3" s="67"/>
      <c r="T3" s="16"/>
      <c r="U3" s="16" t="s">
        <v>1451</v>
      </c>
      <c r="V3" s="16"/>
      <c r="W3" s="16" t="s">
        <v>812</v>
      </c>
      <c r="X3" s="79" t="s">
        <v>1452</v>
      </c>
    </row>
    <row r="4" spans="1:24" s="87" customFormat="1" ht="48">
      <c r="A4" s="87">
        <v>2</v>
      </c>
      <c r="B4" s="2" t="s">
        <v>1453</v>
      </c>
      <c r="C4" s="5" t="s">
        <v>1008</v>
      </c>
      <c r="D4" s="81" t="s">
        <v>1435</v>
      </c>
      <c r="E4" s="16" t="s">
        <v>1436</v>
      </c>
      <c r="F4" s="16">
        <v>2</v>
      </c>
      <c r="G4" s="16">
        <v>2</v>
      </c>
      <c r="H4" s="87" t="s">
        <v>1008</v>
      </c>
      <c r="I4" s="5" t="s">
        <v>739</v>
      </c>
      <c r="J4" s="87" t="s">
        <v>1256</v>
      </c>
      <c r="K4" s="5" t="s">
        <v>743</v>
      </c>
      <c r="L4" s="97" t="s">
        <v>1256</v>
      </c>
      <c r="M4" s="70" t="s">
        <v>1437</v>
      </c>
      <c r="N4" s="71">
        <v>45489</v>
      </c>
      <c r="O4" s="5"/>
      <c r="P4" s="5"/>
      <c r="U4" s="87" t="s">
        <v>1454</v>
      </c>
      <c r="W4" s="16" t="s">
        <v>628</v>
      </c>
    </row>
    <row r="5" spans="1:24" s="87" customFormat="1" ht="48">
      <c r="A5" s="87">
        <v>3</v>
      </c>
      <c r="B5" s="2" t="s">
        <v>48</v>
      </c>
      <c r="C5" s="5" t="s">
        <v>743</v>
      </c>
      <c r="D5" s="81" t="s">
        <v>1455</v>
      </c>
      <c r="E5" s="16" t="s">
        <v>1456</v>
      </c>
      <c r="F5" s="16">
        <v>1</v>
      </c>
      <c r="G5" s="16">
        <v>1</v>
      </c>
      <c r="H5" s="87" t="s">
        <v>743</v>
      </c>
      <c r="I5" s="5" t="s">
        <v>739</v>
      </c>
      <c r="J5" s="87" t="s">
        <v>1256</v>
      </c>
      <c r="K5" s="5" t="s">
        <v>1008</v>
      </c>
      <c r="L5" s="97" t="s">
        <v>1256</v>
      </c>
      <c r="M5" s="5" t="s">
        <v>93</v>
      </c>
      <c r="N5" s="5"/>
      <c r="O5" s="5"/>
      <c r="P5" s="5"/>
      <c r="U5" s="87" t="s">
        <v>1457</v>
      </c>
      <c r="W5" s="16" t="s">
        <v>812</v>
      </c>
      <c r="X5" s="87" t="s">
        <v>1458</v>
      </c>
    </row>
    <row r="6" spans="1:24" s="87" customFormat="1" ht="48">
      <c r="A6" s="87">
        <v>4</v>
      </c>
      <c r="B6" s="2" t="s">
        <v>48</v>
      </c>
      <c r="C6" s="5" t="s">
        <v>743</v>
      </c>
      <c r="D6" s="81" t="s">
        <v>1459</v>
      </c>
      <c r="E6" s="16" t="s">
        <v>1460</v>
      </c>
      <c r="F6" s="16">
        <v>1</v>
      </c>
      <c r="G6" s="16">
        <v>1</v>
      </c>
      <c r="H6" s="87" t="s">
        <v>743</v>
      </c>
      <c r="I6" s="5" t="s">
        <v>1461</v>
      </c>
      <c r="J6" s="87" t="s">
        <v>1256</v>
      </c>
      <c r="K6" s="5" t="s">
        <v>1008</v>
      </c>
      <c r="L6" s="97" t="s">
        <v>1256</v>
      </c>
      <c r="M6" s="70" t="s">
        <v>1462</v>
      </c>
      <c r="N6" s="71">
        <v>45489</v>
      </c>
      <c r="O6" s="71">
        <v>45489</v>
      </c>
      <c r="P6" s="5" t="s">
        <v>275</v>
      </c>
      <c r="Q6" s="87" t="s">
        <v>1256</v>
      </c>
      <c r="R6" s="87" t="s">
        <v>825</v>
      </c>
      <c r="S6" s="71">
        <v>45490</v>
      </c>
      <c r="T6" s="87" t="s">
        <v>1256</v>
      </c>
      <c r="U6" s="87" t="s">
        <v>1463</v>
      </c>
      <c r="W6" s="16" t="s">
        <v>812</v>
      </c>
    </row>
    <row r="7" spans="1:24" s="87" customFormat="1" ht="24" customHeight="1">
      <c r="A7" s="87">
        <v>5</v>
      </c>
      <c r="B7" s="2" t="s">
        <v>1464</v>
      </c>
      <c r="C7" s="5" t="s">
        <v>1008</v>
      </c>
      <c r="D7" s="81" t="s">
        <v>1465</v>
      </c>
      <c r="E7" s="16" t="s">
        <v>1466</v>
      </c>
      <c r="F7" s="16">
        <v>3</v>
      </c>
      <c r="G7" s="16"/>
      <c r="I7" s="5"/>
      <c r="K7" s="5"/>
      <c r="L7" s="97"/>
      <c r="M7" s="5"/>
      <c r="N7" s="5"/>
      <c r="O7" s="5"/>
      <c r="P7" s="5"/>
      <c r="U7" s="87" t="s">
        <v>1463</v>
      </c>
      <c r="W7" s="16" t="s">
        <v>628</v>
      </c>
    </row>
    <row r="8" spans="1:24" s="87" customFormat="1">
      <c r="A8" s="87">
        <v>6</v>
      </c>
      <c r="B8" s="2" t="s">
        <v>48</v>
      </c>
      <c r="C8" s="89" t="s">
        <v>807</v>
      </c>
      <c r="D8" s="81" t="s">
        <v>1467</v>
      </c>
      <c r="E8" s="16" t="s">
        <v>1468</v>
      </c>
      <c r="F8" s="16">
        <v>1</v>
      </c>
      <c r="G8" s="16">
        <v>1</v>
      </c>
      <c r="H8" s="88" t="s">
        <v>93</v>
      </c>
      <c r="I8" s="89" t="s">
        <v>739</v>
      </c>
      <c r="J8" s="88" t="s">
        <v>1256</v>
      </c>
      <c r="K8" s="89" t="s">
        <v>93</v>
      </c>
      <c r="L8" s="89" t="s">
        <v>1280</v>
      </c>
      <c r="M8" s="105" t="s">
        <v>93</v>
      </c>
      <c r="N8" s="106" t="s">
        <v>93</v>
      </c>
      <c r="O8" s="89" t="s">
        <v>93</v>
      </c>
      <c r="P8" s="89" t="s">
        <v>93</v>
      </c>
      <c r="Q8" s="88" t="s">
        <v>93</v>
      </c>
      <c r="R8" s="88" t="s">
        <v>93</v>
      </c>
      <c r="S8" s="88" t="s">
        <v>93</v>
      </c>
      <c r="T8" s="88" t="s">
        <v>93</v>
      </c>
      <c r="U8" s="88" t="s">
        <v>93</v>
      </c>
      <c r="V8" s="88" t="s">
        <v>93</v>
      </c>
      <c r="W8" s="88" t="s">
        <v>812</v>
      </c>
    </row>
    <row r="9" spans="1:24" s="87" customFormat="1">
      <c r="A9" s="87">
        <v>7</v>
      </c>
      <c r="B9" s="2" t="s">
        <v>48</v>
      </c>
      <c r="C9" s="89" t="s">
        <v>807</v>
      </c>
      <c r="D9" s="81" t="s">
        <v>1469</v>
      </c>
      <c r="E9" s="16" t="s">
        <v>1470</v>
      </c>
      <c r="F9" s="16">
        <v>1</v>
      </c>
      <c r="G9" s="16">
        <v>1</v>
      </c>
      <c r="H9" s="88" t="s">
        <v>93</v>
      </c>
      <c r="I9" s="89" t="s">
        <v>739</v>
      </c>
      <c r="J9" s="88" t="s">
        <v>1256</v>
      </c>
      <c r="K9" s="89" t="s">
        <v>93</v>
      </c>
      <c r="L9" s="89" t="s">
        <v>1280</v>
      </c>
      <c r="M9" s="105" t="s">
        <v>93</v>
      </c>
      <c r="N9" s="106" t="s">
        <v>93</v>
      </c>
      <c r="O9" s="89" t="s">
        <v>93</v>
      </c>
      <c r="P9" s="89" t="s">
        <v>93</v>
      </c>
      <c r="Q9" s="88" t="s">
        <v>93</v>
      </c>
      <c r="R9" s="88" t="s">
        <v>93</v>
      </c>
      <c r="S9" s="88" t="s">
        <v>93</v>
      </c>
      <c r="T9" s="88" t="s">
        <v>93</v>
      </c>
      <c r="U9" s="88" t="s">
        <v>93</v>
      </c>
      <c r="V9" s="88" t="s">
        <v>93</v>
      </c>
      <c r="W9" s="88" t="s">
        <v>812</v>
      </c>
    </row>
    <row r="10" spans="1:24" s="87" customFormat="1" ht="48">
      <c r="A10" s="44">
        <v>8</v>
      </c>
      <c r="B10" s="2" t="s">
        <v>48</v>
      </c>
      <c r="C10" s="5" t="s">
        <v>1008</v>
      </c>
      <c r="D10" s="81" t="s">
        <v>1471</v>
      </c>
      <c r="E10" s="78" t="s">
        <v>1472</v>
      </c>
      <c r="F10" s="35">
        <v>2</v>
      </c>
      <c r="G10" s="35">
        <v>2</v>
      </c>
      <c r="H10" s="16" t="s">
        <v>1008</v>
      </c>
      <c r="I10" s="5" t="s">
        <v>739</v>
      </c>
      <c r="J10" s="32" t="s">
        <v>1256</v>
      </c>
      <c r="K10" s="31" t="s">
        <v>743</v>
      </c>
      <c r="L10" s="31" t="s">
        <v>1280</v>
      </c>
      <c r="M10" s="70" t="s">
        <v>1473</v>
      </c>
      <c r="N10" s="50">
        <v>45478</v>
      </c>
      <c r="O10" s="71">
        <v>45481</v>
      </c>
      <c r="P10" s="5" t="s">
        <v>275</v>
      </c>
      <c r="Q10" s="16" t="s">
        <v>1280</v>
      </c>
      <c r="R10" s="16" t="s">
        <v>942</v>
      </c>
      <c r="S10" s="67">
        <v>45481</v>
      </c>
      <c r="T10" s="16" t="s">
        <v>1280</v>
      </c>
      <c r="U10" s="16"/>
      <c r="V10" s="16"/>
      <c r="W10" s="16" t="s">
        <v>812</v>
      </c>
      <c r="X10" s="79"/>
    </row>
    <row r="11" spans="1:24" s="87" customFormat="1" ht="48">
      <c r="A11" s="52">
        <v>9</v>
      </c>
      <c r="B11" s="2" t="s">
        <v>48</v>
      </c>
      <c r="C11" s="5" t="s">
        <v>743</v>
      </c>
      <c r="D11" s="81" t="s">
        <v>1474</v>
      </c>
      <c r="E11" s="16" t="s">
        <v>1475</v>
      </c>
      <c r="F11" s="16">
        <v>2</v>
      </c>
      <c r="G11" s="16">
        <v>2</v>
      </c>
      <c r="H11" s="16" t="s">
        <v>1008</v>
      </c>
      <c r="I11" s="5" t="s">
        <v>739</v>
      </c>
      <c r="J11" s="32" t="s">
        <v>1256</v>
      </c>
      <c r="K11" s="31" t="s">
        <v>738</v>
      </c>
      <c r="L11" s="31" t="s">
        <v>1280</v>
      </c>
      <c r="M11" s="70" t="s">
        <v>1476</v>
      </c>
      <c r="N11" s="50">
        <v>45477</v>
      </c>
      <c r="O11" s="50">
        <v>45482</v>
      </c>
      <c r="P11" s="5" t="s">
        <v>275</v>
      </c>
      <c r="Q11" s="16" t="s">
        <v>1280</v>
      </c>
      <c r="R11" s="16" t="s">
        <v>942</v>
      </c>
      <c r="S11" s="67">
        <v>45482</v>
      </c>
      <c r="T11" s="16" t="s">
        <v>1280</v>
      </c>
      <c r="U11" s="16" t="s">
        <v>1477</v>
      </c>
      <c r="V11" s="16"/>
      <c r="W11" s="16" t="s">
        <v>812</v>
      </c>
      <c r="X11" s="79"/>
    </row>
    <row r="12" spans="1:24" s="87" customFormat="1" ht="24">
      <c r="A12" s="87">
        <v>10</v>
      </c>
      <c r="B12" s="2" t="s">
        <v>48</v>
      </c>
      <c r="C12" s="89" t="s">
        <v>275</v>
      </c>
      <c r="D12" s="117" t="s">
        <v>1478</v>
      </c>
      <c r="E12" s="88" t="s">
        <v>1479</v>
      </c>
      <c r="F12" s="88">
        <v>2</v>
      </c>
      <c r="G12" s="88">
        <v>2</v>
      </c>
      <c r="H12" s="103" t="s">
        <v>275</v>
      </c>
      <c r="I12" s="89" t="s">
        <v>739</v>
      </c>
      <c r="J12" s="103"/>
      <c r="K12" s="89"/>
      <c r="L12" s="110"/>
      <c r="M12" s="89"/>
      <c r="N12" s="89"/>
      <c r="O12" s="89"/>
      <c r="P12" s="89"/>
      <c r="Q12" s="103"/>
      <c r="R12" s="103"/>
      <c r="S12" s="103"/>
      <c r="T12" s="103"/>
      <c r="U12" s="103" t="s">
        <v>1480</v>
      </c>
      <c r="V12" s="103"/>
      <c r="W12" s="103" t="s">
        <v>812</v>
      </c>
    </row>
    <row r="13" spans="1:24" s="103" customFormat="1" ht="24">
      <c r="A13" s="103">
        <v>11</v>
      </c>
      <c r="B13" s="111" t="s">
        <v>48</v>
      </c>
      <c r="C13" s="89" t="s">
        <v>275</v>
      </c>
      <c r="D13" s="117" t="s">
        <v>1481</v>
      </c>
      <c r="E13" s="88" t="s">
        <v>1482</v>
      </c>
      <c r="F13" s="88">
        <v>1</v>
      </c>
      <c r="G13" s="88">
        <v>1</v>
      </c>
      <c r="H13" s="103" t="s">
        <v>275</v>
      </c>
      <c r="I13" s="89" t="s">
        <v>739</v>
      </c>
      <c r="K13" s="89"/>
      <c r="L13" s="110"/>
      <c r="M13" s="89"/>
      <c r="N13" s="89"/>
      <c r="O13" s="89"/>
      <c r="P13" s="89"/>
      <c r="U13" s="103" t="s">
        <v>1463</v>
      </c>
      <c r="W13" s="103" t="s">
        <v>812</v>
      </c>
      <c r="X13" s="112"/>
    </row>
    <row r="14" spans="1:24" s="87" customFormat="1">
      <c r="A14" s="87">
        <v>12</v>
      </c>
      <c r="B14" s="2" t="s">
        <v>48</v>
      </c>
      <c r="C14" s="5" t="s">
        <v>807</v>
      </c>
      <c r="D14" s="81" t="s">
        <v>1483</v>
      </c>
      <c r="E14" s="16" t="s">
        <v>1484</v>
      </c>
      <c r="F14" s="87">
        <v>1</v>
      </c>
      <c r="G14" s="87">
        <v>1</v>
      </c>
      <c r="H14" s="16" t="s">
        <v>93</v>
      </c>
      <c r="I14" s="5" t="s">
        <v>739</v>
      </c>
      <c r="J14" s="16" t="s">
        <v>1256</v>
      </c>
      <c r="K14" s="5" t="s">
        <v>93</v>
      </c>
      <c r="L14" s="5" t="s">
        <v>1280</v>
      </c>
      <c r="M14" s="70" t="s">
        <v>93</v>
      </c>
      <c r="N14" s="96" t="s">
        <v>93</v>
      </c>
      <c r="O14" s="5" t="s">
        <v>93</v>
      </c>
      <c r="P14" s="5" t="s">
        <v>93</v>
      </c>
      <c r="Q14" s="16" t="s">
        <v>93</v>
      </c>
      <c r="R14" s="16" t="s">
        <v>93</v>
      </c>
      <c r="S14" s="16" t="s">
        <v>93</v>
      </c>
      <c r="T14" s="16" t="s">
        <v>93</v>
      </c>
      <c r="U14" s="16" t="s">
        <v>93</v>
      </c>
      <c r="V14" s="16" t="s">
        <v>93</v>
      </c>
      <c r="W14" s="16" t="s">
        <v>812</v>
      </c>
    </row>
  </sheetData>
  <dataValidations count="1">
    <dataValidation type="list" allowBlank="1" showErrorMessage="1" sqref="W3:W11 W14" xr:uid="{E3969D31-2157-48C6-873D-3CEEC28C33A7}">
      <formula1>"Open,Inprogress,Closed"</formula1>
    </dataValidation>
  </dataValidations>
  <hyperlinks>
    <hyperlink ref="M4" r:id="rId1" xr:uid="{42CE2426-2F81-4FFA-8F9F-C5CC3A1B8017}"/>
    <hyperlink ref="M6" r:id="rId2" xr:uid="{A1664E8E-1421-4319-95E7-EC47D6A04BB4}"/>
    <hyperlink ref="D6" r:id="rId3" xr:uid="{659D03F1-F811-4697-8BBD-FBA7DED3491C}"/>
    <hyperlink ref="D5" r:id="rId4" xr:uid="{659CD30B-2815-489D-960E-01D205E0103B}"/>
    <hyperlink ref="D4" r:id="rId5" xr:uid="{25E45144-E6FA-497B-B53D-3FE7FFFA5066}"/>
    <hyperlink ref="D3" r:id="rId6" xr:uid="{76A674E6-56B2-4912-8545-BF511C572B3F}"/>
    <hyperlink ref="D7" r:id="rId7" xr:uid="{22FAA7E6-EFDA-4680-86E3-8A3F508C591B}"/>
    <hyperlink ref="D8" r:id="rId8" display="https://greatergiving.atlassian.net/browse/GGO-14185" xr:uid="{9304F53E-3511-4B96-91A2-2DD731E1D33F}"/>
    <hyperlink ref="D9" r:id="rId9" display="https://greatergiving.atlassian.net/browse/PAPI-721" xr:uid="{EAB48592-CF13-4DFB-935C-E592F30F88DD}"/>
    <hyperlink ref="M10" r:id="rId10" xr:uid="{447DB733-0A20-4043-A7BF-3E6BD6F3CC07}"/>
    <hyperlink ref="D11" r:id="rId11" display="https://greatergiving.atlassian.net/browse/GGO-13981" xr:uid="{516B0A3D-6CF4-4CC0-9A82-E2A808527648}"/>
    <hyperlink ref="M11" r:id="rId12" xr:uid="{A1F99184-7A7C-4B08-A37F-636B2886010A}"/>
    <hyperlink ref="D12" r:id="rId13" display="https://greatergiving.atlassian.net/browse/GGO-14223" xr:uid="{4CAD95B7-C532-48F7-BDC7-FFE85F41C6B2}"/>
    <hyperlink ref="D13" r:id="rId14" display="https://greatergiving.atlassian.net/browse/GGO-14201" xr:uid="{5445C5BC-DCC8-45C7-80E1-1778A5EB6173}"/>
    <hyperlink ref="D14" r:id="rId15" display="https://greatergiving.atlassian.net/browse/PAPI-726" xr:uid="{9467BFBF-B56A-414A-B9D6-5712CCD72D14}"/>
  </hyperlinks>
  <pageMargins left="0" right="0" top="0" bottom="0" header="0" footer="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30628-65BA-47BD-8916-1CD1BE9AF54E}">
  <sheetPr>
    <outlinePr summaryBelow="0" summaryRight="0"/>
  </sheetPr>
  <dimension ref="A1:K2"/>
  <sheetViews>
    <sheetView topLeftCell="B1" workbookViewId="0">
      <selection activeCell="F11" sqref="F11"/>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69"/>
      <c r="G2" s="12"/>
      <c r="H2" s="12"/>
      <c r="I2" s="12"/>
      <c r="J2" s="12"/>
      <c r="K2" s="12"/>
    </row>
  </sheetData>
  <mergeCells count="1">
    <mergeCell ref="B2:E2"/>
  </mergeCells>
  <dataValidations count="4">
    <dataValidation type="list" allowBlank="1" showErrorMessage="1" sqref="G2:G5" xr:uid="{25C6E3D6-BB59-4733-A6BC-C94FF2E2FBBD}">
      <formula1>"Minor,Significant,Major"</formula1>
    </dataValidation>
    <dataValidation type="list" allowBlank="1" showErrorMessage="1" sqref="I2:I5" xr:uid="{77DB8D76-BF0C-4FEE-8C38-A531456E8F8D}">
      <formula1>"Open,Inprogress,Closed"</formula1>
    </dataValidation>
    <dataValidation type="list" allowBlank="1" showErrorMessage="1" sqref="E3:E5" xr:uid="{C9DEBD6B-52A9-4853-8A20-7EE8ED2224FB}">
      <formula1>"Bounceback,Defect,None"</formula1>
    </dataValidation>
    <dataValidation type="list" allowBlank="1" showErrorMessage="1" sqref="H2:H5" xr:uid="{FA60122D-6E13-4C12-BE7D-40D8706F19A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97830BB-8716-480F-9E94-D77FB4B05D9F}">
          <x14:formula1>
            <xm:f>Details!$A$2:$A$10</xm:f>
          </x14:formula1>
          <xm:sqref>J2:J5</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C1EF-A68D-4548-A873-58DA1DACF3AB}">
  <sheetPr>
    <outlinePr summaryBelow="0" summaryRight="0"/>
  </sheetPr>
  <dimension ref="A2:X14"/>
  <sheetViews>
    <sheetView showGridLines="0" workbookViewId="0">
      <pane xSplit="5" ySplit="2" topLeftCell="T7" activePane="bottomRight" state="frozen"/>
      <selection pane="bottomRight" activeCell="U11" sqref="U11"/>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13.85546875" style="43"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43.5" customHeight="1">
      <c r="A3" s="52">
        <v>1</v>
      </c>
      <c r="B3" s="2" t="s">
        <v>47</v>
      </c>
      <c r="C3" s="5" t="s">
        <v>743</v>
      </c>
      <c r="D3" s="72" t="s">
        <v>1474</v>
      </c>
      <c r="E3" s="16" t="s">
        <v>1475</v>
      </c>
      <c r="F3" s="16">
        <v>2</v>
      </c>
      <c r="G3" s="16">
        <v>2</v>
      </c>
      <c r="H3" s="16" t="s">
        <v>1008</v>
      </c>
      <c r="I3" s="5" t="s">
        <v>739</v>
      </c>
      <c r="J3" s="32" t="s">
        <v>1256</v>
      </c>
      <c r="K3" s="31" t="s">
        <v>738</v>
      </c>
      <c r="L3" s="31" t="s">
        <v>1280</v>
      </c>
      <c r="M3" s="70" t="s">
        <v>1476</v>
      </c>
      <c r="N3" s="50">
        <v>45477</v>
      </c>
      <c r="O3" s="50">
        <v>45482</v>
      </c>
      <c r="P3" s="5" t="s">
        <v>275</v>
      </c>
      <c r="Q3" s="16" t="s">
        <v>1280</v>
      </c>
      <c r="R3" s="16" t="s">
        <v>942</v>
      </c>
      <c r="S3" s="67">
        <v>45482</v>
      </c>
      <c r="T3" s="16" t="s">
        <v>1280</v>
      </c>
      <c r="U3" s="16" t="s">
        <v>1485</v>
      </c>
      <c r="V3" s="16"/>
      <c r="W3" s="16" t="s">
        <v>812</v>
      </c>
      <c r="X3" s="79"/>
    </row>
    <row r="4" spans="1:24" ht="48">
      <c r="A4" s="44">
        <v>2</v>
      </c>
      <c r="B4" s="2" t="s">
        <v>47</v>
      </c>
      <c r="C4" s="5" t="s">
        <v>1008</v>
      </c>
      <c r="D4" s="80" t="s">
        <v>1471</v>
      </c>
      <c r="E4" s="78" t="s">
        <v>1472</v>
      </c>
      <c r="F4" s="35">
        <v>2</v>
      </c>
      <c r="G4" s="35">
        <v>2</v>
      </c>
      <c r="H4" s="16" t="s">
        <v>1008</v>
      </c>
      <c r="I4" s="5" t="s">
        <v>739</v>
      </c>
      <c r="J4" s="32" t="s">
        <v>1256</v>
      </c>
      <c r="K4" s="31" t="s">
        <v>743</v>
      </c>
      <c r="L4" s="31" t="s">
        <v>1280</v>
      </c>
      <c r="M4" s="70" t="s">
        <v>1473</v>
      </c>
      <c r="N4" s="50">
        <v>45478</v>
      </c>
      <c r="O4" s="71">
        <v>45481</v>
      </c>
      <c r="P4" s="5" t="s">
        <v>275</v>
      </c>
      <c r="Q4" s="16" t="s">
        <v>1280</v>
      </c>
      <c r="R4" s="16" t="s">
        <v>942</v>
      </c>
      <c r="S4" s="67">
        <v>45481</v>
      </c>
      <c r="T4" s="16" t="s">
        <v>1280</v>
      </c>
      <c r="U4" s="16"/>
      <c r="V4" s="16"/>
      <c r="W4" s="16" t="s">
        <v>812</v>
      </c>
      <c r="X4" s="79"/>
    </row>
    <row r="5" spans="1:24" ht="48">
      <c r="A5" s="16">
        <v>3</v>
      </c>
      <c r="B5" s="2" t="s">
        <v>47</v>
      </c>
      <c r="C5" s="5" t="s">
        <v>1486</v>
      </c>
      <c r="D5" s="72" t="s">
        <v>1487</v>
      </c>
      <c r="E5" s="16" t="s">
        <v>1488</v>
      </c>
      <c r="F5" s="16">
        <v>2</v>
      </c>
      <c r="G5" s="16">
        <v>2</v>
      </c>
      <c r="H5" s="16" t="s">
        <v>1008</v>
      </c>
      <c r="I5" s="5" t="s">
        <v>739</v>
      </c>
      <c r="J5" s="16" t="s">
        <v>1256</v>
      </c>
      <c r="K5" s="31" t="s">
        <v>743</v>
      </c>
      <c r="L5" s="31" t="s">
        <v>1280</v>
      </c>
      <c r="M5" s="63" t="s">
        <v>1489</v>
      </c>
      <c r="N5" s="68">
        <v>45476</v>
      </c>
      <c r="O5" s="68">
        <v>45477</v>
      </c>
      <c r="P5" s="5" t="s">
        <v>275</v>
      </c>
      <c r="Q5" s="16" t="s">
        <v>1280</v>
      </c>
      <c r="R5" s="83" t="s">
        <v>942</v>
      </c>
      <c r="S5" s="67">
        <v>45477</v>
      </c>
      <c r="T5" s="16" t="s">
        <v>1490</v>
      </c>
      <c r="U5" s="16" t="s">
        <v>1491</v>
      </c>
      <c r="V5" s="16"/>
      <c r="W5" s="16" t="s">
        <v>812</v>
      </c>
      <c r="X5" s="16"/>
    </row>
    <row r="6" spans="1:24">
      <c r="A6" s="16">
        <v>4</v>
      </c>
      <c r="B6" s="2" t="s">
        <v>47</v>
      </c>
      <c r="C6" s="5" t="s">
        <v>1269</v>
      </c>
      <c r="D6" s="72" t="s">
        <v>1492</v>
      </c>
      <c r="E6" s="16" t="s">
        <v>1493</v>
      </c>
      <c r="F6" s="16">
        <v>3</v>
      </c>
      <c r="G6" s="16">
        <v>3</v>
      </c>
      <c r="H6" s="16" t="s">
        <v>856</v>
      </c>
      <c r="I6" s="5" t="s">
        <v>856</v>
      </c>
      <c r="J6" s="16" t="s">
        <v>856</v>
      </c>
      <c r="K6" s="5" t="s">
        <v>856</v>
      </c>
      <c r="L6" s="89" t="s">
        <v>856</v>
      </c>
      <c r="M6" s="70" t="s">
        <v>856</v>
      </c>
      <c r="N6" s="86" t="s">
        <v>856</v>
      </c>
      <c r="O6" s="86" t="s">
        <v>856</v>
      </c>
      <c r="P6" s="5" t="s">
        <v>856</v>
      </c>
      <c r="Q6" s="16" t="s">
        <v>856</v>
      </c>
      <c r="R6" s="16" t="s">
        <v>942</v>
      </c>
      <c r="S6" s="16"/>
      <c r="T6" s="16"/>
      <c r="U6" s="16"/>
      <c r="V6" s="16"/>
      <c r="W6" s="88" t="s">
        <v>812</v>
      </c>
      <c r="X6" s="16" t="s">
        <v>1494</v>
      </c>
    </row>
    <row r="7" spans="1:24" ht="60" customHeight="1">
      <c r="A7" s="88">
        <v>5</v>
      </c>
      <c r="B7" s="2" t="s">
        <v>47</v>
      </c>
      <c r="C7" s="89" t="s">
        <v>275</v>
      </c>
      <c r="D7" s="72" t="s">
        <v>1495</v>
      </c>
      <c r="E7" s="16" t="s">
        <v>1496</v>
      </c>
      <c r="F7" s="88">
        <v>2</v>
      </c>
      <c r="G7" s="88">
        <v>2</v>
      </c>
      <c r="H7" s="88" t="s">
        <v>275</v>
      </c>
      <c r="I7" s="89" t="s">
        <v>738</v>
      </c>
      <c r="J7" s="88" t="s">
        <v>1256</v>
      </c>
      <c r="K7" s="91" t="s">
        <v>738</v>
      </c>
      <c r="L7" s="90" t="s">
        <v>1280</v>
      </c>
      <c r="M7" s="92" t="s">
        <v>1497</v>
      </c>
      <c r="N7" s="93">
        <v>45471</v>
      </c>
      <c r="O7" s="93">
        <v>45472</v>
      </c>
      <c r="P7" s="89" t="s">
        <v>738</v>
      </c>
      <c r="Q7" s="88" t="s">
        <v>1280</v>
      </c>
      <c r="R7" s="16" t="s">
        <v>942</v>
      </c>
      <c r="S7" s="94">
        <v>45472</v>
      </c>
      <c r="T7" s="88" t="s">
        <v>1280</v>
      </c>
      <c r="U7" s="88"/>
      <c r="V7" s="88"/>
      <c r="W7" s="88" t="s">
        <v>812</v>
      </c>
      <c r="X7" s="88"/>
    </row>
    <row r="8" spans="1:24" s="87" customFormat="1">
      <c r="A8" s="87">
        <v>6</v>
      </c>
      <c r="B8" s="2" t="s">
        <v>47</v>
      </c>
      <c r="C8" s="5" t="s">
        <v>985</v>
      </c>
      <c r="D8" s="72" t="s">
        <v>1498</v>
      </c>
      <c r="E8" s="16" t="s">
        <v>1499</v>
      </c>
      <c r="F8" s="16">
        <v>2</v>
      </c>
      <c r="G8" s="16">
        <v>2</v>
      </c>
      <c r="I8" s="5"/>
      <c r="J8" s="32"/>
      <c r="K8" s="31"/>
      <c r="L8" s="31"/>
      <c r="M8" s="70"/>
      <c r="N8" s="50"/>
      <c r="O8" s="5"/>
      <c r="P8" s="5"/>
      <c r="Q8" s="16"/>
      <c r="R8" s="16"/>
      <c r="S8" s="16"/>
      <c r="T8" s="16"/>
      <c r="U8" s="16"/>
      <c r="V8" s="16"/>
      <c r="W8" s="88"/>
    </row>
    <row r="9" spans="1:24" s="87" customFormat="1" ht="24">
      <c r="A9" s="87">
        <v>7</v>
      </c>
      <c r="B9" s="2" t="s">
        <v>47</v>
      </c>
      <c r="C9" s="5" t="s">
        <v>807</v>
      </c>
      <c r="D9" s="72" t="s">
        <v>1500</v>
      </c>
      <c r="E9" s="16" t="s">
        <v>1501</v>
      </c>
      <c r="F9" s="16">
        <v>1</v>
      </c>
      <c r="G9" s="16">
        <v>1</v>
      </c>
      <c r="H9" s="16" t="s">
        <v>93</v>
      </c>
      <c r="I9" s="5" t="s">
        <v>739</v>
      </c>
      <c r="J9" s="16" t="s">
        <v>1256</v>
      </c>
      <c r="K9" s="5" t="s">
        <v>93</v>
      </c>
      <c r="L9" s="5" t="s">
        <v>1280</v>
      </c>
      <c r="M9" s="70" t="s">
        <v>93</v>
      </c>
      <c r="N9" s="96" t="s">
        <v>93</v>
      </c>
      <c r="O9" s="5" t="s">
        <v>93</v>
      </c>
      <c r="P9" s="5" t="s">
        <v>93</v>
      </c>
      <c r="Q9" s="16" t="s">
        <v>93</v>
      </c>
      <c r="R9" s="16" t="s">
        <v>93</v>
      </c>
      <c r="S9" s="16" t="s">
        <v>93</v>
      </c>
      <c r="T9" s="16" t="s">
        <v>93</v>
      </c>
      <c r="U9" s="16" t="s">
        <v>1439</v>
      </c>
      <c r="V9" s="16" t="s">
        <v>93</v>
      </c>
      <c r="W9" s="16" t="s">
        <v>812</v>
      </c>
      <c r="X9" s="16"/>
    </row>
    <row r="10" spans="1:24" s="103" customFormat="1" ht="24">
      <c r="A10" s="103">
        <v>8</v>
      </c>
      <c r="B10" s="95" t="s">
        <v>47</v>
      </c>
      <c r="C10" s="89" t="s">
        <v>807</v>
      </c>
      <c r="D10" s="104" t="s">
        <v>1502</v>
      </c>
      <c r="E10" s="88" t="s">
        <v>1503</v>
      </c>
      <c r="F10" s="88">
        <v>2</v>
      </c>
      <c r="G10" s="88">
        <v>2</v>
      </c>
      <c r="H10" s="88" t="s">
        <v>93</v>
      </c>
      <c r="I10" s="89" t="s">
        <v>739</v>
      </c>
      <c r="J10" s="88" t="s">
        <v>1256</v>
      </c>
      <c r="K10" s="89" t="s">
        <v>93</v>
      </c>
      <c r="L10" s="89" t="s">
        <v>1280</v>
      </c>
      <c r="M10" s="105" t="s">
        <v>93</v>
      </c>
      <c r="N10" s="106" t="s">
        <v>93</v>
      </c>
      <c r="O10" s="89" t="s">
        <v>93</v>
      </c>
      <c r="P10" s="89" t="s">
        <v>93</v>
      </c>
      <c r="Q10" s="88" t="s">
        <v>93</v>
      </c>
      <c r="R10" s="88" t="s">
        <v>93</v>
      </c>
      <c r="S10" s="88" t="s">
        <v>93</v>
      </c>
      <c r="T10" s="88" t="s">
        <v>93</v>
      </c>
      <c r="U10" s="88" t="s">
        <v>1504</v>
      </c>
      <c r="V10" s="88" t="s">
        <v>93</v>
      </c>
      <c r="W10" s="88" t="s">
        <v>812</v>
      </c>
      <c r="X10" s="88"/>
    </row>
    <row r="11" spans="1:24" s="103" customFormat="1">
      <c r="A11" s="103">
        <v>9</v>
      </c>
      <c r="B11" s="95" t="s">
        <v>47</v>
      </c>
      <c r="C11" s="89" t="s">
        <v>807</v>
      </c>
      <c r="D11" s="104" t="s">
        <v>1505</v>
      </c>
      <c r="E11" s="88" t="s">
        <v>1506</v>
      </c>
      <c r="F11" s="88">
        <v>1</v>
      </c>
      <c r="G11" s="88">
        <v>1</v>
      </c>
      <c r="H11" s="88" t="s">
        <v>93</v>
      </c>
      <c r="I11" s="89" t="s">
        <v>739</v>
      </c>
      <c r="J11" s="88" t="s">
        <v>1256</v>
      </c>
      <c r="K11" s="89" t="s">
        <v>93</v>
      </c>
      <c r="L11" s="89" t="s">
        <v>1280</v>
      </c>
      <c r="M11" s="105" t="s">
        <v>93</v>
      </c>
      <c r="N11" s="106" t="s">
        <v>93</v>
      </c>
      <c r="O11" s="89" t="s">
        <v>93</v>
      </c>
      <c r="P11" s="89" t="s">
        <v>93</v>
      </c>
      <c r="Q11" s="88" t="s">
        <v>93</v>
      </c>
      <c r="R11" s="88" t="s">
        <v>93</v>
      </c>
      <c r="S11" s="88" t="s">
        <v>93</v>
      </c>
      <c r="T11" s="88" t="s">
        <v>93</v>
      </c>
      <c r="U11" s="88" t="s">
        <v>93</v>
      </c>
      <c r="V11" s="88" t="s">
        <v>93</v>
      </c>
      <c r="W11" s="88" t="s">
        <v>812</v>
      </c>
    </row>
    <row r="12" spans="1:24" s="87" customFormat="1">
      <c r="A12" s="87">
        <v>10</v>
      </c>
      <c r="B12" s="95" t="s">
        <v>47</v>
      </c>
      <c r="C12" s="89" t="s">
        <v>807</v>
      </c>
      <c r="D12" s="72" t="s">
        <v>1467</v>
      </c>
      <c r="E12" s="16" t="s">
        <v>1468</v>
      </c>
      <c r="F12" s="16">
        <v>1</v>
      </c>
      <c r="G12" s="16">
        <v>1</v>
      </c>
      <c r="H12" s="88" t="s">
        <v>93</v>
      </c>
      <c r="I12" s="89" t="s">
        <v>739</v>
      </c>
      <c r="J12" s="88" t="s">
        <v>1256</v>
      </c>
      <c r="K12" s="89" t="s">
        <v>93</v>
      </c>
      <c r="L12" s="89" t="s">
        <v>1280</v>
      </c>
      <c r="M12" s="105" t="s">
        <v>93</v>
      </c>
      <c r="N12" s="106" t="s">
        <v>93</v>
      </c>
      <c r="O12" s="89" t="s">
        <v>93</v>
      </c>
      <c r="P12" s="89" t="s">
        <v>93</v>
      </c>
      <c r="Q12" s="88" t="s">
        <v>93</v>
      </c>
      <c r="R12" s="88" t="s">
        <v>93</v>
      </c>
      <c r="S12" s="88" t="s">
        <v>93</v>
      </c>
      <c r="T12" s="88" t="s">
        <v>93</v>
      </c>
      <c r="U12" s="88" t="s">
        <v>93</v>
      </c>
      <c r="V12" s="88" t="s">
        <v>93</v>
      </c>
      <c r="W12" s="88" t="s">
        <v>812</v>
      </c>
    </row>
    <row r="13" spans="1:24" s="87" customFormat="1" ht="24">
      <c r="A13" s="87">
        <v>11</v>
      </c>
      <c r="B13" s="95" t="s">
        <v>47</v>
      </c>
      <c r="C13" s="89" t="s">
        <v>275</v>
      </c>
      <c r="D13" s="72" t="s">
        <v>1481</v>
      </c>
      <c r="E13" s="16" t="s">
        <v>1482</v>
      </c>
      <c r="F13" s="16">
        <v>1</v>
      </c>
      <c r="G13" s="16">
        <v>1</v>
      </c>
      <c r="H13" s="87" t="s">
        <v>275</v>
      </c>
      <c r="I13" s="5" t="s">
        <v>739</v>
      </c>
      <c r="K13" s="5"/>
      <c r="L13" s="97"/>
      <c r="M13" s="5"/>
      <c r="N13" s="5"/>
      <c r="O13" s="5"/>
      <c r="P13" s="5"/>
      <c r="W13" s="88" t="s">
        <v>812</v>
      </c>
    </row>
    <row r="14" spans="1:24" s="87" customFormat="1">
      <c r="A14" s="87">
        <v>12</v>
      </c>
      <c r="B14" s="95" t="s">
        <v>47</v>
      </c>
      <c r="C14" s="89" t="s">
        <v>807</v>
      </c>
      <c r="D14" s="72" t="s">
        <v>1469</v>
      </c>
      <c r="E14" s="16" t="s">
        <v>1470</v>
      </c>
      <c r="F14" s="16">
        <v>1</v>
      </c>
      <c r="G14" s="16">
        <v>1</v>
      </c>
      <c r="H14" s="88" t="s">
        <v>93</v>
      </c>
      <c r="I14" s="89" t="s">
        <v>739</v>
      </c>
      <c r="J14" s="88" t="s">
        <v>1256</v>
      </c>
      <c r="K14" s="89" t="s">
        <v>93</v>
      </c>
      <c r="L14" s="89" t="s">
        <v>1280</v>
      </c>
      <c r="M14" s="105" t="s">
        <v>93</v>
      </c>
      <c r="N14" s="106" t="s">
        <v>93</v>
      </c>
      <c r="O14" s="89" t="s">
        <v>93</v>
      </c>
      <c r="P14" s="89" t="s">
        <v>93</v>
      </c>
      <c r="Q14" s="88" t="s">
        <v>93</v>
      </c>
      <c r="R14" s="88" t="s">
        <v>93</v>
      </c>
      <c r="S14" s="88" t="s">
        <v>93</v>
      </c>
      <c r="T14" s="88" t="s">
        <v>93</v>
      </c>
      <c r="U14" s="88" t="s">
        <v>93</v>
      </c>
      <c r="V14" s="88" t="s">
        <v>93</v>
      </c>
      <c r="W14" s="88" t="s">
        <v>812</v>
      </c>
    </row>
  </sheetData>
  <dataValidations count="1">
    <dataValidation type="list" allowBlank="1" showErrorMessage="1" sqref="W3:W5 W9:W10" xr:uid="{46A64B20-45B0-4744-A1E2-CF8189F2532D}">
      <formula1>"Open,Inprogress,Closed"</formula1>
    </dataValidation>
  </dataValidations>
  <hyperlinks>
    <hyperlink ref="D3" r:id="rId1" display="https://greatergiving.atlassian.net/browse/GGO-13981" xr:uid="{3F52BEFE-A1D1-4F85-99F4-DC226A5E458E}"/>
    <hyperlink ref="M3" r:id="rId2" xr:uid="{4C1C2BA7-90FC-4745-8F3D-FE13E1C6F483}"/>
    <hyperlink ref="M4" r:id="rId3" xr:uid="{67654030-09FA-4EC5-9BBC-F930E63A72DC}"/>
    <hyperlink ref="M5" r:id="rId4" xr:uid="{345A2BA5-9F14-4AC2-8F87-ADABEAFDF8AB}"/>
    <hyperlink ref="M7" r:id="rId5" xr:uid="{540ECC94-4824-4428-9C42-2E47C225A65A}"/>
    <hyperlink ref="D9" r:id="rId6" display="https://greatergiving.atlassian.net/browse/GGO-13947" xr:uid="{555298EE-9BFE-475D-94FD-6B144C476E90}"/>
    <hyperlink ref="D10" r:id="rId7" display="https://greatergiving.atlassian.net/browse/GGO-13982" xr:uid="{D8ED1726-F64A-40E1-85F9-1BC5804BB970}"/>
    <hyperlink ref="D11" r:id="rId8" display="https://greatergiving.atlassian.net/browse/GGO-13993" xr:uid="{09656618-05D7-440A-A774-43620DF8A16E}"/>
    <hyperlink ref="D12" r:id="rId9" display="https://greatergiving.atlassian.net/browse/GGO-14185" xr:uid="{8A8427BC-92C1-4D51-B8ED-955ECED49A76}"/>
    <hyperlink ref="D13" r:id="rId10" display="https://greatergiving.atlassian.net/browse/GGO-14201" xr:uid="{D33919A2-946D-41AF-A433-74929EE6B076}"/>
    <hyperlink ref="D14" r:id="rId11" display="https://greatergiving.atlassian.net/browse/PAPI-721" xr:uid="{04360155-07D0-4D99-B2B5-F2D554A3893A}"/>
  </hyperlinks>
  <pageMargins left="0" right="0" top="0" bottom="0" header="0" footer="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D9AF-0654-43DF-8D2B-312D2BD17A4B}">
  <sheetPr>
    <outlinePr summaryBelow="0" summaryRight="0"/>
  </sheetPr>
  <dimension ref="A1:K2"/>
  <sheetViews>
    <sheetView topLeftCell="B1" workbookViewId="0">
      <selection activeCell="B2" sqref="B2:E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69"/>
      <c r="G2" s="12"/>
      <c r="H2" s="12"/>
      <c r="I2" s="12"/>
      <c r="J2" s="12"/>
      <c r="K2" s="12"/>
    </row>
  </sheetData>
  <mergeCells count="1">
    <mergeCell ref="B2:E2"/>
  </mergeCells>
  <dataValidations count="4">
    <dataValidation type="list" allowBlank="1" showErrorMessage="1" sqref="H2:H5" xr:uid="{7E3C3952-5DD7-42BC-8314-E0BBEAF8188D}">
      <formula1>"Internal,External"</formula1>
    </dataValidation>
    <dataValidation type="list" allowBlank="1" showErrorMessage="1" sqref="E3:E5" xr:uid="{BEC65623-8612-491B-86CB-6512894EB2DB}">
      <formula1>"Bounceback,Defect,None"</formula1>
    </dataValidation>
    <dataValidation type="list" allowBlank="1" showErrorMessage="1" sqref="I2:I5" xr:uid="{FE90C4D5-F475-404C-BECA-968ABF4ECFE8}">
      <formula1>"Open,Inprogress,Closed"</formula1>
    </dataValidation>
    <dataValidation type="list" allowBlank="1" showErrorMessage="1" sqref="G2:G5" xr:uid="{C886537C-C2EE-46F3-9528-C98045C316E2}">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1B20B7E-081F-4DC1-8416-B8E1062F48E4}">
          <x14:formula1>
            <xm:f>Details!$A$2:$A$10</xm:f>
          </x14:formula1>
          <xm:sqref>J2:J5</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659BA-45F4-4C86-A80D-651D02FDB2C3}">
  <sheetPr>
    <outlinePr summaryBelow="0" summaryRight="0"/>
  </sheetPr>
  <dimension ref="A2:X12"/>
  <sheetViews>
    <sheetView showGridLines="0" workbookViewId="0">
      <pane xSplit="5" ySplit="2" topLeftCell="T5" activePane="bottomRight" state="frozen"/>
      <selection pane="bottomRight" activeCell="U13" sqref="U13"/>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60">
      <c r="A3" s="16">
        <v>1</v>
      </c>
      <c r="B3" s="2" t="s">
        <v>46</v>
      </c>
      <c r="C3" s="5" t="s">
        <v>1008</v>
      </c>
      <c r="D3" s="72" t="s">
        <v>1507</v>
      </c>
      <c r="E3" s="16" t="s">
        <v>1508</v>
      </c>
      <c r="F3" s="16">
        <v>3</v>
      </c>
      <c r="G3" s="16">
        <v>3</v>
      </c>
      <c r="H3" s="16" t="s">
        <v>1008</v>
      </c>
      <c r="I3" s="5" t="s">
        <v>739</v>
      </c>
      <c r="J3" s="16" t="s">
        <v>1256</v>
      </c>
      <c r="K3" s="5" t="s">
        <v>743</v>
      </c>
      <c r="L3" s="5" t="s">
        <v>1280</v>
      </c>
      <c r="M3" s="70" t="s">
        <v>1509</v>
      </c>
      <c r="N3" s="71">
        <v>45467</v>
      </c>
      <c r="O3" s="71">
        <v>45467</v>
      </c>
      <c r="P3" s="5" t="s">
        <v>275</v>
      </c>
      <c r="Q3" s="16" t="s">
        <v>1256</v>
      </c>
      <c r="R3" s="98" t="s">
        <v>825</v>
      </c>
      <c r="S3" s="67">
        <v>45467</v>
      </c>
      <c r="T3" s="16" t="s">
        <v>1256</v>
      </c>
      <c r="U3" s="16" t="s">
        <v>1510</v>
      </c>
      <c r="V3" s="16" t="s">
        <v>1256</v>
      </c>
      <c r="W3" s="16" t="s">
        <v>812</v>
      </c>
      <c r="X3" s="16" t="s">
        <v>1511</v>
      </c>
    </row>
    <row r="4" spans="1:24" s="62" customFormat="1" ht="132.75" customHeight="1">
      <c r="A4" s="9">
        <v>2</v>
      </c>
      <c r="B4" s="100" t="s">
        <v>46</v>
      </c>
      <c r="C4" s="61" t="s">
        <v>1512</v>
      </c>
      <c r="D4" s="81" t="s">
        <v>1513</v>
      </c>
      <c r="E4" s="9" t="s">
        <v>1514</v>
      </c>
      <c r="F4" s="9">
        <v>3</v>
      </c>
      <c r="G4" s="9">
        <v>3</v>
      </c>
      <c r="H4" s="9" t="s">
        <v>1008</v>
      </c>
      <c r="I4" s="61" t="s">
        <v>856</v>
      </c>
      <c r="J4" s="9" t="s">
        <v>856</v>
      </c>
      <c r="K4" s="61" t="s">
        <v>743</v>
      </c>
      <c r="L4" s="61" t="s">
        <v>1280</v>
      </c>
      <c r="M4" s="72" t="s">
        <v>1515</v>
      </c>
      <c r="N4" s="101">
        <v>45461</v>
      </c>
      <c r="O4" s="101">
        <v>45467</v>
      </c>
      <c r="P4" s="61" t="s">
        <v>275</v>
      </c>
      <c r="Q4" s="9" t="s">
        <v>1256</v>
      </c>
      <c r="R4" s="9" t="s">
        <v>825</v>
      </c>
      <c r="S4" s="102">
        <v>45467</v>
      </c>
      <c r="T4" s="9" t="s">
        <v>1516</v>
      </c>
      <c r="U4" s="9" t="s">
        <v>1290</v>
      </c>
      <c r="V4" s="9" t="s">
        <v>1256</v>
      </c>
      <c r="W4" s="9" t="s">
        <v>812</v>
      </c>
      <c r="X4" s="9" t="s">
        <v>1517</v>
      </c>
    </row>
    <row r="5" spans="1:24">
      <c r="A5" s="87">
        <v>3</v>
      </c>
      <c r="B5" s="2" t="s">
        <v>46</v>
      </c>
      <c r="C5" s="5" t="s">
        <v>807</v>
      </c>
      <c r="D5" s="72" t="s">
        <v>1518</v>
      </c>
      <c r="E5" s="16" t="s">
        <v>1519</v>
      </c>
      <c r="F5" s="16">
        <v>2</v>
      </c>
      <c r="G5" s="16">
        <v>1</v>
      </c>
      <c r="H5" s="16" t="s">
        <v>93</v>
      </c>
      <c r="I5" s="5" t="s">
        <v>739</v>
      </c>
      <c r="J5" s="16" t="s">
        <v>1256</v>
      </c>
      <c r="K5" s="5" t="s">
        <v>93</v>
      </c>
      <c r="L5" s="5" t="s">
        <v>1280</v>
      </c>
      <c r="M5" s="70" t="s">
        <v>93</v>
      </c>
      <c r="N5" s="96" t="s">
        <v>93</v>
      </c>
      <c r="O5" s="5" t="s">
        <v>93</v>
      </c>
      <c r="P5" s="5" t="s">
        <v>93</v>
      </c>
      <c r="Q5" s="16" t="s">
        <v>93</v>
      </c>
      <c r="R5" s="16" t="s">
        <v>93</v>
      </c>
      <c r="S5" s="16" t="s">
        <v>93</v>
      </c>
      <c r="T5" s="16" t="s">
        <v>93</v>
      </c>
      <c r="U5" s="16" t="s">
        <v>93</v>
      </c>
      <c r="V5" s="16" t="s">
        <v>93</v>
      </c>
      <c r="W5" s="16" t="s">
        <v>812</v>
      </c>
      <c r="X5" s="16"/>
    </row>
    <row r="6" spans="1:24">
      <c r="A6" s="87">
        <v>4</v>
      </c>
      <c r="B6" s="2" t="s">
        <v>46</v>
      </c>
      <c r="C6" s="5" t="s">
        <v>807</v>
      </c>
      <c r="D6" s="72" t="s">
        <v>1520</v>
      </c>
      <c r="E6" s="16" t="s">
        <v>1521</v>
      </c>
      <c r="F6" s="16">
        <v>2</v>
      </c>
      <c r="G6" s="16">
        <v>1</v>
      </c>
      <c r="H6" s="16" t="s">
        <v>93</v>
      </c>
      <c r="I6" s="5" t="s">
        <v>739</v>
      </c>
      <c r="J6" s="16" t="s">
        <v>1256</v>
      </c>
      <c r="K6" s="5" t="s">
        <v>93</v>
      </c>
      <c r="L6" s="5" t="s">
        <v>1280</v>
      </c>
      <c r="M6" s="70" t="s">
        <v>93</v>
      </c>
      <c r="N6" s="96" t="s">
        <v>93</v>
      </c>
      <c r="O6" s="5" t="s">
        <v>93</v>
      </c>
      <c r="P6" s="5" t="s">
        <v>93</v>
      </c>
      <c r="Q6" s="16" t="s">
        <v>93</v>
      </c>
      <c r="R6" s="16" t="s">
        <v>93</v>
      </c>
      <c r="S6" s="16" t="s">
        <v>93</v>
      </c>
      <c r="T6" s="16" t="s">
        <v>93</v>
      </c>
      <c r="U6" s="16" t="s">
        <v>93</v>
      </c>
      <c r="V6" s="16" t="s">
        <v>93</v>
      </c>
      <c r="W6" s="16" t="s">
        <v>812</v>
      </c>
      <c r="X6" s="16"/>
    </row>
    <row r="7" spans="1:24" ht="24">
      <c r="A7" s="87">
        <v>5</v>
      </c>
      <c r="B7" s="2" t="s">
        <v>46</v>
      </c>
      <c r="C7" s="5" t="s">
        <v>807</v>
      </c>
      <c r="D7" s="72" t="s">
        <v>1522</v>
      </c>
      <c r="E7" s="16" t="s">
        <v>1523</v>
      </c>
      <c r="F7" s="16">
        <v>1</v>
      </c>
      <c r="G7" s="16">
        <v>1</v>
      </c>
      <c r="H7" s="16" t="s">
        <v>93</v>
      </c>
      <c r="I7" s="5" t="s">
        <v>739</v>
      </c>
      <c r="J7" s="16" t="s">
        <v>1256</v>
      </c>
      <c r="K7" s="5" t="s">
        <v>93</v>
      </c>
      <c r="L7" s="5" t="s">
        <v>1280</v>
      </c>
      <c r="M7" s="70" t="s">
        <v>93</v>
      </c>
      <c r="N7" s="96" t="s">
        <v>93</v>
      </c>
      <c r="O7" s="5" t="s">
        <v>93</v>
      </c>
      <c r="P7" s="5" t="s">
        <v>93</v>
      </c>
      <c r="Q7" s="16" t="s">
        <v>93</v>
      </c>
      <c r="R7" s="16" t="s">
        <v>93</v>
      </c>
      <c r="S7" s="16" t="s">
        <v>93</v>
      </c>
      <c r="T7" s="16" t="s">
        <v>93</v>
      </c>
      <c r="U7" s="16" t="s">
        <v>93</v>
      </c>
      <c r="V7" s="16" t="s">
        <v>93</v>
      </c>
      <c r="W7" s="16" t="s">
        <v>812</v>
      </c>
      <c r="X7" s="16"/>
    </row>
    <row r="8" spans="1:24">
      <c r="A8" s="87">
        <v>6</v>
      </c>
      <c r="B8" s="2" t="s">
        <v>46</v>
      </c>
      <c r="C8" s="5"/>
      <c r="D8" s="72" t="s">
        <v>1524</v>
      </c>
      <c r="E8" s="16" t="s">
        <v>1525</v>
      </c>
      <c r="F8" s="16">
        <v>2</v>
      </c>
      <c r="G8" s="16">
        <v>2</v>
      </c>
      <c r="H8" s="87"/>
      <c r="I8" s="5" t="s">
        <v>739</v>
      </c>
      <c r="J8" s="87"/>
      <c r="K8" s="5"/>
      <c r="L8" s="97"/>
      <c r="M8" s="5"/>
      <c r="N8" s="5"/>
      <c r="O8" s="5"/>
      <c r="P8" s="5"/>
      <c r="Q8" s="87"/>
      <c r="R8" s="87"/>
      <c r="S8" s="87"/>
      <c r="T8" s="87"/>
      <c r="U8" s="87"/>
      <c r="V8" s="87"/>
      <c r="W8" s="16" t="s">
        <v>812</v>
      </c>
      <c r="X8" s="87"/>
    </row>
    <row r="9" spans="1:24" ht="36">
      <c r="A9" s="87">
        <v>7</v>
      </c>
      <c r="B9" s="2" t="s">
        <v>46</v>
      </c>
      <c r="C9" s="5" t="s">
        <v>807</v>
      </c>
      <c r="D9" s="72" t="s">
        <v>1526</v>
      </c>
      <c r="E9" s="16" t="s">
        <v>1527</v>
      </c>
      <c r="F9" s="16">
        <v>1</v>
      </c>
      <c r="G9" s="16">
        <v>1</v>
      </c>
      <c r="H9" s="16" t="s">
        <v>93</v>
      </c>
      <c r="I9" s="5" t="s">
        <v>739</v>
      </c>
      <c r="J9" s="16" t="s">
        <v>1256</v>
      </c>
      <c r="K9" s="5" t="s">
        <v>93</v>
      </c>
      <c r="L9" s="5" t="s">
        <v>1280</v>
      </c>
      <c r="M9" s="70" t="s">
        <v>93</v>
      </c>
      <c r="N9" s="96" t="s">
        <v>93</v>
      </c>
      <c r="O9" s="5" t="s">
        <v>93</v>
      </c>
      <c r="P9" s="5" t="s">
        <v>93</v>
      </c>
      <c r="Q9" s="16" t="s">
        <v>93</v>
      </c>
      <c r="R9" s="16" t="s">
        <v>93</v>
      </c>
      <c r="S9" s="16" t="s">
        <v>93</v>
      </c>
      <c r="T9" s="16" t="s">
        <v>93</v>
      </c>
      <c r="U9" s="16" t="s">
        <v>1528</v>
      </c>
      <c r="V9" s="16" t="s">
        <v>93</v>
      </c>
      <c r="W9" s="16" t="s">
        <v>812</v>
      </c>
      <c r="X9" s="87"/>
    </row>
    <row r="10" spans="1:24">
      <c r="A10" s="87">
        <v>8</v>
      </c>
      <c r="B10" s="2" t="s">
        <v>46</v>
      </c>
      <c r="C10" s="5" t="s">
        <v>743</v>
      </c>
      <c r="D10" s="72" t="s">
        <v>1529</v>
      </c>
      <c r="E10" s="16" t="s">
        <v>1530</v>
      </c>
      <c r="F10" s="16">
        <v>1</v>
      </c>
      <c r="G10" s="16">
        <v>1</v>
      </c>
      <c r="H10" s="87" t="s">
        <v>93</v>
      </c>
      <c r="I10" s="5" t="s">
        <v>739</v>
      </c>
      <c r="J10" s="87" t="s">
        <v>1256</v>
      </c>
      <c r="K10" s="5" t="s">
        <v>93</v>
      </c>
      <c r="L10" s="97" t="s">
        <v>1280</v>
      </c>
      <c r="M10" s="5" t="s">
        <v>93</v>
      </c>
      <c r="N10" s="5" t="s">
        <v>93</v>
      </c>
      <c r="O10" s="5" t="s">
        <v>93</v>
      </c>
      <c r="P10" s="5" t="s">
        <v>93</v>
      </c>
      <c r="Q10" s="87" t="s">
        <v>93</v>
      </c>
      <c r="R10" s="87" t="s">
        <v>93</v>
      </c>
      <c r="S10" s="87" t="s">
        <v>93</v>
      </c>
      <c r="T10" s="87" t="s">
        <v>93</v>
      </c>
      <c r="U10" s="87" t="s">
        <v>93</v>
      </c>
      <c r="V10" s="87" t="s">
        <v>93</v>
      </c>
      <c r="W10" s="16" t="s">
        <v>812</v>
      </c>
      <c r="X10" s="87"/>
    </row>
    <row r="11" spans="1:24" ht="48">
      <c r="A11" s="87">
        <v>10</v>
      </c>
      <c r="B11" s="2" t="s">
        <v>1531</v>
      </c>
      <c r="C11" s="5" t="s">
        <v>1008</v>
      </c>
      <c r="D11" s="113" t="s">
        <v>1500</v>
      </c>
      <c r="E11" s="16" t="s">
        <v>1532</v>
      </c>
      <c r="F11" s="16">
        <v>2</v>
      </c>
      <c r="G11" s="16">
        <v>2</v>
      </c>
      <c r="H11" s="87" t="s">
        <v>1008</v>
      </c>
      <c r="I11" s="5" t="s">
        <v>739</v>
      </c>
      <c r="J11" s="87" t="s">
        <v>1256</v>
      </c>
      <c r="K11" s="5" t="s">
        <v>856</v>
      </c>
      <c r="L11" s="97" t="s">
        <v>1280</v>
      </c>
      <c r="M11" s="70" t="s">
        <v>1533</v>
      </c>
      <c r="N11" s="71">
        <v>45467</v>
      </c>
      <c r="O11" s="5"/>
      <c r="P11" s="5"/>
      <c r="Q11" s="87"/>
      <c r="R11" s="87"/>
      <c r="S11" s="87"/>
      <c r="T11" s="87"/>
      <c r="U11" s="87" t="s">
        <v>1534</v>
      </c>
      <c r="V11" s="87"/>
      <c r="W11" s="16" t="s">
        <v>628</v>
      </c>
      <c r="X11" s="87"/>
    </row>
    <row r="12" spans="1:24" ht="24">
      <c r="A12" s="87">
        <v>11</v>
      </c>
      <c r="B12" s="2" t="s">
        <v>46</v>
      </c>
      <c r="C12" s="5" t="s">
        <v>743</v>
      </c>
      <c r="D12" s="113" t="s">
        <v>1487</v>
      </c>
      <c r="E12" s="16" t="s">
        <v>1488</v>
      </c>
      <c r="F12" s="16">
        <v>2</v>
      </c>
      <c r="G12" s="16">
        <v>2</v>
      </c>
      <c r="H12" s="87"/>
      <c r="I12" s="5" t="s">
        <v>739</v>
      </c>
      <c r="J12" s="87"/>
      <c r="K12" s="5"/>
      <c r="L12" s="97"/>
      <c r="M12" s="5"/>
      <c r="N12" s="5"/>
      <c r="O12" s="5"/>
      <c r="P12" s="5"/>
      <c r="Q12" s="87"/>
      <c r="R12" s="87"/>
      <c r="S12" s="87"/>
      <c r="T12" s="87"/>
      <c r="U12" s="87" t="s">
        <v>1535</v>
      </c>
      <c r="V12" s="87"/>
      <c r="W12" s="16" t="s">
        <v>628</v>
      </c>
      <c r="X12" s="87" t="s">
        <v>1536</v>
      </c>
    </row>
  </sheetData>
  <dataValidations count="1">
    <dataValidation type="list" allowBlank="1" showErrorMessage="1" sqref="W3:W12" xr:uid="{4C9BC241-D1FD-4A9B-96DF-E39E39C0C599}">
      <formula1>"Open,Inprogress,Closed"</formula1>
    </dataValidation>
  </dataValidations>
  <hyperlinks>
    <hyperlink ref="D3" r:id="rId1" display="https://greatergiving.atlassian.net/browse/GGO-13939" xr:uid="{F75A1EDB-C892-4460-811B-5CE123755510}"/>
    <hyperlink ref="D4" r:id="rId2" display="https://greatergiving.atlassian.net/browse/GGO-13939" xr:uid="{AB7166F9-E592-462B-8655-30608ED95923}"/>
    <hyperlink ref="M4" r:id="rId3" xr:uid="{EDE051E3-86CF-4D34-816B-2F925990F8DF}"/>
    <hyperlink ref="D6" r:id="rId4" display="https://greatergiving.atlassian.net/browse/GGO-14062" xr:uid="{8AD39B0C-0038-4E4C-83E5-F339EB1E8372}"/>
    <hyperlink ref="D5" r:id="rId5" display="https://greatergiving.atlassian.net/browse/PAPI-716" xr:uid="{DED98A57-04E6-4A23-BDFD-A956556EE133}"/>
    <hyperlink ref="D7" r:id="rId6" display="https://greatergiving.atlassian.net/browse/GGO-13856" xr:uid="{F7B71F48-4F89-4140-A017-98D171D3596C}"/>
    <hyperlink ref="D8" r:id="rId7" display="https://greatergiving.atlassian.net/browse/GGO-13998" xr:uid="{C142F25D-3179-478E-A465-D6B7FE6CCA23}"/>
    <hyperlink ref="D9" r:id="rId8" display="https://greatergiving.atlassian.net/browse/GGO-14169" xr:uid="{25A3032B-C52E-436C-9A08-E5132B0B4A06}"/>
    <hyperlink ref="D10" r:id="rId9" display="https://greatergiving.atlassian.net/browse/PAPI-710" xr:uid="{150C95A7-E89B-4A68-94AA-C3F57CA681D8}"/>
    <hyperlink ref="D11" r:id="rId10" display="https://greatergiving.atlassian.net/browse/GGO-13947" xr:uid="{A1BCD8E4-8334-4268-85F8-E62E4C300C42}"/>
    <hyperlink ref="D12" r:id="rId11" display="https://greatergiving.atlassian.net/browse/GGO-14004" xr:uid="{43728519-B18D-42DA-AFDB-8BFF21A5C5C2}"/>
    <hyperlink ref="M3" r:id="rId12" xr:uid="{035A6905-57E1-4DAD-B9EE-84F686BB22B9}"/>
    <hyperlink ref="M11" r:id="rId13" xr:uid="{5E98CE33-030D-49D6-9987-B41BEBBB83F8}"/>
  </hyperlinks>
  <pageMargins left="0" right="0" top="0" bottom="0" header="0" footer="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A92A-9C3B-4E6F-89F5-580E57A697CA}">
  <sheetPr>
    <outlinePr summaryBelow="0" summaryRight="0"/>
  </sheetPr>
  <dimension ref="A1:K2"/>
  <sheetViews>
    <sheetView topLeftCell="B1" workbookViewId="0">
      <selection activeCell="F11" sqref="F11"/>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69"/>
      <c r="G2" s="12"/>
      <c r="H2" s="12"/>
      <c r="I2" s="12"/>
      <c r="J2" s="12"/>
      <c r="K2" s="12"/>
    </row>
  </sheetData>
  <mergeCells count="1">
    <mergeCell ref="B2:E2"/>
  </mergeCells>
  <dataValidations count="4">
    <dataValidation type="list" allowBlank="1" showErrorMessage="1" sqref="G2:G5" xr:uid="{DA7284B8-E09E-4877-9C4B-A63B8CA5A253}">
      <formula1>"Minor,Significant,Major"</formula1>
    </dataValidation>
    <dataValidation type="list" allowBlank="1" showErrorMessage="1" sqref="I2:I5" xr:uid="{D78231BD-8495-4D1D-BFC7-63747CD31809}">
      <formula1>"Open,Inprogress,Closed"</formula1>
    </dataValidation>
    <dataValidation type="list" allowBlank="1" showErrorMessage="1" sqref="E3:E5" xr:uid="{23816B75-758D-4859-9A98-663CF5547583}">
      <formula1>"Bounceback,Defect,None"</formula1>
    </dataValidation>
    <dataValidation type="list" allowBlank="1" showErrorMessage="1" sqref="H2:H5" xr:uid="{54E4C920-FE02-467D-BE01-C5F43DD5F5D1}">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98186C3-AF5B-4EA3-B83B-FCF7595B04C6}">
          <x14:formula1>
            <xm:f>Details!$A$2:$A$10</xm:f>
          </x14:formula1>
          <xm:sqref>J2:J5</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F3095-B264-44B6-9050-F3649E7D7AA7}">
  <sheetPr>
    <outlinePr summaryBelow="0" summaryRight="0"/>
  </sheetPr>
  <dimension ref="A2:X10"/>
  <sheetViews>
    <sheetView showGridLines="0" workbookViewId="0">
      <pane xSplit="5" ySplit="2" topLeftCell="T3" activePane="bottomRight" state="frozen"/>
      <selection pane="bottomRight" activeCell="U5" sqref="U5"/>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43.5" customHeight="1">
      <c r="A3" s="52">
        <v>1</v>
      </c>
      <c r="B3" s="2" t="s">
        <v>45</v>
      </c>
      <c r="C3" s="5" t="s">
        <v>1008</v>
      </c>
      <c r="D3" s="72" t="s">
        <v>1537</v>
      </c>
      <c r="E3" s="16" t="s">
        <v>1538</v>
      </c>
      <c r="F3" s="16">
        <v>2</v>
      </c>
      <c r="G3" s="16">
        <v>2</v>
      </c>
      <c r="H3" s="16" t="s">
        <v>1008</v>
      </c>
      <c r="I3" s="5" t="s">
        <v>739</v>
      </c>
      <c r="J3" s="32" t="s">
        <v>1256</v>
      </c>
      <c r="K3" s="31" t="s">
        <v>743</v>
      </c>
      <c r="L3" s="31" t="s">
        <v>1280</v>
      </c>
      <c r="M3" s="70" t="s">
        <v>1539</v>
      </c>
      <c r="N3" s="50">
        <v>45447</v>
      </c>
      <c r="O3" s="50">
        <v>45448</v>
      </c>
      <c r="P3" s="5" t="s">
        <v>275</v>
      </c>
      <c r="Q3" s="16" t="s">
        <v>1280</v>
      </c>
      <c r="R3" s="16" t="s">
        <v>942</v>
      </c>
      <c r="S3" s="67">
        <v>45448</v>
      </c>
      <c r="T3" s="16" t="s">
        <v>1280</v>
      </c>
      <c r="U3" s="16" t="s">
        <v>1540</v>
      </c>
      <c r="V3" s="16"/>
      <c r="W3" s="16" t="s">
        <v>812</v>
      </c>
      <c r="X3" s="79"/>
    </row>
    <row r="4" spans="1:24" ht="48">
      <c r="A4" s="44">
        <v>2</v>
      </c>
      <c r="B4" s="2" t="s">
        <v>45</v>
      </c>
      <c r="C4" s="5" t="s">
        <v>1008</v>
      </c>
      <c r="D4" s="80" t="s">
        <v>1541</v>
      </c>
      <c r="E4" s="78" t="s">
        <v>1542</v>
      </c>
      <c r="F4" s="35">
        <v>2</v>
      </c>
      <c r="G4" s="35">
        <v>2</v>
      </c>
      <c r="H4" s="16" t="s">
        <v>1008</v>
      </c>
      <c r="I4" s="5" t="s">
        <v>739</v>
      </c>
      <c r="J4" s="32" t="s">
        <v>1256</v>
      </c>
      <c r="K4" s="31" t="s">
        <v>743</v>
      </c>
      <c r="L4" s="31" t="s">
        <v>1280</v>
      </c>
      <c r="M4" s="70" t="s">
        <v>1543</v>
      </c>
      <c r="N4" s="50">
        <v>45443</v>
      </c>
      <c r="O4" s="71">
        <v>45444</v>
      </c>
      <c r="P4" s="5" t="s">
        <v>275</v>
      </c>
      <c r="Q4" s="16" t="s">
        <v>1280</v>
      </c>
      <c r="R4" s="16" t="s">
        <v>942</v>
      </c>
      <c r="S4" s="67">
        <v>45444</v>
      </c>
      <c r="T4" s="16" t="s">
        <v>1280</v>
      </c>
      <c r="U4" s="16" t="s">
        <v>1540</v>
      </c>
      <c r="V4" s="16"/>
      <c r="W4" s="16" t="s">
        <v>812</v>
      </c>
      <c r="X4" s="79"/>
    </row>
    <row r="5" spans="1:24" ht="60">
      <c r="A5" s="16">
        <v>3</v>
      </c>
      <c r="B5" s="2" t="s">
        <v>45</v>
      </c>
      <c r="C5" s="5" t="s">
        <v>1008</v>
      </c>
      <c r="D5" s="72" t="s">
        <v>1544</v>
      </c>
      <c r="E5" s="16" t="s">
        <v>1545</v>
      </c>
      <c r="F5" s="16">
        <v>5</v>
      </c>
      <c r="G5" s="16">
        <v>4</v>
      </c>
      <c r="H5" s="16" t="s">
        <v>1008</v>
      </c>
      <c r="I5" s="5"/>
      <c r="J5" s="16"/>
      <c r="K5" s="31"/>
      <c r="L5" s="31"/>
      <c r="M5" s="63"/>
      <c r="N5" s="68"/>
      <c r="O5" s="68"/>
      <c r="P5" s="5"/>
      <c r="Q5" s="16"/>
      <c r="R5" s="83"/>
      <c r="S5" s="67"/>
      <c r="T5" s="16"/>
      <c r="U5" s="16" t="s">
        <v>1546</v>
      </c>
      <c r="V5" s="16"/>
      <c r="W5" s="16" t="s">
        <v>812</v>
      </c>
      <c r="X5" s="16" t="s">
        <v>1547</v>
      </c>
    </row>
    <row r="6" spans="1:24" ht="48">
      <c r="A6" s="16">
        <v>4</v>
      </c>
      <c r="B6" s="2" t="s">
        <v>45</v>
      </c>
      <c r="C6" s="5" t="s">
        <v>743</v>
      </c>
      <c r="D6" s="72" t="s">
        <v>1548</v>
      </c>
      <c r="E6" s="16" t="s">
        <v>1545</v>
      </c>
      <c r="F6" s="16">
        <v>3</v>
      </c>
      <c r="G6" s="16">
        <v>2</v>
      </c>
      <c r="H6" s="16" t="s">
        <v>743</v>
      </c>
      <c r="I6" s="5" t="s">
        <v>739</v>
      </c>
      <c r="J6" s="16"/>
      <c r="K6" s="5" t="s">
        <v>746</v>
      </c>
      <c r="L6" s="89" t="s">
        <v>1280</v>
      </c>
      <c r="M6" s="70" t="s">
        <v>1549</v>
      </c>
      <c r="N6" s="86">
        <v>45571</v>
      </c>
      <c r="O6" s="86">
        <v>45632</v>
      </c>
      <c r="P6" s="5" t="s">
        <v>275</v>
      </c>
      <c r="Q6" s="16"/>
      <c r="R6" s="16" t="s">
        <v>825</v>
      </c>
      <c r="S6" s="16"/>
      <c r="T6" s="16"/>
      <c r="U6" s="16" t="s">
        <v>1550</v>
      </c>
      <c r="V6" s="16"/>
      <c r="W6" s="16" t="s">
        <v>812</v>
      </c>
      <c r="X6" s="16" t="s">
        <v>1547</v>
      </c>
    </row>
    <row r="7" spans="1:24" ht="60" customHeight="1">
      <c r="A7" s="88">
        <v>5</v>
      </c>
      <c r="B7" s="2" t="s">
        <v>45</v>
      </c>
      <c r="C7" s="89" t="s">
        <v>743</v>
      </c>
      <c r="D7" s="72" t="s">
        <v>1551</v>
      </c>
      <c r="E7" s="16" t="s">
        <v>1552</v>
      </c>
      <c r="F7" s="88">
        <v>3</v>
      </c>
      <c r="G7" s="88">
        <v>3</v>
      </c>
      <c r="H7" s="88" t="s">
        <v>743</v>
      </c>
      <c r="I7" s="89" t="s">
        <v>739</v>
      </c>
      <c r="J7" s="88"/>
      <c r="K7" s="91" t="s">
        <v>275</v>
      </c>
      <c r="L7" s="90" t="s">
        <v>1553</v>
      </c>
      <c r="M7" s="92" t="s">
        <v>1554</v>
      </c>
      <c r="N7" s="93">
        <v>45388</v>
      </c>
      <c r="O7" s="93">
        <v>45388</v>
      </c>
      <c r="P7" s="89" t="s">
        <v>275</v>
      </c>
      <c r="Q7" s="88" t="s">
        <v>1280</v>
      </c>
      <c r="R7" s="16" t="s">
        <v>825</v>
      </c>
      <c r="S7" s="94">
        <v>45388</v>
      </c>
      <c r="T7" s="88" t="s">
        <v>1280</v>
      </c>
      <c r="U7" s="88" t="s">
        <v>1555</v>
      </c>
      <c r="V7" s="88"/>
      <c r="W7" s="88" t="s">
        <v>812</v>
      </c>
      <c r="X7" s="88"/>
    </row>
    <row r="8" spans="1:24" s="87" customFormat="1" ht="23.25">
      <c r="A8" s="87">
        <v>6</v>
      </c>
      <c r="B8" s="2" t="s">
        <v>45</v>
      </c>
      <c r="C8" s="5" t="s">
        <v>807</v>
      </c>
      <c r="D8" s="72" t="s">
        <v>1556</v>
      </c>
      <c r="E8" s="16" t="s">
        <v>1557</v>
      </c>
      <c r="F8" s="16">
        <v>1</v>
      </c>
      <c r="G8" s="16">
        <v>1</v>
      </c>
      <c r="H8" s="87" t="s">
        <v>93</v>
      </c>
      <c r="I8" s="5" t="s">
        <v>739</v>
      </c>
      <c r="J8" s="32" t="s">
        <v>1256</v>
      </c>
      <c r="K8" s="31" t="s">
        <v>93</v>
      </c>
      <c r="L8" s="31" t="s">
        <v>1280</v>
      </c>
      <c r="M8" s="70" t="s">
        <v>93</v>
      </c>
      <c r="N8" s="50" t="s">
        <v>93</v>
      </c>
      <c r="O8" s="5" t="s">
        <v>93</v>
      </c>
      <c r="P8" s="5" t="s">
        <v>93</v>
      </c>
      <c r="Q8" s="16" t="s">
        <v>93</v>
      </c>
      <c r="R8" s="16" t="s">
        <v>93</v>
      </c>
      <c r="S8" s="16" t="s">
        <v>93</v>
      </c>
      <c r="T8" s="16" t="s">
        <v>93</v>
      </c>
      <c r="U8" s="16" t="s">
        <v>93</v>
      </c>
      <c r="V8" s="16" t="s">
        <v>93</v>
      </c>
      <c r="W8" s="88" t="s">
        <v>812</v>
      </c>
    </row>
    <row r="9" spans="1:24" s="87" customFormat="1" ht="23.25">
      <c r="A9" s="87">
        <v>7</v>
      </c>
      <c r="B9" s="2" t="s">
        <v>45</v>
      </c>
      <c r="C9" s="5" t="s">
        <v>807</v>
      </c>
      <c r="D9" s="72" t="s">
        <v>1518</v>
      </c>
      <c r="E9" s="16" t="s">
        <v>1519</v>
      </c>
      <c r="F9" s="16">
        <v>2</v>
      </c>
      <c r="G9" s="16">
        <v>1</v>
      </c>
      <c r="H9" s="16" t="s">
        <v>93</v>
      </c>
      <c r="I9" s="5" t="s">
        <v>739</v>
      </c>
      <c r="J9" s="32" t="s">
        <v>1256</v>
      </c>
      <c r="K9" s="31" t="s">
        <v>93</v>
      </c>
      <c r="L9" s="31" t="s">
        <v>1280</v>
      </c>
      <c r="M9" s="70" t="s">
        <v>93</v>
      </c>
      <c r="N9" s="50" t="s">
        <v>93</v>
      </c>
      <c r="O9" s="5" t="s">
        <v>93</v>
      </c>
      <c r="P9" s="5" t="s">
        <v>93</v>
      </c>
      <c r="Q9" s="16" t="s">
        <v>93</v>
      </c>
      <c r="R9" s="16" t="s">
        <v>93</v>
      </c>
      <c r="S9" s="16" t="s">
        <v>93</v>
      </c>
      <c r="T9" s="16" t="s">
        <v>93</v>
      </c>
      <c r="U9" s="16" t="s">
        <v>93</v>
      </c>
      <c r="V9" s="16" t="s">
        <v>93</v>
      </c>
      <c r="W9" s="16" t="s">
        <v>628</v>
      </c>
      <c r="X9" s="16" t="s">
        <v>1558</v>
      </c>
    </row>
    <row r="10" spans="1:24" s="87" customFormat="1" ht="23.25">
      <c r="A10" s="87">
        <v>8</v>
      </c>
      <c r="B10" s="2" t="s">
        <v>45</v>
      </c>
      <c r="C10" s="5" t="s">
        <v>807</v>
      </c>
      <c r="D10" s="72" t="s">
        <v>1520</v>
      </c>
      <c r="E10" s="16" t="s">
        <v>1521</v>
      </c>
      <c r="F10" s="16">
        <v>2</v>
      </c>
      <c r="G10" s="16">
        <v>1</v>
      </c>
      <c r="H10" s="16" t="s">
        <v>93</v>
      </c>
      <c r="I10" s="5" t="s">
        <v>739</v>
      </c>
      <c r="J10" s="32" t="s">
        <v>1256</v>
      </c>
      <c r="K10" s="31" t="s">
        <v>93</v>
      </c>
      <c r="L10" s="31" t="s">
        <v>1280</v>
      </c>
      <c r="M10" s="70" t="s">
        <v>93</v>
      </c>
      <c r="N10" s="50" t="s">
        <v>93</v>
      </c>
      <c r="O10" s="5" t="s">
        <v>93</v>
      </c>
      <c r="P10" s="5" t="s">
        <v>93</v>
      </c>
      <c r="Q10" s="16" t="s">
        <v>93</v>
      </c>
      <c r="R10" s="16" t="s">
        <v>93</v>
      </c>
      <c r="S10" s="16" t="s">
        <v>93</v>
      </c>
      <c r="T10" s="16" t="s">
        <v>93</v>
      </c>
      <c r="U10" s="16" t="s">
        <v>93</v>
      </c>
      <c r="V10" s="16" t="s">
        <v>93</v>
      </c>
      <c r="W10" s="16" t="s">
        <v>628</v>
      </c>
      <c r="X10" s="16" t="s">
        <v>1558</v>
      </c>
    </row>
  </sheetData>
  <dataValidations count="1">
    <dataValidation type="list" allowBlank="1" showErrorMessage="1" sqref="W3:W6" xr:uid="{17712662-DC92-4C36-8E4F-6792941776FC}">
      <formula1>"Open,Inprogress,Closed"</formula1>
    </dataValidation>
  </dataValidations>
  <hyperlinks>
    <hyperlink ref="D4" r:id="rId1" display="https://greatergiving.atlassian.net/browse/GGO-13948" xr:uid="{9853FE5E-BC18-4F26-A7FD-5FBC01D7EA22}"/>
    <hyperlink ref="D3" r:id="rId2" display="https://greatergiving.atlassian.net/browse/GGO-13981" xr:uid="{F1EFD592-48D8-4657-899C-54783D266C87}"/>
    <hyperlink ref="D5" r:id="rId3" display="https://greatergiving.atlassian.net/browse/GGO-13939" xr:uid="{FEB6FE90-EDD7-48FC-A723-B4B41780FA52}"/>
    <hyperlink ref="M3" r:id="rId4" xr:uid="{868BAA90-FE10-4644-A9AB-D35DAAD9EE7D}"/>
    <hyperlink ref="M4" r:id="rId5" xr:uid="{E229D58F-3627-463C-840A-8C8393F6EAA9}"/>
    <hyperlink ref="D6" r:id="rId6" display="https://greatergiving.atlassian.net/browse/GGO-13939" xr:uid="{1F1019E1-9475-4C65-B0B4-0E5A9FF0402E}"/>
    <hyperlink ref="M6" r:id="rId7" xr:uid="{B53CCA93-6D96-4ECD-9FE6-3E763B5AE377}"/>
    <hyperlink ref="D10" r:id="rId8" display="https://greatergiving.atlassian.net/browse/GGO-14062" xr:uid="{1077766E-C52A-4AF9-AD8A-73D52C977C49}"/>
    <hyperlink ref="D7" r:id="rId9" display="https://greatergiving.atlassian.net/browse/GGO-13939" xr:uid="{2A461421-77F5-420B-A23B-8FA3AABC9DDD}"/>
    <hyperlink ref="D9" r:id="rId10" display="https://greatergiving.atlassian.net/browse/PAPI-716" xr:uid="{7C04D5F6-0EFA-465E-9A4A-13673F6B8B8E}"/>
    <hyperlink ref="M7" r:id="rId11" xr:uid="{AA394E14-D309-4251-941D-C378D7255339}"/>
    <hyperlink ref="D8" r:id="rId12" display="https://greatergiving.atlassian.net/browse/PAPI-713" xr:uid="{FF4D0AE6-6DD3-4828-8F1E-AE4E142B6CB7}"/>
  </hyperlinks>
  <pageMargins left="0" right="0" top="0" bottom="0" header="0" footer="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5BB0B-84EC-47CA-BC2A-04A2D8DBE37D}">
  <sheetPr>
    <outlinePr summaryBelow="0" summaryRight="0"/>
  </sheetPr>
  <dimension ref="A2:X9"/>
  <sheetViews>
    <sheetView showGridLines="0" workbookViewId="0">
      <pane xSplit="5" ySplit="2" topLeftCell="F3" activePane="bottomRight" state="frozen"/>
      <selection pane="bottomRight" activeCell="B2" sqref="B2"/>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43.5" customHeight="1">
      <c r="A3" s="52">
        <v>1</v>
      </c>
      <c r="B3" s="2" t="s">
        <v>43</v>
      </c>
      <c r="C3" s="5" t="s">
        <v>1269</v>
      </c>
      <c r="D3" s="72" t="s">
        <v>1559</v>
      </c>
      <c r="E3" s="16" t="s">
        <v>1560</v>
      </c>
      <c r="F3" s="16">
        <v>5</v>
      </c>
      <c r="G3" s="16">
        <v>5</v>
      </c>
      <c r="H3" s="16" t="s">
        <v>1008</v>
      </c>
      <c r="I3" s="5"/>
      <c r="J3" s="32"/>
      <c r="K3" s="31" t="s">
        <v>743</v>
      </c>
      <c r="L3" s="31"/>
      <c r="M3" s="70" t="s">
        <v>1561</v>
      </c>
      <c r="N3" s="50">
        <v>45436</v>
      </c>
      <c r="O3" s="5"/>
      <c r="P3" s="5"/>
      <c r="Q3" s="16"/>
      <c r="R3" s="16"/>
      <c r="S3" s="16"/>
      <c r="T3" s="16"/>
      <c r="U3" s="16"/>
      <c r="V3" s="16"/>
      <c r="W3" s="16" t="s">
        <v>812</v>
      </c>
      <c r="X3" s="79" t="s">
        <v>1562</v>
      </c>
    </row>
    <row r="4" spans="1:24" ht="46.5">
      <c r="A4" s="44">
        <v>2</v>
      </c>
      <c r="B4" s="2" t="s">
        <v>43</v>
      </c>
      <c r="C4" s="5" t="s">
        <v>1008</v>
      </c>
      <c r="D4" s="80" t="s">
        <v>1563</v>
      </c>
      <c r="E4" s="78" t="s">
        <v>1564</v>
      </c>
      <c r="F4" s="35">
        <v>2</v>
      </c>
      <c r="G4" s="35">
        <v>2</v>
      </c>
      <c r="H4" s="16" t="s">
        <v>1008</v>
      </c>
      <c r="I4" s="5"/>
      <c r="J4" s="32"/>
      <c r="K4" s="31"/>
      <c r="L4" s="31"/>
      <c r="M4" s="70" t="s">
        <v>1565</v>
      </c>
      <c r="N4" s="50">
        <v>45440</v>
      </c>
      <c r="O4" s="71"/>
      <c r="P4" s="5"/>
      <c r="Q4" s="16"/>
      <c r="R4" s="16"/>
      <c r="S4" s="67"/>
      <c r="T4" s="16"/>
      <c r="U4" s="16"/>
      <c r="V4" s="16"/>
      <c r="W4" s="16" t="s">
        <v>812</v>
      </c>
      <c r="X4" s="79"/>
    </row>
    <row r="5" spans="1:24" ht="23.25">
      <c r="A5" s="16">
        <v>3</v>
      </c>
      <c r="B5" s="2" t="s">
        <v>43</v>
      </c>
      <c r="C5" s="5" t="s">
        <v>275</v>
      </c>
      <c r="D5" s="72" t="s">
        <v>1566</v>
      </c>
      <c r="E5" s="16" t="s">
        <v>1567</v>
      </c>
      <c r="F5" s="16">
        <v>1</v>
      </c>
      <c r="G5" s="16">
        <v>1</v>
      </c>
      <c r="H5" s="16" t="s">
        <v>275</v>
      </c>
      <c r="I5" s="5"/>
      <c r="J5" s="16"/>
      <c r="K5" s="31"/>
      <c r="L5" s="31"/>
      <c r="M5" s="63"/>
      <c r="N5" s="68"/>
      <c r="O5" s="68"/>
      <c r="P5" s="5"/>
      <c r="Q5" s="16"/>
      <c r="R5" s="83"/>
      <c r="S5" s="67"/>
      <c r="T5" s="16"/>
      <c r="U5" s="16"/>
      <c r="V5" s="16"/>
      <c r="W5" s="16" t="s">
        <v>812</v>
      </c>
      <c r="X5" s="16"/>
    </row>
    <row r="6" spans="1:24">
      <c r="A6" s="16">
        <v>4</v>
      </c>
      <c r="B6" s="2" t="s">
        <v>43</v>
      </c>
      <c r="C6" s="5" t="s">
        <v>807</v>
      </c>
      <c r="D6" s="72" t="s">
        <v>1568</v>
      </c>
      <c r="E6" s="16" t="s">
        <v>1569</v>
      </c>
      <c r="F6" s="16">
        <v>2</v>
      </c>
      <c r="G6" s="16">
        <v>2</v>
      </c>
      <c r="H6" s="16" t="s">
        <v>743</v>
      </c>
      <c r="I6" s="5" t="s">
        <v>739</v>
      </c>
      <c r="J6" s="32" t="s">
        <v>1256</v>
      </c>
      <c r="K6" s="31" t="s">
        <v>93</v>
      </c>
      <c r="L6" s="31" t="s">
        <v>1280</v>
      </c>
      <c r="M6" s="70" t="s">
        <v>93</v>
      </c>
      <c r="N6" s="50" t="s">
        <v>93</v>
      </c>
      <c r="O6" s="5" t="s">
        <v>93</v>
      </c>
      <c r="P6" s="5" t="s">
        <v>93</v>
      </c>
      <c r="Q6" s="16" t="s">
        <v>93</v>
      </c>
      <c r="R6" s="16" t="s">
        <v>93</v>
      </c>
      <c r="S6" s="16" t="s">
        <v>93</v>
      </c>
      <c r="T6" s="16" t="s">
        <v>93</v>
      </c>
      <c r="U6" s="16" t="s">
        <v>93</v>
      </c>
      <c r="V6" s="16" t="s">
        <v>93</v>
      </c>
      <c r="W6" s="16" t="s">
        <v>812</v>
      </c>
      <c r="X6" s="16"/>
    </row>
    <row r="7" spans="1:24" ht="48">
      <c r="A7" s="16">
        <v>5</v>
      </c>
      <c r="B7" s="2" t="s">
        <v>43</v>
      </c>
      <c r="C7" s="5" t="s">
        <v>743</v>
      </c>
      <c r="D7" s="72" t="s">
        <v>1570</v>
      </c>
      <c r="E7" s="16" t="s">
        <v>1571</v>
      </c>
      <c r="F7" s="16">
        <v>3</v>
      </c>
      <c r="G7" s="16"/>
      <c r="H7" s="16"/>
      <c r="I7" s="5"/>
      <c r="J7" s="16"/>
      <c r="K7" s="5"/>
      <c r="L7" s="5" t="s">
        <v>93</v>
      </c>
      <c r="M7" s="5" t="s">
        <v>93</v>
      </c>
      <c r="N7" s="5" t="s">
        <v>93</v>
      </c>
      <c r="O7" s="5" t="s">
        <v>93</v>
      </c>
      <c r="P7" s="5"/>
      <c r="Q7" s="16"/>
      <c r="R7" s="16"/>
      <c r="S7" s="16"/>
      <c r="T7" s="16"/>
      <c r="U7" s="16"/>
      <c r="V7" s="16"/>
      <c r="W7" s="16" t="s">
        <v>812</v>
      </c>
      <c r="X7" s="16" t="s">
        <v>1572</v>
      </c>
    </row>
    <row r="8" spans="1:24" ht="39" customHeight="1">
      <c r="A8" s="16">
        <v>6</v>
      </c>
      <c r="B8" s="2" t="s">
        <v>43</v>
      </c>
      <c r="C8" s="5" t="s">
        <v>807</v>
      </c>
      <c r="D8" s="72" t="s">
        <v>1573</v>
      </c>
      <c r="E8" s="16" t="s">
        <v>1574</v>
      </c>
      <c r="F8" s="16">
        <v>1</v>
      </c>
      <c r="G8" s="16">
        <v>1</v>
      </c>
      <c r="H8" s="16" t="s">
        <v>93</v>
      </c>
      <c r="I8" s="5" t="s">
        <v>739</v>
      </c>
      <c r="J8" s="32" t="s">
        <v>1256</v>
      </c>
      <c r="K8" s="31" t="s">
        <v>93</v>
      </c>
      <c r="L8" s="31" t="s">
        <v>1280</v>
      </c>
      <c r="M8" s="70" t="s">
        <v>93</v>
      </c>
      <c r="N8" s="50" t="s">
        <v>93</v>
      </c>
      <c r="O8" s="5" t="s">
        <v>93</v>
      </c>
      <c r="P8" s="5" t="s">
        <v>93</v>
      </c>
      <c r="Q8" s="16" t="s">
        <v>93</v>
      </c>
      <c r="R8" s="16" t="s">
        <v>93</v>
      </c>
      <c r="S8" s="16" t="s">
        <v>93</v>
      </c>
      <c r="T8" s="16" t="s">
        <v>93</v>
      </c>
      <c r="U8" s="16" t="s">
        <v>93</v>
      </c>
      <c r="V8" s="16" t="s">
        <v>93</v>
      </c>
      <c r="W8" s="16" t="s">
        <v>628</v>
      </c>
      <c r="X8" s="16" t="s">
        <v>1575</v>
      </c>
    </row>
    <row r="9" spans="1:24" ht="48">
      <c r="A9" s="16">
        <v>7</v>
      </c>
      <c r="B9" s="16" t="s">
        <v>43</v>
      </c>
      <c r="C9" s="5" t="s">
        <v>743</v>
      </c>
      <c r="D9" s="72" t="s">
        <v>1576</v>
      </c>
      <c r="E9" s="85" t="s">
        <v>1577</v>
      </c>
      <c r="F9" s="16">
        <v>1</v>
      </c>
      <c r="G9" s="16">
        <v>1</v>
      </c>
      <c r="H9" s="16" t="s">
        <v>93</v>
      </c>
      <c r="I9" s="5" t="s">
        <v>93</v>
      </c>
      <c r="J9" s="16" t="s">
        <v>93</v>
      </c>
      <c r="K9" s="5" t="s">
        <v>93</v>
      </c>
      <c r="L9" s="5" t="s">
        <v>1280</v>
      </c>
      <c r="M9" s="70" t="s">
        <v>1578</v>
      </c>
      <c r="N9" s="71">
        <v>45432</v>
      </c>
      <c r="O9" s="71">
        <v>45433</v>
      </c>
      <c r="P9" s="5" t="s">
        <v>275</v>
      </c>
      <c r="Q9" s="16" t="s">
        <v>1256</v>
      </c>
      <c r="R9" s="16" t="s">
        <v>915</v>
      </c>
      <c r="S9" s="67">
        <v>45433</v>
      </c>
      <c r="T9" s="83" t="s">
        <v>1579</v>
      </c>
      <c r="U9" s="16" t="s">
        <v>1256</v>
      </c>
      <c r="V9" s="16" t="s">
        <v>1256</v>
      </c>
      <c r="W9" s="16" t="s">
        <v>812</v>
      </c>
      <c r="X9" s="16"/>
    </row>
  </sheetData>
  <dataValidations count="1">
    <dataValidation type="list" allowBlank="1" showErrorMessage="1" sqref="W3:W7" xr:uid="{4A25F8EE-280B-40E2-9570-FE1C14BBC47B}">
      <formula1>"Open,Inprogress,Closed"</formula1>
    </dataValidation>
  </dataValidations>
  <hyperlinks>
    <hyperlink ref="D4" r:id="rId1" display="https://greatergiving.atlassian.net/browse/GGO-13948" xr:uid="{98687DB3-8285-407E-A4D9-0DECDCADC2BE}"/>
    <hyperlink ref="D3" r:id="rId2" display="https://greatergiving.atlassian.net/browse/GGO-13981" xr:uid="{9B73E304-67C1-4219-B0F2-805A1C9BAD67}"/>
    <hyperlink ref="D5" r:id="rId3" display="https://greatergiving.atlassian.net/browse/GGO-13939" xr:uid="{4278E63C-4933-47B9-B1E3-B9FA16F4E244}"/>
    <hyperlink ref="M3" r:id="rId4" xr:uid="{7FFE3749-7946-489C-8A95-7334CB12D305}"/>
    <hyperlink ref="M4" r:id="rId5" xr:uid="{EB856035-668C-4ED8-9AB6-D8199E4D546F}"/>
    <hyperlink ref="D8" r:id="rId6" display="https://greatergiving.atlassian.net/browse/GGO-14005" xr:uid="{7A3D806B-7550-4176-AE41-F9CC09C77D3A}"/>
    <hyperlink ref="D9" r:id="rId7" display="https://greatergiving.atlassian.net/browse/GGO-14005" xr:uid="{F81CF1BD-E05F-46CB-B8EC-1090480696EE}"/>
    <hyperlink ref="M9" r:id="rId8" xr:uid="{B4373841-D8D7-4153-B645-0CCDF5A9B687}"/>
  </hyperlinks>
  <pageMargins left="0" right="0" top="0" bottom="0" header="0" footer="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0A1C5-014F-44B0-8FE2-5FFF7295A8BD}">
  <sheetPr>
    <outlinePr summaryBelow="0" summaryRight="0"/>
  </sheetPr>
  <dimension ref="A1:K2"/>
  <sheetViews>
    <sheetView topLeftCell="B1" workbookViewId="0"/>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69"/>
      <c r="G2" s="12"/>
      <c r="H2" s="12"/>
      <c r="I2" s="12"/>
      <c r="J2" s="12"/>
      <c r="K2" s="12"/>
    </row>
  </sheetData>
  <mergeCells count="1">
    <mergeCell ref="B2:E2"/>
  </mergeCells>
  <dataValidations count="4">
    <dataValidation type="list" allowBlank="1" showErrorMessage="1" sqref="H2:H5" xr:uid="{9D0C07B1-9CB1-408E-8F0A-45DA7F98ECDC}">
      <formula1>"Internal,External"</formula1>
    </dataValidation>
    <dataValidation type="list" allowBlank="1" showErrorMessage="1" sqref="E3:E5" xr:uid="{1AA3B31B-C804-4554-A75E-3B407E4F4425}">
      <formula1>"Bounceback,Defect,None"</formula1>
    </dataValidation>
    <dataValidation type="list" allowBlank="1" showErrorMessage="1" sqref="I2:I5" xr:uid="{82037857-673C-4C2F-9BFE-D6BB9C18666B}">
      <formula1>"Open,Inprogress,Closed"</formula1>
    </dataValidation>
    <dataValidation type="list" allowBlank="1" showErrorMessage="1" sqref="G2:G5" xr:uid="{960A1756-0840-4146-989E-2629A23FE17B}">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88E685E-6A4F-4ED1-A804-4B868156A0D6}">
          <x14:formula1>
            <xm:f>Details!$A$2:$A$10</xm:f>
          </x14:formula1>
          <xm:sqref>J2:J5</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C060-4C36-48F3-AF70-25E7C2DC4DC5}">
  <sheetPr>
    <outlinePr summaryBelow="0" summaryRight="0"/>
  </sheetPr>
  <dimension ref="A1:K2"/>
  <sheetViews>
    <sheetView topLeftCell="B1" workbookViewId="0">
      <selection activeCell="C1" sqref="C1"/>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69"/>
      <c r="G2" s="12"/>
      <c r="H2" s="12"/>
      <c r="I2" s="12"/>
      <c r="J2" s="12"/>
      <c r="K2" s="12"/>
    </row>
  </sheetData>
  <mergeCells count="1">
    <mergeCell ref="B2:E2"/>
  </mergeCells>
  <dataValidations count="4">
    <dataValidation type="list" allowBlank="1" showErrorMessage="1" sqref="G2:G5" xr:uid="{C25DB35A-3BF6-4ED6-A0E2-9F9245451EB6}">
      <formula1>"Minor,Significant,Major"</formula1>
    </dataValidation>
    <dataValidation type="list" allowBlank="1" showErrorMessage="1" sqref="I2:I5" xr:uid="{DC4F3D0D-7D53-4D98-BF7A-EC379DDAACD3}">
      <formula1>"Open,Inprogress,Closed"</formula1>
    </dataValidation>
    <dataValidation type="list" allowBlank="1" showErrorMessage="1" sqref="E3:E5" xr:uid="{26D41AE6-FAB9-41F9-A21C-873E34AB08C7}">
      <formula1>"Bounceback,Defect,None"</formula1>
    </dataValidation>
    <dataValidation type="list" allowBlank="1" showErrorMessage="1" sqref="H2:H5" xr:uid="{AAE43E11-C91C-40E2-963D-0E74E700CC7E}">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C723E5D-3DA5-4986-9234-50ABAF922773}">
          <x14:formula1>
            <xm:f>Details!$A$2:$A$10</xm:f>
          </x14:formula1>
          <xm:sqref>J2:J5</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83247-47FD-461F-B6A8-9CD37D763ECC}">
  <sheetPr>
    <outlinePr summaryBelow="0" summaryRight="0"/>
  </sheetPr>
  <dimension ref="A2:X7"/>
  <sheetViews>
    <sheetView showGridLines="0" workbookViewId="0">
      <pane xSplit="5" ySplit="2" topLeftCell="W7" activePane="bottomRight" state="frozen"/>
      <selection pane="bottomRight" activeCell="W7" sqref="W7"/>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43.5" customHeight="1">
      <c r="A3" s="52">
        <v>1</v>
      </c>
      <c r="B3" s="2" t="s">
        <v>41</v>
      </c>
      <c r="C3" s="5" t="s">
        <v>275</v>
      </c>
      <c r="D3" s="72" t="s">
        <v>1580</v>
      </c>
      <c r="E3" s="16" t="s">
        <v>1581</v>
      </c>
      <c r="F3" s="16">
        <v>1</v>
      </c>
      <c r="G3" s="16">
        <v>1</v>
      </c>
      <c r="H3" s="16" t="s">
        <v>275</v>
      </c>
      <c r="I3" s="5" t="s">
        <v>739</v>
      </c>
      <c r="J3" s="32" t="s">
        <v>1256</v>
      </c>
      <c r="K3" s="31" t="s">
        <v>1008</v>
      </c>
      <c r="L3" s="31" t="s">
        <v>1280</v>
      </c>
      <c r="M3" s="70" t="s">
        <v>1582</v>
      </c>
      <c r="N3" s="50"/>
      <c r="O3" s="5"/>
      <c r="P3" s="5"/>
      <c r="Q3" s="16"/>
      <c r="R3" s="16"/>
      <c r="S3" s="16"/>
      <c r="T3" s="16"/>
      <c r="U3" s="16"/>
      <c r="V3" s="16"/>
      <c r="W3" s="16" t="s">
        <v>812</v>
      </c>
      <c r="X3" s="79"/>
    </row>
    <row r="4" spans="1:24" ht="46.5">
      <c r="A4" s="44">
        <v>2</v>
      </c>
      <c r="B4" s="2" t="s">
        <v>41</v>
      </c>
      <c r="C4" s="5" t="s">
        <v>1008</v>
      </c>
      <c r="D4" s="80" t="s">
        <v>1583</v>
      </c>
      <c r="E4" s="78" t="s">
        <v>1584</v>
      </c>
      <c r="F4" s="35">
        <v>2</v>
      </c>
      <c r="G4" s="35">
        <v>2</v>
      </c>
      <c r="H4" s="16" t="s">
        <v>1008</v>
      </c>
      <c r="I4" s="5" t="s">
        <v>739</v>
      </c>
      <c r="J4" s="32" t="s">
        <v>1256</v>
      </c>
      <c r="K4" s="31" t="s">
        <v>275</v>
      </c>
      <c r="L4" s="31" t="s">
        <v>1280</v>
      </c>
      <c r="M4" s="70" t="s">
        <v>1585</v>
      </c>
      <c r="N4" s="50">
        <v>45412</v>
      </c>
      <c r="O4" s="71">
        <v>45413</v>
      </c>
      <c r="P4" s="5" t="s">
        <v>275</v>
      </c>
      <c r="Q4" s="16" t="s">
        <v>93</v>
      </c>
      <c r="R4" s="16" t="s">
        <v>942</v>
      </c>
      <c r="S4" s="67">
        <v>45413</v>
      </c>
      <c r="T4" s="16" t="s">
        <v>1256</v>
      </c>
      <c r="U4" s="16" t="s">
        <v>1256</v>
      </c>
      <c r="V4" s="16" t="s">
        <v>1256</v>
      </c>
      <c r="W4" s="16" t="s">
        <v>812</v>
      </c>
      <c r="X4" s="79"/>
    </row>
    <row r="5" spans="1:24" ht="46.5">
      <c r="A5" s="16">
        <v>3</v>
      </c>
      <c r="B5" s="2" t="s">
        <v>41</v>
      </c>
      <c r="C5" s="5" t="s">
        <v>743</v>
      </c>
      <c r="D5" s="72" t="s">
        <v>1586</v>
      </c>
      <c r="E5" s="16" t="s">
        <v>1587</v>
      </c>
      <c r="F5" s="16">
        <v>3</v>
      </c>
      <c r="G5" s="16">
        <v>2</v>
      </c>
      <c r="H5" s="16" t="s">
        <v>743</v>
      </c>
      <c r="I5" s="5" t="s">
        <v>739</v>
      </c>
      <c r="J5" s="16" t="s">
        <v>1256</v>
      </c>
      <c r="K5" s="31" t="s">
        <v>275</v>
      </c>
      <c r="L5" s="31" t="s">
        <v>1280</v>
      </c>
      <c r="M5" s="63" t="s">
        <v>1588</v>
      </c>
      <c r="N5" s="68">
        <v>45415</v>
      </c>
      <c r="O5" s="68">
        <v>45419</v>
      </c>
      <c r="P5" s="5" t="s">
        <v>275</v>
      </c>
      <c r="Q5" s="16" t="s">
        <v>93</v>
      </c>
      <c r="R5" s="83" t="s">
        <v>741</v>
      </c>
      <c r="S5" s="67">
        <v>45419</v>
      </c>
      <c r="T5" s="16" t="s">
        <v>1256</v>
      </c>
      <c r="U5" s="16" t="s">
        <v>1256</v>
      </c>
      <c r="V5" s="16" t="s">
        <v>1256</v>
      </c>
      <c r="W5" s="16" t="s">
        <v>628</v>
      </c>
      <c r="X5" s="16" t="s">
        <v>1589</v>
      </c>
    </row>
    <row r="6" spans="1:24" ht="35.25">
      <c r="A6" s="16">
        <v>4</v>
      </c>
      <c r="B6" s="2" t="s">
        <v>41</v>
      </c>
      <c r="C6" s="5" t="s">
        <v>807</v>
      </c>
      <c r="D6" s="72" t="s">
        <v>1568</v>
      </c>
      <c r="E6" s="16" t="s">
        <v>1569</v>
      </c>
      <c r="F6" s="16">
        <v>3</v>
      </c>
      <c r="G6" s="16">
        <v>2</v>
      </c>
      <c r="H6" s="16" t="s">
        <v>743</v>
      </c>
      <c r="I6" s="5" t="s">
        <v>739</v>
      </c>
      <c r="J6" s="32" t="s">
        <v>1256</v>
      </c>
      <c r="K6" s="31" t="s">
        <v>93</v>
      </c>
      <c r="L6" s="31" t="s">
        <v>1280</v>
      </c>
      <c r="M6" s="70" t="s">
        <v>93</v>
      </c>
      <c r="N6" s="50" t="s">
        <v>93</v>
      </c>
      <c r="O6" s="5" t="s">
        <v>93</v>
      </c>
      <c r="P6" s="5" t="s">
        <v>93</v>
      </c>
      <c r="Q6" s="16" t="s">
        <v>93</v>
      </c>
      <c r="R6" s="16" t="s">
        <v>93</v>
      </c>
      <c r="S6" s="16" t="s">
        <v>93</v>
      </c>
      <c r="T6" s="16" t="s">
        <v>93</v>
      </c>
      <c r="U6" s="16" t="s">
        <v>93</v>
      </c>
      <c r="V6" s="16" t="s">
        <v>93</v>
      </c>
      <c r="W6" s="16" t="s">
        <v>628</v>
      </c>
      <c r="X6" s="16" t="s">
        <v>1590</v>
      </c>
    </row>
    <row r="7" spans="1:24" ht="23.25">
      <c r="A7" s="16">
        <v>5</v>
      </c>
      <c r="B7" s="2" t="s">
        <v>41</v>
      </c>
      <c r="C7" s="5" t="s">
        <v>275</v>
      </c>
      <c r="D7" s="72" t="s">
        <v>1591</v>
      </c>
      <c r="E7" s="16" t="s">
        <v>1592</v>
      </c>
      <c r="F7" s="16">
        <v>5</v>
      </c>
      <c r="G7" s="16">
        <v>3</v>
      </c>
      <c r="H7" s="16"/>
      <c r="I7" s="5"/>
      <c r="J7" s="16"/>
      <c r="K7" s="5"/>
      <c r="L7" s="5"/>
      <c r="M7" s="5"/>
      <c r="N7" s="5"/>
      <c r="O7" s="5"/>
      <c r="P7" s="5"/>
      <c r="Q7" s="16"/>
      <c r="R7" s="16"/>
      <c r="S7" s="16"/>
      <c r="T7" s="16"/>
      <c r="U7" s="16"/>
      <c r="V7" s="16"/>
      <c r="W7" s="16" t="s">
        <v>628</v>
      </c>
      <c r="X7" s="16" t="s">
        <v>1593</v>
      </c>
    </row>
  </sheetData>
  <dataValidations count="1">
    <dataValidation type="list" allowBlank="1" showErrorMessage="1" sqref="W3:W7" xr:uid="{FBC98143-FFDD-4AF3-93AD-CBC5AF42AC27}">
      <formula1>"Open,Inprogress,Closed"</formula1>
    </dataValidation>
  </dataValidations>
  <hyperlinks>
    <hyperlink ref="D4" r:id="rId1" display="https://greatergiving.atlassian.net/browse/GGO-13948" xr:uid="{4FDF6BCA-D197-4924-A476-9510F353B6A1}"/>
    <hyperlink ref="D3" r:id="rId2" display="https://greatergiving.atlassian.net/browse/GGO-13981" xr:uid="{51759947-2BD5-4923-BDCF-F406D1763DCA}"/>
    <hyperlink ref="M3" r:id="rId3" xr:uid="{130450AC-FAB9-40BC-962D-AAFBAAAAB870}"/>
    <hyperlink ref="M4" r:id="rId4" xr:uid="{4AEE16DF-2916-4865-ACC6-74C8EE5F226D}"/>
    <hyperlink ref="D5" r:id="rId5" display="https://greatergiving.atlassian.net/browse/GGO-13939" xr:uid="{B192346D-F4C0-4C13-8071-41C5542DF2C2}"/>
    <hyperlink ref="D6" r:id="rId6" display="https://greatergiving.atlassian.net/browse/GGO-13985" xr:uid="{90DF2214-E737-4D69-B62E-D1E79F24571D}"/>
    <hyperlink ref="D7" r:id="rId7" display="https://greatergiving.atlassian.net/browse/GGO-13983" xr:uid="{929D49C2-4088-46EC-BB82-65C27029F1D1}"/>
    <hyperlink ref="M5" r:id="rId8" xr:uid="{EF07E210-DB38-4C6B-B792-AF1ADC475B60}"/>
  </hyperlinks>
  <pageMargins left="0" right="0" top="0" bottom="0" header="0" footer="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85BEA-932F-454D-AB3A-D790E15698DF}">
  <sheetPr>
    <outlinePr summaryBelow="0" summaryRight="0"/>
  </sheetPr>
  <dimension ref="A2:X10"/>
  <sheetViews>
    <sheetView showGridLines="0" workbookViewId="0">
      <pane xSplit="5" ySplit="2" topLeftCell="F12" activePane="bottomRight" state="frozen"/>
      <selection pane="bottomRight" activeCell="A12" sqref="A12"/>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48">
      <c r="A3" s="44">
        <v>1</v>
      </c>
      <c r="B3" s="2" t="s">
        <v>39</v>
      </c>
      <c r="C3" s="45" t="s">
        <v>1594</v>
      </c>
      <c r="D3" s="82" t="s">
        <v>1595</v>
      </c>
      <c r="E3" s="78" t="s">
        <v>1596</v>
      </c>
      <c r="F3" s="8">
        <v>3</v>
      </c>
      <c r="G3" s="8">
        <v>3</v>
      </c>
      <c r="H3" s="16" t="s">
        <v>743</v>
      </c>
      <c r="I3" s="31" t="s">
        <v>739</v>
      </c>
      <c r="J3" s="29" t="s">
        <v>1256</v>
      </c>
      <c r="K3" s="31" t="s">
        <v>738</v>
      </c>
      <c r="L3" s="31" t="s">
        <v>1280</v>
      </c>
      <c r="M3" s="63" t="s">
        <v>1597</v>
      </c>
      <c r="N3" s="50">
        <v>45406</v>
      </c>
      <c r="O3" s="50">
        <v>45406</v>
      </c>
      <c r="P3" s="5" t="s">
        <v>275</v>
      </c>
      <c r="Q3" s="16" t="s">
        <v>1598</v>
      </c>
      <c r="R3" s="16" t="s">
        <v>741</v>
      </c>
      <c r="S3" s="47">
        <v>45408</v>
      </c>
      <c r="T3" s="16" t="s">
        <v>1256</v>
      </c>
      <c r="U3" s="16" t="s">
        <v>93</v>
      </c>
      <c r="V3" s="16" t="s">
        <v>93</v>
      </c>
      <c r="W3" s="16" t="s">
        <v>812</v>
      </c>
      <c r="X3" s="16"/>
    </row>
    <row r="4" spans="1:24" ht="55.5" customHeight="1">
      <c r="A4" s="44">
        <v>2</v>
      </c>
      <c r="B4" s="2" t="s">
        <v>39</v>
      </c>
      <c r="C4" s="49" t="s">
        <v>807</v>
      </c>
      <c r="D4" s="81" t="s">
        <v>1599</v>
      </c>
      <c r="E4" s="78" t="s">
        <v>1600</v>
      </c>
      <c r="F4" s="8">
        <v>2</v>
      </c>
      <c r="G4" s="8">
        <v>2</v>
      </c>
      <c r="H4" s="16" t="s">
        <v>93</v>
      </c>
      <c r="I4" s="5" t="s">
        <v>739</v>
      </c>
      <c r="J4" s="32" t="s">
        <v>1256</v>
      </c>
      <c r="K4" s="31" t="s">
        <v>93</v>
      </c>
      <c r="L4" s="31" t="s">
        <v>1280</v>
      </c>
      <c r="M4" s="70" t="s">
        <v>93</v>
      </c>
      <c r="N4" s="50" t="s">
        <v>93</v>
      </c>
      <c r="O4" s="5" t="s">
        <v>93</v>
      </c>
      <c r="P4" s="5" t="s">
        <v>93</v>
      </c>
      <c r="Q4" s="16" t="s">
        <v>93</v>
      </c>
      <c r="R4" s="16" t="s">
        <v>93</v>
      </c>
      <c r="S4" s="16" t="s">
        <v>93</v>
      </c>
      <c r="T4" s="16" t="s">
        <v>93</v>
      </c>
      <c r="U4" s="16" t="s">
        <v>93</v>
      </c>
      <c r="V4" s="16" t="s">
        <v>93</v>
      </c>
      <c r="W4" s="16" t="s">
        <v>812</v>
      </c>
      <c r="X4" s="79" t="s">
        <v>1601</v>
      </c>
    </row>
    <row r="5" spans="1:24" ht="45" customHeight="1">
      <c r="A5" s="44">
        <v>3</v>
      </c>
      <c r="B5" s="2" t="s">
        <v>39</v>
      </c>
      <c r="C5" s="49" t="s">
        <v>1594</v>
      </c>
      <c r="D5" s="81" t="s">
        <v>1602</v>
      </c>
      <c r="E5" s="78" t="s">
        <v>1603</v>
      </c>
      <c r="F5" s="8">
        <v>2</v>
      </c>
      <c r="G5" s="8">
        <v>2</v>
      </c>
      <c r="H5" s="16"/>
      <c r="I5" s="31" t="s">
        <v>739</v>
      </c>
      <c r="J5" s="29"/>
      <c r="K5" s="31"/>
      <c r="L5" s="31"/>
      <c r="M5" s="63" t="s">
        <v>1604</v>
      </c>
      <c r="N5" s="50">
        <v>45406</v>
      </c>
      <c r="O5" s="50">
        <v>45406</v>
      </c>
      <c r="P5" s="31" t="s">
        <v>275</v>
      </c>
      <c r="Q5" s="16" t="s">
        <v>1256</v>
      </c>
      <c r="R5" s="16" t="s">
        <v>741</v>
      </c>
      <c r="S5" s="75">
        <v>45406</v>
      </c>
      <c r="T5" s="16" t="s">
        <v>93</v>
      </c>
      <c r="U5" s="16" t="s">
        <v>93</v>
      </c>
      <c r="V5" s="16" t="s">
        <v>93</v>
      </c>
      <c r="W5" s="16" t="s">
        <v>812</v>
      </c>
      <c r="X5" s="16"/>
    </row>
    <row r="6" spans="1:24" ht="48">
      <c r="A6" s="44">
        <v>4</v>
      </c>
      <c r="B6" s="2" t="s">
        <v>39</v>
      </c>
      <c r="C6" s="49" t="s">
        <v>807</v>
      </c>
      <c r="D6" s="81" t="s">
        <v>1605</v>
      </c>
      <c r="E6" s="78" t="s">
        <v>1606</v>
      </c>
      <c r="F6" s="8">
        <v>2</v>
      </c>
      <c r="G6" s="8">
        <v>2</v>
      </c>
      <c r="H6" s="16" t="s">
        <v>93</v>
      </c>
      <c r="I6" s="5" t="s">
        <v>739</v>
      </c>
      <c r="J6" s="32" t="s">
        <v>1256</v>
      </c>
      <c r="K6" s="31" t="s">
        <v>93</v>
      </c>
      <c r="L6" s="31" t="s">
        <v>1280</v>
      </c>
      <c r="M6" s="70" t="s">
        <v>93</v>
      </c>
      <c r="N6" s="50" t="s">
        <v>93</v>
      </c>
      <c r="O6" s="5" t="s">
        <v>93</v>
      </c>
      <c r="P6" s="5" t="s">
        <v>93</v>
      </c>
      <c r="Q6" s="16" t="s">
        <v>93</v>
      </c>
      <c r="R6" s="16" t="s">
        <v>93</v>
      </c>
      <c r="S6" s="16" t="s">
        <v>93</v>
      </c>
      <c r="T6" s="16" t="s">
        <v>93</v>
      </c>
      <c r="U6" s="16" t="s">
        <v>93</v>
      </c>
      <c r="V6" s="16" t="s">
        <v>93</v>
      </c>
      <c r="W6" s="16" t="s">
        <v>812</v>
      </c>
      <c r="X6" s="79" t="s">
        <v>1607</v>
      </c>
    </row>
    <row r="7" spans="1:24" ht="43.5" customHeight="1">
      <c r="A7" s="44">
        <v>5</v>
      </c>
      <c r="B7" s="2" t="s">
        <v>39</v>
      </c>
      <c r="C7" s="49" t="s">
        <v>807</v>
      </c>
      <c r="D7" s="81" t="s">
        <v>1608</v>
      </c>
      <c r="E7" s="78" t="s">
        <v>1609</v>
      </c>
      <c r="F7" s="8">
        <v>1</v>
      </c>
      <c r="G7" s="8">
        <v>1</v>
      </c>
      <c r="H7" s="16" t="s">
        <v>93</v>
      </c>
      <c r="I7" s="5" t="s">
        <v>739</v>
      </c>
      <c r="J7" s="32" t="s">
        <v>1256</v>
      </c>
      <c r="K7" s="31" t="s">
        <v>93</v>
      </c>
      <c r="L7" s="31" t="s">
        <v>1280</v>
      </c>
      <c r="M7" s="70" t="s">
        <v>93</v>
      </c>
      <c r="N7" s="50" t="s">
        <v>93</v>
      </c>
      <c r="O7" s="5" t="s">
        <v>93</v>
      </c>
      <c r="P7" s="5" t="s">
        <v>93</v>
      </c>
      <c r="Q7" s="16" t="s">
        <v>93</v>
      </c>
      <c r="R7" s="16" t="s">
        <v>93</v>
      </c>
      <c r="S7" s="16" t="s">
        <v>93</v>
      </c>
      <c r="T7" s="16" t="s">
        <v>93</v>
      </c>
      <c r="U7" s="16" t="s">
        <v>93</v>
      </c>
      <c r="V7" s="16" t="s">
        <v>93</v>
      </c>
      <c r="W7" s="16" t="s">
        <v>812</v>
      </c>
      <c r="X7" s="79" t="s">
        <v>1607</v>
      </c>
    </row>
    <row r="8" spans="1:24" ht="43.5" customHeight="1">
      <c r="A8" s="52">
        <v>6</v>
      </c>
      <c r="B8" s="2" t="s">
        <v>39</v>
      </c>
      <c r="C8" s="49" t="s">
        <v>275</v>
      </c>
      <c r="D8" s="72" t="s">
        <v>1580</v>
      </c>
      <c r="E8" s="16" t="s">
        <v>1581</v>
      </c>
      <c r="F8" s="16">
        <v>1</v>
      </c>
      <c r="G8" s="16">
        <v>1</v>
      </c>
      <c r="H8" s="16" t="s">
        <v>275</v>
      </c>
      <c r="I8" s="5" t="s">
        <v>739</v>
      </c>
      <c r="J8" s="32" t="s">
        <v>1256</v>
      </c>
      <c r="K8" s="31" t="s">
        <v>1008</v>
      </c>
      <c r="L8" s="31" t="s">
        <v>1280</v>
      </c>
      <c r="M8" s="70" t="s">
        <v>1582</v>
      </c>
      <c r="N8" s="50"/>
      <c r="O8" s="5"/>
      <c r="P8" s="5"/>
      <c r="Q8" s="16"/>
      <c r="R8" s="16"/>
      <c r="S8" s="16"/>
      <c r="T8" s="16"/>
      <c r="U8" s="16"/>
      <c r="V8" s="16"/>
      <c r="W8" s="16" t="s">
        <v>812</v>
      </c>
      <c r="X8" s="79"/>
    </row>
    <row r="9" spans="1:24" ht="60">
      <c r="A9" s="44">
        <v>7</v>
      </c>
      <c r="B9" s="2" t="s">
        <v>39</v>
      </c>
      <c r="C9" s="49" t="s">
        <v>1008</v>
      </c>
      <c r="D9" s="80" t="s">
        <v>1583</v>
      </c>
      <c r="E9" s="78" t="s">
        <v>1584</v>
      </c>
      <c r="F9" s="35">
        <v>2</v>
      </c>
      <c r="G9" s="35">
        <v>1</v>
      </c>
      <c r="H9" s="16" t="s">
        <v>1008</v>
      </c>
      <c r="I9" s="5" t="s">
        <v>739</v>
      </c>
      <c r="J9" s="32" t="s">
        <v>1256</v>
      </c>
      <c r="K9" s="31" t="s">
        <v>275</v>
      </c>
      <c r="L9" s="31" t="s">
        <v>1280</v>
      </c>
      <c r="M9" s="70" t="s">
        <v>1585</v>
      </c>
      <c r="N9" s="50">
        <v>45412</v>
      </c>
      <c r="O9" s="71">
        <v>45413</v>
      </c>
      <c r="P9" s="5" t="s">
        <v>275</v>
      </c>
      <c r="Q9" s="16" t="s">
        <v>93</v>
      </c>
      <c r="R9" s="16" t="s">
        <v>942</v>
      </c>
      <c r="S9" s="67">
        <v>45413</v>
      </c>
      <c r="T9" s="16" t="s">
        <v>1256</v>
      </c>
      <c r="U9" s="16" t="s">
        <v>1256</v>
      </c>
      <c r="V9" s="16" t="s">
        <v>1256</v>
      </c>
      <c r="W9" s="16" t="s">
        <v>628</v>
      </c>
      <c r="X9" s="79" t="s">
        <v>1610</v>
      </c>
    </row>
    <row r="10" spans="1:24" ht="51.75" customHeight="1">
      <c r="A10" s="44">
        <v>8</v>
      </c>
      <c r="B10" s="2" t="s">
        <v>39</v>
      </c>
      <c r="C10" s="49" t="s">
        <v>1008</v>
      </c>
      <c r="D10" s="80" t="s">
        <v>1611</v>
      </c>
      <c r="E10" s="16" t="s">
        <v>1612</v>
      </c>
      <c r="F10" s="16">
        <v>5</v>
      </c>
      <c r="G10" s="16">
        <v>4</v>
      </c>
      <c r="H10" s="16" t="s">
        <v>1008</v>
      </c>
      <c r="I10" s="5" t="s">
        <v>856</v>
      </c>
      <c r="J10" s="32" t="s">
        <v>1256</v>
      </c>
      <c r="K10" s="31" t="s">
        <v>275</v>
      </c>
      <c r="L10" s="31" t="s">
        <v>1280</v>
      </c>
      <c r="M10" s="70" t="s">
        <v>856</v>
      </c>
      <c r="N10" s="50"/>
      <c r="O10" s="5"/>
      <c r="P10" s="5"/>
      <c r="Q10" s="16"/>
      <c r="R10" s="16"/>
      <c r="S10" s="16"/>
      <c r="T10" s="16"/>
      <c r="U10" s="16"/>
      <c r="V10" s="16"/>
      <c r="W10" s="16" t="s">
        <v>628</v>
      </c>
      <c r="X10" s="79" t="s">
        <v>1613</v>
      </c>
    </row>
  </sheetData>
  <dataValidations count="1">
    <dataValidation type="list" allowBlank="1" showErrorMessage="1" sqref="W3:W10" xr:uid="{37F75C9F-553F-4CD1-8772-9F4C0C43F2B5}">
      <formula1>"Open,Inprogress,Closed"</formula1>
    </dataValidation>
  </dataValidations>
  <hyperlinks>
    <hyperlink ref="D4" r:id="rId1" display="https://greatergiving.atlassian.net/browse/GGO-13836" xr:uid="{C937018E-0C4E-4453-889C-046418811B6C}"/>
    <hyperlink ref="D5" r:id="rId2" display="https://greatergiving.atlassian.net/browse/GGO-13940" xr:uid="{A55C5F0F-364A-4B80-844D-0C3E8C8EB040}"/>
    <hyperlink ref="D6" r:id="rId3" display="https://greatergiving.atlassian.net/browse/PAPI-708" xr:uid="{688A9A6D-3E5A-47FF-A7DB-FC19F0A0AB7A}"/>
    <hyperlink ref="D7" r:id="rId4" xr:uid="{96D57368-14D3-49E8-85EE-741D85E27FA2}"/>
    <hyperlink ref="D9" r:id="rId5" display="https://greatergiving.atlassian.net/browse/GGO-13948" xr:uid="{7FE57F7F-365E-472E-AD7F-8C8377988411}"/>
    <hyperlink ref="M5" r:id="rId6" xr:uid="{F1F904C9-9D64-4267-9DDA-8328AABEA627}"/>
    <hyperlink ref="M3" r:id="rId7" xr:uid="{06C024E1-7A62-45D5-86A8-670DADC44E60}"/>
    <hyperlink ref="D8" r:id="rId8" display="https://greatergiving.atlassian.net/browse/GGO-13981" xr:uid="{5BB503E2-1CC8-4FCD-BB91-A831569BD3DF}"/>
    <hyperlink ref="M8" r:id="rId9" xr:uid="{59DD200F-658B-4E8E-B8A3-D5FF6A58F6E7}"/>
    <hyperlink ref="M9" r:id="rId10" xr:uid="{24256FEE-499B-4D01-8B26-8D0B249E3F14}"/>
  </hyperlinks>
  <pageMargins left="0" right="0" top="0" bottom="0" header="0" footer="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D1DD3-F894-4499-9D0F-812B9FD17BDB}">
  <sheetPr>
    <outlinePr summaryBelow="0" summaryRight="0"/>
  </sheetPr>
  <dimension ref="A1:K2"/>
  <sheetViews>
    <sheetView topLeftCell="B1" workbookViewId="0"/>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76"/>
      <c r="G2" s="12"/>
      <c r="H2" s="12"/>
      <c r="I2" s="12"/>
      <c r="J2" s="12"/>
      <c r="K2" s="12"/>
    </row>
  </sheetData>
  <mergeCells count="1">
    <mergeCell ref="B2:E2"/>
  </mergeCells>
  <dataValidations count="4">
    <dataValidation type="list" allowBlank="1" showErrorMessage="1" sqref="H2:H5" xr:uid="{63E6E70E-A72E-4551-8B2D-F27B476A3DF3}">
      <formula1>"Internal,External"</formula1>
    </dataValidation>
    <dataValidation type="list" allowBlank="1" showErrorMessage="1" sqref="E3:E5" xr:uid="{723A06EA-ED44-4169-AE16-E5389DB106BD}">
      <formula1>"Bounceback,Defect,None"</formula1>
    </dataValidation>
    <dataValidation type="list" allowBlank="1" showErrorMessage="1" sqref="I2:I5" xr:uid="{C36BF147-B9AF-46B5-9212-04661F259B5A}">
      <formula1>"Open,Inprogress,Closed"</formula1>
    </dataValidation>
    <dataValidation type="list" allowBlank="1" showErrorMessage="1" sqref="G2:G5" xr:uid="{619E5AE4-BCB1-4A76-B8CB-B8179F24C21F}">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31ABA40-2CA5-4F4B-9864-83F8F5C788EB}">
          <x14:formula1>
            <xm:f>Details!$A$2:$A$10</xm:f>
          </x14:formula1>
          <xm:sqref>J2:J5</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DD2F-6B01-4A74-8E85-B43D58EF553D}">
  <sheetPr>
    <outlinePr summaryBelow="0" summaryRight="0"/>
  </sheetPr>
  <dimension ref="A1:K2"/>
  <sheetViews>
    <sheetView topLeftCell="B1" workbookViewId="0">
      <selection activeCell="D9" sqref="D9"/>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76"/>
      <c r="G2" s="12"/>
      <c r="H2" s="12"/>
      <c r="I2" s="12"/>
      <c r="J2" s="12"/>
      <c r="K2" s="12"/>
    </row>
  </sheetData>
  <mergeCells count="1">
    <mergeCell ref="B2:E2"/>
  </mergeCells>
  <dataValidations count="4">
    <dataValidation type="list" allowBlank="1" showErrorMessage="1" sqref="G2:G5" xr:uid="{770C4DD0-6A9A-4A61-A4D6-E65F5DC71470}">
      <formula1>"Minor,Significant,Major"</formula1>
    </dataValidation>
    <dataValidation type="list" allowBlank="1" showErrorMessage="1" sqref="I2:I5" xr:uid="{6C2ADD10-8B95-4EA9-A64A-E4BABBC22BB5}">
      <formula1>"Open,Inprogress,Closed"</formula1>
    </dataValidation>
    <dataValidation type="list" allowBlank="1" showErrorMessage="1" sqref="E3:E5" xr:uid="{227B82B0-0418-48CF-B4F9-C4A2908B29EC}">
      <formula1>"Bounceback,Defect,None"</formula1>
    </dataValidation>
    <dataValidation type="list" allowBlank="1" showErrorMessage="1" sqref="H2:H5" xr:uid="{8B39CB26-E658-4671-8D14-9893E6EF9855}">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95DC725-1272-45E7-82AB-3D989420E448}">
          <x14:formula1>
            <xm:f>Details!$A$2:$A$10</xm:f>
          </x14:formula1>
          <xm:sqref>J2:J5</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FAE5-B1C1-44B3-9FD1-20A337BFED82}">
  <sheetPr>
    <outlinePr summaryBelow="0" summaryRight="0"/>
  </sheetPr>
  <dimension ref="A2:X12"/>
  <sheetViews>
    <sheetView showGridLines="0" workbookViewId="0">
      <pane xSplit="5" ySplit="2" topLeftCell="F15" activePane="bottomRight" state="frozen"/>
      <selection pane="bottomRight" activeCell="E16" sqref="E16"/>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48">
      <c r="A3" s="44">
        <v>1</v>
      </c>
      <c r="B3" s="2" t="s">
        <v>37</v>
      </c>
      <c r="C3" s="45" t="s">
        <v>1594</v>
      </c>
      <c r="D3" s="82" t="s">
        <v>1614</v>
      </c>
      <c r="E3" s="78" t="s">
        <v>1615</v>
      </c>
      <c r="F3" s="8">
        <v>3</v>
      </c>
      <c r="G3" s="8">
        <v>3</v>
      </c>
      <c r="H3" s="16" t="s">
        <v>743</v>
      </c>
      <c r="I3" s="31" t="s">
        <v>739</v>
      </c>
      <c r="J3" s="29" t="s">
        <v>1256</v>
      </c>
      <c r="K3" s="31" t="s">
        <v>961</v>
      </c>
      <c r="L3" s="31" t="s">
        <v>1256</v>
      </c>
      <c r="M3" s="63" t="s">
        <v>1616</v>
      </c>
      <c r="N3" s="50">
        <v>45387</v>
      </c>
      <c r="O3" s="50">
        <v>45390</v>
      </c>
      <c r="P3" s="5" t="s">
        <v>275</v>
      </c>
      <c r="Q3" s="16" t="s">
        <v>1256</v>
      </c>
      <c r="R3" s="16" t="s">
        <v>1617</v>
      </c>
      <c r="S3" s="47">
        <v>45390</v>
      </c>
      <c r="T3" s="16" t="s">
        <v>1256</v>
      </c>
      <c r="U3" s="16" t="s">
        <v>1256</v>
      </c>
      <c r="V3" s="16" t="s">
        <v>1256</v>
      </c>
      <c r="W3" s="16" t="s">
        <v>812</v>
      </c>
      <c r="X3" s="16"/>
    </row>
    <row r="4" spans="1:24" ht="48">
      <c r="A4" s="44">
        <v>2</v>
      </c>
      <c r="B4" s="2" t="s">
        <v>37</v>
      </c>
      <c r="C4" s="49" t="s">
        <v>1618</v>
      </c>
      <c r="D4" s="82" t="s">
        <v>1619</v>
      </c>
      <c r="E4" s="78" t="s">
        <v>1620</v>
      </c>
      <c r="F4" s="8">
        <v>3</v>
      </c>
      <c r="G4" s="8">
        <v>3</v>
      </c>
      <c r="H4" s="16" t="s">
        <v>1008</v>
      </c>
      <c r="I4" s="31" t="s">
        <v>275</v>
      </c>
      <c r="J4" s="29" t="s">
        <v>1256</v>
      </c>
      <c r="K4" s="31" t="s">
        <v>275</v>
      </c>
      <c r="L4" s="31" t="s">
        <v>1256</v>
      </c>
      <c r="M4" s="63" t="s">
        <v>1621</v>
      </c>
      <c r="N4" s="50">
        <v>45392</v>
      </c>
      <c r="O4" s="50">
        <v>45393</v>
      </c>
      <c r="P4" s="31" t="s">
        <v>275</v>
      </c>
      <c r="Q4" s="16" t="s">
        <v>1256</v>
      </c>
      <c r="R4" s="16" t="s">
        <v>1323</v>
      </c>
      <c r="S4" s="30">
        <v>45393</v>
      </c>
      <c r="T4" s="16" t="s">
        <v>1256</v>
      </c>
      <c r="U4" s="16" t="s">
        <v>1256</v>
      </c>
      <c r="V4" s="16" t="s">
        <v>1256</v>
      </c>
      <c r="W4" s="16" t="s">
        <v>812</v>
      </c>
      <c r="X4" s="79"/>
    </row>
    <row r="5" spans="1:24" ht="48">
      <c r="A5" s="44">
        <v>3</v>
      </c>
      <c r="B5" s="2" t="s">
        <v>37</v>
      </c>
      <c r="C5" s="49" t="s">
        <v>1594</v>
      </c>
      <c r="D5" s="82" t="s">
        <v>1622</v>
      </c>
      <c r="E5" s="78" t="s">
        <v>1623</v>
      </c>
      <c r="F5" s="8">
        <v>3</v>
      </c>
      <c r="G5" s="8">
        <v>3</v>
      </c>
      <c r="H5" s="16" t="s">
        <v>743</v>
      </c>
      <c r="I5" s="31" t="s">
        <v>739</v>
      </c>
      <c r="J5" s="29" t="s">
        <v>1256</v>
      </c>
      <c r="K5" s="31" t="s">
        <v>275</v>
      </c>
      <c r="L5" s="31" t="s">
        <v>1256</v>
      </c>
      <c r="M5" s="63" t="s">
        <v>1624</v>
      </c>
      <c r="N5" s="50">
        <v>45392</v>
      </c>
      <c r="O5" s="50">
        <v>45393</v>
      </c>
      <c r="P5" s="31" t="s">
        <v>275</v>
      </c>
      <c r="Q5" s="16" t="s">
        <v>1256</v>
      </c>
      <c r="R5" s="16" t="s">
        <v>1617</v>
      </c>
      <c r="S5" s="75">
        <v>45393</v>
      </c>
      <c r="T5" s="16" t="s">
        <v>1256</v>
      </c>
      <c r="U5" s="16" t="s">
        <v>1256</v>
      </c>
      <c r="V5" s="16" t="s">
        <v>1256</v>
      </c>
      <c r="W5" s="16" t="s">
        <v>812</v>
      </c>
      <c r="X5" s="16"/>
    </row>
    <row r="6" spans="1:24" ht="48">
      <c r="A6" s="44">
        <v>4</v>
      </c>
      <c r="B6" s="2" t="s">
        <v>37</v>
      </c>
      <c r="C6" s="49" t="s">
        <v>275</v>
      </c>
      <c r="D6" s="82" t="s">
        <v>1625</v>
      </c>
      <c r="E6" s="78" t="s">
        <v>1626</v>
      </c>
      <c r="F6" s="8">
        <v>2</v>
      </c>
      <c r="G6" s="8">
        <v>2</v>
      </c>
      <c r="H6" s="16" t="s">
        <v>275</v>
      </c>
      <c r="I6" s="31" t="s">
        <v>739</v>
      </c>
      <c r="J6" s="29" t="s">
        <v>1256</v>
      </c>
      <c r="K6" s="31" t="s">
        <v>961</v>
      </c>
      <c r="L6" s="31" t="s">
        <v>1256</v>
      </c>
      <c r="M6" s="63" t="s">
        <v>1627</v>
      </c>
      <c r="N6" s="50">
        <v>45392</v>
      </c>
      <c r="O6" s="50">
        <v>45392</v>
      </c>
      <c r="P6" s="31" t="s">
        <v>942</v>
      </c>
      <c r="Q6" s="16" t="s">
        <v>1256</v>
      </c>
      <c r="R6" s="23" t="s">
        <v>1323</v>
      </c>
      <c r="S6" s="75">
        <v>45392</v>
      </c>
      <c r="T6" s="16" t="s">
        <v>1256</v>
      </c>
      <c r="U6" s="16" t="s">
        <v>1256</v>
      </c>
      <c r="V6" s="16" t="s">
        <v>1256</v>
      </c>
      <c r="W6" s="16" t="s">
        <v>812</v>
      </c>
      <c r="X6" s="16"/>
    </row>
    <row r="7" spans="1:24" ht="43.5" customHeight="1">
      <c r="A7" s="44">
        <v>5</v>
      </c>
      <c r="B7" s="2" t="s">
        <v>37</v>
      </c>
      <c r="C7" s="49" t="s">
        <v>275</v>
      </c>
      <c r="D7" s="82" t="s">
        <v>1628</v>
      </c>
      <c r="E7" s="78" t="s">
        <v>1629</v>
      </c>
      <c r="F7" s="8">
        <v>2</v>
      </c>
      <c r="G7" s="8">
        <v>2</v>
      </c>
      <c r="H7" s="16" t="s">
        <v>275</v>
      </c>
      <c r="I7" s="31" t="s">
        <v>739</v>
      </c>
      <c r="J7" s="32" t="s">
        <v>1256</v>
      </c>
      <c r="K7" s="31" t="s">
        <v>961</v>
      </c>
      <c r="L7" s="31" t="s">
        <v>1256</v>
      </c>
      <c r="M7" s="63" t="s">
        <v>1630</v>
      </c>
      <c r="N7" s="68">
        <v>45387</v>
      </c>
      <c r="O7" s="68">
        <v>45387</v>
      </c>
      <c r="P7" s="31" t="s">
        <v>1008</v>
      </c>
      <c r="Q7" s="40" t="s">
        <v>1256</v>
      </c>
      <c r="R7" s="73" t="s">
        <v>1617</v>
      </c>
      <c r="S7" s="68">
        <v>45388</v>
      </c>
      <c r="T7" s="16" t="s">
        <v>1256</v>
      </c>
      <c r="U7" s="16" t="s">
        <v>1256</v>
      </c>
      <c r="V7" s="16" t="s">
        <v>1256</v>
      </c>
      <c r="W7" s="16" t="s">
        <v>812</v>
      </c>
      <c r="X7" s="79"/>
    </row>
    <row r="8" spans="1:24" ht="84">
      <c r="A8" s="44">
        <v>6</v>
      </c>
      <c r="B8" s="2" t="s">
        <v>37</v>
      </c>
      <c r="C8" s="49" t="s">
        <v>807</v>
      </c>
      <c r="D8" s="80" t="s">
        <v>1608</v>
      </c>
      <c r="E8" s="78" t="s">
        <v>1609</v>
      </c>
      <c r="F8" s="35">
        <v>2</v>
      </c>
      <c r="G8" s="35">
        <v>1</v>
      </c>
      <c r="H8" s="16" t="s">
        <v>93</v>
      </c>
      <c r="I8" s="5" t="s">
        <v>739</v>
      </c>
      <c r="J8" s="32" t="s">
        <v>1256</v>
      </c>
      <c r="K8" s="31" t="s">
        <v>93</v>
      </c>
      <c r="L8" s="31" t="s">
        <v>1280</v>
      </c>
      <c r="M8" s="70" t="s">
        <v>93</v>
      </c>
      <c r="N8" s="50" t="s">
        <v>93</v>
      </c>
      <c r="O8" s="5" t="s">
        <v>93</v>
      </c>
      <c r="P8" s="5" t="s">
        <v>93</v>
      </c>
      <c r="Q8" s="16" t="s">
        <v>93</v>
      </c>
      <c r="R8" s="16" t="s">
        <v>93</v>
      </c>
      <c r="S8" s="16" t="s">
        <v>93</v>
      </c>
      <c r="T8" s="16" t="s">
        <v>93</v>
      </c>
      <c r="U8" s="16" t="s">
        <v>93</v>
      </c>
      <c r="V8" s="16" t="s">
        <v>93</v>
      </c>
      <c r="W8" s="16" t="s">
        <v>628</v>
      </c>
      <c r="X8" s="79" t="s">
        <v>1631</v>
      </c>
    </row>
    <row r="9" spans="1:24" ht="51.75" customHeight="1">
      <c r="A9" s="44">
        <v>7</v>
      </c>
      <c r="B9" s="2" t="s">
        <v>37</v>
      </c>
      <c r="C9" s="49" t="s">
        <v>807</v>
      </c>
      <c r="D9" s="81" t="s">
        <v>1632</v>
      </c>
      <c r="E9" s="16" t="s">
        <v>1633</v>
      </c>
      <c r="F9" s="16">
        <v>1</v>
      </c>
      <c r="G9" s="16">
        <v>1</v>
      </c>
      <c r="H9" s="16" t="s">
        <v>93</v>
      </c>
      <c r="I9" s="5" t="s">
        <v>739</v>
      </c>
      <c r="J9" s="32" t="s">
        <v>1256</v>
      </c>
      <c r="K9" s="31" t="s">
        <v>93</v>
      </c>
      <c r="L9" s="31" t="s">
        <v>1280</v>
      </c>
      <c r="M9" s="70" t="s">
        <v>93</v>
      </c>
      <c r="N9" s="50" t="s">
        <v>93</v>
      </c>
      <c r="O9" s="5" t="s">
        <v>93</v>
      </c>
      <c r="P9" s="5" t="s">
        <v>93</v>
      </c>
      <c r="Q9" s="16" t="s">
        <v>93</v>
      </c>
      <c r="R9" s="16" t="s">
        <v>93</v>
      </c>
      <c r="S9" s="16" t="s">
        <v>93</v>
      </c>
      <c r="T9" s="16" t="s">
        <v>93</v>
      </c>
      <c r="U9" s="16" t="s">
        <v>93</v>
      </c>
      <c r="V9" s="16" t="s">
        <v>93</v>
      </c>
      <c r="W9" s="16" t="s">
        <v>812</v>
      </c>
      <c r="X9" s="79" t="s">
        <v>1601</v>
      </c>
    </row>
    <row r="10" spans="1:24" ht="61.5" customHeight="1">
      <c r="A10" s="52">
        <v>8</v>
      </c>
      <c r="B10" s="2" t="s">
        <v>37</v>
      </c>
      <c r="C10" s="49" t="s">
        <v>807</v>
      </c>
      <c r="D10" s="72" t="s">
        <v>1634</v>
      </c>
      <c r="E10" s="16" t="s">
        <v>1635</v>
      </c>
      <c r="F10" s="16">
        <v>1</v>
      </c>
      <c r="G10" s="16">
        <v>1</v>
      </c>
      <c r="H10" s="16" t="s">
        <v>93</v>
      </c>
      <c r="I10" s="5" t="s">
        <v>739</v>
      </c>
      <c r="J10" s="32" t="s">
        <v>1256</v>
      </c>
      <c r="K10" s="31" t="s">
        <v>93</v>
      </c>
      <c r="L10" s="31" t="s">
        <v>1280</v>
      </c>
      <c r="M10" s="70" t="s">
        <v>93</v>
      </c>
      <c r="N10" s="50" t="s">
        <v>93</v>
      </c>
      <c r="O10" s="5" t="s">
        <v>93</v>
      </c>
      <c r="P10" s="5" t="s">
        <v>93</v>
      </c>
      <c r="Q10" s="16" t="s">
        <v>93</v>
      </c>
      <c r="R10" s="16" t="s">
        <v>93</v>
      </c>
      <c r="S10" s="16" t="s">
        <v>93</v>
      </c>
      <c r="T10" s="16" t="s">
        <v>93</v>
      </c>
      <c r="U10" s="16" t="s">
        <v>93</v>
      </c>
      <c r="V10" s="16" t="s">
        <v>93</v>
      </c>
      <c r="W10" s="16" t="s">
        <v>812</v>
      </c>
      <c r="X10" s="79" t="s">
        <v>1601</v>
      </c>
    </row>
    <row r="11" spans="1:24" ht="60" customHeight="1">
      <c r="A11" s="52">
        <v>9</v>
      </c>
      <c r="B11" s="2" t="s">
        <v>37</v>
      </c>
      <c r="C11" s="49" t="s">
        <v>807</v>
      </c>
      <c r="D11" s="72" t="s">
        <v>1636</v>
      </c>
      <c r="E11" s="16" t="s">
        <v>1637</v>
      </c>
      <c r="F11" s="16">
        <v>1</v>
      </c>
      <c r="G11" s="16">
        <v>1</v>
      </c>
      <c r="H11" s="16" t="s">
        <v>93</v>
      </c>
      <c r="I11" s="5" t="s">
        <v>739</v>
      </c>
      <c r="J11" s="32" t="s">
        <v>1256</v>
      </c>
      <c r="K11" s="31" t="s">
        <v>93</v>
      </c>
      <c r="L11" s="31" t="s">
        <v>1280</v>
      </c>
      <c r="M11" s="70" t="s">
        <v>93</v>
      </c>
      <c r="N11" s="50" t="s">
        <v>93</v>
      </c>
      <c r="O11" s="5" t="s">
        <v>93</v>
      </c>
      <c r="P11" s="5" t="s">
        <v>93</v>
      </c>
      <c r="Q11" s="16" t="s">
        <v>93</v>
      </c>
      <c r="R11" s="16" t="s">
        <v>93</v>
      </c>
      <c r="S11" s="16" t="s">
        <v>93</v>
      </c>
      <c r="T11" s="16" t="s">
        <v>93</v>
      </c>
      <c r="U11" s="16" t="s">
        <v>93</v>
      </c>
      <c r="V11" s="16" t="s">
        <v>93</v>
      </c>
      <c r="W11" s="16" t="s">
        <v>812</v>
      </c>
      <c r="X11" s="79" t="s">
        <v>1601</v>
      </c>
    </row>
    <row r="12" spans="1:24" ht="62.25" customHeight="1">
      <c r="A12" s="52">
        <v>10</v>
      </c>
      <c r="B12" s="2" t="s">
        <v>37</v>
      </c>
      <c r="C12" s="49" t="s">
        <v>807</v>
      </c>
      <c r="D12" s="72" t="s">
        <v>1638</v>
      </c>
      <c r="E12" s="16" t="s">
        <v>1639</v>
      </c>
      <c r="F12" s="16">
        <v>1</v>
      </c>
      <c r="G12" s="16">
        <v>1</v>
      </c>
      <c r="H12" s="16" t="s">
        <v>93</v>
      </c>
      <c r="I12" s="5" t="s">
        <v>739</v>
      </c>
      <c r="J12" s="32" t="s">
        <v>1256</v>
      </c>
      <c r="K12" s="31" t="s">
        <v>93</v>
      </c>
      <c r="L12" s="31" t="s">
        <v>1280</v>
      </c>
      <c r="M12" s="70" t="s">
        <v>93</v>
      </c>
      <c r="N12" s="50" t="s">
        <v>93</v>
      </c>
      <c r="O12" s="5" t="s">
        <v>93</v>
      </c>
      <c r="P12" s="5" t="s">
        <v>93</v>
      </c>
      <c r="Q12" s="16" t="s">
        <v>93</v>
      </c>
      <c r="R12" s="16" t="s">
        <v>93</v>
      </c>
      <c r="S12" s="16" t="s">
        <v>93</v>
      </c>
      <c r="T12" s="16" t="s">
        <v>93</v>
      </c>
      <c r="U12" s="16" t="s">
        <v>93</v>
      </c>
      <c r="V12" s="16" t="s">
        <v>93</v>
      </c>
      <c r="W12" s="16" t="s">
        <v>812</v>
      </c>
      <c r="X12" s="79" t="s">
        <v>1601</v>
      </c>
    </row>
  </sheetData>
  <dataValidations count="1">
    <dataValidation type="list" allowBlank="1" showErrorMessage="1" sqref="W3:W12" xr:uid="{A9B69FE8-6B89-49A4-BCEF-23BAA4690092}">
      <formula1>"Open,Inprogress,Closed"</formula1>
    </dataValidation>
  </dataValidations>
  <hyperlinks>
    <hyperlink ref="M3" r:id="rId1" xr:uid="{F1010FE0-A52B-4617-8207-36B6C6A421A4}"/>
    <hyperlink ref="M4" r:id="rId2" xr:uid="{241F9662-55C2-479A-B809-904067589895}"/>
    <hyperlink ref="M5" r:id="rId3" xr:uid="{B08DC6F8-3D51-4116-9831-839224E53512}"/>
    <hyperlink ref="M7" r:id="rId4" xr:uid="{5B503E49-D525-4DB6-8DDB-52A671FFE6AE}"/>
    <hyperlink ref="D9" r:id="rId5" display="https://greatergiving.atlassian.net/browse/GGO-13834" xr:uid="{67E36272-CC90-49C0-BD8B-516A483D751F}"/>
    <hyperlink ref="D10" r:id="rId6" display="https://greatergiving.atlassian.net/browse/GGO-13938" xr:uid="{1FF9D435-591F-495E-B0A2-9D7FDCBFD61F}"/>
    <hyperlink ref="D11" r:id="rId7" display="https://greatergiving.atlassian.net/browse/GGO-13927" xr:uid="{FE611380-A7D8-4FE5-BF86-BC5B38BD70E9}"/>
    <hyperlink ref="D12" r:id="rId8" display="https://greatergiving.atlassian.net/browse/GGO-13857" xr:uid="{1F23272F-A8A2-4559-BAA3-5CC5364D626D}"/>
    <hyperlink ref="M6" r:id="rId9" xr:uid="{E59AC136-1251-4469-B8B0-26F6ED99259A}"/>
  </hyperlinks>
  <pageMargins left="0" right="0" top="0" bottom="0" header="0" footer="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55A0E-9121-4A7E-ACC5-CA349BA440B3}">
  <sheetPr>
    <outlinePr summaryBelow="0" summaryRight="0"/>
  </sheetPr>
  <dimension ref="A1:K2"/>
  <sheetViews>
    <sheetView topLeftCell="B1" workbookViewId="0">
      <selection activeCell="D12" sqref="D1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c r="B2" s="478" t="s">
        <v>1397</v>
      </c>
      <c r="C2" s="479"/>
      <c r="D2" s="479"/>
      <c r="E2" s="480"/>
      <c r="F2" s="76"/>
      <c r="G2" s="12"/>
      <c r="H2" s="12"/>
      <c r="I2" s="12"/>
      <c r="J2" s="12"/>
      <c r="K2" s="12"/>
    </row>
  </sheetData>
  <mergeCells count="1">
    <mergeCell ref="B2:E2"/>
  </mergeCells>
  <dataValidations count="4">
    <dataValidation type="list" allowBlank="1" showErrorMessage="1" sqref="H2:H5" xr:uid="{1D3273F9-B48D-45D6-A673-E4F8CA39A480}">
      <formula1>"Internal,External"</formula1>
    </dataValidation>
    <dataValidation type="list" allowBlank="1" showErrorMessage="1" sqref="E3:E5" xr:uid="{37E1D78A-2FF6-4BC7-8C4B-8FCF14AB7EA9}">
      <formula1>"Bounceback,Defect,None"</formula1>
    </dataValidation>
    <dataValidation type="list" allowBlank="1" showErrorMessage="1" sqref="I2:I5" xr:uid="{14599616-2093-4088-BC0E-1AA86BC67884}">
      <formula1>"Open,Inprogress,Closed"</formula1>
    </dataValidation>
    <dataValidation type="list" allowBlank="1" showErrorMessage="1" sqref="G2:G5" xr:uid="{11568AF6-1A8E-4754-AE71-D7576752B834}">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C4926B4-A52A-400D-B62C-D676B3E853F9}">
          <x14:formula1>
            <xm:f>Details!$A$2:$A$10</xm:f>
          </x14:formula1>
          <xm:sqref>J2:J5</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66741-FFF0-4082-A9CF-D4668218E0DA}">
  <sheetPr>
    <outlinePr summaryBelow="0" summaryRight="0"/>
  </sheetPr>
  <dimension ref="A2:X8"/>
  <sheetViews>
    <sheetView showGridLines="0" workbookViewId="0">
      <pane xSplit="5" ySplit="2" topLeftCell="G7" activePane="bottomRight" state="frozen"/>
      <selection pane="bottomRight" activeCell="H8" sqref="H8"/>
      <selection pane="bottomLeft" activeCell="A3" sqref="A3"/>
      <selection pane="topRight" activeCell="F1" sqref="F1"/>
    </sheetView>
  </sheetViews>
  <sheetFormatPr defaultColWidth="12.5703125" defaultRowHeight="12.75"/>
  <cols>
    <col min="1" max="1" width="5.28515625" style="43" customWidth="1"/>
    <col min="2" max="2" width="31.4257812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50.25">
      <c r="A3" s="44">
        <v>1</v>
      </c>
      <c r="B3" s="2" t="s">
        <v>35</v>
      </c>
      <c r="C3" s="45" t="s">
        <v>1008</v>
      </c>
      <c r="D3" s="58" t="s">
        <v>1640</v>
      </c>
      <c r="E3" s="78" t="s">
        <v>1641</v>
      </c>
      <c r="F3" s="8">
        <v>2</v>
      </c>
      <c r="G3" s="8">
        <v>2</v>
      </c>
      <c r="H3" s="16" t="s">
        <v>1008</v>
      </c>
      <c r="I3" s="31" t="s">
        <v>739</v>
      </c>
      <c r="J3" s="29" t="s">
        <v>1256</v>
      </c>
      <c r="K3" s="31" t="s">
        <v>743</v>
      </c>
      <c r="L3" s="31" t="s">
        <v>1280</v>
      </c>
      <c r="M3" s="63" t="s">
        <v>1642</v>
      </c>
      <c r="N3" s="50">
        <v>45378</v>
      </c>
      <c r="O3" s="50">
        <v>45379</v>
      </c>
      <c r="P3" s="5" t="s">
        <v>570</v>
      </c>
      <c r="Q3" s="16" t="s">
        <v>1256</v>
      </c>
      <c r="R3" s="16" t="s">
        <v>942</v>
      </c>
      <c r="S3" s="47">
        <v>45379</v>
      </c>
      <c r="T3" s="16" t="s">
        <v>1256</v>
      </c>
      <c r="U3" s="16" t="s">
        <v>1256</v>
      </c>
      <c r="V3" s="16" t="s">
        <v>1256</v>
      </c>
      <c r="W3" s="16" t="s">
        <v>812</v>
      </c>
      <c r="X3" s="16"/>
    </row>
    <row r="4" spans="1:24" ht="48">
      <c r="A4" s="44">
        <v>2</v>
      </c>
      <c r="B4" s="2" t="s">
        <v>1643</v>
      </c>
      <c r="C4" s="49" t="s">
        <v>1008</v>
      </c>
      <c r="D4" s="58" t="s">
        <v>1644</v>
      </c>
      <c r="E4" s="78" t="s">
        <v>1645</v>
      </c>
      <c r="F4" s="8">
        <v>3</v>
      </c>
      <c r="G4" s="8">
        <v>3</v>
      </c>
      <c r="H4" s="16" t="s">
        <v>1008</v>
      </c>
      <c r="I4" s="31" t="s">
        <v>856</v>
      </c>
      <c r="J4" s="29" t="s">
        <v>1256</v>
      </c>
      <c r="K4" s="31" t="s">
        <v>743</v>
      </c>
      <c r="L4" s="31" t="s">
        <v>1280</v>
      </c>
      <c r="M4" s="63" t="s">
        <v>1646</v>
      </c>
      <c r="N4" s="50">
        <v>45384</v>
      </c>
      <c r="O4" s="50"/>
      <c r="P4" s="31" t="s">
        <v>275</v>
      </c>
      <c r="Q4" s="16" t="s">
        <v>1256</v>
      </c>
      <c r="R4" s="16"/>
      <c r="S4" s="30"/>
      <c r="T4" s="16"/>
      <c r="U4" s="16"/>
      <c r="V4" s="16"/>
      <c r="W4" s="16" t="s">
        <v>628</v>
      </c>
      <c r="X4" s="77" t="s">
        <v>1647</v>
      </c>
    </row>
    <row r="5" spans="1:24" ht="48">
      <c r="A5" s="44">
        <v>3</v>
      </c>
      <c r="B5" s="2" t="s">
        <v>35</v>
      </c>
      <c r="C5" s="49" t="s">
        <v>1594</v>
      </c>
      <c r="D5" s="58" t="s">
        <v>1648</v>
      </c>
      <c r="E5" s="78" t="s">
        <v>1649</v>
      </c>
      <c r="F5" s="8">
        <v>3</v>
      </c>
      <c r="G5" s="8">
        <v>3</v>
      </c>
      <c r="H5" s="16" t="s">
        <v>1650</v>
      </c>
      <c r="I5" s="31" t="s">
        <v>739</v>
      </c>
      <c r="J5" s="29" t="s">
        <v>1256</v>
      </c>
      <c r="K5" s="31" t="s">
        <v>961</v>
      </c>
      <c r="L5" s="31" t="s">
        <v>1280</v>
      </c>
      <c r="M5" s="63" t="s">
        <v>1651</v>
      </c>
      <c r="N5" s="50">
        <v>45383</v>
      </c>
      <c r="O5" s="50">
        <v>45383</v>
      </c>
      <c r="P5" s="31" t="s">
        <v>275</v>
      </c>
      <c r="Q5" s="16" t="s">
        <v>1256</v>
      </c>
      <c r="R5" s="16" t="s">
        <v>1323</v>
      </c>
      <c r="S5" s="75">
        <v>45383</v>
      </c>
      <c r="T5" s="16" t="s">
        <v>1256</v>
      </c>
      <c r="U5" s="16" t="s">
        <v>1256</v>
      </c>
      <c r="V5" s="16" t="s">
        <v>1256</v>
      </c>
      <c r="W5" s="16" t="s">
        <v>812</v>
      </c>
      <c r="X5" s="16"/>
    </row>
    <row r="6" spans="1:24" ht="43.5" customHeight="1">
      <c r="A6" s="44">
        <v>4</v>
      </c>
      <c r="B6" s="2" t="s">
        <v>35</v>
      </c>
      <c r="C6" s="49" t="s">
        <v>1652</v>
      </c>
      <c r="D6" s="58" t="s">
        <v>1608</v>
      </c>
      <c r="E6" s="78" t="s">
        <v>1653</v>
      </c>
      <c r="F6" s="8">
        <v>2</v>
      </c>
      <c r="G6" s="8">
        <v>2</v>
      </c>
      <c r="H6" s="16" t="s">
        <v>1650</v>
      </c>
      <c r="I6" s="31" t="s">
        <v>1654</v>
      </c>
      <c r="J6" s="32" t="s">
        <v>1256</v>
      </c>
      <c r="K6" s="31" t="s">
        <v>275</v>
      </c>
      <c r="L6" s="31" t="s">
        <v>1280</v>
      </c>
      <c r="M6" s="63" t="s">
        <v>1655</v>
      </c>
      <c r="N6" s="68">
        <v>45381</v>
      </c>
      <c r="O6" s="68">
        <v>45381</v>
      </c>
      <c r="P6" s="31" t="s">
        <v>1617</v>
      </c>
      <c r="Q6" s="40" t="s">
        <v>1256</v>
      </c>
      <c r="R6" s="73" t="s">
        <v>275</v>
      </c>
      <c r="S6" s="68">
        <v>45385</v>
      </c>
      <c r="T6" s="16" t="s">
        <v>1256</v>
      </c>
      <c r="U6" s="16" t="s">
        <v>1256</v>
      </c>
      <c r="V6" s="16" t="s">
        <v>1256</v>
      </c>
      <c r="W6" s="16" t="s">
        <v>812</v>
      </c>
      <c r="X6" s="79" t="s">
        <v>1656</v>
      </c>
    </row>
    <row r="7" spans="1:24" ht="16.5">
      <c r="A7" s="44">
        <v>5</v>
      </c>
      <c r="B7" s="2" t="s">
        <v>35</v>
      </c>
      <c r="C7" s="49" t="s">
        <v>807</v>
      </c>
      <c r="D7" s="74" t="s">
        <v>1657</v>
      </c>
      <c r="E7" s="78" t="s">
        <v>1658</v>
      </c>
      <c r="F7" s="35">
        <v>2</v>
      </c>
      <c r="G7" s="35">
        <v>2</v>
      </c>
      <c r="H7" s="16" t="s">
        <v>93</v>
      </c>
      <c r="I7" s="5" t="s">
        <v>739</v>
      </c>
      <c r="J7" s="32" t="s">
        <v>1256</v>
      </c>
      <c r="K7" s="31" t="s">
        <v>93</v>
      </c>
      <c r="L7" s="31" t="s">
        <v>1280</v>
      </c>
      <c r="M7" s="70" t="s">
        <v>93</v>
      </c>
      <c r="N7" s="50" t="s">
        <v>93</v>
      </c>
      <c r="O7" s="5" t="s">
        <v>93</v>
      </c>
      <c r="P7" s="5" t="s">
        <v>93</v>
      </c>
      <c r="Q7" s="16" t="s">
        <v>93</v>
      </c>
      <c r="R7" s="16" t="s">
        <v>93</v>
      </c>
      <c r="S7" s="16" t="s">
        <v>93</v>
      </c>
      <c r="T7" s="16" t="s">
        <v>93</v>
      </c>
      <c r="U7" s="16" t="s">
        <v>93</v>
      </c>
      <c r="V7" s="16" t="s">
        <v>93</v>
      </c>
      <c r="W7" s="16" t="s">
        <v>812</v>
      </c>
      <c r="X7" s="16"/>
    </row>
    <row r="8" spans="1:24" ht="36">
      <c r="A8" s="44">
        <v>6</v>
      </c>
      <c r="B8" s="2" t="s">
        <v>35</v>
      </c>
      <c r="C8" s="49" t="s">
        <v>807</v>
      </c>
      <c r="D8" s="74" t="s">
        <v>1659</v>
      </c>
      <c r="E8" s="16" t="s">
        <v>1660</v>
      </c>
      <c r="F8" s="16">
        <v>2</v>
      </c>
      <c r="G8" s="16">
        <v>2</v>
      </c>
      <c r="H8" s="16" t="s">
        <v>93</v>
      </c>
      <c r="I8" s="5" t="s">
        <v>739</v>
      </c>
      <c r="J8" s="32" t="s">
        <v>1256</v>
      </c>
      <c r="K8" s="31" t="s">
        <v>93</v>
      </c>
      <c r="L8" s="31" t="s">
        <v>1280</v>
      </c>
      <c r="M8" s="70" t="s">
        <v>93</v>
      </c>
      <c r="N8" s="50" t="s">
        <v>93</v>
      </c>
      <c r="O8" s="5" t="s">
        <v>93</v>
      </c>
      <c r="P8" s="5" t="s">
        <v>93</v>
      </c>
      <c r="Q8" s="16" t="s">
        <v>93</v>
      </c>
      <c r="R8" s="16" t="s">
        <v>93</v>
      </c>
      <c r="S8" s="16" t="s">
        <v>93</v>
      </c>
      <c r="T8" s="16" t="s">
        <v>93</v>
      </c>
      <c r="U8" s="16" t="s">
        <v>93</v>
      </c>
      <c r="V8" s="16" t="s">
        <v>93</v>
      </c>
      <c r="W8" s="16" t="s">
        <v>812</v>
      </c>
      <c r="X8" s="79" t="s">
        <v>1661</v>
      </c>
    </row>
  </sheetData>
  <dataValidations count="1">
    <dataValidation type="list" allowBlank="1" showErrorMessage="1" sqref="W3:W11" xr:uid="{3616C290-EE1A-41FA-8CA0-BE535619C657}">
      <formula1>"Open,Inprogress,Closed"</formula1>
    </dataValidation>
  </dataValidations>
  <hyperlinks>
    <hyperlink ref="M4" r:id="rId1" xr:uid="{DB926ABE-A767-4312-927F-F19E54060343}"/>
    <hyperlink ref="M5" r:id="rId2" xr:uid="{CAC55CCF-FD86-4DED-A73B-3CF2C3F26F1D}"/>
    <hyperlink ref="M6" r:id="rId3" xr:uid="{BFC26C6A-D277-4D2C-9B96-A209E00A1FCD}"/>
    <hyperlink ref="M3" r:id="rId4" xr:uid="{0491977B-5772-49EA-8425-497F5E2F5249}"/>
    <hyperlink ref="D7" r:id="rId5" display="https://greatergiving.atlassian.net/browse/GGO-13816" xr:uid="{37550389-BC28-4DEC-98F5-DA0C81D3C3A4}"/>
    <hyperlink ref="D8" r:id="rId6" display="https://greatergiving.atlassian.net/browse/GGO-13785" xr:uid="{2F13BE1A-2B4D-4BA6-8AC5-8D2A89C280C6}"/>
  </hyperlinks>
  <pageMargins left="0" right="0" top="0" bottom="0" header="0" footer="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BB922-FC1C-4694-9423-58378AD49F14}">
  <sheetPr>
    <outlinePr summaryBelow="0" summaryRight="0"/>
  </sheetPr>
  <dimension ref="A1:K2"/>
  <sheetViews>
    <sheetView workbookViewId="0">
      <selection activeCell="A2" sqref="A2:J2"/>
    </sheetView>
  </sheetViews>
  <sheetFormatPr defaultColWidth="12.5703125" defaultRowHeight="15" customHeight="1"/>
  <cols>
    <col min="1" max="1" width="12.5703125" customWidth="1"/>
    <col min="2" max="2" width="21.42578125" customWidth="1"/>
    <col min="3" max="3" width="14.42578125" customWidth="1"/>
    <col min="4" max="4" width="19.140625" customWidth="1"/>
    <col min="5" max="5" width="12.5703125" customWidth="1"/>
    <col min="6" max="6" width="41.140625" customWidth="1"/>
    <col min="7" max="9" width="9.140625"/>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48" customHeight="1">
      <c r="A2" s="4">
        <v>1</v>
      </c>
      <c r="B2" s="2" t="s">
        <v>35</v>
      </c>
      <c r="C2" s="69" t="s">
        <v>1662</v>
      </c>
      <c r="D2" s="11" t="s">
        <v>743</v>
      </c>
      <c r="E2" s="12" t="s">
        <v>623</v>
      </c>
      <c r="F2" s="76" t="s">
        <v>1663</v>
      </c>
      <c r="G2" s="12" t="s">
        <v>860</v>
      </c>
      <c r="H2" s="12" t="s">
        <v>861</v>
      </c>
      <c r="I2" s="12" t="s">
        <v>812</v>
      </c>
      <c r="J2" s="12" t="s">
        <v>862</v>
      </c>
      <c r="K2" s="12"/>
    </row>
  </sheetData>
  <dataValidations count="4">
    <dataValidation type="list" allowBlank="1" showErrorMessage="1" sqref="G2:G5" xr:uid="{DF087BD1-DF6E-4DCA-AC69-37AC1D0C17E4}">
      <formula1>"Minor,Significant,Major"</formula1>
    </dataValidation>
    <dataValidation type="list" allowBlank="1" showErrorMessage="1" sqref="I2:I5" xr:uid="{8ED3A38A-893D-47C1-899D-B82BE1830CEF}">
      <formula1>"Open,Inprogress,Closed"</formula1>
    </dataValidation>
    <dataValidation type="list" allowBlank="1" showErrorMessage="1" sqref="E2:E5" xr:uid="{2C4BB18B-BB8D-4ABA-AF41-D443C4F92C66}">
      <formula1>"Bounceback,Defect,None"</formula1>
    </dataValidation>
    <dataValidation type="list" allowBlank="1" showErrorMessage="1" sqref="H2:H5" xr:uid="{DBD7FE18-D988-465F-9399-D0523E3340D4}">
      <formula1>"Internal,External"</formula1>
    </dataValidation>
  </dataValidations>
  <hyperlinks>
    <hyperlink ref="C2" r:id="rId1" display="https://greatergiving.atlassian.net/browse/GGO-13837" xr:uid="{73525892-3727-483C-980A-C78A1D59C43D}"/>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E52D013-A1E9-4442-9246-DD6BE119F7E7}">
          <x14:formula1>
            <xm:f>Details!$A$2:$A$10</xm:f>
          </x14:formula1>
          <xm:sqref>J2:J5</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AE1A5-6BF9-4DC5-9675-26137C697D66}">
  <sheetPr>
    <outlinePr summaryBelow="0" summaryRight="0"/>
  </sheetPr>
  <dimension ref="A2:X9"/>
  <sheetViews>
    <sheetView showGridLines="0" workbookViewId="0">
      <pane xSplit="5" ySplit="2" topLeftCell="V3" activePane="bottomRight" state="frozen"/>
      <selection pane="bottomRight" activeCell="V4" sqref="V4"/>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18"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48">
      <c r="A3" s="44">
        <v>1</v>
      </c>
      <c r="B3" s="2" t="s">
        <v>33</v>
      </c>
      <c r="C3" s="45" t="s">
        <v>1594</v>
      </c>
      <c r="D3" s="58" t="s">
        <v>1664</v>
      </c>
      <c r="E3" s="46" t="s">
        <v>1665</v>
      </c>
      <c r="F3" s="8">
        <v>5</v>
      </c>
      <c r="G3" s="8">
        <v>5</v>
      </c>
      <c r="H3" s="16" t="s">
        <v>1650</v>
      </c>
      <c r="I3" s="31" t="s">
        <v>739</v>
      </c>
      <c r="J3" s="29" t="s">
        <v>1256</v>
      </c>
      <c r="K3" s="31" t="s">
        <v>961</v>
      </c>
      <c r="L3" s="31" t="s">
        <v>1280</v>
      </c>
      <c r="M3" s="63" t="s">
        <v>1666</v>
      </c>
      <c r="N3" s="50">
        <v>45360</v>
      </c>
      <c r="O3" s="50">
        <v>45359</v>
      </c>
      <c r="P3" s="5" t="s">
        <v>275</v>
      </c>
      <c r="Q3" s="16" t="s">
        <v>1256</v>
      </c>
      <c r="R3" s="16" t="s">
        <v>1323</v>
      </c>
      <c r="S3" s="47">
        <v>45363</v>
      </c>
      <c r="T3" s="16" t="s">
        <v>1256</v>
      </c>
      <c r="U3" s="16" t="s">
        <v>1667</v>
      </c>
      <c r="V3" s="16" t="s">
        <v>1256</v>
      </c>
      <c r="W3" s="16" t="s">
        <v>812</v>
      </c>
      <c r="X3" s="16"/>
    </row>
    <row r="4" spans="1:24" ht="48">
      <c r="A4" s="44">
        <v>2</v>
      </c>
      <c r="B4" s="2" t="s">
        <v>33</v>
      </c>
      <c r="C4" s="49" t="s">
        <v>1008</v>
      </c>
      <c r="D4" s="58" t="s">
        <v>1668</v>
      </c>
      <c r="E4" s="46" t="s">
        <v>1669</v>
      </c>
      <c r="F4" s="8">
        <v>2</v>
      </c>
      <c r="G4" s="8">
        <v>2</v>
      </c>
      <c r="H4" s="16" t="s">
        <v>1008</v>
      </c>
      <c r="I4" s="31" t="s">
        <v>739</v>
      </c>
      <c r="J4" s="29" t="s">
        <v>1256</v>
      </c>
      <c r="K4" s="31" t="s">
        <v>743</v>
      </c>
      <c r="L4" s="31" t="s">
        <v>1280</v>
      </c>
      <c r="M4" s="63" t="s">
        <v>1670</v>
      </c>
      <c r="N4" s="50">
        <v>45359</v>
      </c>
      <c r="O4" s="50">
        <v>45359</v>
      </c>
      <c r="P4" s="31" t="s">
        <v>275</v>
      </c>
      <c r="Q4" s="16" t="s">
        <v>1256</v>
      </c>
      <c r="R4" s="16" t="s">
        <v>942</v>
      </c>
      <c r="S4" s="30">
        <v>45359</v>
      </c>
      <c r="T4" s="16" t="s">
        <v>1256</v>
      </c>
      <c r="U4" s="16" t="s">
        <v>1671</v>
      </c>
      <c r="V4" s="16" t="s">
        <v>1256</v>
      </c>
      <c r="W4" s="16" t="s">
        <v>812</v>
      </c>
      <c r="X4" s="16"/>
    </row>
    <row r="5" spans="1:24" ht="48">
      <c r="A5" s="44">
        <v>3</v>
      </c>
      <c r="B5" s="2" t="s">
        <v>33</v>
      </c>
      <c r="C5" s="49" t="s">
        <v>1008</v>
      </c>
      <c r="D5" s="58" t="s">
        <v>1611</v>
      </c>
      <c r="E5" s="51" t="s">
        <v>1645</v>
      </c>
      <c r="F5" s="8">
        <v>5</v>
      </c>
      <c r="G5" s="8">
        <v>5</v>
      </c>
      <c r="H5" s="16"/>
      <c r="I5" s="31"/>
      <c r="J5" s="29"/>
      <c r="K5" s="31"/>
      <c r="L5" s="31"/>
      <c r="M5" s="63"/>
      <c r="N5" s="68"/>
      <c r="O5" s="68"/>
      <c r="P5" s="31"/>
      <c r="Q5" s="16"/>
      <c r="R5" s="16"/>
      <c r="S5" s="68"/>
      <c r="T5" s="16"/>
      <c r="U5" s="16" t="s">
        <v>1672</v>
      </c>
      <c r="V5" s="16"/>
      <c r="W5" s="16" t="s">
        <v>628</v>
      </c>
      <c r="X5" s="16" t="s">
        <v>1647</v>
      </c>
    </row>
    <row r="6" spans="1:24" ht="48">
      <c r="A6" s="44">
        <v>4</v>
      </c>
      <c r="B6" s="2" t="s">
        <v>33</v>
      </c>
      <c r="C6" s="49" t="s">
        <v>1594</v>
      </c>
      <c r="D6" s="58" t="s">
        <v>1673</v>
      </c>
      <c r="E6" s="46" t="s">
        <v>1674</v>
      </c>
      <c r="F6" s="8">
        <v>1</v>
      </c>
      <c r="G6" s="8">
        <v>1</v>
      </c>
      <c r="H6" s="16" t="s">
        <v>1650</v>
      </c>
      <c r="I6" s="31" t="s">
        <v>739</v>
      </c>
      <c r="J6" s="29" t="s">
        <v>1256</v>
      </c>
      <c r="K6" s="31" t="s">
        <v>961</v>
      </c>
      <c r="L6" s="31" t="s">
        <v>1280</v>
      </c>
      <c r="M6" s="63" t="s">
        <v>1675</v>
      </c>
      <c r="N6" s="50">
        <v>45358</v>
      </c>
      <c r="O6" s="50">
        <v>45365</v>
      </c>
      <c r="P6" s="31" t="s">
        <v>275</v>
      </c>
      <c r="Q6" s="16" t="s">
        <v>1256</v>
      </c>
      <c r="R6" s="16" t="s">
        <v>1323</v>
      </c>
      <c r="S6" s="30">
        <v>45365</v>
      </c>
      <c r="T6" s="16" t="s">
        <v>1256</v>
      </c>
      <c r="U6" s="16" t="s">
        <v>1671</v>
      </c>
      <c r="V6" s="16" t="s">
        <v>1256</v>
      </c>
      <c r="W6" s="16" t="s">
        <v>812</v>
      </c>
      <c r="X6" s="16"/>
    </row>
    <row r="7" spans="1:24" ht="43.5" customHeight="1">
      <c r="A7" s="44">
        <v>5</v>
      </c>
      <c r="B7" s="2" t="s">
        <v>33</v>
      </c>
      <c r="C7" s="49" t="s">
        <v>1594</v>
      </c>
      <c r="D7" s="58" t="s">
        <v>1676</v>
      </c>
      <c r="E7" s="51" t="s">
        <v>1677</v>
      </c>
      <c r="F7" s="8">
        <v>3</v>
      </c>
      <c r="G7" s="8"/>
      <c r="H7" s="16" t="s">
        <v>1650</v>
      </c>
      <c r="I7" s="31" t="s">
        <v>739</v>
      </c>
      <c r="J7" s="32" t="s">
        <v>1256</v>
      </c>
      <c r="K7" s="31" t="s">
        <v>961</v>
      </c>
      <c r="L7" s="31"/>
      <c r="M7" s="63" t="s">
        <v>1678</v>
      </c>
      <c r="N7" s="68">
        <v>45364</v>
      </c>
      <c r="O7" s="68"/>
      <c r="P7" s="31" t="s">
        <v>275</v>
      </c>
      <c r="Q7" s="40"/>
      <c r="R7" s="73"/>
      <c r="S7" s="68"/>
      <c r="T7" s="16"/>
      <c r="U7" s="16" t="s">
        <v>1679</v>
      </c>
      <c r="V7" s="16"/>
      <c r="W7" s="16" t="s">
        <v>628</v>
      </c>
      <c r="X7" s="16"/>
    </row>
    <row r="8" spans="1:24" ht="16.5">
      <c r="A8" s="44">
        <v>6</v>
      </c>
      <c r="B8" s="2" t="s">
        <v>33</v>
      </c>
      <c r="C8" s="49" t="s">
        <v>807</v>
      </c>
      <c r="D8" s="74" t="s">
        <v>1657</v>
      </c>
      <c r="E8" s="51" t="s">
        <v>1658</v>
      </c>
      <c r="F8" s="35">
        <v>3</v>
      </c>
      <c r="G8" s="35">
        <v>3</v>
      </c>
      <c r="H8" s="16" t="s">
        <v>93</v>
      </c>
      <c r="I8" s="5" t="s">
        <v>739</v>
      </c>
      <c r="J8" s="32" t="s">
        <v>1256</v>
      </c>
      <c r="K8" s="31" t="s">
        <v>93</v>
      </c>
      <c r="L8" s="31" t="s">
        <v>1280</v>
      </c>
      <c r="M8" s="70" t="s">
        <v>93</v>
      </c>
      <c r="N8" s="50" t="s">
        <v>93</v>
      </c>
      <c r="O8" s="5" t="s">
        <v>93</v>
      </c>
      <c r="P8" s="5" t="s">
        <v>93</v>
      </c>
      <c r="Q8" s="16" t="s">
        <v>93</v>
      </c>
      <c r="R8" s="16" t="s">
        <v>93</v>
      </c>
      <c r="S8" s="16" t="s">
        <v>93</v>
      </c>
      <c r="T8" s="16" t="s">
        <v>93</v>
      </c>
      <c r="U8" s="16" t="s">
        <v>1680</v>
      </c>
      <c r="V8" s="16" t="s">
        <v>93</v>
      </c>
      <c r="W8" s="16" t="s">
        <v>628</v>
      </c>
      <c r="X8" s="16"/>
    </row>
    <row r="9" spans="1:24" ht="60">
      <c r="A9" s="44">
        <v>6</v>
      </c>
      <c r="B9" s="2" t="s">
        <v>33</v>
      </c>
      <c r="C9" s="49" t="s">
        <v>807</v>
      </c>
      <c r="D9" s="74" t="s">
        <v>1681</v>
      </c>
      <c r="E9" s="16" t="s">
        <v>1682</v>
      </c>
      <c r="F9" s="16">
        <v>3</v>
      </c>
      <c r="G9" s="16">
        <v>1</v>
      </c>
      <c r="H9" s="16" t="s">
        <v>93</v>
      </c>
      <c r="I9" s="5" t="s">
        <v>739</v>
      </c>
      <c r="J9" s="32" t="s">
        <v>1256</v>
      </c>
      <c r="K9" s="31" t="s">
        <v>93</v>
      </c>
      <c r="L9" s="31" t="s">
        <v>1280</v>
      </c>
      <c r="M9" s="70" t="s">
        <v>93</v>
      </c>
      <c r="N9" s="50" t="s">
        <v>93</v>
      </c>
      <c r="O9" s="5" t="s">
        <v>93</v>
      </c>
      <c r="P9" s="5" t="s">
        <v>93</v>
      </c>
      <c r="Q9" s="16" t="s">
        <v>93</v>
      </c>
      <c r="R9" s="16" t="s">
        <v>93</v>
      </c>
      <c r="S9" s="16" t="s">
        <v>93</v>
      </c>
      <c r="T9" s="16" t="s">
        <v>93</v>
      </c>
      <c r="U9" s="16" t="s">
        <v>1671</v>
      </c>
      <c r="V9" s="16" t="s">
        <v>93</v>
      </c>
      <c r="W9" s="16" t="s">
        <v>628</v>
      </c>
      <c r="X9" s="16" t="s">
        <v>1683</v>
      </c>
    </row>
  </sheetData>
  <dataValidations count="1">
    <dataValidation type="list" allowBlank="1" showErrorMessage="1" sqref="W3:W12" xr:uid="{EA381DAC-6DB1-4ECE-8FCE-C765D5931CBC}">
      <formula1>"Open,Inprogress,Closed"</formula1>
    </dataValidation>
  </dataValidations>
  <hyperlinks>
    <hyperlink ref="M4" r:id="rId1" xr:uid="{2AA7C6B9-C93B-45C4-B33C-D465445FFF45}"/>
    <hyperlink ref="M3" r:id="rId2" xr:uid="{F3704259-C7B5-409A-B941-A34C1BECC748}"/>
    <hyperlink ref="M6" r:id="rId3" xr:uid="{CC7E066A-04E7-499F-AFF2-75386D86CE3D}"/>
    <hyperlink ref="M7" r:id="rId4" xr:uid="{C3E95907-187F-46A0-9D3F-605926ABB192}"/>
    <hyperlink ref="D8" r:id="rId5" display="https://greatergiving.atlassian.net/browse/GGO-13816" xr:uid="{09B14222-99B5-4207-BDE4-1C7691BD4081}"/>
    <hyperlink ref="D9" r:id="rId6" display="https://greatergiving.atlassian.net/browse/GGO-13737" xr:uid="{785A50A1-BAC0-4074-A280-6C79BB53B990}"/>
  </hyperlinks>
  <pageMargins left="0" right="0" top="0" bottom="0" header="0" footer="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47454-C322-4636-878E-37B2788D0B0D}">
  <sheetPr>
    <outlinePr summaryBelow="0" summaryRight="0"/>
  </sheetPr>
  <dimension ref="A1:K4"/>
  <sheetViews>
    <sheetView topLeftCell="B1" workbookViewId="0">
      <selection activeCell="F7" sqref="F7"/>
    </sheetView>
  </sheetViews>
  <sheetFormatPr defaultColWidth="12.5703125" defaultRowHeight="15" customHeight="1"/>
  <cols>
    <col min="1" max="1" width="12.5703125" customWidth="1"/>
    <col min="2" max="2" width="21.42578125" customWidth="1"/>
    <col min="3" max="3" width="14.42578125" customWidth="1"/>
    <col min="4" max="4" width="19.140625" customWidth="1"/>
    <col min="5" max="5" width="12.5703125" customWidth="1"/>
    <col min="6" max="6" width="41.140625" customWidth="1"/>
    <col min="10" max="10" width="18" customWidth="1"/>
  </cols>
  <sheetData>
    <row r="1" spans="1:11" ht="13.5">
      <c r="A1" s="1" t="s">
        <v>234</v>
      </c>
      <c r="B1" s="24" t="s">
        <v>11</v>
      </c>
      <c r="C1" s="25" t="s">
        <v>350</v>
      </c>
      <c r="D1" s="24" t="s">
        <v>236</v>
      </c>
      <c r="E1" s="25" t="s">
        <v>352</v>
      </c>
      <c r="F1" s="25" t="s">
        <v>353</v>
      </c>
      <c r="G1" s="24" t="s">
        <v>354</v>
      </c>
      <c r="H1" s="24" t="s">
        <v>356</v>
      </c>
      <c r="I1" s="24" t="s">
        <v>239</v>
      </c>
      <c r="J1" s="26" t="s">
        <v>357</v>
      </c>
      <c r="K1" s="27" t="s">
        <v>260</v>
      </c>
    </row>
    <row r="2" spans="1:11" ht="71.25" customHeight="1">
      <c r="A2" s="4">
        <v>1</v>
      </c>
      <c r="B2" s="2" t="s">
        <v>33</v>
      </c>
      <c r="C2" s="69" t="s">
        <v>1684</v>
      </c>
      <c r="D2" s="11" t="s">
        <v>743</v>
      </c>
      <c r="E2" s="12" t="s">
        <v>623</v>
      </c>
      <c r="F2" s="29" t="s">
        <v>1685</v>
      </c>
      <c r="G2" s="12" t="s">
        <v>860</v>
      </c>
      <c r="H2" s="12" t="s">
        <v>861</v>
      </c>
      <c r="I2" s="12" t="s">
        <v>812</v>
      </c>
      <c r="J2" s="12" t="s">
        <v>862</v>
      </c>
      <c r="K2" s="12"/>
    </row>
    <row r="3" spans="1:11" ht="26.25" customHeight="1">
      <c r="A3" s="4">
        <v>2</v>
      </c>
      <c r="B3" s="2" t="s">
        <v>33</v>
      </c>
      <c r="C3" s="69" t="s">
        <v>1686</v>
      </c>
      <c r="D3" s="11" t="s">
        <v>743</v>
      </c>
      <c r="E3" s="12" t="s">
        <v>623</v>
      </c>
      <c r="F3" s="29" t="s">
        <v>1687</v>
      </c>
      <c r="G3" s="12" t="s">
        <v>860</v>
      </c>
      <c r="H3" s="12" t="s">
        <v>861</v>
      </c>
      <c r="I3" s="12" t="s">
        <v>812</v>
      </c>
      <c r="J3" s="12" t="s">
        <v>862</v>
      </c>
      <c r="K3" s="12"/>
    </row>
    <row r="4" spans="1:11" ht="26.25" customHeight="1">
      <c r="A4" s="4">
        <v>3</v>
      </c>
      <c r="B4" s="2" t="s">
        <v>33</v>
      </c>
      <c r="C4" s="69" t="s">
        <v>1688</v>
      </c>
      <c r="D4" s="11" t="s">
        <v>942</v>
      </c>
      <c r="E4" s="12" t="s">
        <v>623</v>
      </c>
      <c r="F4" s="29" t="s">
        <v>1689</v>
      </c>
      <c r="G4" s="12" t="s">
        <v>860</v>
      </c>
      <c r="H4" s="12" t="s">
        <v>861</v>
      </c>
      <c r="I4" s="12" t="s">
        <v>812</v>
      </c>
      <c r="J4" s="12" t="s">
        <v>862</v>
      </c>
      <c r="K4" s="12"/>
    </row>
  </sheetData>
  <dataValidations count="4">
    <dataValidation type="list" allowBlank="1" showErrorMessage="1" sqref="H2:H5" xr:uid="{9108C372-8A55-404B-8D1A-811BC4250DD3}">
      <formula1>"Internal,External"</formula1>
    </dataValidation>
    <dataValidation type="list" allowBlank="1" showErrorMessage="1" sqref="E2:E5" xr:uid="{2692389D-11EC-488E-B85F-34194C91EF03}">
      <formula1>"Bounceback,Defect,None"</formula1>
    </dataValidation>
    <dataValidation type="list" allowBlank="1" showErrorMessage="1" sqref="I2:I5" xr:uid="{51896737-0D47-436C-8E03-18F59DD38734}">
      <formula1>"Open,Inprogress,Closed"</formula1>
    </dataValidation>
    <dataValidation type="list" allowBlank="1" showErrorMessage="1" sqref="G2:G5" xr:uid="{93E403B8-5852-42A7-A8B0-03F49CEA4DFB}">
      <formula1>"Minor,Significant,Major"</formula1>
    </dataValidation>
  </dataValidations>
  <hyperlinks>
    <hyperlink ref="C2" r:id="rId1" display="https://greatergiving.atlassian.net/browse/GGO-13837" xr:uid="{441678EB-32A0-4F5F-88BC-8473073EF8A5}"/>
    <hyperlink ref="C3" r:id="rId2" display="https://greatergiving.atlassian.net/browse/GGO-13838" xr:uid="{BA54978D-DCCC-40D6-883D-3BA471F546D7}"/>
    <hyperlink ref="C4" r:id="rId3" display="https://greatergiving.atlassian.net/browse/GGO-13835" xr:uid="{3FC5BFD4-9B33-435D-9AD7-BEC05E2E1EFA}"/>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7A3B0BD-BB11-433E-B876-E91A996A1551}">
          <x14:formula1>
            <xm:f>Details!$A$2:$A$10</xm:f>
          </x14:formula1>
          <xm:sqref>J2:J5</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5704A-403F-4CA4-B1F4-386F279B3BEB}">
  <sheetPr>
    <outlinePr summaryBelow="0" summaryRight="0"/>
  </sheetPr>
  <dimension ref="A2:X11"/>
  <sheetViews>
    <sheetView showGridLines="0" workbookViewId="0">
      <pane xSplit="5" ySplit="2" topLeftCell="F4" activePane="bottomRight" state="frozen"/>
      <selection pane="bottomRight" activeCell="C10" sqref="C10"/>
      <selection pane="bottomLeft" activeCell="A3" sqref="A3"/>
      <selection pane="topRight" activeCell="F1" sqref="F1"/>
    </sheetView>
  </sheetViews>
  <sheetFormatPr defaultColWidth="12.5703125" defaultRowHeight="12.75"/>
  <cols>
    <col min="1" max="1" width="4.28515625" style="43" customWidth="1"/>
    <col min="2" max="2" width="22.7109375" style="43" customWidth="1"/>
    <col min="3" max="3" width="23" style="43" bestFit="1" customWidth="1"/>
    <col min="4" max="4" width="12.85546875" style="62" bestFit="1"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18"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48">
      <c r="A3" s="44">
        <v>1</v>
      </c>
      <c r="B3" s="2" t="s">
        <v>31</v>
      </c>
      <c r="C3" s="45" t="s">
        <v>961</v>
      </c>
      <c r="D3" s="58" t="s">
        <v>1690</v>
      </c>
      <c r="E3" s="46" t="s">
        <v>1691</v>
      </c>
      <c r="F3" s="8">
        <v>3</v>
      </c>
      <c r="G3" s="8">
        <v>3</v>
      </c>
      <c r="H3" s="16" t="s">
        <v>1008</v>
      </c>
      <c r="I3" s="31" t="s">
        <v>1692</v>
      </c>
      <c r="J3" s="29" t="s">
        <v>1256</v>
      </c>
      <c r="K3" s="31" t="s">
        <v>743</v>
      </c>
      <c r="L3" s="31" t="s">
        <v>1280</v>
      </c>
      <c r="M3" s="63" t="s">
        <v>1693</v>
      </c>
      <c r="N3" s="47">
        <v>45348</v>
      </c>
      <c r="O3" s="47">
        <v>45348</v>
      </c>
      <c r="P3" s="5" t="s">
        <v>275</v>
      </c>
      <c r="Q3" s="16" t="s">
        <v>1280</v>
      </c>
      <c r="R3" s="16" t="s">
        <v>1694</v>
      </c>
      <c r="S3" s="47">
        <v>45349</v>
      </c>
      <c r="T3" s="16" t="s">
        <v>1280</v>
      </c>
      <c r="U3" s="16" t="s">
        <v>1695</v>
      </c>
      <c r="V3" s="16"/>
      <c r="W3" s="16" t="s">
        <v>812</v>
      </c>
      <c r="X3" s="16"/>
    </row>
    <row r="4" spans="1:24" ht="48">
      <c r="A4" s="44">
        <v>2</v>
      </c>
      <c r="B4" s="2" t="s">
        <v>31</v>
      </c>
      <c r="C4" s="49" t="s">
        <v>1696</v>
      </c>
      <c r="D4" s="58" t="s">
        <v>1697</v>
      </c>
      <c r="E4" s="46" t="s">
        <v>1698</v>
      </c>
      <c r="F4" s="8">
        <v>5</v>
      </c>
      <c r="G4" s="8">
        <v>5</v>
      </c>
      <c r="H4" s="16" t="s">
        <v>1387</v>
      </c>
      <c r="I4" s="31" t="s">
        <v>1692</v>
      </c>
      <c r="J4" s="29"/>
      <c r="K4" s="31" t="s">
        <v>743</v>
      </c>
      <c r="L4" s="31"/>
      <c r="M4" s="63" t="s">
        <v>1699</v>
      </c>
      <c r="N4" s="50">
        <v>45352</v>
      </c>
      <c r="O4" s="50">
        <v>45352</v>
      </c>
      <c r="P4" s="31" t="s">
        <v>275</v>
      </c>
      <c r="Q4" s="16" t="s">
        <v>1280</v>
      </c>
      <c r="R4" s="16" t="s">
        <v>1694</v>
      </c>
      <c r="S4" s="30">
        <v>45352</v>
      </c>
      <c r="T4" s="16" t="s">
        <v>1280</v>
      </c>
      <c r="U4" s="16" t="s">
        <v>1700</v>
      </c>
      <c r="V4" s="16"/>
      <c r="W4" s="16" t="s">
        <v>812</v>
      </c>
      <c r="X4" s="16"/>
    </row>
    <row r="5" spans="1:24" ht="48">
      <c r="A5" s="44">
        <v>3</v>
      </c>
      <c r="B5" s="2" t="s">
        <v>31</v>
      </c>
      <c r="C5" s="49" t="s">
        <v>743</v>
      </c>
      <c r="D5" s="58" t="s">
        <v>1701</v>
      </c>
      <c r="E5" s="51" t="s">
        <v>1702</v>
      </c>
      <c r="F5" s="8">
        <v>5</v>
      </c>
      <c r="G5" s="8">
        <v>5</v>
      </c>
      <c r="H5" s="16" t="s">
        <v>1008</v>
      </c>
      <c r="I5" s="31" t="s">
        <v>1703</v>
      </c>
      <c r="J5" s="29"/>
      <c r="K5" s="31" t="s">
        <v>1008</v>
      </c>
      <c r="L5" s="31"/>
      <c r="M5" s="63" t="s">
        <v>1704</v>
      </c>
      <c r="N5" s="68">
        <v>45350</v>
      </c>
      <c r="O5" s="68">
        <v>45350</v>
      </c>
      <c r="P5" s="31" t="s">
        <v>275</v>
      </c>
      <c r="Q5" s="16" t="s">
        <v>1280</v>
      </c>
      <c r="R5" s="16" t="s">
        <v>1694</v>
      </c>
      <c r="S5" s="68">
        <v>45351</v>
      </c>
      <c r="T5" s="16" t="s">
        <v>1280</v>
      </c>
      <c r="U5" s="16" t="s">
        <v>1705</v>
      </c>
      <c r="V5" s="16"/>
      <c r="W5" s="16" t="s">
        <v>812</v>
      </c>
      <c r="X5" s="16"/>
    </row>
    <row r="6" spans="1:24" ht="48">
      <c r="A6" s="44">
        <v>4</v>
      </c>
      <c r="B6" s="2" t="s">
        <v>31</v>
      </c>
      <c r="C6" s="49" t="s">
        <v>1706</v>
      </c>
      <c r="D6" s="58" t="s">
        <v>1668</v>
      </c>
      <c r="E6" s="46" t="s">
        <v>1669</v>
      </c>
      <c r="F6" s="8">
        <v>3</v>
      </c>
      <c r="G6" s="8">
        <v>3</v>
      </c>
      <c r="H6" s="16" t="s">
        <v>1387</v>
      </c>
      <c r="I6" s="31" t="s">
        <v>1707</v>
      </c>
      <c r="J6" s="29"/>
      <c r="K6" s="31" t="s">
        <v>743</v>
      </c>
      <c r="L6" s="31"/>
      <c r="M6" s="63" t="s">
        <v>1708</v>
      </c>
      <c r="N6" s="50">
        <v>45352</v>
      </c>
      <c r="O6" s="50">
        <v>45353</v>
      </c>
      <c r="P6" s="31" t="s">
        <v>275</v>
      </c>
      <c r="Q6" s="16" t="s">
        <v>1280</v>
      </c>
      <c r="R6" s="16" t="s">
        <v>1694</v>
      </c>
      <c r="S6" s="30">
        <v>45353</v>
      </c>
      <c r="T6" s="16" t="s">
        <v>1280</v>
      </c>
      <c r="U6" s="16" t="s">
        <v>1709</v>
      </c>
      <c r="V6" s="16"/>
      <c r="W6" s="16" t="s">
        <v>628</v>
      </c>
      <c r="X6" s="16"/>
    </row>
    <row r="7" spans="1:24" ht="48">
      <c r="A7" s="44">
        <v>5</v>
      </c>
      <c r="B7" s="2" t="s">
        <v>31</v>
      </c>
      <c r="C7" s="45" t="s">
        <v>275</v>
      </c>
      <c r="D7" s="58" t="s">
        <v>1710</v>
      </c>
      <c r="E7" s="51" t="s">
        <v>1711</v>
      </c>
      <c r="F7" s="8">
        <v>2</v>
      </c>
      <c r="G7" s="8">
        <v>2</v>
      </c>
      <c r="H7" s="16" t="s">
        <v>275</v>
      </c>
      <c r="I7" s="31" t="s">
        <v>739</v>
      </c>
      <c r="J7" s="32"/>
      <c r="K7" s="31" t="s">
        <v>1008</v>
      </c>
      <c r="L7" s="31"/>
      <c r="M7" s="63" t="s">
        <v>1712</v>
      </c>
      <c r="N7" s="68">
        <v>45349</v>
      </c>
      <c r="O7" s="68">
        <v>45349</v>
      </c>
      <c r="P7" s="31" t="s">
        <v>961</v>
      </c>
      <c r="Q7" s="40" t="s">
        <v>1280</v>
      </c>
      <c r="R7" s="73" t="s">
        <v>1617</v>
      </c>
      <c r="S7" s="68">
        <v>45350</v>
      </c>
      <c r="T7" s="16" t="s">
        <v>1280</v>
      </c>
      <c r="U7" s="16" t="s">
        <v>1700</v>
      </c>
      <c r="V7" s="16"/>
      <c r="W7" s="16" t="s">
        <v>812</v>
      </c>
      <c r="X7" s="16"/>
    </row>
    <row r="8" spans="1:24" ht="60">
      <c r="A8" s="52">
        <v>6</v>
      </c>
      <c r="B8" s="2" t="s">
        <v>31</v>
      </c>
      <c r="C8" s="49" t="s">
        <v>743</v>
      </c>
      <c r="D8" s="58" t="s">
        <v>1673</v>
      </c>
      <c r="E8" s="51" t="s">
        <v>1713</v>
      </c>
      <c r="F8" s="35">
        <v>3</v>
      </c>
      <c r="G8" s="35"/>
      <c r="H8" s="16" t="s">
        <v>743</v>
      </c>
      <c r="I8" s="5" t="s">
        <v>1008</v>
      </c>
      <c r="J8" s="16"/>
      <c r="K8" s="31" t="s">
        <v>1008</v>
      </c>
      <c r="L8" s="5"/>
      <c r="M8" s="70" t="s">
        <v>1675</v>
      </c>
      <c r="N8" s="50">
        <v>45358</v>
      </c>
      <c r="O8" s="5"/>
      <c r="P8" s="5" t="s">
        <v>275</v>
      </c>
      <c r="Q8" s="16"/>
      <c r="R8" s="16"/>
      <c r="S8" s="16"/>
      <c r="T8" s="16"/>
      <c r="U8" s="16" t="s">
        <v>1714</v>
      </c>
      <c r="V8" s="16"/>
      <c r="W8" s="16" t="s">
        <v>628</v>
      </c>
      <c r="X8" s="16" t="s">
        <v>1715</v>
      </c>
    </row>
    <row r="9" spans="1:24" ht="48">
      <c r="A9" s="52">
        <v>7</v>
      </c>
      <c r="B9" s="2" t="s">
        <v>31</v>
      </c>
      <c r="C9" s="49" t="s">
        <v>961</v>
      </c>
      <c r="D9" s="58" t="s">
        <v>1716</v>
      </c>
      <c r="E9" s="16" t="s">
        <v>1717</v>
      </c>
      <c r="F9" s="16">
        <v>3</v>
      </c>
      <c r="G9" s="16">
        <v>3</v>
      </c>
      <c r="H9" s="16" t="s">
        <v>1008</v>
      </c>
      <c r="I9" s="5" t="s">
        <v>739</v>
      </c>
      <c r="J9" s="16" t="s">
        <v>1256</v>
      </c>
      <c r="K9" s="5" t="s">
        <v>743</v>
      </c>
      <c r="L9" s="5" t="s">
        <v>1280</v>
      </c>
      <c r="M9" s="70" t="s">
        <v>1718</v>
      </c>
      <c r="N9" s="71">
        <v>45356</v>
      </c>
      <c r="O9" s="71">
        <v>45356</v>
      </c>
      <c r="P9" s="5" t="s">
        <v>275</v>
      </c>
      <c r="Q9" s="16" t="s">
        <v>1280</v>
      </c>
      <c r="R9" s="16" t="s">
        <v>1694</v>
      </c>
      <c r="S9" s="67">
        <v>45356</v>
      </c>
      <c r="T9" s="16" t="s">
        <v>1280</v>
      </c>
      <c r="U9" s="16" t="s">
        <v>1719</v>
      </c>
      <c r="V9" s="54"/>
      <c r="W9" s="16" t="s">
        <v>812</v>
      </c>
      <c r="X9" s="16"/>
    </row>
    <row r="10" spans="1:24" ht="24">
      <c r="A10" s="52">
        <v>8</v>
      </c>
      <c r="B10" s="2" t="s">
        <v>31</v>
      </c>
      <c r="C10" s="49" t="s">
        <v>807</v>
      </c>
      <c r="D10" s="72" t="s">
        <v>1720</v>
      </c>
      <c r="E10" s="16" t="s">
        <v>1721</v>
      </c>
      <c r="F10" s="16">
        <v>2</v>
      </c>
      <c r="G10" s="16">
        <v>2</v>
      </c>
      <c r="H10" s="16" t="s">
        <v>743</v>
      </c>
      <c r="I10" s="31" t="s">
        <v>739</v>
      </c>
      <c r="J10" s="29" t="s">
        <v>427</v>
      </c>
      <c r="K10" s="31" t="s">
        <v>1722</v>
      </c>
      <c r="L10" s="31" t="s">
        <v>1256</v>
      </c>
      <c r="M10" s="19" t="s">
        <v>93</v>
      </c>
      <c r="N10" s="31" t="s">
        <v>93</v>
      </c>
      <c r="O10" s="31" t="s">
        <v>93</v>
      </c>
      <c r="P10" s="31" t="s">
        <v>93</v>
      </c>
      <c r="Q10" s="16" t="s">
        <v>1280</v>
      </c>
      <c r="R10" s="16" t="s">
        <v>93</v>
      </c>
      <c r="S10" s="16" t="s">
        <v>93</v>
      </c>
      <c r="T10" s="16" t="s">
        <v>93</v>
      </c>
      <c r="U10" s="16" t="s">
        <v>1705</v>
      </c>
      <c r="V10" s="16" t="s">
        <v>93</v>
      </c>
      <c r="W10" s="16" t="s">
        <v>812</v>
      </c>
      <c r="X10" s="16"/>
    </row>
    <row r="11" spans="1:24">
      <c r="A11" s="52">
        <v>9</v>
      </c>
      <c r="B11" s="2" t="s">
        <v>33</v>
      </c>
      <c r="C11" s="49" t="s">
        <v>275</v>
      </c>
      <c r="D11" s="72" t="s">
        <v>1723</v>
      </c>
      <c r="E11" s="16" t="s">
        <v>1724</v>
      </c>
      <c r="F11" s="16">
        <v>1</v>
      </c>
      <c r="G11" s="16">
        <v>1</v>
      </c>
      <c r="H11" s="16" t="s">
        <v>275</v>
      </c>
      <c r="I11" s="5" t="s">
        <v>856</v>
      </c>
      <c r="J11" s="16" t="s">
        <v>856</v>
      </c>
      <c r="K11" s="5" t="s">
        <v>856</v>
      </c>
      <c r="L11" s="5" t="s">
        <v>856</v>
      </c>
      <c r="M11" s="5" t="s">
        <v>856</v>
      </c>
      <c r="N11" s="5" t="s">
        <v>856</v>
      </c>
      <c r="O11" s="5" t="s">
        <v>856</v>
      </c>
      <c r="P11" s="5" t="s">
        <v>856</v>
      </c>
      <c r="Q11" s="16" t="s">
        <v>856</v>
      </c>
      <c r="R11" s="16" t="s">
        <v>856</v>
      </c>
      <c r="S11" s="16" t="s">
        <v>856</v>
      </c>
      <c r="T11" s="16" t="s">
        <v>856</v>
      </c>
      <c r="U11" s="16" t="s">
        <v>1705</v>
      </c>
      <c r="V11" s="16" t="s">
        <v>856</v>
      </c>
      <c r="W11" s="16" t="s">
        <v>812</v>
      </c>
      <c r="X11" s="16"/>
    </row>
  </sheetData>
  <dataValidations count="1">
    <dataValidation type="list" allowBlank="1" showErrorMessage="1" sqref="W3:W12" xr:uid="{CB372776-F513-4E19-9E8B-31040915EE17}">
      <formula1>"Open,Inprogress,Closed"</formula1>
    </dataValidation>
  </dataValidations>
  <hyperlinks>
    <hyperlink ref="M3" r:id="rId1" xr:uid="{C71FCC34-E857-4A84-AF7B-A0A7BDBD6906}"/>
    <hyperlink ref="M4" r:id="rId2" xr:uid="{E7C80421-9A5D-4F4D-940B-195FB09D1224}"/>
    <hyperlink ref="M9" r:id="rId3" xr:uid="{2D1ED32C-D4FD-4B23-92C0-0F01AC8FEDF5}"/>
    <hyperlink ref="D10" r:id="rId4" display="https://greatergiving.atlassian.net/browse/GGO-13703" xr:uid="{F3CBDCD6-BA0C-4082-9476-1A8825C626BC}"/>
    <hyperlink ref="D11" r:id="rId5" display="https://greatergiving.atlassian.net/browse/GGO-13703" xr:uid="{9DC433DF-4909-457B-BCE8-D2048A359478}"/>
    <hyperlink ref="M5" r:id="rId6" xr:uid="{DF5A270E-B4ED-43A6-9B86-ED815E7DDEC8}"/>
    <hyperlink ref="M6" r:id="rId7" xr:uid="{5CF7DDBF-05CC-4FA1-87E1-10C55EE92393}"/>
    <hyperlink ref="M8" r:id="rId8" xr:uid="{636B35D7-51D6-4BD4-94E8-D4C059A54534}"/>
    <hyperlink ref="M7" r:id="rId9" xr:uid="{AB439F30-0BFF-4FD9-99D9-0055E7C404AF}"/>
  </hyperlinks>
  <pageMargins left="0" right="0" top="0" bottom="0" header="0" footer="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F961E-F63E-4A91-B1D5-85366E875810}">
  <sheetPr>
    <outlinePr summaryBelow="0" summaryRight="0"/>
  </sheetPr>
  <dimension ref="A2:X10"/>
  <sheetViews>
    <sheetView showGridLines="0" workbookViewId="0">
      <pane xSplit="5" ySplit="2" topLeftCell="U4" activePane="bottomRight" state="frozen"/>
      <selection pane="bottomRight" activeCell="U4" sqref="U4"/>
      <selection pane="bottomLeft" activeCell="A3" sqref="A3"/>
      <selection pane="topRight" activeCell="F1" sqref="F1"/>
    </sheetView>
  </sheetViews>
  <sheetFormatPr defaultColWidth="12.5703125" defaultRowHeight="12.75"/>
  <cols>
    <col min="1" max="1" width="4.28515625" style="43" customWidth="1"/>
    <col min="2" max="2" width="11.140625" style="43" bestFit="1" customWidth="1"/>
    <col min="3" max="3" width="23" style="43" bestFit="1" customWidth="1"/>
    <col min="4" max="4" width="12.85546875" style="62" bestFit="1"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4" style="43" bestFit="1" customWidth="1"/>
    <col min="17" max="17" width="46.28515625" style="43" customWidth="1"/>
    <col min="18" max="18" width="10.140625"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18" style="43"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23" t="s">
        <v>256</v>
      </c>
      <c r="T2" s="1" t="s">
        <v>254</v>
      </c>
      <c r="U2" s="1" t="s">
        <v>465</v>
      </c>
      <c r="V2" s="1" t="s">
        <v>466</v>
      </c>
      <c r="W2" s="1" t="s">
        <v>239</v>
      </c>
      <c r="X2" s="3" t="s">
        <v>260</v>
      </c>
    </row>
    <row r="3" spans="1:24" ht="48">
      <c r="A3" s="44">
        <v>1</v>
      </c>
      <c r="B3" s="5" t="s">
        <v>1725</v>
      </c>
      <c r="C3" s="45" t="s">
        <v>1726</v>
      </c>
      <c r="D3" s="58" t="s">
        <v>1727</v>
      </c>
      <c r="E3" s="46" t="s">
        <v>1728</v>
      </c>
      <c r="F3" s="8">
        <v>5</v>
      </c>
      <c r="G3" s="8">
        <v>5</v>
      </c>
      <c r="H3" s="16"/>
      <c r="I3" s="31" t="s">
        <v>1729</v>
      </c>
      <c r="J3" s="29"/>
      <c r="K3" s="31" t="s">
        <v>961</v>
      </c>
      <c r="L3" s="31"/>
      <c r="M3" s="63" t="s">
        <v>1730</v>
      </c>
      <c r="N3" s="47">
        <v>45337</v>
      </c>
      <c r="O3" s="47">
        <v>45338</v>
      </c>
      <c r="P3" s="5" t="s">
        <v>275</v>
      </c>
      <c r="Q3" s="16"/>
      <c r="R3" s="16" t="s">
        <v>1617</v>
      </c>
      <c r="S3" s="47">
        <v>45338</v>
      </c>
      <c r="T3" s="16"/>
      <c r="U3" s="16" t="s">
        <v>1705</v>
      </c>
      <c r="V3" s="16"/>
      <c r="W3" s="16" t="s">
        <v>812</v>
      </c>
      <c r="X3" s="16"/>
    </row>
    <row r="4" spans="1:24" ht="60">
      <c r="A4" s="44">
        <v>2</v>
      </c>
      <c r="B4" s="5" t="s">
        <v>1725</v>
      </c>
      <c r="C4" s="49" t="s">
        <v>1696</v>
      </c>
      <c r="D4" s="58" t="s">
        <v>1720</v>
      </c>
      <c r="E4" s="46" t="s">
        <v>1721</v>
      </c>
      <c r="F4" s="8">
        <v>3</v>
      </c>
      <c r="G4" s="8">
        <v>2</v>
      </c>
      <c r="H4" s="16"/>
      <c r="I4" s="31" t="s">
        <v>739</v>
      </c>
      <c r="J4" s="29"/>
      <c r="K4" s="31" t="s">
        <v>743</v>
      </c>
      <c r="L4" s="31"/>
      <c r="M4" s="20"/>
      <c r="N4" s="50"/>
      <c r="O4" s="50"/>
      <c r="P4" s="31"/>
      <c r="Q4" s="16"/>
      <c r="R4" s="16"/>
      <c r="S4" s="30"/>
      <c r="T4" s="16"/>
      <c r="U4" s="16" t="s">
        <v>1731</v>
      </c>
      <c r="V4" s="16"/>
      <c r="W4" s="16" t="s">
        <v>628</v>
      </c>
      <c r="X4" s="16"/>
    </row>
    <row r="5" spans="1:24" ht="48">
      <c r="A5" s="44">
        <v>3</v>
      </c>
      <c r="B5" s="5" t="s">
        <v>1725</v>
      </c>
      <c r="C5" s="49" t="s">
        <v>807</v>
      </c>
      <c r="D5" s="58" t="s">
        <v>1732</v>
      </c>
      <c r="E5" s="51" t="s">
        <v>1733</v>
      </c>
      <c r="F5" s="8">
        <v>1</v>
      </c>
      <c r="G5" s="8">
        <v>1</v>
      </c>
      <c r="H5" s="16" t="s">
        <v>1269</v>
      </c>
      <c r="I5" s="31" t="s">
        <v>1692</v>
      </c>
      <c r="J5" s="29" t="s">
        <v>1256</v>
      </c>
      <c r="K5" s="31" t="s">
        <v>743</v>
      </c>
      <c r="L5" s="31" t="s">
        <v>1280</v>
      </c>
      <c r="M5" s="63" t="s">
        <v>1734</v>
      </c>
      <c r="N5" s="68">
        <v>45336</v>
      </c>
      <c r="O5" s="68">
        <v>45337</v>
      </c>
      <c r="P5" s="31" t="s">
        <v>275</v>
      </c>
      <c r="Q5" s="16" t="s">
        <v>1735</v>
      </c>
      <c r="R5" s="16" t="s">
        <v>1617</v>
      </c>
      <c r="S5" s="67">
        <v>45337</v>
      </c>
      <c r="T5" s="16" t="s">
        <v>1280</v>
      </c>
      <c r="U5" s="16" t="s">
        <v>1671</v>
      </c>
      <c r="V5" s="16" t="s">
        <v>1280</v>
      </c>
      <c r="W5" s="16" t="s">
        <v>812</v>
      </c>
      <c r="X5" s="16"/>
    </row>
    <row r="6" spans="1:24" ht="60">
      <c r="A6" s="44">
        <v>4</v>
      </c>
      <c r="B6" s="5" t="s">
        <v>1725</v>
      </c>
      <c r="C6" s="49" t="s">
        <v>961</v>
      </c>
      <c r="D6" s="58" t="s">
        <v>1736</v>
      </c>
      <c r="E6" s="46" t="s">
        <v>1737</v>
      </c>
      <c r="F6" s="8">
        <v>5</v>
      </c>
      <c r="G6" s="8">
        <v>5</v>
      </c>
      <c r="H6" s="16" t="s">
        <v>1008</v>
      </c>
      <c r="I6" s="31" t="s">
        <v>1692</v>
      </c>
      <c r="J6" s="29" t="s">
        <v>1256</v>
      </c>
      <c r="K6" s="31" t="s">
        <v>743</v>
      </c>
      <c r="L6" s="31" t="s">
        <v>1280</v>
      </c>
      <c r="M6" s="63" t="s">
        <v>1738</v>
      </c>
      <c r="N6" s="47">
        <v>45334</v>
      </c>
      <c r="O6" s="47">
        <v>45337</v>
      </c>
      <c r="P6" s="31" t="s">
        <v>275</v>
      </c>
      <c r="Q6" s="16"/>
      <c r="R6" s="16" t="s">
        <v>1617</v>
      </c>
      <c r="S6" s="67">
        <v>45337</v>
      </c>
      <c r="T6" s="16" t="s">
        <v>1739</v>
      </c>
      <c r="U6" s="16" t="s">
        <v>1740</v>
      </c>
      <c r="V6" s="16" t="s">
        <v>1280</v>
      </c>
      <c r="W6" s="16" t="s">
        <v>812</v>
      </c>
      <c r="X6" s="16"/>
    </row>
    <row r="7" spans="1:24" ht="48">
      <c r="A7" s="44">
        <v>5</v>
      </c>
      <c r="B7" s="5" t="s">
        <v>1725</v>
      </c>
      <c r="C7" s="45" t="s">
        <v>988</v>
      </c>
      <c r="D7" s="58" t="s">
        <v>1741</v>
      </c>
      <c r="E7" s="51" t="s">
        <v>1742</v>
      </c>
      <c r="F7" s="8">
        <v>2</v>
      </c>
      <c r="G7" s="8">
        <v>2</v>
      </c>
      <c r="H7" s="16" t="s">
        <v>1269</v>
      </c>
      <c r="I7" s="31" t="s">
        <v>1692</v>
      </c>
      <c r="J7" s="32" t="s">
        <v>1256</v>
      </c>
      <c r="K7" s="31" t="s">
        <v>743</v>
      </c>
      <c r="L7" s="31" t="s">
        <v>1280</v>
      </c>
      <c r="M7" s="63" t="s">
        <v>1734</v>
      </c>
      <c r="N7" s="50">
        <v>45336</v>
      </c>
      <c r="O7" s="50">
        <v>45337</v>
      </c>
      <c r="P7" s="31" t="s">
        <v>275</v>
      </c>
      <c r="Q7" s="40" t="s">
        <v>1280</v>
      </c>
      <c r="R7" s="16" t="s">
        <v>1617</v>
      </c>
      <c r="S7" s="34">
        <v>45337</v>
      </c>
      <c r="T7" s="16" t="s">
        <v>1280</v>
      </c>
      <c r="U7" s="16" t="s">
        <v>1280</v>
      </c>
      <c r="V7" s="16" t="s">
        <v>1280</v>
      </c>
      <c r="W7" s="16" t="s">
        <v>812</v>
      </c>
      <c r="X7" s="16" t="s">
        <v>1743</v>
      </c>
    </row>
    <row r="8" spans="1:24" ht="48">
      <c r="A8" s="44">
        <v>6</v>
      </c>
      <c r="B8" s="5" t="s">
        <v>1725</v>
      </c>
      <c r="C8" s="45" t="s">
        <v>961</v>
      </c>
      <c r="D8" s="58" t="s">
        <v>1744</v>
      </c>
      <c r="E8" s="51" t="s">
        <v>1745</v>
      </c>
      <c r="F8" s="8">
        <v>2</v>
      </c>
      <c r="G8" s="8">
        <v>2</v>
      </c>
      <c r="H8" s="16" t="s">
        <v>1008</v>
      </c>
      <c r="I8" s="31" t="s">
        <v>856</v>
      </c>
      <c r="J8" s="29" t="s">
        <v>856</v>
      </c>
      <c r="K8" s="31" t="s">
        <v>856</v>
      </c>
      <c r="L8" s="31" t="s">
        <v>856</v>
      </c>
      <c r="M8" s="63" t="s">
        <v>1746</v>
      </c>
      <c r="N8" s="50">
        <v>45343</v>
      </c>
      <c r="O8" s="50">
        <v>45343</v>
      </c>
      <c r="P8" s="31" t="s">
        <v>275</v>
      </c>
      <c r="Q8" s="16" t="s">
        <v>1747</v>
      </c>
      <c r="R8" s="16" t="s">
        <v>1617</v>
      </c>
      <c r="S8" s="34">
        <v>45343</v>
      </c>
      <c r="T8" s="16" t="s">
        <v>1280</v>
      </c>
      <c r="U8" s="5" t="s">
        <v>1671</v>
      </c>
      <c r="V8" s="49" t="s">
        <v>1280</v>
      </c>
      <c r="W8" s="16" t="s">
        <v>812</v>
      </c>
      <c r="X8" s="16"/>
    </row>
    <row r="9" spans="1:24" ht="24">
      <c r="A9" s="44">
        <v>7</v>
      </c>
      <c r="B9" s="5" t="s">
        <v>1725</v>
      </c>
      <c r="C9" s="45" t="s">
        <v>1748</v>
      </c>
      <c r="D9" s="58" t="s">
        <v>1749</v>
      </c>
      <c r="E9" s="51" t="s">
        <v>1750</v>
      </c>
      <c r="F9" s="8">
        <v>3</v>
      </c>
      <c r="G9" s="8">
        <v>3</v>
      </c>
      <c r="H9" s="16" t="s">
        <v>1008</v>
      </c>
      <c r="I9" s="31" t="s">
        <v>739</v>
      </c>
      <c r="J9" s="29" t="s">
        <v>856</v>
      </c>
      <c r="K9" s="31" t="s">
        <v>856</v>
      </c>
      <c r="L9" s="31" t="s">
        <v>856</v>
      </c>
      <c r="M9" s="31" t="s">
        <v>856</v>
      </c>
      <c r="N9" s="31" t="s">
        <v>856</v>
      </c>
      <c r="O9" s="31" t="s">
        <v>856</v>
      </c>
      <c r="P9" s="31" t="s">
        <v>856</v>
      </c>
      <c r="Q9" s="31" t="s">
        <v>856</v>
      </c>
      <c r="R9" s="31" t="s">
        <v>856</v>
      </c>
      <c r="S9" s="31" t="s">
        <v>856</v>
      </c>
      <c r="T9" s="31" t="s">
        <v>856</v>
      </c>
      <c r="U9" s="31" t="s">
        <v>1671</v>
      </c>
      <c r="V9" s="31" t="s">
        <v>856</v>
      </c>
      <c r="W9" s="16" t="s">
        <v>812</v>
      </c>
      <c r="X9" s="16" t="s">
        <v>1751</v>
      </c>
    </row>
    <row r="10" spans="1:24" ht="60">
      <c r="A10" s="52">
        <v>8</v>
      </c>
      <c r="B10" s="5" t="s">
        <v>1725</v>
      </c>
      <c r="C10" s="45" t="s">
        <v>1748</v>
      </c>
      <c r="D10" s="60" t="s">
        <v>1752</v>
      </c>
      <c r="E10" s="53" t="s">
        <v>1753</v>
      </c>
      <c r="F10" s="16">
        <v>2</v>
      </c>
      <c r="G10" s="16">
        <v>2</v>
      </c>
      <c r="H10" s="16" t="s">
        <v>275</v>
      </c>
      <c r="I10" s="31" t="s">
        <v>739</v>
      </c>
      <c r="J10" s="29" t="s">
        <v>856</v>
      </c>
      <c r="K10" s="31" t="s">
        <v>856</v>
      </c>
      <c r="L10" s="31" t="s">
        <v>856</v>
      </c>
      <c r="M10" s="31" t="s">
        <v>856</v>
      </c>
      <c r="N10" s="31" t="s">
        <v>856</v>
      </c>
      <c r="O10" s="31" t="s">
        <v>856</v>
      </c>
      <c r="P10" s="31" t="s">
        <v>856</v>
      </c>
      <c r="Q10" s="31" t="s">
        <v>856</v>
      </c>
      <c r="R10" s="31" t="s">
        <v>856</v>
      </c>
      <c r="S10" s="31" t="s">
        <v>856</v>
      </c>
      <c r="T10" s="31" t="s">
        <v>856</v>
      </c>
      <c r="U10" s="31" t="s">
        <v>1671</v>
      </c>
      <c r="V10" s="31" t="s">
        <v>856</v>
      </c>
      <c r="W10" s="16" t="s">
        <v>812</v>
      </c>
      <c r="X10" s="16" t="s">
        <v>1754</v>
      </c>
    </row>
  </sheetData>
  <dataValidations count="1">
    <dataValidation type="list" allowBlank="1" showErrorMessage="1" sqref="W3:W15" xr:uid="{5632ED69-18CA-40F9-865C-CA7477F09A78}">
      <formula1>"Open,Inprogress,Closed"</formula1>
    </dataValidation>
  </dataValidations>
  <hyperlinks>
    <hyperlink ref="M3" r:id="rId1" xr:uid="{EFF4C93C-9376-4071-BC63-DD7BE38DE59B}"/>
    <hyperlink ref="M6" r:id="rId2" xr:uid="{4CAE46C1-2C5C-4DBB-9182-7D620FBF88B4}"/>
    <hyperlink ref="M5" r:id="rId3" xr:uid="{C105641E-C7B7-4076-B53D-E8D73B66B46C}"/>
    <hyperlink ref="M7" r:id="rId4" xr:uid="{0847EAD3-CC52-4E9C-879D-AA193E6DB21A}"/>
    <hyperlink ref="M8" r:id="rId5" xr:uid="{B48EBDAB-041A-4033-A439-7F46909BC661}"/>
  </hyperlinks>
  <pageMargins left="0" right="0" top="0" bottom="0" header="0" footer="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628E3-CB20-41FD-B9A6-D001B54EB63A}">
  <sheetPr>
    <outlinePr summaryBelow="0" summaryRight="0"/>
  </sheetPr>
  <dimension ref="A1:K4"/>
  <sheetViews>
    <sheetView workbookViewId="0">
      <selection activeCell="D7" sqref="D7"/>
    </sheetView>
  </sheetViews>
  <sheetFormatPr defaultColWidth="12.5703125" defaultRowHeight="15" customHeight="1"/>
  <cols>
    <col min="1" max="1" width="12.5703125" customWidth="1"/>
    <col min="2" max="2" width="21.42578125" customWidth="1"/>
    <col min="3" max="3" width="12.5703125" customWidth="1"/>
    <col min="4" max="4" width="19.140625" customWidth="1"/>
    <col min="5" max="5" width="12.5703125" customWidth="1"/>
    <col min="6" max="6" width="41.140625" customWidth="1"/>
  </cols>
  <sheetData>
    <row r="1" spans="1:11" ht="32.25" customHeight="1">
      <c r="A1" s="1" t="s">
        <v>234</v>
      </c>
      <c r="B1" s="24" t="s">
        <v>11</v>
      </c>
      <c r="C1" s="25" t="s">
        <v>350</v>
      </c>
      <c r="D1" s="24" t="s">
        <v>236</v>
      </c>
      <c r="E1" s="25" t="s">
        <v>352</v>
      </c>
      <c r="F1" s="25" t="s">
        <v>353</v>
      </c>
      <c r="G1" s="24" t="s">
        <v>354</v>
      </c>
      <c r="H1" s="24" t="s">
        <v>356</v>
      </c>
      <c r="I1" s="24" t="s">
        <v>239</v>
      </c>
      <c r="J1" s="26" t="s">
        <v>357</v>
      </c>
      <c r="K1" s="27" t="s">
        <v>260</v>
      </c>
    </row>
    <row r="2" spans="1:11" ht="56.25" customHeight="1">
      <c r="A2" s="4">
        <v>1</v>
      </c>
      <c r="B2" s="2" t="s">
        <v>31</v>
      </c>
      <c r="C2" s="69" t="s">
        <v>1755</v>
      </c>
      <c r="D2" s="11" t="s">
        <v>743</v>
      </c>
      <c r="E2" s="12" t="s">
        <v>623</v>
      </c>
      <c r="F2" s="29" t="s">
        <v>1756</v>
      </c>
      <c r="G2" s="12" t="s">
        <v>860</v>
      </c>
      <c r="H2" s="12" t="s">
        <v>861</v>
      </c>
      <c r="I2" s="12" t="s">
        <v>812</v>
      </c>
      <c r="J2" s="12" t="s">
        <v>862</v>
      </c>
      <c r="K2" s="12"/>
    </row>
    <row r="3" spans="1:11" ht="45" customHeight="1">
      <c r="A3" s="4">
        <v>2</v>
      </c>
      <c r="B3" s="2" t="s">
        <v>31</v>
      </c>
      <c r="C3" s="69" t="s">
        <v>1757</v>
      </c>
      <c r="D3" s="11" t="s">
        <v>738</v>
      </c>
      <c r="E3" s="12" t="s">
        <v>623</v>
      </c>
      <c r="F3" s="29" t="s">
        <v>1758</v>
      </c>
      <c r="G3" s="12" t="s">
        <v>860</v>
      </c>
      <c r="H3" s="12" t="s">
        <v>861</v>
      </c>
      <c r="I3" s="12" t="s">
        <v>812</v>
      </c>
      <c r="J3" s="12" t="s">
        <v>862</v>
      </c>
      <c r="K3" s="12"/>
    </row>
    <row r="4" spans="1:11" ht="15.75" customHeight="1">
      <c r="A4" s="4">
        <v>3</v>
      </c>
      <c r="B4" s="2" t="s">
        <v>31</v>
      </c>
      <c r="C4" s="69" t="s">
        <v>1759</v>
      </c>
      <c r="D4" s="11" t="s">
        <v>738</v>
      </c>
      <c r="E4" s="12" t="s">
        <v>623</v>
      </c>
      <c r="F4" s="29" t="s">
        <v>1760</v>
      </c>
      <c r="G4" s="12" t="s">
        <v>860</v>
      </c>
      <c r="H4" s="12" t="s">
        <v>861</v>
      </c>
      <c r="I4" s="12" t="s">
        <v>628</v>
      </c>
      <c r="J4" s="12" t="s">
        <v>862</v>
      </c>
      <c r="K4" s="12"/>
    </row>
  </sheetData>
  <dataValidations count="4">
    <dataValidation type="list" allowBlank="1" showErrorMessage="1" sqref="G2:G5" xr:uid="{C33F4D69-6776-497E-B9D9-E30F3167215F}">
      <formula1>"Minor,Significant,Major"</formula1>
    </dataValidation>
    <dataValidation type="list" allowBlank="1" showErrorMessage="1" sqref="I2:I5" xr:uid="{E0F37848-198C-4396-8DBE-544EBAF0BD66}">
      <formula1>"Open,Inprogress,Closed"</formula1>
    </dataValidation>
    <dataValidation type="list" allowBlank="1" showErrorMessage="1" sqref="E2:E5" xr:uid="{88E6424A-BA84-4E23-A9B3-24D8422E1431}">
      <formula1>"Bounceback,Defect,None"</formula1>
    </dataValidation>
    <dataValidation type="list" allowBlank="1" showErrorMessage="1" sqref="H2:H5" xr:uid="{A3CB6EF4-AE37-4DD5-BE86-7E9AC47E460F}">
      <formula1>"Internal,External"</formula1>
    </dataValidation>
  </dataValidations>
  <hyperlinks>
    <hyperlink ref="C2" r:id="rId1" display="https://greatergiving.atlassian.net/browse/GGO-13821" xr:uid="{CC52B3B5-FD56-4078-B5D1-CC65EC106F2A}"/>
    <hyperlink ref="C3" r:id="rId2" display="https://greatergiving.atlassian.net/browse/GGO-13825" xr:uid="{C5C7A27A-8C4A-4FBB-A341-58851DF79157}"/>
    <hyperlink ref="C4" r:id="rId3" display="https://greatergiving.atlassian.net/browse/GGO-13828" xr:uid="{95DE1C3C-5978-4DBA-A3CE-B5905738DBC0}"/>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642C235-E2C8-4B63-8034-B3063F2EB7B0}">
          <x14:formula1>
            <xm:f>Details!$A$2:$A$10</xm:f>
          </x14:formula1>
          <xm:sqref>J2:J5</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E7B-9C29-44B6-9757-AB98B7B50C48}">
  <sheetPr>
    <outlinePr summaryBelow="0" summaryRight="0"/>
  </sheetPr>
  <dimension ref="A1:K3"/>
  <sheetViews>
    <sheetView workbookViewId="0"/>
  </sheetViews>
  <sheetFormatPr defaultColWidth="12.5703125" defaultRowHeight="15" customHeight="1"/>
  <cols>
    <col min="1" max="3" width="12.5703125" customWidth="1"/>
    <col min="4" max="4" width="19.140625" customWidth="1"/>
    <col min="5" max="5" width="12.5703125" customWidth="1"/>
    <col min="6" max="6" width="41.140625" customWidth="1"/>
  </cols>
  <sheetData>
    <row r="1" spans="1:11" ht="32.25" customHeight="1">
      <c r="A1" s="1" t="s">
        <v>234</v>
      </c>
      <c r="B1" s="24" t="s">
        <v>11</v>
      </c>
      <c r="C1" s="25" t="s">
        <v>350</v>
      </c>
      <c r="D1" s="24" t="s">
        <v>236</v>
      </c>
      <c r="E1" s="25" t="s">
        <v>352</v>
      </c>
      <c r="F1" s="25" t="s">
        <v>353</v>
      </c>
      <c r="G1" s="24" t="s">
        <v>354</v>
      </c>
      <c r="H1" s="24" t="s">
        <v>356</v>
      </c>
      <c r="I1" s="24" t="s">
        <v>239</v>
      </c>
      <c r="J1" s="26" t="s">
        <v>357</v>
      </c>
      <c r="K1" s="27" t="s">
        <v>260</v>
      </c>
    </row>
    <row r="2" spans="1:11" ht="56.25" customHeight="1">
      <c r="A2" s="4">
        <v>1</v>
      </c>
      <c r="B2" s="5" t="s">
        <v>1725</v>
      </c>
      <c r="C2" s="39" t="s">
        <v>1741</v>
      </c>
      <c r="D2" s="11" t="s">
        <v>1008</v>
      </c>
      <c r="E2" s="12" t="s">
        <v>623</v>
      </c>
      <c r="F2" s="29" t="s">
        <v>1742</v>
      </c>
      <c r="G2" s="12" t="s">
        <v>860</v>
      </c>
      <c r="H2" s="12" t="s">
        <v>861</v>
      </c>
      <c r="I2" s="12" t="s">
        <v>812</v>
      </c>
      <c r="J2" s="12" t="s">
        <v>862</v>
      </c>
      <c r="K2" s="12"/>
    </row>
    <row r="3" spans="1:11" ht="45" customHeight="1">
      <c r="A3" s="4">
        <v>2</v>
      </c>
      <c r="B3" s="5" t="s">
        <v>1725</v>
      </c>
      <c r="C3" s="39" t="s">
        <v>1761</v>
      </c>
      <c r="D3" s="11" t="s">
        <v>1008</v>
      </c>
      <c r="E3" s="12" t="s">
        <v>623</v>
      </c>
      <c r="F3" s="29" t="s">
        <v>1762</v>
      </c>
      <c r="G3" s="12" t="s">
        <v>1200</v>
      </c>
      <c r="H3" s="12" t="s">
        <v>861</v>
      </c>
      <c r="I3" s="12" t="s">
        <v>812</v>
      </c>
      <c r="J3" s="12" t="s">
        <v>862</v>
      </c>
      <c r="K3" s="12"/>
    </row>
  </sheetData>
  <dataValidations count="4">
    <dataValidation type="list" allowBlank="1" showErrorMessage="1" sqref="H2:H5" xr:uid="{432632B6-7BBE-4EBF-A08F-DA09FF1E8CB6}">
      <formula1>"Internal,External"</formula1>
    </dataValidation>
    <dataValidation type="list" allowBlank="1" showErrorMessage="1" sqref="E2:E5" xr:uid="{A4FBA862-E6DA-4EDE-9827-E4610EA7B6BB}">
      <formula1>"Bounceback,Defect,None"</formula1>
    </dataValidation>
    <dataValidation type="list" allowBlank="1" showErrorMessage="1" sqref="I2:I5" xr:uid="{76792730-6AF4-4820-BAFC-4FCF65E93292}">
      <formula1>"Open,Inprogress,Closed"</formula1>
    </dataValidation>
    <dataValidation type="list" allowBlank="1" showErrorMessage="1" sqref="G2:G5" xr:uid="{D9B167C8-7FB7-4E95-BBB3-88A051C2A5E3}">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35E38A3-11D3-4C3A-8E56-BE98D87CD871}">
          <x14:formula1>
            <xm:f>Details!$A$2:$A$10</xm:f>
          </x14:formula1>
          <xm:sqref>J2:J5</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X10"/>
  <sheetViews>
    <sheetView showGridLines="0" workbookViewId="0">
      <pane xSplit="5" ySplit="2" topLeftCell="Y3" activePane="bottomRight" state="frozen"/>
      <selection pane="bottomRight"/>
      <selection pane="bottomLeft" activeCell="A3" sqref="A3"/>
      <selection pane="topRight" activeCell="F1" sqref="F1"/>
    </sheetView>
  </sheetViews>
  <sheetFormatPr defaultColWidth="12.5703125" defaultRowHeight="12.75"/>
  <cols>
    <col min="1" max="1" width="4.28515625" style="43" customWidth="1"/>
    <col min="2" max="2" width="11.140625" style="43" bestFit="1" customWidth="1"/>
    <col min="3" max="3" width="23" style="43" bestFit="1" customWidth="1"/>
    <col min="4" max="4" width="12.85546875" style="62" bestFit="1"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2.5703125" style="43" customWidth="1"/>
    <col min="12" max="12" width="40" style="43" customWidth="1"/>
    <col min="13" max="13" width="25.42578125" style="43" customWidth="1"/>
    <col min="14" max="15" width="12.5703125" style="43" customWidth="1"/>
    <col min="16" max="16" width="14" style="43" bestFit="1" customWidth="1"/>
    <col min="17" max="17" width="46.28515625" style="43" customWidth="1"/>
    <col min="18" max="18" width="10.140625"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9.42578125" style="43" bestFit="1" customWidth="1"/>
    <col min="25" max="16384" width="12.5703125" style="43"/>
  </cols>
  <sheetData>
    <row r="2" spans="1:24" ht="27">
      <c r="A2" s="1" t="s">
        <v>234</v>
      </c>
      <c r="B2" s="1" t="s">
        <v>235</v>
      </c>
      <c r="C2" s="1" t="s">
        <v>236</v>
      </c>
      <c r="D2" s="57" t="s">
        <v>515</v>
      </c>
      <c r="E2" s="1" t="s">
        <v>238</v>
      </c>
      <c r="F2" s="1" t="s">
        <v>1115</v>
      </c>
      <c r="G2" s="1" t="s">
        <v>1116</v>
      </c>
      <c r="H2" s="1" t="s">
        <v>245</v>
      </c>
      <c r="I2" s="1" t="s">
        <v>246</v>
      </c>
      <c r="J2" s="1" t="s">
        <v>247</v>
      </c>
      <c r="K2" s="1" t="s">
        <v>248</v>
      </c>
      <c r="L2" s="1" t="s">
        <v>249</v>
      </c>
      <c r="M2" s="1" t="s">
        <v>250</v>
      </c>
      <c r="N2" s="1" t="s">
        <v>251</v>
      </c>
      <c r="O2" s="1" t="s">
        <v>252</v>
      </c>
      <c r="P2" s="1" t="s">
        <v>253</v>
      </c>
      <c r="Q2" s="1" t="s">
        <v>254</v>
      </c>
      <c r="R2" s="1" t="s">
        <v>255</v>
      </c>
      <c r="S2" s="23" t="s">
        <v>256</v>
      </c>
      <c r="T2" s="1" t="s">
        <v>254</v>
      </c>
      <c r="U2" s="1" t="s">
        <v>465</v>
      </c>
      <c r="V2" s="1" t="s">
        <v>466</v>
      </c>
      <c r="W2" s="1" t="s">
        <v>239</v>
      </c>
      <c r="X2" s="3" t="s">
        <v>260</v>
      </c>
    </row>
    <row r="3" spans="1:24" ht="48">
      <c r="A3" s="44">
        <v>1</v>
      </c>
      <c r="B3" s="5" t="s">
        <v>1725</v>
      </c>
      <c r="C3" s="45" t="s">
        <v>743</v>
      </c>
      <c r="D3" s="58" t="s">
        <v>1763</v>
      </c>
      <c r="E3" s="46" t="s">
        <v>1764</v>
      </c>
      <c r="F3" s="8">
        <v>2</v>
      </c>
      <c r="G3" s="8">
        <v>2</v>
      </c>
      <c r="H3" s="16" t="s">
        <v>743</v>
      </c>
      <c r="I3" s="31" t="s">
        <v>1765</v>
      </c>
      <c r="J3" s="29" t="s">
        <v>1280</v>
      </c>
      <c r="K3" s="31" t="s">
        <v>275</v>
      </c>
      <c r="L3" s="31" t="s">
        <v>1256</v>
      </c>
      <c r="M3" s="20" t="s">
        <v>1766</v>
      </c>
      <c r="N3" s="47">
        <v>45309</v>
      </c>
      <c r="O3" s="48" t="s">
        <v>1767</v>
      </c>
      <c r="P3" s="5" t="s">
        <v>275</v>
      </c>
      <c r="Q3" s="16" t="s">
        <v>1280</v>
      </c>
      <c r="R3" s="16" t="s">
        <v>1768</v>
      </c>
      <c r="S3" s="30">
        <v>45311</v>
      </c>
      <c r="T3" s="16" t="s">
        <v>1280</v>
      </c>
      <c r="U3" s="16" t="s">
        <v>1280</v>
      </c>
      <c r="V3" s="16" t="s">
        <v>1280</v>
      </c>
      <c r="W3" s="16" t="s">
        <v>812</v>
      </c>
      <c r="X3" s="16"/>
    </row>
    <row r="4" spans="1:24" ht="48">
      <c r="A4" s="44">
        <v>2</v>
      </c>
      <c r="B4" s="5" t="s">
        <v>1725</v>
      </c>
      <c r="C4" s="49" t="s">
        <v>743</v>
      </c>
      <c r="D4" s="58" t="s">
        <v>1769</v>
      </c>
      <c r="E4" s="46" t="s">
        <v>1770</v>
      </c>
      <c r="F4" s="8">
        <v>3</v>
      </c>
      <c r="G4" s="8">
        <v>3</v>
      </c>
      <c r="H4" s="16" t="s">
        <v>743</v>
      </c>
      <c r="I4" s="31" t="s">
        <v>1461</v>
      </c>
      <c r="J4" s="29" t="s">
        <v>1280</v>
      </c>
      <c r="K4" s="31" t="s">
        <v>275</v>
      </c>
      <c r="L4" s="31" t="s">
        <v>1256</v>
      </c>
      <c r="M4" s="20" t="s">
        <v>1771</v>
      </c>
      <c r="N4" s="50">
        <v>45324</v>
      </c>
      <c r="O4" s="50">
        <v>45324</v>
      </c>
      <c r="P4" s="31" t="s">
        <v>275</v>
      </c>
      <c r="Q4" s="16" t="s">
        <v>1280</v>
      </c>
      <c r="R4" s="16" t="s">
        <v>1768</v>
      </c>
      <c r="S4" s="30">
        <v>45311</v>
      </c>
      <c r="T4" s="16" t="s">
        <v>1280</v>
      </c>
      <c r="U4" s="16" t="s">
        <v>1280</v>
      </c>
      <c r="V4" s="16" t="s">
        <v>1280</v>
      </c>
      <c r="W4" s="16" t="s">
        <v>812</v>
      </c>
      <c r="X4" s="16"/>
    </row>
    <row r="5" spans="1:24" ht="16.5">
      <c r="A5" s="44">
        <v>3</v>
      </c>
      <c r="B5" s="5" t="s">
        <v>1725</v>
      </c>
      <c r="C5" s="49" t="s">
        <v>807</v>
      </c>
      <c r="D5" s="58" t="s">
        <v>1772</v>
      </c>
      <c r="E5" s="51" t="s">
        <v>1773</v>
      </c>
      <c r="F5" s="8">
        <v>2</v>
      </c>
      <c r="G5" s="8">
        <v>2</v>
      </c>
      <c r="H5" s="16" t="s">
        <v>739</v>
      </c>
      <c r="I5" s="31" t="s">
        <v>739</v>
      </c>
      <c r="J5" s="29" t="s">
        <v>427</v>
      </c>
      <c r="K5" s="31" t="s">
        <v>275</v>
      </c>
      <c r="L5" s="31" t="s">
        <v>1256</v>
      </c>
      <c r="M5" s="19" t="s">
        <v>93</v>
      </c>
      <c r="N5" s="31" t="s">
        <v>93</v>
      </c>
      <c r="O5" s="31" t="s">
        <v>93</v>
      </c>
      <c r="P5" s="31" t="s">
        <v>93</v>
      </c>
      <c r="Q5" s="16" t="s">
        <v>1280</v>
      </c>
      <c r="R5" s="16" t="s">
        <v>93</v>
      </c>
      <c r="S5" s="16" t="s">
        <v>93</v>
      </c>
      <c r="T5" s="16" t="s">
        <v>93</v>
      </c>
      <c r="U5" s="16" t="s">
        <v>93</v>
      </c>
      <c r="V5" s="16" t="s">
        <v>93</v>
      </c>
      <c r="W5" s="16" t="s">
        <v>812</v>
      </c>
      <c r="X5" s="16"/>
    </row>
    <row r="6" spans="1:24" ht="48">
      <c r="A6" s="44">
        <v>4</v>
      </c>
      <c r="B6" s="5" t="s">
        <v>1725</v>
      </c>
      <c r="C6" s="49" t="s">
        <v>275</v>
      </c>
      <c r="D6" s="58" t="s">
        <v>1774</v>
      </c>
      <c r="E6" s="46" t="s">
        <v>1775</v>
      </c>
      <c r="F6" s="8">
        <v>2</v>
      </c>
      <c r="G6" s="8">
        <v>2</v>
      </c>
      <c r="H6" s="16" t="s">
        <v>275</v>
      </c>
      <c r="I6" s="31" t="s">
        <v>1776</v>
      </c>
      <c r="J6" s="29" t="s">
        <v>1280</v>
      </c>
      <c r="K6" s="31" t="s">
        <v>275</v>
      </c>
      <c r="L6" s="31" t="s">
        <v>1256</v>
      </c>
      <c r="M6" s="20" t="s">
        <v>1777</v>
      </c>
      <c r="N6" s="47">
        <v>45319</v>
      </c>
      <c r="O6" s="47">
        <v>45322</v>
      </c>
      <c r="P6" s="31" t="s">
        <v>1768</v>
      </c>
      <c r="Q6" s="16" t="s">
        <v>1280</v>
      </c>
      <c r="R6" s="16" t="s">
        <v>93</v>
      </c>
      <c r="S6" s="16" t="s">
        <v>93</v>
      </c>
      <c r="T6" s="16" t="s">
        <v>93</v>
      </c>
      <c r="U6" s="16" t="s">
        <v>1280</v>
      </c>
      <c r="V6" s="16" t="s">
        <v>1280</v>
      </c>
      <c r="W6" s="16" t="s">
        <v>812</v>
      </c>
      <c r="X6" s="16"/>
    </row>
    <row r="7" spans="1:24" ht="48">
      <c r="A7" s="44">
        <v>5</v>
      </c>
      <c r="B7" s="5" t="s">
        <v>1725</v>
      </c>
      <c r="C7" s="45" t="s">
        <v>1008</v>
      </c>
      <c r="D7" s="58" t="s">
        <v>1732</v>
      </c>
      <c r="E7" s="51" t="s">
        <v>1733</v>
      </c>
      <c r="F7" s="8">
        <v>3</v>
      </c>
      <c r="G7" s="8">
        <v>3</v>
      </c>
      <c r="H7" s="16" t="s">
        <v>1008</v>
      </c>
      <c r="I7" s="31" t="s">
        <v>1765</v>
      </c>
      <c r="J7" s="32" t="s">
        <v>1280</v>
      </c>
      <c r="K7" s="31" t="s">
        <v>275</v>
      </c>
      <c r="L7" s="31" t="s">
        <v>1778</v>
      </c>
      <c r="M7" s="33" t="s">
        <v>1779</v>
      </c>
      <c r="N7" s="50">
        <v>45328</v>
      </c>
      <c r="O7" s="50">
        <v>45328</v>
      </c>
      <c r="P7" s="31" t="s">
        <v>275</v>
      </c>
      <c r="Q7" s="40" t="s">
        <v>1280</v>
      </c>
      <c r="R7" s="16" t="s">
        <v>1323</v>
      </c>
      <c r="S7" s="34">
        <v>45324</v>
      </c>
      <c r="T7" s="16" t="s">
        <v>1280</v>
      </c>
      <c r="U7" s="16" t="s">
        <v>1280</v>
      </c>
      <c r="V7" s="16" t="s">
        <v>1280</v>
      </c>
      <c r="W7" s="16" t="s">
        <v>628</v>
      </c>
      <c r="X7" s="16"/>
    </row>
    <row r="8" spans="1:24" ht="48">
      <c r="A8" s="44">
        <v>6</v>
      </c>
      <c r="B8" s="5" t="s">
        <v>1725</v>
      </c>
      <c r="C8" s="45" t="s">
        <v>743</v>
      </c>
      <c r="D8" s="58" t="s">
        <v>1780</v>
      </c>
      <c r="E8" s="51" t="s">
        <v>1781</v>
      </c>
      <c r="F8" s="8">
        <v>3</v>
      </c>
      <c r="G8" s="8">
        <v>3</v>
      </c>
      <c r="H8" s="16" t="s">
        <v>743</v>
      </c>
      <c r="I8" s="31" t="s">
        <v>1765</v>
      </c>
      <c r="J8" s="29" t="s">
        <v>1280</v>
      </c>
      <c r="K8" s="31" t="s">
        <v>275</v>
      </c>
      <c r="L8" s="31" t="s">
        <v>1256</v>
      </c>
      <c r="M8" s="20" t="s">
        <v>1782</v>
      </c>
      <c r="N8" s="50">
        <v>45323</v>
      </c>
      <c r="O8" s="50">
        <v>45324</v>
      </c>
      <c r="P8" s="31" t="s">
        <v>275</v>
      </c>
      <c r="Q8" s="16" t="s">
        <v>1280</v>
      </c>
      <c r="R8" s="16" t="s">
        <v>1768</v>
      </c>
      <c r="S8" s="34">
        <v>45324</v>
      </c>
      <c r="T8" s="16" t="s">
        <v>1280</v>
      </c>
      <c r="U8" s="5" t="s">
        <v>1280</v>
      </c>
      <c r="V8" s="49" t="s">
        <v>1280</v>
      </c>
      <c r="W8" s="16" t="s">
        <v>812</v>
      </c>
      <c r="X8" s="16"/>
    </row>
    <row r="9" spans="1:24" ht="16.5">
      <c r="A9" s="44">
        <v>7</v>
      </c>
      <c r="B9" s="5" t="s">
        <v>1725</v>
      </c>
      <c r="C9" s="45" t="s">
        <v>275</v>
      </c>
      <c r="D9" s="59" t="s">
        <v>1783</v>
      </c>
      <c r="E9" s="51" t="s">
        <v>1784</v>
      </c>
      <c r="F9" s="8">
        <v>2</v>
      </c>
      <c r="G9" s="8">
        <v>2</v>
      </c>
      <c r="H9" s="16" t="s">
        <v>275</v>
      </c>
      <c r="I9" s="31" t="s">
        <v>275</v>
      </c>
      <c r="J9" s="29" t="s">
        <v>93</v>
      </c>
      <c r="K9" s="31" t="s">
        <v>275</v>
      </c>
      <c r="L9" s="31" t="s">
        <v>1256</v>
      </c>
      <c r="M9" s="31" t="s">
        <v>93</v>
      </c>
      <c r="N9" s="31" t="s">
        <v>93</v>
      </c>
      <c r="O9" s="31" t="s">
        <v>93</v>
      </c>
      <c r="P9" s="31" t="s">
        <v>275</v>
      </c>
      <c r="Q9" s="16" t="s">
        <v>1280</v>
      </c>
      <c r="R9" s="16" t="s">
        <v>93</v>
      </c>
      <c r="S9" s="16" t="s">
        <v>93</v>
      </c>
      <c r="T9" s="16" t="s">
        <v>93</v>
      </c>
      <c r="U9" s="5" t="s">
        <v>93</v>
      </c>
      <c r="V9" s="49" t="s">
        <v>93</v>
      </c>
      <c r="W9" s="16" t="s">
        <v>812</v>
      </c>
      <c r="X9" s="16"/>
    </row>
    <row r="10" spans="1:24" ht="36">
      <c r="A10" s="52">
        <v>8</v>
      </c>
      <c r="B10" s="5" t="s">
        <v>1725</v>
      </c>
      <c r="C10" s="49" t="s">
        <v>1785</v>
      </c>
      <c r="D10" s="60" t="s">
        <v>1749</v>
      </c>
      <c r="E10" s="53" t="s">
        <v>1786</v>
      </c>
      <c r="F10" s="16">
        <v>3</v>
      </c>
      <c r="G10" s="16">
        <v>3</v>
      </c>
      <c r="H10" s="16" t="s">
        <v>1008</v>
      </c>
      <c r="I10" s="31" t="s">
        <v>1787</v>
      </c>
      <c r="J10" s="16" t="s">
        <v>1280</v>
      </c>
      <c r="K10" s="31" t="s">
        <v>275</v>
      </c>
      <c r="L10" s="31" t="s">
        <v>1256</v>
      </c>
      <c r="M10" s="5"/>
      <c r="N10" s="5"/>
      <c r="O10" s="5"/>
      <c r="P10" s="31" t="s">
        <v>275</v>
      </c>
      <c r="Q10" s="16" t="s">
        <v>1788</v>
      </c>
      <c r="R10" s="16"/>
      <c r="S10" s="16"/>
      <c r="T10" s="16"/>
      <c r="U10" s="16"/>
      <c r="V10" s="16"/>
      <c r="W10" s="16" t="s">
        <v>628</v>
      </c>
      <c r="X10" s="16"/>
    </row>
  </sheetData>
  <dataValidations count="1">
    <dataValidation type="list" allowBlank="1" showErrorMessage="1" sqref="W3:W15" xr:uid="{00000000-0002-0000-0300-000000000000}">
      <formula1>"Open,Inprogress,Closed"</formula1>
    </dataValidation>
  </dataValidations>
  <hyperlinks>
    <hyperlink ref="D3" r:id="rId1" xr:uid="{00000000-0004-0000-0300-000000000000}"/>
    <hyperlink ref="M3" r:id="rId2" xr:uid="{00000000-0004-0000-0300-000001000000}"/>
    <hyperlink ref="D4" r:id="rId3" xr:uid="{00000000-0004-0000-0300-000002000000}"/>
    <hyperlink ref="M4" r:id="rId4" xr:uid="{00000000-0004-0000-0300-000003000000}"/>
    <hyperlink ref="D5" r:id="rId5" xr:uid="{00000000-0004-0000-0300-000004000000}"/>
    <hyperlink ref="D6" r:id="rId6" xr:uid="{00000000-0004-0000-0300-000005000000}"/>
    <hyperlink ref="M6" r:id="rId7" xr:uid="{00000000-0004-0000-0300-000006000000}"/>
    <hyperlink ref="D7" r:id="rId8" xr:uid="{00000000-0004-0000-0300-000007000000}"/>
    <hyperlink ref="M7" r:id="rId9" xr:uid="{00000000-0004-0000-0300-000008000000}"/>
    <hyperlink ref="D8" r:id="rId10" xr:uid="{00000000-0004-0000-0300-000009000000}"/>
    <hyperlink ref="M8" r:id="rId11" xr:uid="{00000000-0004-0000-0300-00000A000000}"/>
    <hyperlink ref="D9" r:id="rId12" xr:uid="{00000000-0004-0000-0300-00000B000000}"/>
    <hyperlink ref="D10" r:id="rId13" xr:uid="{00000000-0004-0000-0300-00000C000000}"/>
  </hyperlinks>
  <pageMargins left="0" right="0" top="0" bottom="0" header="0" footer="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3"/>
  <sheetViews>
    <sheetView topLeftCell="C1" workbookViewId="0">
      <selection activeCell="Q2" sqref="Q2"/>
    </sheetView>
  </sheetViews>
  <sheetFormatPr defaultColWidth="8.7109375" defaultRowHeight="22.5" customHeight="1"/>
  <cols>
    <col min="3" max="3" width="40" customWidth="1"/>
    <col min="4" max="4" width="21.85546875" bestFit="1" customWidth="1"/>
    <col min="6" max="6" width="22.5703125" customWidth="1"/>
    <col min="7" max="7" width="9.7109375" bestFit="1" customWidth="1"/>
    <col min="10" max="10" width="17.42578125" customWidth="1"/>
  </cols>
  <sheetData>
    <row r="1" spans="1:11" ht="22.5" customHeight="1">
      <c r="A1" s="1" t="s">
        <v>234</v>
      </c>
      <c r="B1" s="24" t="s">
        <v>11</v>
      </c>
      <c r="C1" s="25" t="s">
        <v>350</v>
      </c>
      <c r="D1" s="24" t="s">
        <v>236</v>
      </c>
      <c r="E1" s="25" t="s">
        <v>352</v>
      </c>
      <c r="F1" s="25" t="s">
        <v>353</v>
      </c>
      <c r="G1" s="24" t="s">
        <v>354</v>
      </c>
      <c r="H1" s="24" t="s">
        <v>356</v>
      </c>
      <c r="I1" s="24" t="s">
        <v>239</v>
      </c>
      <c r="J1" s="26" t="s">
        <v>357</v>
      </c>
      <c r="K1" s="27" t="s">
        <v>260</v>
      </c>
    </row>
    <row r="2" spans="1:11" ht="66" customHeight="1">
      <c r="A2" s="4">
        <v>1</v>
      </c>
      <c r="B2" s="5" t="s">
        <v>27</v>
      </c>
      <c r="C2" s="39" t="s">
        <v>1789</v>
      </c>
      <c r="D2" s="11" t="s">
        <v>1594</v>
      </c>
      <c r="E2" s="12" t="s">
        <v>623</v>
      </c>
      <c r="F2" s="29" t="s">
        <v>1790</v>
      </c>
      <c r="G2" s="12" t="s">
        <v>860</v>
      </c>
      <c r="H2" s="12" t="s">
        <v>861</v>
      </c>
      <c r="I2" s="12" t="s">
        <v>812</v>
      </c>
      <c r="J2" s="12" t="s">
        <v>862</v>
      </c>
      <c r="K2" s="12"/>
    </row>
    <row r="3" spans="1:11" ht="93.75" customHeight="1">
      <c r="A3" s="4">
        <v>2</v>
      </c>
      <c r="B3" s="5" t="s">
        <v>27</v>
      </c>
      <c r="C3" s="39" t="s">
        <v>1791</v>
      </c>
      <c r="D3" s="12" t="s">
        <v>738</v>
      </c>
      <c r="E3" s="12" t="s">
        <v>623</v>
      </c>
      <c r="F3" s="29" t="s">
        <v>1792</v>
      </c>
      <c r="G3" s="12" t="s">
        <v>860</v>
      </c>
      <c r="H3" s="12" t="s">
        <v>861</v>
      </c>
      <c r="I3" s="12" t="s">
        <v>628</v>
      </c>
      <c r="J3" s="12" t="s">
        <v>862</v>
      </c>
      <c r="K3" s="12"/>
    </row>
  </sheetData>
  <dataValidations count="4">
    <dataValidation type="list" allowBlank="1" showErrorMessage="1" sqref="G2:G5" xr:uid="{00000000-0002-0000-0400-000000000000}">
      <formula1>"Minor,Significant,Major"</formula1>
    </dataValidation>
    <dataValidation type="list" allowBlank="1" showErrorMessage="1" sqref="I2:I5" xr:uid="{00000000-0002-0000-0400-000001000000}">
      <formula1>"Open,Inprogress,Closed"</formula1>
    </dataValidation>
    <dataValidation type="list" allowBlank="1" showErrorMessage="1" sqref="E2:E5" xr:uid="{00000000-0002-0000-0400-000003000000}">
      <formula1>"Bounceback,Defect,None"</formula1>
    </dataValidation>
    <dataValidation type="list" allowBlank="1" showErrorMessage="1" sqref="H2:H5" xr:uid="{00000000-0002-0000-0400-000004000000}">
      <formula1>"Internal,External"</formula1>
    </dataValidation>
  </dataValidations>
  <hyperlinks>
    <hyperlink ref="C2" r:id="rId1" xr:uid="{00000000-0004-0000-0400-000000000000}"/>
    <hyperlink ref="C3" r:id="rId2" xr:uid="{00000000-0004-0000-0400-000001000000}"/>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400-000002000000}">
          <x14:formula1>
            <xm:f>Details!$A$2:$A$10</xm:f>
          </x14:formula1>
          <xm:sqref>J2:J5</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X11"/>
  <sheetViews>
    <sheetView showGridLines="0" workbookViewId="0">
      <pane xSplit="5" ySplit="2" topLeftCell="F7" activePane="bottomRight" state="frozen"/>
      <selection pane="bottomRight" activeCell="A19" sqref="A19"/>
      <selection pane="bottomLeft" activeCell="A3" sqref="A3"/>
      <selection pane="topRight" activeCell="F1" sqref="F1"/>
    </sheetView>
  </sheetViews>
  <sheetFormatPr defaultColWidth="12.5703125" defaultRowHeight="15" customHeight="1"/>
  <cols>
    <col min="1" max="1" width="4.28515625" customWidth="1"/>
    <col min="2" max="2" width="17.5703125" customWidth="1"/>
    <col min="3" max="3" width="24.7109375" customWidth="1"/>
    <col min="4" max="4" width="12.42578125" customWidth="1"/>
    <col min="5" max="5" width="41.85546875" customWidth="1"/>
    <col min="6" max="7" width="23.140625" customWidth="1"/>
    <col min="8" max="8" width="11.42578125" customWidth="1"/>
    <col min="9" max="9" width="12.5703125" customWidth="1"/>
    <col min="10" max="10" width="40.140625" customWidth="1"/>
    <col min="11" max="11" width="45.42578125" customWidth="1"/>
    <col min="12" max="12" width="40" customWidth="1"/>
    <col min="13" max="13" width="25.42578125"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2" spans="1:24">
      <c r="A2" s="1" t="s">
        <v>234</v>
      </c>
      <c r="B2" s="1" t="s">
        <v>235</v>
      </c>
      <c r="C2" s="1" t="s">
        <v>236</v>
      </c>
      <c r="D2" s="1" t="s">
        <v>515</v>
      </c>
      <c r="E2" s="1" t="s">
        <v>238</v>
      </c>
      <c r="F2" s="42" t="s">
        <v>1115</v>
      </c>
      <c r="G2" s="42" t="s">
        <v>1116</v>
      </c>
      <c r="H2" s="1" t="s">
        <v>245</v>
      </c>
      <c r="I2" s="1" t="s">
        <v>246</v>
      </c>
      <c r="J2" s="1" t="s">
        <v>247</v>
      </c>
      <c r="K2" s="1" t="s">
        <v>248</v>
      </c>
      <c r="L2" s="1" t="s">
        <v>249</v>
      </c>
      <c r="M2" s="1" t="s">
        <v>250</v>
      </c>
      <c r="N2" s="1" t="s">
        <v>251</v>
      </c>
      <c r="O2" s="1" t="s">
        <v>252</v>
      </c>
      <c r="P2" s="1" t="s">
        <v>253</v>
      </c>
      <c r="Q2" s="1" t="s">
        <v>254</v>
      </c>
      <c r="R2" s="1" t="s">
        <v>255</v>
      </c>
      <c r="S2" s="1" t="s">
        <v>256</v>
      </c>
      <c r="T2" s="1" t="s">
        <v>254</v>
      </c>
      <c r="U2" s="1" t="s">
        <v>465</v>
      </c>
      <c r="V2" s="1" t="s">
        <v>466</v>
      </c>
      <c r="W2" s="1" t="s">
        <v>239</v>
      </c>
      <c r="X2" s="3" t="s">
        <v>260</v>
      </c>
    </row>
    <row r="3" spans="1:24" ht="48">
      <c r="A3" s="4">
        <v>1</v>
      </c>
      <c r="B3" s="5" t="s">
        <v>24</v>
      </c>
      <c r="C3" s="6" t="s">
        <v>1793</v>
      </c>
      <c r="D3" s="7" t="s">
        <v>1763</v>
      </c>
      <c r="E3" s="64" t="s">
        <v>1764</v>
      </c>
      <c r="F3" s="9">
        <v>3</v>
      </c>
      <c r="G3" s="9">
        <v>3</v>
      </c>
      <c r="H3" s="41" t="s">
        <v>13</v>
      </c>
      <c r="I3" s="11" t="s">
        <v>275</v>
      </c>
      <c r="J3" s="12" t="s">
        <v>1705</v>
      </c>
      <c r="K3" s="11" t="s">
        <v>275</v>
      </c>
      <c r="L3" s="12" t="s">
        <v>1705</v>
      </c>
      <c r="M3" s="13" t="s">
        <v>1794</v>
      </c>
      <c r="N3" s="11" t="s">
        <v>1795</v>
      </c>
      <c r="O3" s="14" t="s">
        <v>1795</v>
      </c>
      <c r="P3" s="15" t="s">
        <v>275</v>
      </c>
      <c r="Q3" s="16" t="s">
        <v>1280</v>
      </c>
      <c r="R3" s="16" t="s">
        <v>1796</v>
      </c>
      <c r="S3" s="16" t="s">
        <v>1795</v>
      </c>
      <c r="T3" s="16" t="s">
        <v>1280</v>
      </c>
      <c r="U3" s="16" t="s">
        <v>1280</v>
      </c>
      <c r="V3" s="16" t="s">
        <v>1280</v>
      </c>
      <c r="W3" s="10" t="s">
        <v>812</v>
      </c>
      <c r="X3" s="16" t="s">
        <v>1797</v>
      </c>
    </row>
    <row r="4" spans="1:24" ht="36">
      <c r="A4" s="4">
        <v>2</v>
      </c>
      <c r="B4" s="5" t="s">
        <v>1798</v>
      </c>
      <c r="C4" s="17" t="s">
        <v>1594</v>
      </c>
      <c r="D4" s="18" t="s">
        <v>1799</v>
      </c>
      <c r="E4" s="64" t="s">
        <v>1800</v>
      </c>
      <c r="F4" s="9">
        <v>1</v>
      </c>
      <c r="G4" s="2">
        <v>1</v>
      </c>
      <c r="H4" s="41" t="s">
        <v>13</v>
      </c>
      <c r="I4" s="11" t="s">
        <v>275</v>
      </c>
      <c r="J4" s="12" t="s">
        <v>1705</v>
      </c>
      <c r="K4" s="11" t="s">
        <v>275</v>
      </c>
      <c r="L4" s="12" t="s">
        <v>1705</v>
      </c>
      <c r="M4" s="13" t="s">
        <v>1801</v>
      </c>
      <c r="N4" s="11" t="s">
        <v>1802</v>
      </c>
      <c r="O4" s="11" t="s">
        <v>1803</v>
      </c>
      <c r="P4" s="11" t="s">
        <v>275</v>
      </c>
      <c r="Q4" s="16" t="s">
        <v>1280</v>
      </c>
      <c r="R4" s="16" t="s">
        <v>1796</v>
      </c>
      <c r="S4" s="16" t="s">
        <v>1803</v>
      </c>
      <c r="T4" s="16" t="s">
        <v>1280</v>
      </c>
      <c r="U4" s="16" t="s">
        <v>1280</v>
      </c>
      <c r="V4" s="16" t="s">
        <v>1280</v>
      </c>
      <c r="W4" s="10" t="s">
        <v>812</v>
      </c>
      <c r="X4" s="10"/>
    </row>
    <row r="5" spans="1:24" ht="48">
      <c r="A5" s="4">
        <v>3</v>
      </c>
      <c r="B5" s="5" t="s">
        <v>24</v>
      </c>
      <c r="C5" s="17" t="s">
        <v>1618</v>
      </c>
      <c r="D5" s="7" t="s">
        <v>1804</v>
      </c>
      <c r="E5" s="64" t="s">
        <v>1805</v>
      </c>
      <c r="F5" s="9">
        <v>3</v>
      </c>
      <c r="G5" s="9">
        <v>3</v>
      </c>
      <c r="H5" s="41" t="s">
        <v>13</v>
      </c>
      <c r="I5" s="11" t="s">
        <v>275</v>
      </c>
      <c r="J5" s="12" t="s">
        <v>1705</v>
      </c>
      <c r="K5" s="15" t="s">
        <v>275</v>
      </c>
      <c r="L5" s="12" t="s">
        <v>1705</v>
      </c>
      <c r="M5" s="19" t="s">
        <v>1806</v>
      </c>
      <c r="N5" s="11" t="s">
        <v>1807</v>
      </c>
      <c r="O5" s="11" t="s">
        <v>1807</v>
      </c>
      <c r="P5" s="11" t="s">
        <v>275</v>
      </c>
      <c r="Q5" s="16" t="s">
        <v>1280</v>
      </c>
      <c r="R5" s="16" t="s">
        <v>1808</v>
      </c>
      <c r="S5" s="16" t="s">
        <v>1807</v>
      </c>
      <c r="T5" s="16" t="s">
        <v>1809</v>
      </c>
      <c r="U5" s="16" t="s">
        <v>1280</v>
      </c>
      <c r="V5" s="16" t="s">
        <v>1280</v>
      </c>
      <c r="W5" s="10" t="s">
        <v>812</v>
      </c>
      <c r="X5" s="16" t="s">
        <v>1810</v>
      </c>
    </row>
    <row r="6" spans="1:24" ht="48">
      <c r="A6" s="4">
        <v>4</v>
      </c>
      <c r="B6" s="5" t="s">
        <v>24</v>
      </c>
      <c r="C6" s="17" t="s">
        <v>1618</v>
      </c>
      <c r="D6" s="15" t="s">
        <v>1811</v>
      </c>
      <c r="E6" s="64" t="s">
        <v>1812</v>
      </c>
      <c r="F6" s="9">
        <v>2</v>
      </c>
      <c r="G6" s="9">
        <v>2</v>
      </c>
      <c r="H6" s="41" t="s">
        <v>13</v>
      </c>
      <c r="I6" s="11" t="s">
        <v>275</v>
      </c>
      <c r="J6" s="12" t="s">
        <v>1705</v>
      </c>
      <c r="K6" s="15" t="s">
        <v>275</v>
      </c>
      <c r="L6" s="12" t="s">
        <v>1705</v>
      </c>
      <c r="M6" s="20" t="s">
        <v>1813</v>
      </c>
      <c r="N6" s="11" t="s">
        <v>1814</v>
      </c>
      <c r="O6" s="11" t="s">
        <v>1814</v>
      </c>
      <c r="P6" s="11" t="s">
        <v>275</v>
      </c>
      <c r="Q6" s="16" t="s">
        <v>1280</v>
      </c>
      <c r="R6" s="16" t="s">
        <v>942</v>
      </c>
      <c r="S6" s="16" t="s">
        <v>1814</v>
      </c>
      <c r="T6" s="16" t="s">
        <v>1280</v>
      </c>
      <c r="U6" s="16" t="s">
        <v>1280</v>
      </c>
      <c r="V6" s="16" t="s">
        <v>1815</v>
      </c>
      <c r="W6" s="10" t="s">
        <v>812</v>
      </c>
      <c r="X6" s="16" t="s">
        <v>1816</v>
      </c>
    </row>
    <row r="7" spans="1:24" ht="60">
      <c r="A7" s="4">
        <v>5</v>
      </c>
      <c r="B7" s="5" t="s">
        <v>24</v>
      </c>
      <c r="C7" s="6" t="s">
        <v>1594</v>
      </c>
      <c r="D7" s="21" t="s">
        <v>1817</v>
      </c>
      <c r="E7" s="64" t="s">
        <v>1818</v>
      </c>
      <c r="F7" s="9">
        <v>2</v>
      </c>
      <c r="G7" s="9">
        <v>2</v>
      </c>
      <c r="H7" s="41" t="s">
        <v>13</v>
      </c>
      <c r="I7" s="11" t="s">
        <v>275</v>
      </c>
      <c r="J7" s="12" t="s">
        <v>1705</v>
      </c>
      <c r="K7" s="11" t="s">
        <v>275</v>
      </c>
      <c r="L7" s="12" t="s">
        <v>1705</v>
      </c>
      <c r="M7" s="11"/>
      <c r="N7" s="11"/>
      <c r="O7" s="11"/>
      <c r="P7" s="11" t="s">
        <v>275</v>
      </c>
      <c r="Q7" s="16" t="s">
        <v>1280</v>
      </c>
      <c r="R7" s="16" t="s">
        <v>1376</v>
      </c>
      <c r="S7" s="16" t="s">
        <v>1819</v>
      </c>
      <c r="T7" s="16" t="s">
        <v>1280</v>
      </c>
      <c r="U7" s="16" t="s">
        <v>1280</v>
      </c>
      <c r="V7" s="22" t="s">
        <v>1280</v>
      </c>
      <c r="W7" s="10" t="s">
        <v>812</v>
      </c>
      <c r="X7" s="10"/>
    </row>
    <row r="8" spans="1:24" ht="48">
      <c r="A8" s="4">
        <v>6</v>
      </c>
      <c r="B8" s="5" t="s">
        <v>24</v>
      </c>
      <c r="C8" s="11" t="s">
        <v>275</v>
      </c>
      <c r="D8" s="7" t="s">
        <v>1820</v>
      </c>
      <c r="E8" s="64" t="s">
        <v>1821</v>
      </c>
      <c r="F8" s="9">
        <v>1</v>
      </c>
      <c r="G8" s="9">
        <v>1</v>
      </c>
      <c r="H8" s="41" t="s">
        <v>13</v>
      </c>
      <c r="I8" s="11" t="s">
        <v>275</v>
      </c>
      <c r="J8" s="12" t="s">
        <v>1705</v>
      </c>
      <c r="K8" s="11" t="s">
        <v>942</v>
      </c>
      <c r="L8" s="12" t="s">
        <v>1705</v>
      </c>
      <c r="M8" s="20" t="s">
        <v>1822</v>
      </c>
      <c r="N8" s="11" t="s">
        <v>1823</v>
      </c>
      <c r="O8" s="11" t="s">
        <v>1824</v>
      </c>
      <c r="P8" s="11" t="s">
        <v>942</v>
      </c>
      <c r="Q8" s="16" t="s">
        <v>1280</v>
      </c>
      <c r="R8" s="6" t="s">
        <v>942</v>
      </c>
      <c r="S8" s="16" t="s">
        <v>1823</v>
      </c>
      <c r="T8" s="16" t="s">
        <v>1280</v>
      </c>
      <c r="U8" s="16" t="s">
        <v>1280</v>
      </c>
      <c r="V8" s="22" t="s">
        <v>1280</v>
      </c>
      <c r="W8" s="10" t="s">
        <v>812</v>
      </c>
      <c r="X8" s="10"/>
    </row>
    <row r="9" spans="1:24" ht="24">
      <c r="A9" s="4">
        <v>7</v>
      </c>
      <c r="B9" s="5" t="s">
        <v>24</v>
      </c>
      <c r="C9" s="15" t="s">
        <v>275</v>
      </c>
      <c r="D9" s="7" t="s">
        <v>1825</v>
      </c>
      <c r="E9" s="65" t="s">
        <v>1826</v>
      </c>
      <c r="F9" s="16">
        <v>1</v>
      </c>
      <c r="G9" s="16">
        <v>1</v>
      </c>
      <c r="H9" s="41" t="s">
        <v>13</v>
      </c>
      <c r="I9" s="11" t="s">
        <v>275</v>
      </c>
      <c r="J9" s="12" t="s">
        <v>1705</v>
      </c>
      <c r="K9" s="11" t="s">
        <v>1827</v>
      </c>
      <c r="L9" s="11" t="s">
        <v>1256</v>
      </c>
      <c r="M9" s="15"/>
      <c r="N9" s="15"/>
      <c r="O9" s="15"/>
      <c r="P9" s="11" t="s">
        <v>275</v>
      </c>
      <c r="Q9" s="16" t="s">
        <v>1280</v>
      </c>
      <c r="R9" s="6" t="s">
        <v>1828</v>
      </c>
      <c r="S9" s="16" t="s">
        <v>1803</v>
      </c>
      <c r="T9" s="16" t="s">
        <v>1280</v>
      </c>
      <c r="U9" s="16" t="s">
        <v>1280</v>
      </c>
      <c r="V9" s="22" t="s">
        <v>1280</v>
      </c>
      <c r="W9" s="10" t="s">
        <v>812</v>
      </c>
      <c r="X9" s="10"/>
    </row>
    <row r="10" spans="1:24" ht="24">
      <c r="A10" s="5"/>
      <c r="B10" s="5" t="s">
        <v>24</v>
      </c>
      <c r="C10" s="15" t="s">
        <v>807</v>
      </c>
      <c r="D10" s="15" t="s">
        <v>1829</v>
      </c>
      <c r="E10" s="66" t="s">
        <v>1830</v>
      </c>
      <c r="F10" s="35">
        <v>2</v>
      </c>
      <c r="G10" s="35">
        <v>1</v>
      </c>
      <c r="H10" s="41" t="s">
        <v>93</v>
      </c>
      <c r="I10" s="15" t="s">
        <v>93</v>
      </c>
      <c r="J10" s="10" t="s">
        <v>93</v>
      </c>
      <c r="K10" s="15" t="s">
        <v>93</v>
      </c>
      <c r="L10" s="15" t="s">
        <v>93</v>
      </c>
      <c r="M10" s="15" t="s">
        <v>93</v>
      </c>
      <c r="N10" s="15" t="s">
        <v>93</v>
      </c>
      <c r="O10" s="15" t="s">
        <v>93</v>
      </c>
      <c r="P10" s="15" t="s">
        <v>93</v>
      </c>
      <c r="Q10" s="16" t="s">
        <v>93</v>
      </c>
      <c r="R10" s="16" t="s">
        <v>93</v>
      </c>
      <c r="S10" s="16" t="s">
        <v>93</v>
      </c>
      <c r="T10" s="16" t="s">
        <v>93</v>
      </c>
      <c r="U10" s="16" t="s">
        <v>93</v>
      </c>
      <c r="V10" s="16" t="s">
        <v>93</v>
      </c>
      <c r="W10" s="10" t="s">
        <v>812</v>
      </c>
      <c r="X10" s="10" t="s">
        <v>1831</v>
      </c>
    </row>
    <row r="11" spans="1:24" ht="24">
      <c r="A11" s="4">
        <v>9</v>
      </c>
      <c r="B11" s="5" t="s">
        <v>24</v>
      </c>
      <c r="C11" s="15" t="s">
        <v>807</v>
      </c>
      <c r="D11" s="15" t="s">
        <v>1832</v>
      </c>
      <c r="E11" s="65" t="s">
        <v>1833</v>
      </c>
      <c r="F11" s="16">
        <v>2</v>
      </c>
      <c r="G11" s="35">
        <v>1</v>
      </c>
      <c r="H11" s="41" t="s">
        <v>93</v>
      </c>
      <c r="I11" s="15" t="s">
        <v>93</v>
      </c>
      <c r="J11" s="10" t="s">
        <v>93</v>
      </c>
      <c r="K11" s="15" t="s">
        <v>93</v>
      </c>
      <c r="L11" s="15" t="s">
        <v>93</v>
      </c>
      <c r="M11" s="15" t="s">
        <v>93</v>
      </c>
      <c r="N11" s="15" t="s">
        <v>93</v>
      </c>
      <c r="O11" s="15" t="s">
        <v>93</v>
      </c>
      <c r="P11" s="15" t="s">
        <v>93</v>
      </c>
      <c r="Q11" s="16" t="s">
        <v>93</v>
      </c>
      <c r="R11" s="16" t="s">
        <v>93</v>
      </c>
      <c r="S11" s="16" t="s">
        <v>93</v>
      </c>
      <c r="T11" s="16" t="s">
        <v>93</v>
      </c>
      <c r="U11" s="16" t="s">
        <v>93</v>
      </c>
      <c r="V11" s="16" t="s">
        <v>93</v>
      </c>
      <c r="W11" s="10" t="s">
        <v>812</v>
      </c>
      <c r="X11" s="10" t="s">
        <v>1831</v>
      </c>
    </row>
  </sheetData>
  <dataValidations count="1">
    <dataValidation type="list" allowBlank="1" showErrorMessage="1" sqref="W3:W14" xr:uid="{00000000-0002-0000-0100-000000000000}">
      <formula1>"Open,Inprogress,Closed"</formula1>
    </dataValidation>
  </dataValidations>
  <hyperlinks>
    <hyperlink ref="M3" r:id="rId1" xr:uid="{00000000-0004-0000-0100-000000000000}"/>
    <hyperlink ref="M4" r:id="rId2" xr:uid="{00000000-0004-0000-0100-000001000000}"/>
    <hyperlink ref="M5" r:id="rId3" xr:uid="{00000000-0004-0000-0100-000002000000}"/>
    <hyperlink ref="M6" r:id="rId4" xr:uid="{00000000-0004-0000-0100-000003000000}"/>
    <hyperlink ref="M8" r:id="rId5" xr:uid="{00000000-0004-0000-0100-000004000000}"/>
  </hyperlinks>
  <pageMargins left="0" right="0" top="0" bottom="0" header="0" footer="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
  <sheetViews>
    <sheetView workbookViewId="0"/>
  </sheetViews>
  <sheetFormatPr defaultColWidth="12.5703125" defaultRowHeight="15" customHeight="1"/>
  <cols>
    <col min="1" max="3" width="12.5703125" customWidth="1"/>
    <col min="4" max="4" width="19.140625" customWidth="1"/>
    <col min="5" max="6" width="12.5703125" customWidth="1"/>
  </cols>
  <sheetData>
    <row r="1" spans="1:11" ht="15.75" customHeight="1">
      <c r="A1" s="1" t="s">
        <v>234</v>
      </c>
      <c r="B1" s="24" t="s">
        <v>11</v>
      </c>
      <c r="C1" s="25" t="s">
        <v>350</v>
      </c>
      <c r="D1" s="24" t="s">
        <v>236</v>
      </c>
      <c r="E1" s="25" t="s">
        <v>352</v>
      </c>
      <c r="F1" s="25" t="s">
        <v>353</v>
      </c>
      <c r="G1" s="24" t="s">
        <v>354</v>
      </c>
      <c r="H1" s="24" t="s">
        <v>356</v>
      </c>
      <c r="I1" s="24" t="s">
        <v>239</v>
      </c>
      <c r="J1" s="26" t="s">
        <v>357</v>
      </c>
      <c r="K1" s="27" t="s">
        <v>260</v>
      </c>
    </row>
    <row r="2" spans="1:11" ht="15.75" customHeight="1">
      <c r="A2" s="4">
        <v>1</v>
      </c>
      <c r="B2" s="5" t="s">
        <v>24</v>
      </c>
      <c r="C2" s="29" t="s">
        <v>1834</v>
      </c>
      <c r="D2" s="11" t="s">
        <v>1594</v>
      </c>
      <c r="E2" s="12" t="s">
        <v>623</v>
      </c>
      <c r="F2" s="29" t="s">
        <v>1835</v>
      </c>
      <c r="G2" s="12" t="s">
        <v>860</v>
      </c>
      <c r="H2" s="12" t="s">
        <v>861</v>
      </c>
      <c r="I2" s="12" t="s">
        <v>812</v>
      </c>
      <c r="J2" s="12" t="s">
        <v>862</v>
      </c>
      <c r="K2" s="12"/>
    </row>
  </sheetData>
  <dataValidations count="4">
    <dataValidation type="list" allowBlank="1" showErrorMessage="1" sqref="G2:G5" xr:uid="{00000000-0002-0000-0200-000000000000}">
      <formula1>"Minor,Significant,Major"</formula1>
    </dataValidation>
    <dataValidation type="list" allowBlank="1" showErrorMessage="1" sqref="I2:I5" xr:uid="{00000000-0002-0000-0200-000001000000}">
      <formula1>"Open,Inprogress,Closed"</formula1>
    </dataValidation>
    <dataValidation type="list" allowBlank="1" showErrorMessage="1" sqref="E2:E5" xr:uid="{00000000-0002-0000-0200-000003000000}">
      <formula1>"Bounceback,Defect,None"</formula1>
    </dataValidation>
    <dataValidation type="list" allowBlank="1" showErrorMessage="1" sqref="H2:H5" xr:uid="{00000000-0002-0000-0200-000004000000}">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2000000}">
          <x14:formula1>
            <xm:f>Details!$A$2:$A$10</xm:f>
          </x14:formula1>
          <xm:sqref>J2:J5</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K10"/>
  <sheetViews>
    <sheetView showGridLines="0" workbookViewId="0"/>
  </sheetViews>
  <sheetFormatPr defaultColWidth="12.5703125" defaultRowHeight="15" customHeight="1"/>
  <cols>
    <col min="1" max="1" width="3.5703125" customWidth="1"/>
    <col min="2" max="2" width="5.5703125" customWidth="1"/>
    <col min="3" max="3" width="25" customWidth="1"/>
    <col min="4" max="4" width="6.140625" customWidth="1"/>
    <col min="5" max="6" width="12.5703125" customWidth="1"/>
    <col min="7" max="7" width="35.5703125" customWidth="1"/>
    <col min="9" max="9" width="4.7109375" customWidth="1"/>
    <col min="10" max="10" width="25" customWidth="1"/>
  </cols>
  <sheetData>
    <row r="2" spans="2:11" ht="15.75" customHeight="1">
      <c r="B2" s="484" t="s">
        <v>1836</v>
      </c>
      <c r="C2" s="485"/>
      <c r="D2" s="485"/>
      <c r="E2" s="485"/>
      <c r="F2" s="485"/>
      <c r="G2" s="485"/>
      <c r="I2" s="36" t="s">
        <v>1837</v>
      </c>
      <c r="J2" s="36" t="s">
        <v>1838</v>
      </c>
      <c r="K2" s="36" t="s">
        <v>239</v>
      </c>
    </row>
    <row r="3" spans="2:11" ht="15.75" customHeight="1">
      <c r="B3" s="10">
        <v>1</v>
      </c>
      <c r="C3" s="481" t="s">
        <v>1839</v>
      </c>
      <c r="D3" s="486"/>
      <c r="E3" s="486"/>
      <c r="F3" s="486"/>
      <c r="G3" s="487"/>
      <c r="I3" s="10">
        <v>1</v>
      </c>
      <c r="J3" s="10" t="s">
        <v>1840</v>
      </c>
      <c r="K3" s="10" t="b">
        <v>0</v>
      </c>
    </row>
    <row r="4" spans="2:11" ht="15.75" customHeight="1">
      <c r="B4" s="10">
        <v>2</v>
      </c>
      <c r="C4" s="481" t="s">
        <v>1841</v>
      </c>
      <c r="D4" s="486"/>
      <c r="E4" s="486"/>
      <c r="F4" s="486"/>
      <c r="G4" s="487"/>
      <c r="I4" s="10">
        <v>2</v>
      </c>
      <c r="J4" s="10" t="s">
        <v>1842</v>
      </c>
      <c r="K4" s="10" t="b">
        <v>0</v>
      </c>
    </row>
    <row r="5" spans="2:11" ht="15.75" customHeight="1">
      <c r="B5" s="10">
        <v>3</v>
      </c>
      <c r="C5" s="481" t="s">
        <v>1843</v>
      </c>
      <c r="D5" s="486"/>
      <c r="E5" s="486"/>
      <c r="F5" s="486"/>
      <c r="G5" s="487"/>
      <c r="I5" s="10">
        <v>3</v>
      </c>
      <c r="J5" s="10" t="s">
        <v>1844</v>
      </c>
      <c r="K5" s="10" t="b">
        <v>0</v>
      </c>
    </row>
    <row r="6" spans="2:11" ht="15.75" customHeight="1">
      <c r="B6" s="10">
        <v>4</v>
      </c>
      <c r="C6" s="481" t="s">
        <v>1845</v>
      </c>
      <c r="D6" s="486"/>
      <c r="E6" s="486"/>
      <c r="F6" s="486"/>
      <c r="G6" s="487"/>
      <c r="I6" s="10">
        <v>4</v>
      </c>
      <c r="J6" s="10" t="s">
        <v>1846</v>
      </c>
      <c r="K6" s="10" t="b">
        <v>0</v>
      </c>
    </row>
    <row r="7" spans="2:11" ht="15.75" customHeight="1">
      <c r="D7" s="28"/>
      <c r="I7" s="10">
        <v>5</v>
      </c>
      <c r="J7" s="10" t="s">
        <v>1847</v>
      </c>
      <c r="K7" s="10" t="b">
        <v>0</v>
      </c>
    </row>
    <row r="8" spans="2:11" ht="15.75" customHeight="1">
      <c r="D8" s="28"/>
      <c r="I8" s="10">
        <v>6</v>
      </c>
      <c r="J8" s="10" t="s">
        <v>1848</v>
      </c>
      <c r="K8" s="10" t="b">
        <v>0</v>
      </c>
    </row>
    <row r="9" spans="2:11" ht="15.75" customHeight="1">
      <c r="D9" s="28"/>
      <c r="I9" s="10">
        <v>7</v>
      </c>
      <c r="J9" s="10" t="s">
        <v>1849</v>
      </c>
      <c r="K9" s="10" t="b">
        <v>0</v>
      </c>
    </row>
    <row r="10" spans="2:11" ht="15.75" customHeight="1">
      <c r="D10" s="28"/>
      <c r="I10" s="10">
        <v>8</v>
      </c>
      <c r="J10" s="10" t="s">
        <v>1850</v>
      </c>
      <c r="K10" s="10" t="b">
        <v>0</v>
      </c>
    </row>
  </sheetData>
  <mergeCells count="5">
    <mergeCell ref="B2:G2"/>
    <mergeCell ref="C3:G3"/>
    <mergeCell ref="C4:G4"/>
    <mergeCell ref="C5:G5"/>
    <mergeCell ref="C6:G6"/>
  </mergeCells>
  <pageMargins left="0" right="0" top="0" bottom="0" header="0" footer="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
  <sheetViews>
    <sheetView workbookViewId="0"/>
  </sheetViews>
  <sheetFormatPr defaultColWidth="12.5703125" defaultRowHeight="15" customHeight="1"/>
  <cols>
    <col min="1" max="1" width="16.5703125" customWidth="1"/>
    <col min="2" max="6" width="12.5703125" customWidth="1"/>
  </cols>
  <sheetData>
    <row r="1" spans="1:1" ht="15.75" customHeight="1">
      <c r="A1" s="37" t="s">
        <v>1851</v>
      </c>
    </row>
    <row r="2" spans="1:1" ht="15.75" customHeight="1">
      <c r="A2" s="38" t="s">
        <v>629</v>
      </c>
    </row>
    <row r="3" spans="1:1" ht="15.75" customHeight="1">
      <c r="A3" s="38" t="s">
        <v>1852</v>
      </c>
    </row>
    <row r="4" spans="1:1" ht="15.75" customHeight="1">
      <c r="A4" s="38" t="s">
        <v>1853</v>
      </c>
    </row>
    <row r="5" spans="1:1" ht="15.75" customHeight="1">
      <c r="A5" s="38" t="s">
        <v>1854</v>
      </c>
    </row>
    <row r="6" spans="1:1" ht="15.75" customHeight="1">
      <c r="A6" s="38" t="s">
        <v>1201</v>
      </c>
    </row>
    <row r="7" spans="1:1" ht="15.75" customHeight="1">
      <c r="A7" s="38" t="s">
        <v>1855</v>
      </c>
    </row>
    <row r="8" spans="1:1" ht="15.75" customHeight="1">
      <c r="A8" s="38" t="s">
        <v>862</v>
      </c>
    </row>
    <row r="9" spans="1:1" ht="15.75" customHeight="1">
      <c r="A9" s="38" t="s">
        <v>1856</v>
      </c>
    </row>
    <row r="10" spans="1:1" ht="15.75" customHeight="1">
      <c r="A10" s="38" t="s">
        <v>949</v>
      </c>
    </row>
  </sheetData>
  <pageMargins left="0" right="0" top="0" bottom="0" header="0" footer="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91BC6-3A2D-4896-9526-BC875D91881D}">
  <dimension ref="C3:C10"/>
  <sheetViews>
    <sheetView workbookViewId="0">
      <selection activeCell="J7" sqref="J7"/>
    </sheetView>
  </sheetViews>
  <sheetFormatPr defaultRowHeight="12.75"/>
  <cols>
    <col min="3" max="3" width="15" bestFit="1" customWidth="1"/>
  </cols>
  <sheetData>
    <row r="3" spans="3:3">
      <c r="C3" t="s">
        <v>266</v>
      </c>
    </row>
    <row r="4" spans="3:3">
      <c r="C4" t="s">
        <v>1857</v>
      </c>
    </row>
    <row r="5" spans="3:3">
      <c r="C5" t="s">
        <v>263</v>
      </c>
    </row>
    <row r="6" spans="3:3">
      <c r="C6" t="s">
        <v>416</v>
      </c>
    </row>
    <row r="7" spans="3:3">
      <c r="C7" t="s">
        <v>392</v>
      </c>
    </row>
    <row r="8" spans="3:3">
      <c r="C8" t="s">
        <v>1858</v>
      </c>
    </row>
    <row r="9" spans="3:3">
      <c r="C9" t="s">
        <v>936</v>
      </c>
    </row>
    <row r="10" spans="3:3">
      <c r="C10" t="s">
        <v>13</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8317-EDE9-4FF3-832D-5E9E9C5A7209}">
  <dimension ref="A1:AB158"/>
  <sheetViews>
    <sheetView workbookViewId="0"/>
  </sheetViews>
  <sheetFormatPr defaultRowHeight="12.75"/>
  <sheetData>
    <row r="1" spans="1:28">
      <c r="A1">
        <v>1</v>
      </c>
      <c r="B1" t="s">
        <v>5</v>
      </c>
      <c r="C1">
        <v>46044</v>
      </c>
      <c r="D1">
        <v>46058</v>
      </c>
      <c r="E1" t="s">
        <v>75</v>
      </c>
      <c r="F1" t="s">
        <v>1173</v>
      </c>
      <c r="G1" t="s">
        <v>1174</v>
      </c>
      <c r="H1" t="s">
        <v>1175</v>
      </c>
      <c r="I1" t="s">
        <v>13</v>
      </c>
      <c r="J1">
        <v>3</v>
      </c>
      <c r="K1">
        <v>3</v>
      </c>
      <c r="N1" t="s">
        <v>739</v>
      </c>
      <c r="P1" t="s">
        <v>1176</v>
      </c>
      <c r="R1" t="s">
        <v>1177</v>
      </c>
      <c r="S1">
        <v>45643</v>
      </c>
      <c r="T1">
        <v>45643</v>
      </c>
      <c r="U1" t="s">
        <v>275</v>
      </c>
      <c r="W1" t="s">
        <v>741</v>
      </c>
      <c r="X1">
        <v>45643</v>
      </c>
      <c r="AB1" t="s">
        <v>1178</v>
      </c>
    </row>
    <row r="2" spans="1:28">
      <c r="A2">
        <v>2</v>
      </c>
      <c r="B2" t="s">
        <v>5</v>
      </c>
      <c r="C2">
        <v>46044</v>
      </c>
      <c r="D2">
        <v>46058</v>
      </c>
      <c r="E2" t="s">
        <v>75</v>
      </c>
      <c r="F2" t="s">
        <v>1173</v>
      </c>
      <c r="G2" t="s">
        <v>1179</v>
      </c>
      <c r="H2" t="s">
        <v>1180</v>
      </c>
      <c r="I2" t="s">
        <v>13</v>
      </c>
      <c r="J2">
        <v>5</v>
      </c>
      <c r="K2">
        <v>5</v>
      </c>
      <c r="N2" t="s">
        <v>739</v>
      </c>
      <c r="P2" t="s">
        <v>1120</v>
      </c>
      <c r="AB2" t="s">
        <v>1181</v>
      </c>
    </row>
    <row r="3" spans="1:28">
      <c r="A3">
        <v>3</v>
      </c>
      <c r="B3" t="s">
        <v>5</v>
      </c>
      <c r="C3">
        <v>46044</v>
      </c>
      <c r="D3">
        <v>46058</v>
      </c>
      <c r="E3" t="s">
        <v>75</v>
      </c>
      <c r="F3" t="s">
        <v>743</v>
      </c>
      <c r="G3" t="s">
        <v>1182</v>
      </c>
      <c r="H3" t="s">
        <v>1183</v>
      </c>
      <c r="I3" t="s">
        <v>13</v>
      </c>
      <c r="J3">
        <v>3</v>
      </c>
      <c r="K3">
        <v>3</v>
      </c>
      <c r="N3" t="s">
        <v>739</v>
      </c>
      <c r="P3" t="s">
        <v>1120</v>
      </c>
      <c r="R3" t="s">
        <v>1184</v>
      </c>
      <c r="S3">
        <v>45639</v>
      </c>
      <c r="T3">
        <v>45643</v>
      </c>
      <c r="U3" t="s">
        <v>275</v>
      </c>
      <c r="W3" t="s">
        <v>741</v>
      </c>
      <c r="X3">
        <v>45643</v>
      </c>
      <c r="AB3" t="s">
        <v>1185</v>
      </c>
    </row>
    <row r="4" spans="1:28">
      <c r="A4">
        <v>4</v>
      </c>
      <c r="B4" t="s">
        <v>5</v>
      </c>
      <c r="C4">
        <v>46044</v>
      </c>
      <c r="D4">
        <v>46058</v>
      </c>
      <c r="E4" t="s">
        <v>75</v>
      </c>
      <c r="F4" t="s">
        <v>743</v>
      </c>
      <c r="G4" t="s">
        <v>1186</v>
      </c>
      <c r="H4" t="s">
        <v>1187</v>
      </c>
      <c r="I4" t="s">
        <v>13</v>
      </c>
      <c r="J4">
        <v>2</v>
      </c>
      <c r="K4">
        <v>2</v>
      </c>
      <c r="N4" t="s">
        <v>739</v>
      </c>
      <c r="P4" t="s">
        <v>1120</v>
      </c>
      <c r="R4" t="s">
        <v>1188</v>
      </c>
      <c r="S4">
        <v>45639</v>
      </c>
      <c r="T4">
        <v>45642</v>
      </c>
      <c r="U4" t="s">
        <v>275</v>
      </c>
      <c r="W4" t="s">
        <v>825</v>
      </c>
      <c r="X4">
        <v>45642</v>
      </c>
      <c r="AB4" t="s">
        <v>1189</v>
      </c>
    </row>
    <row r="5" spans="1:28">
      <c r="A5">
        <v>5</v>
      </c>
      <c r="B5" t="s">
        <v>5</v>
      </c>
      <c r="C5">
        <v>46044</v>
      </c>
      <c r="D5">
        <v>46058</v>
      </c>
      <c r="E5" t="s">
        <v>75</v>
      </c>
      <c r="F5" t="s">
        <v>1120</v>
      </c>
      <c r="G5" t="s">
        <v>1190</v>
      </c>
      <c r="H5" t="s">
        <v>1191</v>
      </c>
      <c r="I5" t="s">
        <v>13</v>
      </c>
      <c r="J5">
        <v>3</v>
      </c>
      <c r="K5">
        <v>3</v>
      </c>
      <c r="N5" t="s">
        <v>739</v>
      </c>
      <c r="P5" t="s">
        <v>743</v>
      </c>
      <c r="R5" t="s">
        <v>1192</v>
      </c>
      <c r="S5">
        <v>45653</v>
      </c>
      <c r="T5">
        <v>45656</v>
      </c>
      <c r="U5" t="s">
        <v>275</v>
      </c>
      <c r="W5" t="s">
        <v>741</v>
      </c>
      <c r="X5">
        <v>45656</v>
      </c>
    </row>
    <row r="6" spans="1:28">
      <c r="A6">
        <v>6</v>
      </c>
      <c r="B6" t="s">
        <v>5</v>
      </c>
      <c r="C6">
        <v>46044</v>
      </c>
      <c r="D6">
        <v>46058</v>
      </c>
      <c r="E6" t="s">
        <v>75</v>
      </c>
      <c r="F6" t="s">
        <v>1131</v>
      </c>
      <c r="G6" t="s">
        <v>1193</v>
      </c>
      <c r="H6" t="s">
        <v>1194</v>
      </c>
      <c r="I6" t="s">
        <v>13</v>
      </c>
      <c r="J6">
        <v>3</v>
      </c>
      <c r="K6">
        <v>3</v>
      </c>
      <c r="N6" t="s">
        <v>739</v>
      </c>
      <c r="P6" t="s">
        <v>1120</v>
      </c>
      <c r="R6" t="s">
        <v>1195</v>
      </c>
      <c r="S6">
        <v>45657</v>
      </c>
      <c r="T6">
        <v>45657</v>
      </c>
      <c r="U6" t="s">
        <v>275</v>
      </c>
      <c r="W6" t="s">
        <v>741</v>
      </c>
      <c r="X6">
        <v>45657</v>
      </c>
      <c r="AB6" t="s">
        <v>1196</v>
      </c>
    </row>
    <row r="7" spans="1:28">
      <c r="A7">
        <v>7</v>
      </c>
      <c r="B7" t="s">
        <v>5</v>
      </c>
      <c r="C7">
        <v>46044</v>
      </c>
      <c r="D7">
        <v>46058</v>
      </c>
      <c r="E7" t="s">
        <v>75</v>
      </c>
      <c r="F7" t="s">
        <v>1117</v>
      </c>
      <c r="G7" t="s">
        <v>1118</v>
      </c>
      <c r="H7" t="s">
        <v>1119</v>
      </c>
      <c r="I7" t="s">
        <v>936</v>
      </c>
      <c r="J7">
        <v>5</v>
      </c>
      <c r="K7">
        <v>5</v>
      </c>
      <c r="N7" t="s">
        <v>739</v>
      </c>
      <c r="P7" t="s">
        <v>1120</v>
      </c>
      <c r="R7" t="s">
        <v>1121</v>
      </c>
      <c r="S7">
        <v>45657</v>
      </c>
      <c r="T7">
        <v>37621</v>
      </c>
      <c r="U7" t="s">
        <v>275</v>
      </c>
      <c r="W7" t="s">
        <v>741</v>
      </c>
      <c r="X7">
        <v>45657</v>
      </c>
      <c r="AB7" t="s">
        <v>1122</v>
      </c>
    </row>
    <row r="8" spans="1:28">
      <c r="A8">
        <v>1</v>
      </c>
      <c r="B8" t="s">
        <v>5</v>
      </c>
      <c r="C8">
        <v>46044</v>
      </c>
      <c r="D8">
        <v>46058</v>
      </c>
      <c r="E8" t="s">
        <v>83</v>
      </c>
      <c r="F8" t="s">
        <v>743</v>
      </c>
      <c r="G8" t="s">
        <v>1088</v>
      </c>
      <c r="H8" t="s">
        <v>1089</v>
      </c>
      <c r="I8" t="s">
        <v>13</v>
      </c>
      <c r="J8">
        <v>5</v>
      </c>
      <c r="K8">
        <v>5</v>
      </c>
      <c r="L8">
        <v>23</v>
      </c>
      <c r="M8" t="s">
        <v>743</v>
      </c>
      <c r="N8" t="s">
        <v>739</v>
      </c>
      <c r="P8" t="s">
        <v>746</v>
      </c>
      <c r="R8" t="s">
        <v>1090</v>
      </c>
      <c r="S8">
        <v>45687</v>
      </c>
      <c r="T8">
        <v>45687</v>
      </c>
      <c r="U8" t="s">
        <v>275</v>
      </c>
      <c r="W8" t="s">
        <v>825</v>
      </c>
      <c r="X8">
        <v>45687</v>
      </c>
      <c r="AB8" t="s">
        <v>1091</v>
      </c>
    </row>
    <row r="9" spans="1:28">
      <c r="A9">
        <v>2</v>
      </c>
      <c r="B9" t="s">
        <v>5</v>
      </c>
      <c r="C9">
        <v>46044</v>
      </c>
      <c r="D9">
        <v>46058</v>
      </c>
      <c r="E9" t="s">
        <v>83</v>
      </c>
      <c r="F9" t="s">
        <v>1008</v>
      </c>
      <c r="G9" t="s">
        <v>1054</v>
      </c>
      <c r="H9" t="s">
        <v>1055</v>
      </c>
      <c r="I9" t="s">
        <v>495</v>
      </c>
      <c r="J9">
        <v>5</v>
      </c>
      <c r="K9">
        <v>5</v>
      </c>
      <c r="M9" t="s">
        <v>738</v>
      </c>
      <c r="P9" t="s">
        <v>275</v>
      </c>
      <c r="R9" t="s">
        <v>1056</v>
      </c>
      <c r="S9">
        <v>45691</v>
      </c>
      <c r="T9">
        <v>45692</v>
      </c>
      <c r="U9" t="s">
        <v>275</v>
      </c>
      <c r="W9" t="s">
        <v>825</v>
      </c>
      <c r="X9">
        <v>45692</v>
      </c>
      <c r="AB9" s="43" t="s">
        <v>1092</v>
      </c>
    </row>
    <row r="10" spans="1:28">
      <c r="A10">
        <v>3</v>
      </c>
      <c r="B10" t="s">
        <v>5</v>
      </c>
      <c r="C10">
        <v>46044</v>
      </c>
      <c r="D10">
        <v>46058</v>
      </c>
      <c r="E10" t="s">
        <v>83</v>
      </c>
      <c r="F10" t="s">
        <v>1058</v>
      </c>
      <c r="G10" t="s">
        <v>1093</v>
      </c>
      <c r="H10" t="s">
        <v>1094</v>
      </c>
      <c r="I10" t="s">
        <v>13</v>
      </c>
      <c r="J10">
        <v>1</v>
      </c>
      <c r="K10">
        <v>1</v>
      </c>
      <c r="M10" t="s">
        <v>275</v>
      </c>
      <c r="N10" t="s">
        <v>739</v>
      </c>
      <c r="P10" t="s">
        <v>746</v>
      </c>
      <c r="R10" t="s">
        <v>1095</v>
      </c>
      <c r="S10">
        <v>45681</v>
      </c>
      <c r="T10">
        <v>45681</v>
      </c>
      <c r="U10" t="s">
        <v>275</v>
      </c>
      <c r="W10" t="s">
        <v>825</v>
      </c>
      <c r="X10">
        <v>45681</v>
      </c>
      <c r="AB10" t="s">
        <v>1096</v>
      </c>
    </row>
    <row r="11" spans="1:28">
      <c r="A11">
        <v>4</v>
      </c>
      <c r="B11" t="s">
        <v>5</v>
      </c>
      <c r="C11">
        <v>46044</v>
      </c>
      <c r="D11">
        <v>46058</v>
      </c>
      <c r="E11" t="s">
        <v>83</v>
      </c>
      <c r="F11" t="s">
        <v>1008</v>
      </c>
      <c r="G11" t="s">
        <v>1097</v>
      </c>
      <c r="H11" t="s">
        <v>1098</v>
      </c>
      <c r="I11" t="s">
        <v>13</v>
      </c>
      <c r="J11">
        <v>2</v>
      </c>
      <c r="K11">
        <v>2</v>
      </c>
      <c r="M11" t="s">
        <v>738</v>
      </c>
      <c r="N11" t="s">
        <v>739</v>
      </c>
      <c r="P11" t="s">
        <v>275</v>
      </c>
      <c r="R11" t="s">
        <v>1099</v>
      </c>
      <c r="S11">
        <v>45680</v>
      </c>
      <c r="T11">
        <v>45681</v>
      </c>
      <c r="U11" t="s">
        <v>275</v>
      </c>
      <c r="W11" t="s">
        <v>741</v>
      </c>
      <c r="X11">
        <v>45681</v>
      </c>
      <c r="Z11" t="s">
        <v>1100</v>
      </c>
      <c r="AB11" t="s">
        <v>1101</v>
      </c>
    </row>
    <row r="12" spans="1:28">
      <c r="A12">
        <v>5</v>
      </c>
      <c r="B12" t="s">
        <v>5</v>
      </c>
      <c r="C12">
        <v>46044</v>
      </c>
      <c r="D12">
        <v>46058</v>
      </c>
      <c r="E12" t="s">
        <v>83</v>
      </c>
      <c r="F12" t="s">
        <v>1058</v>
      </c>
      <c r="G12" t="s">
        <v>1059</v>
      </c>
      <c r="H12" t="s">
        <v>1060</v>
      </c>
      <c r="I12" t="s">
        <v>495</v>
      </c>
      <c r="J12">
        <v>2</v>
      </c>
      <c r="K12">
        <v>2</v>
      </c>
      <c r="M12" t="s">
        <v>275</v>
      </c>
      <c r="N12" t="s">
        <v>743</v>
      </c>
      <c r="P12" t="s">
        <v>743</v>
      </c>
      <c r="R12" t="s">
        <v>1061</v>
      </c>
      <c r="S12">
        <v>45692</v>
      </c>
      <c r="T12">
        <v>45693</v>
      </c>
      <c r="U12" t="s">
        <v>275</v>
      </c>
      <c r="W12" t="s">
        <v>825</v>
      </c>
      <c r="X12">
        <v>45693</v>
      </c>
      <c r="AB12" t="s">
        <v>1102</v>
      </c>
    </row>
    <row r="13" spans="1:28">
      <c r="A13">
        <v>6</v>
      </c>
      <c r="B13" t="s">
        <v>5</v>
      </c>
      <c r="C13">
        <v>46044</v>
      </c>
      <c r="D13">
        <v>46058</v>
      </c>
      <c r="E13" t="s">
        <v>83</v>
      </c>
      <c r="F13" t="s">
        <v>807</v>
      </c>
      <c r="G13" t="s">
        <v>1103</v>
      </c>
      <c r="H13" t="s">
        <v>1104</v>
      </c>
      <c r="I13" t="s">
        <v>13</v>
      </c>
      <c r="J13">
        <v>2</v>
      </c>
      <c r="K13">
        <v>2</v>
      </c>
      <c r="M13" t="s">
        <v>93</v>
      </c>
      <c r="N13" t="s">
        <v>93</v>
      </c>
      <c r="O13" t="s">
        <v>93</v>
      </c>
      <c r="P13" t="s">
        <v>93</v>
      </c>
      <c r="Q13" t="s">
        <v>93</v>
      </c>
      <c r="R13" t="s">
        <v>93</v>
      </c>
      <c r="S13" t="s">
        <v>93</v>
      </c>
      <c r="T13" t="s">
        <v>93</v>
      </c>
      <c r="U13" t="s">
        <v>93</v>
      </c>
      <c r="V13" t="s">
        <v>93</v>
      </c>
      <c r="W13" t="s">
        <v>93</v>
      </c>
      <c r="X13" t="s">
        <v>93</v>
      </c>
      <c r="Y13" t="s">
        <v>93</v>
      </c>
      <c r="Z13" t="s">
        <v>93</v>
      </c>
      <c r="AA13" t="s">
        <v>93</v>
      </c>
      <c r="AB13" t="s">
        <v>1105</v>
      </c>
    </row>
    <row r="14" spans="1:28">
      <c r="A14">
        <v>7</v>
      </c>
      <c r="B14" t="s">
        <v>5</v>
      </c>
      <c r="C14">
        <v>46044</v>
      </c>
      <c r="D14">
        <v>46058</v>
      </c>
      <c r="E14" t="s">
        <v>83</v>
      </c>
      <c r="F14" t="s">
        <v>807</v>
      </c>
      <c r="G14" t="s">
        <v>1106</v>
      </c>
      <c r="H14" t="s">
        <v>1107</v>
      </c>
      <c r="I14" t="s">
        <v>13</v>
      </c>
      <c r="J14" t="s">
        <v>1108</v>
      </c>
      <c r="K14">
        <v>1</v>
      </c>
      <c r="M14" t="s">
        <v>93</v>
      </c>
      <c r="N14" t="s">
        <v>93</v>
      </c>
      <c r="O14" t="s">
        <v>93</v>
      </c>
      <c r="P14" t="s">
        <v>93</v>
      </c>
      <c r="Q14" t="s">
        <v>93</v>
      </c>
      <c r="R14" t="s">
        <v>93</v>
      </c>
      <c r="S14" t="s">
        <v>93</v>
      </c>
      <c r="T14" t="s">
        <v>93</v>
      </c>
      <c r="U14" t="s">
        <v>93</v>
      </c>
      <c r="V14" t="s">
        <v>93</v>
      </c>
      <c r="W14" t="s">
        <v>93</v>
      </c>
      <c r="X14" t="s">
        <v>93</v>
      </c>
      <c r="Y14" t="s">
        <v>93</v>
      </c>
      <c r="Z14" t="s">
        <v>93</v>
      </c>
      <c r="AA14" t="s">
        <v>93</v>
      </c>
      <c r="AB14" t="s">
        <v>1109</v>
      </c>
    </row>
    <row r="15" spans="1:28">
      <c r="A15">
        <v>1</v>
      </c>
      <c r="B15" t="s">
        <v>5</v>
      </c>
      <c r="C15">
        <v>46044</v>
      </c>
      <c r="D15">
        <v>46058</v>
      </c>
      <c r="E15" t="s">
        <v>87</v>
      </c>
      <c r="F15" t="s">
        <v>1008</v>
      </c>
      <c r="G15" t="s">
        <v>1054</v>
      </c>
      <c r="H15" t="s">
        <v>1055</v>
      </c>
      <c r="I15" t="s">
        <v>13</v>
      </c>
      <c r="J15">
        <v>2</v>
      </c>
      <c r="K15">
        <v>2</v>
      </c>
      <c r="L15">
        <v>23</v>
      </c>
      <c r="M15" t="s">
        <v>738</v>
      </c>
      <c r="N15" t="s">
        <v>739</v>
      </c>
      <c r="P15" t="s">
        <v>275</v>
      </c>
      <c r="R15" t="s">
        <v>1056</v>
      </c>
      <c r="S15">
        <v>45691</v>
      </c>
      <c r="T15">
        <v>45692</v>
      </c>
      <c r="U15" t="s">
        <v>275</v>
      </c>
      <c r="W15" t="s">
        <v>825</v>
      </c>
      <c r="X15">
        <v>45692</v>
      </c>
      <c r="AB15" t="s">
        <v>1057</v>
      </c>
    </row>
    <row r="16" spans="1:28">
      <c r="A16">
        <v>2</v>
      </c>
      <c r="B16" t="s">
        <v>5</v>
      </c>
      <c r="C16">
        <v>46044</v>
      </c>
      <c r="D16">
        <v>46058</v>
      </c>
      <c r="E16" t="s">
        <v>87</v>
      </c>
      <c r="F16" t="s">
        <v>1058</v>
      </c>
      <c r="G16" t="s">
        <v>1059</v>
      </c>
      <c r="H16" t="s">
        <v>1060</v>
      </c>
      <c r="I16" t="s">
        <v>13</v>
      </c>
      <c r="J16">
        <v>2</v>
      </c>
      <c r="K16">
        <v>2</v>
      </c>
      <c r="L16">
        <v>2</v>
      </c>
      <c r="M16" t="s">
        <v>275</v>
      </c>
      <c r="N16" t="s">
        <v>743</v>
      </c>
      <c r="P16" t="s">
        <v>743</v>
      </c>
      <c r="R16" t="s">
        <v>1061</v>
      </c>
      <c r="S16">
        <v>45692</v>
      </c>
      <c r="T16">
        <v>45693</v>
      </c>
      <c r="U16" t="s">
        <v>275</v>
      </c>
      <c r="W16" t="s">
        <v>825</v>
      </c>
      <c r="X16">
        <v>45693</v>
      </c>
    </row>
    <row r="17" spans="1:28">
      <c r="A17">
        <v>3</v>
      </c>
      <c r="B17" t="s">
        <v>5</v>
      </c>
      <c r="C17">
        <v>46044</v>
      </c>
      <c r="D17">
        <v>46058</v>
      </c>
      <c r="E17" t="s">
        <v>87</v>
      </c>
      <c r="F17" t="s">
        <v>766</v>
      </c>
      <c r="G17" t="s">
        <v>1062</v>
      </c>
      <c r="H17" t="s">
        <v>1063</v>
      </c>
      <c r="I17" t="s">
        <v>13</v>
      </c>
      <c r="J17">
        <v>1</v>
      </c>
      <c r="K17">
        <v>1</v>
      </c>
      <c r="L17">
        <v>7.5</v>
      </c>
      <c r="N17" t="s">
        <v>739</v>
      </c>
      <c r="R17" t="s">
        <v>1064</v>
      </c>
    </row>
    <row r="18" spans="1:28">
      <c r="A18">
        <v>4</v>
      </c>
      <c r="B18" t="s">
        <v>5</v>
      </c>
      <c r="C18">
        <v>46044</v>
      </c>
      <c r="D18">
        <v>46058</v>
      </c>
      <c r="E18" t="s">
        <v>87</v>
      </c>
      <c r="F18" t="s">
        <v>743</v>
      </c>
      <c r="G18" t="s">
        <v>1004</v>
      </c>
      <c r="H18" t="s">
        <v>1005</v>
      </c>
      <c r="I18" t="s">
        <v>416</v>
      </c>
      <c r="J18">
        <v>5</v>
      </c>
      <c r="K18">
        <v>5</v>
      </c>
      <c r="L18">
        <v>84.5</v>
      </c>
      <c r="N18" t="s">
        <v>739</v>
      </c>
      <c r="AB18" s="43" t="s">
        <v>1065</v>
      </c>
    </row>
    <row r="19" spans="1:28">
      <c r="A19">
        <v>6</v>
      </c>
      <c r="B19" t="s">
        <v>5</v>
      </c>
      <c r="C19">
        <v>46044</v>
      </c>
      <c r="D19">
        <v>46058</v>
      </c>
      <c r="E19" t="s">
        <v>87</v>
      </c>
      <c r="F19" t="s">
        <v>1008</v>
      </c>
      <c r="G19" t="s">
        <v>1066</v>
      </c>
      <c r="H19" t="s">
        <v>1067</v>
      </c>
      <c r="I19" t="s">
        <v>13</v>
      </c>
      <c r="J19">
        <v>1</v>
      </c>
      <c r="K19">
        <v>1</v>
      </c>
      <c r="L19">
        <v>25.5</v>
      </c>
      <c r="M19" t="s">
        <v>275</v>
      </c>
      <c r="N19" t="s">
        <v>739</v>
      </c>
      <c r="P19" t="s">
        <v>739</v>
      </c>
      <c r="R19" t="s">
        <v>1068</v>
      </c>
      <c r="S19">
        <v>45695</v>
      </c>
      <c r="T19">
        <v>45695</v>
      </c>
      <c r="U19" t="s">
        <v>275</v>
      </c>
      <c r="W19" t="s">
        <v>825</v>
      </c>
      <c r="X19">
        <v>45695</v>
      </c>
      <c r="AB19" s="43" t="s">
        <v>1069</v>
      </c>
    </row>
    <row r="20" spans="1:28">
      <c r="A20">
        <v>7</v>
      </c>
      <c r="B20" t="s">
        <v>5</v>
      </c>
      <c r="C20">
        <v>46044</v>
      </c>
      <c r="D20">
        <v>46058</v>
      </c>
      <c r="E20" t="s">
        <v>87</v>
      </c>
      <c r="F20" t="s">
        <v>1008</v>
      </c>
      <c r="G20" t="s">
        <v>1045</v>
      </c>
      <c r="H20" t="s">
        <v>1070</v>
      </c>
      <c r="I20" t="s">
        <v>495</v>
      </c>
      <c r="J20">
        <v>5</v>
      </c>
      <c r="K20">
        <v>5</v>
      </c>
      <c r="L20">
        <v>60</v>
      </c>
      <c r="N20" t="s">
        <v>739</v>
      </c>
      <c r="R20" t="s">
        <v>1071</v>
      </c>
      <c r="S20">
        <v>45700</v>
      </c>
      <c r="T20">
        <v>45706</v>
      </c>
      <c r="U20" t="s">
        <v>275</v>
      </c>
      <c r="W20" t="s">
        <v>825</v>
      </c>
      <c r="X20">
        <v>45706</v>
      </c>
      <c r="Y20" s="43" t="s">
        <v>1072</v>
      </c>
      <c r="AB20" s="43" t="s">
        <v>1073</v>
      </c>
    </row>
    <row r="21" spans="1:28">
      <c r="A21">
        <v>8</v>
      </c>
      <c r="B21" t="s">
        <v>5</v>
      </c>
      <c r="C21">
        <v>46044</v>
      </c>
      <c r="D21">
        <v>46058</v>
      </c>
      <c r="E21" t="s">
        <v>87</v>
      </c>
      <c r="F21" t="s">
        <v>807</v>
      </c>
      <c r="G21" t="s">
        <v>1074</v>
      </c>
      <c r="H21" t="s">
        <v>1075</v>
      </c>
      <c r="I21" t="s">
        <v>13</v>
      </c>
      <c r="J21">
        <v>1</v>
      </c>
      <c r="K21">
        <v>1</v>
      </c>
      <c r="L21">
        <v>22</v>
      </c>
      <c r="M21" t="s">
        <v>93</v>
      </c>
      <c r="N21" t="s">
        <v>93</v>
      </c>
      <c r="O21" t="s">
        <v>93</v>
      </c>
      <c r="P21" t="s">
        <v>93</v>
      </c>
      <c r="Q21" t="s">
        <v>93</v>
      </c>
      <c r="R21" t="s">
        <v>93</v>
      </c>
      <c r="S21" t="s">
        <v>93</v>
      </c>
      <c r="T21" t="s">
        <v>93</v>
      </c>
      <c r="U21" t="s">
        <v>93</v>
      </c>
      <c r="V21" t="s">
        <v>93</v>
      </c>
      <c r="W21" t="s">
        <v>93</v>
      </c>
      <c r="X21" t="s">
        <v>93</v>
      </c>
      <c r="Y21" t="s">
        <v>93</v>
      </c>
      <c r="Z21" t="s">
        <v>93</v>
      </c>
      <c r="AA21" t="s">
        <v>93</v>
      </c>
      <c r="AB21" t="s">
        <v>1076</v>
      </c>
    </row>
    <row r="22" spans="1:28">
      <c r="A22">
        <v>1</v>
      </c>
      <c r="B22" t="s">
        <v>5</v>
      </c>
      <c r="C22">
        <v>45709</v>
      </c>
      <c r="D22">
        <v>45722</v>
      </c>
      <c r="E22" t="s">
        <v>90</v>
      </c>
      <c r="F22" t="s">
        <v>743</v>
      </c>
      <c r="G22" t="s">
        <v>1004</v>
      </c>
      <c r="H22" t="s">
        <v>1005</v>
      </c>
      <c r="I22" t="s">
        <v>13</v>
      </c>
      <c r="J22">
        <v>2</v>
      </c>
      <c r="K22">
        <v>2</v>
      </c>
      <c r="L22">
        <v>15.5</v>
      </c>
      <c r="M22" t="s">
        <v>743</v>
      </c>
      <c r="N22" t="s">
        <v>739</v>
      </c>
      <c r="O22" t="s">
        <v>1006</v>
      </c>
      <c r="AB22" s="43" t="s">
        <v>1007</v>
      </c>
    </row>
    <row r="23" spans="1:28">
      <c r="A23">
        <v>3</v>
      </c>
      <c r="B23" t="s">
        <v>5</v>
      </c>
      <c r="C23">
        <v>45709</v>
      </c>
      <c r="D23">
        <v>45722</v>
      </c>
      <c r="E23" t="s">
        <v>90</v>
      </c>
      <c r="F23" t="s">
        <v>1008</v>
      </c>
      <c r="G23" t="s">
        <v>1009</v>
      </c>
      <c r="H23" t="s">
        <v>1010</v>
      </c>
      <c r="I23" t="s">
        <v>13</v>
      </c>
      <c r="J23">
        <v>2</v>
      </c>
      <c r="K23">
        <v>1</v>
      </c>
      <c r="L23">
        <v>9</v>
      </c>
      <c r="M23" t="s">
        <v>738</v>
      </c>
      <c r="N23" t="s">
        <v>739</v>
      </c>
      <c r="O23" t="s">
        <v>93</v>
      </c>
      <c r="R23" t="s">
        <v>1011</v>
      </c>
      <c r="S23">
        <v>45709</v>
      </c>
      <c r="U23" t="s">
        <v>275</v>
      </c>
      <c r="AB23" t="s">
        <v>1012</v>
      </c>
    </row>
    <row r="24" spans="1:28">
      <c r="A24">
        <v>4</v>
      </c>
      <c r="B24" t="s">
        <v>731</v>
      </c>
      <c r="C24">
        <v>45709</v>
      </c>
      <c r="D24">
        <v>45722</v>
      </c>
      <c r="E24" t="s">
        <v>90</v>
      </c>
      <c r="F24" t="s">
        <v>1008</v>
      </c>
      <c r="G24" t="s">
        <v>1013</v>
      </c>
      <c r="H24" t="s">
        <v>1014</v>
      </c>
      <c r="I24" t="s">
        <v>13</v>
      </c>
      <c r="J24">
        <v>2</v>
      </c>
      <c r="K24">
        <v>3</v>
      </c>
      <c r="L24">
        <v>40.25</v>
      </c>
      <c r="M24" t="s">
        <v>738</v>
      </c>
      <c r="N24" t="s">
        <v>739</v>
      </c>
      <c r="O24" t="s">
        <v>93</v>
      </c>
      <c r="R24" t="s">
        <v>1015</v>
      </c>
      <c r="S24">
        <v>45714</v>
      </c>
      <c r="T24">
        <v>45714</v>
      </c>
      <c r="U24" t="s">
        <v>275</v>
      </c>
      <c r="AB24" t="s">
        <v>1016</v>
      </c>
    </row>
    <row r="25" spans="1:28">
      <c r="A25">
        <v>5</v>
      </c>
      <c r="B25" t="s">
        <v>731</v>
      </c>
      <c r="C25">
        <v>45709</v>
      </c>
      <c r="D25">
        <v>45722</v>
      </c>
      <c r="E25" t="s">
        <v>90</v>
      </c>
      <c r="F25" t="s">
        <v>1017</v>
      </c>
      <c r="G25" t="s">
        <v>1018</v>
      </c>
      <c r="H25" t="s">
        <v>1019</v>
      </c>
      <c r="I25" t="s">
        <v>936</v>
      </c>
      <c r="J25">
        <v>5</v>
      </c>
      <c r="K25">
        <v>3</v>
      </c>
      <c r="L25">
        <v>75.25</v>
      </c>
      <c r="M25" t="s">
        <v>738</v>
      </c>
      <c r="O25" t="s">
        <v>93</v>
      </c>
      <c r="W25" t="s">
        <v>825</v>
      </c>
      <c r="X25">
        <v>45714</v>
      </c>
      <c r="AB25" t="s">
        <v>1020</v>
      </c>
    </row>
    <row r="26" spans="1:28">
      <c r="A26">
        <v>6</v>
      </c>
      <c r="B26" t="s">
        <v>731</v>
      </c>
      <c r="C26">
        <v>45709</v>
      </c>
      <c r="D26">
        <v>45722</v>
      </c>
      <c r="E26" t="s">
        <v>90</v>
      </c>
      <c r="F26" t="s">
        <v>743</v>
      </c>
      <c r="G26" t="s">
        <v>1021</v>
      </c>
      <c r="H26" t="s">
        <v>1022</v>
      </c>
      <c r="I26" t="s">
        <v>13</v>
      </c>
      <c r="J26">
        <v>2</v>
      </c>
      <c r="K26">
        <v>2</v>
      </c>
      <c r="L26">
        <v>34.5</v>
      </c>
      <c r="M26" t="s">
        <v>743</v>
      </c>
      <c r="N26" t="s">
        <v>739</v>
      </c>
      <c r="R26" t="s">
        <v>1023</v>
      </c>
      <c r="S26">
        <v>45716</v>
      </c>
      <c r="T26">
        <v>45720</v>
      </c>
      <c r="U26" t="s">
        <v>275</v>
      </c>
      <c r="W26" t="s">
        <v>825</v>
      </c>
      <c r="X26">
        <v>45721</v>
      </c>
      <c r="AB26" s="43" t="s">
        <v>1024</v>
      </c>
    </row>
    <row r="27" spans="1:28">
      <c r="A27">
        <v>7</v>
      </c>
      <c r="B27" t="s">
        <v>731</v>
      </c>
      <c r="C27">
        <v>45709</v>
      </c>
      <c r="D27">
        <v>45722</v>
      </c>
      <c r="E27" t="s">
        <v>90</v>
      </c>
      <c r="F27" t="s">
        <v>743</v>
      </c>
      <c r="G27" t="s">
        <v>1025</v>
      </c>
      <c r="H27" t="s">
        <v>1022</v>
      </c>
      <c r="I27" t="s">
        <v>13</v>
      </c>
      <c r="J27">
        <v>2</v>
      </c>
      <c r="K27">
        <v>2</v>
      </c>
      <c r="L27">
        <v>35.75</v>
      </c>
      <c r="M27" t="s">
        <v>743</v>
      </c>
      <c r="N27" t="s">
        <v>739</v>
      </c>
      <c r="R27" t="s">
        <v>1026</v>
      </c>
      <c r="S27">
        <v>45716</v>
      </c>
      <c r="T27">
        <v>45720</v>
      </c>
      <c r="U27" t="s">
        <v>275</v>
      </c>
      <c r="W27" t="s">
        <v>825</v>
      </c>
      <c r="X27">
        <v>45721</v>
      </c>
      <c r="AB27" s="43" t="s">
        <v>1024</v>
      </c>
    </row>
    <row r="28" spans="1:28">
      <c r="A28">
        <v>8</v>
      </c>
      <c r="B28" t="s">
        <v>731</v>
      </c>
      <c r="C28">
        <v>45709</v>
      </c>
      <c r="D28">
        <v>45722</v>
      </c>
      <c r="E28" t="s">
        <v>1027</v>
      </c>
      <c r="F28" t="s">
        <v>743</v>
      </c>
      <c r="G28" t="s">
        <v>953</v>
      </c>
      <c r="H28" t="s">
        <v>954</v>
      </c>
      <c r="I28" t="s">
        <v>263</v>
      </c>
      <c r="J28">
        <v>2</v>
      </c>
      <c r="K28">
        <v>2</v>
      </c>
      <c r="L28">
        <v>31</v>
      </c>
      <c r="AB28" t="s">
        <v>1028</v>
      </c>
    </row>
    <row r="29" spans="1:28">
      <c r="A29">
        <v>8</v>
      </c>
      <c r="B29" t="s">
        <v>5</v>
      </c>
      <c r="C29">
        <v>45709</v>
      </c>
      <c r="D29">
        <v>45722</v>
      </c>
      <c r="E29" t="s">
        <v>90</v>
      </c>
      <c r="F29" t="s">
        <v>807</v>
      </c>
      <c r="G29" t="s">
        <v>1029</v>
      </c>
      <c r="H29" t="s">
        <v>1030</v>
      </c>
      <c r="I29" t="s">
        <v>13</v>
      </c>
      <c r="J29">
        <v>1</v>
      </c>
      <c r="K29">
        <v>1</v>
      </c>
      <c r="L29">
        <v>10</v>
      </c>
      <c r="AB29" s="43" t="s">
        <v>1031</v>
      </c>
    </row>
    <row r="30" spans="1:28">
      <c r="A30">
        <v>9</v>
      </c>
      <c r="B30" t="s">
        <v>5</v>
      </c>
      <c r="C30">
        <v>45709</v>
      </c>
      <c r="D30">
        <v>45722</v>
      </c>
      <c r="E30" t="s">
        <v>90</v>
      </c>
      <c r="F30" t="s">
        <v>807</v>
      </c>
      <c r="G30" t="s">
        <v>1032</v>
      </c>
      <c r="H30" t="s">
        <v>1033</v>
      </c>
      <c r="I30" t="s">
        <v>13</v>
      </c>
      <c r="J30">
        <v>1</v>
      </c>
      <c r="K30">
        <v>1</v>
      </c>
      <c r="L30">
        <v>3</v>
      </c>
      <c r="M30" t="s">
        <v>93</v>
      </c>
      <c r="N30" t="s">
        <v>93</v>
      </c>
      <c r="O30" t="s">
        <v>93</v>
      </c>
      <c r="P30" t="s">
        <v>93</v>
      </c>
      <c r="Q30" t="s">
        <v>93</v>
      </c>
      <c r="R30" t="s">
        <v>93</v>
      </c>
      <c r="S30" t="s">
        <v>93</v>
      </c>
      <c r="T30" t="s">
        <v>93</v>
      </c>
      <c r="U30" t="s">
        <v>93</v>
      </c>
      <c r="V30" t="s">
        <v>93</v>
      </c>
      <c r="W30" t="s">
        <v>93</v>
      </c>
      <c r="X30" t="s">
        <v>93</v>
      </c>
      <c r="Y30" t="s">
        <v>93</v>
      </c>
      <c r="Z30" t="s">
        <v>93</v>
      </c>
      <c r="AA30" t="s">
        <v>93</v>
      </c>
      <c r="AB30" t="s">
        <v>1034</v>
      </c>
    </row>
    <row r="31" spans="1:28">
      <c r="A31">
        <v>10</v>
      </c>
      <c r="B31" t="s">
        <v>5</v>
      </c>
      <c r="C31">
        <v>45709</v>
      </c>
      <c r="D31">
        <v>45722</v>
      </c>
      <c r="E31" t="s">
        <v>90</v>
      </c>
      <c r="F31" t="s">
        <v>807</v>
      </c>
      <c r="G31" t="s">
        <v>1035</v>
      </c>
      <c r="H31" t="s">
        <v>1036</v>
      </c>
      <c r="I31" t="s">
        <v>13</v>
      </c>
      <c r="J31">
        <v>1</v>
      </c>
      <c r="K31">
        <v>1</v>
      </c>
      <c r="M31" t="s">
        <v>93</v>
      </c>
      <c r="N31" t="s">
        <v>93</v>
      </c>
      <c r="O31" t="s">
        <v>93</v>
      </c>
      <c r="P31" t="s">
        <v>93</v>
      </c>
      <c r="Q31" t="s">
        <v>93</v>
      </c>
      <c r="R31" t="s">
        <v>93</v>
      </c>
      <c r="S31" t="s">
        <v>93</v>
      </c>
      <c r="T31" t="s">
        <v>93</v>
      </c>
      <c r="U31" t="s">
        <v>93</v>
      </c>
      <c r="V31" t="s">
        <v>93</v>
      </c>
      <c r="W31" t="s">
        <v>93</v>
      </c>
      <c r="X31" t="s">
        <v>93</v>
      </c>
      <c r="Y31" t="s">
        <v>93</v>
      </c>
      <c r="Z31" t="s">
        <v>93</v>
      </c>
      <c r="AA31" t="s">
        <v>93</v>
      </c>
      <c r="AB31" t="s">
        <v>1037</v>
      </c>
    </row>
    <row r="32" spans="1:28">
      <c r="A32">
        <v>11</v>
      </c>
      <c r="B32" t="s">
        <v>731</v>
      </c>
      <c r="C32">
        <v>45709</v>
      </c>
      <c r="D32">
        <v>45722</v>
      </c>
      <c r="E32" t="s">
        <v>90</v>
      </c>
      <c r="F32" t="s">
        <v>807</v>
      </c>
      <c r="G32" t="s">
        <v>1038</v>
      </c>
      <c r="H32" t="s">
        <v>1039</v>
      </c>
      <c r="I32" t="s">
        <v>13</v>
      </c>
      <c r="J32">
        <v>1</v>
      </c>
      <c r="K32">
        <v>1</v>
      </c>
      <c r="L32">
        <v>6</v>
      </c>
      <c r="M32" t="s">
        <v>93</v>
      </c>
      <c r="N32" t="s">
        <v>93</v>
      </c>
      <c r="O32" t="s">
        <v>93</v>
      </c>
      <c r="P32" t="s">
        <v>93</v>
      </c>
      <c r="Q32" t="s">
        <v>93</v>
      </c>
      <c r="R32" t="s">
        <v>93</v>
      </c>
      <c r="S32" t="s">
        <v>93</v>
      </c>
      <c r="T32" t="s">
        <v>93</v>
      </c>
      <c r="U32" t="s">
        <v>93</v>
      </c>
      <c r="V32" t="s">
        <v>93</v>
      </c>
      <c r="W32" t="s">
        <v>93</v>
      </c>
      <c r="X32" t="s">
        <v>93</v>
      </c>
      <c r="Y32" t="s">
        <v>93</v>
      </c>
      <c r="Z32" t="s">
        <v>93</v>
      </c>
      <c r="AA32" t="s">
        <v>93</v>
      </c>
      <c r="AB32" t="s">
        <v>1040</v>
      </c>
    </row>
    <row r="33" spans="1:28">
      <c r="A33">
        <v>1</v>
      </c>
      <c r="B33" t="s">
        <v>731</v>
      </c>
      <c r="C33">
        <v>45723</v>
      </c>
      <c r="D33">
        <v>45736</v>
      </c>
      <c r="E33" t="s">
        <v>94</v>
      </c>
      <c r="F33" t="s">
        <v>275</v>
      </c>
      <c r="G33" t="s">
        <v>953</v>
      </c>
      <c r="H33" t="s">
        <v>954</v>
      </c>
      <c r="I33" t="s">
        <v>13</v>
      </c>
      <c r="J33">
        <v>2</v>
      </c>
      <c r="K33">
        <v>2</v>
      </c>
      <c r="L33">
        <v>22</v>
      </c>
      <c r="M33" t="s">
        <v>275</v>
      </c>
      <c r="N33" t="s">
        <v>739</v>
      </c>
      <c r="O33" t="s">
        <v>907</v>
      </c>
      <c r="R33" t="s">
        <v>955</v>
      </c>
      <c r="S33">
        <v>45722</v>
      </c>
      <c r="T33">
        <v>45723</v>
      </c>
      <c r="U33" t="s">
        <v>275</v>
      </c>
      <c r="W33" t="s">
        <v>741</v>
      </c>
      <c r="X33">
        <v>45723</v>
      </c>
      <c r="AB33" t="s">
        <v>956</v>
      </c>
    </row>
    <row r="34" spans="1:28">
      <c r="A34">
        <v>2</v>
      </c>
      <c r="B34" t="s">
        <v>731</v>
      </c>
      <c r="C34">
        <v>45723</v>
      </c>
      <c r="D34">
        <v>45736</v>
      </c>
      <c r="E34" t="s">
        <v>94</v>
      </c>
      <c r="F34" t="s">
        <v>275</v>
      </c>
      <c r="G34" t="s">
        <v>957</v>
      </c>
      <c r="H34" t="s">
        <v>958</v>
      </c>
      <c r="I34" t="s">
        <v>13</v>
      </c>
      <c r="J34">
        <v>2</v>
      </c>
      <c r="K34">
        <v>2</v>
      </c>
      <c r="L34">
        <v>2.25</v>
      </c>
      <c r="M34" t="s">
        <v>275</v>
      </c>
      <c r="R34" t="s">
        <v>959</v>
      </c>
      <c r="S34">
        <v>45723</v>
      </c>
      <c r="T34">
        <v>45724</v>
      </c>
      <c r="U34" t="s">
        <v>275</v>
      </c>
      <c r="W34" s="43" t="s">
        <v>960</v>
      </c>
      <c r="X34">
        <v>45724</v>
      </c>
    </row>
    <row r="35" spans="1:28">
      <c r="A35">
        <v>3</v>
      </c>
      <c r="B35" t="s">
        <v>731</v>
      </c>
      <c r="C35">
        <v>45723</v>
      </c>
      <c r="D35">
        <v>45736</v>
      </c>
      <c r="E35" t="s">
        <v>94</v>
      </c>
      <c r="F35" t="s">
        <v>961</v>
      </c>
      <c r="G35" t="s">
        <v>811</v>
      </c>
      <c r="H35" t="s">
        <v>962</v>
      </c>
      <c r="I35" t="s">
        <v>13</v>
      </c>
      <c r="J35">
        <v>3</v>
      </c>
      <c r="K35">
        <v>3</v>
      </c>
      <c r="L35">
        <v>45.5</v>
      </c>
      <c r="M35" t="s">
        <v>963</v>
      </c>
      <c r="N35" t="s">
        <v>739</v>
      </c>
      <c r="O35" t="s">
        <v>907</v>
      </c>
      <c r="P35" t="s">
        <v>275</v>
      </c>
      <c r="R35" t="s">
        <v>964</v>
      </c>
      <c r="S35">
        <v>45727</v>
      </c>
      <c r="T35">
        <v>45727</v>
      </c>
      <c r="U35" t="s">
        <v>275</v>
      </c>
      <c r="W35" t="s">
        <v>741</v>
      </c>
      <c r="X35">
        <v>45727</v>
      </c>
      <c r="AB35" t="s">
        <v>965</v>
      </c>
    </row>
    <row r="36" spans="1:28">
      <c r="A36">
        <v>4</v>
      </c>
      <c r="B36" t="s">
        <v>731</v>
      </c>
      <c r="C36">
        <v>45723</v>
      </c>
      <c r="D36">
        <v>45736</v>
      </c>
      <c r="E36" t="s">
        <v>94</v>
      </c>
      <c r="F36" t="s">
        <v>743</v>
      </c>
      <c r="G36" t="s">
        <v>966</v>
      </c>
      <c r="H36" t="s">
        <v>967</v>
      </c>
      <c r="I36" t="s">
        <v>13</v>
      </c>
      <c r="J36">
        <v>2</v>
      </c>
      <c r="K36">
        <v>2</v>
      </c>
      <c r="L36">
        <v>14.25</v>
      </c>
      <c r="M36" t="s">
        <v>743</v>
      </c>
      <c r="N36" t="s">
        <v>738</v>
      </c>
      <c r="P36" t="s">
        <v>275</v>
      </c>
      <c r="R36" t="s">
        <v>968</v>
      </c>
      <c r="S36">
        <v>45723</v>
      </c>
      <c r="T36">
        <v>45726</v>
      </c>
      <c r="U36" t="s">
        <v>275</v>
      </c>
      <c r="W36" t="s">
        <v>741</v>
      </c>
      <c r="X36">
        <v>45727</v>
      </c>
      <c r="AB36" t="s">
        <v>969</v>
      </c>
    </row>
    <row r="37" spans="1:28">
      <c r="A37">
        <v>5</v>
      </c>
      <c r="B37" t="s">
        <v>731</v>
      </c>
      <c r="C37">
        <v>45723</v>
      </c>
      <c r="D37">
        <v>45736</v>
      </c>
      <c r="E37" t="s">
        <v>94</v>
      </c>
      <c r="F37" t="s">
        <v>275</v>
      </c>
      <c r="G37" t="s">
        <v>970</v>
      </c>
      <c r="H37" t="s">
        <v>971</v>
      </c>
      <c r="I37" t="s">
        <v>13</v>
      </c>
      <c r="J37">
        <v>2</v>
      </c>
      <c r="K37">
        <v>2</v>
      </c>
      <c r="L37">
        <v>2.25</v>
      </c>
      <c r="R37" t="s">
        <v>972</v>
      </c>
      <c r="S37">
        <v>45723</v>
      </c>
      <c r="T37">
        <v>45724</v>
      </c>
      <c r="U37" t="s">
        <v>275</v>
      </c>
      <c r="W37" s="43" t="s">
        <v>960</v>
      </c>
      <c r="X37">
        <v>45724</v>
      </c>
    </row>
    <row r="38" spans="1:28">
      <c r="A38">
        <v>6</v>
      </c>
      <c r="B38" t="s">
        <v>731</v>
      </c>
      <c r="C38">
        <v>45723</v>
      </c>
      <c r="D38">
        <v>45736</v>
      </c>
      <c r="E38" t="s">
        <v>94</v>
      </c>
      <c r="F38" t="s">
        <v>743</v>
      </c>
      <c r="G38" t="s">
        <v>973</v>
      </c>
      <c r="H38" t="s">
        <v>974</v>
      </c>
      <c r="I38" t="s">
        <v>13</v>
      </c>
      <c r="J38">
        <v>2</v>
      </c>
      <c r="K38">
        <v>2</v>
      </c>
      <c r="L38">
        <v>33.75</v>
      </c>
      <c r="M38" t="s">
        <v>743</v>
      </c>
      <c r="N38" t="s">
        <v>275</v>
      </c>
      <c r="P38" t="s">
        <v>738</v>
      </c>
      <c r="R38" t="s">
        <v>975</v>
      </c>
      <c r="S38">
        <v>45730</v>
      </c>
      <c r="T38">
        <v>45730</v>
      </c>
      <c r="U38" t="s">
        <v>275</v>
      </c>
      <c r="W38" s="43" t="s">
        <v>960</v>
      </c>
      <c r="X38">
        <v>45730</v>
      </c>
      <c r="AB38" t="s">
        <v>976</v>
      </c>
    </row>
    <row r="39" spans="1:28">
      <c r="A39">
        <v>7</v>
      </c>
      <c r="B39" t="s">
        <v>731</v>
      </c>
      <c r="C39">
        <v>45723</v>
      </c>
      <c r="D39">
        <v>45736</v>
      </c>
      <c r="E39" t="s">
        <v>94</v>
      </c>
      <c r="F39" t="s">
        <v>275</v>
      </c>
      <c r="G39" t="s">
        <v>977</v>
      </c>
      <c r="H39" t="s">
        <v>978</v>
      </c>
      <c r="I39" t="s">
        <v>13</v>
      </c>
      <c r="J39">
        <v>2</v>
      </c>
      <c r="K39">
        <v>2</v>
      </c>
      <c r="L39">
        <v>11.75</v>
      </c>
      <c r="M39" t="s">
        <v>275</v>
      </c>
      <c r="N39" t="s">
        <v>743</v>
      </c>
      <c r="P39" t="s">
        <v>743</v>
      </c>
      <c r="R39" t="s">
        <v>979</v>
      </c>
      <c r="S39">
        <v>45729</v>
      </c>
      <c r="T39">
        <v>45730</v>
      </c>
      <c r="U39" t="s">
        <v>275</v>
      </c>
      <c r="W39" s="43" t="s">
        <v>960</v>
      </c>
      <c r="X39">
        <v>45730</v>
      </c>
      <c r="AB39" t="s">
        <v>976</v>
      </c>
    </row>
    <row r="40" spans="1:28">
      <c r="A40">
        <v>8</v>
      </c>
      <c r="B40" t="s">
        <v>731</v>
      </c>
      <c r="C40">
        <v>45723</v>
      </c>
      <c r="D40">
        <v>45736</v>
      </c>
      <c r="E40" t="s">
        <v>980</v>
      </c>
      <c r="F40" t="s">
        <v>981</v>
      </c>
      <c r="G40" t="s">
        <v>982</v>
      </c>
      <c r="H40" t="s">
        <v>983</v>
      </c>
      <c r="I40" t="s">
        <v>984</v>
      </c>
      <c r="J40">
        <v>5</v>
      </c>
      <c r="K40">
        <v>5</v>
      </c>
      <c r="L40">
        <v>72</v>
      </c>
      <c r="M40" t="s">
        <v>985</v>
      </c>
      <c r="N40" t="s">
        <v>739</v>
      </c>
      <c r="O40" t="s">
        <v>907</v>
      </c>
      <c r="P40" t="s">
        <v>743</v>
      </c>
      <c r="R40" t="s">
        <v>986</v>
      </c>
      <c r="S40">
        <v>45734</v>
      </c>
      <c r="T40">
        <v>45735</v>
      </c>
      <c r="U40" t="s">
        <v>275</v>
      </c>
      <c r="W40" t="s">
        <v>741</v>
      </c>
      <c r="X40">
        <v>45735</v>
      </c>
      <c r="AB40" t="s">
        <v>987</v>
      </c>
    </row>
    <row r="41" spans="1:28">
      <c r="A41">
        <v>9</v>
      </c>
      <c r="B41" t="s">
        <v>731</v>
      </c>
      <c r="C41">
        <v>45723</v>
      </c>
      <c r="D41">
        <v>45736</v>
      </c>
      <c r="E41" t="s">
        <v>980</v>
      </c>
      <c r="F41" t="s">
        <v>988</v>
      </c>
      <c r="G41" t="s">
        <v>989</v>
      </c>
      <c r="H41" t="s">
        <v>983</v>
      </c>
      <c r="I41" t="s">
        <v>984</v>
      </c>
      <c r="J41">
        <v>2</v>
      </c>
      <c r="K41">
        <v>2</v>
      </c>
      <c r="L41">
        <v>11.5</v>
      </c>
      <c r="M41" t="s">
        <v>963</v>
      </c>
      <c r="N41" t="s">
        <v>739</v>
      </c>
      <c r="P41" t="s">
        <v>743</v>
      </c>
      <c r="R41" t="s">
        <v>990</v>
      </c>
      <c r="S41">
        <v>45734</v>
      </c>
      <c r="T41">
        <v>45735</v>
      </c>
      <c r="U41" t="s">
        <v>275</v>
      </c>
      <c r="W41" t="s">
        <v>741</v>
      </c>
      <c r="X41">
        <v>45735</v>
      </c>
      <c r="AB41" t="s">
        <v>991</v>
      </c>
    </row>
    <row r="42" spans="1:28">
      <c r="A42">
        <v>10</v>
      </c>
      <c r="B42" t="s">
        <v>731</v>
      </c>
      <c r="C42">
        <v>45723</v>
      </c>
      <c r="D42">
        <v>45736</v>
      </c>
      <c r="E42" t="s">
        <v>980</v>
      </c>
      <c r="F42" t="s">
        <v>275</v>
      </c>
      <c r="G42" t="s">
        <v>922</v>
      </c>
      <c r="H42" t="s">
        <v>992</v>
      </c>
      <c r="I42" t="s">
        <v>263</v>
      </c>
      <c r="J42">
        <v>3</v>
      </c>
      <c r="L42">
        <v>14.5</v>
      </c>
    </row>
    <row r="43" spans="1:28">
      <c r="A43">
        <v>11</v>
      </c>
      <c r="B43" t="s">
        <v>731</v>
      </c>
      <c r="C43">
        <v>45723</v>
      </c>
      <c r="D43">
        <v>45736</v>
      </c>
      <c r="E43" t="s">
        <v>94</v>
      </c>
      <c r="F43" t="s">
        <v>807</v>
      </c>
      <c r="G43" t="s">
        <v>993</v>
      </c>
      <c r="H43" t="s">
        <v>994</v>
      </c>
      <c r="I43" t="s">
        <v>13</v>
      </c>
      <c r="J43">
        <v>1</v>
      </c>
      <c r="K43">
        <v>1</v>
      </c>
      <c r="L43">
        <v>22</v>
      </c>
      <c r="AB43" t="s">
        <v>995</v>
      </c>
    </row>
    <row r="44" spans="1:28">
      <c r="A44">
        <v>12</v>
      </c>
      <c r="B44" t="s">
        <v>731</v>
      </c>
      <c r="C44">
        <v>45723</v>
      </c>
      <c r="D44">
        <v>45736</v>
      </c>
      <c r="E44" t="s">
        <v>94</v>
      </c>
      <c r="F44" t="s">
        <v>996</v>
      </c>
      <c r="G44" t="s">
        <v>997</v>
      </c>
      <c r="H44" t="s">
        <v>998</v>
      </c>
      <c r="I44" t="s">
        <v>13</v>
      </c>
      <c r="J44">
        <v>1</v>
      </c>
      <c r="K44">
        <v>1</v>
      </c>
      <c r="L44">
        <v>18</v>
      </c>
      <c r="AB44" t="s">
        <v>885</v>
      </c>
    </row>
    <row r="45" spans="1:28">
      <c r="A45">
        <v>13</v>
      </c>
      <c r="B45" t="s">
        <v>731</v>
      </c>
      <c r="C45">
        <v>45723</v>
      </c>
      <c r="D45">
        <v>45736</v>
      </c>
      <c r="E45" t="s">
        <v>94</v>
      </c>
      <c r="F45" t="s">
        <v>999</v>
      </c>
      <c r="G45" t="s">
        <v>1000</v>
      </c>
      <c r="H45" t="s">
        <v>1001</v>
      </c>
      <c r="I45" t="s">
        <v>13</v>
      </c>
      <c r="J45">
        <v>1</v>
      </c>
      <c r="K45">
        <v>1</v>
      </c>
      <c r="L45">
        <v>2</v>
      </c>
      <c r="AB45" t="s">
        <v>885</v>
      </c>
    </row>
    <row r="46" spans="1:28">
      <c r="A46">
        <v>1</v>
      </c>
      <c r="B46" t="s">
        <v>731</v>
      </c>
      <c r="C46">
        <v>45736</v>
      </c>
      <c r="D46">
        <v>45750</v>
      </c>
      <c r="E46" t="s">
        <v>98</v>
      </c>
      <c r="F46" t="s">
        <v>275</v>
      </c>
      <c r="G46" t="s">
        <v>899</v>
      </c>
      <c r="H46" t="s">
        <v>900</v>
      </c>
      <c r="I46" t="s">
        <v>13</v>
      </c>
      <c r="J46">
        <v>2</v>
      </c>
      <c r="K46">
        <v>2</v>
      </c>
      <c r="L46">
        <v>22.5</v>
      </c>
      <c r="M46" t="s">
        <v>275</v>
      </c>
      <c r="N46" t="s">
        <v>901</v>
      </c>
      <c r="O46" t="s">
        <v>93</v>
      </c>
      <c r="R46" t="s">
        <v>902</v>
      </c>
      <c r="S46">
        <v>45740</v>
      </c>
      <c r="T46">
        <v>45740</v>
      </c>
      <c r="U46" t="s">
        <v>275</v>
      </c>
      <c r="W46" t="s">
        <v>825</v>
      </c>
      <c r="X46">
        <v>45740</v>
      </c>
      <c r="AB46" s="43" t="s">
        <v>903</v>
      </c>
    </row>
    <row r="47" spans="1:28">
      <c r="A47">
        <v>2</v>
      </c>
      <c r="B47" t="s">
        <v>731</v>
      </c>
      <c r="C47">
        <v>45736</v>
      </c>
      <c r="D47">
        <v>45750</v>
      </c>
      <c r="E47" t="s">
        <v>904</v>
      </c>
      <c r="F47" t="s">
        <v>275</v>
      </c>
      <c r="G47" t="s">
        <v>905</v>
      </c>
      <c r="H47" t="s">
        <v>906</v>
      </c>
      <c r="I47" t="s">
        <v>13</v>
      </c>
      <c r="J47">
        <v>1</v>
      </c>
      <c r="K47">
        <v>1</v>
      </c>
      <c r="L47">
        <v>9</v>
      </c>
      <c r="O47" t="s">
        <v>907</v>
      </c>
      <c r="AB47" t="s">
        <v>908</v>
      </c>
    </row>
    <row r="48" spans="1:28">
      <c r="A48">
        <v>3</v>
      </c>
      <c r="B48" t="s">
        <v>731</v>
      </c>
      <c r="C48">
        <v>45736</v>
      </c>
      <c r="D48">
        <v>45750</v>
      </c>
      <c r="E48" t="s">
        <v>904</v>
      </c>
      <c r="F48" t="s">
        <v>275</v>
      </c>
      <c r="G48" t="s">
        <v>909</v>
      </c>
      <c r="H48" t="s">
        <v>910</v>
      </c>
      <c r="I48" t="s">
        <v>13</v>
      </c>
      <c r="J48">
        <v>1</v>
      </c>
      <c r="K48">
        <v>1</v>
      </c>
      <c r="L48">
        <v>2</v>
      </c>
      <c r="O48" t="s">
        <v>907</v>
      </c>
      <c r="AB48" t="s">
        <v>911</v>
      </c>
    </row>
    <row r="49" spans="1:28">
      <c r="A49">
        <v>4</v>
      </c>
      <c r="B49" t="s">
        <v>731</v>
      </c>
      <c r="C49">
        <v>45736</v>
      </c>
      <c r="D49">
        <v>45750</v>
      </c>
      <c r="E49" t="s">
        <v>98</v>
      </c>
      <c r="F49" t="s">
        <v>738</v>
      </c>
      <c r="G49" t="s">
        <v>912</v>
      </c>
      <c r="H49" t="s">
        <v>913</v>
      </c>
      <c r="I49" t="s">
        <v>13</v>
      </c>
      <c r="J49">
        <v>2</v>
      </c>
      <c r="K49">
        <v>2</v>
      </c>
      <c r="L49">
        <v>13</v>
      </c>
      <c r="M49" t="s">
        <v>746</v>
      </c>
      <c r="N49" t="s">
        <v>275</v>
      </c>
      <c r="R49" t="s">
        <v>914</v>
      </c>
      <c r="S49">
        <v>45737</v>
      </c>
      <c r="T49">
        <v>45737</v>
      </c>
      <c r="U49" t="s">
        <v>275</v>
      </c>
      <c r="W49" t="s">
        <v>915</v>
      </c>
      <c r="X49">
        <v>45738</v>
      </c>
      <c r="AB49" t="s">
        <v>916</v>
      </c>
    </row>
    <row r="50" spans="1:28">
      <c r="A50">
        <v>5</v>
      </c>
      <c r="B50" t="s">
        <v>731</v>
      </c>
      <c r="C50">
        <v>45736</v>
      </c>
      <c r="D50">
        <v>45750</v>
      </c>
      <c r="E50" t="s">
        <v>98</v>
      </c>
      <c r="F50" t="s">
        <v>738</v>
      </c>
      <c r="G50" t="s">
        <v>917</v>
      </c>
      <c r="H50" t="s">
        <v>918</v>
      </c>
      <c r="I50" t="s">
        <v>13</v>
      </c>
      <c r="J50">
        <v>3</v>
      </c>
      <c r="K50">
        <v>3</v>
      </c>
      <c r="L50">
        <v>71</v>
      </c>
      <c r="M50" t="s">
        <v>746</v>
      </c>
      <c r="N50" t="s">
        <v>829</v>
      </c>
      <c r="O50" t="s">
        <v>907</v>
      </c>
      <c r="R50" t="s">
        <v>919</v>
      </c>
      <c r="S50">
        <v>45743</v>
      </c>
      <c r="T50">
        <v>45744</v>
      </c>
      <c r="U50" t="s">
        <v>275</v>
      </c>
      <c r="W50" t="s">
        <v>920</v>
      </c>
      <c r="X50">
        <v>45744</v>
      </c>
      <c r="AB50" t="s">
        <v>921</v>
      </c>
    </row>
    <row r="51" spans="1:28">
      <c r="A51">
        <v>6</v>
      </c>
      <c r="B51" t="s">
        <v>731</v>
      </c>
      <c r="C51">
        <v>45736</v>
      </c>
      <c r="D51">
        <v>45750</v>
      </c>
      <c r="E51" t="s">
        <v>98</v>
      </c>
      <c r="F51" t="s">
        <v>743</v>
      </c>
      <c r="G51" t="s">
        <v>922</v>
      </c>
      <c r="H51" t="s">
        <v>923</v>
      </c>
      <c r="I51" t="s">
        <v>13</v>
      </c>
      <c r="J51">
        <v>2</v>
      </c>
      <c r="K51">
        <v>2</v>
      </c>
      <c r="L51">
        <v>32</v>
      </c>
      <c r="M51" t="s">
        <v>743</v>
      </c>
      <c r="N51" t="s">
        <v>746</v>
      </c>
      <c r="R51" t="s">
        <v>924</v>
      </c>
      <c r="S51">
        <v>45740</v>
      </c>
      <c r="T51">
        <v>45741</v>
      </c>
      <c r="U51" t="s">
        <v>275</v>
      </c>
      <c r="W51" t="s">
        <v>825</v>
      </c>
      <c r="X51">
        <v>45741</v>
      </c>
      <c r="AB51" t="s">
        <v>925</v>
      </c>
    </row>
    <row r="52" spans="1:28">
      <c r="A52">
        <v>7</v>
      </c>
      <c r="B52" t="s">
        <v>731</v>
      </c>
      <c r="C52">
        <v>45736</v>
      </c>
      <c r="D52">
        <v>45750</v>
      </c>
      <c r="E52" t="s">
        <v>98</v>
      </c>
      <c r="F52" t="s">
        <v>743</v>
      </c>
      <c r="G52" t="s">
        <v>865</v>
      </c>
      <c r="H52" t="s">
        <v>866</v>
      </c>
      <c r="I52" t="s">
        <v>263</v>
      </c>
      <c r="J52">
        <v>3</v>
      </c>
      <c r="K52">
        <v>5</v>
      </c>
      <c r="L52">
        <v>97</v>
      </c>
      <c r="AB52" t="s">
        <v>926</v>
      </c>
    </row>
    <row r="53" spans="1:28">
      <c r="A53">
        <v>8</v>
      </c>
      <c r="B53" t="s">
        <v>731</v>
      </c>
      <c r="C53">
        <v>45736</v>
      </c>
      <c r="D53">
        <v>45750</v>
      </c>
      <c r="E53" t="s">
        <v>98</v>
      </c>
      <c r="F53" t="s">
        <v>807</v>
      </c>
      <c r="G53" t="s">
        <v>927</v>
      </c>
      <c r="H53" t="s">
        <v>928</v>
      </c>
      <c r="I53" t="s">
        <v>13</v>
      </c>
      <c r="J53">
        <v>1</v>
      </c>
      <c r="K53">
        <v>1</v>
      </c>
      <c r="L53">
        <v>8</v>
      </c>
      <c r="M53" t="s">
        <v>93</v>
      </c>
      <c r="N53" t="s">
        <v>93</v>
      </c>
      <c r="O53" t="s">
        <v>93</v>
      </c>
      <c r="P53" t="s">
        <v>93</v>
      </c>
      <c r="Q53" t="s">
        <v>93</v>
      </c>
      <c r="R53" t="s">
        <v>93</v>
      </c>
      <c r="S53" t="s">
        <v>93</v>
      </c>
      <c r="T53" t="s">
        <v>93</v>
      </c>
      <c r="U53" t="s">
        <v>93</v>
      </c>
      <c r="V53" t="s">
        <v>93</v>
      </c>
      <c r="W53" t="s">
        <v>93</v>
      </c>
      <c r="X53" t="s">
        <v>93</v>
      </c>
      <c r="Y53" t="s">
        <v>93</v>
      </c>
      <c r="Z53" t="s">
        <v>93</v>
      </c>
      <c r="AA53" t="s">
        <v>93</v>
      </c>
      <c r="AB53" t="s">
        <v>916</v>
      </c>
    </row>
    <row r="54" spans="1:28">
      <c r="A54">
        <v>9</v>
      </c>
      <c r="B54" t="s">
        <v>731</v>
      </c>
      <c r="C54">
        <v>45736</v>
      </c>
      <c r="D54">
        <v>45750</v>
      </c>
      <c r="E54" t="s">
        <v>904</v>
      </c>
      <c r="F54" t="s">
        <v>807</v>
      </c>
      <c r="G54" t="s">
        <v>929</v>
      </c>
      <c r="H54" t="s">
        <v>930</v>
      </c>
      <c r="I54" t="s">
        <v>13</v>
      </c>
      <c r="J54">
        <v>1</v>
      </c>
      <c r="K54">
        <v>1</v>
      </c>
      <c r="L54">
        <v>1</v>
      </c>
      <c r="M54" t="s">
        <v>93</v>
      </c>
      <c r="N54" t="s">
        <v>93</v>
      </c>
      <c r="O54" t="s">
        <v>93</v>
      </c>
      <c r="P54" t="s">
        <v>93</v>
      </c>
      <c r="Q54" t="s">
        <v>93</v>
      </c>
      <c r="R54" t="s">
        <v>93</v>
      </c>
      <c r="S54" t="s">
        <v>93</v>
      </c>
      <c r="T54" t="s">
        <v>93</v>
      </c>
      <c r="U54" t="s">
        <v>93</v>
      </c>
      <c r="V54" t="s">
        <v>93</v>
      </c>
      <c r="W54" t="s">
        <v>93</v>
      </c>
      <c r="X54" t="s">
        <v>93</v>
      </c>
      <c r="Y54" t="s">
        <v>93</v>
      </c>
      <c r="Z54" t="s">
        <v>93</v>
      </c>
      <c r="AA54" t="s">
        <v>93</v>
      </c>
      <c r="AB54" t="s">
        <v>925</v>
      </c>
    </row>
    <row r="55" spans="1:28">
      <c r="A55">
        <v>10</v>
      </c>
      <c r="B55" t="s">
        <v>731</v>
      </c>
      <c r="C55">
        <v>45736</v>
      </c>
      <c r="D55">
        <v>45750</v>
      </c>
      <c r="E55" t="s">
        <v>904</v>
      </c>
      <c r="F55" t="s">
        <v>807</v>
      </c>
      <c r="G55" t="s">
        <v>931</v>
      </c>
      <c r="H55" t="s">
        <v>932</v>
      </c>
      <c r="I55" t="s">
        <v>13</v>
      </c>
      <c r="J55">
        <v>1</v>
      </c>
      <c r="K55">
        <v>1</v>
      </c>
      <c r="L55">
        <v>2</v>
      </c>
      <c r="M55" t="s">
        <v>93</v>
      </c>
      <c r="N55" t="s">
        <v>93</v>
      </c>
      <c r="O55" t="s">
        <v>93</v>
      </c>
      <c r="P55" t="s">
        <v>93</v>
      </c>
      <c r="Q55" t="s">
        <v>93</v>
      </c>
      <c r="R55" t="s">
        <v>93</v>
      </c>
      <c r="S55" t="s">
        <v>93</v>
      </c>
      <c r="T55" t="s">
        <v>93</v>
      </c>
      <c r="U55" t="s">
        <v>93</v>
      </c>
      <c r="V55" t="s">
        <v>93</v>
      </c>
      <c r="W55" t="s">
        <v>93</v>
      </c>
      <c r="X55" t="s">
        <v>93</v>
      </c>
      <c r="Y55" t="s">
        <v>93</v>
      </c>
      <c r="Z55" t="s">
        <v>93</v>
      </c>
      <c r="AA55" t="s">
        <v>93</v>
      </c>
      <c r="AB55" t="s">
        <v>885</v>
      </c>
    </row>
    <row r="56" spans="1:28">
      <c r="A56">
        <v>11</v>
      </c>
      <c r="B56" t="s">
        <v>731</v>
      </c>
      <c r="C56">
        <v>45736</v>
      </c>
      <c r="D56">
        <v>45750</v>
      </c>
      <c r="E56" t="s">
        <v>904</v>
      </c>
      <c r="F56" t="s">
        <v>807</v>
      </c>
      <c r="G56" t="s">
        <v>933</v>
      </c>
      <c r="H56" t="s">
        <v>932</v>
      </c>
      <c r="I56" t="s">
        <v>13</v>
      </c>
      <c r="J56">
        <v>1</v>
      </c>
      <c r="K56">
        <v>1</v>
      </c>
      <c r="L56">
        <v>2</v>
      </c>
      <c r="M56" t="s">
        <v>93</v>
      </c>
      <c r="N56" t="s">
        <v>93</v>
      </c>
      <c r="O56" t="s">
        <v>93</v>
      </c>
      <c r="P56" t="s">
        <v>93</v>
      </c>
      <c r="Q56" t="s">
        <v>93</v>
      </c>
      <c r="R56" t="s">
        <v>93</v>
      </c>
      <c r="S56" t="s">
        <v>93</v>
      </c>
      <c r="T56" t="s">
        <v>93</v>
      </c>
      <c r="U56" t="s">
        <v>93</v>
      </c>
      <c r="V56" t="s">
        <v>93</v>
      </c>
      <c r="W56" t="s">
        <v>93</v>
      </c>
      <c r="X56" t="s">
        <v>93</v>
      </c>
      <c r="Y56" t="s">
        <v>93</v>
      </c>
      <c r="Z56" t="s">
        <v>93</v>
      </c>
      <c r="AA56" t="s">
        <v>93</v>
      </c>
      <c r="AB56" t="s">
        <v>885</v>
      </c>
    </row>
    <row r="57" spans="1:28">
      <c r="A57">
        <v>12</v>
      </c>
      <c r="B57" t="s">
        <v>731</v>
      </c>
      <c r="C57">
        <v>45736</v>
      </c>
      <c r="D57">
        <v>45750</v>
      </c>
      <c r="E57" t="s">
        <v>904</v>
      </c>
      <c r="F57" t="s">
        <v>807</v>
      </c>
      <c r="G57" t="s">
        <v>934</v>
      </c>
      <c r="H57" t="s">
        <v>935</v>
      </c>
      <c r="I57" t="s">
        <v>13</v>
      </c>
      <c r="J57">
        <v>1</v>
      </c>
      <c r="K57">
        <v>1</v>
      </c>
      <c r="L57">
        <v>1</v>
      </c>
      <c r="M57" t="s">
        <v>93</v>
      </c>
      <c r="N57" t="s">
        <v>93</v>
      </c>
      <c r="O57" t="s">
        <v>93</v>
      </c>
      <c r="P57" t="s">
        <v>93</v>
      </c>
      <c r="Q57" t="s">
        <v>93</v>
      </c>
      <c r="R57" t="s">
        <v>93</v>
      </c>
      <c r="S57" t="s">
        <v>93</v>
      </c>
      <c r="T57" t="s">
        <v>93</v>
      </c>
      <c r="U57" t="s">
        <v>93</v>
      </c>
      <c r="V57" t="s">
        <v>93</v>
      </c>
      <c r="W57" t="s">
        <v>93</v>
      </c>
      <c r="X57" t="s">
        <v>93</v>
      </c>
      <c r="Y57" t="s">
        <v>93</v>
      </c>
      <c r="Z57" t="s">
        <v>93</v>
      </c>
      <c r="AA57" t="s">
        <v>93</v>
      </c>
      <c r="AB57" t="s">
        <v>916</v>
      </c>
    </row>
    <row r="58" spans="1:28">
      <c r="A58">
        <v>13</v>
      </c>
      <c r="B58" t="s">
        <v>731</v>
      </c>
      <c r="C58">
        <v>45736</v>
      </c>
      <c r="D58">
        <v>45750</v>
      </c>
      <c r="E58" t="s">
        <v>904</v>
      </c>
      <c r="F58" t="s">
        <v>807</v>
      </c>
      <c r="G58" t="s">
        <v>883</v>
      </c>
      <c r="H58" t="s">
        <v>884</v>
      </c>
      <c r="I58" t="s">
        <v>936</v>
      </c>
      <c r="J58">
        <v>1</v>
      </c>
      <c r="K58">
        <v>1</v>
      </c>
      <c r="L58">
        <v>7</v>
      </c>
      <c r="M58" t="s">
        <v>93</v>
      </c>
      <c r="N58" t="s">
        <v>93</v>
      </c>
      <c r="O58" t="s">
        <v>93</v>
      </c>
      <c r="P58" t="s">
        <v>93</v>
      </c>
      <c r="Q58" t="s">
        <v>93</v>
      </c>
      <c r="R58" t="s">
        <v>93</v>
      </c>
      <c r="S58" t="s">
        <v>93</v>
      </c>
      <c r="T58" t="s">
        <v>93</v>
      </c>
      <c r="U58" t="s">
        <v>93</v>
      </c>
      <c r="V58" t="s">
        <v>93</v>
      </c>
      <c r="W58" t="s">
        <v>93</v>
      </c>
      <c r="X58" t="s">
        <v>93</v>
      </c>
      <c r="Y58" t="s">
        <v>93</v>
      </c>
      <c r="Z58" t="s">
        <v>93</v>
      </c>
      <c r="AA58" t="s">
        <v>93</v>
      </c>
      <c r="AB58" t="s">
        <v>937</v>
      </c>
    </row>
    <row r="59" spans="1:28">
      <c r="A59">
        <v>14</v>
      </c>
      <c r="B59" t="s">
        <v>731</v>
      </c>
      <c r="C59">
        <v>45736</v>
      </c>
      <c r="D59">
        <v>45750</v>
      </c>
      <c r="E59" t="s">
        <v>904</v>
      </c>
      <c r="F59" t="s">
        <v>938</v>
      </c>
      <c r="G59" t="s">
        <v>939</v>
      </c>
      <c r="H59" t="s">
        <v>940</v>
      </c>
      <c r="I59" t="s">
        <v>13</v>
      </c>
      <c r="J59">
        <v>2</v>
      </c>
      <c r="K59">
        <v>2</v>
      </c>
      <c r="L59">
        <v>1</v>
      </c>
      <c r="R59" t="s">
        <v>941</v>
      </c>
      <c r="S59">
        <v>45748</v>
      </c>
      <c r="T59">
        <v>45748</v>
      </c>
      <c r="U59" t="s">
        <v>275</v>
      </c>
      <c r="V59" t="s">
        <v>93</v>
      </c>
      <c r="W59" t="s">
        <v>942</v>
      </c>
    </row>
    <row r="60" spans="1:28">
      <c r="A60">
        <v>1</v>
      </c>
      <c r="B60" t="s">
        <v>731</v>
      </c>
      <c r="C60">
        <v>45750</v>
      </c>
      <c r="D60">
        <v>45764</v>
      </c>
      <c r="E60" t="s">
        <v>103</v>
      </c>
      <c r="F60" t="s">
        <v>738</v>
      </c>
      <c r="G60" t="s">
        <v>865</v>
      </c>
      <c r="H60" t="s">
        <v>866</v>
      </c>
      <c r="I60" t="s">
        <v>13</v>
      </c>
      <c r="J60">
        <v>3</v>
      </c>
      <c r="K60">
        <v>3</v>
      </c>
      <c r="L60">
        <v>42</v>
      </c>
      <c r="M60" t="s">
        <v>738</v>
      </c>
      <c r="N60" t="s">
        <v>739</v>
      </c>
      <c r="O60" t="s">
        <v>867</v>
      </c>
      <c r="R60" t="s">
        <v>868</v>
      </c>
      <c r="S60">
        <v>45754</v>
      </c>
      <c r="T60">
        <v>45755</v>
      </c>
      <c r="U60" t="s">
        <v>275</v>
      </c>
      <c r="W60" t="s">
        <v>869</v>
      </c>
      <c r="X60">
        <v>45755</v>
      </c>
    </row>
    <row r="61" spans="1:28">
      <c r="A61">
        <v>2</v>
      </c>
      <c r="B61" t="s">
        <v>731</v>
      </c>
      <c r="C61">
        <v>45750</v>
      </c>
      <c r="D61">
        <v>45764</v>
      </c>
      <c r="E61" t="s">
        <v>103</v>
      </c>
      <c r="F61" t="s">
        <v>275</v>
      </c>
      <c r="G61" t="s">
        <v>870</v>
      </c>
      <c r="H61" t="s">
        <v>871</v>
      </c>
      <c r="I61" t="s">
        <v>13</v>
      </c>
      <c r="J61">
        <v>3</v>
      </c>
      <c r="K61">
        <v>3</v>
      </c>
      <c r="L61">
        <v>53</v>
      </c>
      <c r="M61" t="s">
        <v>275</v>
      </c>
      <c r="N61" t="s">
        <v>739</v>
      </c>
      <c r="O61" t="s">
        <v>867</v>
      </c>
    </row>
    <row r="62" spans="1:28">
      <c r="A62">
        <v>3</v>
      </c>
      <c r="B62" t="s">
        <v>731</v>
      </c>
      <c r="C62">
        <v>45750</v>
      </c>
      <c r="D62">
        <v>45764</v>
      </c>
      <c r="E62" t="s">
        <v>103</v>
      </c>
      <c r="F62" t="s">
        <v>738</v>
      </c>
      <c r="G62" t="s">
        <v>872</v>
      </c>
      <c r="H62" t="s">
        <v>873</v>
      </c>
      <c r="I62" t="s">
        <v>13</v>
      </c>
      <c r="J62">
        <v>5</v>
      </c>
      <c r="K62">
        <v>5</v>
      </c>
      <c r="L62">
        <v>83</v>
      </c>
      <c r="M62" t="s">
        <v>874</v>
      </c>
      <c r="N62" t="s">
        <v>739</v>
      </c>
      <c r="O62" t="s">
        <v>867</v>
      </c>
      <c r="R62" t="s">
        <v>875</v>
      </c>
      <c r="S62">
        <v>45761</v>
      </c>
      <c r="T62">
        <v>45762</v>
      </c>
      <c r="U62" t="s">
        <v>275</v>
      </c>
      <c r="W62" t="s">
        <v>869</v>
      </c>
      <c r="X62">
        <v>45762</v>
      </c>
    </row>
    <row r="63" spans="1:28">
      <c r="A63">
        <v>4</v>
      </c>
      <c r="B63" t="s">
        <v>731</v>
      </c>
      <c r="C63">
        <v>45750</v>
      </c>
      <c r="D63">
        <v>45764</v>
      </c>
      <c r="E63" t="s">
        <v>876</v>
      </c>
      <c r="F63" t="s">
        <v>877</v>
      </c>
      <c r="G63" t="s">
        <v>878</v>
      </c>
      <c r="H63" t="s">
        <v>879</v>
      </c>
      <c r="I63" t="s">
        <v>13</v>
      </c>
      <c r="J63">
        <v>3</v>
      </c>
      <c r="K63">
        <v>3</v>
      </c>
      <c r="L63">
        <v>13.5</v>
      </c>
      <c r="M63" t="s">
        <v>738</v>
      </c>
      <c r="N63" t="s">
        <v>739</v>
      </c>
      <c r="O63" t="s">
        <v>867</v>
      </c>
      <c r="R63" t="s">
        <v>880</v>
      </c>
      <c r="S63">
        <v>45763</v>
      </c>
      <c r="T63">
        <v>45763</v>
      </c>
      <c r="U63" t="s">
        <v>275</v>
      </c>
      <c r="W63" t="s">
        <v>881</v>
      </c>
      <c r="X63">
        <v>45763</v>
      </c>
    </row>
    <row r="64" spans="1:28">
      <c r="A64">
        <v>5</v>
      </c>
      <c r="B64" t="s">
        <v>731</v>
      </c>
      <c r="C64">
        <v>45750</v>
      </c>
      <c r="D64">
        <v>45764</v>
      </c>
      <c r="E64" t="s">
        <v>876</v>
      </c>
      <c r="F64" t="s">
        <v>882</v>
      </c>
      <c r="G64" t="s">
        <v>883</v>
      </c>
      <c r="H64" t="s">
        <v>884</v>
      </c>
      <c r="I64" t="s">
        <v>13</v>
      </c>
      <c r="J64">
        <v>1</v>
      </c>
      <c r="K64">
        <v>1</v>
      </c>
      <c r="L64">
        <v>13.25</v>
      </c>
      <c r="M64" t="s">
        <v>93</v>
      </c>
      <c r="N64" t="s">
        <v>93</v>
      </c>
      <c r="O64" t="s">
        <v>93</v>
      </c>
      <c r="P64" t="s">
        <v>93</v>
      </c>
      <c r="Q64" t="s">
        <v>93</v>
      </c>
      <c r="R64" t="s">
        <v>93</v>
      </c>
      <c r="S64" t="s">
        <v>93</v>
      </c>
      <c r="T64" t="s">
        <v>93</v>
      </c>
      <c r="U64" t="s">
        <v>93</v>
      </c>
      <c r="V64" t="s">
        <v>93</v>
      </c>
      <c r="W64" t="s">
        <v>93</v>
      </c>
      <c r="X64" t="s">
        <v>93</v>
      </c>
      <c r="Y64" t="s">
        <v>93</v>
      </c>
      <c r="Z64" t="s">
        <v>93</v>
      </c>
      <c r="AA64" t="s">
        <v>93</v>
      </c>
      <c r="AB64" t="s">
        <v>885</v>
      </c>
    </row>
    <row r="65" spans="1:28">
      <c r="A65">
        <v>6</v>
      </c>
      <c r="B65" t="s">
        <v>731</v>
      </c>
      <c r="C65">
        <v>45750</v>
      </c>
      <c r="D65">
        <v>45764</v>
      </c>
      <c r="E65" t="s">
        <v>103</v>
      </c>
      <c r="F65" t="s">
        <v>807</v>
      </c>
      <c r="G65" t="s">
        <v>886</v>
      </c>
      <c r="H65" t="s">
        <v>887</v>
      </c>
      <c r="I65" t="s">
        <v>13</v>
      </c>
      <c r="J65">
        <v>1</v>
      </c>
      <c r="K65">
        <v>1</v>
      </c>
      <c r="L65">
        <v>3</v>
      </c>
      <c r="M65" t="s">
        <v>93</v>
      </c>
      <c r="N65" t="s">
        <v>93</v>
      </c>
      <c r="O65" t="s">
        <v>93</v>
      </c>
      <c r="P65" t="s">
        <v>93</v>
      </c>
      <c r="Q65" t="s">
        <v>93</v>
      </c>
      <c r="R65" t="s">
        <v>93</v>
      </c>
      <c r="S65" t="s">
        <v>93</v>
      </c>
      <c r="T65" t="s">
        <v>93</v>
      </c>
      <c r="U65" t="s">
        <v>93</v>
      </c>
      <c r="V65" t="s">
        <v>93</v>
      </c>
      <c r="W65" t="s">
        <v>93</v>
      </c>
      <c r="X65" t="s">
        <v>93</v>
      </c>
      <c r="Y65" t="s">
        <v>93</v>
      </c>
      <c r="Z65" t="s">
        <v>93</v>
      </c>
      <c r="AA65" t="s">
        <v>93</v>
      </c>
      <c r="AB65" t="s">
        <v>888</v>
      </c>
    </row>
    <row r="66" spans="1:28">
      <c r="A66">
        <v>7</v>
      </c>
      <c r="B66" t="s">
        <v>731</v>
      </c>
      <c r="C66">
        <v>45750</v>
      </c>
      <c r="D66">
        <v>45764</v>
      </c>
      <c r="E66" t="s">
        <v>103</v>
      </c>
      <c r="F66" t="s">
        <v>882</v>
      </c>
      <c r="G66" t="s">
        <v>889</v>
      </c>
      <c r="H66" t="s">
        <v>890</v>
      </c>
      <c r="I66" t="s">
        <v>13</v>
      </c>
      <c r="J66">
        <v>2</v>
      </c>
      <c r="K66">
        <v>2</v>
      </c>
      <c r="L66">
        <v>17.25</v>
      </c>
      <c r="M66" t="s">
        <v>93</v>
      </c>
      <c r="N66" t="s">
        <v>93</v>
      </c>
      <c r="O66" t="s">
        <v>93</v>
      </c>
      <c r="P66" t="s">
        <v>93</v>
      </c>
      <c r="Q66" t="s">
        <v>93</v>
      </c>
      <c r="R66" t="s">
        <v>93</v>
      </c>
      <c r="S66" t="s">
        <v>93</v>
      </c>
      <c r="T66" t="s">
        <v>93</v>
      </c>
      <c r="U66" t="s">
        <v>93</v>
      </c>
      <c r="V66" t="s">
        <v>93</v>
      </c>
      <c r="W66" t="s">
        <v>93</v>
      </c>
      <c r="X66" t="s">
        <v>93</v>
      </c>
      <c r="Y66" t="s">
        <v>93</v>
      </c>
      <c r="Z66" t="s">
        <v>93</v>
      </c>
      <c r="AA66" t="s">
        <v>93</v>
      </c>
      <c r="AB66" s="43" t="s">
        <v>891</v>
      </c>
    </row>
    <row r="67" spans="1:28">
      <c r="A67">
        <v>8</v>
      </c>
      <c r="B67" t="s">
        <v>731</v>
      </c>
      <c r="C67">
        <v>45750</v>
      </c>
      <c r="D67">
        <v>45764</v>
      </c>
      <c r="E67" t="s">
        <v>103</v>
      </c>
      <c r="F67" t="s">
        <v>743</v>
      </c>
      <c r="G67" t="s">
        <v>815</v>
      </c>
      <c r="H67" t="s">
        <v>816</v>
      </c>
      <c r="I67" t="s">
        <v>416</v>
      </c>
      <c r="J67">
        <v>8</v>
      </c>
      <c r="K67">
        <v>5</v>
      </c>
      <c r="L67">
        <v>90.5</v>
      </c>
      <c r="M67" t="s">
        <v>738</v>
      </c>
      <c r="N67" t="s">
        <v>739</v>
      </c>
      <c r="O67" t="s">
        <v>867</v>
      </c>
      <c r="AB67" s="43" t="s">
        <v>892</v>
      </c>
    </row>
    <row r="68" spans="1:28">
      <c r="A68">
        <v>1</v>
      </c>
      <c r="B68" t="s">
        <v>731</v>
      </c>
      <c r="C68">
        <v>45764</v>
      </c>
      <c r="D68">
        <v>45778</v>
      </c>
      <c r="E68" t="s">
        <v>108</v>
      </c>
      <c r="F68" t="s">
        <v>743</v>
      </c>
      <c r="G68" t="s">
        <v>815</v>
      </c>
      <c r="H68" t="s">
        <v>816</v>
      </c>
      <c r="I68" t="s">
        <v>13</v>
      </c>
      <c r="J68">
        <v>3</v>
      </c>
      <c r="K68">
        <v>3</v>
      </c>
      <c r="L68">
        <v>23.5</v>
      </c>
    </row>
    <row r="69" spans="1:28">
      <c r="A69">
        <v>2</v>
      </c>
      <c r="B69" t="s">
        <v>731</v>
      </c>
      <c r="C69">
        <v>45764</v>
      </c>
      <c r="D69">
        <v>45778</v>
      </c>
      <c r="E69" t="s">
        <v>108</v>
      </c>
      <c r="F69" t="s">
        <v>817</v>
      </c>
      <c r="G69" t="s">
        <v>818</v>
      </c>
      <c r="H69" t="s">
        <v>819</v>
      </c>
      <c r="I69" t="s">
        <v>13</v>
      </c>
      <c r="J69">
        <v>1</v>
      </c>
      <c r="K69">
        <v>1</v>
      </c>
      <c r="L69">
        <v>14.5</v>
      </c>
      <c r="AB69" t="s">
        <v>820</v>
      </c>
    </row>
    <row r="70" spans="1:28">
      <c r="A70">
        <v>3</v>
      </c>
      <c r="B70" t="s">
        <v>731</v>
      </c>
      <c r="C70">
        <v>45764</v>
      </c>
      <c r="D70">
        <v>45778</v>
      </c>
      <c r="E70" t="s">
        <v>108</v>
      </c>
      <c r="F70" t="s">
        <v>275</v>
      </c>
      <c r="G70" t="s">
        <v>821</v>
      </c>
      <c r="H70" t="s">
        <v>822</v>
      </c>
      <c r="I70" t="s">
        <v>13</v>
      </c>
      <c r="J70">
        <v>2</v>
      </c>
      <c r="K70">
        <v>2</v>
      </c>
      <c r="L70">
        <v>19.5</v>
      </c>
      <c r="M70" t="s">
        <v>275</v>
      </c>
      <c r="N70" t="s">
        <v>823</v>
      </c>
      <c r="R70" t="s">
        <v>824</v>
      </c>
      <c r="S70">
        <v>45770</v>
      </c>
      <c r="T70">
        <v>45770</v>
      </c>
      <c r="U70" t="s">
        <v>275</v>
      </c>
      <c r="W70" t="s">
        <v>825</v>
      </c>
      <c r="X70">
        <v>45770</v>
      </c>
      <c r="AB70" t="s">
        <v>826</v>
      </c>
    </row>
    <row r="71" spans="1:28">
      <c r="A71">
        <v>4</v>
      </c>
      <c r="B71" t="s">
        <v>731</v>
      </c>
      <c r="C71">
        <v>45764</v>
      </c>
      <c r="D71">
        <v>45778</v>
      </c>
      <c r="E71" t="s">
        <v>108</v>
      </c>
      <c r="F71" t="s">
        <v>746</v>
      </c>
      <c r="G71" t="s">
        <v>827</v>
      </c>
      <c r="H71" t="s">
        <v>828</v>
      </c>
      <c r="I71" t="s">
        <v>13</v>
      </c>
      <c r="J71">
        <v>2</v>
      </c>
      <c r="K71">
        <v>2</v>
      </c>
      <c r="L71">
        <v>34.5</v>
      </c>
      <c r="M71" t="s">
        <v>738</v>
      </c>
      <c r="N71" t="s">
        <v>829</v>
      </c>
      <c r="R71" t="s">
        <v>830</v>
      </c>
      <c r="S71">
        <v>45771</v>
      </c>
      <c r="T71">
        <v>45775</v>
      </c>
      <c r="U71" t="s">
        <v>275</v>
      </c>
      <c r="W71" t="s">
        <v>783</v>
      </c>
      <c r="X71">
        <v>45775</v>
      </c>
    </row>
    <row r="72" spans="1:28">
      <c r="A72">
        <v>5</v>
      </c>
      <c r="B72" t="s">
        <v>731</v>
      </c>
      <c r="C72">
        <v>45764</v>
      </c>
      <c r="D72">
        <v>45778</v>
      </c>
      <c r="E72" t="s">
        <v>831</v>
      </c>
      <c r="F72" t="s">
        <v>746</v>
      </c>
      <c r="G72" t="s">
        <v>832</v>
      </c>
      <c r="H72" t="s">
        <v>833</v>
      </c>
      <c r="I72" t="s">
        <v>13</v>
      </c>
      <c r="J72">
        <v>1</v>
      </c>
      <c r="K72">
        <v>1</v>
      </c>
      <c r="L72">
        <v>14</v>
      </c>
      <c r="M72" t="s">
        <v>738</v>
      </c>
      <c r="N72" t="s">
        <v>829</v>
      </c>
      <c r="R72" t="s">
        <v>834</v>
      </c>
      <c r="S72">
        <v>45772</v>
      </c>
      <c r="T72">
        <v>45775</v>
      </c>
      <c r="U72" t="s">
        <v>275</v>
      </c>
      <c r="W72" t="s">
        <v>741</v>
      </c>
      <c r="X72">
        <v>45775</v>
      </c>
      <c r="AB72" t="s">
        <v>835</v>
      </c>
    </row>
    <row r="73" spans="1:28">
      <c r="A73">
        <v>6</v>
      </c>
      <c r="B73" t="s">
        <v>731</v>
      </c>
      <c r="C73">
        <v>45764</v>
      </c>
      <c r="D73">
        <v>45778</v>
      </c>
      <c r="E73" t="s">
        <v>108</v>
      </c>
      <c r="F73" t="s">
        <v>836</v>
      </c>
      <c r="G73" t="s">
        <v>776</v>
      </c>
      <c r="H73" t="s">
        <v>777</v>
      </c>
      <c r="I73" t="s">
        <v>837</v>
      </c>
      <c r="J73">
        <v>1</v>
      </c>
      <c r="K73">
        <v>0.5</v>
      </c>
      <c r="L73">
        <v>12.5</v>
      </c>
      <c r="M73" t="s">
        <v>738</v>
      </c>
      <c r="N73" t="s">
        <v>275</v>
      </c>
      <c r="R73" t="s">
        <v>93</v>
      </c>
    </row>
    <row r="74" spans="1:28">
      <c r="A74">
        <v>7</v>
      </c>
      <c r="B74" t="s">
        <v>731</v>
      </c>
      <c r="C74">
        <v>45764</v>
      </c>
      <c r="D74">
        <v>45778</v>
      </c>
      <c r="E74" t="s">
        <v>108</v>
      </c>
      <c r="F74" t="s">
        <v>743</v>
      </c>
      <c r="G74" t="s">
        <v>838</v>
      </c>
      <c r="H74" t="s">
        <v>839</v>
      </c>
      <c r="I74" t="s">
        <v>13</v>
      </c>
      <c r="J74">
        <v>2</v>
      </c>
      <c r="K74">
        <v>2</v>
      </c>
      <c r="L74">
        <v>10.5</v>
      </c>
      <c r="M74" t="s">
        <v>743</v>
      </c>
      <c r="N74" t="s">
        <v>275</v>
      </c>
      <c r="R74" t="s">
        <v>840</v>
      </c>
      <c r="S74">
        <v>45769</v>
      </c>
      <c r="T74">
        <v>45769</v>
      </c>
      <c r="U74" t="s">
        <v>275</v>
      </c>
      <c r="W74" t="s">
        <v>825</v>
      </c>
      <c r="X74">
        <v>45769</v>
      </c>
      <c r="AB74" t="s">
        <v>826</v>
      </c>
    </row>
    <row r="75" spans="1:28">
      <c r="A75">
        <v>8</v>
      </c>
      <c r="B75" t="s">
        <v>731</v>
      </c>
      <c r="C75">
        <v>45764</v>
      </c>
      <c r="D75">
        <v>45778</v>
      </c>
      <c r="E75" t="s">
        <v>108</v>
      </c>
      <c r="F75" t="s">
        <v>743</v>
      </c>
      <c r="G75" t="s">
        <v>780</v>
      </c>
      <c r="H75" t="s">
        <v>781</v>
      </c>
      <c r="I75" t="s">
        <v>837</v>
      </c>
      <c r="J75">
        <v>1</v>
      </c>
      <c r="K75">
        <v>0.5</v>
      </c>
      <c r="L75">
        <v>22</v>
      </c>
      <c r="R75" t="s">
        <v>93</v>
      </c>
    </row>
    <row r="76" spans="1:28">
      <c r="A76">
        <v>9</v>
      </c>
      <c r="B76" t="s">
        <v>731</v>
      </c>
      <c r="C76">
        <v>45764</v>
      </c>
      <c r="D76">
        <v>45778</v>
      </c>
      <c r="E76" t="s">
        <v>831</v>
      </c>
      <c r="F76" t="s">
        <v>841</v>
      </c>
      <c r="G76" t="s">
        <v>842</v>
      </c>
      <c r="H76" t="s">
        <v>843</v>
      </c>
      <c r="I76" t="s">
        <v>13</v>
      </c>
      <c r="J76">
        <v>2</v>
      </c>
      <c r="K76">
        <v>2</v>
      </c>
      <c r="L76">
        <v>36</v>
      </c>
      <c r="R76" t="s">
        <v>844</v>
      </c>
      <c r="S76">
        <v>45775</v>
      </c>
      <c r="T76">
        <v>45775</v>
      </c>
      <c r="U76" t="s">
        <v>275</v>
      </c>
      <c r="W76" t="s">
        <v>741</v>
      </c>
      <c r="X76">
        <v>45775</v>
      </c>
    </row>
    <row r="77" spans="1:28">
      <c r="A77">
        <v>10</v>
      </c>
      <c r="B77" t="s">
        <v>731</v>
      </c>
      <c r="C77">
        <v>45764</v>
      </c>
      <c r="D77">
        <v>45778</v>
      </c>
      <c r="E77" t="s">
        <v>108</v>
      </c>
      <c r="F77" s="43" t="s">
        <v>845</v>
      </c>
      <c r="G77" t="s">
        <v>846</v>
      </c>
      <c r="H77" t="s">
        <v>847</v>
      </c>
      <c r="I77" t="s">
        <v>13</v>
      </c>
      <c r="J77">
        <v>3</v>
      </c>
      <c r="K77">
        <v>3</v>
      </c>
      <c r="L77">
        <v>48</v>
      </c>
      <c r="R77" t="s">
        <v>848</v>
      </c>
      <c r="S77">
        <v>45775</v>
      </c>
      <c r="T77">
        <v>45775</v>
      </c>
      <c r="U77" t="s">
        <v>275</v>
      </c>
      <c r="W77" t="s">
        <v>741</v>
      </c>
      <c r="X77">
        <v>45775</v>
      </c>
    </row>
    <row r="78" spans="1:28">
      <c r="A78">
        <v>11</v>
      </c>
      <c r="B78" t="s">
        <v>731</v>
      </c>
      <c r="C78">
        <v>45764</v>
      </c>
      <c r="D78">
        <v>45778</v>
      </c>
      <c r="E78" t="s">
        <v>108</v>
      </c>
      <c r="F78" t="s">
        <v>807</v>
      </c>
      <c r="G78" t="s">
        <v>849</v>
      </c>
      <c r="H78" t="s">
        <v>850</v>
      </c>
      <c r="I78" t="s">
        <v>13</v>
      </c>
      <c r="J78">
        <v>5</v>
      </c>
      <c r="K78">
        <v>5</v>
      </c>
      <c r="L78">
        <v>35.5</v>
      </c>
      <c r="AB78" t="s">
        <v>851</v>
      </c>
    </row>
    <row r="79" spans="1:28">
      <c r="A79">
        <v>12</v>
      </c>
      <c r="B79" t="s">
        <v>731</v>
      </c>
      <c r="C79">
        <v>45764</v>
      </c>
      <c r="D79">
        <v>45778</v>
      </c>
      <c r="E79" t="s">
        <v>108</v>
      </c>
      <c r="F79" t="s">
        <v>807</v>
      </c>
      <c r="G79" t="s">
        <v>852</v>
      </c>
      <c r="H79" t="s">
        <v>853</v>
      </c>
      <c r="I79" t="s">
        <v>13</v>
      </c>
      <c r="J79">
        <v>3</v>
      </c>
      <c r="K79">
        <v>3</v>
      </c>
      <c r="L79">
        <v>22</v>
      </c>
      <c r="AB79" t="s">
        <v>851</v>
      </c>
    </row>
    <row r="80" spans="1:28">
      <c r="A80">
        <v>1</v>
      </c>
      <c r="B80" t="s">
        <v>731</v>
      </c>
      <c r="C80">
        <v>45779</v>
      </c>
      <c r="D80">
        <v>45792</v>
      </c>
      <c r="E80" t="s">
        <v>113</v>
      </c>
      <c r="F80" t="s">
        <v>738</v>
      </c>
      <c r="G80" t="s">
        <v>776</v>
      </c>
      <c r="H80" t="s">
        <v>777</v>
      </c>
      <c r="I80" t="s">
        <v>13</v>
      </c>
      <c r="J80">
        <v>1</v>
      </c>
      <c r="K80">
        <v>1</v>
      </c>
      <c r="L80">
        <v>15</v>
      </c>
      <c r="M80" t="s">
        <v>738</v>
      </c>
      <c r="N80" t="s">
        <v>739</v>
      </c>
      <c r="R80" t="s">
        <v>778</v>
      </c>
      <c r="S80">
        <v>45779</v>
      </c>
      <c r="T80">
        <v>45779</v>
      </c>
      <c r="U80" t="s">
        <v>275</v>
      </c>
      <c r="W80" t="s">
        <v>741</v>
      </c>
      <c r="X80">
        <v>45780</v>
      </c>
      <c r="AB80" t="s">
        <v>779</v>
      </c>
    </row>
    <row r="81" spans="1:28">
      <c r="A81">
        <v>2</v>
      </c>
      <c r="B81" t="s">
        <v>731</v>
      </c>
      <c r="C81">
        <v>45779</v>
      </c>
      <c r="D81">
        <v>45792</v>
      </c>
      <c r="E81" t="s">
        <v>113</v>
      </c>
      <c r="F81" t="s">
        <v>738</v>
      </c>
      <c r="G81" t="s">
        <v>780</v>
      </c>
      <c r="H81" t="s">
        <v>781</v>
      </c>
      <c r="I81" t="s">
        <v>13</v>
      </c>
      <c r="J81">
        <v>1</v>
      </c>
      <c r="K81">
        <v>1</v>
      </c>
      <c r="L81">
        <v>34.5</v>
      </c>
      <c r="M81" t="s">
        <v>738</v>
      </c>
      <c r="N81" t="s">
        <v>739</v>
      </c>
      <c r="R81" t="s">
        <v>782</v>
      </c>
      <c r="S81">
        <v>45779</v>
      </c>
      <c r="T81">
        <v>45783</v>
      </c>
      <c r="U81" t="s">
        <v>275</v>
      </c>
      <c r="W81" t="s">
        <v>783</v>
      </c>
      <c r="X81">
        <v>45784</v>
      </c>
      <c r="AB81" t="s">
        <v>784</v>
      </c>
    </row>
    <row r="82" spans="1:28">
      <c r="A82">
        <v>3</v>
      </c>
      <c r="B82" t="s">
        <v>731</v>
      </c>
      <c r="C82">
        <v>45779</v>
      </c>
      <c r="D82">
        <v>45792</v>
      </c>
      <c r="E82" t="s">
        <v>113</v>
      </c>
      <c r="F82" t="s">
        <v>738</v>
      </c>
      <c r="G82" t="s">
        <v>785</v>
      </c>
      <c r="H82" t="s">
        <v>786</v>
      </c>
      <c r="I82" t="s">
        <v>13</v>
      </c>
      <c r="J82">
        <v>2</v>
      </c>
      <c r="K82">
        <v>2</v>
      </c>
      <c r="L82">
        <v>10.25</v>
      </c>
      <c r="M82" t="s">
        <v>738</v>
      </c>
      <c r="N82" t="s">
        <v>275</v>
      </c>
      <c r="R82" t="s">
        <v>787</v>
      </c>
      <c r="S82">
        <v>45784</v>
      </c>
      <c r="T82">
        <v>45785</v>
      </c>
      <c r="U82" t="s">
        <v>275</v>
      </c>
      <c r="W82" t="s">
        <v>741</v>
      </c>
      <c r="X82">
        <v>45785</v>
      </c>
      <c r="AB82" t="s">
        <v>788</v>
      </c>
    </row>
    <row r="83" spans="1:28">
      <c r="A83">
        <v>4</v>
      </c>
      <c r="B83" t="s">
        <v>731</v>
      </c>
      <c r="C83">
        <v>45779</v>
      </c>
      <c r="D83">
        <v>45792</v>
      </c>
      <c r="E83" t="s">
        <v>113</v>
      </c>
      <c r="F83" t="s">
        <v>766</v>
      </c>
      <c r="G83" t="s">
        <v>789</v>
      </c>
      <c r="H83" t="s">
        <v>790</v>
      </c>
      <c r="I83" t="s">
        <v>13</v>
      </c>
      <c r="J83">
        <v>2</v>
      </c>
      <c r="K83">
        <v>2</v>
      </c>
      <c r="L83">
        <v>18</v>
      </c>
      <c r="M83" t="s">
        <v>743</v>
      </c>
      <c r="N83" t="s">
        <v>275</v>
      </c>
      <c r="R83" t="s">
        <v>791</v>
      </c>
      <c r="S83">
        <v>45785</v>
      </c>
      <c r="T83">
        <v>45786</v>
      </c>
      <c r="U83" t="s">
        <v>275</v>
      </c>
      <c r="W83" t="s">
        <v>741</v>
      </c>
      <c r="X83">
        <v>45786</v>
      </c>
      <c r="AB83" t="s">
        <v>792</v>
      </c>
    </row>
    <row r="84" spans="1:28">
      <c r="A84">
        <v>5</v>
      </c>
      <c r="B84" t="s">
        <v>731</v>
      </c>
      <c r="C84">
        <v>45779</v>
      </c>
      <c r="D84">
        <v>45792</v>
      </c>
      <c r="E84" t="s">
        <v>113</v>
      </c>
      <c r="F84" t="s">
        <v>743</v>
      </c>
      <c r="G84" t="s">
        <v>793</v>
      </c>
      <c r="H84" t="s">
        <v>794</v>
      </c>
      <c r="I84" t="s">
        <v>13</v>
      </c>
      <c r="J84">
        <v>2</v>
      </c>
      <c r="K84">
        <v>2</v>
      </c>
      <c r="L84">
        <v>35</v>
      </c>
      <c r="M84" t="s">
        <v>743</v>
      </c>
      <c r="N84" t="s">
        <v>739</v>
      </c>
      <c r="R84" t="s">
        <v>795</v>
      </c>
      <c r="S84">
        <v>45782</v>
      </c>
      <c r="T84">
        <v>45783</v>
      </c>
      <c r="U84" t="s">
        <v>275</v>
      </c>
      <c r="W84" t="s">
        <v>741</v>
      </c>
      <c r="X84">
        <v>45783</v>
      </c>
      <c r="AB84" t="s">
        <v>796</v>
      </c>
    </row>
    <row r="85" spans="1:28">
      <c r="A85">
        <v>6</v>
      </c>
      <c r="B85" t="s">
        <v>731</v>
      </c>
      <c r="C85">
        <v>45779</v>
      </c>
      <c r="D85">
        <v>45792</v>
      </c>
      <c r="E85" t="s">
        <v>113</v>
      </c>
      <c r="F85" t="s">
        <v>743</v>
      </c>
      <c r="G85" t="s">
        <v>797</v>
      </c>
      <c r="H85" t="s">
        <v>798</v>
      </c>
      <c r="I85" t="s">
        <v>13</v>
      </c>
      <c r="J85">
        <v>5</v>
      </c>
      <c r="K85">
        <v>5</v>
      </c>
      <c r="L85">
        <v>49.5</v>
      </c>
      <c r="M85" t="s">
        <v>743</v>
      </c>
      <c r="N85" t="s">
        <v>275</v>
      </c>
      <c r="R85" t="s">
        <v>799</v>
      </c>
      <c r="S85">
        <v>45785</v>
      </c>
      <c r="T85">
        <v>45787</v>
      </c>
      <c r="U85" t="s">
        <v>275</v>
      </c>
      <c r="W85" t="s">
        <v>741</v>
      </c>
      <c r="X85">
        <v>45789</v>
      </c>
      <c r="AB85" t="s">
        <v>800</v>
      </c>
    </row>
    <row r="86" spans="1:28">
      <c r="A86">
        <v>7</v>
      </c>
      <c r="B86" t="s">
        <v>731</v>
      </c>
      <c r="C86">
        <v>45779</v>
      </c>
      <c r="D86">
        <v>45792</v>
      </c>
      <c r="E86" t="s">
        <v>801</v>
      </c>
      <c r="F86" t="s">
        <v>275</v>
      </c>
      <c r="G86" t="s">
        <v>802</v>
      </c>
      <c r="H86" t="s">
        <v>803</v>
      </c>
      <c r="I86" t="s">
        <v>13</v>
      </c>
      <c r="J86">
        <v>2</v>
      </c>
      <c r="K86">
        <v>2</v>
      </c>
      <c r="L86">
        <v>19</v>
      </c>
      <c r="M86" t="s">
        <v>275</v>
      </c>
      <c r="N86" t="s">
        <v>804</v>
      </c>
      <c r="R86" t="s">
        <v>93</v>
      </c>
      <c r="S86" t="s">
        <v>93</v>
      </c>
      <c r="T86" t="s">
        <v>93</v>
      </c>
      <c r="U86" t="s">
        <v>93</v>
      </c>
      <c r="W86" t="s">
        <v>93</v>
      </c>
      <c r="X86" t="s">
        <v>93</v>
      </c>
    </row>
    <row r="87" spans="1:28">
      <c r="A87">
        <v>8</v>
      </c>
      <c r="B87" t="s">
        <v>731</v>
      </c>
      <c r="C87">
        <v>45779</v>
      </c>
      <c r="D87">
        <v>45792</v>
      </c>
      <c r="E87" t="s">
        <v>113</v>
      </c>
      <c r="F87" t="s">
        <v>275</v>
      </c>
      <c r="G87" t="s">
        <v>732</v>
      </c>
      <c r="H87" t="s">
        <v>733</v>
      </c>
      <c r="I87" t="s">
        <v>263</v>
      </c>
      <c r="J87">
        <v>3</v>
      </c>
      <c r="K87">
        <v>0</v>
      </c>
      <c r="L87">
        <v>50.5</v>
      </c>
      <c r="AB87" t="s">
        <v>805</v>
      </c>
    </row>
    <row r="88" spans="1:28">
      <c r="A88">
        <v>9</v>
      </c>
      <c r="B88" t="s">
        <v>731</v>
      </c>
      <c r="C88">
        <v>45779</v>
      </c>
      <c r="D88">
        <v>45792</v>
      </c>
      <c r="E88" t="s">
        <v>113</v>
      </c>
      <c r="F88" t="s">
        <v>735</v>
      </c>
      <c r="G88" t="s">
        <v>736</v>
      </c>
      <c r="H88" t="s">
        <v>737</v>
      </c>
      <c r="I88" t="s">
        <v>263</v>
      </c>
      <c r="J88">
        <v>3</v>
      </c>
      <c r="K88">
        <v>0</v>
      </c>
      <c r="L88">
        <v>64.5</v>
      </c>
      <c r="AB88" t="s">
        <v>806</v>
      </c>
    </row>
    <row r="89" spans="1:28">
      <c r="A89">
        <v>1</v>
      </c>
      <c r="B89" t="s">
        <v>731</v>
      </c>
      <c r="C89">
        <v>45793</v>
      </c>
      <c r="D89">
        <v>45806</v>
      </c>
      <c r="E89" t="s">
        <v>117</v>
      </c>
      <c r="F89" t="s">
        <v>275</v>
      </c>
      <c r="G89" t="s">
        <v>732</v>
      </c>
      <c r="H89" t="s">
        <v>733</v>
      </c>
      <c r="I89" t="s">
        <v>263</v>
      </c>
      <c r="J89">
        <v>3</v>
      </c>
      <c r="L89">
        <v>27.5</v>
      </c>
      <c r="AB89" s="43" t="s">
        <v>734</v>
      </c>
    </row>
    <row r="90" spans="1:28">
      <c r="A90">
        <v>2</v>
      </c>
      <c r="B90" t="s">
        <v>731</v>
      </c>
      <c r="C90">
        <v>45793</v>
      </c>
      <c r="D90">
        <v>45806</v>
      </c>
      <c r="E90" t="s">
        <v>117</v>
      </c>
      <c r="F90" t="s">
        <v>735</v>
      </c>
      <c r="G90" t="s">
        <v>736</v>
      </c>
      <c r="H90" t="s">
        <v>737</v>
      </c>
      <c r="I90" t="s">
        <v>13</v>
      </c>
      <c r="J90">
        <v>5</v>
      </c>
      <c r="K90">
        <v>5</v>
      </c>
      <c r="L90">
        <v>107</v>
      </c>
      <c r="M90" t="s">
        <v>738</v>
      </c>
      <c r="N90" t="s">
        <v>739</v>
      </c>
      <c r="P90" t="s">
        <v>275</v>
      </c>
      <c r="R90" t="s">
        <v>740</v>
      </c>
      <c r="S90">
        <v>45805</v>
      </c>
      <c r="T90">
        <v>45805</v>
      </c>
      <c r="U90" t="s">
        <v>275</v>
      </c>
      <c r="W90" t="s">
        <v>741</v>
      </c>
      <c r="X90">
        <v>45805</v>
      </c>
      <c r="AB90" t="s">
        <v>742</v>
      </c>
    </row>
    <row r="91" spans="1:28">
      <c r="A91">
        <v>3</v>
      </c>
      <c r="B91" t="s">
        <v>731</v>
      </c>
      <c r="C91">
        <v>45793</v>
      </c>
      <c r="D91">
        <v>45806</v>
      </c>
      <c r="E91" t="s">
        <v>117</v>
      </c>
      <c r="F91" t="s">
        <v>743</v>
      </c>
      <c r="G91" t="s">
        <v>744</v>
      </c>
      <c r="H91" t="s">
        <v>745</v>
      </c>
      <c r="I91" t="s">
        <v>13</v>
      </c>
      <c r="J91">
        <v>3</v>
      </c>
      <c r="K91">
        <v>3</v>
      </c>
      <c r="L91">
        <v>19</v>
      </c>
      <c r="M91" t="s">
        <v>743</v>
      </c>
      <c r="N91" t="s">
        <v>275</v>
      </c>
      <c r="P91" t="s">
        <v>746</v>
      </c>
      <c r="R91" t="s">
        <v>747</v>
      </c>
      <c r="S91">
        <v>45793</v>
      </c>
      <c r="T91">
        <v>45797</v>
      </c>
      <c r="U91" t="s">
        <v>275</v>
      </c>
      <c r="W91" t="s">
        <v>741</v>
      </c>
      <c r="X91">
        <v>45797</v>
      </c>
      <c r="AB91" s="43" t="s">
        <v>748</v>
      </c>
    </row>
    <row r="92" spans="1:28">
      <c r="A92">
        <v>4</v>
      </c>
      <c r="B92" t="s">
        <v>731</v>
      </c>
      <c r="C92">
        <v>45793</v>
      </c>
      <c r="D92">
        <v>45806</v>
      </c>
      <c r="E92" t="s">
        <v>117</v>
      </c>
      <c r="F92" t="s">
        <v>743</v>
      </c>
      <c r="G92" t="s">
        <v>749</v>
      </c>
      <c r="H92" t="s">
        <v>750</v>
      </c>
      <c r="I92" t="s">
        <v>13</v>
      </c>
      <c r="J92">
        <v>2</v>
      </c>
      <c r="K92">
        <v>2</v>
      </c>
      <c r="L92">
        <v>11.5</v>
      </c>
      <c r="M92" t="s">
        <v>743</v>
      </c>
      <c r="N92" t="s">
        <v>739</v>
      </c>
      <c r="P92" t="s">
        <v>275</v>
      </c>
      <c r="R92" t="s">
        <v>751</v>
      </c>
      <c r="S92">
        <v>45796</v>
      </c>
      <c r="T92">
        <v>45797</v>
      </c>
      <c r="U92" t="s">
        <v>275</v>
      </c>
      <c r="W92" t="s">
        <v>741</v>
      </c>
      <c r="X92">
        <v>45796</v>
      </c>
      <c r="AB92" s="43" t="s">
        <v>752</v>
      </c>
    </row>
    <row r="93" spans="1:28">
      <c r="A93">
        <v>5</v>
      </c>
      <c r="B93" t="s">
        <v>731</v>
      </c>
      <c r="C93">
        <v>45793</v>
      </c>
      <c r="D93">
        <v>45806</v>
      </c>
      <c r="E93" t="s">
        <v>117</v>
      </c>
      <c r="F93" t="s">
        <v>275</v>
      </c>
      <c r="G93" t="s">
        <v>753</v>
      </c>
      <c r="H93" t="s">
        <v>754</v>
      </c>
      <c r="I93" t="s">
        <v>13</v>
      </c>
      <c r="J93">
        <v>2</v>
      </c>
      <c r="K93">
        <v>2</v>
      </c>
      <c r="L93">
        <v>33</v>
      </c>
      <c r="M93" t="s">
        <v>275</v>
      </c>
      <c r="N93" t="s">
        <v>739</v>
      </c>
      <c r="P93" t="s">
        <v>743</v>
      </c>
      <c r="R93" t="s">
        <v>755</v>
      </c>
      <c r="S93">
        <v>45794</v>
      </c>
      <c r="T93">
        <v>45796</v>
      </c>
      <c r="U93" t="s">
        <v>743</v>
      </c>
      <c r="W93" t="s">
        <v>741</v>
      </c>
      <c r="X93">
        <v>45797</v>
      </c>
      <c r="AB93" s="43" t="s">
        <v>756</v>
      </c>
    </row>
    <row r="94" spans="1:28">
      <c r="A94">
        <v>6</v>
      </c>
      <c r="B94" t="s">
        <v>731</v>
      </c>
      <c r="C94">
        <v>45793</v>
      </c>
      <c r="D94">
        <v>45806</v>
      </c>
      <c r="E94" t="s">
        <v>117</v>
      </c>
      <c r="F94" t="s">
        <v>757</v>
      </c>
      <c r="G94" t="s">
        <v>758</v>
      </c>
      <c r="H94" t="s">
        <v>759</v>
      </c>
      <c r="I94" t="s">
        <v>13</v>
      </c>
      <c r="J94">
        <v>2</v>
      </c>
      <c r="K94">
        <v>2</v>
      </c>
      <c r="L94">
        <v>23.75</v>
      </c>
      <c r="M94" t="s">
        <v>743</v>
      </c>
      <c r="N94" t="s">
        <v>739</v>
      </c>
      <c r="P94" t="s">
        <v>275</v>
      </c>
      <c r="R94" t="s">
        <v>760</v>
      </c>
      <c r="S94">
        <v>45798</v>
      </c>
      <c r="T94">
        <v>45798</v>
      </c>
      <c r="U94" t="s">
        <v>275</v>
      </c>
      <c r="W94" t="s">
        <v>741</v>
      </c>
      <c r="X94">
        <v>45798</v>
      </c>
      <c r="AB94" s="43" t="s">
        <v>761</v>
      </c>
    </row>
    <row r="95" spans="1:28">
      <c r="A95">
        <v>7</v>
      </c>
      <c r="B95" t="s">
        <v>731</v>
      </c>
      <c r="C95">
        <v>45793</v>
      </c>
      <c r="D95">
        <v>45806</v>
      </c>
      <c r="E95" t="s">
        <v>117</v>
      </c>
      <c r="F95" t="s">
        <v>757</v>
      </c>
      <c r="G95" t="s">
        <v>762</v>
      </c>
      <c r="H95" t="s">
        <v>763</v>
      </c>
      <c r="I95" t="s">
        <v>13</v>
      </c>
      <c r="J95">
        <v>2</v>
      </c>
      <c r="K95">
        <v>2</v>
      </c>
      <c r="L95">
        <v>38</v>
      </c>
      <c r="M95" t="s">
        <v>743</v>
      </c>
      <c r="N95" t="s">
        <v>739</v>
      </c>
      <c r="P95" t="s">
        <v>275</v>
      </c>
      <c r="R95" t="s">
        <v>764</v>
      </c>
      <c r="S95">
        <v>45799</v>
      </c>
      <c r="T95">
        <v>45800</v>
      </c>
      <c r="U95" t="s">
        <v>275</v>
      </c>
      <c r="W95" t="s">
        <v>765</v>
      </c>
      <c r="X95">
        <v>45800</v>
      </c>
      <c r="AB95" s="43" t="s">
        <v>761</v>
      </c>
    </row>
    <row r="96" spans="1:28">
      <c r="A96">
        <v>8</v>
      </c>
      <c r="B96" t="s">
        <v>731</v>
      </c>
      <c r="C96">
        <v>45793</v>
      </c>
      <c r="D96">
        <v>45806</v>
      </c>
      <c r="E96" t="s">
        <v>117</v>
      </c>
      <c r="F96" t="s">
        <v>766</v>
      </c>
      <c r="G96" t="s">
        <v>767</v>
      </c>
      <c r="H96" t="s">
        <v>768</v>
      </c>
      <c r="I96" t="s">
        <v>13</v>
      </c>
      <c r="J96">
        <v>5</v>
      </c>
      <c r="K96">
        <v>5</v>
      </c>
      <c r="L96">
        <v>41.75</v>
      </c>
      <c r="M96" t="s">
        <v>275</v>
      </c>
      <c r="N96" t="s">
        <v>739</v>
      </c>
      <c r="P96" t="s">
        <v>769</v>
      </c>
      <c r="R96" t="s">
        <v>770</v>
      </c>
      <c r="S96">
        <v>45804</v>
      </c>
      <c r="T96">
        <v>45806</v>
      </c>
      <c r="U96" t="s">
        <v>275</v>
      </c>
      <c r="V96" s="43" t="s">
        <v>771</v>
      </c>
      <c r="W96" t="s">
        <v>765</v>
      </c>
      <c r="X96">
        <v>45806</v>
      </c>
      <c r="AB96" t="s">
        <v>772</v>
      </c>
    </row>
    <row r="97" spans="1:28">
      <c r="A97">
        <v>1</v>
      </c>
      <c r="B97" t="s">
        <v>5</v>
      </c>
      <c r="C97">
        <v>45806</v>
      </c>
      <c r="D97">
        <v>45820</v>
      </c>
      <c r="E97" t="s">
        <v>121</v>
      </c>
      <c r="F97" t="s">
        <v>544</v>
      </c>
      <c r="G97" t="s">
        <v>716</v>
      </c>
      <c r="H97" t="s">
        <v>717</v>
      </c>
      <c r="I97" t="s">
        <v>13</v>
      </c>
      <c r="J97">
        <v>3</v>
      </c>
      <c r="K97">
        <v>3</v>
      </c>
      <c r="L97">
        <v>25</v>
      </c>
      <c r="M97" t="s">
        <v>219</v>
      </c>
      <c r="N97" t="s">
        <v>275</v>
      </c>
      <c r="P97" t="s">
        <v>275</v>
      </c>
      <c r="R97" t="s">
        <v>718</v>
      </c>
      <c r="S97">
        <v>45813</v>
      </c>
      <c r="T97">
        <v>45817</v>
      </c>
      <c r="U97" t="s">
        <v>275</v>
      </c>
      <c r="W97" t="s">
        <v>719</v>
      </c>
      <c r="X97">
        <v>45817</v>
      </c>
    </row>
    <row r="98" spans="1:28">
      <c r="A98">
        <v>2</v>
      </c>
      <c r="B98" t="s">
        <v>5</v>
      </c>
      <c r="C98">
        <v>45806</v>
      </c>
      <c r="D98">
        <v>45820</v>
      </c>
      <c r="E98" t="s">
        <v>121</v>
      </c>
      <c r="F98" t="s">
        <v>219</v>
      </c>
      <c r="G98" t="s">
        <v>720</v>
      </c>
      <c r="H98" t="s">
        <v>721</v>
      </c>
      <c r="I98" t="s">
        <v>13</v>
      </c>
      <c r="J98">
        <v>3</v>
      </c>
      <c r="K98">
        <v>3</v>
      </c>
      <c r="L98">
        <v>39</v>
      </c>
      <c r="M98" t="s">
        <v>219</v>
      </c>
      <c r="N98" t="s">
        <v>544</v>
      </c>
      <c r="P98" t="s">
        <v>544</v>
      </c>
      <c r="R98" t="s">
        <v>722</v>
      </c>
      <c r="S98">
        <v>45814</v>
      </c>
      <c r="T98">
        <v>45818</v>
      </c>
      <c r="U98" t="s">
        <v>275</v>
      </c>
      <c r="W98" t="s">
        <v>723</v>
      </c>
      <c r="X98">
        <v>45818</v>
      </c>
    </row>
    <row r="99" spans="1:28">
      <c r="A99">
        <v>3</v>
      </c>
      <c r="B99" t="s">
        <v>5</v>
      </c>
      <c r="C99">
        <v>45806</v>
      </c>
      <c r="D99">
        <v>45820</v>
      </c>
      <c r="E99" t="s">
        <v>121</v>
      </c>
      <c r="F99" t="s">
        <v>724</v>
      </c>
      <c r="G99" t="s">
        <v>725</v>
      </c>
      <c r="H99" t="s">
        <v>726</v>
      </c>
      <c r="I99" t="s">
        <v>13</v>
      </c>
      <c r="J99">
        <v>3</v>
      </c>
      <c r="K99">
        <v>3</v>
      </c>
      <c r="L99">
        <v>60</v>
      </c>
      <c r="M99" t="s">
        <v>558</v>
      </c>
      <c r="N99" t="s">
        <v>275</v>
      </c>
      <c r="P99" t="s">
        <v>544</v>
      </c>
      <c r="R99" t="s">
        <v>727</v>
      </c>
      <c r="S99">
        <v>45818</v>
      </c>
      <c r="T99">
        <v>45819</v>
      </c>
      <c r="U99" t="s">
        <v>275</v>
      </c>
      <c r="W99" t="s">
        <v>728</v>
      </c>
      <c r="X99">
        <v>45936</v>
      </c>
      <c r="Y99" t="s">
        <v>729</v>
      </c>
    </row>
    <row r="100" spans="1:28">
      <c r="A100">
        <v>1</v>
      </c>
      <c r="B100" t="s">
        <v>5</v>
      </c>
      <c r="C100">
        <v>45820</v>
      </c>
      <c r="D100">
        <v>45834</v>
      </c>
      <c r="E100" t="s">
        <v>125</v>
      </c>
      <c r="F100" t="s">
        <v>654</v>
      </c>
      <c r="G100" t="s">
        <v>701</v>
      </c>
      <c r="H100" t="s">
        <v>702</v>
      </c>
      <c r="I100" t="s">
        <v>13</v>
      </c>
      <c r="J100">
        <v>5</v>
      </c>
      <c r="M100" t="s">
        <v>544</v>
      </c>
      <c r="N100" t="s">
        <v>274</v>
      </c>
      <c r="P100" t="s">
        <v>275</v>
      </c>
      <c r="R100" t="s">
        <v>703</v>
      </c>
      <c r="S100">
        <v>45828</v>
      </c>
      <c r="T100">
        <v>45832</v>
      </c>
      <c r="U100" t="s">
        <v>275</v>
      </c>
      <c r="W100" t="s">
        <v>689</v>
      </c>
      <c r="X100">
        <v>45828</v>
      </c>
      <c r="AB100" t="s">
        <v>704</v>
      </c>
    </row>
    <row r="101" spans="1:28">
      <c r="A101">
        <v>2</v>
      </c>
      <c r="B101" t="s">
        <v>5</v>
      </c>
      <c r="C101">
        <v>45820</v>
      </c>
      <c r="D101">
        <v>45834</v>
      </c>
      <c r="E101" t="s">
        <v>705</v>
      </c>
      <c r="F101" t="s">
        <v>219</v>
      </c>
      <c r="G101" t="s">
        <v>706</v>
      </c>
      <c r="H101" t="s">
        <v>707</v>
      </c>
      <c r="I101" t="s">
        <v>13</v>
      </c>
      <c r="J101">
        <v>2</v>
      </c>
      <c r="L101">
        <v>8</v>
      </c>
      <c r="M101" t="s">
        <v>219</v>
      </c>
      <c r="N101" t="s">
        <v>275</v>
      </c>
      <c r="P101" t="s">
        <v>275</v>
      </c>
      <c r="R101" t="s">
        <v>708</v>
      </c>
      <c r="S101">
        <v>45819</v>
      </c>
      <c r="T101">
        <v>45825</v>
      </c>
      <c r="U101" t="s">
        <v>275</v>
      </c>
      <c r="W101" t="s">
        <v>311</v>
      </c>
      <c r="X101">
        <v>45825</v>
      </c>
    </row>
    <row r="102" spans="1:28">
      <c r="A102">
        <v>3</v>
      </c>
      <c r="B102" t="s">
        <v>5</v>
      </c>
      <c r="C102">
        <v>45820</v>
      </c>
      <c r="D102">
        <v>45834</v>
      </c>
      <c r="E102" t="s">
        <v>125</v>
      </c>
      <c r="F102" t="s">
        <v>219</v>
      </c>
      <c r="G102" t="s">
        <v>709</v>
      </c>
      <c r="H102" t="s">
        <v>710</v>
      </c>
      <c r="I102" t="s">
        <v>13</v>
      </c>
      <c r="J102">
        <v>5</v>
      </c>
      <c r="L102">
        <v>36</v>
      </c>
      <c r="M102" t="s">
        <v>219</v>
      </c>
      <c r="N102" t="s">
        <v>274</v>
      </c>
      <c r="P102" t="s">
        <v>275</v>
      </c>
      <c r="R102" t="s">
        <v>711</v>
      </c>
      <c r="S102">
        <v>45828</v>
      </c>
      <c r="T102">
        <v>45829</v>
      </c>
      <c r="U102" t="s">
        <v>275</v>
      </c>
      <c r="W102" t="s">
        <v>689</v>
      </c>
      <c r="X102">
        <v>45829</v>
      </c>
      <c r="Y102" s="43" t="s">
        <v>1859</v>
      </c>
      <c r="AB102" t="s">
        <v>713</v>
      </c>
    </row>
    <row r="103" spans="1:28">
      <c r="A103">
        <v>1</v>
      </c>
      <c r="B103" t="s">
        <v>5</v>
      </c>
      <c r="C103">
        <v>45835</v>
      </c>
      <c r="D103">
        <v>45848</v>
      </c>
      <c r="E103" t="s">
        <v>129</v>
      </c>
      <c r="F103" t="s">
        <v>654</v>
      </c>
      <c r="G103" t="s">
        <v>686</v>
      </c>
      <c r="H103" t="s">
        <v>687</v>
      </c>
      <c r="I103" t="s">
        <v>13</v>
      </c>
      <c r="J103">
        <v>5</v>
      </c>
      <c r="N103" t="s">
        <v>274</v>
      </c>
      <c r="P103" t="s">
        <v>275</v>
      </c>
      <c r="R103" t="s">
        <v>688</v>
      </c>
      <c r="S103">
        <v>45845</v>
      </c>
      <c r="T103">
        <v>45846</v>
      </c>
      <c r="U103" t="s">
        <v>275</v>
      </c>
      <c r="W103" t="s">
        <v>689</v>
      </c>
      <c r="X103">
        <v>45846</v>
      </c>
      <c r="AB103" t="s">
        <v>690</v>
      </c>
    </row>
    <row r="104" spans="1:28">
      <c r="A104">
        <v>2</v>
      </c>
      <c r="B104" t="s">
        <v>5</v>
      </c>
      <c r="C104">
        <v>45835</v>
      </c>
      <c r="D104">
        <v>45848</v>
      </c>
      <c r="E104" t="s">
        <v>129</v>
      </c>
      <c r="F104" t="s">
        <v>219</v>
      </c>
      <c r="G104" t="s">
        <v>691</v>
      </c>
      <c r="H104" t="s">
        <v>692</v>
      </c>
      <c r="I104" t="s">
        <v>13</v>
      </c>
      <c r="J104">
        <v>3</v>
      </c>
      <c r="N104" t="s">
        <v>274</v>
      </c>
      <c r="P104" t="s">
        <v>275</v>
      </c>
      <c r="R104" t="s">
        <v>693</v>
      </c>
      <c r="S104">
        <v>45840</v>
      </c>
      <c r="T104">
        <v>45846</v>
      </c>
      <c r="U104" t="s">
        <v>275</v>
      </c>
      <c r="W104" t="s">
        <v>689</v>
      </c>
      <c r="X104">
        <v>45846</v>
      </c>
      <c r="AA104" t="s">
        <v>694</v>
      </c>
      <c r="AB104" t="s">
        <v>695</v>
      </c>
    </row>
    <row r="105" spans="1:28">
      <c r="A105">
        <v>3</v>
      </c>
      <c r="B105" t="s">
        <v>5</v>
      </c>
      <c r="C105">
        <v>45835</v>
      </c>
      <c r="D105">
        <v>45848</v>
      </c>
      <c r="E105" t="s">
        <v>696</v>
      </c>
      <c r="F105" t="s">
        <v>654</v>
      </c>
      <c r="G105" t="s">
        <v>697</v>
      </c>
      <c r="H105" t="s">
        <v>698</v>
      </c>
      <c r="I105" t="s">
        <v>13</v>
      </c>
      <c r="J105">
        <v>3</v>
      </c>
      <c r="N105" t="s">
        <v>274</v>
      </c>
      <c r="P105" t="s">
        <v>275</v>
      </c>
      <c r="R105" t="s">
        <v>699</v>
      </c>
      <c r="S105">
        <v>45846</v>
      </c>
      <c r="T105">
        <v>45846</v>
      </c>
      <c r="U105" t="s">
        <v>275</v>
      </c>
      <c r="W105" t="s">
        <v>548</v>
      </c>
      <c r="X105">
        <v>45846</v>
      </c>
      <c r="AB105" t="s">
        <v>700</v>
      </c>
    </row>
    <row r="106" spans="1:28">
      <c r="A106">
        <v>4</v>
      </c>
      <c r="B106" t="s">
        <v>5</v>
      </c>
      <c r="C106">
        <v>45835</v>
      </c>
      <c r="D106">
        <v>45848</v>
      </c>
      <c r="E106" t="s">
        <v>696</v>
      </c>
      <c r="F106" t="s">
        <v>558</v>
      </c>
      <c r="G106" t="s">
        <v>668</v>
      </c>
      <c r="H106" t="s">
        <v>669</v>
      </c>
      <c r="I106" t="s">
        <v>392</v>
      </c>
      <c r="J106">
        <v>2</v>
      </c>
      <c r="N106" t="s">
        <v>274</v>
      </c>
      <c r="P106" t="s">
        <v>275</v>
      </c>
      <c r="R106" t="s">
        <v>670</v>
      </c>
      <c r="S106">
        <v>45847</v>
      </c>
      <c r="T106">
        <v>45848</v>
      </c>
      <c r="U106" t="s">
        <v>275</v>
      </c>
      <c r="W106" t="s">
        <v>548</v>
      </c>
      <c r="X106">
        <v>45848</v>
      </c>
      <c r="AB106" t="s">
        <v>671</v>
      </c>
    </row>
    <row r="107" spans="1:28">
      <c r="A107">
        <v>5</v>
      </c>
      <c r="B107" t="s">
        <v>5</v>
      </c>
      <c r="C107">
        <v>45835</v>
      </c>
      <c r="D107">
        <v>45848</v>
      </c>
      <c r="E107" t="s">
        <v>696</v>
      </c>
      <c r="F107" t="s">
        <v>219</v>
      </c>
      <c r="G107" t="s">
        <v>672</v>
      </c>
      <c r="H107" t="s">
        <v>673</v>
      </c>
      <c r="I107" t="s">
        <v>263</v>
      </c>
      <c r="J107">
        <v>2</v>
      </c>
      <c r="N107" t="s">
        <v>274</v>
      </c>
      <c r="P107" t="s">
        <v>275</v>
      </c>
      <c r="R107" t="s">
        <v>674</v>
      </c>
      <c r="S107">
        <v>45852</v>
      </c>
      <c r="T107">
        <v>45852</v>
      </c>
      <c r="U107" t="s">
        <v>275</v>
      </c>
      <c r="W107" t="s">
        <v>548</v>
      </c>
      <c r="X107">
        <v>45852</v>
      </c>
      <c r="AB107" t="s">
        <v>675</v>
      </c>
    </row>
    <row r="108" spans="1:28">
      <c r="A108">
        <v>1</v>
      </c>
      <c r="B108" t="s">
        <v>5</v>
      </c>
      <c r="C108">
        <v>45848</v>
      </c>
      <c r="D108">
        <v>45862</v>
      </c>
      <c r="E108" t="s">
        <v>132</v>
      </c>
      <c r="F108" t="s">
        <v>654</v>
      </c>
      <c r="G108" t="s">
        <v>655</v>
      </c>
      <c r="H108" t="s">
        <v>656</v>
      </c>
      <c r="I108" t="s">
        <v>13</v>
      </c>
      <c r="J108">
        <v>5</v>
      </c>
      <c r="M108">
        <v>45848</v>
      </c>
      <c r="N108">
        <v>45858</v>
      </c>
      <c r="P108" t="s">
        <v>274</v>
      </c>
      <c r="R108" t="s">
        <v>657</v>
      </c>
      <c r="T108" t="s">
        <v>658</v>
      </c>
      <c r="U108">
        <v>45859</v>
      </c>
      <c r="V108">
        <v>45859</v>
      </c>
      <c r="W108" t="s">
        <v>275</v>
      </c>
      <c r="Y108" t="s">
        <v>548</v>
      </c>
      <c r="Z108">
        <v>45859</v>
      </c>
    </row>
    <row r="109" spans="1:28">
      <c r="A109">
        <v>2</v>
      </c>
      <c r="B109" t="s">
        <v>5</v>
      </c>
      <c r="C109">
        <v>45848</v>
      </c>
      <c r="D109">
        <v>45862</v>
      </c>
      <c r="E109" t="s">
        <v>132</v>
      </c>
      <c r="F109" t="s">
        <v>558</v>
      </c>
      <c r="G109" t="s">
        <v>660</v>
      </c>
      <c r="H109" t="s">
        <v>661</v>
      </c>
      <c r="I109" t="s">
        <v>662</v>
      </c>
      <c r="J109">
        <v>2</v>
      </c>
    </row>
    <row r="110" spans="1:28">
      <c r="A110">
        <v>3</v>
      </c>
      <c r="B110" t="s">
        <v>5</v>
      </c>
      <c r="C110">
        <v>45848</v>
      </c>
      <c r="D110">
        <v>45862</v>
      </c>
      <c r="E110" t="s">
        <v>132</v>
      </c>
      <c r="F110" t="s">
        <v>558</v>
      </c>
      <c r="G110" t="s">
        <v>664</v>
      </c>
      <c r="H110" t="s">
        <v>665</v>
      </c>
      <c r="I110" t="s">
        <v>13</v>
      </c>
      <c r="J110">
        <v>5</v>
      </c>
      <c r="M110">
        <v>45853</v>
      </c>
      <c r="N110">
        <v>45860</v>
      </c>
      <c r="P110" t="s">
        <v>274</v>
      </c>
      <c r="R110" t="s">
        <v>275</v>
      </c>
      <c r="T110" t="s">
        <v>666</v>
      </c>
      <c r="U110">
        <v>45860</v>
      </c>
      <c r="V110">
        <v>45860</v>
      </c>
      <c r="W110" t="s">
        <v>275</v>
      </c>
      <c r="Y110" t="s">
        <v>548</v>
      </c>
      <c r="Z110">
        <v>45860</v>
      </c>
    </row>
    <row r="111" spans="1:28">
      <c r="A111">
        <v>4</v>
      </c>
      <c r="B111" t="s">
        <v>5</v>
      </c>
      <c r="C111">
        <v>45848</v>
      </c>
      <c r="D111">
        <v>45862</v>
      </c>
      <c r="E111" t="s">
        <v>132</v>
      </c>
      <c r="F111" t="s">
        <v>274</v>
      </c>
      <c r="G111" t="s">
        <v>668</v>
      </c>
      <c r="H111" t="s">
        <v>669</v>
      </c>
      <c r="I111" t="s">
        <v>13</v>
      </c>
      <c r="J111">
        <v>2</v>
      </c>
      <c r="P111" t="s">
        <v>274</v>
      </c>
      <c r="R111" t="s">
        <v>275</v>
      </c>
      <c r="T111" t="s">
        <v>670</v>
      </c>
    </row>
    <row r="112" spans="1:28">
      <c r="A112">
        <v>5</v>
      </c>
      <c r="B112" t="s">
        <v>5</v>
      </c>
      <c r="C112">
        <v>45848</v>
      </c>
      <c r="D112">
        <v>45862</v>
      </c>
      <c r="E112" t="s">
        <v>132</v>
      </c>
      <c r="F112" t="s">
        <v>219</v>
      </c>
      <c r="G112" t="s">
        <v>672</v>
      </c>
      <c r="H112" t="s">
        <v>673</v>
      </c>
      <c r="I112" t="s">
        <v>13</v>
      </c>
      <c r="J112">
        <v>2</v>
      </c>
      <c r="M112">
        <v>45848</v>
      </c>
      <c r="N112">
        <v>45849</v>
      </c>
      <c r="P112" t="s">
        <v>274</v>
      </c>
      <c r="R112" t="s">
        <v>275</v>
      </c>
      <c r="T112" t="s">
        <v>674</v>
      </c>
      <c r="U112">
        <v>45852</v>
      </c>
      <c r="V112">
        <v>45852</v>
      </c>
      <c r="W112" t="s">
        <v>275</v>
      </c>
      <c r="Y112" t="s">
        <v>548</v>
      </c>
      <c r="Z112">
        <v>45852</v>
      </c>
    </row>
    <row r="113" spans="1:27">
      <c r="A113">
        <v>6</v>
      </c>
      <c r="B113" t="s">
        <v>5</v>
      </c>
      <c r="C113">
        <v>45848</v>
      </c>
      <c r="D113">
        <v>45862</v>
      </c>
      <c r="E113" t="s">
        <v>132</v>
      </c>
      <c r="F113" t="s">
        <v>219</v>
      </c>
      <c r="G113" t="s">
        <v>676</v>
      </c>
      <c r="H113" t="s">
        <v>677</v>
      </c>
      <c r="I113" t="s">
        <v>13</v>
      </c>
      <c r="J113">
        <v>2</v>
      </c>
      <c r="M113">
        <v>45852</v>
      </c>
      <c r="N113">
        <v>45856</v>
      </c>
      <c r="P113" t="s">
        <v>274</v>
      </c>
      <c r="R113" t="s">
        <v>275</v>
      </c>
      <c r="T113" t="s">
        <v>678</v>
      </c>
      <c r="U113">
        <v>45859</v>
      </c>
      <c r="V113">
        <v>45859</v>
      </c>
      <c r="W113" t="s">
        <v>275</v>
      </c>
      <c r="Y113" t="s">
        <v>548</v>
      </c>
      <c r="Z113">
        <v>45859</v>
      </c>
    </row>
    <row r="114" spans="1:27">
      <c r="A114">
        <v>7</v>
      </c>
      <c r="B114" t="s">
        <v>5</v>
      </c>
      <c r="C114">
        <v>45848</v>
      </c>
      <c r="D114">
        <v>45862</v>
      </c>
      <c r="E114" t="s">
        <v>680</v>
      </c>
      <c r="F114" t="s">
        <v>654</v>
      </c>
      <c r="G114" t="s">
        <v>637</v>
      </c>
      <c r="H114" t="s">
        <v>681</v>
      </c>
      <c r="I114" t="s">
        <v>263</v>
      </c>
      <c r="J114">
        <v>3</v>
      </c>
      <c r="M114">
        <v>45861</v>
      </c>
    </row>
    <row r="115" spans="1:27">
      <c r="A115">
        <v>1</v>
      </c>
      <c r="B115" t="s">
        <v>5</v>
      </c>
      <c r="C115">
        <v>45862</v>
      </c>
      <c r="D115">
        <v>45876</v>
      </c>
      <c r="E115" t="s">
        <v>135</v>
      </c>
      <c r="F115" t="s">
        <v>544</v>
      </c>
      <c r="G115" t="s">
        <v>633</v>
      </c>
      <c r="H115" t="s">
        <v>634</v>
      </c>
      <c r="I115" t="s">
        <v>13</v>
      </c>
      <c r="J115">
        <v>3</v>
      </c>
      <c r="M115">
        <v>45863</v>
      </c>
      <c r="N115">
        <v>45866</v>
      </c>
      <c r="P115" t="s">
        <v>274</v>
      </c>
      <c r="R115" t="s">
        <v>275</v>
      </c>
      <c r="T115" t="s">
        <v>635</v>
      </c>
      <c r="U115">
        <v>45866</v>
      </c>
      <c r="V115">
        <v>45868</v>
      </c>
      <c r="W115" t="s">
        <v>275</v>
      </c>
      <c r="Y115" t="s">
        <v>548</v>
      </c>
      <c r="Z115">
        <v>45868</v>
      </c>
    </row>
    <row r="116" spans="1:27">
      <c r="A116">
        <v>2</v>
      </c>
      <c r="B116" t="s">
        <v>5</v>
      </c>
      <c r="C116">
        <v>45862</v>
      </c>
      <c r="D116">
        <v>45876</v>
      </c>
      <c r="E116" t="s">
        <v>135</v>
      </c>
      <c r="F116" t="s">
        <v>567</v>
      </c>
      <c r="G116" t="s">
        <v>637</v>
      </c>
      <c r="H116" t="s">
        <v>638</v>
      </c>
      <c r="I116" t="s">
        <v>13</v>
      </c>
      <c r="J116">
        <v>2</v>
      </c>
      <c r="M116">
        <v>45861</v>
      </c>
      <c r="N116">
        <v>45866</v>
      </c>
      <c r="P116" t="s">
        <v>274</v>
      </c>
      <c r="R116" t="s">
        <v>275</v>
      </c>
      <c r="T116" t="s">
        <v>639</v>
      </c>
      <c r="U116">
        <v>45866</v>
      </c>
      <c r="V116">
        <v>45867</v>
      </c>
      <c r="W116" t="s">
        <v>275</v>
      </c>
      <c r="Y116" t="s">
        <v>548</v>
      </c>
      <c r="Z116">
        <v>45867</v>
      </c>
    </row>
    <row r="117" spans="1:27">
      <c r="A117">
        <v>3</v>
      </c>
      <c r="B117" t="s">
        <v>5</v>
      </c>
      <c r="C117">
        <v>45862</v>
      </c>
      <c r="D117">
        <v>45876</v>
      </c>
      <c r="E117" t="s">
        <v>135</v>
      </c>
      <c r="F117" t="s">
        <v>567</v>
      </c>
      <c r="G117" t="s">
        <v>641</v>
      </c>
      <c r="H117" t="s">
        <v>642</v>
      </c>
      <c r="I117" t="s">
        <v>13</v>
      </c>
      <c r="J117">
        <v>5</v>
      </c>
      <c r="M117">
        <v>45867</v>
      </c>
      <c r="N117">
        <v>45874</v>
      </c>
      <c r="P117" t="s">
        <v>274</v>
      </c>
      <c r="R117" t="s">
        <v>275</v>
      </c>
      <c r="T117" t="s">
        <v>643</v>
      </c>
      <c r="U117">
        <v>45874</v>
      </c>
      <c r="V117">
        <v>45874</v>
      </c>
      <c r="W117" t="s">
        <v>275</v>
      </c>
      <c r="Y117" t="s">
        <v>548</v>
      </c>
      <c r="Z117">
        <v>45874</v>
      </c>
    </row>
    <row r="118" spans="1:27">
      <c r="A118">
        <v>4</v>
      </c>
      <c r="B118" t="s">
        <v>5</v>
      </c>
      <c r="C118">
        <v>45862</v>
      </c>
      <c r="D118">
        <v>45876</v>
      </c>
      <c r="E118" t="s">
        <v>135</v>
      </c>
      <c r="F118" t="s">
        <v>219</v>
      </c>
      <c r="G118" t="s">
        <v>645</v>
      </c>
      <c r="H118" t="s">
        <v>646</v>
      </c>
      <c r="I118" t="s">
        <v>13</v>
      </c>
      <c r="J118">
        <v>3</v>
      </c>
      <c r="M118">
        <v>45863</v>
      </c>
      <c r="N118">
        <v>45874</v>
      </c>
      <c r="P118" t="s">
        <v>274</v>
      </c>
      <c r="R118" t="s">
        <v>275</v>
      </c>
      <c r="T118" t="s">
        <v>647</v>
      </c>
      <c r="U118">
        <v>45873</v>
      </c>
      <c r="V118">
        <v>45874</v>
      </c>
      <c r="W118" t="s">
        <v>275</v>
      </c>
      <c r="Y118" t="s">
        <v>548</v>
      </c>
      <c r="Z118">
        <v>45874</v>
      </c>
    </row>
    <row r="119" spans="1:27">
      <c r="A119">
        <v>5</v>
      </c>
      <c r="B119" t="s">
        <v>5</v>
      </c>
      <c r="C119">
        <v>45862</v>
      </c>
      <c r="D119">
        <v>45876</v>
      </c>
      <c r="E119" t="s">
        <v>649</v>
      </c>
      <c r="F119" t="s">
        <v>544</v>
      </c>
      <c r="G119" t="s">
        <v>650</v>
      </c>
      <c r="H119" t="s">
        <v>651</v>
      </c>
      <c r="I119" t="s">
        <v>13</v>
      </c>
      <c r="J119">
        <v>2</v>
      </c>
      <c r="M119">
        <v>45874</v>
      </c>
      <c r="N119">
        <v>45874</v>
      </c>
      <c r="P119" t="s">
        <v>274</v>
      </c>
      <c r="R119" t="s">
        <v>275</v>
      </c>
      <c r="T119" t="s">
        <v>652</v>
      </c>
      <c r="U119">
        <v>45874</v>
      </c>
      <c r="V119">
        <v>45874</v>
      </c>
      <c r="W119" t="s">
        <v>275</v>
      </c>
      <c r="Y119" t="s">
        <v>548</v>
      </c>
      <c r="Z119">
        <v>45874</v>
      </c>
    </row>
    <row r="120" spans="1:27">
      <c r="A120">
        <v>6</v>
      </c>
      <c r="B120" t="s">
        <v>5</v>
      </c>
      <c r="C120">
        <v>45862</v>
      </c>
      <c r="D120">
        <v>45876</v>
      </c>
      <c r="E120" t="s">
        <v>649</v>
      </c>
      <c r="F120" t="s">
        <v>219</v>
      </c>
      <c r="G120" t="s">
        <v>609</v>
      </c>
      <c r="H120" t="s">
        <v>610</v>
      </c>
      <c r="I120" t="s">
        <v>263</v>
      </c>
      <c r="J120">
        <v>2</v>
      </c>
      <c r="M120">
        <v>45874</v>
      </c>
    </row>
    <row r="121" spans="1:27">
      <c r="A121">
        <v>7</v>
      </c>
      <c r="B121" t="s">
        <v>5</v>
      </c>
      <c r="C121">
        <v>45862</v>
      </c>
      <c r="D121">
        <v>45876</v>
      </c>
      <c r="E121" t="s">
        <v>649</v>
      </c>
      <c r="F121" t="s">
        <v>567</v>
      </c>
      <c r="G121" t="s">
        <v>613</v>
      </c>
      <c r="H121" t="s">
        <v>614</v>
      </c>
      <c r="I121" t="s">
        <v>263</v>
      </c>
      <c r="J121">
        <v>3</v>
      </c>
      <c r="M121">
        <v>45875</v>
      </c>
    </row>
    <row r="122" spans="1:27">
      <c r="A122">
        <v>1</v>
      </c>
      <c r="B122" t="s">
        <v>5</v>
      </c>
      <c r="C122">
        <v>45876</v>
      </c>
      <c r="D122">
        <v>45890</v>
      </c>
      <c r="E122" t="s">
        <v>139</v>
      </c>
      <c r="F122" t="s">
        <v>601</v>
      </c>
      <c r="G122" t="s">
        <v>602</v>
      </c>
      <c r="H122" t="s">
        <v>603</v>
      </c>
      <c r="I122" t="s">
        <v>13</v>
      </c>
      <c r="J122">
        <v>5</v>
      </c>
      <c r="K122">
        <v>5</v>
      </c>
      <c r="M122">
        <v>45877</v>
      </c>
      <c r="N122">
        <v>45882</v>
      </c>
      <c r="P122" t="s">
        <v>274</v>
      </c>
      <c r="R122" t="s">
        <v>275</v>
      </c>
      <c r="T122" t="s">
        <v>604</v>
      </c>
      <c r="U122">
        <v>45882</v>
      </c>
      <c r="V122">
        <v>45883</v>
      </c>
      <c r="W122" t="s">
        <v>275</v>
      </c>
      <c r="Y122" t="s">
        <v>548</v>
      </c>
      <c r="Z122">
        <v>45883</v>
      </c>
      <c r="AA122" t="s">
        <v>605</v>
      </c>
    </row>
    <row r="123" spans="1:27">
      <c r="A123">
        <v>2</v>
      </c>
      <c r="B123" t="s">
        <v>5</v>
      </c>
      <c r="C123">
        <v>45876</v>
      </c>
      <c r="D123">
        <v>45890</v>
      </c>
      <c r="E123" t="s">
        <v>139</v>
      </c>
      <c r="F123" t="s">
        <v>219</v>
      </c>
      <c r="G123" t="s">
        <v>588</v>
      </c>
      <c r="H123" t="s">
        <v>589</v>
      </c>
      <c r="I123" t="s">
        <v>13</v>
      </c>
      <c r="J123">
        <v>5</v>
      </c>
      <c r="K123">
        <v>4</v>
      </c>
      <c r="L123">
        <v>85.25</v>
      </c>
      <c r="M123">
        <v>45880</v>
      </c>
      <c r="N123">
        <v>45888</v>
      </c>
      <c r="P123" t="s">
        <v>274</v>
      </c>
      <c r="R123" t="s">
        <v>570</v>
      </c>
      <c r="T123" t="s">
        <v>590</v>
      </c>
      <c r="U123">
        <v>45888</v>
      </c>
      <c r="V123">
        <v>45889</v>
      </c>
      <c r="W123" t="s">
        <v>570</v>
      </c>
      <c r="X123" s="43" t="s">
        <v>1860</v>
      </c>
      <c r="Y123" t="s">
        <v>548</v>
      </c>
      <c r="Z123">
        <v>45889</v>
      </c>
    </row>
    <row r="124" spans="1:27">
      <c r="A124">
        <v>3</v>
      </c>
      <c r="B124" t="s">
        <v>5</v>
      </c>
      <c r="C124">
        <v>45876</v>
      </c>
      <c r="D124">
        <v>45890</v>
      </c>
      <c r="E124" t="s">
        <v>139</v>
      </c>
      <c r="F124" t="s">
        <v>219</v>
      </c>
      <c r="G124" t="s">
        <v>609</v>
      </c>
      <c r="H124" t="s">
        <v>610</v>
      </c>
      <c r="I124" t="s">
        <v>13</v>
      </c>
      <c r="J124">
        <v>2</v>
      </c>
      <c r="K124">
        <v>2</v>
      </c>
      <c r="L124">
        <v>22.75</v>
      </c>
      <c r="M124">
        <v>45874</v>
      </c>
      <c r="N124">
        <v>45877</v>
      </c>
      <c r="P124" t="s">
        <v>274</v>
      </c>
      <c r="R124" t="s">
        <v>275</v>
      </c>
      <c r="T124" t="s">
        <v>611</v>
      </c>
      <c r="U124">
        <v>45878</v>
      </c>
      <c r="V124">
        <v>45878</v>
      </c>
      <c r="W124" t="s">
        <v>275</v>
      </c>
      <c r="Y124" t="s">
        <v>548</v>
      </c>
      <c r="Z124">
        <v>45878</v>
      </c>
    </row>
    <row r="125" spans="1:27">
      <c r="A125">
        <v>4</v>
      </c>
      <c r="B125" t="s">
        <v>5</v>
      </c>
      <c r="C125">
        <v>45876</v>
      </c>
      <c r="D125">
        <v>45890</v>
      </c>
      <c r="E125" t="s">
        <v>139</v>
      </c>
      <c r="F125" t="s">
        <v>567</v>
      </c>
      <c r="G125" t="s">
        <v>613</v>
      </c>
      <c r="H125" t="s">
        <v>614</v>
      </c>
      <c r="I125" t="s">
        <v>13</v>
      </c>
      <c r="J125">
        <v>3</v>
      </c>
      <c r="K125">
        <v>3</v>
      </c>
      <c r="L125">
        <v>26</v>
      </c>
      <c r="M125">
        <v>45875</v>
      </c>
      <c r="N125">
        <v>45877</v>
      </c>
      <c r="P125" t="s">
        <v>274</v>
      </c>
      <c r="R125" t="s">
        <v>275</v>
      </c>
      <c r="T125" t="s">
        <v>611</v>
      </c>
      <c r="U125">
        <v>45878</v>
      </c>
      <c r="V125">
        <v>45878</v>
      </c>
      <c r="W125" t="s">
        <v>275</v>
      </c>
      <c r="Y125" t="s">
        <v>548</v>
      </c>
      <c r="Z125">
        <v>45878</v>
      </c>
    </row>
    <row r="126" spans="1:27">
      <c r="A126">
        <v>5</v>
      </c>
      <c r="B126" t="s">
        <v>5</v>
      </c>
      <c r="C126">
        <v>45876</v>
      </c>
      <c r="D126">
        <v>45890</v>
      </c>
      <c r="E126" t="s">
        <v>616</v>
      </c>
      <c r="F126" t="s">
        <v>567</v>
      </c>
      <c r="G126" t="s">
        <v>568</v>
      </c>
      <c r="H126" t="s">
        <v>569</v>
      </c>
      <c r="I126" t="s">
        <v>392</v>
      </c>
      <c r="J126">
        <v>3</v>
      </c>
      <c r="L126">
        <v>33.75</v>
      </c>
      <c r="M126">
        <v>45882</v>
      </c>
      <c r="N126">
        <v>45888</v>
      </c>
      <c r="P126" t="s">
        <v>274</v>
      </c>
      <c r="R126" t="s">
        <v>570</v>
      </c>
      <c r="S126" s="43" t="s">
        <v>617</v>
      </c>
      <c r="T126" t="s">
        <v>572</v>
      </c>
      <c r="U126">
        <v>45888</v>
      </c>
      <c r="V126">
        <v>45889</v>
      </c>
      <c r="W126" t="s">
        <v>570</v>
      </c>
      <c r="X126" s="43" t="s">
        <v>618</v>
      </c>
      <c r="Y126" t="s">
        <v>548</v>
      </c>
      <c r="Z126">
        <v>45889</v>
      </c>
    </row>
    <row r="127" spans="1:27">
      <c r="A127">
        <v>6</v>
      </c>
      <c r="B127" t="s">
        <v>5</v>
      </c>
      <c r="C127">
        <v>45876</v>
      </c>
      <c r="D127">
        <v>45890</v>
      </c>
      <c r="E127" t="s">
        <v>616</v>
      </c>
      <c r="F127" t="s">
        <v>567</v>
      </c>
      <c r="G127" t="s">
        <v>575</v>
      </c>
      <c r="H127" t="s">
        <v>576</v>
      </c>
      <c r="I127" t="s">
        <v>13</v>
      </c>
      <c r="J127">
        <v>3</v>
      </c>
      <c r="L127">
        <v>18</v>
      </c>
      <c r="M127">
        <v>45889</v>
      </c>
    </row>
    <row r="128" spans="1:27">
      <c r="A128">
        <v>7</v>
      </c>
      <c r="B128" t="s">
        <v>5</v>
      </c>
      <c r="C128">
        <v>45876</v>
      </c>
      <c r="D128">
        <v>45890</v>
      </c>
      <c r="E128" t="s">
        <v>616</v>
      </c>
      <c r="F128" t="s">
        <v>219</v>
      </c>
      <c r="G128" t="s">
        <v>580</v>
      </c>
      <c r="H128" t="s">
        <v>581</v>
      </c>
      <c r="I128" t="s">
        <v>13</v>
      </c>
      <c r="J128">
        <v>5</v>
      </c>
      <c r="L128">
        <v>17.5</v>
      </c>
      <c r="M128">
        <v>45889</v>
      </c>
    </row>
    <row r="129" spans="1:26">
      <c r="A129">
        <v>1</v>
      </c>
      <c r="B129" t="s">
        <v>5</v>
      </c>
      <c r="C129">
        <v>45890</v>
      </c>
      <c r="D129">
        <v>45904</v>
      </c>
      <c r="E129" t="s">
        <v>144</v>
      </c>
      <c r="F129" t="s">
        <v>567</v>
      </c>
      <c r="G129" t="s">
        <v>568</v>
      </c>
      <c r="H129" t="s">
        <v>569</v>
      </c>
      <c r="I129" t="s">
        <v>13</v>
      </c>
      <c r="J129">
        <v>2</v>
      </c>
      <c r="M129">
        <v>45882</v>
      </c>
      <c r="N129">
        <v>45888</v>
      </c>
      <c r="P129" t="s">
        <v>274</v>
      </c>
      <c r="R129" t="s">
        <v>570</v>
      </c>
      <c r="S129" t="s">
        <v>571</v>
      </c>
      <c r="T129" t="s">
        <v>572</v>
      </c>
      <c r="U129">
        <v>45888</v>
      </c>
      <c r="V129">
        <v>45889</v>
      </c>
      <c r="W129" t="s">
        <v>570</v>
      </c>
      <c r="Y129" t="s">
        <v>548</v>
      </c>
      <c r="Z129">
        <v>45889</v>
      </c>
    </row>
    <row r="130" spans="1:26">
      <c r="A130">
        <v>2</v>
      </c>
      <c r="B130" t="s">
        <v>5</v>
      </c>
      <c r="C130">
        <v>45890</v>
      </c>
      <c r="D130">
        <v>45904</v>
      </c>
      <c r="E130" t="s">
        <v>144</v>
      </c>
      <c r="F130" t="s">
        <v>567</v>
      </c>
      <c r="G130" t="s">
        <v>575</v>
      </c>
      <c r="H130" t="s">
        <v>576</v>
      </c>
      <c r="I130" t="s">
        <v>13</v>
      </c>
      <c r="J130">
        <v>2</v>
      </c>
      <c r="M130">
        <v>45889</v>
      </c>
      <c r="N130">
        <v>45895</v>
      </c>
      <c r="P130" t="s">
        <v>274</v>
      </c>
      <c r="R130" t="s">
        <v>275</v>
      </c>
      <c r="T130" t="s">
        <v>577</v>
      </c>
      <c r="U130">
        <v>45895</v>
      </c>
      <c r="V130">
        <v>45876</v>
      </c>
      <c r="W130" t="s">
        <v>275</v>
      </c>
      <c r="Y130" t="s">
        <v>548</v>
      </c>
      <c r="Z130">
        <v>45896</v>
      </c>
    </row>
    <row r="131" spans="1:26">
      <c r="A131">
        <v>3</v>
      </c>
      <c r="B131" t="s">
        <v>5</v>
      </c>
      <c r="C131">
        <v>45890</v>
      </c>
      <c r="D131">
        <v>45904</v>
      </c>
      <c r="E131" t="s">
        <v>144</v>
      </c>
      <c r="F131" t="s">
        <v>579</v>
      </c>
      <c r="G131" t="s">
        <v>580</v>
      </c>
      <c r="H131" t="s">
        <v>581</v>
      </c>
      <c r="I131" t="s">
        <v>13</v>
      </c>
      <c r="J131">
        <v>2</v>
      </c>
      <c r="M131">
        <v>45889</v>
      </c>
      <c r="P131" t="s">
        <v>275</v>
      </c>
      <c r="R131" t="s">
        <v>275</v>
      </c>
      <c r="S131" s="43" t="s">
        <v>582</v>
      </c>
    </row>
    <row r="132" spans="1:26">
      <c r="A132">
        <v>4</v>
      </c>
      <c r="B132" t="s">
        <v>5</v>
      </c>
      <c r="C132">
        <v>45890</v>
      </c>
      <c r="D132">
        <v>45904</v>
      </c>
      <c r="E132" t="s">
        <v>144</v>
      </c>
      <c r="F132" t="s">
        <v>544</v>
      </c>
      <c r="G132" t="s">
        <v>583</v>
      </c>
      <c r="H132" t="s">
        <v>584</v>
      </c>
      <c r="I132" t="s">
        <v>13</v>
      </c>
      <c r="J132">
        <v>3</v>
      </c>
      <c r="M132">
        <v>45889</v>
      </c>
      <c r="N132">
        <v>45895</v>
      </c>
      <c r="P132" t="s">
        <v>274</v>
      </c>
      <c r="R132" t="s">
        <v>275</v>
      </c>
      <c r="S132" s="43" t="s">
        <v>585</v>
      </c>
      <c r="T132" t="s">
        <v>586</v>
      </c>
      <c r="U132">
        <v>45895</v>
      </c>
      <c r="V132">
        <v>45899</v>
      </c>
      <c r="W132" t="s">
        <v>275</v>
      </c>
      <c r="Y132" t="s">
        <v>548</v>
      </c>
      <c r="Z132">
        <v>45899</v>
      </c>
    </row>
    <row r="133" spans="1:26">
      <c r="A133">
        <v>5</v>
      </c>
      <c r="B133" t="s">
        <v>5</v>
      </c>
      <c r="C133">
        <v>45890</v>
      </c>
      <c r="D133">
        <v>45904</v>
      </c>
      <c r="E133" t="s">
        <v>144</v>
      </c>
      <c r="F133" t="s">
        <v>219</v>
      </c>
      <c r="G133" t="s">
        <v>588</v>
      </c>
      <c r="H133" t="s">
        <v>589</v>
      </c>
      <c r="I133" t="s">
        <v>13</v>
      </c>
      <c r="J133">
        <v>1</v>
      </c>
      <c r="M133">
        <v>45880</v>
      </c>
      <c r="N133">
        <v>45888</v>
      </c>
      <c r="P133" t="s">
        <v>274</v>
      </c>
      <c r="R133" t="s">
        <v>570</v>
      </c>
      <c r="S133" t="s">
        <v>571</v>
      </c>
      <c r="T133" t="s">
        <v>590</v>
      </c>
      <c r="U133">
        <v>45888</v>
      </c>
      <c r="V133">
        <v>45889</v>
      </c>
      <c r="W133" t="s">
        <v>570</v>
      </c>
      <c r="Y133" t="s">
        <v>548</v>
      </c>
      <c r="Z133">
        <v>45889</v>
      </c>
    </row>
    <row r="134" spans="1:26">
      <c r="A134">
        <v>6</v>
      </c>
      <c r="B134" t="s">
        <v>5</v>
      </c>
      <c r="C134">
        <v>45890</v>
      </c>
      <c r="D134">
        <v>45904</v>
      </c>
      <c r="E134" t="s">
        <v>592</v>
      </c>
      <c r="F134" t="s">
        <v>219</v>
      </c>
      <c r="G134" t="s">
        <v>593</v>
      </c>
      <c r="H134" t="s">
        <v>594</v>
      </c>
      <c r="I134" t="s">
        <v>13</v>
      </c>
      <c r="J134">
        <v>2</v>
      </c>
      <c r="M134">
        <v>45897</v>
      </c>
      <c r="N134">
        <v>45903</v>
      </c>
      <c r="P134" t="s">
        <v>274</v>
      </c>
      <c r="R134" t="s">
        <v>275</v>
      </c>
      <c r="T134" t="s">
        <v>595</v>
      </c>
      <c r="U134">
        <v>45903</v>
      </c>
      <c r="V134">
        <v>45903</v>
      </c>
      <c r="W134" t="s">
        <v>275</v>
      </c>
      <c r="Y134" t="s">
        <v>548</v>
      </c>
      <c r="Z134">
        <v>45903</v>
      </c>
    </row>
    <row r="135" spans="1:26">
      <c r="A135">
        <v>7</v>
      </c>
      <c r="B135" t="s">
        <v>5</v>
      </c>
      <c r="C135">
        <v>45890</v>
      </c>
      <c r="D135">
        <v>45904</v>
      </c>
      <c r="E135" t="s">
        <v>144</v>
      </c>
      <c r="F135" t="s">
        <v>567</v>
      </c>
      <c r="G135" t="s">
        <v>597</v>
      </c>
      <c r="H135" t="s">
        <v>598</v>
      </c>
      <c r="I135" t="s">
        <v>13</v>
      </c>
      <c r="J135">
        <v>5</v>
      </c>
      <c r="M135">
        <v>45901</v>
      </c>
      <c r="N135">
        <v>45903</v>
      </c>
      <c r="P135" t="s">
        <v>274</v>
      </c>
      <c r="R135" t="s">
        <v>275</v>
      </c>
      <c r="T135" t="s">
        <v>599</v>
      </c>
      <c r="U135">
        <v>45903</v>
      </c>
      <c r="V135">
        <v>45903</v>
      </c>
      <c r="W135" t="s">
        <v>275</v>
      </c>
      <c r="Y135" t="s">
        <v>548</v>
      </c>
      <c r="Z135">
        <v>45903</v>
      </c>
    </row>
    <row r="136" spans="1:26">
      <c r="A136">
        <v>1</v>
      </c>
      <c r="B136" t="s">
        <v>5</v>
      </c>
      <c r="C136">
        <v>45904</v>
      </c>
      <c r="D136">
        <v>45918</v>
      </c>
      <c r="E136" t="s">
        <v>150</v>
      </c>
      <c r="F136" t="s">
        <v>544</v>
      </c>
      <c r="G136" t="s">
        <v>545</v>
      </c>
      <c r="H136" t="s">
        <v>546</v>
      </c>
      <c r="I136" t="s">
        <v>13</v>
      </c>
      <c r="J136">
        <v>3</v>
      </c>
      <c r="M136">
        <v>45910</v>
      </c>
      <c r="N136">
        <v>45915</v>
      </c>
      <c r="P136" t="s">
        <v>274</v>
      </c>
      <c r="R136" t="s">
        <v>275</v>
      </c>
      <c r="T136" t="s">
        <v>547</v>
      </c>
      <c r="U136">
        <v>45915</v>
      </c>
      <c r="V136">
        <v>45916</v>
      </c>
      <c r="W136" t="s">
        <v>275</v>
      </c>
      <c r="Y136" t="s">
        <v>548</v>
      </c>
      <c r="Z136">
        <v>45916</v>
      </c>
    </row>
    <row r="137" spans="1:26">
      <c r="A137">
        <v>2</v>
      </c>
      <c r="B137" t="s">
        <v>5</v>
      </c>
      <c r="C137">
        <v>45904</v>
      </c>
      <c r="D137">
        <v>45918</v>
      </c>
      <c r="E137" t="s">
        <v>150</v>
      </c>
      <c r="F137" t="s">
        <v>544</v>
      </c>
      <c r="G137" t="s">
        <v>550</v>
      </c>
      <c r="H137" t="s">
        <v>551</v>
      </c>
      <c r="I137" t="s">
        <v>13</v>
      </c>
      <c r="J137">
        <v>3</v>
      </c>
      <c r="M137">
        <v>45905</v>
      </c>
      <c r="N137">
        <v>45910</v>
      </c>
      <c r="P137" t="s">
        <v>274</v>
      </c>
      <c r="R137" t="s">
        <v>275</v>
      </c>
      <c r="T137" t="s">
        <v>552</v>
      </c>
      <c r="U137">
        <v>45911</v>
      </c>
      <c r="V137">
        <v>45911</v>
      </c>
      <c r="W137" t="s">
        <v>275</v>
      </c>
      <c r="Y137" t="s">
        <v>548</v>
      </c>
      <c r="Z137">
        <v>45911</v>
      </c>
    </row>
    <row r="138" spans="1:26">
      <c r="A138">
        <v>3</v>
      </c>
      <c r="B138" t="s">
        <v>5</v>
      </c>
      <c r="C138">
        <v>45904</v>
      </c>
      <c r="D138">
        <v>45918</v>
      </c>
      <c r="E138" t="s">
        <v>150</v>
      </c>
      <c r="F138" t="s">
        <v>219</v>
      </c>
      <c r="G138" t="s">
        <v>554</v>
      </c>
      <c r="H138" t="s">
        <v>555</v>
      </c>
      <c r="I138" t="s">
        <v>13</v>
      </c>
      <c r="J138">
        <v>3</v>
      </c>
      <c r="M138">
        <v>45912</v>
      </c>
      <c r="N138">
        <v>45917</v>
      </c>
      <c r="P138" t="s">
        <v>274</v>
      </c>
      <c r="R138" t="s">
        <v>275</v>
      </c>
      <c r="T138" t="s">
        <v>556</v>
      </c>
      <c r="U138">
        <v>45917</v>
      </c>
      <c r="V138">
        <v>45917</v>
      </c>
      <c r="W138" t="s">
        <v>275</v>
      </c>
      <c r="Y138" t="s">
        <v>548</v>
      </c>
      <c r="Z138">
        <v>45917</v>
      </c>
    </row>
    <row r="139" spans="1:26">
      <c r="A139">
        <v>4</v>
      </c>
      <c r="B139" t="s">
        <v>5</v>
      </c>
      <c r="C139">
        <v>45904</v>
      </c>
      <c r="D139">
        <v>45918</v>
      </c>
      <c r="E139" t="s">
        <v>150</v>
      </c>
      <c r="F139" t="s">
        <v>558</v>
      </c>
      <c r="G139" t="s">
        <v>559</v>
      </c>
      <c r="H139" t="s">
        <v>560</v>
      </c>
      <c r="I139" t="s">
        <v>13</v>
      </c>
      <c r="J139">
        <v>3</v>
      </c>
      <c r="M139">
        <v>45905</v>
      </c>
      <c r="N139">
        <v>45912</v>
      </c>
      <c r="P139" t="s">
        <v>274</v>
      </c>
      <c r="R139" t="s">
        <v>275</v>
      </c>
      <c r="T139" t="s">
        <v>561</v>
      </c>
      <c r="U139">
        <v>45912</v>
      </c>
      <c r="V139">
        <v>45912</v>
      </c>
      <c r="W139" t="s">
        <v>275</v>
      </c>
      <c r="Y139" t="s">
        <v>548</v>
      </c>
      <c r="Z139">
        <v>45912</v>
      </c>
    </row>
    <row r="140" spans="1:26">
      <c r="B140" t="s">
        <v>5</v>
      </c>
      <c r="C140">
        <v>45904</v>
      </c>
      <c r="D140">
        <v>45918</v>
      </c>
      <c r="E140" t="s">
        <v>150</v>
      </c>
      <c r="F140" t="s">
        <v>219</v>
      </c>
      <c r="G140" t="s">
        <v>563</v>
      </c>
      <c r="H140" t="s">
        <v>564</v>
      </c>
      <c r="I140" t="s">
        <v>13</v>
      </c>
      <c r="J140">
        <v>3</v>
      </c>
      <c r="M140">
        <v>45904</v>
      </c>
      <c r="N140">
        <v>45917</v>
      </c>
      <c r="P140" t="s">
        <v>274</v>
      </c>
      <c r="R140" t="s">
        <v>275</v>
      </c>
      <c r="T140" t="s">
        <v>565</v>
      </c>
      <c r="U140">
        <v>45910</v>
      </c>
      <c r="V140">
        <v>45917</v>
      </c>
      <c r="W140" t="s">
        <v>275</v>
      </c>
      <c r="Y140" t="s">
        <v>548</v>
      </c>
      <c r="Z140">
        <v>45917</v>
      </c>
    </row>
    <row r="141" spans="1:26">
      <c r="A141">
        <v>1</v>
      </c>
      <c r="B141" t="s">
        <v>5</v>
      </c>
      <c r="C141">
        <v>45919</v>
      </c>
      <c r="D141">
        <v>45932</v>
      </c>
      <c r="E141" t="s">
        <v>155</v>
      </c>
      <c r="F141" t="s">
        <v>219</v>
      </c>
      <c r="G141" t="s">
        <v>531</v>
      </c>
      <c r="H141" t="s">
        <v>532</v>
      </c>
      <c r="I141" t="s">
        <v>13</v>
      </c>
      <c r="J141">
        <v>5</v>
      </c>
      <c r="M141">
        <v>45922</v>
      </c>
      <c r="N141">
        <v>45926</v>
      </c>
      <c r="P141" t="s">
        <v>274</v>
      </c>
      <c r="R141" t="s">
        <v>275</v>
      </c>
      <c r="T141" t="s">
        <v>533</v>
      </c>
      <c r="U141">
        <v>45925</v>
      </c>
      <c r="V141">
        <v>45926</v>
      </c>
      <c r="W141" t="s">
        <v>275</v>
      </c>
      <c r="Y141" t="s">
        <v>534</v>
      </c>
      <c r="Z141">
        <v>45926</v>
      </c>
    </row>
    <row r="142" spans="1:26">
      <c r="A142">
        <v>2</v>
      </c>
      <c r="B142" t="s">
        <v>5</v>
      </c>
      <c r="C142">
        <v>45919</v>
      </c>
      <c r="D142">
        <v>45932</v>
      </c>
      <c r="E142" t="s">
        <v>155</v>
      </c>
      <c r="F142" t="s">
        <v>219</v>
      </c>
      <c r="G142" t="s">
        <v>536</v>
      </c>
      <c r="H142" t="s">
        <v>537</v>
      </c>
      <c r="I142" t="s">
        <v>13</v>
      </c>
      <c r="J142">
        <v>2</v>
      </c>
      <c r="M142">
        <v>45919</v>
      </c>
      <c r="N142">
        <v>45924</v>
      </c>
      <c r="P142" t="s">
        <v>274</v>
      </c>
      <c r="R142" t="s">
        <v>275</v>
      </c>
      <c r="T142" t="s">
        <v>533</v>
      </c>
      <c r="U142">
        <v>45923</v>
      </c>
      <c r="V142">
        <v>45926</v>
      </c>
      <c r="W142" t="s">
        <v>275</v>
      </c>
      <c r="Y142" t="s">
        <v>534</v>
      </c>
      <c r="Z142">
        <v>45926</v>
      </c>
    </row>
    <row r="143" spans="1:26">
      <c r="A143">
        <v>1</v>
      </c>
      <c r="B143" t="s">
        <v>5</v>
      </c>
      <c r="C143">
        <v>45933</v>
      </c>
      <c r="D143">
        <v>45946</v>
      </c>
      <c r="E143" t="s">
        <v>159</v>
      </c>
      <c r="F143" t="s">
        <v>219</v>
      </c>
      <c r="G143" t="s">
        <v>518</v>
      </c>
      <c r="H143" t="s">
        <v>519</v>
      </c>
      <c r="I143" t="s">
        <v>13</v>
      </c>
      <c r="J143">
        <v>2</v>
      </c>
      <c r="M143">
        <v>45933</v>
      </c>
      <c r="N143">
        <v>45936</v>
      </c>
      <c r="P143" t="s">
        <v>274</v>
      </c>
      <c r="R143" t="s">
        <v>275</v>
      </c>
      <c r="T143" t="s">
        <v>520</v>
      </c>
      <c r="U143">
        <v>45936</v>
      </c>
      <c r="V143">
        <v>45936</v>
      </c>
      <c r="W143" t="s">
        <v>275</v>
      </c>
      <c r="Y143" t="s">
        <v>311</v>
      </c>
      <c r="Z143">
        <v>45936</v>
      </c>
    </row>
    <row r="144" spans="1:26">
      <c r="A144">
        <v>2</v>
      </c>
      <c r="B144" t="s">
        <v>5</v>
      </c>
      <c r="C144">
        <v>45933</v>
      </c>
      <c r="D144">
        <v>45946</v>
      </c>
      <c r="E144" t="s">
        <v>159</v>
      </c>
      <c r="F144" t="s">
        <v>219</v>
      </c>
      <c r="G144" t="s">
        <v>522</v>
      </c>
      <c r="H144" t="s">
        <v>523</v>
      </c>
      <c r="I144" t="s">
        <v>13</v>
      </c>
      <c r="J144">
        <v>5</v>
      </c>
      <c r="M144">
        <v>45938</v>
      </c>
      <c r="N144">
        <v>45943</v>
      </c>
      <c r="P144" t="s">
        <v>274</v>
      </c>
      <c r="R144" t="s">
        <v>275</v>
      </c>
      <c r="T144" t="s">
        <v>524</v>
      </c>
      <c r="U144">
        <v>45939</v>
      </c>
      <c r="V144">
        <v>45943</v>
      </c>
      <c r="W144" t="s">
        <v>275</v>
      </c>
      <c r="Y144" t="s">
        <v>277</v>
      </c>
      <c r="Z144">
        <v>45943</v>
      </c>
    </row>
    <row r="145" spans="1:26">
      <c r="A145">
        <v>1</v>
      </c>
      <c r="B145" t="s">
        <v>5</v>
      </c>
      <c r="C145">
        <v>45947</v>
      </c>
      <c r="D145">
        <v>45960</v>
      </c>
      <c r="E145" t="s">
        <v>163</v>
      </c>
      <c r="F145" t="s">
        <v>219</v>
      </c>
      <c r="G145" t="s">
        <v>501</v>
      </c>
      <c r="H145" t="s">
        <v>502</v>
      </c>
      <c r="I145" t="s">
        <v>13</v>
      </c>
      <c r="J145">
        <v>2</v>
      </c>
      <c r="M145">
        <v>45947</v>
      </c>
      <c r="N145">
        <v>45951</v>
      </c>
      <c r="P145" t="s">
        <v>274</v>
      </c>
      <c r="R145" t="s">
        <v>275</v>
      </c>
      <c r="T145" t="s">
        <v>503</v>
      </c>
      <c r="U145">
        <v>45951</v>
      </c>
      <c r="V145">
        <v>45951</v>
      </c>
      <c r="W145" t="s">
        <v>275</v>
      </c>
      <c r="Y145" t="s">
        <v>277</v>
      </c>
      <c r="Z145">
        <v>45951</v>
      </c>
    </row>
    <row r="146" spans="1:26">
      <c r="A146">
        <v>2</v>
      </c>
      <c r="B146" t="s">
        <v>5</v>
      </c>
      <c r="C146">
        <v>45947</v>
      </c>
      <c r="D146">
        <v>45960</v>
      </c>
      <c r="E146" t="s">
        <v>163</v>
      </c>
      <c r="F146" t="s">
        <v>219</v>
      </c>
      <c r="G146" t="s">
        <v>505</v>
      </c>
      <c r="H146" t="s">
        <v>506</v>
      </c>
      <c r="I146" t="s">
        <v>13</v>
      </c>
      <c r="J146">
        <v>2</v>
      </c>
      <c r="M146">
        <v>45952</v>
      </c>
      <c r="N146">
        <v>45953</v>
      </c>
      <c r="P146" t="s">
        <v>274</v>
      </c>
      <c r="R146" t="s">
        <v>275</v>
      </c>
      <c r="T146" t="s">
        <v>507</v>
      </c>
      <c r="U146">
        <v>45953</v>
      </c>
      <c r="V146">
        <v>45954</v>
      </c>
      <c r="W146" t="s">
        <v>275</v>
      </c>
      <c r="Y146" t="s">
        <v>277</v>
      </c>
      <c r="Z146">
        <v>45954</v>
      </c>
    </row>
    <row r="147" spans="1:26">
      <c r="A147">
        <v>3</v>
      </c>
      <c r="B147" t="s">
        <v>5</v>
      </c>
      <c r="C147">
        <v>45947</v>
      </c>
      <c r="D147">
        <v>45960</v>
      </c>
      <c r="E147" t="s">
        <v>163</v>
      </c>
      <c r="F147" t="s">
        <v>219</v>
      </c>
      <c r="G147" t="s">
        <v>509</v>
      </c>
      <c r="H147" t="s">
        <v>510</v>
      </c>
      <c r="I147" t="s">
        <v>13</v>
      </c>
      <c r="J147">
        <v>3</v>
      </c>
      <c r="M147">
        <v>45954</v>
      </c>
      <c r="N147">
        <v>45958</v>
      </c>
      <c r="P147" t="s">
        <v>274</v>
      </c>
      <c r="R147" t="s">
        <v>275</v>
      </c>
      <c r="T147" t="s">
        <v>511</v>
      </c>
      <c r="U147">
        <v>45958</v>
      </c>
      <c r="V147">
        <v>45958</v>
      </c>
      <c r="W147" t="s">
        <v>275</v>
      </c>
      <c r="Y147" t="s">
        <v>277</v>
      </c>
      <c r="Z147">
        <v>45954</v>
      </c>
    </row>
    <row r="148" spans="1:26">
      <c r="A148">
        <v>1</v>
      </c>
      <c r="B148" t="s">
        <v>5</v>
      </c>
      <c r="C148">
        <v>45960</v>
      </c>
      <c r="D148">
        <v>45974</v>
      </c>
      <c r="E148" t="s">
        <v>488</v>
      </c>
      <c r="F148" t="s">
        <v>219</v>
      </c>
      <c r="G148" t="s">
        <v>489</v>
      </c>
      <c r="H148" t="s">
        <v>490</v>
      </c>
      <c r="I148" t="s">
        <v>13</v>
      </c>
      <c r="J148">
        <v>2</v>
      </c>
      <c r="M148">
        <v>45959</v>
      </c>
      <c r="N148">
        <v>45964</v>
      </c>
      <c r="P148" t="s">
        <v>274</v>
      </c>
      <c r="R148" t="s">
        <v>275</v>
      </c>
      <c r="T148" t="s">
        <v>491</v>
      </c>
      <c r="U148">
        <v>45964</v>
      </c>
      <c r="V148">
        <v>45965</v>
      </c>
      <c r="W148" t="s">
        <v>275</v>
      </c>
      <c r="Y148" s="43" t="s">
        <v>402</v>
      </c>
      <c r="Z148">
        <v>45965</v>
      </c>
    </row>
    <row r="149" spans="1:26">
      <c r="A149">
        <v>2</v>
      </c>
      <c r="B149" t="s">
        <v>5</v>
      </c>
      <c r="C149">
        <v>45960</v>
      </c>
      <c r="D149">
        <v>45974</v>
      </c>
      <c r="E149" t="s">
        <v>165</v>
      </c>
      <c r="F149" t="s">
        <v>219</v>
      </c>
      <c r="G149" t="s">
        <v>493</v>
      </c>
      <c r="H149" t="s">
        <v>494</v>
      </c>
      <c r="I149" t="s">
        <v>495</v>
      </c>
      <c r="J149">
        <v>2</v>
      </c>
      <c r="M149">
        <v>45971</v>
      </c>
      <c r="N149">
        <v>45973</v>
      </c>
      <c r="P149" t="s">
        <v>274</v>
      </c>
      <c r="R149" t="s">
        <v>275</v>
      </c>
      <c r="U149">
        <v>45972</v>
      </c>
      <c r="V149">
        <v>45973</v>
      </c>
      <c r="W149" t="s">
        <v>275</v>
      </c>
      <c r="Y149" s="43" t="s">
        <v>402</v>
      </c>
      <c r="Z149">
        <v>45973</v>
      </c>
    </row>
    <row r="150" spans="1:26">
      <c r="A150">
        <v>1</v>
      </c>
      <c r="B150" t="s">
        <v>5</v>
      </c>
      <c r="C150">
        <v>45974</v>
      </c>
      <c r="D150">
        <v>45988</v>
      </c>
      <c r="E150" t="s">
        <v>167</v>
      </c>
      <c r="F150" t="s">
        <v>219</v>
      </c>
      <c r="G150" t="s">
        <v>475</v>
      </c>
      <c r="H150" t="s">
        <v>476</v>
      </c>
      <c r="I150" t="s">
        <v>13</v>
      </c>
      <c r="J150">
        <v>3</v>
      </c>
      <c r="M150">
        <v>45982</v>
      </c>
      <c r="N150">
        <v>45986</v>
      </c>
      <c r="P150" t="s">
        <v>274</v>
      </c>
      <c r="R150" t="s">
        <v>275</v>
      </c>
      <c r="T150" t="s">
        <v>477</v>
      </c>
      <c r="U150">
        <v>45986</v>
      </c>
      <c r="V150">
        <v>45986</v>
      </c>
      <c r="W150" t="s">
        <v>275</v>
      </c>
      <c r="Y150" s="43" t="s">
        <v>402</v>
      </c>
      <c r="Z150">
        <v>45986</v>
      </c>
    </row>
    <row r="151" spans="1:26">
      <c r="A151">
        <v>2</v>
      </c>
      <c r="B151" t="s">
        <v>5</v>
      </c>
      <c r="C151">
        <v>45974</v>
      </c>
      <c r="D151">
        <v>45988</v>
      </c>
      <c r="E151" t="s">
        <v>167</v>
      </c>
      <c r="F151" t="s">
        <v>219</v>
      </c>
      <c r="G151" t="s">
        <v>479</v>
      </c>
      <c r="H151" t="s">
        <v>480</v>
      </c>
      <c r="I151" t="s">
        <v>13</v>
      </c>
      <c r="J151">
        <v>3</v>
      </c>
      <c r="M151">
        <v>45974</v>
      </c>
      <c r="N151">
        <v>45979</v>
      </c>
      <c r="P151" t="s">
        <v>274</v>
      </c>
      <c r="R151" t="s">
        <v>275</v>
      </c>
      <c r="T151" t="s">
        <v>481</v>
      </c>
      <c r="U151">
        <v>45978</v>
      </c>
      <c r="V151">
        <v>45978</v>
      </c>
      <c r="W151" t="s">
        <v>275</v>
      </c>
      <c r="Y151" s="43" t="s">
        <v>402</v>
      </c>
      <c r="Z151">
        <v>45978</v>
      </c>
    </row>
    <row r="152" spans="1:26">
      <c r="A152">
        <v>1</v>
      </c>
      <c r="B152" t="s">
        <v>5</v>
      </c>
      <c r="C152">
        <v>45988</v>
      </c>
      <c r="D152">
        <v>46002</v>
      </c>
      <c r="E152" t="s">
        <v>171</v>
      </c>
      <c r="F152" t="s">
        <v>219</v>
      </c>
      <c r="G152" t="s">
        <v>467</v>
      </c>
      <c r="H152" t="s">
        <v>468</v>
      </c>
      <c r="I152" t="s">
        <v>13</v>
      </c>
      <c r="J152">
        <v>5</v>
      </c>
      <c r="K152">
        <v>5</v>
      </c>
      <c r="M152">
        <v>45988</v>
      </c>
      <c r="N152">
        <v>45994</v>
      </c>
      <c r="P152" t="s">
        <v>274</v>
      </c>
      <c r="R152" t="s">
        <v>275</v>
      </c>
      <c r="T152" t="s">
        <v>469</v>
      </c>
      <c r="U152">
        <v>45994</v>
      </c>
      <c r="V152">
        <v>45994</v>
      </c>
      <c r="W152" t="s">
        <v>275</v>
      </c>
      <c r="Y152" s="43" t="s">
        <v>402</v>
      </c>
      <c r="Z152">
        <v>45994</v>
      </c>
    </row>
    <row r="153" spans="1:26">
      <c r="A153">
        <v>2</v>
      </c>
      <c r="B153" t="s">
        <v>5</v>
      </c>
      <c r="C153">
        <v>45988</v>
      </c>
      <c r="D153">
        <v>46002</v>
      </c>
      <c r="E153" t="s">
        <v>171</v>
      </c>
      <c r="F153" t="s">
        <v>219</v>
      </c>
      <c r="G153" t="s">
        <v>471</v>
      </c>
      <c r="H153" t="s">
        <v>472</v>
      </c>
      <c r="I153" t="s">
        <v>13</v>
      </c>
      <c r="J153">
        <v>2</v>
      </c>
      <c r="K153">
        <v>2</v>
      </c>
      <c r="M153">
        <v>45994</v>
      </c>
      <c r="N153">
        <v>45995</v>
      </c>
      <c r="P153" t="s">
        <v>274</v>
      </c>
      <c r="R153" t="s">
        <v>275</v>
      </c>
      <c r="T153" t="s">
        <v>473</v>
      </c>
      <c r="U153">
        <v>45995</v>
      </c>
      <c r="V153">
        <v>45996</v>
      </c>
      <c r="W153" t="s">
        <v>275</v>
      </c>
      <c r="Y153" s="43" t="s">
        <v>402</v>
      </c>
      <c r="Z153">
        <v>45996</v>
      </c>
    </row>
    <row r="154" spans="1:26">
      <c r="A154">
        <v>1</v>
      </c>
      <c r="B154" t="s">
        <v>5</v>
      </c>
      <c r="C154">
        <v>46002</v>
      </c>
      <c r="D154">
        <v>46030</v>
      </c>
      <c r="E154" t="s">
        <v>174</v>
      </c>
      <c r="F154" t="s">
        <v>219</v>
      </c>
      <c r="G154" t="s">
        <v>456</v>
      </c>
      <c r="H154" t="s">
        <v>457</v>
      </c>
      <c r="I154" t="s">
        <v>13</v>
      </c>
      <c r="J154">
        <v>5</v>
      </c>
      <c r="K154">
        <v>5</v>
      </c>
      <c r="L154">
        <v>66.5</v>
      </c>
      <c r="M154">
        <v>45996</v>
      </c>
      <c r="N154">
        <v>46009</v>
      </c>
      <c r="P154" t="s">
        <v>274</v>
      </c>
      <c r="R154" t="s">
        <v>275</v>
      </c>
      <c r="T154" t="s">
        <v>458</v>
      </c>
      <c r="U154">
        <v>46006</v>
      </c>
      <c r="V154">
        <v>46014</v>
      </c>
      <c r="W154" t="s">
        <v>275</v>
      </c>
      <c r="Y154" t="s">
        <v>277</v>
      </c>
      <c r="Z154">
        <v>46014</v>
      </c>
    </row>
    <row r="155" spans="1:26">
      <c r="A155">
        <v>2</v>
      </c>
      <c r="B155" t="s">
        <v>5</v>
      </c>
      <c r="C155">
        <v>46002</v>
      </c>
      <c r="D155">
        <v>46030</v>
      </c>
      <c r="E155" t="s">
        <v>174</v>
      </c>
      <c r="F155" t="s">
        <v>219</v>
      </c>
      <c r="G155" t="s">
        <v>461</v>
      </c>
      <c r="H155" t="s">
        <v>462</v>
      </c>
      <c r="I155" t="s">
        <v>13</v>
      </c>
      <c r="J155">
        <v>5</v>
      </c>
      <c r="K155">
        <v>5</v>
      </c>
      <c r="L155">
        <v>105</v>
      </c>
      <c r="M155">
        <v>46010</v>
      </c>
      <c r="N155">
        <v>46024</v>
      </c>
      <c r="P155" t="s">
        <v>274</v>
      </c>
      <c r="R155" t="s">
        <v>275</v>
      </c>
      <c r="T155" t="s">
        <v>463</v>
      </c>
      <c r="U155">
        <v>46015</v>
      </c>
      <c r="V155">
        <v>46029</v>
      </c>
      <c r="W155" t="s">
        <v>275</v>
      </c>
      <c r="Y155" t="s">
        <v>277</v>
      </c>
      <c r="Z155">
        <v>46029</v>
      </c>
    </row>
    <row r="156" spans="1:26">
      <c r="A156">
        <v>1</v>
      </c>
      <c r="B156" t="s">
        <v>5</v>
      </c>
      <c r="C156">
        <v>46030</v>
      </c>
      <c r="D156">
        <v>46044</v>
      </c>
      <c r="E156" t="s">
        <v>177</v>
      </c>
      <c r="F156" t="s">
        <v>219</v>
      </c>
      <c r="G156" t="s">
        <v>440</v>
      </c>
      <c r="H156" t="s">
        <v>441</v>
      </c>
      <c r="I156" t="s">
        <v>13</v>
      </c>
      <c r="J156">
        <v>1</v>
      </c>
      <c r="K156">
        <v>1</v>
      </c>
      <c r="L156">
        <v>12.5</v>
      </c>
      <c r="M156">
        <v>46027</v>
      </c>
      <c r="N156">
        <v>46030</v>
      </c>
      <c r="O156" t="s">
        <v>273</v>
      </c>
      <c r="P156" t="s">
        <v>274</v>
      </c>
      <c r="R156" t="s">
        <v>275</v>
      </c>
      <c r="T156" t="s">
        <v>442</v>
      </c>
      <c r="U156">
        <v>46030</v>
      </c>
      <c r="V156">
        <v>46030</v>
      </c>
      <c r="W156" t="s">
        <v>275</v>
      </c>
      <c r="Y156" t="s">
        <v>277</v>
      </c>
      <c r="Z156">
        <v>46030</v>
      </c>
    </row>
    <row r="157" spans="1:26">
      <c r="A157">
        <v>2</v>
      </c>
      <c r="B157" t="s">
        <v>5</v>
      </c>
      <c r="C157">
        <v>46030</v>
      </c>
      <c r="D157">
        <v>46044</v>
      </c>
      <c r="E157" t="s">
        <v>177</v>
      </c>
      <c r="F157" t="s">
        <v>219</v>
      </c>
      <c r="G157" t="s">
        <v>444</v>
      </c>
      <c r="H157" t="s">
        <v>445</v>
      </c>
      <c r="I157" t="s">
        <v>13</v>
      </c>
      <c r="J157">
        <v>5</v>
      </c>
      <c r="K157">
        <v>5</v>
      </c>
      <c r="L157">
        <v>53.5</v>
      </c>
      <c r="M157">
        <v>46031</v>
      </c>
      <c r="N157">
        <v>46038</v>
      </c>
      <c r="O157" t="s">
        <v>273</v>
      </c>
      <c r="P157" t="s">
        <v>274</v>
      </c>
      <c r="R157" t="s">
        <v>275</v>
      </c>
      <c r="T157" t="s">
        <v>446</v>
      </c>
      <c r="U157">
        <v>46038</v>
      </c>
      <c r="V157">
        <v>46041</v>
      </c>
      <c r="W157" t="s">
        <v>275</v>
      </c>
      <c r="Y157" t="s">
        <v>277</v>
      </c>
      <c r="Z157">
        <v>46041</v>
      </c>
    </row>
    <row r="158" spans="1:26">
      <c r="A158">
        <v>3</v>
      </c>
      <c r="B158" t="s">
        <v>5</v>
      </c>
      <c r="C158">
        <v>46030</v>
      </c>
      <c r="D158">
        <v>46044</v>
      </c>
      <c r="E158" t="s">
        <v>177</v>
      </c>
      <c r="F158" t="s">
        <v>219</v>
      </c>
      <c r="G158" t="s">
        <v>448</v>
      </c>
      <c r="H158" t="s">
        <v>449</v>
      </c>
      <c r="I158" t="s">
        <v>13</v>
      </c>
      <c r="J158">
        <v>3</v>
      </c>
      <c r="K158">
        <v>3</v>
      </c>
      <c r="L158">
        <v>33.5</v>
      </c>
      <c r="M158">
        <v>46038</v>
      </c>
      <c r="N158">
        <v>46042</v>
      </c>
      <c r="O158" t="s">
        <v>273</v>
      </c>
      <c r="P158" t="s">
        <v>274</v>
      </c>
      <c r="R158" t="s">
        <v>275</v>
      </c>
      <c r="T158" t="s">
        <v>450</v>
      </c>
      <c r="U158">
        <v>46042</v>
      </c>
      <c r="V158">
        <v>46042</v>
      </c>
      <c r="W158" t="s">
        <v>275</v>
      </c>
      <c r="Y158" t="s">
        <v>277</v>
      </c>
      <c r="Z158">
        <v>46042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2024-02-15T09:08:03Z</dcterms:created>
  <dcterms:modified xsi:type="dcterms:W3CDTF">2026-05-17T10:31:17Z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2025-09-11T04:40:14Z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355f1544-1251-48ca-a283-4375918087d5</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