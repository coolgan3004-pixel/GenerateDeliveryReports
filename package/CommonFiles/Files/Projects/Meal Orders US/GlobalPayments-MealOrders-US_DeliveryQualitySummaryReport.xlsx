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C:\Users\mathanrajr\Downloads\"/>
    </mc:Choice>
  </mc:AlternateContent>
  <xr:revisionPtr revIDLastSave="1854" documentId="13_ncr:1_{D3048666-FEB1-4156-832D-81F0EB4543A8}" xr6:coauthVersionLast="47" xr6:coauthVersionMax="47" xr10:uidLastSave="{D738AF1D-77AE-4D20-B799-EC33DD35D729}"/>
  <bookViews>
    <workbookView xWindow="0" yWindow="0" windowWidth="19200" windowHeight="6930" firstSheet="3" activeTab="3" xr2:uid="{00000000-000D-0000-FFFF-FFFF00000000}"/>
  </bookViews>
  <sheets>
    <sheet name="QualityMetrics-Definition" sheetId="4" r:id="rId1"/>
    <sheet name="Dashboard" sheetId="1" r:id="rId2"/>
    <sheet name="Scorecard" sheetId="6" r:id="rId3"/>
    <sheet name="Data" sheetId="2" r:id="rId4"/>
    <sheet name="RCA" sheetId="9" r:id="rId5"/>
    <sheet name="Config" sheetId="5" r:id="rId6"/>
    <sheet name="Instructions" sheetId="7" state="hidden" r:id="rId7"/>
  </sheets>
  <definedNames>
    <definedName name="_xlnm._FilterDatabase" localSheetId="3" hidden="1">Data!$R$1:$X$8</definedName>
    <definedName name="Status">Config!$L$2:$L$5</definedName>
    <definedName name="Z_3662FBDA_518E_4D58_A85F_B943BC586F75_.wvu.FilterData" localSheetId="1" hidden="1">Dashboard!$G$12</definedName>
    <definedName name="Z_3662FBDA_518E_4D58_A85F_B943BC586F75_.wvu.FilterData" localSheetId="3" hidden="1">Data!$A$1:$K$32</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2" l="1"/>
  <c r="D51" i="2"/>
  <c r="D52" i="2"/>
  <c r="B8" i="6"/>
  <c r="D49" i="2"/>
  <c r="D48" i="2"/>
  <c r="D47" i="2"/>
  <c r="D46" i="2"/>
  <c r="D45" i="2"/>
  <c r="D44" i="2"/>
  <c r="D43" i="2"/>
  <c r="D42" i="2"/>
  <c r="D41" i="2"/>
  <c r="D40" i="2"/>
  <c r="B11" i="6"/>
  <c r="B10" i="6"/>
  <c r="D39" i="2"/>
  <c r="D38" i="2"/>
  <c r="D37" i="2"/>
  <c r="D36" i="2"/>
  <c r="D35" i="2"/>
  <c r="B13" i="6"/>
  <c r="B12" i="6"/>
  <c r="D34" i="2"/>
  <c r="D33" i="2"/>
  <c r="D32" i="2"/>
  <c r="D31" i="2"/>
  <c r="D30" i="2"/>
  <c r="D8" i="6"/>
  <c r="D29" i="2"/>
  <c r="AM30" i="2"/>
  <c r="AK30" i="2"/>
  <c r="AI30" i="2"/>
  <c r="AH30" i="2"/>
  <c r="AG30" i="2"/>
  <c r="D28" i="2"/>
  <c r="D27" i="2"/>
  <c r="D26" i="2"/>
  <c r="D25" i="2"/>
  <c r="D24" i="2"/>
  <c r="D23" i="2"/>
  <c r="D11" i="2"/>
  <c r="D10" i="2"/>
  <c r="D9" i="2"/>
  <c r="D8" i="2"/>
  <c r="D7" i="2"/>
  <c r="D6" i="2"/>
  <c r="D5" i="2"/>
  <c r="D4" i="2"/>
  <c r="D3" i="2"/>
  <c r="D2" i="2"/>
  <c r="D22" i="2"/>
  <c r="D21" i="2"/>
  <c r="D20" i="2"/>
  <c r="D19" i="2"/>
  <c r="D18" i="2"/>
  <c r="D17" i="2"/>
  <c r="D16" i="2"/>
  <c r="D15" i="2"/>
  <c r="D14" i="2"/>
  <c r="D13" i="2"/>
  <c r="D12" i="2"/>
  <c r="C11" i="6"/>
  <c r="C10" i="6"/>
  <c r="B1" i="5"/>
  <c r="A4" i="5"/>
  <c r="A5" i="5"/>
  <c r="A6" i="5"/>
  <c r="A7" i="5"/>
  <c r="A8" i="5"/>
  <c r="A3" i="5"/>
  <c r="B6" i="5" l="1"/>
  <c r="C6" i="5" s="1"/>
  <c r="B5" i="5"/>
  <c r="C5" i="5" s="1"/>
  <c r="B3" i="5"/>
  <c r="C3" i="5" s="1"/>
  <c r="B8" i="5"/>
  <c r="C8" i="5" s="1"/>
  <c r="B7" i="5"/>
  <c r="C7" i="5" s="1"/>
  <c r="AM28" i="2" l="1"/>
  <c r="AM27" i="2"/>
  <c r="AM25" i="2"/>
  <c r="AM24" i="2"/>
  <c r="AM23" i="2"/>
  <c r="AM22" i="2"/>
  <c r="AM21" i="2"/>
  <c r="AM20" i="2"/>
  <c r="AM19" i="2"/>
  <c r="AM18" i="2"/>
  <c r="AM17" i="2"/>
  <c r="AM16" i="2"/>
  <c r="AK28" i="2"/>
  <c r="AK27" i="2"/>
  <c r="B9" i="6" s="1"/>
  <c r="AK25" i="2"/>
  <c r="AK24" i="2"/>
  <c r="AK23" i="2"/>
  <c r="AK22" i="2"/>
  <c r="AK21" i="2"/>
  <c r="AK20" i="2"/>
  <c r="AK19" i="2"/>
  <c r="AK18" i="2"/>
  <c r="AK17" i="2"/>
  <c r="AK16" i="2"/>
  <c r="AI28" i="2"/>
  <c r="AH28" i="2"/>
  <c r="AG28" i="2"/>
  <c r="AI27" i="2"/>
  <c r="AH27" i="2"/>
  <c r="AG27" i="2"/>
  <c r="AI25" i="2"/>
  <c r="AH25" i="2"/>
  <c r="AG25" i="2"/>
  <c r="AI24" i="2"/>
  <c r="AH24" i="2"/>
  <c r="AG24" i="2"/>
  <c r="AI23" i="2"/>
  <c r="AH23" i="2"/>
  <c r="AG23" i="2"/>
  <c r="AI22" i="2"/>
  <c r="AH22" i="2"/>
  <c r="AG22" i="2"/>
  <c r="AI21" i="2"/>
  <c r="AH21" i="2"/>
  <c r="AG21" i="2"/>
  <c r="AI20" i="2"/>
  <c r="AH20" i="2"/>
  <c r="AG20" i="2"/>
  <c r="AI19" i="2"/>
  <c r="AH19" i="2"/>
  <c r="AG19" i="2"/>
  <c r="AI18" i="2"/>
  <c r="AH18" i="2"/>
  <c r="AG18" i="2"/>
  <c r="AI17" i="2"/>
  <c r="AH17" i="2"/>
  <c r="AG17" i="2"/>
  <c r="AI16" i="2"/>
  <c r="AH16" i="2"/>
  <c r="AG16" i="2"/>
  <c r="AM15" i="2"/>
  <c r="AM14" i="2"/>
  <c r="AM13" i="2"/>
  <c r="AM12" i="2"/>
  <c r="AM11" i="2"/>
  <c r="AM10" i="2"/>
  <c r="AM9" i="2"/>
  <c r="AK15" i="2"/>
  <c r="AK14" i="2"/>
  <c r="AK13" i="2"/>
  <c r="AK12" i="2"/>
  <c r="AK11" i="2"/>
  <c r="AK10" i="2"/>
  <c r="AK9" i="2"/>
  <c r="AK7" i="2"/>
  <c r="AK6" i="2"/>
  <c r="AK5" i="2"/>
  <c r="AK4" i="2"/>
  <c r="AK3" i="2"/>
  <c r="AM7" i="2"/>
  <c r="AM6" i="2"/>
  <c r="AM5" i="2"/>
  <c r="AM4" i="2"/>
  <c r="AM3" i="2"/>
  <c r="AI7" i="2"/>
  <c r="AH7" i="2"/>
  <c r="AG7" i="2"/>
  <c r="AI6" i="2"/>
  <c r="AH6" i="2"/>
  <c r="AG6" i="2"/>
  <c r="AI5" i="2"/>
  <c r="AH5" i="2"/>
  <c r="AG5" i="2"/>
  <c r="AI4" i="2"/>
  <c r="AH4" i="2"/>
  <c r="AG4" i="2"/>
  <c r="AI3" i="2"/>
  <c r="AH3" i="2"/>
  <c r="AG3" i="2"/>
  <c r="B4" i="5" l="1"/>
  <c r="C4" i="5" s="1"/>
  <c r="AM2" i="2"/>
  <c r="AK2" i="2"/>
  <c r="AI2" i="2"/>
  <c r="AH2" i="2"/>
  <c r="AG2" i="2"/>
  <c r="P22" i="5" l="1"/>
  <c r="M28" i="5"/>
  <c r="C13" i="6"/>
  <c r="J26" i="5"/>
  <c r="AM8" i="2"/>
  <c r="AK8" i="2"/>
  <c r="AI15" i="2"/>
  <c r="AI14" i="2"/>
  <c r="AI13" i="2"/>
  <c r="AI12" i="2"/>
  <c r="AI11" i="2"/>
  <c r="AI10" i="2"/>
  <c r="AI9" i="2"/>
  <c r="AI8" i="2"/>
  <c r="AH15" i="2"/>
  <c r="AH14" i="2"/>
  <c r="AH13" i="2"/>
  <c r="AH12" i="2"/>
  <c r="AH11" i="2"/>
  <c r="AH10" i="2"/>
  <c r="AH9" i="2"/>
  <c r="AH8" i="2"/>
  <c r="AG15" i="2"/>
  <c r="AG14" i="2"/>
  <c r="AG13" i="2"/>
  <c r="AG12" i="2"/>
  <c r="AG11" i="2"/>
  <c r="AG10" i="2"/>
  <c r="AG9" i="2"/>
  <c r="AG8" i="2"/>
  <c r="C12" i="6"/>
  <c r="C9" i="6"/>
  <c r="C8" i="6" l="1"/>
  <c r="B3"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color rgb="FF000000"/>
            <rFont val="Georgia"/>
            <family val="1"/>
            <scheme val="minor"/>
          </rPr>
          <t xml:space="preserve">Incase of any Non-Compliance, Root-cause must be available.
</t>
        </r>
      </text>
    </comment>
  </commentList>
</comments>
</file>

<file path=xl/sharedStrings.xml><?xml version="1.0" encoding="utf-8"?>
<sst xmlns="http://schemas.openxmlformats.org/spreadsheetml/2006/main" count="506" uniqueCount="310">
  <si>
    <t>Key Performance Indicator</t>
  </si>
  <si>
    <t>Description</t>
  </si>
  <si>
    <t>Formula</t>
  </si>
  <si>
    <t>Weightage</t>
  </si>
  <si>
    <t>Green</t>
  </si>
  <si>
    <t>Amber</t>
  </si>
  <si>
    <t>Red</t>
  </si>
  <si>
    <t>Client Approved</t>
  </si>
  <si>
    <t>Commitment Index</t>
  </si>
  <si>
    <t>Indicates the percentage of story points fulfilled relative to the commitment for each sprint.</t>
  </si>
  <si>
    <t>Completed Story Points/
Planned Story Points</t>
  </si>
  <si>
    <t>81-99</t>
  </si>
  <si>
    <t>&lt;=80%</t>
  </si>
  <si>
    <t>Velocity</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</si>
  <si>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</si>
  <si>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</si>
  <si>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</si>
  <si>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</si>
  <si>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Defect-free Rate</t>
  </si>
  <si>
    <t>The number of defects identified post-development</t>
  </si>
  <si>
    <t>(Internal+Escaped) Defects Found/
Size (actual in Story Points)</t>
  </si>
  <si>
    <t>99-80</t>
  </si>
  <si>
    <t>&gt;20%</t>
  </si>
  <si>
    <t>Code Quality Index</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</si>
  <si>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</si>
  <si>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</si>
  <si>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</si>
  <si>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</si>
  <si>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</si>
  <si>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Testing &amp; Code Coverage</t>
  </si>
  <si>
    <t>Unit Test Results should be &gt;85%
Code Coverage should be &gt;85%</t>
  </si>
  <si>
    <t>Average of Unit Test &amp; Code Coverage</t>
  </si>
  <si>
    <t>&gt;=90</t>
  </si>
  <si>
    <t>71-89</t>
  </si>
  <si>
    <t>&lt;=70%</t>
  </si>
  <si>
    <t>Backlog Health</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</si>
  <si>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</si>
  <si>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</si>
  <si>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</si>
  <si>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</si>
  <si>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</si>
  <si>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</si>
  <si>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</si>
  <si>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Meal Orders</t>
  </si>
  <si>
    <t>Project Name</t>
  </si>
  <si>
    <t>MealOrders - US</t>
  </si>
  <si>
    <t>Engagement Model</t>
  </si>
  <si>
    <t>Relevantz Co Owned</t>
  </si>
  <si>
    <t>Overall Score</t>
  </si>
  <si>
    <t>Current Sprint</t>
  </si>
  <si>
    <t>2.5 KaleidaNutrition S23 (1-May-2026 to 14-May-2026)</t>
  </si>
  <si>
    <t>Metrics</t>
  </si>
  <si>
    <t>UnWeighted</t>
  </si>
  <si>
    <t>Weighted</t>
  </si>
  <si>
    <t>Notes</t>
  </si>
  <si>
    <t>Target</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</si>
  <si>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</si>
  <si>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</si>
  <si>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</si>
  <si>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</si>
  <si>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</si>
  <si>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</si>
  <si>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</si>
  <si>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</si>
  <si>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</si>
  <si>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</si>
  <si>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</si>
  <si>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</si>
  <si>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</si>
  <si>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</si>
  <si>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</si>
  <si>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</si>
  <si>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2.0 Sprint 1 (22-Mar-2024 to 4-Apr-2024)</t>
  </si>
  <si>
    <t>No</t>
  </si>
  <si>
    <t>2.0 Sprint 2 (5-Apr-2024	to 18-Apr-2024)</t>
  </si>
  <si>
    <t>2.0 Sprint 3 (Apr-19-2024 to May-2-2024)</t>
  </si>
  <si>
    <t>2.0 Sprint 4 (May-3-2024 to May-16-2024)</t>
  </si>
  <si>
    <t>2.0 Sprint 5 (May-17-2024 to May-30-2024)</t>
  </si>
  <si>
    <t>NO</t>
  </si>
  <si>
    <t>2.0 Sprint 6 (May-31-2024 to Jun-13-2024)</t>
  </si>
  <si>
    <t>2.0 Sprint 7 (Jun-14-2024 to Jun-27-2024)</t>
  </si>
  <si>
    <t>2.0 Sprint 8 (Jun-28-2024 to Jul-11-2024)</t>
  </si>
  <si>
    <t>2.1 Sprint 1 (Jul-12-2024 to Jul-25-2024)</t>
  </si>
  <si>
    <t>2.1 Sprint 2 (Jul-26-2024 to Aug-8-2024)</t>
  </si>
  <si>
    <t>2.1 Sprint 3 (Aug-9-2024 to Aug-22-2024)</t>
  </si>
  <si>
    <t>2.1 Sprint 4 (Aug-23-2024 to Sep-5-2024)</t>
  </si>
  <si>
    <t>2.1 Sprint 5 (Sep-6-2024 to Sep-19-2024)</t>
  </si>
  <si>
    <t>Regression Sprint 
There was a scope creep for Stock Management, rather than regression was on-going.</t>
  </si>
  <si>
    <t>2.1 Sprint 6 (Sep-20-2024 to Oct-3-2024)</t>
  </si>
  <si>
    <t>Yes</t>
  </si>
  <si>
    <t>Regression Sprint</t>
  </si>
  <si>
    <t>2.2 Sprint 0 (Oct-4-2024 to Oct-17-2024)</t>
  </si>
  <si>
    <t>2.2 Sprint 1 (Oct-18-2024 to Oct-31-2024)</t>
  </si>
  <si>
    <t>Due to Build Issues and ChromeDriver Issue one Regression Automation Story was carry forwarded</t>
  </si>
  <si>
    <t>2.2 Sprint 2 (Nov-1-2024 to Nov-14-2024)</t>
  </si>
  <si>
    <t>2.2 Sprint 3 (Nov-15-2024 to Dec-12-2024)</t>
  </si>
  <si>
    <t>2.2 Sprint 4 (13-Dec-2024 to 09-Jan-2025)</t>
  </si>
  <si>
    <t>4 Week Sprint. Development is completed, Testing is in Progress. End - End Testing is required</t>
  </si>
  <si>
    <t>2.2 Sprint 5 (10-Jan-2025 to 23-Jan-2025)</t>
  </si>
  <si>
    <t>2.2 Sprint 6 (24-Jan-2025 to 6-Feb-2025)</t>
  </si>
  <si>
    <t>2.3 Sprint 1 (07-Feb-2025 to 20-Feb-2025)</t>
  </si>
  <si>
    <t>2.3 Sprint 2 (21-Feb-2025 to 06-Mar-2025)</t>
  </si>
  <si>
    <t>2.3 Sprint 3 (07-Mar-2025 to 20-Mar-2025)</t>
  </si>
  <si>
    <t>2.3 Sprint 4 (21-Mar-2025 to 03-Apr-2025)</t>
  </si>
  <si>
    <t>2 Defects have been rolled over. 
24915 - Functional issue with respect to column order change - Reported Sentral  &amp; 24882 - Team is currently analysing this defect.</t>
  </si>
  <si>
    <t>2.4 Sprint 0 (04-Apr-2025 to 17-Apr-2025)</t>
  </si>
  <si>
    <t>1 defect has been rolled over. 24944  - Admin - Item/Grade restrictions radio button issue on first add</t>
  </si>
  <si>
    <t>2.4 Sprint 1 (18-Apr-2025 to 01-May-2025)</t>
  </si>
  <si>
    <t>Two Issues (existing)  have been occured; (1) 24944 - Only for the first hit when there is no grade restriction added; (2) 22944 - Due to API limitation.</t>
  </si>
  <si>
    <t>2.4 Sprint 2 (02-May-2025 to 15-May-2025)</t>
  </si>
  <si>
    <t>One existing-issue (25206) has occured during user's Primary Role is set to (None) and saved, a success toast message is shown but not updating user's role when User Type = District Level</t>
  </si>
  <si>
    <t>2.4 Sprint 3 (16-May-2025 to 29-May-2025)</t>
  </si>
  <si>
    <t>1 defect got carried forward. 
Defect ID: 25162
This defect presents some challenges. Although the originally reported issue has been resolved, there is still room for improvement—specifically in displaying the browser URL correctly upon re-login. The team is actively working on enhancing this aspect.
Also,Team found two more defects  while doing the regression and successfully fixed the issues in the sprint itself.</t>
  </si>
  <si>
    <t>2.5  Sprint 1 ( 30-May-2025 to 12-June-2025)</t>
  </si>
  <si>
    <t>Completed all the assigned stories.
And team is working on the stretch stories and defects.
Also, Completed dev and testing for all the  defects for this sprint.</t>
  </si>
  <si>
    <t>2.5 Sprint 2 ( 13-June-2025 to 26-Jun-2025)</t>
  </si>
  <si>
    <t>2.5 KN Sprint 3 (27-June-2025 to 10-Jul-2025)</t>
  </si>
  <si>
    <t>Updated Footer for BOH Kaleida work, Completed Admin side District messages, Export changes to text qualifier, completed automation for admin settings.</t>
  </si>
  <si>
    <t>2.5 KN Sprint 4 (11-Jul-2025 to 24-Jul-2025)</t>
  </si>
  <si>
    <t>2.5 KN Sprint 6 (8-Aug-2025 to 21-Aug-2025)</t>
  </si>
  <si>
    <t>FOH Dashboard UI &amp; breadcrumb issue fixes</t>
  </si>
  <si>
    <t>2.5 KN Sprint 7 (22-Aug-2025 to 04-Sep-2025)</t>
  </si>
  <si>
    <t>MSA Kaleida Breadcrumbs updates &amp; BOH Breadcrumb issue fixes</t>
  </si>
  <si>
    <t>2.5 KN Sprint 8 (05-Sep-2025 to 18-Sep-2025)</t>
  </si>
  <si>
    <t>Kaleida work progress has been excellent</t>
  </si>
  <si>
    <t>2.5 KN Sprint 9 (19-Sep-2025 to 02-Oct-2025)</t>
  </si>
  <si>
    <t>Interim Release fixes</t>
  </si>
  <si>
    <t>2.5 KN Sprint 10 (03-Oct-2025 to 16-Oct-2025)</t>
  </si>
  <si>
    <t>2.5 KN Sprint 11 (17-Oct-2025 to 30-Oct-2025)</t>
  </si>
  <si>
    <t>2.5 KN Sprint 12 (31-Oct-2025 to 13-Nov-2025)</t>
  </si>
  <si>
    <t xml:space="preserve"> POV's at times could not be completed due to limitations in client availability which eventually delayed testing so 1 story carry forwarded.</t>
  </si>
  <si>
    <t>2.5 KN Sprint 13 (14-Nov-2025 to 11-Dec-2025)</t>
  </si>
  <si>
    <t>`</t>
  </si>
  <si>
    <t>2.5 KN Sprint 14 (12-Dec-2025 to 08-Jan-2026)</t>
  </si>
  <si>
    <t>2.5 KN Sprint 15 (09-Jan-2026 to 22-Jan-2026)</t>
  </si>
  <si>
    <t>2.5 KN Sprint 16 (23-Jan-2026 to 05-Feb-2026)</t>
  </si>
  <si>
    <t>2.5 KN Sprint 17 (06-Feb-2026 to 19-Feb-2026)</t>
  </si>
  <si>
    <t>2.5 KN Sprint 18 (20-Feb-2026 to 05-Mar-2026)</t>
  </si>
  <si>
    <t>2.5 KN Sprint 19 (06-Mar-2026 to 19-Mar-2026)</t>
  </si>
  <si>
    <t>2.5 KN Sprint 20 (20-Mar-2026 to 02-Apr-2026)</t>
  </si>
  <si>
    <t>2.5 KaleidaNutrition S21 (03-Apr-2026 to 16-Apr-2026)</t>
  </si>
  <si>
    <t>2.5 KaleidaNutrition S22 (17-Apr-2026 to 30-Apr-2026)</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</si>
  <si>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</si>
  <si>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</si>
  <si>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</si>
  <si>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</si>
  <si>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</si>
  <si>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</si>
  <si>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</si>
  <si>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</si>
  <si>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</si>
  <si>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</si>
  <si>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</si>
  <si>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</si>
  <si>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</si>
  <si>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</si>
  <si>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</si>
  <si>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</si>
  <si>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2.1 Sprint 1(July-12 to July-25)</t>
  </si>
  <si>
    <t>5 QA Defects</t>
  </si>
  <si>
    <t>Internal</t>
  </si>
  <si>
    <t>Metric Deviation</t>
  </si>
  <si>
    <t>5 Internal Defects</t>
  </si>
  <si>
    <t>All the defects are carry forwarded from last regression that are minor design and logic issues</t>
  </si>
  <si>
    <t>Knowledge share with Team in Stand Up, So that similar type of Defect can be mitigated.</t>
  </si>
  <si>
    <t>Sarath</t>
  </si>
  <si>
    <t>Closed</t>
  </si>
  <si>
    <t>Not adhered to Policy</t>
  </si>
  <si>
    <t>2.1 Sprint 2(July-26 to Aug-8)</t>
  </si>
  <si>
    <t>1 Internal CRC and 6 QA Defects</t>
  </si>
  <si>
    <t>Code Review Comment and Defects</t>
  </si>
  <si>
    <t>The team is concentrating on the Design and Logical issues that are carry fprwarded from last release that are minor</t>
  </si>
  <si>
    <t xml:space="preserve">1 Internal CRC - 
Points --1. Code optimization 2. Remove unused and commented line 3. Condition and access modifier change. </t>
  </si>
  <si>
    <t>Sarath/Kiruthiga</t>
  </si>
  <si>
    <t>2.1 Sprint 3(Aug-9 to Aug-22)</t>
  </si>
  <si>
    <t xml:space="preserve"> 6 QA Defects</t>
  </si>
  <si>
    <t>6 Internal Defects</t>
  </si>
  <si>
    <t>All the defects are carry forwarded from last regression that are minor design and logic issues. All are design issues</t>
  </si>
  <si>
    <t>1 Defect was worked by Client Dev and we tested it</t>
  </si>
  <si>
    <t>Kiruthiga</t>
  </si>
  <si>
    <t>2.1 Sprint 4(Aug-23 to Sep-5)</t>
  </si>
  <si>
    <t>1 Internal CRC, 4 External CRC and 3 QA Defects</t>
  </si>
  <si>
    <t>Internal/External</t>
  </si>
  <si>
    <t>1 Internal CRC - Unused code and storybook mock data update</t>
  </si>
  <si>
    <t>4 External CRC - 1. Code optimzation
2. Different approach for conditions and return types</t>
  </si>
  <si>
    <t>3 QA Defects - Internal Findings related to Design and Logical Issues</t>
  </si>
  <si>
    <t>Sarath/Ruban/Kiruthiga</t>
  </si>
  <si>
    <t>2.1 Sprint 5(Sep-6 to Sep-19)</t>
  </si>
  <si>
    <t>3 QA Defects</t>
  </si>
  <si>
    <t>3 Internal Defects</t>
  </si>
  <si>
    <t>Kiruthiga/Ruban</t>
  </si>
  <si>
    <t>2.1 Sprint 6(Sep-20 to Oct-3)</t>
  </si>
  <si>
    <t>11 QA Defects</t>
  </si>
  <si>
    <t>11 Internal Defects</t>
  </si>
  <si>
    <t>Regression Findings</t>
  </si>
  <si>
    <t>2.2 Sprint 0(Oct-4 to Oct-17)</t>
  </si>
  <si>
    <t>3 QA Defects - All the defects are carry forwarded from last regression that are minor design and logic issues</t>
  </si>
  <si>
    <t>Kiruthiga &amp; Sarath</t>
  </si>
  <si>
    <t>2.2 Sprint 1(Oct-18 to Oct-31)</t>
  </si>
  <si>
    <t>2 QA Defects</t>
  </si>
  <si>
    <t>2 Internal Defects</t>
  </si>
  <si>
    <t>2 Internal Existing Design and Logical Issue</t>
  </si>
  <si>
    <t>14/11/2024</t>
  </si>
  <si>
    <t>2.2 Sprint 2 (Nov-1 to Nov-14)</t>
  </si>
  <si>
    <t>3 Defects Reported Internally</t>
  </si>
  <si>
    <t>3 Defects Reported by Offshore QA and Customer</t>
  </si>
  <si>
    <t>One Defect was reported by the Client for missing parameters in a report</t>
  </si>
  <si>
    <t>2 Other defects were internal findings concerning Stock Managament new changes</t>
  </si>
  <si>
    <t>The Defects were closed and the Clients were well informed about the new changes</t>
  </si>
  <si>
    <t>2.2 Sprint 3 (Nov-15 to Dec-12)</t>
  </si>
  <si>
    <t>5 Internal Defects reported</t>
  </si>
  <si>
    <t>5 Defects were reported by Onshore and Offshore QA</t>
  </si>
  <si>
    <t xml:space="preserve"> Production existing UI issue and Relevantz developed it. This is minor UI change and Functional Change that needs slight modification</t>
  </si>
  <si>
    <t>These Defects are UI change based on Project Unite. Knowledge share with Team in Stand Up, So that similar type of Defect can be mitigated.</t>
  </si>
  <si>
    <t>Dhivya, Ruban</t>
  </si>
  <si>
    <t>2.2 Sprint 4 (Dec-13 to Jan-09)</t>
  </si>
  <si>
    <t xml:space="preserve"> 4 QA Defects, 2 Story Carry Forwarded</t>
  </si>
  <si>
    <t xml:space="preserve"> 4 QA Defects</t>
  </si>
  <si>
    <t xml:space="preserve"> Production existing UI issue and Relevantz developed it. This is minor UI change, logical and Functional Change that needs slight modification</t>
  </si>
  <si>
    <t>2 Story Carry Forwarded
Development is completed, Testing is in Progress. End - End Testing is required</t>
  </si>
  <si>
    <t>Defects were UI related that needs some font style changes, and other issues were logical and functional. Knowledge share with Team in Stand Up, So that similar type of Defect can be mitigated.</t>
  </si>
  <si>
    <t>Client is informed</t>
  </si>
  <si>
    <t>2.2 Sprint 5 (10-Jan to 23-Jan)</t>
  </si>
  <si>
    <t>13 Defects Reported, Two Regression Stories were carry forwarded</t>
  </si>
  <si>
    <t>4 QA Defects, 9 Escaped Defects, 2 Stories were carry forwarded</t>
  </si>
  <si>
    <t>4 QA Defects - were internal findings on Stock Management - We need to fix this issue due to last minute changes from PO</t>
  </si>
  <si>
    <t>9 Escaped Defects - These were UI fixes, Existing Functionality Issues, Logical Issues.Customer didn't report this, the team took the initiative in fixing all the issues</t>
  </si>
  <si>
    <t xml:space="preserve">Will be carry forwarded to continue other reports. We have 13 reports with run reports and schedule reports with report inbox. 
Sentral had a new PR for CSV Format, so we will re running the tests
We have completed Order Management, Menu Item, Menu Template, Menu Calendar, Settings Module. We have Stock Management Module inprogress for regression.
</t>
  </si>
  <si>
    <t>All the defects were internal as well as external, the team took the initiative to fix the issues they found during testing. No defects were initiated by the customer. Knowledge share with Team in Stand Up, So that similar type of Defect can be mitigated.</t>
  </si>
  <si>
    <t>Ruban,Kiruthiga/Dhivya</t>
  </si>
  <si>
    <t>2.2 Sprint 6 (24-Jan to 6-Feb)</t>
  </si>
  <si>
    <t>4 Defects</t>
  </si>
  <si>
    <t>3 Internal Defects and 1 Production Issue</t>
  </si>
  <si>
    <t>3 Internal Defects was One Bounceback for existing STock Management Functionality, the other 2 internal defects were found as  a part of regression</t>
  </si>
  <si>
    <t>1 Prioduction Issue was found after the release - Production Release (Jan 30th) was rolled back due to an issue with Parent Login, the issue was fixed and the release is postponed on Feb 06th.
The issue was Sentral AUS had made change Household API to include new fields(Which is not applicable for US)). There was no proper null checks for enrollments for these fields. When a Parent has inactive enrollments for a student then causes to error and prevent Parent Login</t>
  </si>
  <si>
    <t>All the defects were fixed and the PRoduction issue were resolved. The team mitigated the issue in repro by finding some solution by having regular sync up call with Sentral and Ruban will review their PR</t>
  </si>
  <si>
    <t>1 External Defect and 1 Internal Defect</t>
  </si>
  <si>
    <t xml:space="preserve">1 Bounceback - Related to Data Renention Issue. </t>
  </si>
  <si>
    <t>1 External Defect it is an existing issue which was in backlog the team worked in this sprint</t>
  </si>
  <si>
    <t>All the defects were fixed and the team had a sync to mitigate this in future</t>
  </si>
  <si>
    <t>2.3 Sprint 2(21-Feb-2025 to 06-Mar-2025)</t>
  </si>
  <si>
    <t>6 Defects</t>
  </si>
  <si>
    <t>6 Internal Defects which were minor existing issues. The Team committed to work the backlog defects which was minor and doesn't affect/break the functionalities. One Significant - but not a showstopper.</t>
  </si>
  <si>
    <t>All the defects were fixed. The Team came up with a mitigation plan where once the Dev Team starts working on the Story, the QA team will work on the Test case, once the Dev Team completes their unit testing they will work QA team and BA Team internally to see any deviation in AC and Test cases, this way the team is trying to mitigate the bounceback and defects</t>
  </si>
  <si>
    <t>Kiruthiga/Ruban/Dhivya</t>
  </si>
  <si>
    <t>5 Defects and 1 Story Carry Forwarded</t>
  </si>
  <si>
    <t>4 Internal Defects and 1 External Defect and 1 Story Carry Forwarded</t>
  </si>
  <si>
    <t xml:space="preserve">2 Internal Defects which were Retaining issue in the Dropdown Value
2 Bouncebacks for Code Refactoring </t>
  </si>
  <si>
    <t xml:space="preserve">1 External Defect it is an existing issue which was identified as a part of another feature. Not a showstopper </t>
  </si>
  <si>
    <t>1 Story Carry forwared
Due to the suggested changes in the Report Header story(46826) made a delay in starting the Student Product sales report work item</t>
  </si>
  <si>
    <t xml:space="preserve">All the issues are fixed. </t>
  </si>
  <si>
    <t>Please note: The Team is supporting Onsite Client Dev Feature for Release</t>
  </si>
  <si>
    <t>2 defects got rolled over</t>
  </si>
  <si>
    <t>24915 - Functional issue with respect to column order change - Reported Sentral  &amp; 24882 - Team is currently analysing this defect.</t>
  </si>
  <si>
    <t>Team is analyzing the defect and also  related to column order change (Reported Sentral), and will implement necessary actions based on findings.</t>
  </si>
  <si>
    <t>1 defect got rolled over</t>
  </si>
  <si>
    <t>External</t>
  </si>
  <si>
    <t>1 External Defects</t>
  </si>
  <si>
    <t>24944  - Admin - Item/Grade restrictions radio button issue on first add</t>
  </si>
  <si>
    <t>Issue Occured first time , without there is no grade restriction table data.</t>
  </si>
  <si>
    <t>2 defects have been reported</t>
  </si>
  <si>
    <t>24944  - Admin - Item/Grade restrictions radio button issue on first add
22944 - Menu Items - Unsplash Results not showing last page</t>
  </si>
  <si>
    <t>Issue Occured first time , without there is no grade restriction table data &amp; Because of the API limitation this issue is occured</t>
  </si>
  <si>
    <t>Kiruthiga/Dhivya</t>
  </si>
  <si>
    <t>1 defects has been reported</t>
  </si>
  <si>
    <t>1 Internal Defects</t>
  </si>
  <si>
    <t xml:space="preserve">25206  - When a user's Primary Role is set to (None) and saved, a success toast message is shown but the user's role is not actually updated. </t>
  </si>
  <si>
    <t>This issue only occurs for users whose User Type = District Level</t>
  </si>
  <si>
    <t>Ruban</t>
  </si>
  <si>
    <t>Committment Index Deviation</t>
  </si>
  <si>
    <t>Esitimation Devition</t>
  </si>
  <si>
    <t>47562 -  Meal Orders [v?]- Import Menu Items - Template Settings</t>
  </si>
  <si>
    <t>Story was under estimated, During planning story was assigned with 5 Story Points(20 hrs) But the actual effort needed for this story is 79 hours (nearly 20 Story Points)</t>
  </si>
  <si>
    <t xml:space="preserve">Communicated to client in the mid of sprint about the actual effort that was required for completing the story. Client has accepted the delay as the story needs additional efforts to complete. </t>
  </si>
  <si>
    <t>Defect</t>
  </si>
  <si>
    <t>Defect ID: 25162
This defect presents some challenges. Although the originally reported issue has been resolved, there is still room for improvement—specifically in displaying the browser URL correctly upon re-login. The team is actively working on it</t>
  </si>
  <si>
    <t>Fix deployed, with ongoing work to refine browser URL behavior post-login.</t>
  </si>
  <si>
    <t>1.This defect will be prioritized early in the next sprint with better coordination to avoid future delays. 2. Implementing a fix to ensure consistent browser URL display post-login in the next sprint.</t>
  </si>
  <si>
    <t>2.5 Kaleida Nutrition S7 (22-Aug-2025) to (04-Sep-2025)</t>
  </si>
  <si>
    <t>Received 1 Client Review Code comment</t>
  </si>
  <si>
    <t xml:space="preserve">Code Review Comment </t>
  </si>
  <si>
    <t>The client recommended adding conditional logic to a specific code block so that it only executes in the local environment.</t>
  </si>
  <si>
    <t>Addressed the feedback by implementing the condition in the code.</t>
  </si>
  <si>
    <t>Since its not required due to the oversight the developer missed.  After the review comments we have fixed the review comments</t>
  </si>
  <si>
    <t>Ruben</t>
  </si>
  <si>
    <t>2.5 Sprint 12 (31-Oct-2025) to (13-Nov-2025)</t>
  </si>
  <si>
    <t>1 Story carry forwarded in testing phase due to delay in POV from Client.</t>
  </si>
  <si>
    <t>1 Story</t>
  </si>
  <si>
    <t>Although the development changes were completed on time and a recording of the changes was shared, the client expected a POV to test all scenarios. However, due to the client's unavailability, there was a delay in presenting the POV and receiving feedback, which resulted in a delay in testing. Will prioritize and close it in next sprint.</t>
  </si>
  <si>
    <t>Inprogress</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</si>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</sst>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1">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sz val="8"/>
      <name val="Georgia"/>
      <family val="1"/>
      <scheme val="minor"/>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sz val="10"/>
      <color rgb="FF000000"/>
      <name val="Calibri"/>
    </font>
    <font>
      <sz val="9"/>
      <color rgb="FF000000"/>
      <name val="Calibri"/>
    </font>
    <font>
      <sz val="9"/>
      <color theme="0"/>
      <name val="Proxima Nova"/>
    </font>
    <font>
      <sz val="9"/>
      <color theme="0"/>
      <name val="Calibri"/>
    </font>
    <font>
      <sz val="9"/>
      <color theme="1"/>
      <name val="Calibri"/>
    </font>
    <font>
      <sz val="9"/>
      <color theme="0" tint="-0.89999084444715716"/>
      <name val="Calibri"/>
    </font>
    <font>
      <sz val="9"/>
      <color theme="0" tint="-0.89999084444715716"/>
      <name val="Calibri"/>
      <family val="2"/>
    </font>
    <font>
      <sz val="9"/>
      <color theme="0" tint="-0.89999084444715716"/>
      <name val="Georgia"/>
      <family val="1"/>
      <scheme val="minor"/>
    </font>
    <font>
      <sz val="9"/>
      <color theme="0" tint="-0.89999084444715716"/>
      <name val="Georgia"/>
      <scheme val="minor"/>
    </font>
    <font>
      <b/>
      <sz val="9"/>
      <color theme="0" tint="-0.89999084444715716"/>
      <name val="Calibri"/>
      <family val="2"/>
    </font>
    <font>
      <b/>
      <sz val="9"/>
      <color theme="0" tint="-0.89999084444715716"/>
      <name val="Calibri"/>
    </font>
    <font>
      <b/>
      <sz val="9"/>
      <color theme="0" tint="-0.89999084444715716"/>
      <name val="Georgia"/>
      <scheme val="minor"/>
    </font>
    <font>
      <b/>
      <sz val="9"/>
      <color theme="0" tint="-0.89999084444715716"/>
      <name val="Georgia"/>
      <family val="1"/>
      <scheme val="minor"/>
    </font>
  </fonts>
  <fills count="24">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style="thin">
        <color theme="1" tint="0.39997558519241921"/>
      </left>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theme="1" tint="0.39997558519241921"/>
      </right>
      <top style="thin">
        <color theme="1" tint="0.39997558519241921"/>
      </top>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style="thin">
        <color rgb="FF000000"/>
      </left>
      <right style="thin">
        <color rgb="FF000000"/>
      </right>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theme="1" tint="0.39997558519241921"/>
      </left>
      <right/>
      <top/>
      <bottom/>
      <diagonal/>
    </border>
  </borders>
  <cellStyleXfs count="1">
    <xf numFmtId="0" fontId="0" fillId="0" borderId="0"/>
  </cellStyleXfs>
  <cellXfs count="249">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0" fontId="7" fillId="0" borderId="0" xfId="0" applyFont="1" applyAlignment="1">
      <alignment vertical="top" textRotation="90"/>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9" xfId="0" applyFont="1" applyBorder="1"/>
    <xf numFmtId="0" fontId="4" fillId="0" borderId="9" xfId="0" applyFont="1" applyBorder="1" applyAlignment="1">
      <alignment horizontal="center"/>
    </xf>
    <xf numFmtId="0" fontId="4" fillId="11" borderId="9" xfId="0" applyFont="1" applyFill="1" applyBorder="1"/>
    <xf numFmtId="0" fontId="4" fillId="12" borderId="9" xfId="0" applyFont="1" applyFill="1" applyBorder="1"/>
    <xf numFmtId="0" fontId="4" fillId="13" borderId="9" xfId="0" applyFont="1" applyFill="1" applyBorder="1"/>
    <xf numFmtId="0" fontId="4" fillId="14" borderId="9" xfId="0" applyFont="1" applyFill="1" applyBorder="1"/>
    <xf numFmtId="0" fontId="10" fillId="0" borderId="10" xfId="0" applyFont="1" applyBorder="1"/>
    <xf numFmtId="9" fontId="12" fillId="0" borderId="10" xfId="0" applyNumberFormat="1" applyFont="1" applyBorder="1"/>
    <xf numFmtId="9" fontId="12" fillId="0" borderId="12" xfId="0" applyNumberFormat="1" applyFont="1" applyBorder="1"/>
    <xf numFmtId="0" fontId="0" fillId="0" borderId="0" xfId="0" applyAlignment="1">
      <alignment wrapText="1"/>
    </xf>
    <xf numFmtId="0" fontId="14" fillId="0" borderId="0" xfId="0" applyFont="1"/>
    <xf numFmtId="9" fontId="13" fillId="0" borderId="0" xfId="0" applyNumberFormat="1" applyFont="1" applyAlignment="1">
      <alignment horizontal="center" vertical="center"/>
    </xf>
    <xf numFmtId="0" fontId="11" fillId="15" borderId="11" xfId="0" applyFont="1" applyFill="1" applyBorder="1"/>
    <xf numFmtId="0" fontId="11" fillId="15" borderId="11" xfId="0" applyFont="1" applyFill="1" applyBorder="1" applyAlignment="1">
      <alignment wrapText="1"/>
    </xf>
    <xf numFmtId="0" fontId="11" fillId="15" borderId="11" xfId="0" applyFont="1" applyFill="1" applyBorder="1" applyAlignment="1">
      <alignment horizontal="left" wrapText="1"/>
    </xf>
    <xf numFmtId="0" fontId="11" fillId="15" borderId="11" xfId="0" applyFont="1" applyFill="1" applyBorder="1" applyAlignment="1">
      <alignment horizontal="center" wrapText="1"/>
    </xf>
    <xf numFmtId="0" fontId="11" fillId="18" borderId="11" xfId="0" applyFont="1" applyFill="1" applyBorder="1" applyAlignment="1">
      <alignment horizontal="center" wrapText="1"/>
    </xf>
    <xf numFmtId="0" fontId="11" fillId="17" borderId="11" xfId="0" applyFont="1" applyFill="1" applyBorder="1" applyAlignment="1">
      <alignment horizontal="center" wrapText="1"/>
    </xf>
    <xf numFmtId="0" fontId="9" fillId="11" borderId="11" xfId="0" applyFont="1" applyFill="1" applyBorder="1" applyAlignment="1">
      <alignment horizontal="center" wrapText="1"/>
    </xf>
    <xf numFmtId="0" fontId="15" fillId="0" borderId="10" xfId="0" applyFont="1" applyBorder="1" applyAlignment="1">
      <alignment horizontal="left" vertical="center"/>
    </xf>
    <xf numFmtId="0" fontId="16" fillId="0" borderId="10" xfId="0" applyFont="1" applyBorder="1"/>
    <xf numFmtId="0" fontId="17" fillId="0" borderId="10" xfId="0" applyFont="1" applyBorder="1" applyAlignment="1">
      <alignment horizontal="center" vertical="center"/>
    </xf>
    <xf numFmtId="0" fontId="18" fillId="0" borderId="10" xfId="0" applyFont="1" applyBorder="1"/>
    <xf numFmtId="0" fontId="19" fillId="0" borderId="10" xfId="0" applyFont="1" applyBorder="1" applyAlignment="1">
      <alignment horizontal="center"/>
    </xf>
    <xf numFmtId="0" fontId="20" fillId="0" borderId="0" xfId="0" applyFont="1"/>
    <xf numFmtId="0" fontId="19" fillId="0" borderId="0" xfId="0" applyFont="1"/>
    <xf numFmtId="0" fontId="22" fillId="19" borderId="10" xfId="0" applyFont="1" applyFill="1" applyBorder="1"/>
    <xf numFmtId="0" fontId="22" fillId="19" borderId="1" xfId="0" applyFont="1" applyFill="1" applyBorder="1"/>
    <xf numFmtId="0" fontId="23" fillId="19" borderId="10" xfId="0" applyFont="1" applyFill="1" applyBorder="1" applyAlignment="1">
      <alignment horizontal="center"/>
    </xf>
    <xf numFmtId="9" fontId="0" fillId="0" borderId="0" xfId="0" applyNumberFormat="1"/>
    <xf numFmtId="0" fontId="0" fillId="0" borderId="0" xfId="0" applyAlignment="1">
      <alignment horizontal="center"/>
    </xf>
    <xf numFmtId="10" fontId="0" fillId="0" borderId="0" xfId="0" applyNumberFormat="1"/>
    <xf numFmtId="0" fontId="15" fillId="2" borderId="1" xfId="0" applyFont="1" applyFill="1" applyBorder="1" applyAlignment="1">
      <alignment horizontal="center"/>
    </xf>
    <xf numFmtId="0" fontId="19" fillId="2" borderId="0" xfId="0" applyFont="1" applyFill="1" applyAlignment="1">
      <alignment horizontal="center"/>
    </xf>
    <xf numFmtId="0" fontId="15" fillId="0" borderId="0" xfId="0" applyFont="1" applyAlignment="1">
      <alignment horizontal="center"/>
    </xf>
    <xf numFmtId="0" fontId="4" fillId="0" borderId="10" xfId="0" applyFont="1" applyBorder="1" applyAlignment="1">
      <alignment horizontal="left" vertical="center"/>
    </xf>
    <xf numFmtId="0" fontId="4" fillId="0" borderId="10" xfId="0" applyFont="1" applyBorder="1" applyAlignment="1">
      <alignment horizontal="left" vertical="top" wrapText="1"/>
    </xf>
    <xf numFmtId="0" fontId="4" fillId="0" borderId="10" xfId="0" applyFont="1" applyBorder="1" applyAlignment="1">
      <alignment horizontal="left" vertical="center" wrapText="1"/>
    </xf>
    <xf numFmtId="9"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10" xfId="0" applyFont="1" applyBorder="1" applyAlignment="1">
      <alignment horizontal="left" wrapText="1"/>
    </xf>
    <xf numFmtId="9" fontId="1" fillId="0" borderId="10"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0" fontId="4" fillId="0" borderId="10" xfId="0" applyFont="1" applyBorder="1" applyAlignment="1">
      <alignment wrapText="1"/>
    </xf>
    <xf numFmtId="0" fontId="22" fillId="19" borderId="13" xfId="0" applyFont="1" applyFill="1" applyBorder="1"/>
    <xf numFmtId="0" fontId="23" fillId="19" borderId="10" xfId="0" applyFont="1" applyFill="1" applyBorder="1"/>
    <xf numFmtId="9" fontId="4" fillId="0" borderId="0" xfId="0" applyNumberFormat="1" applyFont="1" applyAlignment="1">
      <alignment vertical="center"/>
    </xf>
    <xf numFmtId="9" fontId="4" fillId="0" borderId="0" xfId="0" applyNumberFormat="1" applyFont="1" applyAlignment="1">
      <alignment horizontal="center"/>
    </xf>
    <xf numFmtId="9" fontId="4" fillId="0" borderId="0" xfId="0" applyNumberFormat="1" applyFont="1" applyAlignment="1">
      <alignment horizontal="center" vertical="center"/>
    </xf>
    <xf numFmtId="0" fontId="19" fillId="0" borderId="17" xfId="0" applyFont="1" applyBorder="1" applyAlignment="1">
      <alignment wrapText="1"/>
    </xf>
    <xf numFmtId="0" fontId="19" fillId="0" borderId="12" xfId="0" applyFont="1" applyBorder="1" applyAlignment="1">
      <alignment wrapText="1"/>
    </xf>
    <xf numFmtId="0" fontId="0" fillId="0" borderId="0" xfId="0" applyAlignment="1">
      <alignment horizontal="center" vertical="center"/>
    </xf>
    <xf numFmtId="0" fontId="23" fillId="19" borderId="12" xfId="0" applyFont="1" applyFill="1" applyBorder="1" applyAlignment="1">
      <alignment wrapText="1"/>
    </xf>
    <xf numFmtId="0" fontId="23" fillId="19" borderId="12" xfId="0" applyFont="1" applyFill="1" applyBorder="1" applyAlignment="1">
      <alignment horizontal="center" wrapText="1"/>
    </xf>
    <xf numFmtId="0" fontId="23" fillId="19" borderId="10" xfId="0" applyFont="1" applyFill="1" applyBorder="1" applyAlignment="1">
      <alignment horizontal="center" wrapText="1"/>
    </xf>
    <xf numFmtId="0" fontId="19" fillId="0" borderId="10" xfId="0" applyFont="1" applyBorder="1" applyAlignment="1">
      <alignment wrapText="1"/>
    </xf>
    <xf numFmtId="9" fontId="21" fillId="16" borderId="10" xfId="0" applyNumberFormat="1" applyFont="1" applyFill="1" applyBorder="1" applyAlignment="1">
      <alignment horizontal="center" wrapText="1"/>
    </xf>
    <xf numFmtId="9" fontId="19" fillId="0" borderId="10" xfId="0" applyNumberFormat="1" applyFont="1" applyBorder="1" applyAlignment="1">
      <alignment horizontal="center" wrapText="1"/>
    </xf>
    <xf numFmtId="0" fontId="22" fillId="3" borderId="4"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wrapText="1"/>
    </xf>
    <xf numFmtId="0" fontId="22" fillId="0" borderId="0" xfId="0" applyFont="1" applyAlignment="1">
      <alignment horizontal="center" wrapText="1"/>
    </xf>
    <xf numFmtId="0" fontId="6" fillId="5" borderId="0" xfId="0" applyFont="1" applyFill="1" applyAlignment="1">
      <alignment horizontal="center" wrapText="1"/>
    </xf>
    <xf numFmtId="0" fontId="6" fillId="6" borderId="0" xfId="0" applyFont="1" applyFill="1" applyAlignment="1">
      <alignment horizontal="center" wrapText="1"/>
    </xf>
    <xf numFmtId="0" fontId="6" fillId="8" borderId="0" xfId="0" applyFont="1" applyFill="1" applyAlignment="1">
      <alignment horizontal="center" wrapText="1"/>
    </xf>
    <xf numFmtId="0" fontId="6" fillId="10" borderId="0" xfId="0" applyFont="1" applyFill="1" applyAlignment="1">
      <alignment horizontal="center" wrapText="1"/>
    </xf>
    <xf numFmtId="0" fontId="29" fillId="0" borderId="23" xfId="0" applyFont="1" applyBorder="1" applyAlignment="1">
      <alignment horizontal="center" vertical="center" wrapText="1"/>
    </xf>
    <xf numFmtId="164" fontId="29" fillId="0" borderId="10" xfId="0" applyNumberFormat="1" applyFont="1" applyBorder="1" applyAlignment="1">
      <alignment horizontal="center" vertical="center" wrapText="1"/>
    </xf>
    <xf numFmtId="0" fontId="28" fillId="0" borderId="0" xfId="0" applyFont="1" applyAlignment="1">
      <alignment vertical="center" wrapText="1"/>
    </xf>
    <xf numFmtId="0" fontId="29" fillId="0" borderId="10" xfId="0" applyFont="1" applyBorder="1" applyAlignment="1">
      <alignment horizontal="center" vertical="center" wrapText="1"/>
    </xf>
    <xf numFmtId="0" fontId="29" fillId="0" borderId="25" xfId="0" applyFont="1" applyBorder="1" applyAlignment="1">
      <alignment vertical="center" wrapText="1"/>
    </xf>
    <xf numFmtId="164" fontId="29" fillId="0" borderId="27" xfId="0" applyNumberFormat="1" applyFont="1" applyBorder="1" applyAlignment="1">
      <alignment horizontal="center" vertical="center" wrapText="1"/>
    </xf>
    <xf numFmtId="0" fontId="29" fillId="0" borderId="11" xfId="0" applyFont="1" applyBorder="1" applyAlignment="1">
      <alignment horizontal="center" vertical="center" wrapText="1"/>
    </xf>
    <xf numFmtId="0" fontId="29" fillId="0" borderId="28" xfId="0" applyFont="1" applyBorder="1" applyAlignment="1">
      <alignment horizontal="center" vertical="center" wrapText="1"/>
    </xf>
    <xf numFmtId="164" fontId="29" fillId="0" borderId="29" xfId="0" applyNumberFormat="1" applyFont="1" applyBorder="1" applyAlignment="1">
      <alignment horizontal="center" vertical="center" wrapText="1"/>
    </xf>
    <xf numFmtId="0" fontId="0" fillId="0" borderId="0" xfId="0" applyAlignment="1">
      <alignment horizontal="left"/>
    </xf>
    <xf numFmtId="164" fontId="29" fillId="0" borderId="11" xfId="0" applyNumberFormat="1"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30" fillId="22" borderId="20" xfId="0" applyFont="1" applyFill="1" applyBorder="1" applyAlignment="1">
      <alignment horizontal="center" vertical="center" wrapText="1"/>
    </xf>
    <xf numFmtId="0" fontId="0" fillId="0" borderId="10" xfId="0" applyBorder="1" applyAlignment="1">
      <alignment vertical="center"/>
    </xf>
    <xf numFmtId="164" fontId="0" fillId="0" borderId="0" xfId="0" applyNumberFormat="1" applyAlignment="1">
      <alignment horizontal="center" vertical="center"/>
    </xf>
    <xf numFmtId="0" fontId="31" fillId="21" borderId="19" xfId="0" applyFont="1" applyFill="1" applyBorder="1" applyAlignment="1">
      <alignment horizontal="center" vertical="center" wrapText="1"/>
    </xf>
    <xf numFmtId="164" fontId="31" fillId="21" borderId="20" xfId="0" applyNumberFormat="1" applyFont="1" applyFill="1" applyBorder="1" applyAlignment="1">
      <alignment horizontal="center" vertical="center" wrapText="1"/>
    </xf>
    <xf numFmtId="0" fontId="31" fillId="21" borderId="20" xfId="0" applyFont="1" applyFill="1" applyBorder="1" applyAlignment="1">
      <alignment horizontal="center" vertical="center" wrapText="1"/>
    </xf>
    <xf numFmtId="0" fontId="31" fillId="22" borderId="20" xfId="0" applyFont="1" applyFill="1" applyBorder="1" applyAlignment="1">
      <alignment horizontal="center" vertical="center" wrapText="1"/>
    </xf>
    <xf numFmtId="0" fontId="31" fillId="22" borderId="21" xfId="0" applyFont="1" applyFill="1" applyBorder="1" applyAlignment="1">
      <alignment horizontal="center" vertical="center" wrapText="1"/>
    </xf>
    <xf numFmtId="0" fontId="31" fillId="23" borderId="20" xfId="0" applyFont="1" applyFill="1" applyBorder="1" applyAlignment="1">
      <alignment horizontal="center" vertical="center" wrapText="1"/>
    </xf>
    <xf numFmtId="0" fontId="31" fillId="23" borderId="21" xfId="0" applyFont="1" applyFill="1" applyBorder="1" applyAlignment="1">
      <alignment horizontal="center" vertical="center" wrapText="1"/>
    </xf>
    <xf numFmtId="164" fontId="31" fillId="23" borderId="21" xfId="0" applyNumberFormat="1" applyFont="1" applyFill="1" applyBorder="1" applyAlignment="1">
      <alignment horizontal="center" vertical="center" wrapText="1"/>
    </xf>
    <xf numFmtId="0" fontId="31" fillId="23" borderId="22" xfId="0" applyFont="1" applyFill="1" applyBorder="1" applyAlignment="1">
      <alignment horizontal="center" vertical="center" wrapText="1"/>
    </xf>
    <xf numFmtId="164" fontId="29" fillId="0" borderId="12" xfId="0" applyNumberFormat="1" applyFont="1" applyBorder="1" applyAlignment="1">
      <alignment horizontal="center" vertical="center" wrapText="1"/>
    </xf>
    <xf numFmtId="0" fontId="32" fillId="0" borderId="12" xfId="0" applyFont="1" applyBorder="1" applyAlignment="1">
      <alignment vertical="center" wrapText="1"/>
    </xf>
    <xf numFmtId="0" fontId="32" fillId="0" borderId="12" xfId="0" applyFont="1" applyBorder="1" applyAlignment="1">
      <alignment horizontal="center" vertical="center" wrapText="1"/>
    </xf>
    <xf numFmtId="0" fontId="32" fillId="0" borderId="10" xfId="0" applyFont="1" applyBorder="1" applyAlignment="1">
      <alignment horizontal="center" vertical="center" wrapText="1"/>
    </xf>
    <xf numFmtId="0" fontId="32" fillId="0" borderId="24" xfId="0" applyFont="1" applyBorder="1" applyAlignment="1">
      <alignment horizontal="left" vertical="center" wrapText="1"/>
    </xf>
    <xf numFmtId="0" fontId="32" fillId="0" borderId="10" xfId="0" applyFont="1" applyBorder="1" applyAlignment="1">
      <alignment horizontal="left" vertical="center" wrapText="1"/>
    </xf>
    <xf numFmtId="0" fontId="32" fillId="0" borderId="25" xfId="0" applyFont="1" applyBorder="1" applyAlignment="1">
      <alignment vertical="center" wrapText="1"/>
    </xf>
    <xf numFmtId="0" fontId="29" fillId="0" borderId="26" xfId="0" applyFont="1" applyBorder="1" applyAlignment="1">
      <alignment horizontal="center" vertical="center" wrapText="1"/>
    </xf>
    <xf numFmtId="0" fontId="32" fillId="0" borderId="24" xfId="0" applyFont="1" applyBorder="1" applyAlignment="1">
      <alignment horizontal="center" vertical="center" wrapText="1"/>
    </xf>
    <xf numFmtId="0" fontId="29" fillId="0" borderId="10" xfId="0" applyFont="1" applyBorder="1" applyAlignment="1">
      <alignment horizontal="left" vertical="center" wrapText="1"/>
    </xf>
    <xf numFmtId="0" fontId="32" fillId="0" borderId="10" xfId="0" applyFont="1" applyBorder="1" applyAlignment="1">
      <alignment vertical="center" wrapText="1"/>
    </xf>
    <xf numFmtId="164" fontId="32" fillId="0" borderId="10" xfId="0" applyNumberFormat="1" applyFont="1" applyBorder="1" applyAlignment="1">
      <alignment horizontal="center" vertical="center" wrapText="1"/>
    </xf>
    <xf numFmtId="0" fontId="32" fillId="0" borderId="23" xfId="0" applyFont="1" applyBorder="1" applyAlignment="1">
      <alignment vertical="center"/>
    </xf>
    <xf numFmtId="164" fontId="32" fillId="0" borderId="10" xfId="0" applyNumberFormat="1" applyFont="1" applyBorder="1" applyAlignment="1">
      <alignment horizontal="center" vertical="center"/>
    </xf>
    <xf numFmtId="0" fontId="29" fillId="0" borderId="10" xfId="0" applyFont="1" applyBorder="1" applyAlignment="1">
      <alignment horizontal="center" vertical="center"/>
    </xf>
    <xf numFmtId="0" fontId="32" fillId="0" borderId="10" xfId="0" applyFont="1" applyBorder="1" applyAlignment="1">
      <alignment horizontal="center" vertical="center"/>
    </xf>
    <xf numFmtId="164" fontId="32" fillId="0" borderId="10" xfId="0" applyNumberFormat="1" applyFont="1" applyBorder="1" applyAlignment="1">
      <alignment vertical="center"/>
    </xf>
    <xf numFmtId="0" fontId="32" fillId="0" borderId="25" xfId="0" applyFont="1" applyBorder="1" applyAlignment="1">
      <alignment vertical="center"/>
    </xf>
    <xf numFmtId="0" fontId="29" fillId="0" borderId="23" xfId="0" applyFont="1" applyBorder="1" applyAlignment="1">
      <alignment horizontal="center" vertical="center"/>
    </xf>
    <xf numFmtId="164" fontId="29" fillId="0" borderId="10" xfId="0" applyNumberFormat="1" applyFont="1" applyBorder="1" applyAlignment="1">
      <alignment horizontal="center" vertical="center"/>
    </xf>
    <xf numFmtId="0" fontId="32" fillId="0" borderId="25" xfId="0" applyFont="1" applyBorder="1" applyAlignment="1">
      <alignment horizontal="center" vertical="center"/>
    </xf>
    <xf numFmtId="0" fontId="29" fillId="0" borderId="11" xfId="0" applyFont="1" applyBorder="1" applyAlignment="1">
      <alignment horizontal="center" vertical="center"/>
    </xf>
    <xf numFmtId="0" fontId="32" fillId="0" borderId="11" xfId="0" applyFont="1" applyBorder="1" applyAlignment="1">
      <alignment horizontal="center" vertical="center" wrapText="1"/>
    </xf>
    <xf numFmtId="0" fontId="32" fillId="0" borderId="11" xfId="0" applyFont="1" applyBorder="1" applyAlignment="1">
      <alignment horizontal="center" vertical="center"/>
    </xf>
    <xf numFmtId="0" fontId="29" fillId="0" borderId="24" xfId="0" applyFont="1" applyBorder="1" applyAlignment="1">
      <alignment horizontal="center" vertical="center"/>
    </xf>
    <xf numFmtId="0" fontId="32" fillId="0" borderId="0" xfId="0" applyFont="1" applyAlignment="1">
      <alignment vertical="center"/>
    </xf>
    <xf numFmtId="0" fontId="29" fillId="0" borderId="30" xfId="0" applyFont="1" applyBorder="1" applyAlignment="1">
      <alignment horizontal="center" vertical="center"/>
    </xf>
    <xf numFmtId="0" fontId="33" fillId="2" borderId="6" xfId="0" applyFont="1" applyFill="1" applyBorder="1" applyAlignment="1">
      <alignment horizontal="left"/>
    </xf>
    <xf numFmtId="0" fontId="33" fillId="0" borderId="2" xfId="0" applyFont="1" applyBorder="1" applyAlignment="1">
      <alignment horizontal="center" vertical="center"/>
    </xf>
    <xf numFmtId="9" fontId="33" fillId="0" borderId="2" xfId="0" applyNumberFormat="1" applyFont="1" applyBorder="1" applyAlignment="1">
      <alignment horizontal="center" vertical="center"/>
    </xf>
    <xf numFmtId="0" fontId="33" fillId="0" borderId="2" xfId="0" applyFont="1" applyBorder="1" applyAlignment="1">
      <alignment horizontal="center" vertical="center" wrapText="1"/>
    </xf>
    <xf numFmtId="0" fontId="33" fillId="0" borderId="7" xfId="0" applyFont="1" applyBorder="1" applyAlignment="1">
      <alignment horizontal="center" vertical="center"/>
    </xf>
    <xf numFmtId="0" fontId="33" fillId="0" borderId="5" xfId="0" applyFont="1" applyBorder="1" applyAlignment="1">
      <alignment horizontal="center" vertical="center"/>
    </xf>
    <xf numFmtId="0" fontId="33" fillId="0" borderId="4" xfId="0" applyFont="1" applyBorder="1" applyAlignment="1">
      <alignment horizontal="center" vertical="center"/>
    </xf>
    <xf numFmtId="10" fontId="34" fillId="0" borderId="0" xfId="0" applyNumberFormat="1" applyFont="1" applyAlignment="1">
      <alignment horizontal="center" vertical="center"/>
    </xf>
    <xf numFmtId="10" fontId="34" fillId="0" borderId="0" xfId="0" applyNumberFormat="1" applyFont="1" applyAlignment="1">
      <alignment horizontal="center"/>
    </xf>
    <xf numFmtId="0" fontId="34" fillId="0" borderId="0" xfId="0" applyFont="1" applyAlignment="1">
      <alignment horizontal="center"/>
    </xf>
    <xf numFmtId="9" fontId="34" fillId="0" borderId="0" xfId="0" applyNumberFormat="1" applyFont="1" applyAlignment="1">
      <alignment horizontal="center"/>
    </xf>
    <xf numFmtId="0" fontId="35" fillId="0" borderId="0" xfId="0" applyFont="1"/>
    <xf numFmtId="1" fontId="34" fillId="0" borderId="0" xfId="0" applyNumberFormat="1" applyFont="1" applyAlignment="1">
      <alignment horizontal="center"/>
    </xf>
    <xf numFmtId="0" fontId="36" fillId="0" borderId="0" xfId="0" applyFont="1"/>
    <xf numFmtId="0" fontId="33" fillId="0" borderId="14" xfId="0" applyFont="1" applyBorder="1" applyAlignment="1">
      <alignment horizontal="left"/>
    </xf>
    <xf numFmtId="0" fontId="33" fillId="0" borderId="15" xfId="0" applyFont="1" applyBorder="1" applyAlignment="1">
      <alignment horizontal="center" vertical="center"/>
    </xf>
    <xf numFmtId="9" fontId="33" fillId="0" borderId="15" xfId="0" applyNumberFormat="1" applyFont="1" applyBorder="1" applyAlignment="1">
      <alignment horizontal="center" vertical="center"/>
    </xf>
    <xf numFmtId="0" fontId="33" fillId="0" borderId="15" xfId="0" applyFont="1" applyBorder="1" applyAlignment="1">
      <alignment horizontal="center" vertical="center" wrapText="1"/>
    </xf>
    <xf numFmtId="0" fontId="33" fillId="0" borderId="16" xfId="0" applyFont="1" applyBorder="1" applyAlignment="1">
      <alignment horizontal="center" vertical="center"/>
    </xf>
    <xf numFmtId="0" fontId="36" fillId="0" borderId="0" xfId="0" applyFont="1" applyAlignment="1">
      <alignment horizontal="center" vertical="center"/>
    </xf>
    <xf numFmtId="0" fontId="35" fillId="2" borderId="0" xfId="0" applyFont="1" applyFill="1"/>
    <xf numFmtId="0" fontId="33" fillId="0" borderId="0" xfId="0" applyFont="1" applyAlignment="1">
      <alignment horizontal="center" vertical="center"/>
    </xf>
    <xf numFmtId="9" fontId="33" fillId="0" borderId="0" xfId="0" applyNumberFormat="1" applyFont="1" applyAlignment="1">
      <alignment horizontal="center"/>
    </xf>
    <xf numFmtId="1" fontId="33" fillId="0" borderId="0" xfId="0" applyNumberFormat="1" applyFont="1" applyAlignment="1">
      <alignment horizontal="center"/>
    </xf>
    <xf numFmtId="0" fontId="33" fillId="0" borderId="0" xfId="0" applyFont="1" applyAlignment="1">
      <alignment horizontal="center"/>
    </xf>
    <xf numFmtId="0" fontId="33" fillId="2" borderId="0" xfId="0" applyFont="1" applyFill="1" applyAlignment="1">
      <alignment horizontal="center"/>
    </xf>
    <xf numFmtId="0" fontId="36" fillId="0" borderId="0" xfId="0" applyFont="1" applyAlignment="1">
      <alignment horizontal="center"/>
    </xf>
    <xf numFmtId="0" fontId="35" fillId="2" borderId="0" xfId="0" applyFont="1" applyFill="1" applyAlignment="1">
      <alignment horizontal="center"/>
    </xf>
    <xf numFmtId="0" fontId="33" fillId="0" borderId="6" xfId="0" applyFont="1" applyBorder="1" applyAlignment="1">
      <alignment horizontal="left"/>
    </xf>
    <xf numFmtId="0" fontId="33" fillId="0" borderId="6" xfId="0" applyFont="1" applyBorder="1" applyAlignment="1">
      <alignment horizontal="left" vertical="center"/>
    </xf>
    <xf numFmtId="0" fontId="37" fillId="0" borderId="0" xfId="0" applyFont="1" applyAlignment="1">
      <alignment vertical="top" textRotation="90"/>
    </xf>
    <xf numFmtId="0" fontId="34" fillId="2" borderId="0" xfId="0" applyFont="1" applyFill="1"/>
    <xf numFmtId="0" fontId="33" fillId="0" borderId="2" xfId="0" applyFont="1" applyBorder="1" applyAlignment="1">
      <alignment horizontal="left" vertical="center" wrapText="1"/>
    </xf>
    <xf numFmtId="0" fontId="33" fillId="0" borderId="2" xfId="0" applyFont="1" applyBorder="1" applyAlignment="1">
      <alignment horizontal="left" vertical="center"/>
    </xf>
    <xf numFmtId="0" fontId="33" fillId="0" borderId="15" xfId="0" applyFont="1" applyBorder="1" applyAlignment="1">
      <alignment horizontal="left" vertical="center"/>
    </xf>
    <xf numFmtId="0" fontId="36" fillId="0" borderId="10" xfId="0" applyFont="1" applyBorder="1"/>
    <xf numFmtId="0" fontId="25" fillId="2" borderId="0" xfId="0" applyFont="1" applyFill="1" applyAlignment="1">
      <alignment horizontal="center" wrapText="1"/>
    </xf>
    <xf numFmtId="0" fontId="25" fillId="0" borderId="0" xfId="0" applyFont="1" applyAlignment="1">
      <alignment horizontal="center" wrapText="1"/>
    </xf>
    <xf numFmtId="0" fontId="26" fillId="0" borderId="0" xfId="0" applyFont="1" applyAlignment="1">
      <alignment horizontal="center" wrapText="1"/>
    </xf>
    <xf numFmtId="0" fontId="22" fillId="3" borderId="3" xfId="0" applyFont="1" applyFill="1" applyBorder="1" applyAlignment="1">
      <alignment horizontal="center" vertical="center" wrapText="1"/>
    </xf>
    <xf numFmtId="0" fontId="33" fillId="0" borderId="10" xfId="0" applyFont="1" applyBorder="1" applyAlignment="1">
      <alignment horizontal="left"/>
    </xf>
    <xf numFmtId="0" fontId="33" fillId="0" borderId="10" xfId="0" applyFont="1" applyBorder="1" applyAlignment="1">
      <alignment horizontal="center" vertical="center"/>
    </xf>
    <xf numFmtId="9" fontId="33" fillId="0" borderId="10" xfId="0" applyNumberFormat="1" applyFont="1" applyBorder="1" applyAlignment="1">
      <alignment horizontal="center" vertical="center"/>
    </xf>
    <xf numFmtId="0" fontId="33" fillId="0" borderId="10" xfId="0" applyFont="1" applyBorder="1" applyAlignment="1">
      <alignment horizontal="center" vertical="center" wrapText="1"/>
    </xf>
    <xf numFmtId="0" fontId="36" fillId="0" borderId="10" xfId="0" applyFont="1" applyBorder="1" applyAlignment="1">
      <alignment horizontal="center" vertical="center"/>
    </xf>
    <xf numFmtId="0" fontId="35" fillId="2" borderId="10" xfId="0" applyFont="1" applyFill="1" applyBorder="1"/>
    <xf numFmtId="0" fontId="37" fillId="0" borderId="10" xfId="0" applyFont="1" applyBorder="1" applyAlignment="1">
      <alignment vertical="top" textRotation="90"/>
    </xf>
    <xf numFmtId="0" fontId="29" fillId="0" borderId="0" xfId="0" applyFont="1" applyAlignment="1">
      <alignment vertical="center" wrapText="1"/>
    </xf>
    <xf numFmtId="164" fontId="29" fillId="0" borderId="0" xfId="0" applyNumberFormat="1" applyFont="1" applyAlignment="1">
      <alignment horizontal="center" vertical="center" wrapText="1"/>
    </xf>
    <xf numFmtId="0" fontId="29" fillId="0" borderId="0" xfId="0" applyFont="1" applyAlignment="1">
      <alignment horizontal="center" vertical="center" wrapText="1"/>
    </xf>
    <xf numFmtId="0" fontId="29" fillId="0" borderId="15"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2" xfId="0" applyFont="1" applyBorder="1" applyAlignment="1">
      <alignment horizontal="center" wrapText="1"/>
    </xf>
    <xf numFmtId="0" fontId="29" fillId="0" borderId="11" xfId="0" applyFont="1" applyBorder="1" applyAlignment="1">
      <alignment vertical="center"/>
    </xf>
    <xf numFmtId="0" fontId="29" fillId="0" borderId="15" xfId="0" applyFont="1" applyBorder="1" applyAlignment="1">
      <alignment horizontal="center" wrapText="1"/>
    </xf>
    <xf numFmtId="0" fontId="29" fillId="0" borderId="0" xfId="0" applyFont="1" applyAlignment="1">
      <alignment vertical="center"/>
    </xf>
    <xf numFmtId="0" fontId="29" fillId="0" borderId="11" xfId="0" applyFont="1" applyBorder="1" applyAlignment="1">
      <alignment horizontal="center" wrapText="1"/>
    </xf>
    <xf numFmtId="0" fontId="29" fillId="0" borderId="10" xfId="0" applyFont="1" applyBorder="1" applyAlignment="1">
      <alignment vertical="center"/>
    </xf>
    <xf numFmtId="0" fontId="33" fillId="0" borderId="24" xfId="0" applyFont="1" applyBorder="1" applyAlignment="1">
      <alignment horizontal="center" vertical="center"/>
    </xf>
    <xf numFmtId="0" fontId="36" fillId="0" borderId="11" xfId="0" applyFont="1" applyBorder="1" applyAlignment="1">
      <alignment horizontal="center" vertical="center"/>
    </xf>
    <xf numFmtId="0" fontId="33" fillId="0" borderId="31" xfId="0" applyFont="1" applyBorder="1" applyAlignment="1">
      <alignment horizontal="center" vertical="center"/>
    </xf>
    <xf numFmtId="0" fontId="33" fillId="0" borderId="11" xfId="0" applyFont="1" applyBorder="1" applyAlignment="1">
      <alignment horizontal="center" vertical="center"/>
    </xf>
    <xf numFmtId="0" fontId="33" fillId="0" borderId="11" xfId="0" applyFont="1" applyBorder="1" applyAlignment="1">
      <alignment horizontal="left"/>
    </xf>
    <xf numFmtId="9" fontId="33" fillId="0" borderId="11" xfId="0" applyNumberFormat="1" applyFont="1" applyBorder="1" applyAlignment="1">
      <alignment horizontal="center" vertical="center"/>
    </xf>
    <xf numFmtId="0" fontId="33" fillId="0" borderId="11" xfId="0" applyFont="1" applyBorder="1" applyAlignment="1">
      <alignment horizontal="center" vertical="center" wrapText="1"/>
    </xf>
    <xf numFmtId="0" fontId="33" fillId="0" borderId="30" xfId="0" applyFont="1" applyBorder="1" applyAlignment="1">
      <alignment horizontal="center" vertical="center"/>
    </xf>
    <xf numFmtId="0" fontId="38" fillId="0" borderId="6" xfId="0" applyFont="1" applyBorder="1" applyAlignment="1">
      <alignment horizontal="left"/>
    </xf>
    <xf numFmtId="0" fontId="38" fillId="0" borderId="2" xfId="0" applyFont="1" applyBorder="1" applyAlignment="1">
      <alignment horizontal="center" vertical="center"/>
    </xf>
    <xf numFmtId="9" fontId="38" fillId="0" borderId="2" xfId="0" applyNumberFormat="1" applyFont="1" applyBorder="1" applyAlignment="1">
      <alignment horizontal="center" vertical="center"/>
    </xf>
    <xf numFmtId="0" fontId="38" fillId="0" borderId="2" xfId="0" applyFont="1" applyBorder="1" applyAlignment="1">
      <alignment horizontal="center" vertical="center" wrapText="1"/>
    </xf>
    <xf numFmtId="0" fontId="38" fillId="0" borderId="7" xfId="0" applyFont="1" applyBorder="1" applyAlignment="1">
      <alignment horizontal="center" vertical="center"/>
    </xf>
    <xf numFmtId="0" fontId="38" fillId="0" borderId="16" xfId="0" applyFont="1" applyBorder="1" applyAlignment="1">
      <alignment horizontal="center" vertical="center"/>
    </xf>
    <xf numFmtId="0" fontId="38" fillId="0" borderId="15" xfId="0" applyFont="1" applyBorder="1" applyAlignment="1">
      <alignment horizontal="left" vertical="center"/>
    </xf>
    <xf numFmtId="0" fontId="39" fillId="0" borderId="0" xfId="0" applyFont="1" applyAlignment="1">
      <alignment horizontal="center" vertical="center"/>
    </xf>
    <xf numFmtId="0" fontId="39" fillId="0" borderId="0" xfId="0" applyFont="1"/>
    <xf numFmtId="0" fontId="40" fillId="2" borderId="0" xfId="0" applyFont="1" applyFill="1"/>
    <xf numFmtId="9" fontId="37" fillId="0" borderId="0" xfId="0" applyNumberFormat="1" applyFont="1" applyAlignment="1">
      <alignment horizontal="center"/>
    </xf>
    <xf numFmtId="1" fontId="37" fillId="0" borderId="0" xfId="0" applyNumberFormat="1" applyFont="1" applyAlignment="1">
      <alignment horizontal="center"/>
    </xf>
    <xf numFmtId="0" fontId="37" fillId="2" borderId="0" xfId="0" applyFont="1" applyFill="1"/>
    <xf numFmtId="0" fontId="37" fillId="0" borderId="0" xfId="0" applyFont="1" applyAlignment="1">
      <alignment horizontal="center"/>
    </xf>
    <xf numFmtId="0" fontId="38" fillId="12" borderId="14" xfId="0" applyFont="1" applyFill="1" applyBorder="1" applyAlignment="1">
      <alignment horizontal="left"/>
    </xf>
    <xf numFmtId="0" fontId="38" fillId="12" borderId="15" xfId="0" applyFont="1" applyFill="1" applyBorder="1" applyAlignment="1">
      <alignment horizontal="center" vertical="center"/>
    </xf>
    <xf numFmtId="9" fontId="38" fillId="12" borderId="2" xfId="0" applyNumberFormat="1" applyFont="1" applyFill="1" applyBorder="1" applyAlignment="1">
      <alignment horizontal="center" vertical="center"/>
    </xf>
    <xf numFmtId="9" fontId="38" fillId="12" borderId="15" xfId="0" applyNumberFormat="1" applyFont="1" applyFill="1" applyBorder="1" applyAlignment="1">
      <alignment horizontal="center" vertical="center"/>
    </xf>
    <xf numFmtId="0" fontId="38" fillId="12" borderId="15" xfId="0" applyFont="1" applyFill="1" applyBorder="1" applyAlignment="1">
      <alignment horizontal="center" vertical="center" wrapText="1"/>
    </xf>
    <xf numFmtId="0" fontId="38" fillId="12" borderId="16" xfId="0" applyFont="1" applyFill="1" applyBorder="1" applyAlignment="1">
      <alignment horizontal="center" vertical="center"/>
    </xf>
    <xf numFmtId="0" fontId="38" fillId="12" borderId="5" xfId="0" applyFont="1" applyFill="1" applyBorder="1" applyAlignment="1">
      <alignment horizontal="center" vertical="center"/>
    </xf>
    <xf numFmtId="0" fontId="38" fillId="12" borderId="2" xfId="0" applyFont="1" applyFill="1" applyBorder="1" applyAlignment="1">
      <alignment horizontal="center" vertical="center"/>
    </xf>
    <xf numFmtId="0" fontId="39" fillId="12" borderId="0" xfId="0" applyFont="1" applyFill="1" applyAlignment="1">
      <alignment horizontal="center" vertical="center"/>
    </xf>
    <xf numFmtId="0" fontId="39" fillId="12" borderId="0" xfId="0" applyFont="1" applyFill="1"/>
    <xf numFmtId="0" fontId="40" fillId="12" borderId="0" xfId="0" applyFont="1" applyFill="1"/>
    <xf numFmtId="9" fontId="37" fillId="12" borderId="0" xfId="0" applyNumberFormat="1" applyFont="1" applyFill="1" applyAlignment="1">
      <alignment horizontal="center"/>
    </xf>
    <xf numFmtId="1" fontId="37" fillId="12" borderId="0" xfId="0" applyNumberFormat="1" applyFont="1" applyFill="1" applyAlignment="1">
      <alignment horizontal="center"/>
    </xf>
    <xf numFmtId="0" fontId="37" fillId="12" borderId="0" xfId="0" applyFont="1" applyFill="1" applyAlignment="1">
      <alignment horizontal="center"/>
    </xf>
    <xf numFmtId="0" fontId="38" fillId="12" borderId="0" xfId="0" applyFont="1" applyFill="1" applyAlignment="1">
      <alignment horizontal="center" vertical="center"/>
    </xf>
    <xf numFmtId="0" fontId="38" fillId="12" borderId="0" xfId="0" applyFont="1" applyFill="1"/>
    <xf numFmtId="9" fontId="38" fillId="12" borderId="0" xfId="0" applyNumberFormat="1" applyFont="1" applyFill="1" applyAlignment="1">
      <alignment horizontal="center"/>
    </xf>
    <xf numFmtId="1" fontId="38" fillId="12" borderId="0" xfId="0" applyNumberFormat="1" applyFont="1" applyFill="1" applyAlignment="1">
      <alignment horizontal="center"/>
    </xf>
    <xf numFmtId="0" fontId="38" fillId="12" borderId="0" xfId="0" applyFont="1" applyFill="1" applyAlignment="1">
      <alignment horizontal="center"/>
    </xf>
    <xf numFmtId="0" fontId="7" fillId="4" borderId="8" xfId="0" applyFont="1" applyFill="1" applyBorder="1" applyAlignment="1">
      <alignment horizontal="center" vertical="center" textRotation="90"/>
    </xf>
    <xf numFmtId="0" fontId="7" fillId="4" borderId="0" xfId="0" applyFont="1" applyFill="1" applyAlignment="1">
      <alignment horizontal="center" vertical="center" textRotation="90"/>
    </xf>
    <xf numFmtId="0" fontId="7" fillId="6" borderId="0" xfId="0" applyFont="1" applyFill="1" applyAlignment="1">
      <alignment horizontal="center" vertical="center" textRotation="90"/>
    </xf>
    <xf numFmtId="0" fontId="8" fillId="7" borderId="0" xfId="0" applyFont="1" applyFill="1" applyAlignment="1">
      <alignment horizontal="center" vertical="center" textRotation="90"/>
    </xf>
    <xf numFmtId="0" fontId="8" fillId="9" borderId="0" xfId="0" applyFont="1" applyFill="1" applyAlignment="1">
      <alignment horizontal="center" vertical="center" textRotation="90"/>
    </xf>
    <xf numFmtId="0" fontId="22" fillId="19" borderId="10" xfId="0" applyFont="1" applyFill="1" applyBorder="1" applyAlignment="1">
      <alignment horizontal="left"/>
    </xf>
    <xf numFmtId="0" fontId="22" fillId="19" borderId="11" xfId="0" applyFont="1" applyFill="1" applyBorder="1" applyAlignment="1">
      <alignment horizontal="left"/>
    </xf>
    <xf numFmtId="9" fontId="19" fillId="0" borderId="10" xfId="0" applyNumberFormat="1" applyFont="1" applyBorder="1" applyAlignment="1">
      <alignment horizontal="center" vertical="center"/>
    </xf>
    <xf numFmtId="0" fontId="19" fillId="0" borderId="11" xfId="0" applyFont="1" applyBorder="1" applyAlignment="1">
      <alignment horizontal="center" vertical="center"/>
    </xf>
    <xf numFmtId="0" fontId="19" fillId="0" borderId="11" xfId="0" applyFont="1" applyBorder="1" applyAlignment="1">
      <alignment horizontal="center" wrapText="1"/>
    </xf>
    <xf numFmtId="0" fontId="19" fillId="0" borderId="17" xfId="0" applyFont="1" applyBorder="1" applyAlignment="1">
      <alignment horizontal="center" wrapText="1"/>
    </xf>
    <xf numFmtId="0" fontId="29" fillId="0" borderId="18" xfId="0" applyFont="1" applyBorder="1" applyAlignment="1">
      <alignment horizontal="center" vertical="center" wrapText="1"/>
    </xf>
    <xf numFmtId="0" fontId="4" fillId="0" borderId="1" xfId="0" applyFont="1" applyBorder="1" applyAlignment="1">
      <alignment horizontal="center"/>
    </xf>
    <xf numFmtId="0" fontId="4" fillId="0" borderId="0" xfId="0" applyFont="1" applyAlignment="1">
      <alignment horizontal="center"/>
    </xf>
    <xf numFmtId="0" fontId="27" fillId="20" borderId="10" xfId="0" applyFont="1" applyFill="1" applyBorder="1" applyAlignment="1">
      <alignment horizontal="center" vertical="center"/>
    </xf>
    <xf numFmtId="0" fontId="19" fillId="0" borderId="10" xfId="0" applyFont="1" applyBorder="1" applyAlignment="1">
      <alignment horizontal="left" vertical="top" wrapText="1"/>
    </xf>
    <xf numFmtId="0" fontId="19" fillId="0" borderId="10" xfId="0" applyFont="1" applyBorder="1" applyAlignment="1">
      <alignment horizontal="left" vertical="top"/>
    </xf>
  </cellXfs>
  <cellStyles count="1">
    <cellStyle name="Normal" xfId="0" builtinId="0"/>
  </cellStyles>
  <dxfs count="39">
    <dxf>
      <font>
        <sz val="9"/>
        <color theme="0" tint="-0.89999084444715716"/>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0" tint="-0.89999084444715716"/>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vertical/>
        <horizontal/>
      </border>
    </dxf>
    <dxf>
      <font>
        <b val="0"/>
        <i val="0"/>
        <strike val="0"/>
        <condense val="0"/>
        <extend val="0"/>
        <outline val="0"/>
        <shadow val="0"/>
        <u val="none"/>
        <vertAlign val="baseline"/>
        <sz val="9"/>
        <color theme="0" tint="-0.89999084444715716"/>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vertical/>
        <horizontal/>
      </border>
    </dxf>
    <dxf>
      <font>
        <b val="0"/>
        <i val="0"/>
        <strike val="0"/>
        <condense val="0"/>
        <extend val="0"/>
        <outline val="0"/>
        <shadow val="0"/>
        <u val="none"/>
        <vertAlign val="baseline"/>
        <sz val="9"/>
        <color theme="0" tint="-0.89999084444715716"/>
        <name val="Calibri"/>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sz val="9"/>
        <color theme="0" tint="-0.89999084444715716"/>
        <name val="Calibri"/>
      </font>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center" vertical="center"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0" tint="-0.89999084444715716"/>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0" tint="-0.89999084444715716"/>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9"/>
        <color theme="0" tint="-0.89999084444715716"/>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sz val="9"/>
        <color theme="0" tint="-0.89999084444715716"/>
        <name val="Calibri"/>
      </font>
      <alignment horizontal="left"/>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sz val="9"/>
        <color theme="0" tint="-0.89999084444715716"/>
        <name val="Calibri"/>
      </font>
    </dxf>
    <dxf>
      <font>
        <sz val="12"/>
        <color rgb="FFFFFFFF"/>
      </font>
      <alignment horizontal="center" wrapText="1"/>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FF3300"/>
      <color rgb="FFA1E7A1"/>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Data!$D$2:$D$35</c:f>
              <c:numCache>
                <c:formatCode>0%</c:formatCode>
                <c:ptCount val="34"/>
                <c:pt idx="0">
                  <c:v>1</c:v>
                </c:pt>
                <c:pt idx="1">
                  <c:v>1</c:v>
                </c:pt>
                <c:pt idx="2">
                  <c:v>1</c:v>
                </c:pt>
                <c:pt idx="3">
                  <c:v>1</c:v>
                </c:pt>
                <c:pt idx="4">
                  <c:v>1</c:v>
                </c:pt>
                <c:pt idx="5">
                  <c:v>1</c:v>
                </c:pt>
                <c:pt idx="6">
                  <c:v>0.52941176470588236</c:v>
                </c:pt>
                <c:pt idx="7">
                  <c:v>0.66666666666666663</c:v>
                </c:pt>
                <c:pt idx="8">
                  <c:v>1</c:v>
                </c:pt>
                <c:pt idx="9">
                  <c:v>1</c:v>
                </c:pt>
                <c:pt idx="10">
                  <c:v>1</c:v>
                </c:pt>
                <c:pt idx="11">
                  <c:v>0.60606060606060608</c:v>
                </c:pt>
                <c:pt idx="12">
                  <c:v>0.44736842105263158</c:v>
                </c:pt>
                <c:pt idx="13">
                  <c:v>1</c:v>
                </c:pt>
                <c:pt idx="14">
                  <c:v>1</c:v>
                </c:pt>
                <c:pt idx="15">
                  <c:v>0.85</c:v>
                </c:pt>
                <c:pt idx="16">
                  <c:v>1</c:v>
                </c:pt>
                <c:pt idx="17">
                  <c:v>1</c:v>
                </c:pt>
                <c:pt idx="18">
                  <c:v>1</c:v>
                </c:pt>
                <c:pt idx="19">
                  <c:v>1</c:v>
                </c:pt>
                <c:pt idx="20">
                  <c:v>1</c:v>
                </c:pt>
                <c:pt idx="21">
                  <c:v>1</c:v>
                </c:pt>
                <c:pt idx="22">
                  <c:v>1.5</c:v>
                </c:pt>
                <c:pt idx="23">
                  <c:v>1.6190476190476191</c:v>
                </c:pt>
                <c:pt idx="24">
                  <c:v>1</c:v>
                </c:pt>
                <c:pt idx="25">
                  <c:v>1.3913043478260869</c:v>
                </c:pt>
                <c:pt idx="26">
                  <c:v>1</c:v>
                </c:pt>
                <c:pt idx="27">
                  <c:v>0.625</c:v>
                </c:pt>
                <c:pt idx="28">
                  <c:v>1</c:v>
                </c:pt>
                <c:pt idx="29">
                  <c:v>1</c:v>
                </c:pt>
                <c:pt idx="30">
                  <c:v>1.9090909090909092</c:v>
                </c:pt>
                <c:pt idx="31">
                  <c:v>1.8666666666666667</c:v>
                </c:pt>
                <c:pt idx="32">
                  <c:v>1</c:v>
                </c:pt>
                <c:pt idx="33">
                  <c:v>1.1666666666666667</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Data!$AG$8:$AG$8</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Data!$AH$8:$AH$8</c:f>
              <c:numCache>
                <c:formatCode>0%</c:formatCode>
                <c:ptCount val="1"/>
                <c:pt idx="0">
                  <c:v>0.9</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Data!$AI$8:$AI$8</c:f>
              <c:numCache>
                <c:formatCode>0%</c:formatCode>
                <c:ptCount val="1"/>
                <c:pt idx="0">
                  <c:v>0.8</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Data!$E$2:$E$35</c:f>
              <c:numCache>
                <c:formatCode>General</c:formatCode>
                <c:ptCount val="34"/>
                <c:pt idx="0">
                  <c:v>20</c:v>
                </c:pt>
                <c:pt idx="1">
                  <c:v>28</c:v>
                </c:pt>
                <c:pt idx="2">
                  <c:v>32</c:v>
                </c:pt>
                <c:pt idx="3">
                  <c:v>20</c:v>
                </c:pt>
                <c:pt idx="4">
                  <c:v>19</c:v>
                </c:pt>
                <c:pt idx="5">
                  <c:v>18</c:v>
                </c:pt>
                <c:pt idx="6">
                  <c:v>18</c:v>
                </c:pt>
                <c:pt idx="7">
                  <c:v>19</c:v>
                </c:pt>
                <c:pt idx="8">
                  <c:v>23</c:v>
                </c:pt>
                <c:pt idx="9">
                  <c:v>25</c:v>
                </c:pt>
                <c:pt idx="10">
                  <c:v>25</c:v>
                </c:pt>
                <c:pt idx="11">
                  <c:v>24</c:v>
                </c:pt>
                <c:pt idx="12">
                  <c:v>20</c:v>
                </c:pt>
                <c:pt idx="13">
                  <c:v>27</c:v>
                </c:pt>
                <c:pt idx="14">
                  <c:v>27</c:v>
                </c:pt>
                <c:pt idx="15">
                  <c:v>26</c:v>
                </c:pt>
                <c:pt idx="16">
                  <c:v>27.5</c:v>
                </c:pt>
                <c:pt idx="17">
                  <c:v>28.25</c:v>
                </c:pt>
                <c:pt idx="18">
                  <c:v>30.75</c:v>
                </c:pt>
                <c:pt idx="19">
                  <c:v>42.5</c:v>
                </c:pt>
                <c:pt idx="20">
                  <c:v>43.5</c:v>
                </c:pt>
                <c:pt idx="21">
                  <c:v>37</c:v>
                </c:pt>
                <c:pt idx="22">
                  <c:v>31</c:v>
                </c:pt>
                <c:pt idx="23">
                  <c:v>28</c:v>
                </c:pt>
                <c:pt idx="24">
                  <c:v>31</c:v>
                </c:pt>
                <c:pt idx="25">
                  <c:v>32</c:v>
                </c:pt>
                <c:pt idx="26">
                  <c:v>32.5</c:v>
                </c:pt>
                <c:pt idx="27">
                  <c:v>26.5</c:v>
                </c:pt>
                <c:pt idx="28">
                  <c:v>23.75</c:v>
                </c:pt>
                <c:pt idx="29">
                  <c:v>24.75</c:v>
                </c:pt>
                <c:pt idx="30">
                  <c:v>24.75</c:v>
                </c:pt>
                <c:pt idx="31">
                  <c:v>24.75</c:v>
                </c:pt>
                <c:pt idx="32">
                  <c:v>35</c:v>
                </c:pt>
                <c:pt idx="33">
                  <c:v>30</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Data!$AK$8:$AK$8</c:f>
              <c:numCache>
                <c:formatCode>0</c:formatCode>
                <c:ptCount val="1"/>
                <c:pt idx="0">
                  <c:v>20</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Data!$F$2:$F$35</c:f>
              <c:numCache>
                <c:formatCode>0%</c:formatCode>
                <c:ptCount val="34"/>
                <c:pt idx="0">
                  <c:v>0.9</c:v>
                </c:pt>
                <c:pt idx="1">
                  <c:v>0.9</c:v>
                </c:pt>
                <c:pt idx="2">
                  <c:v>0.85</c:v>
                </c:pt>
                <c:pt idx="3">
                  <c:v>1</c:v>
                </c:pt>
                <c:pt idx="4">
                  <c:v>1</c:v>
                </c:pt>
                <c:pt idx="5">
                  <c:v>0.9</c:v>
                </c:pt>
                <c:pt idx="6">
                  <c:v>0.7</c:v>
                </c:pt>
                <c:pt idx="7">
                  <c:v>0.8</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0.9</c:v>
                </c:pt>
                <c:pt idx="24">
                  <c:v>0.9</c:v>
                </c:pt>
                <c:pt idx="25">
                  <c:v>0.9</c:v>
                </c:pt>
                <c:pt idx="26">
                  <c:v>0.95</c:v>
                </c:pt>
                <c:pt idx="27">
                  <c:v>0.9</c:v>
                </c:pt>
                <c:pt idx="28">
                  <c:v>0.9</c:v>
                </c:pt>
                <c:pt idx="29">
                  <c:v>0.9</c:v>
                </c:pt>
                <c:pt idx="30">
                  <c:v>0.9</c:v>
                </c:pt>
                <c:pt idx="31">
                  <c:v>0.9</c:v>
                </c:pt>
                <c:pt idx="32">
                  <c:v>1</c:v>
                </c:pt>
                <c:pt idx="33">
                  <c:v>1</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Data!$AM$8:$AM$8</c:f>
              <c:numCache>
                <c:formatCode>0%</c:formatCode>
                <c:ptCount val="1"/>
                <c:pt idx="0">
                  <c:v>0.9</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Data!$H$2:$H$35</c:f>
              <c:numCache>
                <c:formatCode>General</c:formatCode>
                <c:ptCount val="34"/>
                <c:pt idx="0">
                  <c:v>0</c:v>
                </c:pt>
                <c:pt idx="1">
                  <c:v>0</c:v>
                </c:pt>
                <c:pt idx="2">
                  <c:v>1</c:v>
                </c:pt>
                <c:pt idx="3">
                  <c:v>0</c:v>
                </c:pt>
                <c:pt idx="4">
                  <c:v>0</c:v>
                </c:pt>
                <c:pt idx="5">
                  <c:v>1</c:v>
                </c:pt>
                <c:pt idx="6">
                  <c:v>0</c:v>
                </c:pt>
                <c:pt idx="7">
                  <c:v>0</c:v>
                </c:pt>
                <c:pt idx="8">
                  <c:v>0</c:v>
                </c:pt>
                <c:pt idx="9">
                  <c:v>0</c:v>
                </c:pt>
                <c:pt idx="10">
                  <c:v>0</c:v>
                </c:pt>
                <c:pt idx="11">
                  <c:v>4</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Data!$I$2:$I$35</c:f>
              <c:numCache>
                <c:formatCode>General</c:formatCode>
                <c:ptCount val="34"/>
                <c:pt idx="0">
                  <c:v>8</c:v>
                </c:pt>
                <c:pt idx="1">
                  <c:v>1</c:v>
                </c:pt>
                <c:pt idx="2">
                  <c:v>1</c:v>
                </c:pt>
                <c:pt idx="3">
                  <c:v>0</c:v>
                </c:pt>
                <c:pt idx="4">
                  <c:v>0</c:v>
                </c:pt>
                <c:pt idx="5">
                  <c:v>1</c:v>
                </c:pt>
                <c:pt idx="6">
                  <c:v>0</c:v>
                </c:pt>
                <c:pt idx="7">
                  <c:v>0</c:v>
                </c:pt>
                <c:pt idx="8">
                  <c:v>5</c:v>
                </c:pt>
                <c:pt idx="9">
                  <c:v>6</c:v>
                </c:pt>
                <c:pt idx="10">
                  <c:v>6</c:v>
                </c:pt>
                <c:pt idx="11">
                  <c:v>3</c:v>
                </c:pt>
                <c:pt idx="12">
                  <c:v>3</c:v>
                </c:pt>
                <c:pt idx="13">
                  <c:v>11</c:v>
                </c:pt>
                <c:pt idx="14">
                  <c:v>4</c:v>
                </c:pt>
                <c:pt idx="15">
                  <c:v>2</c:v>
                </c:pt>
                <c:pt idx="16">
                  <c:v>3</c:v>
                </c:pt>
                <c:pt idx="17">
                  <c:v>5</c:v>
                </c:pt>
                <c:pt idx="18">
                  <c:v>4</c:v>
                </c:pt>
                <c:pt idx="19">
                  <c:v>4</c:v>
                </c:pt>
                <c:pt idx="20">
                  <c:v>3</c:v>
                </c:pt>
                <c:pt idx="21">
                  <c:v>1</c:v>
                </c:pt>
                <c:pt idx="22">
                  <c:v>6</c:v>
                </c:pt>
                <c:pt idx="23">
                  <c:v>4</c:v>
                </c:pt>
                <c:pt idx="24">
                  <c:v>9</c:v>
                </c:pt>
                <c:pt idx="25">
                  <c:v>7</c:v>
                </c:pt>
                <c:pt idx="26">
                  <c:v>1</c:v>
                </c:pt>
                <c:pt idx="27">
                  <c:v>1</c:v>
                </c:pt>
                <c:pt idx="28">
                  <c:v>2</c:v>
                </c:pt>
                <c:pt idx="29">
                  <c:v>2</c:v>
                </c:pt>
                <c:pt idx="30">
                  <c:v>2</c:v>
                </c:pt>
                <c:pt idx="31">
                  <c:v>3</c:v>
                </c:pt>
                <c:pt idx="32">
                  <c:v>0</c:v>
                </c:pt>
                <c:pt idx="33">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Data!$A$2:$A$35</c:f>
              <c:strCache>
                <c:ptCount val="34"/>
                <c:pt idx="0">
                  <c:v>2.0 Sprint 1 (22-Mar-2024 to 4-Apr-2024)</c:v>
                </c:pt>
                <c:pt idx="1">
                  <c:v>2.0 Sprint 2 (5-Apr-2024	to 18-Apr-2024)</c:v>
                </c:pt>
                <c:pt idx="2">
                  <c:v>2.0 Sprint 3 (Apr-19-2024 to May-2-2024)</c:v>
                </c:pt>
                <c:pt idx="3">
                  <c:v>2.0 Sprint 4 (May-3-2024 to May-16-2024)</c:v>
                </c:pt>
                <c:pt idx="4">
                  <c:v>2.0 Sprint 5 (May-17-2024 to May-30-2024)</c:v>
                </c:pt>
                <c:pt idx="5">
                  <c:v>2.0 Sprint 6 (May-31-2024 to Jun-13-2024)</c:v>
                </c:pt>
                <c:pt idx="6">
                  <c:v>2.0 Sprint 7 (Jun-14-2024 to Jun-27-2024)</c:v>
                </c:pt>
                <c:pt idx="7">
                  <c:v>2.0 Sprint 8 (Jun-28-2024 to Jul-11-2024)</c:v>
                </c:pt>
                <c:pt idx="8">
                  <c:v>2.1 Sprint 1 (Jul-12-2024 to Jul-25-2024)</c:v>
                </c:pt>
                <c:pt idx="9">
                  <c:v>2.1 Sprint 2 (Jul-26-2024 to Aug-8-2024)</c:v>
                </c:pt>
                <c:pt idx="10">
                  <c:v>2.1 Sprint 3 (Aug-9-2024 to Aug-22-2024)</c:v>
                </c:pt>
                <c:pt idx="11">
                  <c:v>2.1 Sprint 4 (Aug-23-2024 to Sep-5-2024)</c:v>
                </c:pt>
                <c:pt idx="12">
                  <c:v>2.1 Sprint 5 (Sep-6-2024 to Sep-19-2024)</c:v>
                </c:pt>
                <c:pt idx="13">
                  <c:v>2.1 Sprint 6 (Sep-20-2024 to Oct-3-2024)</c:v>
                </c:pt>
                <c:pt idx="14">
                  <c:v>2.2 Sprint 0 (Oct-4-2024 to Oct-17-2024)</c:v>
                </c:pt>
                <c:pt idx="15">
                  <c:v>2.2 Sprint 1 (Oct-18-2024 to Oct-31-2024)</c:v>
                </c:pt>
                <c:pt idx="16">
                  <c:v>2.2 Sprint 2 (Nov-1-2024 to Nov-14-2024)</c:v>
                </c:pt>
                <c:pt idx="17">
                  <c:v>2.2 Sprint 3 (Nov-15-2024 to Dec-12-2024)</c:v>
                </c:pt>
                <c:pt idx="18">
                  <c:v>2.2 Sprint 4 (13-Dec-2024 to 09-Jan-2025)</c:v>
                </c:pt>
                <c:pt idx="19">
                  <c:v>2.2 Sprint 5 (10-Jan-2025 to 23-Jan-2025)</c:v>
                </c:pt>
                <c:pt idx="20">
                  <c:v>2.2 Sprint 6 (24-Jan-2025 to 6-Feb-2025)</c:v>
                </c:pt>
                <c:pt idx="21">
                  <c:v>2.3 Sprint 1 (07-Feb-2025 to 20-Feb-2025)</c:v>
                </c:pt>
                <c:pt idx="22">
                  <c:v>2.3 Sprint 2 (21-Feb-2025 to 06-Mar-2025)</c:v>
                </c:pt>
                <c:pt idx="23">
                  <c:v>2.3 Sprint 3 (07-Mar-2025 to 20-Mar-2025)</c:v>
                </c:pt>
                <c:pt idx="24">
                  <c:v>2.3 Sprint 4 (21-Mar-2025 to 03-Apr-2025)</c:v>
                </c:pt>
                <c:pt idx="25">
                  <c:v>2.4 Sprint 0 (04-Apr-2025 to 17-Apr-2025)</c:v>
                </c:pt>
                <c:pt idx="26">
                  <c:v>2.4 Sprint 1 (18-Apr-2025 to 01-May-2025)</c:v>
                </c:pt>
                <c:pt idx="27">
                  <c:v>2.4 Sprint 2 (02-May-2025 to 15-May-2025)</c:v>
                </c:pt>
                <c:pt idx="28">
                  <c:v>2.4 Sprint 3 (16-May-2025 to 29-May-2025)</c:v>
                </c:pt>
                <c:pt idx="29">
                  <c:v>2.5  Sprint 1 ( 30-May-2025 to 12-June-2025)</c:v>
                </c:pt>
                <c:pt idx="30">
                  <c:v>2.5 Sprint 2 ( 13-June-2025 to 26-Jun-2025)</c:v>
                </c:pt>
                <c:pt idx="31">
                  <c:v>2.5 KN Sprint 3 (27-June-2025 to 10-Jul-2025)</c:v>
                </c:pt>
                <c:pt idx="32">
                  <c:v>2.5 KN Sprint 4 (11-Jul-2025 to 24-Jul-2025)</c:v>
                </c:pt>
                <c:pt idx="33">
                  <c:v>2.5 KN Sprint 6 (8-Aug-2025 to 21-Aug-2025)</c:v>
                </c:pt>
              </c:strCache>
            </c:strRef>
          </c:cat>
          <c:val>
            <c:numRef>
              <c:f>Data!$J$2:$J$35</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9</c:v>
                </c:pt>
                <c:pt idx="20">
                  <c:v>1</c:v>
                </c:pt>
                <c:pt idx="21">
                  <c:v>1</c:v>
                </c:pt>
                <c:pt idx="22">
                  <c:v>0</c:v>
                </c:pt>
                <c:pt idx="23">
                  <c:v>1</c:v>
                </c:pt>
                <c:pt idx="24">
                  <c:v>0</c:v>
                </c:pt>
                <c:pt idx="25">
                  <c:v>0</c:v>
                </c:pt>
                <c:pt idx="26">
                  <c:v>1</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53D6019F-24DA-4B84-B58C-A4E0A40FD9AF}"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03C5E8F3-67C0-468F-82C0-64323E659741}"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2C3A6BB9-283F-4D0A-829A-40B5D31C5B4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0AD44CDF-E66E-48CD-A7A1-77C5C375D054}"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D04824D0-51FF-498A-91FB-86B3534180A3}"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1A3E2006-4A2D-4F1B-BA38-636286A23A29}"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83F72E0F-3C07-422B-9DB4-666C8ADABE98}"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C222BE91-DAF6-459B-A410-8E8906212F5F}"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3EB4B1C8-3C27-4238-8D1D-DF383BC3BABC}"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422FF26A-4D57-41A9-BBC8-5A48048C7B50}"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MealOrders - 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 &amp; Code Coverage</c:v>
                </c:pt>
                <c:pt idx="5">
                  <c:v>Backlog Health</c:v>
                </c:pt>
              </c:strCache>
            </c:strRef>
          </c:cat>
          <c:val>
            <c:numRef>
              <c:f>Scorecard!$B$8:$B$13</c:f>
              <c:numCache>
                <c:formatCode>0%</c:formatCode>
                <c:ptCount val="6"/>
                <c:pt idx="0">
                  <c:v>1</c:v>
                </c:pt>
                <c:pt idx="1">
                  <c:v>1</c:v>
                </c:pt>
                <c:pt idx="2">
                  <c:v>0.91919191919191923</c:v>
                </c:pt>
                <c:pt idx="3">
                  <c:v>1</c:v>
                </c:pt>
                <c:pt idx="4">
                  <c:v>0.9</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163831</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708024</xdr:colOff>
      <xdr:row>14</xdr:row>
      <xdr:rowOff>65086</xdr:rowOff>
    </xdr:from>
    <xdr:to>
      <xdr:col>3</xdr:col>
      <xdr:colOff>579436</xdr:colOff>
      <xdr:row>35</xdr:row>
      <xdr:rowOff>6349</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32" headerRowDxfId="20" dataDxfId="19" totalsRowDxfId="18" headerRowBorderDxfId="16" tableBorderDxfId="17">
  <autoFilter ref="A1:O32"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
    <tableColumn id="2" xr3:uid="{00000000-0010-0000-0000-000002000000}" name="Committed" dataDxfId="14"/>
    <tableColumn id="3" xr3:uid="{00000000-0010-0000-0000-000003000000}" name="Delivered" dataDxfId="13"/>
    <tableColumn id="4" xr3:uid="{00000000-0010-0000-0000-000004000000}" name="Commitment Index" dataDxfId="12">
      <calculatedColumnFormula>IFERROR(C2/B2,0)</calculatedColumnFormula>
    </tableColumn>
    <tableColumn id="5" xr3:uid="{00000000-0010-0000-0000-000005000000}" name="Velocity" dataDxfId="11"/>
    <tableColumn id="6" xr3:uid="{00000000-0010-0000-0000-000006000000}" name="Code Coverage" dataDxfId="10"/>
    <tableColumn id="7" xr3:uid="{00000000-0010-0000-0000-000007000000}" name="Code Review Comments - Internal" dataDxfId="9"/>
    <tableColumn id="8" xr3:uid="{00000000-0010-0000-0000-000008000000}" name="Code Review Comments - External" dataDxfId="8"/>
    <tableColumn id="9" xr3:uid="{00000000-0010-0000-0000-000009000000}" name="QA Defects" dataDxfId="7"/>
    <tableColumn id="10" xr3:uid="{00000000-0010-0000-0000-00000A000000}" name="Escaped Defects" dataDxfId="6"/>
    <tableColumn id="11" xr3:uid="{00000000-0010-0000-0000-00000B000000}" name="Backlog Health" dataDxfId="5"/>
    <tableColumn id="13" xr3:uid="{E19615B6-66F5-4DF5-9275-1D8F670440DB}" name="Last Sprint?" dataDxfId="4"/>
    <tableColumn id="15" xr3:uid="{B29C5542-1CD3-42AC-8CCF-91F3B1A0721E}" name="Planned Leaves" dataDxfId="3"/>
    <tableColumn id="14" xr3:uid="{B15B66AF-FA97-4026-A0AF-FC1AD2652EBE}" name="Availed Leaves" dataDxfId="2"/>
    <tableColumn id="12" xr3:uid="{A231F803-22C9-4504-83AF-09BF5C7F62B3}"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zoomScale="80" zoomScaleNormal="80" workbookViewId="0">
      <selection activeCell="C11" sqref="C11"/>
    </sheetView>
  </sheetViews>
  <sheetFormatPr defaultColWidth="12.6640625" defaultRowHeight="15.75" customHeight="1"/>
  <cols>
    <col min="2" max="2" width="45.33203125" customWidth="1"/>
    <col min="3" max="3" width="38" customWidth="1"/>
    <col min="9" max="9" width="15.33203125" customWidth="1"/>
  </cols>
  <sheetData>
    <row r="1" spans="1:10" ht="12.95">
      <c r="A1" s="24" t="s">
        <v>0</v>
      </c>
      <c r="B1" s="25" t="s">
        <v>1</v>
      </c>
      <c r="C1" s="26" t="s">
        <v>2</v>
      </c>
      <c r="D1" s="27" t="s">
        <v>3</v>
      </c>
      <c r="E1" s="28" t="s">
        <v>4</v>
      </c>
      <c r="F1" s="29" t="s">
        <v>5</v>
      </c>
      <c r="G1" s="30" t="s">
        <v>6</v>
      </c>
      <c r="H1" s="27" t="s">
        <v>7</v>
      </c>
    </row>
    <row r="2" spans="1:10" ht="26.1">
      <c r="A2" s="47" t="s">
        <v>8</v>
      </c>
      <c r="B2" s="48" t="s">
        <v>9</v>
      </c>
      <c r="C2" s="49" t="s">
        <v>10</v>
      </c>
      <c r="D2" s="50">
        <v>0.25</v>
      </c>
      <c r="E2" s="51">
        <v>100</v>
      </c>
      <c r="F2" s="51" t="s">
        <v>11</v>
      </c>
      <c r="G2" s="51" t="s">
        <v>12</v>
      </c>
      <c r="H2" s="18"/>
    </row>
    <row r="3" spans="1:10" ht="90.95">
      <c r="A3" s="47" t="s">
        <v>13</v>
      </c>
      <c r="B3" s="52" t="s">
        <v>14</v>
      </c>
      <c r="C3" s="49" t="s">
        <v>15</v>
      </c>
      <c r="D3" s="50">
        <v>0.2</v>
      </c>
      <c r="E3" s="50">
        <v>0.95</v>
      </c>
      <c r="F3" s="51" t="s">
        <v>16</v>
      </c>
      <c r="G3" s="51" t="s">
        <v>17</v>
      </c>
      <c r="H3" s="18"/>
      <c r="I3" s="43"/>
    </row>
    <row r="4" spans="1:10" ht="27">
      <c r="A4" s="47" t="s">
        <v>18</v>
      </c>
      <c r="B4" s="52" t="s">
        <v>19</v>
      </c>
      <c r="C4" s="49" t="s">
        <v>20</v>
      </c>
      <c r="D4" s="50">
        <v>0.2</v>
      </c>
      <c r="E4" s="53">
        <v>1</v>
      </c>
      <c r="F4" s="54" t="s">
        <v>21</v>
      </c>
      <c r="G4" s="55" t="s">
        <v>22</v>
      </c>
      <c r="H4" s="18"/>
    </row>
    <row r="5" spans="1:10" ht="67.5">
      <c r="A5" s="47" t="s">
        <v>23</v>
      </c>
      <c r="B5" s="52" t="s">
        <v>24</v>
      </c>
      <c r="C5" s="49" t="s">
        <v>25</v>
      </c>
      <c r="D5" s="50">
        <v>0.15</v>
      </c>
      <c r="E5" s="51" t="s">
        <v>26</v>
      </c>
      <c r="F5" s="51" t="s">
        <v>27</v>
      </c>
      <c r="G5" s="51" t="s">
        <v>28</v>
      </c>
      <c r="H5" s="18"/>
    </row>
    <row r="6" spans="1:10" ht="26.1">
      <c r="A6" s="47" t="s">
        <v>29</v>
      </c>
      <c r="B6" s="52" t="s">
        <v>30</v>
      </c>
      <c r="C6" s="49" t="s">
        <v>31</v>
      </c>
      <c r="D6" s="50">
        <v>0.1</v>
      </c>
      <c r="E6" s="51" t="s">
        <v>32</v>
      </c>
      <c r="F6" s="51" t="s">
        <v>33</v>
      </c>
      <c r="G6" s="51" t="s">
        <v>34</v>
      </c>
      <c r="H6" s="18"/>
    </row>
    <row r="7" spans="1:10" ht="26.1">
      <c r="A7" s="47" t="s">
        <v>35</v>
      </c>
      <c r="B7" s="56" t="s">
        <v>36</v>
      </c>
      <c r="C7" s="56" t="s">
        <v>37</v>
      </c>
      <c r="D7" s="50">
        <v>0.1</v>
      </c>
      <c r="E7" s="51">
        <v>100</v>
      </c>
      <c r="F7" s="51" t="s">
        <v>11</v>
      </c>
      <c r="G7" s="51" t="s">
        <v>12</v>
      </c>
      <c r="H7" s="18"/>
    </row>
    <row r="8" spans="1:10" ht="15.75" customHeight="1">
      <c r="A8" s="31" t="s">
        <v>38</v>
      </c>
      <c r="B8" s="32"/>
      <c r="C8" s="31" t="s">
        <v>39</v>
      </c>
      <c r="D8" s="33" t="s">
        <v>40</v>
      </c>
      <c r="E8" s="33" t="s">
        <v>41</v>
      </c>
      <c r="F8" s="33" t="s">
        <v>42</v>
      </c>
      <c r="G8" s="33" t="s">
        <v>12</v>
      </c>
      <c r="H8" s="34"/>
      <c r="I8" s="22"/>
      <c r="J8" s="23"/>
    </row>
    <row r="10" spans="1:10" ht="12.95">
      <c r="C10" s="21"/>
    </row>
  </sheetData>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election activeCell="C1" sqref="C1"/>
    </sheetView>
  </sheetViews>
  <sheetFormatPr defaultColWidth="12.6640625" defaultRowHeight="15.75" customHeight="1"/>
  <cols>
    <col min="4" max="4" width="5.88671875" customWidth="1"/>
  </cols>
  <sheetData>
    <row r="1" spans="1:26" ht="15.75" customHeight="1">
      <c r="A1" s="3" t="s">
        <v>43</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95">
      <c r="A25" s="5"/>
    </row>
  </sheetData>
  <customSheetViews>
    <customSheetView guid="{3662FBDA-518E-4D58-A85F-B943BC586F75}" filter="1" showAutoFilter="1">
      <pageMargins left="0" right="0" top="0" bottom="0" header="0" footer="0"/>
      <autoFilter ref="G12" xr:uid="{74481B1E-06E6-4B0B-B603-FFA6BD5DC048}"/>
    </customSheetView>
  </customSheetViews>
  <pageMargins left="0" right="0" top="0" bottom="0" header="0" footer="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B5" sqref="B5"/>
    </sheetView>
  </sheetViews>
  <sheetFormatPr defaultColWidth="8.88671875" defaultRowHeight="12.95"/>
  <cols>
    <col min="1" max="1" width="22.88671875" customWidth="1"/>
    <col min="2" max="2" width="41.109375" customWidth="1"/>
    <col min="3" max="3" width="12.21875" bestFit="1" customWidth="1"/>
    <col min="4" max="4" width="40.33203125" customWidth="1"/>
    <col min="5" max="5" width="17.109375" customWidth="1"/>
    <col min="11" max="11" width="6.21875" hidden="1" customWidth="1"/>
    <col min="21" max="21" width="8.21875" customWidth="1"/>
    <col min="22" max="22" width="8.5546875" customWidth="1"/>
  </cols>
  <sheetData>
    <row r="1" spans="1:22" ht="15.6">
      <c r="A1" s="38" t="s">
        <v>44</v>
      </c>
      <c r="B1" s="35" t="s">
        <v>45</v>
      </c>
      <c r="C1" s="36"/>
      <c r="D1" s="36"/>
    </row>
    <row r="2" spans="1:22" ht="15.6">
      <c r="A2" s="38" t="s">
        <v>46</v>
      </c>
      <c r="B2" s="35" t="s">
        <v>47</v>
      </c>
      <c r="C2" s="36"/>
      <c r="D2" s="36"/>
    </row>
    <row r="3" spans="1:22" ht="12.75" customHeight="1">
      <c r="A3" s="237" t="s">
        <v>48</v>
      </c>
      <c r="B3" s="239">
        <f>SUM(C8:C13)</f>
        <v>0.97383838383838384</v>
      </c>
      <c r="C3" s="36"/>
      <c r="D3" s="36"/>
    </row>
    <row r="4" spans="1:22" ht="12.75" customHeight="1">
      <c r="A4" s="238"/>
      <c r="B4" s="240"/>
      <c r="C4" s="36"/>
      <c r="D4" s="36"/>
    </row>
    <row r="5" spans="1:22" ht="15.6">
      <c r="A5" s="39" t="s">
        <v>49</v>
      </c>
      <c r="B5" s="44" t="s">
        <v>50</v>
      </c>
      <c r="C5" s="45"/>
      <c r="D5" s="36"/>
    </row>
    <row r="6" spans="1:22" ht="15.6">
      <c r="A6" s="37"/>
      <c r="B6" s="46"/>
      <c r="C6" s="45"/>
      <c r="D6" s="36"/>
    </row>
    <row r="7" spans="1:22" ht="18.75" customHeight="1">
      <c r="A7" s="65" t="s">
        <v>51</v>
      </c>
      <c r="B7" s="66" t="s">
        <v>52</v>
      </c>
      <c r="C7" s="67" t="s">
        <v>53</v>
      </c>
      <c r="D7" s="67" t="s">
        <v>54</v>
      </c>
      <c r="V7" s="40" t="s">
        <v>55</v>
      </c>
    </row>
    <row r="8" spans="1:22" ht="32.25" customHeight="1">
      <c r="A8" s="68" t="s">
        <v>8</v>
      </c>
      <c r="B8" s="69">
        <f>VLOOKUP($B$5,Data!A1:O54,4)</f>
        <v>1</v>
      </c>
      <c r="C8" s="70">
        <f>K8*B8</f>
        <v>0.25</v>
      </c>
      <c r="D8" s="241">
        <f>VLOOKUP($B$5,Table_1[#All],13)</f>
        <v>0</v>
      </c>
      <c r="K8" s="19">
        <v>0.25</v>
      </c>
      <c r="V8" s="19">
        <v>1</v>
      </c>
    </row>
    <row r="9" spans="1:22" ht="18.75">
      <c r="A9" s="68" t="s">
        <v>13</v>
      </c>
      <c r="B9" s="69">
        <f>IF((VLOOKUP($B$5,Table_1[#Data],5)/Data!AK27)&gt;1,1,(VLOOKUP($B$5,Table_1[#Data],5)/Data!AK27))</f>
        <v>1</v>
      </c>
      <c r="C9" s="70">
        <f>K9*B9</f>
        <v>0.2</v>
      </c>
      <c r="D9" s="242"/>
      <c r="K9" s="20">
        <v>0.2</v>
      </c>
      <c r="V9" s="19">
        <v>0.95</v>
      </c>
    </row>
    <row r="10" spans="1:22" ht="18.75">
      <c r="A10" s="68" t="s">
        <v>18</v>
      </c>
      <c r="B10" s="69">
        <f>1-IFERROR((VLOOKUP($B$5,Data!A1:L52,9)+VLOOKUP($B$5,Data!A1:L66,10))/VLOOKUP($B$5,Data!A1:L63,5),0)</f>
        <v>0.91919191919191923</v>
      </c>
      <c r="C10" s="70">
        <f>(B10)*K10</f>
        <v>0.18383838383838386</v>
      </c>
      <c r="D10" s="242"/>
      <c r="K10" s="20">
        <v>0.2</v>
      </c>
      <c r="V10" s="19">
        <v>1</v>
      </c>
    </row>
    <row r="11" spans="1:22" ht="18.75">
      <c r="A11" s="68" t="s">
        <v>23</v>
      </c>
      <c r="B11" s="69">
        <f>1-(VLOOKUP($B$5,Data!A1:L52,7)+VLOOKUP($B$5,Data!A1:L52,8))/VLOOKUP($B$5,Table_1[],3)</f>
        <v>1</v>
      </c>
      <c r="C11" s="70">
        <f>(B11)*K11</f>
        <v>0.15</v>
      </c>
      <c r="D11" s="242"/>
      <c r="K11" s="20">
        <v>0.15</v>
      </c>
      <c r="V11" s="19">
        <v>1</v>
      </c>
    </row>
    <row r="12" spans="1:22" ht="18.75">
      <c r="A12" s="68" t="s">
        <v>29</v>
      </c>
      <c r="B12" s="69">
        <f>VLOOKUP($B$5,Table_1[],6)</f>
        <v>0.9</v>
      </c>
      <c r="C12" s="70">
        <f>K12*B12</f>
        <v>9.0000000000000011E-2</v>
      </c>
      <c r="D12" s="62"/>
      <c r="K12" s="20">
        <v>0.1</v>
      </c>
      <c r="V12" s="19">
        <v>0.9</v>
      </c>
    </row>
    <row r="13" spans="1:22" ht="18.75">
      <c r="A13" s="68" t="s">
        <v>35</v>
      </c>
      <c r="B13" s="69">
        <f>IF((VLOOKUP($B$5,Table_1[#All],11)/Data!K2)&gt;1,"100%",(VLOOKUP($B$5,Table_1[#All],11)/Data!K2))</f>
        <v>1</v>
      </c>
      <c r="C13" s="70">
        <f>K13*B13</f>
        <v>0.1</v>
      </c>
      <c r="D13" s="63"/>
      <c r="K13" s="20">
        <v>0.1</v>
      </c>
      <c r="V13" s="19">
        <v>1</v>
      </c>
    </row>
    <row r="14" spans="1:22" ht="12.75"/>
    <row r="16" spans="1:22">
      <c r="B16" s="42"/>
    </row>
    <row r="17" spans="7:8">
      <c r="G17" s="41"/>
      <c r="H17" s="41"/>
    </row>
    <row r="18" spans="7:8">
      <c r="G18" s="41"/>
      <c r="H18" s="41"/>
    </row>
    <row r="19" spans="7:8">
      <c r="G19" s="41"/>
      <c r="H19" s="41"/>
    </row>
    <row r="20" spans="7:8">
      <c r="G20" s="41"/>
      <c r="H20" s="41"/>
    </row>
    <row r="21" spans="7:8">
      <c r="G21" s="41"/>
      <c r="H21" s="41"/>
    </row>
    <row r="22" spans="7:8">
      <c r="G22" s="41"/>
      <c r="H22" s="41"/>
    </row>
  </sheetData>
  <mergeCells count="3">
    <mergeCell ref="A3:A4"/>
    <mergeCell ref="B3:B4"/>
    <mergeCell ref="D8:D11"/>
  </mergeCells>
  <conditionalFormatting sqref="B3:B4">
    <cfRule type="cellIs" dxfId="38" priority="1" operator="lessThanOrEqual">
      <formula>0.8</formula>
    </cfRule>
    <cfRule type="cellIs" dxfId="37" priority="2" operator="between">
      <formula>0.81</formula>
      <formula>0.89</formula>
    </cfRule>
    <cfRule type="cellIs" dxfId="36" priority="3" operator="greaterThanOrEqual">
      <formula>0.9</formula>
    </cfRule>
  </conditionalFormatting>
  <conditionalFormatting sqref="B8 B13">
    <cfRule type="cellIs" dxfId="35" priority="16" operator="lessThanOrEqual">
      <formula>0.8</formula>
    </cfRule>
    <cfRule type="cellIs" dxfId="34" priority="17" operator="equal">
      <formula>1</formula>
    </cfRule>
    <cfRule type="cellIs" dxfId="33" priority="18" operator="between">
      <formula>0.99</formula>
      <formula>0.81</formula>
    </cfRule>
  </conditionalFormatting>
  <conditionalFormatting sqref="B9">
    <cfRule type="cellIs" dxfId="32" priority="13" operator="lessThan">
      <formula>0.8</formula>
    </cfRule>
    <cfRule type="cellIs" dxfId="31" priority="14" operator="between">
      <formula>0.94</formula>
      <formula>0.8</formula>
    </cfRule>
    <cfRule type="cellIs" dxfId="30" priority="15" operator="greaterThanOrEqual">
      <formula>0.95</formula>
    </cfRule>
  </conditionalFormatting>
  <conditionalFormatting sqref="B10">
    <cfRule type="cellIs" dxfId="29" priority="10" operator="lessThan">
      <formula>0.9</formula>
    </cfRule>
    <cfRule type="cellIs" dxfId="28" priority="11" operator="between">
      <formula>0.99</formula>
      <formula>0.9</formula>
    </cfRule>
    <cfRule type="cellIs" dxfId="27" priority="12" operator="equal">
      <formula>1</formula>
    </cfRule>
  </conditionalFormatting>
  <conditionalFormatting sqref="B11">
    <cfRule type="cellIs" dxfId="26" priority="7" operator="lessThan">
      <formula>0.65</formula>
    </cfRule>
    <cfRule type="cellIs" dxfId="25" priority="8" operator="between">
      <formula>0.79</formula>
      <formula>0.65</formula>
    </cfRule>
    <cfRule type="cellIs" dxfId="24" priority="9" operator="greaterThanOrEqual">
      <formula>0.8</formula>
    </cfRule>
  </conditionalFormatting>
  <conditionalFormatting sqref="B12">
    <cfRule type="cellIs" dxfId="23" priority="4" operator="lessThanOrEqual">
      <formula>0.7</formula>
    </cfRule>
    <cfRule type="cellIs" dxfId="22" priority="5" operator="between">
      <formula>0.89</formula>
      <formula>0.71</formula>
    </cfRule>
    <cfRule type="cellIs" dxfId="21"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Data!$A$8:$A$8</xm:f>
          </x14:formula1>
          <xm:sqref>C5:C6 B6</xm:sqref>
        </x14:dataValidation>
        <x14:dataValidation type="list" allowBlank="1" showInputMessage="1" showErrorMessage="1" xr:uid="{B623CD76-4A66-45FA-A1B5-2835EA8D998F}">
          <x14:formula1>
            <xm:f>Data!$A$2:$A$200</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986"/>
  <sheetViews>
    <sheetView showGridLines="0" tabSelected="1" zoomScale="90" zoomScaleNormal="90" workbookViewId="0">
      <pane ySplit="1" topLeftCell="A44" activePane="bottomLeft" state="frozen"/>
      <selection pane="bottomLeft" activeCell="K52" sqref="K52"/>
    </sheetView>
  </sheetViews>
  <sheetFormatPr defaultColWidth="12.6640625" defaultRowHeight="15.75" customHeight="1"/>
  <cols>
    <col min="1" max="1" width="35" style="89" customWidth="1"/>
    <col min="2" max="2" width="9.77734375" style="64" customWidth="1"/>
    <col min="3" max="3" width="8.33203125" style="64" customWidth="1"/>
    <col min="4" max="4" width="11.88671875" style="64" customWidth="1"/>
    <col min="5" max="5" width="7.44140625" style="64" bestFit="1" customWidth="1"/>
    <col min="6" max="6" width="13.5546875" style="64" bestFit="1" customWidth="1"/>
    <col min="7" max="8" width="11.5546875" style="64" customWidth="1"/>
    <col min="9" max="9" width="10.21875" style="64" customWidth="1"/>
    <col min="10" max="10" width="7.21875" style="64" customWidth="1"/>
    <col min="11" max="11" width="10.21875" style="64" customWidth="1"/>
    <col min="12" max="14" width="11.5546875" style="64" customWidth="1"/>
    <col min="15" max="15" width="66.88671875" style="64" customWidth="1"/>
    <col min="16" max="16" width="12.6640625" style="64"/>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6"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2" s="171" customFormat="1" ht="46.5" customHeight="1">
      <c r="A1" s="172" t="s">
        <v>56</v>
      </c>
      <c r="B1" s="71" t="s">
        <v>57</v>
      </c>
      <c r="C1" s="71" t="s">
        <v>58</v>
      </c>
      <c r="D1" s="71" t="s">
        <v>8</v>
      </c>
      <c r="E1" s="71" t="s">
        <v>13</v>
      </c>
      <c r="F1" s="71" t="s">
        <v>59</v>
      </c>
      <c r="G1" s="71" t="s">
        <v>60</v>
      </c>
      <c r="H1" s="71" t="s">
        <v>61</v>
      </c>
      <c r="I1" s="71" t="s">
        <v>62</v>
      </c>
      <c r="J1" s="71" t="s">
        <v>63</v>
      </c>
      <c r="K1" s="72" t="s">
        <v>35</v>
      </c>
      <c r="L1" s="72" t="s">
        <v>64</v>
      </c>
      <c r="M1" s="72" t="s">
        <v>65</v>
      </c>
      <c r="N1" s="72" t="s">
        <v>66</v>
      </c>
      <c r="O1" s="71" t="s">
        <v>67</v>
      </c>
      <c r="P1" s="73"/>
      <c r="Q1" s="74"/>
      <c r="R1" s="75"/>
      <c r="S1" s="75"/>
      <c r="T1" s="75"/>
      <c r="U1" s="75"/>
      <c r="V1" s="75"/>
      <c r="W1" s="75"/>
      <c r="X1" s="75"/>
      <c r="Y1" s="74"/>
      <c r="Z1" s="74"/>
      <c r="AA1" s="74"/>
      <c r="AB1" s="74"/>
      <c r="AC1" s="74"/>
      <c r="AD1" s="74"/>
      <c r="AE1" s="169"/>
      <c r="AF1" s="232" t="s">
        <v>68</v>
      </c>
      <c r="AG1" s="76" t="s">
        <v>69</v>
      </c>
      <c r="AH1" s="76" t="s">
        <v>70</v>
      </c>
      <c r="AI1" s="76" t="s">
        <v>71</v>
      </c>
      <c r="AJ1" s="234" t="s">
        <v>13</v>
      </c>
      <c r="AK1" s="77" t="s">
        <v>69</v>
      </c>
      <c r="AL1" s="235" t="s">
        <v>59</v>
      </c>
      <c r="AM1" s="78" t="s">
        <v>69</v>
      </c>
      <c r="AN1" s="236" t="s">
        <v>35</v>
      </c>
      <c r="AO1" s="79" t="s">
        <v>69</v>
      </c>
      <c r="AP1" s="170"/>
    </row>
    <row r="2" spans="1:42" s="146" customFormat="1" ht="15" customHeight="1">
      <c r="A2" s="133" t="s">
        <v>72</v>
      </c>
      <c r="B2" s="134">
        <v>21</v>
      </c>
      <c r="C2" s="134">
        <v>21</v>
      </c>
      <c r="D2" s="135">
        <f>IF((C2/B2)&gt;1,1,(C2/B2))</f>
        <v>1</v>
      </c>
      <c r="E2" s="134">
        <v>20</v>
      </c>
      <c r="F2" s="135">
        <v>0.9</v>
      </c>
      <c r="G2" s="136">
        <v>0</v>
      </c>
      <c r="H2" s="136">
        <v>0</v>
      </c>
      <c r="I2" s="136">
        <v>8</v>
      </c>
      <c r="J2" s="134">
        <v>0</v>
      </c>
      <c r="K2" s="137">
        <v>30</v>
      </c>
      <c r="L2" s="138" t="s">
        <v>73</v>
      </c>
      <c r="M2" s="138"/>
      <c r="N2" s="138"/>
      <c r="O2" s="139"/>
      <c r="P2" s="140"/>
      <c r="Q2" s="141"/>
      <c r="R2" s="142"/>
      <c r="S2" s="143"/>
      <c r="T2" s="143"/>
      <c r="U2" s="143"/>
      <c r="V2" s="143"/>
      <c r="W2" s="143"/>
      <c r="X2" s="143"/>
      <c r="Y2" s="141"/>
      <c r="Z2" s="141"/>
      <c r="AA2" s="141"/>
      <c r="AB2" s="141"/>
      <c r="AC2" s="141"/>
      <c r="AD2" s="141"/>
      <c r="AE2" s="144"/>
      <c r="AF2" s="233"/>
      <c r="AG2" s="143">
        <f>Config!$J$2</f>
        <v>1</v>
      </c>
      <c r="AH2" s="143">
        <f>Config!$J$3</f>
        <v>0.9</v>
      </c>
      <c r="AI2" s="143">
        <f>Config!$J$4</f>
        <v>0.8</v>
      </c>
      <c r="AJ2" s="234"/>
      <c r="AK2" s="145">
        <f>Config!$J$7</f>
        <v>20</v>
      </c>
      <c r="AL2" s="235"/>
      <c r="AM2" s="143">
        <f>Config!$J$10</f>
        <v>0.9</v>
      </c>
      <c r="AN2" s="236"/>
      <c r="AO2" s="142">
        <v>30</v>
      </c>
    </row>
    <row r="3" spans="1:42" s="146" customFormat="1" ht="15" customHeight="1">
      <c r="A3" s="133" t="s">
        <v>74</v>
      </c>
      <c r="B3" s="134">
        <v>15</v>
      </c>
      <c r="C3" s="134">
        <v>18</v>
      </c>
      <c r="D3" s="135">
        <f t="shared" ref="D3:D23" si="0">IF((C3/B3)&gt;1,1,(C3/B3))</f>
        <v>1</v>
      </c>
      <c r="E3" s="134">
        <v>28</v>
      </c>
      <c r="F3" s="135">
        <v>0.9</v>
      </c>
      <c r="G3" s="136">
        <v>0</v>
      </c>
      <c r="H3" s="136">
        <v>0</v>
      </c>
      <c r="I3" s="136">
        <v>1</v>
      </c>
      <c r="J3" s="134">
        <v>0</v>
      </c>
      <c r="K3" s="137">
        <v>30</v>
      </c>
      <c r="L3" s="138" t="s">
        <v>73</v>
      </c>
      <c r="M3" s="138"/>
      <c r="N3" s="138"/>
      <c r="O3" s="134"/>
      <c r="P3" s="140"/>
      <c r="Q3" s="141"/>
      <c r="R3" s="142"/>
      <c r="S3" s="143"/>
      <c r="T3" s="143"/>
      <c r="U3" s="143"/>
      <c r="V3" s="143"/>
      <c r="W3" s="143"/>
      <c r="X3" s="143"/>
      <c r="Y3" s="141"/>
      <c r="Z3" s="141"/>
      <c r="AA3" s="141"/>
      <c r="AB3" s="141"/>
      <c r="AC3" s="141"/>
      <c r="AD3" s="141"/>
      <c r="AE3" s="144"/>
      <c r="AF3" s="233"/>
      <c r="AG3" s="143">
        <f>Config!$J$2</f>
        <v>1</v>
      </c>
      <c r="AH3" s="143">
        <f>Config!$J$3</f>
        <v>0.9</v>
      </c>
      <c r="AI3" s="143">
        <f>Config!$J$4</f>
        <v>0.8</v>
      </c>
      <c r="AJ3" s="234"/>
      <c r="AK3" s="145">
        <f>Config!$J$7</f>
        <v>20</v>
      </c>
      <c r="AL3" s="235"/>
      <c r="AM3" s="143">
        <f>Config!$J$10</f>
        <v>0.9</v>
      </c>
      <c r="AN3" s="236"/>
      <c r="AO3" s="142">
        <v>30</v>
      </c>
    </row>
    <row r="4" spans="1:42" s="146" customFormat="1" ht="15" customHeight="1">
      <c r="A4" s="133" t="s">
        <v>75</v>
      </c>
      <c r="B4" s="134">
        <v>13</v>
      </c>
      <c r="C4" s="134">
        <v>18</v>
      </c>
      <c r="D4" s="135">
        <f t="shared" si="0"/>
        <v>1</v>
      </c>
      <c r="E4" s="134">
        <v>32</v>
      </c>
      <c r="F4" s="135">
        <v>0.85</v>
      </c>
      <c r="G4" s="136">
        <v>1</v>
      </c>
      <c r="H4" s="136">
        <v>1</v>
      </c>
      <c r="I4" s="136">
        <v>1</v>
      </c>
      <c r="J4" s="134">
        <v>0</v>
      </c>
      <c r="K4" s="137">
        <v>30</v>
      </c>
      <c r="L4" s="137" t="s">
        <v>73</v>
      </c>
      <c r="M4" s="137"/>
      <c r="N4" s="137"/>
      <c r="O4" s="134"/>
      <c r="P4" s="140"/>
      <c r="Q4" s="141"/>
      <c r="R4" s="142"/>
      <c r="S4" s="143"/>
      <c r="T4" s="143"/>
      <c r="U4" s="143"/>
      <c r="V4" s="143"/>
      <c r="W4" s="143"/>
      <c r="X4" s="143"/>
      <c r="Y4" s="141"/>
      <c r="Z4" s="141"/>
      <c r="AA4" s="141"/>
      <c r="AB4" s="141"/>
      <c r="AC4" s="141"/>
      <c r="AD4" s="141"/>
      <c r="AE4" s="144"/>
      <c r="AF4" s="233"/>
      <c r="AG4" s="143">
        <f>Config!$J$2</f>
        <v>1</v>
      </c>
      <c r="AH4" s="143">
        <f>Config!$J$3</f>
        <v>0.9</v>
      </c>
      <c r="AI4" s="143">
        <f>Config!$J$4</f>
        <v>0.8</v>
      </c>
      <c r="AJ4" s="234"/>
      <c r="AK4" s="145">
        <f>Config!$J$7</f>
        <v>20</v>
      </c>
      <c r="AL4" s="235"/>
      <c r="AM4" s="143">
        <f>Config!$J$10</f>
        <v>0.9</v>
      </c>
      <c r="AN4" s="236"/>
      <c r="AO4" s="142">
        <v>30</v>
      </c>
    </row>
    <row r="5" spans="1:42" s="146" customFormat="1" ht="15" customHeight="1">
      <c r="A5" s="133" t="s">
        <v>76</v>
      </c>
      <c r="B5" s="134">
        <v>10</v>
      </c>
      <c r="C5" s="134">
        <v>22</v>
      </c>
      <c r="D5" s="135">
        <f t="shared" si="0"/>
        <v>1</v>
      </c>
      <c r="E5" s="134">
        <v>20</v>
      </c>
      <c r="F5" s="135">
        <v>1</v>
      </c>
      <c r="G5" s="136">
        <v>1</v>
      </c>
      <c r="H5" s="136">
        <v>0</v>
      </c>
      <c r="I5" s="136">
        <v>0</v>
      </c>
      <c r="J5" s="134">
        <v>0</v>
      </c>
      <c r="K5" s="137">
        <v>30</v>
      </c>
      <c r="L5" s="138" t="s">
        <v>73</v>
      </c>
      <c r="M5" s="138"/>
      <c r="N5" s="138"/>
      <c r="O5" s="134"/>
      <c r="P5" s="140"/>
      <c r="Q5" s="141"/>
      <c r="R5" s="142"/>
      <c r="S5" s="143"/>
      <c r="T5" s="143"/>
      <c r="U5" s="143"/>
      <c r="V5" s="143"/>
      <c r="W5" s="143"/>
      <c r="X5" s="143"/>
      <c r="Y5" s="141"/>
      <c r="Z5" s="141"/>
      <c r="AA5" s="141"/>
      <c r="AB5" s="141"/>
      <c r="AC5" s="141"/>
      <c r="AD5" s="141"/>
      <c r="AE5" s="144"/>
      <c r="AF5" s="233"/>
      <c r="AG5" s="143">
        <f>Config!$J$2</f>
        <v>1</v>
      </c>
      <c r="AH5" s="143">
        <f>Config!$J$3</f>
        <v>0.9</v>
      </c>
      <c r="AI5" s="143">
        <f>Config!$J$4</f>
        <v>0.8</v>
      </c>
      <c r="AJ5" s="234"/>
      <c r="AK5" s="145">
        <f>Config!$J$7</f>
        <v>20</v>
      </c>
      <c r="AL5" s="235"/>
      <c r="AM5" s="143">
        <f>Config!$J$10</f>
        <v>0.9</v>
      </c>
      <c r="AN5" s="236"/>
      <c r="AO5" s="142">
        <v>30</v>
      </c>
    </row>
    <row r="6" spans="1:42" s="146" customFormat="1" ht="15" customHeight="1">
      <c r="A6" s="133" t="s">
        <v>77</v>
      </c>
      <c r="B6" s="134">
        <v>12</v>
      </c>
      <c r="C6" s="134">
        <v>16</v>
      </c>
      <c r="D6" s="135">
        <f t="shared" si="0"/>
        <v>1</v>
      </c>
      <c r="E6" s="134">
        <v>19</v>
      </c>
      <c r="F6" s="135">
        <v>1</v>
      </c>
      <c r="G6" s="136">
        <v>0</v>
      </c>
      <c r="H6" s="136">
        <v>0</v>
      </c>
      <c r="I6" s="136">
        <v>0</v>
      </c>
      <c r="J6" s="134">
        <v>0</v>
      </c>
      <c r="K6" s="137">
        <v>30</v>
      </c>
      <c r="L6" s="137" t="s">
        <v>78</v>
      </c>
      <c r="M6" s="137"/>
      <c r="N6" s="137"/>
      <c r="O6" s="134"/>
      <c r="P6" s="140"/>
      <c r="Q6" s="141"/>
      <c r="R6" s="142"/>
      <c r="S6" s="143"/>
      <c r="T6" s="143"/>
      <c r="U6" s="143"/>
      <c r="V6" s="143"/>
      <c r="W6" s="143"/>
      <c r="X6" s="143"/>
      <c r="Y6" s="141"/>
      <c r="Z6" s="141"/>
      <c r="AA6" s="141"/>
      <c r="AB6" s="141"/>
      <c r="AC6" s="141"/>
      <c r="AD6" s="141"/>
      <c r="AE6" s="144"/>
      <c r="AF6" s="233"/>
      <c r="AG6" s="143">
        <f>Config!$J$2</f>
        <v>1</v>
      </c>
      <c r="AH6" s="143">
        <f>Config!$J$3</f>
        <v>0.9</v>
      </c>
      <c r="AI6" s="143">
        <f>Config!$J$4</f>
        <v>0.8</v>
      </c>
      <c r="AJ6" s="234"/>
      <c r="AK6" s="145">
        <f>Config!$J$7</f>
        <v>20</v>
      </c>
      <c r="AL6" s="235"/>
      <c r="AM6" s="143">
        <f>Config!$J$10</f>
        <v>0.9</v>
      </c>
      <c r="AN6" s="236"/>
      <c r="AO6" s="142">
        <v>30</v>
      </c>
    </row>
    <row r="7" spans="1:42" s="146" customFormat="1" ht="15" customHeight="1">
      <c r="A7" s="133" t="s">
        <v>79</v>
      </c>
      <c r="B7" s="134">
        <v>13</v>
      </c>
      <c r="C7" s="134">
        <v>17</v>
      </c>
      <c r="D7" s="135">
        <f t="shared" si="0"/>
        <v>1</v>
      </c>
      <c r="E7" s="134">
        <v>18</v>
      </c>
      <c r="F7" s="135">
        <v>0.9</v>
      </c>
      <c r="G7" s="136">
        <v>0</v>
      </c>
      <c r="H7" s="136">
        <v>1</v>
      </c>
      <c r="I7" s="136">
        <v>1</v>
      </c>
      <c r="J7" s="134">
        <v>0</v>
      </c>
      <c r="K7" s="137">
        <v>30</v>
      </c>
      <c r="L7" s="137" t="s">
        <v>78</v>
      </c>
      <c r="M7" s="137"/>
      <c r="N7" s="137"/>
      <c r="O7" s="134"/>
      <c r="P7" s="140"/>
      <c r="Q7" s="141"/>
      <c r="R7" s="142"/>
      <c r="S7" s="143"/>
      <c r="T7" s="143"/>
      <c r="U7" s="143"/>
      <c r="V7" s="143"/>
      <c r="W7" s="143"/>
      <c r="X7" s="143"/>
      <c r="Y7" s="141"/>
      <c r="Z7" s="141"/>
      <c r="AA7" s="141"/>
      <c r="AB7" s="141"/>
      <c r="AC7" s="141"/>
      <c r="AD7" s="141"/>
      <c r="AE7" s="144"/>
      <c r="AF7" s="233"/>
      <c r="AG7" s="143">
        <f>Config!$J$2</f>
        <v>1</v>
      </c>
      <c r="AH7" s="143">
        <f>Config!$J$3</f>
        <v>0.9</v>
      </c>
      <c r="AI7" s="143">
        <f>Config!$J$4</f>
        <v>0.8</v>
      </c>
      <c r="AJ7" s="234"/>
      <c r="AK7" s="145">
        <f>Config!$J$7</f>
        <v>20</v>
      </c>
      <c r="AL7" s="235"/>
      <c r="AM7" s="143">
        <f>Config!$J$10</f>
        <v>0.9</v>
      </c>
      <c r="AN7" s="236"/>
      <c r="AO7" s="142">
        <v>30</v>
      </c>
    </row>
    <row r="8" spans="1:42" s="146" customFormat="1" ht="15" customHeight="1">
      <c r="A8" s="133" t="s">
        <v>80</v>
      </c>
      <c r="B8" s="134">
        <v>34</v>
      </c>
      <c r="C8" s="134">
        <v>18</v>
      </c>
      <c r="D8" s="135">
        <f t="shared" si="0"/>
        <v>0.52941176470588236</v>
      </c>
      <c r="E8" s="134">
        <v>18</v>
      </c>
      <c r="F8" s="135">
        <v>0.7</v>
      </c>
      <c r="G8" s="136">
        <v>0</v>
      </c>
      <c r="H8" s="136">
        <v>0</v>
      </c>
      <c r="I8" s="136">
        <v>0</v>
      </c>
      <c r="J8" s="134">
        <v>0</v>
      </c>
      <c r="K8" s="137">
        <v>30</v>
      </c>
      <c r="L8" s="138" t="s">
        <v>78</v>
      </c>
      <c r="M8" s="138"/>
      <c r="N8" s="138"/>
      <c r="O8" s="134"/>
      <c r="P8" s="140"/>
      <c r="Q8" s="141"/>
      <c r="R8" s="142"/>
      <c r="S8" s="143"/>
      <c r="T8" s="143"/>
      <c r="U8" s="143"/>
      <c r="V8" s="143"/>
      <c r="W8" s="143"/>
      <c r="X8" s="143"/>
      <c r="Y8" s="141"/>
      <c r="Z8" s="141"/>
      <c r="AA8" s="141"/>
      <c r="AB8" s="141"/>
      <c r="AC8" s="141"/>
      <c r="AD8" s="141"/>
      <c r="AE8" s="144"/>
      <c r="AF8" s="233"/>
      <c r="AG8" s="143">
        <f>Config!$J$2</f>
        <v>1</v>
      </c>
      <c r="AH8" s="143">
        <f>Config!$J$3</f>
        <v>0.9</v>
      </c>
      <c r="AI8" s="143">
        <f>Config!$J$4</f>
        <v>0.8</v>
      </c>
      <c r="AJ8" s="234"/>
      <c r="AK8" s="145">
        <f>Config!$J$7</f>
        <v>20</v>
      </c>
      <c r="AL8" s="235"/>
      <c r="AM8" s="143">
        <f>Config!$J$10</f>
        <v>0.9</v>
      </c>
      <c r="AN8" s="236"/>
      <c r="AO8" s="142">
        <v>30</v>
      </c>
    </row>
    <row r="9" spans="1:42" s="222" customFormat="1" ht="15" customHeight="1">
      <c r="A9" s="213" t="s">
        <v>81</v>
      </c>
      <c r="B9" s="214">
        <v>39</v>
      </c>
      <c r="C9" s="214">
        <v>26</v>
      </c>
      <c r="D9" s="215">
        <f t="shared" si="0"/>
        <v>0.66666666666666663</v>
      </c>
      <c r="E9" s="214">
        <v>19</v>
      </c>
      <c r="F9" s="216">
        <v>0.8</v>
      </c>
      <c r="G9" s="217">
        <v>0</v>
      </c>
      <c r="H9" s="217">
        <v>0</v>
      </c>
      <c r="I9" s="217">
        <v>0</v>
      </c>
      <c r="J9" s="214">
        <v>0</v>
      </c>
      <c r="K9" s="218">
        <v>30</v>
      </c>
      <c r="L9" s="219" t="s">
        <v>73</v>
      </c>
      <c r="M9" s="219"/>
      <c r="N9" s="219"/>
      <c r="O9" s="220"/>
      <c r="P9" s="221"/>
      <c r="AE9" s="223"/>
      <c r="AF9" s="233"/>
      <c r="AG9" s="224">
        <f>Config!$J$2</f>
        <v>1</v>
      </c>
      <c r="AH9" s="224">
        <f>Config!$J$3</f>
        <v>0.9</v>
      </c>
      <c r="AI9" s="224">
        <f>Config!$J$4</f>
        <v>0.8</v>
      </c>
      <c r="AJ9" s="234"/>
      <c r="AK9" s="225">
        <f>Config!$J$7</f>
        <v>20</v>
      </c>
      <c r="AL9" s="235"/>
      <c r="AM9" s="224">
        <f>Config!$J$10</f>
        <v>0.9</v>
      </c>
      <c r="AN9" s="236"/>
      <c r="AO9" s="226">
        <v>30</v>
      </c>
    </row>
    <row r="10" spans="1:42" s="228" customFormat="1" ht="15" customHeight="1">
      <c r="A10" s="213" t="s">
        <v>82</v>
      </c>
      <c r="B10" s="214">
        <v>25</v>
      </c>
      <c r="C10" s="214">
        <v>30</v>
      </c>
      <c r="D10" s="215">
        <f t="shared" si="0"/>
        <v>1</v>
      </c>
      <c r="E10" s="214">
        <v>23</v>
      </c>
      <c r="F10" s="216">
        <v>1</v>
      </c>
      <c r="G10" s="217">
        <v>0</v>
      </c>
      <c r="H10" s="217">
        <v>0</v>
      </c>
      <c r="I10" s="217">
        <v>5</v>
      </c>
      <c r="J10" s="214">
        <v>0</v>
      </c>
      <c r="K10" s="218">
        <v>30</v>
      </c>
      <c r="L10" s="218" t="s">
        <v>73</v>
      </c>
      <c r="M10" s="218"/>
      <c r="N10" s="218"/>
      <c r="O10" s="220" t="s">
        <v>40</v>
      </c>
      <c r="P10" s="227"/>
      <c r="AF10" s="233"/>
      <c r="AG10" s="229">
        <f>Config!$J$2</f>
        <v>1</v>
      </c>
      <c r="AH10" s="229">
        <f>Config!$J$3</f>
        <v>0.9</v>
      </c>
      <c r="AI10" s="229">
        <f>Config!$J$4</f>
        <v>0.8</v>
      </c>
      <c r="AJ10" s="234"/>
      <c r="AK10" s="230">
        <f>Config!$J$7</f>
        <v>20</v>
      </c>
      <c r="AL10" s="235"/>
      <c r="AM10" s="229">
        <f>Config!$J$10</f>
        <v>0.9</v>
      </c>
      <c r="AN10" s="236"/>
      <c r="AO10" s="231">
        <v>30</v>
      </c>
    </row>
    <row r="11" spans="1:42" s="157" customFormat="1" ht="15" customHeight="1">
      <c r="A11" s="147" t="s">
        <v>83</v>
      </c>
      <c r="B11" s="148">
        <v>13</v>
      </c>
      <c r="C11" s="148">
        <v>24</v>
      </c>
      <c r="D11" s="135">
        <f t="shared" si="0"/>
        <v>1</v>
      </c>
      <c r="E11" s="148">
        <v>25</v>
      </c>
      <c r="F11" s="149">
        <v>1</v>
      </c>
      <c r="G11" s="150">
        <v>1</v>
      </c>
      <c r="H11" s="150">
        <v>0</v>
      </c>
      <c r="I11" s="150">
        <v>6</v>
      </c>
      <c r="J11" s="148">
        <v>0</v>
      </c>
      <c r="K11" s="151">
        <v>30</v>
      </c>
      <c r="L11" s="151" t="s">
        <v>73</v>
      </c>
      <c r="M11" s="151"/>
      <c r="N11" s="151"/>
      <c r="O11" s="134"/>
      <c r="P11" s="154"/>
      <c r="AE11" s="158"/>
      <c r="AF11" s="233"/>
      <c r="AG11" s="155">
        <f>Config!$J$2</f>
        <v>1</v>
      </c>
      <c r="AH11" s="155">
        <f>Config!$J$3</f>
        <v>0.9</v>
      </c>
      <c r="AI11" s="155">
        <f>Config!$J$4</f>
        <v>0.8</v>
      </c>
      <c r="AJ11" s="234"/>
      <c r="AK11" s="156">
        <f>Config!$J$7</f>
        <v>20</v>
      </c>
      <c r="AL11" s="235"/>
      <c r="AM11" s="155">
        <f>Config!$J$10</f>
        <v>0.9</v>
      </c>
      <c r="AN11" s="236"/>
      <c r="AO11" s="157">
        <v>30</v>
      </c>
    </row>
    <row r="12" spans="1:42" s="157" customFormat="1" ht="15" customHeight="1">
      <c r="A12" s="147" t="s">
        <v>84</v>
      </c>
      <c r="B12" s="148">
        <v>14</v>
      </c>
      <c r="C12" s="148">
        <v>20</v>
      </c>
      <c r="D12" s="135">
        <f t="shared" si="0"/>
        <v>1</v>
      </c>
      <c r="E12" s="148">
        <v>25</v>
      </c>
      <c r="F12" s="149">
        <v>1</v>
      </c>
      <c r="G12" s="150">
        <v>0</v>
      </c>
      <c r="H12" s="150">
        <v>0</v>
      </c>
      <c r="I12" s="150">
        <v>6</v>
      </c>
      <c r="J12" s="148">
        <v>0</v>
      </c>
      <c r="K12" s="151">
        <v>30</v>
      </c>
      <c r="L12" s="151" t="s">
        <v>73</v>
      </c>
      <c r="M12" s="151"/>
      <c r="N12" s="151"/>
      <c r="O12" s="134"/>
      <c r="P12" s="154"/>
      <c r="AE12" s="158"/>
      <c r="AF12" s="233"/>
      <c r="AG12" s="155">
        <f>Config!$J$2</f>
        <v>1</v>
      </c>
      <c r="AH12" s="155">
        <f>Config!$J$3</f>
        <v>0.9</v>
      </c>
      <c r="AI12" s="155">
        <f>Config!$J$4</f>
        <v>0.8</v>
      </c>
      <c r="AJ12" s="234"/>
      <c r="AK12" s="156">
        <f>Config!$J$7</f>
        <v>20</v>
      </c>
      <c r="AL12" s="235"/>
      <c r="AM12" s="155">
        <f>Config!$J$10</f>
        <v>0.9</v>
      </c>
      <c r="AN12" s="236"/>
      <c r="AO12" s="157">
        <v>30</v>
      </c>
    </row>
    <row r="13" spans="1:42" s="159" customFormat="1" ht="15" customHeight="1">
      <c r="A13" s="147" t="s">
        <v>85</v>
      </c>
      <c r="B13" s="148">
        <v>33</v>
      </c>
      <c r="C13" s="148">
        <v>20</v>
      </c>
      <c r="D13" s="135">
        <f t="shared" si="0"/>
        <v>0.60606060606060608</v>
      </c>
      <c r="E13" s="148">
        <v>24</v>
      </c>
      <c r="F13" s="149">
        <v>1</v>
      </c>
      <c r="G13" s="150">
        <v>1</v>
      </c>
      <c r="H13" s="150">
        <v>4</v>
      </c>
      <c r="I13" s="150">
        <v>3</v>
      </c>
      <c r="J13" s="148">
        <v>0</v>
      </c>
      <c r="K13" s="151">
        <v>30</v>
      </c>
      <c r="L13" s="151" t="s">
        <v>73</v>
      </c>
      <c r="M13" s="151"/>
      <c r="N13" s="151"/>
      <c r="O13" s="134"/>
      <c r="P13" s="152"/>
      <c r="AE13" s="160"/>
      <c r="AF13" s="233"/>
      <c r="AG13" s="143">
        <f>Config!$J$2</f>
        <v>1</v>
      </c>
      <c r="AH13" s="143">
        <f>Config!$J$3</f>
        <v>0.9</v>
      </c>
      <c r="AI13" s="143">
        <f>Config!$J$4</f>
        <v>0.8</v>
      </c>
      <c r="AJ13" s="234"/>
      <c r="AK13" s="145">
        <f>Config!$J$7</f>
        <v>20</v>
      </c>
      <c r="AL13" s="235"/>
      <c r="AM13" s="143">
        <f>Config!$J$10</f>
        <v>0.9</v>
      </c>
      <c r="AN13" s="236"/>
      <c r="AO13" s="142">
        <v>30</v>
      </c>
    </row>
    <row r="14" spans="1:42" s="146" customFormat="1" ht="15" customHeight="1">
      <c r="A14" s="161" t="s">
        <v>86</v>
      </c>
      <c r="B14" s="134">
        <v>38</v>
      </c>
      <c r="C14" s="134">
        <v>17</v>
      </c>
      <c r="D14" s="135">
        <f t="shared" si="0"/>
        <v>0.44736842105263158</v>
      </c>
      <c r="E14" s="134">
        <v>20</v>
      </c>
      <c r="F14" s="135">
        <v>1</v>
      </c>
      <c r="G14" s="136">
        <v>0</v>
      </c>
      <c r="H14" s="136">
        <v>0</v>
      </c>
      <c r="I14" s="136">
        <v>3</v>
      </c>
      <c r="J14" s="134">
        <v>0</v>
      </c>
      <c r="K14" s="137">
        <v>30</v>
      </c>
      <c r="L14" s="137" t="s">
        <v>73</v>
      </c>
      <c r="M14" s="137"/>
      <c r="N14" s="137"/>
      <c r="O14" s="134" t="s">
        <v>87</v>
      </c>
      <c r="P14" s="152"/>
      <c r="AE14" s="153"/>
      <c r="AF14" s="233"/>
      <c r="AG14" s="143">
        <f>Config!$J$2</f>
        <v>1</v>
      </c>
      <c r="AH14" s="143">
        <f>Config!$J$3</f>
        <v>0.9</v>
      </c>
      <c r="AI14" s="143">
        <f>Config!$J$4</f>
        <v>0.8</v>
      </c>
      <c r="AJ14" s="234"/>
      <c r="AK14" s="145">
        <f>Config!$J$7</f>
        <v>20</v>
      </c>
      <c r="AL14" s="235"/>
      <c r="AM14" s="143">
        <f>Config!$J$10</f>
        <v>0.9</v>
      </c>
      <c r="AN14" s="236"/>
      <c r="AO14" s="142">
        <v>30</v>
      </c>
    </row>
    <row r="15" spans="1:42" s="146" customFormat="1" ht="15" customHeight="1">
      <c r="A15" s="161" t="s">
        <v>88</v>
      </c>
      <c r="B15" s="134">
        <v>29</v>
      </c>
      <c r="C15" s="134">
        <v>50</v>
      </c>
      <c r="D15" s="135">
        <f t="shared" si="0"/>
        <v>1</v>
      </c>
      <c r="E15" s="134">
        <v>27</v>
      </c>
      <c r="F15" s="135">
        <v>1</v>
      </c>
      <c r="G15" s="136">
        <v>0</v>
      </c>
      <c r="H15" s="136">
        <v>0</v>
      </c>
      <c r="I15" s="136">
        <v>11</v>
      </c>
      <c r="J15" s="134">
        <v>0</v>
      </c>
      <c r="K15" s="137">
        <v>30</v>
      </c>
      <c r="L15" s="137" t="s">
        <v>89</v>
      </c>
      <c r="M15" s="137"/>
      <c r="N15" s="137"/>
      <c r="O15" s="134" t="s">
        <v>90</v>
      </c>
      <c r="P15" s="152"/>
      <c r="AE15" s="153"/>
      <c r="AF15" s="233"/>
      <c r="AG15" s="143">
        <f>Config!$J$2</f>
        <v>1</v>
      </c>
      <c r="AH15" s="143">
        <f>Config!$J$3</f>
        <v>0.9</v>
      </c>
      <c r="AI15" s="143">
        <f>Config!$J$4</f>
        <v>0.8</v>
      </c>
      <c r="AJ15" s="234"/>
      <c r="AK15" s="145">
        <f>Config!$J$7</f>
        <v>20</v>
      </c>
      <c r="AL15" s="235"/>
      <c r="AM15" s="143">
        <f>Config!$J$10</f>
        <v>0.9</v>
      </c>
      <c r="AN15" s="236"/>
      <c r="AO15" s="142">
        <v>30</v>
      </c>
    </row>
    <row r="16" spans="1:42" s="146" customFormat="1" ht="15" customHeight="1">
      <c r="A16" s="162" t="s">
        <v>91</v>
      </c>
      <c r="B16" s="134">
        <v>15</v>
      </c>
      <c r="C16" s="134">
        <v>20</v>
      </c>
      <c r="D16" s="135">
        <f t="shared" si="0"/>
        <v>1</v>
      </c>
      <c r="E16" s="134">
        <v>27</v>
      </c>
      <c r="F16" s="135">
        <v>1</v>
      </c>
      <c r="G16" s="136">
        <v>0</v>
      </c>
      <c r="H16" s="136">
        <v>0</v>
      </c>
      <c r="I16" s="136">
        <v>4</v>
      </c>
      <c r="J16" s="134">
        <v>0</v>
      </c>
      <c r="K16" s="137">
        <v>30</v>
      </c>
      <c r="L16" s="137" t="s">
        <v>73</v>
      </c>
      <c r="M16" s="137"/>
      <c r="N16" s="137"/>
      <c r="O16" s="134"/>
      <c r="P16" s="152"/>
      <c r="AE16" s="153"/>
      <c r="AF16" s="163"/>
      <c r="AG16" s="143">
        <f>Config!$J$2</f>
        <v>1</v>
      </c>
      <c r="AH16" s="143">
        <f>Config!$J$3</f>
        <v>0.9</v>
      </c>
      <c r="AI16" s="143">
        <f>Config!$J$4</f>
        <v>0.8</v>
      </c>
      <c r="AJ16" s="143"/>
      <c r="AK16" s="145">
        <f>Config!$J$7</f>
        <v>20</v>
      </c>
      <c r="AL16" s="164"/>
      <c r="AM16" s="143">
        <f>Config!$J$10</f>
        <v>0.9</v>
      </c>
      <c r="AN16" s="164"/>
      <c r="AO16" s="142">
        <v>30</v>
      </c>
    </row>
    <row r="17" spans="1:41" s="146" customFormat="1" ht="15" customHeight="1">
      <c r="A17" s="161" t="s">
        <v>92</v>
      </c>
      <c r="B17" s="134">
        <v>20</v>
      </c>
      <c r="C17" s="134">
        <v>17</v>
      </c>
      <c r="D17" s="135">
        <f t="shared" si="0"/>
        <v>0.85</v>
      </c>
      <c r="E17" s="134">
        <v>26</v>
      </c>
      <c r="F17" s="135">
        <v>1</v>
      </c>
      <c r="G17" s="136">
        <v>0</v>
      </c>
      <c r="H17" s="136">
        <v>0</v>
      </c>
      <c r="I17" s="136">
        <v>2</v>
      </c>
      <c r="J17" s="134">
        <v>0</v>
      </c>
      <c r="K17" s="137">
        <v>30</v>
      </c>
      <c r="L17" s="137" t="s">
        <v>73</v>
      </c>
      <c r="M17" s="137"/>
      <c r="N17" s="137"/>
      <c r="O17" s="134" t="s">
        <v>93</v>
      </c>
      <c r="P17" s="152"/>
      <c r="AE17" s="153"/>
      <c r="AF17" s="163"/>
      <c r="AG17" s="143">
        <f>Config!$J$2</f>
        <v>1</v>
      </c>
      <c r="AH17" s="143">
        <f>Config!$J$3</f>
        <v>0.9</v>
      </c>
      <c r="AI17" s="143">
        <f>Config!$J$4</f>
        <v>0.8</v>
      </c>
      <c r="AJ17" s="143"/>
      <c r="AK17" s="145">
        <f>Config!$J$7</f>
        <v>20</v>
      </c>
      <c r="AL17" s="164"/>
      <c r="AM17" s="143">
        <f>Config!$J$10</f>
        <v>0.9</v>
      </c>
      <c r="AN17" s="164"/>
      <c r="AO17" s="142">
        <v>30</v>
      </c>
    </row>
    <row r="18" spans="1:41" s="146" customFormat="1" ht="15" customHeight="1">
      <c r="A18" s="161" t="s">
        <v>94</v>
      </c>
      <c r="B18" s="134">
        <v>23</v>
      </c>
      <c r="C18" s="134">
        <v>23</v>
      </c>
      <c r="D18" s="135">
        <f t="shared" si="0"/>
        <v>1</v>
      </c>
      <c r="E18" s="134">
        <v>27.5</v>
      </c>
      <c r="F18" s="135">
        <v>1</v>
      </c>
      <c r="G18" s="136">
        <v>0</v>
      </c>
      <c r="H18" s="136">
        <v>0</v>
      </c>
      <c r="I18" s="136">
        <v>3</v>
      </c>
      <c r="J18" s="134">
        <v>0</v>
      </c>
      <c r="K18" s="137">
        <v>30</v>
      </c>
      <c r="L18" s="137" t="s">
        <v>73</v>
      </c>
      <c r="M18" s="137"/>
      <c r="N18" s="137"/>
      <c r="O18" s="134"/>
      <c r="P18" s="152"/>
      <c r="AE18" s="153"/>
      <c r="AF18" s="163"/>
      <c r="AG18" s="143">
        <f>Config!$J$2</f>
        <v>1</v>
      </c>
      <c r="AH18" s="143">
        <f>Config!$J$3</f>
        <v>0.9</v>
      </c>
      <c r="AI18" s="143">
        <f>Config!$J$4</f>
        <v>0.8</v>
      </c>
      <c r="AJ18" s="143"/>
      <c r="AK18" s="145">
        <f>Config!$J$7</f>
        <v>20</v>
      </c>
      <c r="AL18" s="164"/>
      <c r="AM18" s="143">
        <f>Config!$J$10</f>
        <v>0.9</v>
      </c>
      <c r="AN18" s="164"/>
      <c r="AO18" s="142">
        <v>30</v>
      </c>
    </row>
    <row r="19" spans="1:41" s="146" customFormat="1" ht="15" customHeight="1">
      <c r="A19" s="161" t="s">
        <v>95</v>
      </c>
      <c r="B19" s="134">
        <v>41</v>
      </c>
      <c r="C19" s="134">
        <v>53</v>
      </c>
      <c r="D19" s="135">
        <f t="shared" si="0"/>
        <v>1</v>
      </c>
      <c r="E19" s="134">
        <v>28.25</v>
      </c>
      <c r="F19" s="135">
        <v>1</v>
      </c>
      <c r="G19" s="136">
        <v>0</v>
      </c>
      <c r="H19" s="136">
        <v>0</v>
      </c>
      <c r="I19" s="136">
        <v>5</v>
      </c>
      <c r="J19" s="134">
        <v>0</v>
      </c>
      <c r="K19" s="137">
        <v>30</v>
      </c>
      <c r="L19" s="137" t="s">
        <v>73</v>
      </c>
      <c r="M19" s="137"/>
      <c r="N19" s="137"/>
      <c r="O19" s="134"/>
      <c r="P19" s="152"/>
      <c r="AE19" s="153"/>
      <c r="AF19" s="163"/>
      <c r="AG19" s="143">
        <f>Config!$J$2</f>
        <v>1</v>
      </c>
      <c r="AH19" s="143">
        <f>Config!$J$3</f>
        <v>0.9</v>
      </c>
      <c r="AI19" s="143">
        <f>Config!$J$4</f>
        <v>0.8</v>
      </c>
      <c r="AJ19" s="143"/>
      <c r="AK19" s="145">
        <f>Config!$J$7</f>
        <v>20</v>
      </c>
      <c r="AL19" s="164"/>
      <c r="AM19" s="143">
        <f>Config!$J$10</f>
        <v>0.9</v>
      </c>
      <c r="AN19" s="164"/>
      <c r="AO19" s="142">
        <v>30</v>
      </c>
    </row>
    <row r="20" spans="1:41" s="146" customFormat="1" ht="15" customHeight="1">
      <c r="A20" s="161" t="s">
        <v>96</v>
      </c>
      <c r="B20" s="134">
        <v>36</v>
      </c>
      <c r="C20" s="134">
        <v>51</v>
      </c>
      <c r="D20" s="135">
        <f t="shared" si="0"/>
        <v>1</v>
      </c>
      <c r="E20" s="134">
        <v>30.75</v>
      </c>
      <c r="F20" s="135">
        <v>1</v>
      </c>
      <c r="G20" s="136">
        <v>0</v>
      </c>
      <c r="H20" s="136">
        <v>0</v>
      </c>
      <c r="I20" s="136">
        <v>4</v>
      </c>
      <c r="J20" s="134">
        <v>0</v>
      </c>
      <c r="K20" s="137">
        <v>30</v>
      </c>
      <c r="L20" s="137" t="s">
        <v>73</v>
      </c>
      <c r="M20" s="137"/>
      <c r="N20" s="137"/>
      <c r="O20" s="165" t="s">
        <v>97</v>
      </c>
      <c r="P20" s="152"/>
      <c r="AE20" s="153"/>
      <c r="AF20" s="163"/>
      <c r="AG20" s="143">
        <f>Config!$J$2</f>
        <v>1</v>
      </c>
      <c r="AH20" s="143">
        <f>Config!$J$3</f>
        <v>0.9</v>
      </c>
      <c r="AI20" s="143">
        <f>Config!$J$4</f>
        <v>0.8</v>
      </c>
      <c r="AJ20" s="143"/>
      <c r="AK20" s="145">
        <f>Config!$J$7</f>
        <v>20</v>
      </c>
      <c r="AL20" s="164"/>
      <c r="AM20" s="143">
        <f>Config!$J$10</f>
        <v>0.9</v>
      </c>
      <c r="AN20" s="164"/>
      <c r="AO20" s="142">
        <v>30</v>
      </c>
    </row>
    <row r="21" spans="1:41" s="146" customFormat="1" ht="15" customHeight="1">
      <c r="A21" s="147" t="s">
        <v>98</v>
      </c>
      <c r="B21" s="148">
        <v>42</v>
      </c>
      <c r="C21" s="148">
        <v>43</v>
      </c>
      <c r="D21" s="135">
        <f t="shared" si="0"/>
        <v>1</v>
      </c>
      <c r="E21" s="148">
        <v>42.5</v>
      </c>
      <c r="F21" s="149">
        <v>1</v>
      </c>
      <c r="G21" s="150">
        <v>0</v>
      </c>
      <c r="H21" s="150">
        <v>0</v>
      </c>
      <c r="I21" s="150">
        <v>4</v>
      </c>
      <c r="J21" s="148">
        <v>9</v>
      </c>
      <c r="K21" s="151">
        <v>30</v>
      </c>
      <c r="L21" s="151" t="s">
        <v>73</v>
      </c>
      <c r="M21" s="151"/>
      <c r="N21" s="151"/>
      <c r="O21" s="134"/>
      <c r="P21" s="152"/>
      <c r="AE21" s="153"/>
      <c r="AF21" s="163"/>
      <c r="AG21" s="143">
        <f>Config!$J$2</f>
        <v>1</v>
      </c>
      <c r="AH21" s="143">
        <f>Config!$J$3</f>
        <v>0.9</v>
      </c>
      <c r="AI21" s="143">
        <f>Config!$J$4</f>
        <v>0.8</v>
      </c>
      <c r="AJ21" s="143"/>
      <c r="AK21" s="145">
        <f>Config!$J$7</f>
        <v>20</v>
      </c>
      <c r="AL21" s="164"/>
      <c r="AM21" s="143">
        <f>Config!$J$10</f>
        <v>0.9</v>
      </c>
      <c r="AN21" s="164"/>
      <c r="AO21" s="142">
        <v>30</v>
      </c>
    </row>
    <row r="22" spans="1:41" s="146" customFormat="1" ht="15" customHeight="1">
      <c r="A22" s="147" t="s">
        <v>99</v>
      </c>
      <c r="B22" s="148">
        <v>20</v>
      </c>
      <c r="C22" s="148">
        <v>27</v>
      </c>
      <c r="D22" s="135">
        <f t="shared" si="0"/>
        <v>1</v>
      </c>
      <c r="E22" s="148">
        <v>43.5</v>
      </c>
      <c r="F22" s="149">
        <v>1</v>
      </c>
      <c r="G22" s="150">
        <v>0</v>
      </c>
      <c r="H22" s="150">
        <v>0</v>
      </c>
      <c r="I22" s="150">
        <v>3</v>
      </c>
      <c r="J22" s="148">
        <v>1</v>
      </c>
      <c r="K22" s="151">
        <v>30</v>
      </c>
      <c r="L22" s="151" t="s">
        <v>73</v>
      </c>
      <c r="M22" s="151"/>
      <c r="N22" s="151"/>
      <c r="O22" s="166"/>
      <c r="P22" s="152"/>
      <c r="AE22" s="153"/>
      <c r="AF22" s="163"/>
      <c r="AG22" s="143">
        <f>Config!$J$2</f>
        <v>1</v>
      </c>
      <c r="AH22" s="143">
        <f>Config!$J$3</f>
        <v>0.9</v>
      </c>
      <c r="AI22" s="143">
        <f>Config!$J$4</f>
        <v>0.8</v>
      </c>
      <c r="AJ22" s="143"/>
      <c r="AK22" s="145">
        <f>Config!$J$7</f>
        <v>20</v>
      </c>
      <c r="AL22" s="164"/>
      <c r="AM22" s="143">
        <f>Config!$J$10</f>
        <v>0.9</v>
      </c>
      <c r="AN22" s="164"/>
      <c r="AO22" s="142">
        <v>30</v>
      </c>
    </row>
    <row r="23" spans="1:41" s="146" customFormat="1" ht="15" customHeight="1">
      <c r="A23" s="161" t="s">
        <v>100</v>
      </c>
      <c r="B23" s="134">
        <v>7</v>
      </c>
      <c r="C23" s="134">
        <v>25.75</v>
      </c>
      <c r="D23" s="135">
        <f t="shared" si="0"/>
        <v>1</v>
      </c>
      <c r="E23" s="134">
        <v>37</v>
      </c>
      <c r="F23" s="135">
        <v>1</v>
      </c>
      <c r="G23" s="136">
        <v>0</v>
      </c>
      <c r="H23" s="136">
        <v>0</v>
      </c>
      <c r="I23" s="136">
        <v>1</v>
      </c>
      <c r="J23" s="134">
        <v>1</v>
      </c>
      <c r="K23" s="137">
        <v>30</v>
      </c>
      <c r="L23" s="137" t="s">
        <v>73</v>
      </c>
      <c r="M23" s="137"/>
      <c r="N23" s="137"/>
      <c r="O23" s="166"/>
      <c r="P23" s="152"/>
      <c r="AE23" s="153"/>
      <c r="AF23" s="163"/>
      <c r="AG23" s="143">
        <f>Config!$J$2</f>
        <v>1</v>
      </c>
      <c r="AH23" s="143">
        <f>Config!$J$3</f>
        <v>0.9</v>
      </c>
      <c r="AI23" s="143">
        <f>Config!$J$4</f>
        <v>0.8</v>
      </c>
      <c r="AJ23" s="143"/>
      <c r="AK23" s="145">
        <f>Config!$J$7</f>
        <v>20</v>
      </c>
      <c r="AL23" s="164"/>
      <c r="AM23" s="143">
        <f>Config!$J$10</f>
        <v>0.9</v>
      </c>
      <c r="AN23" s="164"/>
      <c r="AO23" s="142">
        <v>30</v>
      </c>
    </row>
    <row r="24" spans="1:41" s="146" customFormat="1" ht="15" customHeight="1">
      <c r="A24" s="161" t="s">
        <v>101</v>
      </c>
      <c r="B24" s="134">
        <v>18</v>
      </c>
      <c r="C24" s="134">
        <v>27</v>
      </c>
      <c r="D24" s="135">
        <f>IFERROR(C24/B24,0)</f>
        <v>1.5</v>
      </c>
      <c r="E24" s="148">
        <v>31</v>
      </c>
      <c r="F24" s="149">
        <v>1</v>
      </c>
      <c r="G24" s="150">
        <v>0</v>
      </c>
      <c r="H24" s="150">
        <v>0</v>
      </c>
      <c r="I24" s="150">
        <v>6</v>
      </c>
      <c r="J24" s="148">
        <v>0</v>
      </c>
      <c r="K24" s="151">
        <v>30</v>
      </c>
      <c r="L24" s="151" t="s">
        <v>73</v>
      </c>
      <c r="M24" s="151"/>
      <c r="N24" s="151"/>
      <c r="O24" s="167"/>
      <c r="P24" s="152"/>
      <c r="AE24" s="153"/>
      <c r="AF24" s="163"/>
      <c r="AG24" s="143">
        <f>Config!$J$2</f>
        <v>1</v>
      </c>
      <c r="AH24" s="143">
        <f>Config!$J$3</f>
        <v>0.9</v>
      </c>
      <c r="AI24" s="143">
        <f>Config!$J$4</f>
        <v>0.8</v>
      </c>
      <c r="AJ24" s="143"/>
      <c r="AK24" s="145">
        <f>Config!$J$7</f>
        <v>20</v>
      </c>
      <c r="AL24" s="164"/>
      <c r="AM24" s="143">
        <f>Config!$J$10</f>
        <v>0.9</v>
      </c>
      <c r="AN24" s="164"/>
      <c r="AO24" s="142">
        <v>30</v>
      </c>
    </row>
    <row r="25" spans="1:41" s="146" customFormat="1" ht="15" customHeight="1">
      <c r="A25" s="161" t="s">
        <v>102</v>
      </c>
      <c r="B25" s="134">
        <v>21</v>
      </c>
      <c r="C25" s="134">
        <v>34</v>
      </c>
      <c r="D25" s="135">
        <f>IFERROR(C25/B25,0)</f>
        <v>1.6190476190476191</v>
      </c>
      <c r="E25" s="148">
        <v>28</v>
      </c>
      <c r="F25" s="149">
        <v>0.9</v>
      </c>
      <c r="G25" s="150">
        <v>0</v>
      </c>
      <c r="H25" s="150">
        <v>0</v>
      </c>
      <c r="I25" s="150">
        <v>4</v>
      </c>
      <c r="J25" s="148">
        <v>1</v>
      </c>
      <c r="K25" s="151">
        <v>30</v>
      </c>
      <c r="L25" s="151" t="s">
        <v>73</v>
      </c>
      <c r="M25" s="151"/>
      <c r="N25" s="151"/>
      <c r="O25" s="167"/>
      <c r="P25" s="152"/>
      <c r="AE25" s="153"/>
      <c r="AF25" s="163"/>
      <c r="AG25" s="143">
        <f>Config!$J$2</f>
        <v>1</v>
      </c>
      <c r="AH25" s="143">
        <f>Config!$J$3</f>
        <v>0.9</v>
      </c>
      <c r="AI25" s="143">
        <f>Config!$J$4</f>
        <v>0.8</v>
      </c>
      <c r="AJ25" s="143"/>
      <c r="AK25" s="145">
        <f>Config!$J$7</f>
        <v>20</v>
      </c>
      <c r="AL25" s="164"/>
      <c r="AM25" s="143">
        <f>Config!$J$10</f>
        <v>0.9</v>
      </c>
      <c r="AN25" s="164"/>
      <c r="AO25" s="142">
        <v>30</v>
      </c>
    </row>
    <row r="26" spans="1:41" s="146" customFormat="1" ht="15" customHeight="1">
      <c r="A26" s="161" t="s">
        <v>103</v>
      </c>
      <c r="B26" s="134">
        <v>35</v>
      </c>
      <c r="C26" s="134">
        <v>35</v>
      </c>
      <c r="D26" s="135">
        <f>IFERROR(C26/B26,0)</f>
        <v>1</v>
      </c>
      <c r="E26" s="134">
        <v>31</v>
      </c>
      <c r="F26" s="135">
        <v>0.9</v>
      </c>
      <c r="G26" s="136">
        <v>0</v>
      </c>
      <c r="H26" s="136">
        <v>0</v>
      </c>
      <c r="I26" s="136">
        <v>9</v>
      </c>
      <c r="J26" s="134">
        <v>0</v>
      </c>
      <c r="K26" s="137">
        <v>30</v>
      </c>
      <c r="L26" s="138" t="s">
        <v>73</v>
      </c>
      <c r="M26" s="193"/>
      <c r="N26" s="193"/>
      <c r="O26" s="167" t="s">
        <v>104</v>
      </c>
      <c r="P26" s="152"/>
      <c r="AE26" s="153"/>
      <c r="AF26" s="163"/>
      <c r="AG26" s="143"/>
      <c r="AH26" s="143"/>
      <c r="AI26" s="143"/>
      <c r="AJ26" s="143"/>
      <c r="AK26" s="145"/>
      <c r="AL26" s="164"/>
      <c r="AM26" s="143"/>
      <c r="AN26" s="164"/>
      <c r="AO26" s="142"/>
    </row>
    <row r="27" spans="1:41" s="146" customFormat="1" ht="15" customHeight="1">
      <c r="A27" s="161" t="s">
        <v>105</v>
      </c>
      <c r="B27" s="134">
        <v>23</v>
      </c>
      <c r="C27" s="134">
        <v>32</v>
      </c>
      <c r="D27" s="135">
        <f>IFERROR(C27/B27,0)</f>
        <v>1.3913043478260869</v>
      </c>
      <c r="E27" s="148">
        <v>32</v>
      </c>
      <c r="F27" s="135">
        <v>0.9</v>
      </c>
      <c r="G27" s="136">
        <v>0</v>
      </c>
      <c r="H27" s="136">
        <v>0</v>
      </c>
      <c r="I27" s="136">
        <v>7</v>
      </c>
      <c r="J27" s="134">
        <v>0</v>
      </c>
      <c r="K27" s="137">
        <v>30</v>
      </c>
      <c r="L27" s="137" t="s">
        <v>73</v>
      </c>
      <c r="M27" s="151"/>
      <c r="N27" s="151"/>
      <c r="O27" s="167" t="s">
        <v>106</v>
      </c>
      <c r="P27" s="152"/>
      <c r="AE27" s="153"/>
      <c r="AF27" s="163"/>
      <c r="AG27" s="143">
        <f>Config!$J$2</f>
        <v>1</v>
      </c>
      <c r="AH27" s="143">
        <f>Config!$J$3</f>
        <v>0.9</v>
      </c>
      <c r="AI27" s="143">
        <f>Config!$J$4</f>
        <v>0.8</v>
      </c>
      <c r="AJ27" s="143"/>
      <c r="AK27" s="145">
        <f>Config!$J$7</f>
        <v>20</v>
      </c>
      <c r="AL27" s="164"/>
      <c r="AM27" s="143">
        <f>Config!$J$10</f>
        <v>0.9</v>
      </c>
      <c r="AN27" s="164"/>
      <c r="AO27" s="142">
        <v>30</v>
      </c>
    </row>
    <row r="28" spans="1:41" s="207" customFormat="1" ht="15" customHeight="1">
      <c r="A28" s="199" t="s">
        <v>107</v>
      </c>
      <c r="B28" s="200">
        <v>29</v>
      </c>
      <c r="C28" s="200">
        <v>29</v>
      </c>
      <c r="D28" s="201">
        <f>IFERROR(C28/B28,0)</f>
        <v>1</v>
      </c>
      <c r="E28" s="200">
        <v>32.5</v>
      </c>
      <c r="F28" s="201">
        <v>0.95</v>
      </c>
      <c r="G28" s="202">
        <v>0</v>
      </c>
      <c r="H28" s="202">
        <v>0</v>
      </c>
      <c r="I28" s="202">
        <v>1</v>
      </c>
      <c r="J28" s="200">
        <v>1</v>
      </c>
      <c r="K28" s="203">
        <v>30</v>
      </c>
      <c r="L28" s="203" t="s">
        <v>73</v>
      </c>
      <c r="M28" s="204"/>
      <c r="N28" s="204"/>
      <c r="O28" s="205" t="s">
        <v>108</v>
      </c>
      <c r="P28" s="206"/>
      <c r="AE28" s="208"/>
      <c r="AF28" s="163"/>
      <c r="AG28" s="209">
        <f>Config!$J$2</f>
        <v>1</v>
      </c>
      <c r="AH28" s="209">
        <f>Config!$J$3</f>
        <v>0.9</v>
      </c>
      <c r="AI28" s="209">
        <f>Config!$J$4</f>
        <v>0.8</v>
      </c>
      <c r="AJ28" s="209"/>
      <c r="AK28" s="210">
        <f>Config!$J$7</f>
        <v>20</v>
      </c>
      <c r="AL28" s="211"/>
      <c r="AM28" s="209">
        <f>Config!$J$10</f>
        <v>0.9</v>
      </c>
      <c r="AN28" s="211"/>
      <c r="AO28" s="212">
        <v>30</v>
      </c>
    </row>
    <row r="29" spans="1:41" s="207" customFormat="1" ht="15" customHeight="1">
      <c r="A29" s="199" t="s">
        <v>109</v>
      </c>
      <c r="B29" s="200">
        <v>16</v>
      </c>
      <c r="C29" s="200">
        <v>10</v>
      </c>
      <c r="D29" s="201">
        <f>IFERROR(C29/B29,0)</f>
        <v>0.625</v>
      </c>
      <c r="E29" s="200">
        <v>26.5</v>
      </c>
      <c r="F29" s="201">
        <v>0.9</v>
      </c>
      <c r="G29" s="202">
        <v>0</v>
      </c>
      <c r="H29" s="202">
        <v>0</v>
      </c>
      <c r="I29" s="202">
        <v>1</v>
      </c>
      <c r="J29" s="200">
        <v>0</v>
      </c>
      <c r="K29" s="203">
        <v>30</v>
      </c>
      <c r="L29" s="203" t="s">
        <v>73</v>
      </c>
      <c r="M29" s="204"/>
      <c r="N29" s="204"/>
      <c r="O29" s="205" t="s">
        <v>110</v>
      </c>
      <c r="P29" s="206"/>
      <c r="AE29" s="208"/>
      <c r="AF29" s="163"/>
      <c r="AG29" s="209"/>
      <c r="AH29" s="209"/>
      <c r="AI29" s="209"/>
      <c r="AJ29" s="209"/>
      <c r="AK29" s="210"/>
      <c r="AL29" s="211"/>
      <c r="AM29" s="209"/>
      <c r="AN29" s="211"/>
      <c r="AO29" s="212"/>
    </row>
    <row r="30" spans="1:41" s="146" customFormat="1" ht="15" customHeight="1">
      <c r="A30" s="161" t="s">
        <v>111</v>
      </c>
      <c r="B30" s="134">
        <v>24</v>
      </c>
      <c r="C30" s="134">
        <v>24</v>
      </c>
      <c r="D30" s="135">
        <f>IFERROR(C30/B30,0)</f>
        <v>1</v>
      </c>
      <c r="E30" s="134">
        <v>23.75</v>
      </c>
      <c r="F30" s="135">
        <v>0.9</v>
      </c>
      <c r="G30" s="136">
        <v>0</v>
      </c>
      <c r="H30" s="136">
        <v>0</v>
      </c>
      <c r="I30" s="136">
        <v>2</v>
      </c>
      <c r="J30" s="134">
        <v>0</v>
      </c>
      <c r="K30" s="137">
        <v>30</v>
      </c>
      <c r="L30" s="137" t="s">
        <v>89</v>
      </c>
      <c r="M30" s="151"/>
      <c r="N30" s="151"/>
      <c r="O30" s="167" t="s">
        <v>112</v>
      </c>
      <c r="P30" s="152"/>
      <c r="AE30" s="153"/>
      <c r="AF30" s="163"/>
      <c r="AG30" s="143">
        <f>Config!$J$2</f>
        <v>1</v>
      </c>
      <c r="AH30" s="143">
        <f>Config!$J$3</f>
        <v>0.9</v>
      </c>
      <c r="AI30" s="143">
        <f>Config!$J$4</f>
        <v>0.8</v>
      </c>
      <c r="AJ30" s="143"/>
      <c r="AK30" s="145">
        <f>Config!$J$7</f>
        <v>20</v>
      </c>
      <c r="AL30" s="164"/>
      <c r="AM30" s="143">
        <f>Config!$J$10</f>
        <v>0.9</v>
      </c>
      <c r="AN30" s="164"/>
      <c r="AO30" s="142">
        <v>30</v>
      </c>
    </row>
    <row r="31" spans="1:41" s="146" customFormat="1" ht="15" customHeight="1">
      <c r="A31" s="161" t="s">
        <v>113</v>
      </c>
      <c r="B31" s="134">
        <v>36</v>
      </c>
      <c r="C31" s="134">
        <v>36</v>
      </c>
      <c r="D31" s="135">
        <f>IFERROR(C31/B31,0)</f>
        <v>1</v>
      </c>
      <c r="E31" s="134">
        <v>24.75</v>
      </c>
      <c r="F31" s="135">
        <v>0.9</v>
      </c>
      <c r="G31" s="136">
        <v>0</v>
      </c>
      <c r="H31" s="136">
        <v>0</v>
      </c>
      <c r="I31" s="136">
        <v>2</v>
      </c>
      <c r="J31" s="134">
        <v>0</v>
      </c>
      <c r="K31" s="137">
        <v>30</v>
      </c>
      <c r="L31" s="137" t="s">
        <v>73</v>
      </c>
      <c r="M31" s="151"/>
      <c r="N31" s="151"/>
      <c r="O31" s="167" t="s">
        <v>114</v>
      </c>
      <c r="P31" s="152"/>
      <c r="AE31" s="153"/>
      <c r="AF31" s="163"/>
      <c r="AG31" s="143"/>
      <c r="AH31" s="143"/>
      <c r="AI31" s="143"/>
      <c r="AJ31" s="143"/>
      <c r="AK31" s="145"/>
      <c r="AL31" s="164"/>
      <c r="AM31" s="143"/>
      <c r="AN31" s="164"/>
      <c r="AO31" s="145"/>
    </row>
    <row r="32" spans="1:41" s="146" customFormat="1" ht="15" customHeight="1">
      <c r="A32" s="161" t="s">
        <v>115</v>
      </c>
      <c r="B32" s="134">
        <v>11</v>
      </c>
      <c r="C32" s="134">
        <v>21</v>
      </c>
      <c r="D32" s="135">
        <f>IFERROR(C32/B32,0)</f>
        <v>1.9090909090909092</v>
      </c>
      <c r="E32" s="134">
        <v>24.75</v>
      </c>
      <c r="F32" s="135">
        <v>0.9</v>
      </c>
      <c r="G32" s="136">
        <v>0</v>
      </c>
      <c r="H32" s="136">
        <v>0</v>
      </c>
      <c r="I32" s="136">
        <v>2</v>
      </c>
      <c r="J32" s="134">
        <v>0</v>
      </c>
      <c r="K32" s="137">
        <v>30</v>
      </c>
      <c r="L32" s="137" t="s">
        <v>73</v>
      </c>
      <c r="M32" s="151"/>
      <c r="N32" s="151"/>
      <c r="O32" s="167" t="s">
        <v>114</v>
      </c>
      <c r="P32" s="152"/>
      <c r="AE32" s="153"/>
      <c r="AF32" s="163"/>
      <c r="AG32" s="143"/>
      <c r="AH32" s="143"/>
      <c r="AI32" s="143"/>
      <c r="AJ32" s="143"/>
      <c r="AK32" s="145"/>
      <c r="AL32" s="164"/>
      <c r="AM32" s="143"/>
      <c r="AN32" s="164"/>
      <c r="AO32" s="145"/>
    </row>
    <row r="33" spans="1:41" s="146" customFormat="1" ht="15" customHeight="1">
      <c r="A33" s="161" t="s">
        <v>116</v>
      </c>
      <c r="B33" s="134">
        <v>15</v>
      </c>
      <c r="C33" s="134">
        <v>28</v>
      </c>
      <c r="D33" s="135">
        <f>IFERROR(C33/B33,0)</f>
        <v>1.8666666666666667</v>
      </c>
      <c r="E33" s="134">
        <v>24.75</v>
      </c>
      <c r="F33" s="135">
        <v>0.9</v>
      </c>
      <c r="G33" s="136">
        <v>0</v>
      </c>
      <c r="H33" s="136">
        <v>0</v>
      </c>
      <c r="I33" s="136">
        <v>3</v>
      </c>
      <c r="J33" s="134">
        <v>0</v>
      </c>
      <c r="K33" s="137">
        <v>30</v>
      </c>
      <c r="L33" s="137" t="s">
        <v>73</v>
      </c>
      <c r="M33" s="151"/>
      <c r="N33" s="151"/>
      <c r="O33" s="167" t="s">
        <v>117</v>
      </c>
      <c r="P33" s="152"/>
      <c r="AE33" s="153"/>
      <c r="AF33" s="163"/>
      <c r="AG33" s="143"/>
      <c r="AH33" s="143"/>
      <c r="AI33" s="143"/>
      <c r="AJ33" s="143"/>
      <c r="AK33" s="145"/>
      <c r="AL33" s="164"/>
      <c r="AM33" s="143"/>
      <c r="AN33" s="164"/>
      <c r="AO33" s="145"/>
    </row>
    <row r="34" spans="1:41" s="146" customFormat="1" ht="15" customHeight="1">
      <c r="A34" s="161" t="s">
        <v>118</v>
      </c>
      <c r="B34" s="134">
        <v>41</v>
      </c>
      <c r="C34" s="134">
        <v>41</v>
      </c>
      <c r="D34" s="135">
        <f>IFERROR(C34/B34,0)</f>
        <v>1</v>
      </c>
      <c r="E34" s="134">
        <v>35</v>
      </c>
      <c r="F34" s="135">
        <v>1</v>
      </c>
      <c r="G34" s="136">
        <v>0</v>
      </c>
      <c r="H34" s="136">
        <v>0</v>
      </c>
      <c r="I34" s="136">
        <v>0</v>
      </c>
      <c r="J34" s="134">
        <v>0</v>
      </c>
      <c r="K34" s="137">
        <v>30</v>
      </c>
      <c r="L34" s="137" t="s">
        <v>73</v>
      </c>
      <c r="M34" s="151"/>
      <c r="N34" s="151"/>
      <c r="O34" s="167" t="s">
        <v>90</v>
      </c>
      <c r="P34" s="152"/>
      <c r="AE34" s="153"/>
      <c r="AF34" s="163"/>
      <c r="AG34" s="143"/>
      <c r="AH34" s="143"/>
      <c r="AI34" s="143"/>
      <c r="AJ34" s="143"/>
      <c r="AK34" s="145"/>
      <c r="AL34" s="164"/>
      <c r="AM34" s="143"/>
      <c r="AN34" s="164"/>
      <c r="AO34" s="145"/>
    </row>
    <row r="35" spans="1:41" s="146" customFormat="1" ht="15" customHeight="1">
      <c r="A35" s="161" t="s">
        <v>119</v>
      </c>
      <c r="B35" s="134">
        <v>18</v>
      </c>
      <c r="C35" s="134">
        <v>21</v>
      </c>
      <c r="D35" s="135">
        <f>IFERROR(C35/B35,0)</f>
        <v>1.1666666666666667</v>
      </c>
      <c r="E35" s="134">
        <v>30</v>
      </c>
      <c r="F35" s="135">
        <v>1</v>
      </c>
      <c r="G35" s="136">
        <v>0</v>
      </c>
      <c r="H35" s="136">
        <v>0</v>
      </c>
      <c r="I35" s="136">
        <v>0</v>
      </c>
      <c r="J35" s="134">
        <v>0</v>
      </c>
      <c r="K35" s="137">
        <v>30</v>
      </c>
      <c r="L35" s="137" t="s">
        <v>73</v>
      </c>
      <c r="M35" s="151"/>
      <c r="N35" s="151"/>
      <c r="O35" s="167" t="s">
        <v>120</v>
      </c>
      <c r="P35" s="152"/>
      <c r="AE35" s="153"/>
      <c r="AF35" s="163"/>
      <c r="AG35" s="143"/>
      <c r="AH35" s="143"/>
      <c r="AI35" s="143"/>
      <c r="AJ35" s="143"/>
      <c r="AK35" s="145"/>
      <c r="AL35" s="164"/>
      <c r="AM35" s="143"/>
      <c r="AN35" s="164"/>
      <c r="AO35" s="145"/>
    </row>
    <row r="36" spans="1:41" s="146" customFormat="1" ht="18" customHeight="1">
      <c r="A36" s="161" t="s">
        <v>121</v>
      </c>
      <c r="B36" s="134">
        <v>19</v>
      </c>
      <c r="C36" s="134">
        <v>22</v>
      </c>
      <c r="D36" s="135">
        <f>IFERROR(C36/B36,0)</f>
        <v>1.1578947368421053</v>
      </c>
      <c r="E36" s="134">
        <v>30</v>
      </c>
      <c r="F36" s="135">
        <v>1</v>
      </c>
      <c r="G36" s="136">
        <v>1</v>
      </c>
      <c r="H36" s="136">
        <v>1</v>
      </c>
      <c r="I36" s="136">
        <v>0</v>
      </c>
      <c r="J36" s="134">
        <v>0</v>
      </c>
      <c r="K36" s="137">
        <v>30</v>
      </c>
      <c r="L36" s="137" t="s">
        <v>73</v>
      </c>
      <c r="M36" s="151"/>
      <c r="N36" s="151"/>
      <c r="O36" s="167" t="s">
        <v>122</v>
      </c>
      <c r="P36" s="152"/>
      <c r="AE36" s="153"/>
      <c r="AF36" s="163"/>
      <c r="AG36" s="143"/>
      <c r="AH36" s="143"/>
      <c r="AI36" s="143"/>
      <c r="AJ36" s="143"/>
      <c r="AK36" s="145"/>
      <c r="AL36" s="164"/>
      <c r="AM36" s="143"/>
      <c r="AN36" s="164"/>
      <c r="AO36" s="145"/>
    </row>
    <row r="37" spans="1:41" s="146" customFormat="1" ht="18" customHeight="1">
      <c r="A37" s="161" t="s">
        <v>123</v>
      </c>
      <c r="B37" s="134">
        <v>23</v>
      </c>
      <c r="C37" s="134">
        <v>28</v>
      </c>
      <c r="D37" s="135">
        <f>IFERROR(C37/B37,0)</f>
        <v>1.2173913043478262</v>
      </c>
      <c r="E37" s="134">
        <v>30</v>
      </c>
      <c r="F37" s="135">
        <v>1</v>
      </c>
      <c r="G37" s="136">
        <v>0</v>
      </c>
      <c r="H37" s="136">
        <v>0</v>
      </c>
      <c r="I37" s="136">
        <v>0</v>
      </c>
      <c r="J37" s="134">
        <v>0</v>
      </c>
      <c r="K37" s="137">
        <v>30</v>
      </c>
      <c r="L37" s="137" t="s">
        <v>73</v>
      </c>
      <c r="M37" s="151"/>
      <c r="N37" s="151"/>
      <c r="O37" s="167" t="s">
        <v>124</v>
      </c>
      <c r="P37" s="152"/>
      <c r="AE37" s="153"/>
      <c r="AF37" s="163"/>
      <c r="AG37" s="143"/>
      <c r="AH37" s="143"/>
      <c r="AI37" s="143"/>
      <c r="AJ37" s="143"/>
      <c r="AK37" s="145"/>
      <c r="AL37" s="164"/>
      <c r="AM37" s="143"/>
      <c r="AN37" s="164"/>
      <c r="AO37" s="145"/>
    </row>
    <row r="38" spans="1:41" s="146" customFormat="1" ht="18" customHeight="1">
      <c r="A38" s="161" t="s">
        <v>125</v>
      </c>
      <c r="B38" s="134">
        <v>37</v>
      </c>
      <c r="C38" s="134">
        <v>36</v>
      </c>
      <c r="D38" s="135">
        <f>IFERROR(C38/B38,0)</f>
        <v>0.97297297297297303</v>
      </c>
      <c r="E38" s="134">
        <v>30</v>
      </c>
      <c r="F38" s="135">
        <v>1</v>
      </c>
      <c r="G38" s="136">
        <v>0</v>
      </c>
      <c r="H38" s="136">
        <v>0</v>
      </c>
      <c r="I38" s="136">
        <v>0</v>
      </c>
      <c r="J38" s="134">
        <v>0</v>
      </c>
      <c r="K38" s="137">
        <v>30</v>
      </c>
      <c r="L38" s="137" t="s">
        <v>73</v>
      </c>
      <c r="M38" s="151"/>
      <c r="N38" s="151"/>
      <c r="O38" s="167" t="s">
        <v>126</v>
      </c>
      <c r="P38" s="152"/>
      <c r="AE38" s="153"/>
      <c r="AF38" s="163"/>
      <c r="AG38" s="143"/>
      <c r="AH38" s="143"/>
      <c r="AI38" s="143"/>
      <c r="AJ38" s="143"/>
      <c r="AK38" s="145"/>
      <c r="AL38" s="164"/>
      <c r="AM38" s="143"/>
      <c r="AN38" s="164"/>
      <c r="AO38" s="145"/>
    </row>
    <row r="39" spans="1:41" s="146" customFormat="1" ht="18" customHeight="1">
      <c r="A39" s="161" t="s">
        <v>127</v>
      </c>
      <c r="B39" s="134">
        <v>21</v>
      </c>
      <c r="C39" s="134">
        <v>26</v>
      </c>
      <c r="D39" s="135">
        <f>IFERROR(C39/B39,D400)</f>
        <v>1.2380952380952381</v>
      </c>
      <c r="E39" s="134">
        <v>30</v>
      </c>
      <c r="F39" s="135">
        <v>1</v>
      </c>
      <c r="G39" s="136">
        <v>0</v>
      </c>
      <c r="H39" s="136">
        <v>0</v>
      </c>
      <c r="I39" s="136">
        <v>0</v>
      </c>
      <c r="J39" s="134">
        <v>0</v>
      </c>
      <c r="K39" s="137">
        <v>30</v>
      </c>
      <c r="L39" s="137" t="s">
        <v>73</v>
      </c>
      <c r="M39" s="151"/>
      <c r="N39" s="151"/>
      <c r="O39" s="167" t="s">
        <v>126</v>
      </c>
      <c r="P39" s="152"/>
      <c r="AE39" s="153"/>
      <c r="AF39" s="163"/>
      <c r="AG39" s="143"/>
      <c r="AH39" s="143"/>
      <c r="AI39" s="143"/>
      <c r="AJ39" s="143"/>
      <c r="AK39" s="145"/>
      <c r="AL39" s="164"/>
      <c r="AM39" s="143"/>
      <c r="AN39" s="164"/>
      <c r="AO39" s="145"/>
    </row>
    <row r="40" spans="1:41" s="168" customFormat="1" ht="18" customHeight="1">
      <c r="A40" s="161" t="s">
        <v>128</v>
      </c>
      <c r="B40" s="134">
        <v>18</v>
      </c>
      <c r="C40" s="134">
        <v>26</v>
      </c>
      <c r="D40" s="135">
        <f t="shared" ref="D40:D46" si="1">IF((C40/B40)&gt;1,1,(C40/B40))</f>
        <v>1</v>
      </c>
      <c r="E40" s="134">
        <v>30</v>
      </c>
      <c r="F40" s="135">
        <v>1</v>
      </c>
      <c r="G40" s="136">
        <v>0</v>
      </c>
      <c r="H40" s="136">
        <v>0</v>
      </c>
      <c r="I40" s="136">
        <v>0</v>
      </c>
      <c r="J40" s="134">
        <v>0</v>
      </c>
      <c r="K40" s="137">
        <v>30</v>
      </c>
      <c r="L40" s="137" t="s">
        <v>89</v>
      </c>
      <c r="M40" s="151"/>
      <c r="N40" s="151"/>
      <c r="O40" s="167"/>
      <c r="P40" s="152"/>
      <c r="Q40" s="146"/>
      <c r="R40" s="146"/>
      <c r="S40" s="146"/>
      <c r="T40" s="146"/>
      <c r="U40" s="146"/>
      <c r="V40" s="146"/>
      <c r="W40" s="146"/>
      <c r="X40" s="146"/>
      <c r="Y40" s="146"/>
      <c r="Z40" s="146"/>
      <c r="AA40" s="146"/>
      <c r="AB40" s="146"/>
      <c r="AC40" s="146"/>
      <c r="AD40" s="146"/>
      <c r="AE40" s="153"/>
      <c r="AF40" s="163"/>
      <c r="AG40" s="143"/>
      <c r="AH40" s="143"/>
      <c r="AI40" s="143"/>
      <c r="AJ40" s="143"/>
      <c r="AK40" s="145"/>
      <c r="AL40" s="164"/>
      <c r="AM40" s="143"/>
      <c r="AN40" s="164"/>
      <c r="AO40" s="145"/>
    </row>
    <row r="41" spans="1:41" s="146" customFormat="1" ht="17.25" customHeight="1">
      <c r="A41" s="147" t="s">
        <v>129</v>
      </c>
      <c r="B41" s="148">
        <v>29</v>
      </c>
      <c r="C41" s="148">
        <v>24</v>
      </c>
      <c r="D41" s="135">
        <f t="shared" si="1"/>
        <v>0.82758620689655171</v>
      </c>
      <c r="E41" s="148">
        <v>30</v>
      </c>
      <c r="F41" s="149">
        <v>1</v>
      </c>
      <c r="G41" s="150">
        <v>0</v>
      </c>
      <c r="H41" s="150">
        <v>0</v>
      </c>
      <c r="I41" s="150">
        <v>0</v>
      </c>
      <c r="J41" s="148">
        <v>0</v>
      </c>
      <c r="K41" s="151">
        <v>30</v>
      </c>
      <c r="L41" s="151" t="s">
        <v>73</v>
      </c>
      <c r="M41" s="151"/>
      <c r="N41" s="151"/>
      <c r="O41" s="167" t="s">
        <v>130</v>
      </c>
      <c r="P41" s="152"/>
      <c r="AE41" s="153"/>
      <c r="AF41" s="163"/>
      <c r="AG41" s="153"/>
      <c r="AH41" s="153"/>
      <c r="AI41" s="153"/>
      <c r="AJ41" s="153"/>
      <c r="AK41" s="153"/>
      <c r="AL41" s="153"/>
      <c r="AM41" s="153"/>
      <c r="AN41" s="153"/>
    </row>
    <row r="42" spans="1:41" s="168" customFormat="1" ht="17.25" customHeight="1">
      <c r="A42" s="173" t="s">
        <v>131</v>
      </c>
      <c r="B42" s="174">
        <v>65</v>
      </c>
      <c r="C42" s="174">
        <v>72</v>
      </c>
      <c r="D42" s="135">
        <f t="shared" si="1"/>
        <v>1</v>
      </c>
      <c r="E42" s="174">
        <v>30</v>
      </c>
      <c r="F42" s="175">
        <v>1</v>
      </c>
      <c r="G42" s="176">
        <v>0</v>
      </c>
      <c r="H42" s="176">
        <v>0</v>
      </c>
      <c r="I42" s="176">
        <v>0</v>
      </c>
      <c r="J42" s="174">
        <v>0</v>
      </c>
      <c r="K42" s="174">
        <v>30</v>
      </c>
      <c r="L42" s="192" t="s">
        <v>89</v>
      </c>
      <c r="M42" s="192"/>
      <c r="N42" s="192"/>
      <c r="O42" s="192" t="s">
        <v>132</v>
      </c>
      <c r="P42" s="177"/>
      <c r="AE42" s="178"/>
      <c r="AF42" s="179"/>
      <c r="AG42" s="178"/>
      <c r="AH42" s="178"/>
      <c r="AI42" s="178"/>
      <c r="AJ42" s="178"/>
      <c r="AK42" s="178"/>
      <c r="AL42" s="178"/>
      <c r="AM42" s="178"/>
      <c r="AN42" s="178"/>
    </row>
    <row r="43" spans="1:41" s="146" customFormat="1" ht="18.75" customHeight="1">
      <c r="A43" s="173" t="s">
        <v>133</v>
      </c>
      <c r="B43" s="174">
        <v>41</v>
      </c>
      <c r="C43" s="174">
        <v>41</v>
      </c>
      <c r="D43" s="135">
        <f t="shared" si="1"/>
        <v>1</v>
      </c>
      <c r="E43" s="174">
        <v>30</v>
      </c>
      <c r="F43" s="175">
        <v>1</v>
      </c>
      <c r="G43" s="176">
        <v>0</v>
      </c>
      <c r="H43" s="176">
        <v>0</v>
      </c>
      <c r="I43" s="176">
        <v>2</v>
      </c>
      <c r="J43" s="174">
        <v>0</v>
      </c>
      <c r="K43" s="191">
        <v>30</v>
      </c>
      <c r="L43" s="174" t="s">
        <v>73</v>
      </c>
      <c r="M43" s="194"/>
      <c r="N43" s="194"/>
      <c r="O43" s="192"/>
      <c r="P43" s="152"/>
      <c r="AE43" s="153"/>
      <c r="AF43" s="163"/>
      <c r="AG43" s="153"/>
      <c r="AH43" s="153"/>
      <c r="AI43" s="153"/>
      <c r="AJ43" s="153"/>
      <c r="AK43" s="153"/>
      <c r="AL43" s="153"/>
      <c r="AM43" s="153"/>
      <c r="AN43" s="153"/>
    </row>
    <row r="44" spans="1:41" s="146" customFormat="1" ht="16.5" customHeight="1">
      <c r="A44" s="173" t="s">
        <v>134</v>
      </c>
      <c r="B44" s="174">
        <v>24</v>
      </c>
      <c r="C44" s="174">
        <v>24</v>
      </c>
      <c r="D44" s="135">
        <f t="shared" si="1"/>
        <v>1</v>
      </c>
      <c r="E44" s="174">
        <v>30</v>
      </c>
      <c r="F44" s="175">
        <v>1</v>
      </c>
      <c r="G44" s="176">
        <v>0</v>
      </c>
      <c r="H44" s="176">
        <v>0</v>
      </c>
      <c r="I44" s="176">
        <v>0</v>
      </c>
      <c r="J44" s="174">
        <v>0</v>
      </c>
      <c r="K44" s="174">
        <v>30</v>
      </c>
      <c r="L44" s="174" t="s">
        <v>73</v>
      </c>
      <c r="M44" s="194"/>
      <c r="N44" s="194"/>
      <c r="O44" s="192"/>
      <c r="P44" s="152"/>
      <c r="AE44" s="153"/>
      <c r="AF44" s="163"/>
      <c r="AG44" s="153"/>
      <c r="AH44" s="153"/>
      <c r="AI44" s="153"/>
      <c r="AJ44" s="153"/>
      <c r="AK44" s="153"/>
      <c r="AL44" s="153"/>
      <c r="AM44" s="153"/>
      <c r="AN44" s="153"/>
    </row>
    <row r="45" spans="1:41" s="146" customFormat="1" ht="16.5" customHeight="1">
      <c r="A45" s="195" t="s">
        <v>135</v>
      </c>
      <c r="B45" s="194">
        <v>27</v>
      </c>
      <c r="C45" s="194">
        <v>27</v>
      </c>
      <c r="D45" s="149">
        <f t="shared" si="1"/>
        <v>1</v>
      </c>
      <c r="E45" s="194">
        <v>30</v>
      </c>
      <c r="F45" s="196">
        <v>1</v>
      </c>
      <c r="G45" s="197">
        <v>0</v>
      </c>
      <c r="H45" s="197">
        <v>0</v>
      </c>
      <c r="I45" s="197">
        <v>0</v>
      </c>
      <c r="J45" s="194">
        <v>0</v>
      </c>
      <c r="K45" s="194">
        <v>30</v>
      </c>
      <c r="L45" s="198" t="s">
        <v>73</v>
      </c>
      <c r="M45" s="194"/>
      <c r="N45" s="194"/>
      <c r="O45" s="192"/>
      <c r="P45" s="152"/>
      <c r="AE45" s="153"/>
      <c r="AF45" s="163"/>
      <c r="AG45" s="153"/>
      <c r="AH45" s="153"/>
      <c r="AI45" s="153"/>
      <c r="AJ45" s="153"/>
      <c r="AK45" s="153"/>
      <c r="AL45" s="153"/>
      <c r="AM45" s="153"/>
      <c r="AN45" s="153"/>
    </row>
    <row r="46" spans="1:41" s="146" customFormat="1" ht="20.25" customHeight="1">
      <c r="A46" s="173" t="s">
        <v>136</v>
      </c>
      <c r="B46" s="174">
        <v>28</v>
      </c>
      <c r="C46" s="174">
        <v>49</v>
      </c>
      <c r="D46" s="175">
        <f t="shared" si="1"/>
        <v>1</v>
      </c>
      <c r="E46" s="174">
        <v>30</v>
      </c>
      <c r="F46" s="175">
        <v>1</v>
      </c>
      <c r="G46" s="176">
        <v>0</v>
      </c>
      <c r="H46" s="176">
        <v>0</v>
      </c>
      <c r="I46" s="176">
        <v>0</v>
      </c>
      <c r="J46" s="174">
        <v>0</v>
      </c>
      <c r="K46" s="174">
        <v>30</v>
      </c>
      <c r="L46" s="174" t="s">
        <v>73</v>
      </c>
      <c r="M46" s="177"/>
      <c r="N46" s="177"/>
      <c r="O46" s="177"/>
      <c r="P46" s="152"/>
      <c r="AE46" s="153"/>
      <c r="AF46" s="163"/>
      <c r="AG46" s="153"/>
      <c r="AH46" s="153"/>
      <c r="AI46" s="153"/>
      <c r="AJ46" s="153"/>
      <c r="AK46" s="153"/>
      <c r="AL46" s="153"/>
      <c r="AM46" s="153"/>
      <c r="AN46" s="153"/>
    </row>
    <row r="47" spans="1:41" s="146" customFormat="1" ht="20.25" customHeight="1">
      <c r="A47" s="173" t="s">
        <v>137</v>
      </c>
      <c r="B47" s="174">
        <v>30</v>
      </c>
      <c r="C47" s="174">
        <v>30</v>
      </c>
      <c r="D47" s="175">
        <f>IF((C47/B47)&gt;1,1,(C47/B47))</f>
        <v>1</v>
      </c>
      <c r="E47" s="174">
        <v>30</v>
      </c>
      <c r="F47" s="175">
        <v>1</v>
      </c>
      <c r="G47" s="176">
        <v>0</v>
      </c>
      <c r="H47" s="176">
        <v>0</v>
      </c>
      <c r="I47" s="176">
        <v>0</v>
      </c>
      <c r="J47" s="174">
        <v>0</v>
      </c>
      <c r="K47" s="174">
        <v>30</v>
      </c>
      <c r="L47" s="174" t="s">
        <v>73</v>
      </c>
      <c r="M47" s="177"/>
      <c r="N47" s="177"/>
      <c r="O47" s="177"/>
      <c r="P47" s="152"/>
      <c r="AE47" s="153"/>
      <c r="AF47" s="163"/>
      <c r="AG47" s="153"/>
      <c r="AH47" s="153"/>
      <c r="AI47" s="153"/>
      <c r="AJ47" s="153"/>
      <c r="AK47" s="153"/>
      <c r="AL47" s="153"/>
      <c r="AM47" s="153"/>
      <c r="AN47" s="153"/>
    </row>
    <row r="48" spans="1:41" s="146" customFormat="1" ht="18.75" customHeight="1">
      <c r="A48" s="173" t="s">
        <v>138</v>
      </c>
      <c r="B48" s="174">
        <v>15</v>
      </c>
      <c r="C48" s="174">
        <v>34</v>
      </c>
      <c r="D48" s="175">
        <f>IF((C48/B48)&gt;1,1,(C48/B48))</f>
        <v>1</v>
      </c>
      <c r="E48" s="174">
        <v>30</v>
      </c>
      <c r="F48" s="175">
        <v>1</v>
      </c>
      <c r="G48" s="176">
        <v>0</v>
      </c>
      <c r="H48" s="176">
        <v>0</v>
      </c>
      <c r="I48" s="176">
        <v>0</v>
      </c>
      <c r="J48" s="174">
        <v>0</v>
      </c>
      <c r="K48" s="174">
        <v>30</v>
      </c>
      <c r="L48" s="174" t="s">
        <v>73</v>
      </c>
      <c r="M48" s="177"/>
      <c r="N48" s="177"/>
      <c r="O48" s="177"/>
      <c r="P48" s="152"/>
      <c r="AE48" s="153"/>
      <c r="AF48" s="163"/>
      <c r="AG48" s="153"/>
      <c r="AH48" s="153"/>
      <c r="AI48" s="153"/>
      <c r="AJ48" s="153"/>
      <c r="AK48" s="153"/>
      <c r="AL48" s="153"/>
      <c r="AM48" s="153"/>
      <c r="AN48" s="153"/>
    </row>
    <row r="49" spans="1:40" s="146" customFormat="1" ht="18.75" customHeight="1">
      <c r="A49" s="173" t="s">
        <v>139</v>
      </c>
      <c r="B49" s="174">
        <v>32</v>
      </c>
      <c r="C49" s="174">
        <v>35</v>
      </c>
      <c r="D49" s="175">
        <f>IF((C49/B49)&gt;1,1,(C49/B49))</f>
        <v>1</v>
      </c>
      <c r="E49" s="174">
        <v>30</v>
      </c>
      <c r="F49" s="175">
        <v>1</v>
      </c>
      <c r="G49" s="176">
        <v>5</v>
      </c>
      <c r="H49" s="176">
        <v>0</v>
      </c>
      <c r="I49" s="176">
        <v>0</v>
      </c>
      <c r="J49" s="174">
        <v>0</v>
      </c>
      <c r="K49" s="174">
        <v>30</v>
      </c>
      <c r="L49" s="174" t="s">
        <v>73</v>
      </c>
      <c r="M49" s="152"/>
      <c r="N49" s="152"/>
      <c r="O49" s="152"/>
      <c r="P49" s="152"/>
      <c r="AE49" s="153"/>
      <c r="AF49" s="163"/>
      <c r="AG49" s="153"/>
      <c r="AH49" s="153"/>
      <c r="AI49" s="153"/>
      <c r="AJ49" s="153"/>
      <c r="AK49" s="153"/>
      <c r="AL49" s="153"/>
      <c r="AM49" s="153"/>
      <c r="AN49" s="153"/>
    </row>
    <row r="50" spans="1:40" ht="18.75" customHeight="1">
      <c r="A50" s="173" t="s">
        <v>140</v>
      </c>
      <c r="B50" s="174">
        <v>19</v>
      </c>
      <c r="C50" s="174">
        <v>44</v>
      </c>
      <c r="D50" s="175">
        <f t="shared" ref="D50:D52" si="2">IF((C50/B50)&gt;1,1,(C50/B50))</f>
        <v>1</v>
      </c>
      <c r="E50" s="174">
        <v>30</v>
      </c>
      <c r="F50" s="175">
        <v>1</v>
      </c>
      <c r="G50" s="176">
        <v>0</v>
      </c>
      <c r="H50" s="176">
        <v>0</v>
      </c>
      <c r="I50" s="176">
        <v>1</v>
      </c>
      <c r="J50" s="174">
        <v>0</v>
      </c>
      <c r="K50" s="174">
        <v>30</v>
      </c>
      <c r="L50" s="174" t="s">
        <v>73</v>
      </c>
      <c r="M50" s="152"/>
      <c r="N50" s="152"/>
      <c r="O50" s="152"/>
      <c r="P50" s="152"/>
      <c r="Q50" s="146"/>
      <c r="R50" s="146"/>
      <c r="S50" s="146"/>
      <c r="T50" s="146"/>
      <c r="U50" s="146"/>
      <c r="V50" s="146"/>
      <c r="W50" s="146"/>
      <c r="X50" s="146"/>
      <c r="Y50" s="146"/>
      <c r="Z50" s="146"/>
      <c r="AA50" s="146"/>
      <c r="AB50" s="146"/>
      <c r="AC50" s="146"/>
      <c r="AD50" s="146"/>
      <c r="AE50" s="153"/>
      <c r="AF50" s="163"/>
      <c r="AG50" s="153"/>
      <c r="AH50" s="153"/>
      <c r="AI50" s="153"/>
      <c r="AJ50" s="153"/>
      <c r="AK50" s="153"/>
      <c r="AL50" s="153"/>
      <c r="AM50" s="153"/>
      <c r="AN50" s="153"/>
    </row>
    <row r="51" spans="1:40" ht="18.75" customHeight="1">
      <c r="A51" s="173" t="s">
        <v>141</v>
      </c>
      <c r="B51" s="174">
        <v>35</v>
      </c>
      <c r="C51" s="174">
        <v>56</v>
      </c>
      <c r="D51" s="175">
        <f t="shared" si="2"/>
        <v>1</v>
      </c>
      <c r="E51" s="174">
        <v>30</v>
      </c>
      <c r="F51" s="175">
        <v>1</v>
      </c>
      <c r="G51" s="176">
        <v>0</v>
      </c>
      <c r="H51" s="176">
        <v>1</v>
      </c>
      <c r="I51" s="176">
        <v>0</v>
      </c>
      <c r="J51" s="176">
        <v>0</v>
      </c>
      <c r="K51" s="174">
        <v>30</v>
      </c>
      <c r="L51" s="174" t="s">
        <v>73</v>
      </c>
      <c r="AE51" s="1"/>
      <c r="AG51" s="1"/>
      <c r="AH51" s="1"/>
      <c r="AI51" s="1"/>
      <c r="AJ51" s="1"/>
      <c r="AK51" s="1"/>
      <c r="AL51" s="1"/>
      <c r="AM51" s="1"/>
      <c r="AN51" s="1"/>
    </row>
    <row r="52" spans="1:40" ht="18.75" customHeight="1">
      <c r="A52" s="173" t="s">
        <v>50</v>
      </c>
      <c r="B52" s="174">
        <v>32</v>
      </c>
      <c r="C52" s="174">
        <v>48</v>
      </c>
      <c r="D52" s="175">
        <f t="shared" si="2"/>
        <v>1</v>
      </c>
      <c r="E52" s="174">
        <v>30</v>
      </c>
      <c r="F52" s="175">
        <v>1</v>
      </c>
      <c r="G52" s="176">
        <v>0</v>
      </c>
      <c r="H52" s="176">
        <v>0</v>
      </c>
      <c r="I52" s="176">
        <v>1</v>
      </c>
      <c r="J52" s="174">
        <v>0</v>
      </c>
      <c r="L52" s="174" t="s">
        <v>73</v>
      </c>
      <c r="AE52" s="1"/>
      <c r="AG52" s="1"/>
      <c r="AH52" s="1"/>
      <c r="AI52" s="1"/>
      <c r="AJ52" s="1"/>
      <c r="AK52" s="1"/>
      <c r="AL52" s="1"/>
      <c r="AM52" s="1"/>
      <c r="AN52" s="1"/>
    </row>
    <row r="53" spans="1:40" ht="18.75" customHeight="1">
      <c r="AE53" s="1"/>
      <c r="AG53" s="1"/>
      <c r="AH53" s="1"/>
      <c r="AI53" s="1"/>
      <c r="AJ53" s="1"/>
      <c r="AK53" s="1"/>
      <c r="AL53" s="1"/>
      <c r="AM53" s="1"/>
      <c r="AN53" s="1"/>
    </row>
    <row r="54" spans="1:40" ht="18.75" customHeight="1">
      <c r="AE54" s="1"/>
      <c r="AG54" s="1"/>
      <c r="AH54" s="1"/>
      <c r="AI54" s="1"/>
      <c r="AJ54" s="1"/>
      <c r="AK54" s="1"/>
      <c r="AL54" s="1"/>
      <c r="AM54" s="1"/>
      <c r="AN54" s="1"/>
    </row>
    <row r="55" spans="1:40" ht="18.75" customHeight="1">
      <c r="AE55" s="1"/>
      <c r="AG55" s="1"/>
      <c r="AH55" s="1"/>
      <c r="AI55" s="1"/>
      <c r="AJ55" s="1"/>
      <c r="AK55" s="1"/>
      <c r="AL55" s="1"/>
      <c r="AM55" s="1"/>
      <c r="AN55" s="1"/>
    </row>
    <row r="56" spans="1:40" ht="18.75" customHeight="1">
      <c r="AE56" s="1"/>
      <c r="AG56" s="1"/>
      <c r="AH56" s="1"/>
      <c r="AI56" s="1"/>
      <c r="AJ56" s="1"/>
      <c r="AK56" s="1"/>
      <c r="AL56" s="1"/>
      <c r="AM56" s="1"/>
      <c r="AN56" s="1"/>
    </row>
    <row r="57" spans="1:40" ht="21">
      <c r="AE57" s="1"/>
      <c r="AG57" s="1"/>
      <c r="AH57" s="1"/>
      <c r="AI57" s="1"/>
      <c r="AJ57" s="1"/>
      <c r="AK57" s="1"/>
      <c r="AL57" s="1"/>
      <c r="AM57" s="1"/>
      <c r="AN57" s="1"/>
    </row>
    <row r="58" spans="1:40" ht="21">
      <c r="AE58" s="1"/>
      <c r="AG58" s="1"/>
      <c r="AH58" s="1"/>
      <c r="AI58" s="1"/>
      <c r="AJ58" s="1"/>
      <c r="AK58" s="1"/>
      <c r="AL58" s="1"/>
      <c r="AM58" s="1"/>
      <c r="AN58" s="1"/>
    </row>
    <row r="59" spans="1:40" ht="21">
      <c r="AE59" s="1"/>
      <c r="AG59" s="1"/>
      <c r="AH59" s="1"/>
      <c r="AI59" s="1"/>
      <c r="AJ59" s="1"/>
      <c r="AK59" s="1"/>
      <c r="AL59" s="1"/>
      <c r="AM59" s="1"/>
      <c r="AN59" s="1"/>
    </row>
    <row r="60" spans="1:40" ht="21">
      <c r="AE60" s="1"/>
      <c r="AG60" s="1"/>
      <c r="AH60" s="1"/>
      <c r="AI60" s="1"/>
      <c r="AJ60" s="1"/>
      <c r="AK60" s="1"/>
      <c r="AL60" s="1"/>
      <c r="AM60" s="1"/>
      <c r="AN60" s="1"/>
    </row>
    <row r="61" spans="1:40" ht="21">
      <c r="AE61" s="1"/>
      <c r="AG61" s="1"/>
      <c r="AH61" s="1"/>
      <c r="AI61" s="1"/>
      <c r="AJ61" s="1"/>
      <c r="AK61" s="1"/>
      <c r="AL61" s="1"/>
      <c r="AM61" s="1"/>
      <c r="AN61" s="1"/>
    </row>
    <row r="62" spans="1:40" ht="21">
      <c r="AE62" s="1"/>
      <c r="AG62" s="1"/>
      <c r="AH62" s="1"/>
      <c r="AI62" s="1"/>
      <c r="AJ62" s="1"/>
      <c r="AK62" s="1"/>
      <c r="AL62" s="1"/>
      <c r="AM62" s="1"/>
      <c r="AN62" s="1"/>
    </row>
    <row r="63" spans="1:40" ht="21">
      <c r="AE63" s="1"/>
      <c r="AG63" s="1"/>
      <c r="AH63" s="1"/>
      <c r="AI63" s="1"/>
      <c r="AJ63" s="1"/>
      <c r="AK63" s="1"/>
      <c r="AL63" s="1"/>
      <c r="AM63" s="1"/>
      <c r="AN63" s="1"/>
    </row>
    <row r="64" spans="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row r="929" spans="31:40" ht="21">
      <c r="AE929" s="1"/>
      <c r="AG929" s="1"/>
      <c r="AH929" s="1"/>
      <c r="AI929" s="1"/>
      <c r="AJ929" s="1"/>
      <c r="AK929" s="1"/>
      <c r="AL929" s="1"/>
      <c r="AM929" s="1"/>
      <c r="AN929" s="1"/>
    </row>
    <row r="930" spans="31:40" ht="21">
      <c r="AE930" s="1"/>
      <c r="AG930" s="1"/>
      <c r="AH930" s="1"/>
      <c r="AI930" s="1"/>
      <c r="AJ930" s="1"/>
      <c r="AK930" s="1"/>
      <c r="AL930" s="1"/>
      <c r="AM930" s="1"/>
      <c r="AN930" s="1"/>
    </row>
    <row r="931" spans="31:40" ht="21">
      <c r="AE931" s="1"/>
      <c r="AG931" s="1"/>
      <c r="AH931" s="1"/>
      <c r="AI931" s="1"/>
      <c r="AJ931" s="1"/>
      <c r="AK931" s="1"/>
      <c r="AL931" s="1"/>
      <c r="AM931" s="1"/>
      <c r="AN931" s="1"/>
    </row>
    <row r="932" spans="31:40" ht="21">
      <c r="AE932" s="1"/>
      <c r="AG932" s="1"/>
      <c r="AH932" s="1"/>
      <c r="AI932" s="1"/>
      <c r="AJ932" s="1"/>
      <c r="AK932" s="1"/>
      <c r="AL932" s="1"/>
      <c r="AM932" s="1"/>
      <c r="AN932" s="1"/>
    </row>
    <row r="933" spans="31:40" ht="21">
      <c r="AE933" s="1"/>
      <c r="AG933" s="1"/>
      <c r="AH933" s="1"/>
      <c r="AI933" s="1"/>
      <c r="AJ933" s="1"/>
      <c r="AK933" s="1"/>
      <c r="AL933" s="1"/>
      <c r="AM933" s="1"/>
      <c r="AN933" s="1"/>
    </row>
    <row r="934" spans="31:40" ht="21">
      <c r="AE934" s="1"/>
      <c r="AG934" s="1"/>
      <c r="AH934" s="1"/>
      <c r="AI934" s="1"/>
      <c r="AJ934" s="1"/>
      <c r="AK934" s="1"/>
      <c r="AL934" s="1"/>
      <c r="AM934" s="1"/>
      <c r="AN934" s="1"/>
    </row>
    <row r="935" spans="31:40" ht="21">
      <c r="AE935" s="1"/>
      <c r="AG935" s="1"/>
      <c r="AH935" s="1"/>
      <c r="AI935" s="1"/>
      <c r="AJ935" s="1"/>
      <c r="AK935" s="1"/>
      <c r="AL935" s="1"/>
      <c r="AM935" s="1"/>
      <c r="AN935" s="1"/>
    </row>
    <row r="936" spans="31:40" ht="21">
      <c r="AE936" s="1"/>
      <c r="AG936" s="1"/>
      <c r="AH936" s="1"/>
      <c r="AI936" s="1"/>
      <c r="AJ936" s="1"/>
      <c r="AK936" s="1"/>
      <c r="AL936" s="1"/>
      <c r="AM936" s="1"/>
      <c r="AN936" s="1"/>
    </row>
    <row r="937" spans="31:40" ht="21">
      <c r="AE937" s="1"/>
      <c r="AG937" s="1"/>
      <c r="AH937" s="1"/>
      <c r="AI937" s="1"/>
      <c r="AJ937" s="1"/>
      <c r="AK937" s="1"/>
      <c r="AL937" s="1"/>
      <c r="AM937" s="1"/>
      <c r="AN937" s="1"/>
    </row>
    <row r="938" spans="31:40" ht="21">
      <c r="AE938" s="1"/>
      <c r="AG938" s="1"/>
      <c r="AH938" s="1"/>
      <c r="AI938" s="1"/>
      <c r="AJ938" s="1"/>
      <c r="AK938" s="1"/>
      <c r="AL938" s="1"/>
      <c r="AM938" s="1"/>
      <c r="AN938" s="1"/>
    </row>
    <row r="939" spans="31:40" ht="21">
      <c r="AE939" s="1"/>
      <c r="AG939" s="1"/>
      <c r="AH939" s="1"/>
      <c r="AI939" s="1"/>
      <c r="AJ939" s="1"/>
      <c r="AK939" s="1"/>
      <c r="AL939" s="1"/>
      <c r="AM939" s="1"/>
      <c r="AN939" s="1"/>
    </row>
    <row r="940" spans="31:40" ht="21">
      <c r="AE940" s="1"/>
      <c r="AG940" s="1"/>
      <c r="AH940" s="1"/>
      <c r="AI940" s="1"/>
      <c r="AJ940" s="1"/>
      <c r="AK940" s="1"/>
      <c r="AL940" s="1"/>
      <c r="AM940" s="1"/>
      <c r="AN940" s="1"/>
    </row>
    <row r="941" spans="31:40" ht="21">
      <c r="AE941" s="1"/>
      <c r="AG941" s="1"/>
      <c r="AH941" s="1"/>
      <c r="AI941" s="1"/>
      <c r="AJ941" s="1"/>
      <c r="AK941" s="1"/>
      <c r="AL941" s="1"/>
      <c r="AM941" s="1"/>
      <c r="AN941" s="1"/>
    </row>
    <row r="942" spans="31:40" ht="21">
      <c r="AE942" s="1"/>
      <c r="AG942" s="1"/>
      <c r="AH942" s="1"/>
      <c r="AI942" s="1"/>
      <c r="AJ942" s="1"/>
      <c r="AK942" s="1"/>
      <c r="AL942" s="1"/>
      <c r="AM942" s="1"/>
      <c r="AN942" s="1"/>
    </row>
    <row r="943" spans="31:40" ht="21">
      <c r="AE943" s="1"/>
      <c r="AG943" s="1"/>
      <c r="AH943" s="1"/>
      <c r="AI943" s="1"/>
      <c r="AJ943" s="1"/>
      <c r="AK943" s="1"/>
      <c r="AL943" s="1"/>
      <c r="AM943" s="1"/>
      <c r="AN943" s="1"/>
    </row>
    <row r="944" spans="31:40" ht="21">
      <c r="AE944" s="1"/>
      <c r="AG944" s="1"/>
      <c r="AH944" s="1"/>
      <c r="AI944" s="1"/>
      <c r="AJ944" s="1"/>
      <c r="AK944" s="1"/>
      <c r="AL944" s="1"/>
      <c r="AM944" s="1"/>
      <c r="AN944" s="1"/>
    </row>
    <row r="945" spans="31:40" ht="21">
      <c r="AE945" s="1"/>
      <c r="AG945" s="1"/>
      <c r="AH945" s="1"/>
      <c r="AI945" s="1"/>
      <c r="AJ945" s="1"/>
      <c r="AK945" s="1"/>
      <c r="AL945" s="1"/>
      <c r="AM945" s="1"/>
      <c r="AN945" s="1"/>
    </row>
    <row r="946" spans="31:40" ht="21">
      <c r="AE946" s="1"/>
      <c r="AG946" s="1"/>
      <c r="AH946" s="1"/>
      <c r="AI946" s="1"/>
      <c r="AJ946" s="1"/>
      <c r="AK946" s="1"/>
      <c r="AL946" s="1"/>
      <c r="AM946" s="1"/>
      <c r="AN946" s="1"/>
    </row>
    <row r="947" spans="31:40" ht="21">
      <c r="AE947" s="1"/>
      <c r="AG947" s="1"/>
      <c r="AH947" s="1"/>
      <c r="AI947" s="1"/>
      <c r="AJ947" s="1"/>
      <c r="AK947" s="1"/>
      <c r="AL947" s="1"/>
      <c r="AM947" s="1"/>
      <c r="AN947" s="1"/>
    </row>
    <row r="948" spans="31:40" ht="21">
      <c r="AE948" s="1"/>
      <c r="AG948" s="1"/>
      <c r="AH948" s="1"/>
      <c r="AI948" s="1"/>
      <c r="AJ948" s="1"/>
      <c r="AK948" s="1"/>
      <c r="AL948" s="1"/>
      <c r="AM948" s="1"/>
      <c r="AN948" s="1"/>
    </row>
    <row r="949" spans="31:40" ht="21">
      <c r="AE949" s="1"/>
      <c r="AG949" s="1"/>
      <c r="AH949" s="1"/>
      <c r="AI949" s="1"/>
      <c r="AJ949" s="1"/>
      <c r="AK949" s="1"/>
      <c r="AL949" s="1"/>
      <c r="AM949" s="1"/>
      <c r="AN949" s="1"/>
    </row>
    <row r="950" spans="31:40" ht="21">
      <c r="AE950" s="1"/>
      <c r="AG950" s="1"/>
      <c r="AH950" s="1"/>
      <c r="AI950" s="1"/>
      <c r="AJ950" s="1"/>
      <c r="AK950" s="1"/>
      <c r="AL950" s="1"/>
      <c r="AM950" s="1"/>
      <c r="AN950" s="1"/>
    </row>
    <row r="951" spans="31:40" ht="21">
      <c r="AE951" s="1"/>
      <c r="AG951" s="1"/>
      <c r="AH951" s="1"/>
      <c r="AI951" s="1"/>
      <c r="AJ951" s="1"/>
      <c r="AK951" s="1"/>
      <c r="AL951" s="1"/>
      <c r="AM951" s="1"/>
      <c r="AN951" s="1"/>
    </row>
    <row r="952" spans="31:40" ht="21">
      <c r="AE952" s="1"/>
      <c r="AG952" s="1"/>
      <c r="AH952" s="1"/>
      <c r="AI952" s="1"/>
      <c r="AJ952" s="1"/>
      <c r="AK952" s="1"/>
      <c r="AL952" s="1"/>
      <c r="AM952" s="1"/>
      <c r="AN952" s="1"/>
    </row>
    <row r="953" spans="31:40" ht="21">
      <c r="AE953" s="1"/>
      <c r="AG953" s="1"/>
      <c r="AH953" s="1"/>
      <c r="AI953" s="1"/>
      <c r="AJ953" s="1"/>
      <c r="AK953" s="1"/>
      <c r="AL953" s="1"/>
      <c r="AM953" s="1"/>
      <c r="AN953" s="1"/>
    </row>
    <row r="954" spans="31:40" ht="21">
      <c r="AE954" s="1"/>
      <c r="AG954" s="1"/>
      <c r="AH954" s="1"/>
      <c r="AI954" s="1"/>
      <c r="AJ954" s="1"/>
      <c r="AK954" s="1"/>
      <c r="AL954" s="1"/>
      <c r="AM954" s="1"/>
      <c r="AN954" s="1"/>
    </row>
    <row r="955" spans="31:40" ht="21">
      <c r="AE955" s="1"/>
      <c r="AG955" s="1"/>
      <c r="AH955" s="1"/>
      <c r="AI955" s="1"/>
      <c r="AJ955" s="1"/>
      <c r="AK955" s="1"/>
      <c r="AL955" s="1"/>
      <c r="AM955" s="1"/>
      <c r="AN955" s="1"/>
    </row>
    <row r="956" spans="31:40" ht="21">
      <c r="AE956" s="1"/>
      <c r="AG956" s="1"/>
      <c r="AH956" s="1"/>
      <c r="AI956" s="1"/>
      <c r="AJ956" s="1"/>
      <c r="AK956" s="1"/>
      <c r="AL956" s="1"/>
      <c r="AM956" s="1"/>
      <c r="AN956" s="1"/>
    </row>
    <row r="957" spans="31:40" ht="21">
      <c r="AE957" s="1"/>
      <c r="AG957" s="1"/>
      <c r="AH957" s="1"/>
      <c r="AI957" s="1"/>
      <c r="AJ957" s="1"/>
      <c r="AK957" s="1"/>
      <c r="AL957" s="1"/>
      <c r="AM957" s="1"/>
      <c r="AN957" s="1"/>
    </row>
    <row r="958" spans="31:40" ht="21">
      <c r="AE958" s="1"/>
      <c r="AG958" s="1"/>
      <c r="AH958" s="1"/>
      <c r="AI958" s="1"/>
      <c r="AJ958" s="1"/>
      <c r="AK958" s="1"/>
      <c r="AL958" s="1"/>
      <c r="AM958" s="1"/>
      <c r="AN958" s="1"/>
    </row>
    <row r="959" spans="31:40" ht="21">
      <c r="AE959" s="1"/>
      <c r="AG959" s="1"/>
      <c r="AH959" s="1"/>
      <c r="AI959" s="1"/>
      <c r="AJ959" s="1"/>
      <c r="AK959" s="1"/>
      <c r="AL959" s="1"/>
      <c r="AM959" s="1"/>
      <c r="AN959" s="1"/>
    </row>
    <row r="960" spans="31:40" ht="21">
      <c r="AE960" s="1"/>
      <c r="AG960" s="1"/>
      <c r="AH960" s="1"/>
      <c r="AI960" s="1"/>
      <c r="AJ960" s="1"/>
      <c r="AK960" s="1"/>
      <c r="AL960" s="1"/>
      <c r="AM960" s="1"/>
      <c r="AN960" s="1"/>
    </row>
    <row r="961" spans="31:40" ht="21">
      <c r="AE961" s="1"/>
      <c r="AG961" s="1"/>
      <c r="AH961" s="1"/>
      <c r="AI961" s="1"/>
      <c r="AJ961" s="1"/>
      <c r="AK961" s="1"/>
      <c r="AL961" s="1"/>
      <c r="AM961" s="1"/>
      <c r="AN961" s="1"/>
    </row>
    <row r="962" spans="31:40" ht="21">
      <c r="AE962" s="1"/>
      <c r="AG962" s="1"/>
      <c r="AH962" s="1"/>
      <c r="AI962" s="1"/>
      <c r="AJ962" s="1"/>
      <c r="AK962" s="1"/>
      <c r="AL962" s="1"/>
      <c r="AM962" s="1"/>
      <c r="AN962" s="1"/>
    </row>
    <row r="963" spans="31:40" ht="21">
      <c r="AE963" s="1"/>
      <c r="AG963" s="1"/>
      <c r="AH963" s="1"/>
      <c r="AI963" s="1"/>
      <c r="AJ963" s="1"/>
      <c r="AK963" s="1"/>
      <c r="AL963" s="1"/>
      <c r="AM963" s="1"/>
      <c r="AN963" s="1"/>
    </row>
    <row r="964" spans="31:40" ht="21">
      <c r="AE964" s="1"/>
      <c r="AG964" s="1"/>
      <c r="AH964" s="1"/>
      <c r="AI964" s="1"/>
      <c r="AJ964" s="1"/>
      <c r="AK964" s="1"/>
      <c r="AL964" s="1"/>
      <c r="AM964" s="1"/>
      <c r="AN964" s="1"/>
    </row>
    <row r="965" spans="31:40" ht="21">
      <c r="AE965" s="1"/>
      <c r="AG965" s="1"/>
      <c r="AH965" s="1"/>
      <c r="AI965" s="1"/>
      <c r="AJ965" s="1"/>
      <c r="AK965" s="1"/>
      <c r="AL965" s="1"/>
      <c r="AM965" s="1"/>
      <c r="AN965" s="1"/>
    </row>
    <row r="966" spans="31:40" ht="21">
      <c r="AE966" s="1"/>
      <c r="AG966" s="1"/>
      <c r="AH966" s="1"/>
      <c r="AI966" s="1"/>
      <c r="AJ966" s="1"/>
      <c r="AK966" s="1"/>
      <c r="AL966" s="1"/>
      <c r="AM966" s="1"/>
      <c r="AN966" s="1"/>
    </row>
    <row r="967" spans="31:40" ht="21">
      <c r="AE967" s="1"/>
      <c r="AG967" s="1"/>
      <c r="AH967" s="1"/>
      <c r="AI967" s="1"/>
      <c r="AJ967" s="1"/>
      <c r="AK967" s="1"/>
      <c r="AL967" s="1"/>
      <c r="AM967" s="1"/>
      <c r="AN967" s="1"/>
    </row>
    <row r="968" spans="31:40" ht="21">
      <c r="AE968" s="1"/>
      <c r="AG968" s="1"/>
      <c r="AH968" s="1"/>
      <c r="AI968" s="1"/>
      <c r="AJ968" s="1"/>
      <c r="AK968" s="1"/>
      <c r="AL968" s="1"/>
      <c r="AM968" s="1"/>
      <c r="AN968" s="1"/>
    </row>
    <row r="969" spans="31:40" ht="21">
      <c r="AE969" s="1"/>
      <c r="AG969" s="1"/>
      <c r="AH969" s="1"/>
      <c r="AI969" s="1"/>
      <c r="AJ969" s="1"/>
      <c r="AK969" s="1"/>
      <c r="AL969" s="1"/>
      <c r="AM969" s="1"/>
      <c r="AN969" s="1"/>
    </row>
    <row r="970" spans="31:40" ht="21">
      <c r="AE970" s="1"/>
      <c r="AG970" s="1"/>
      <c r="AH970" s="1"/>
      <c r="AI970" s="1"/>
      <c r="AJ970" s="1"/>
      <c r="AK970" s="1"/>
      <c r="AL970" s="1"/>
      <c r="AM970" s="1"/>
      <c r="AN970" s="1"/>
    </row>
    <row r="971" spans="31:40" ht="21">
      <c r="AE971" s="1"/>
      <c r="AG971" s="1"/>
      <c r="AH971" s="1"/>
      <c r="AI971" s="1"/>
      <c r="AJ971" s="1"/>
      <c r="AK971" s="1"/>
      <c r="AL971" s="1"/>
      <c r="AM971" s="1"/>
      <c r="AN971" s="1"/>
    </row>
    <row r="972" spans="31:40" ht="21">
      <c r="AE972" s="1"/>
      <c r="AG972" s="1"/>
      <c r="AH972" s="1"/>
      <c r="AI972" s="1"/>
      <c r="AJ972" s="1"/>
      <c r="AK972" s="1"/>
      <c r="AL972" s="1"/>
      <c r="AM972" s="1"/>
      <c r="AN972" s="1"/>
    </row>
    <row r="973" spans="31:40" ht="21">
      <c r="AE973" s="1"/>
      <c r="AG973" s="1"/>
      <c r="AH973" s="1"/>
      <c r="AI973" s="1"/>
      <c r="AJ973" s="1"/>
      <c r="AK973" s="1"/>
      <c r="AL973" s="1"/>
      <c r="AM973" s="1"/>
      <c r="AN973" s="1"/>
    </row>
    <row r="974" spans="31:40" ht="21">
      <c r="AE974" s="1"/>
      <c r="AG974" s="1"/>
      <c r="AH974" s="1"/>
      <c r="AI974" s="1"/>
      <c r="AJ974" s="1"/>
      <c r="AK974" s="1"/>
      <c r="AL974" s="1"/>
      <c r="AM974" s="1"/>
      <c r="AN974" s="1"/>
    </row>
    <row r="975" spans="31:40" ht="21">
      <c r="AE975" s="1"/>
      <c r="AG975" s="1"/>
      <c r="AH975" s="1"/>
      <c r="AI975" s="1"/>
      <c r="AJ975" s="1"/>
      <c r="AK975" s="1"/>
      <c r="AL975" s="1"/>
      <c r="AM975" s="1"/>
      <c r="AN975" s="1"/>
    </row>
    <row r="976" spans="31:40" ht="21">
      <c r="AE976" s="1"/>
      <c r="AG976" s="1"/>
      <c r="AH976" s="1"/>
      <c r="AI976" s="1"/>
      <c r="AJ976" s="1"/>
      <c r="AK976" s="1"/>
      <c r="AL976" s="1"/>
      <c r="AM976" s="1"/>
      <c r="AN976" s="1"/>
    </row>
    <row r="977" spans="31:40" ht="21">
      <c r="AE977" s="1"/>
      <c r="AG977" s="1"/>
      <c r="AH977" s="1"/>
      <c r="AI977" s="1"/>
      <c r="AJ977" s="1"/>
      <c r="AK977" s="1"/>
      <c r="AL977" s="1"/>
      <c r="AM977" s="1"/>
      <c r="AN977" s="1"/>
    </row>
    <row r="978" spans="31:40" ht="21">
      <c r="AE978" s="1"/>
      <c r="AG978" s="1"/>
      <c r="AH978" s="1"/>
      <c r="AI978" s="1"/>
      <c r="AJ978" s="1"/>
      <c r="AK978" s="1"/>
      <c r="AL978" s="1"/>
      <c r="AM978" s="1"/>
      <c r="AN978" s="1"/>
    </row>
    <row r="979" spans="31:40" ht="21">
      <c r="AE979" s="1"/>
      <c r="AG979" s="1"/>
      <c r="AH979" s="1"/>
      <c r="AI979" s="1"/>
      <c r="AJ979" s="1"/>
      <c r="AK979" s="1"/>
      <c r="AL979" s="1"/>
      <c r="AM979" s="1"/>
      <c r="AN979" s="1"/>
    </row>
    <row r="980" spans="31:40" ht="21">
      <c r="AE980" s="1"/>
      <c r="AG980" s="1"/>
      <c r="AH980" s="1"/>
      <c r="AI980" s="1"/>
      <c r="AJ980" s="1"/>
      <c r="AK980" s="1"/>
      <c r="AL980" s="1"/>
      <c r="AM980" s="1"/>
      <c r="AN980" s="1"/>
    </row>
    <row r="981" spans="31:40" ht="21">
      <c r="AE981" s="1"/>
      <c r="AG981" s="1"/>
      <c r="AH981" s="1"/>
      <c r="AI981" s="1"/>
      <c r="AJ981" s="1"/>
      <c r="AK981" s="1"/>
      <c r="AL981" s="1"/>
      <c r="AM981" s="1"/>
      <c r="AN981" s="1"/>
    </row>
    <row r="982" spans="31:40" ht="21">
      <c r="AE982" s="1"/>
      <c r="AG982" s="1"/>
      <c r="AH982" s="1"/>
      <c r="AI982" s="1"/>
      <c r="AJ982" s="1"/>
      <c r="AK982" s="1"/>
      <c r="AL982" s="1"/>
      <c r="AM982" s="1"/>
      <c r="AN982" s="1"/>
    </row>
    <row r="983" spans="31:40" ht="21">
      <c r="AE983" s="1"/>
      <c r="AG983" s="1"/>
      <c r="AH983" s="1"/>
      <c r="AI983" s="1"/>
      <c r="AJ983" s="1"/>
      <c r="AK983" s="1"/>
      <c r="AL983" s="1"/>
      <c r="AM983" s="1"/>
      <c r="AN983" s="1"/>
    </row>
    <row r="984" spans="31:40" ht="21">
      <c r="AE984" s="1"/>
      <c r="AG984" s="1"/>
      <c r="AH984" s="1"/>
      <c r="AI984" s="1"/>
      <c r="AJ984" s="1"/>
      <c r="AK984" s="1"/>
      <c r="AL984" s="1"/>
      <c r="AM984" s="1"/>
      <c r="AN984" s="1"/>
    </row>
    <row r="985" spans="31:40" ht="21">
      <c r="AE985" s="1"/>
      <c r="AG985" s="1"/>
      <c r="AH985" s="1"/>
      <c r="AI985" s="1"/>
      <c r="AJ985" s="1"/>
      <c r="AK985" s="1"/>
      <c r="AL985" s="1"/>
      <c r="AM985" s="1"/>
      <c r="AN985" s="1"/>
    </row>
    <row r="986" spans="31:40" ht="21">
      <c r="AE986" s="1"/>
      <c r="AG986" s="1"/>
      <c r="AH986" s="1"/>
      <c r="AI986" s="1"/>
      <c r="AJ986" s="1"/>
      <c r="AK986" s="1"/>
      <c r="AL986" s="1"/>
      <c r="AM986" s="1"/>
      <c r="AN986" s="1"/>
    </row>
  </sheetData>
  <customSheetViews>
    <customSheetView guid="{3662FBDA-518E-4D58-A85F-B943BC586F75}" filter="1" showAutoFilter="1">
      <pageMargins left="0" right="0" top="0" bottom="0" header="0" footer="0"/>
      <autoFilter ref="A1:K22" xr:uid="{6E152E8F-7C4B-45DA-BEBF-FEC8A12A1EAE}"/>
    </customSheetView>
  </customSheetViews>
  <mergeCells count="4">
    <mergeCell ref="AF1:AF15"/>
    <mergeCell ref="AJ1:AJ15"/>
    <mergeCell ref="AL1:AL15"/>
    <mergeCell ref="AN1:AN15"/>
  </mergeCells>
  <phoneticPr fontId="5" type="noConversion"/>
  <pageMargins left="0" right="0" top="0" bottom="0" header="0" footer="0"/>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475BC-FD6E-4B5D-B316-4BB47A5B107C}">
  <dimension ref="A1:W26"/>
  <sheetViews>
    <sheetView workbookViewId="0">
      <pane ySplit="2" topLeftCell="A26" activePane="bottomLeft" state="frozen"/>
      <selection pane="bottomLeft" activeCell="C26" sqref="C26"/>
    </sheetView>
  </sheetViews>
  <sheetFormatPr defaultRowHeight="12.75"/>
  <cols>
    <col min="1" max="1" width="4.21875" style="93" customWidth="1"/>
    <col min="2" max="2" width="8.5546875" style="96" bestFit="1" customWidth="1"/>
    <col min="3" max="3" width="20" style="64" customWidth="1"/>
    <col min="4" max="4" width="30.21875" style="93" customWidth="1"/>
    <col min="5" max="6" width="12.21875" style="64" customWidth="1"/>
    <col min="7" max="7" width="21" style="93" customWidth="1"/>
    <col min="8" max="9" width="18.6640625" style="93" customWidth="1"/>
    <col min="10" max="10" width="19.6640625" style="93" customWidth="1"/>
    <col min="11" max="11" width="20.109375" style="93" customWidth="1"/>
    <col min="12" max="12" width="14.5546875" style="92" bestFit="1" customWidth="1"/>
    <col min="13" max="13" width="8.88671875" style="64"/>
    <col min="14" max="14" width="9.44140625" style="96" bestFit="1" customWidth="1"/>
    <col min="15" max="15" width="17.33203125" style="93" customWidth="1"/>
    <col min="16" max="22" width="8.88671875" style="93"/>
    <col min="23" max="23" width="14.88671875" style="93" customWidth="1"/>
    <col min="24" max="16384" width="8.88671875" style="93"/>
  </cols>
  <sheetData>
    <row r="1" spans="1:23">
      <c r="A1" s="180"/>
      <c r="B1" s="181"/>
      <c r="C1" s="182"/>
      <c r="D1" s="180"/>
      <c r="E1" s="182"/>
      <c r="F1" s="182"/>
      <c r="G1" s="180"/>
      <c r="H1" s="243" t="s">
        <v>142</v>
      </c>
      <c r="I1" s="243"/>
      <c r="J1" s="243"/>
      <c r="K1" s="180"/>
      <c r="L1" s="182"/>
      <c r="M1" s="182"/>
      <c r="N1" s="181"/>
      <c r="O1" s="180"/>
    </row>
    <row r="2" spans="1:23" ht="49.5" customHeight="1">
      <c r="A2" s="97" t="s">
        <v>143</v>
      </c>
      <c r="B2" s="98" t="s">
        <v>144</v>
      </c>
      <c r="C2" s="99" t="s">
        <v>145</v>
      </c>
      <c r="D2" s="99" t="s">
        <v>146</v>
      </c>
      <c r="E2" s="99" t="s">
        <v>147</v>
      </c>
      <c r="F2" s="100" t="s">
        <v>148</v>
      </c>
      <c r="G2" s="100" t="s">
        <v>149</v>
      </c>
      <c r="H2" s="101" t="s">
        <v>150</v>
      </c>
      <c r="I2" s="101" t="s">
        <v>151</v>
      </c>
      <c r="J2" s="101" t="s">
        <v>152</v>
      </c>
      <c r="K2" s="102" t="s">
        <v>153</v>
      </c>
      <c r="L2" s="102" t="s">
        <v>154</v>
      </c>
      <c r="M2" s="103" t="s">
        <v>155</v>
      </c>
      <c r="N2" s="104" t="s">
        <v>156</v>
      </c>
      <c r="O2" s="105" t="s">
        <v>157</v>
      </c>
      <c r="W2" s="94" t="s">
        <v>148</v>
      </c>
    </row>
    <row r="3" spans="1:23" ht="50.25">
      <c r="A3" s="80">
        <v>1</v>
      </c>
      <c r="B3" s="106">
        <v>45498</v>
      </c>
      <c r="C3" s="183" t="s">
        <v>158</v>
      </c>
      <c r="D3" s="107" t="s">
        <v>159</v>
      </c>
      <c r="E3" s="108" t="s">
        <v>160</v>
      </c>
      <c r="F3" s="109" t="s">
        <v>161</v>
      </c>
      <c r="G3" s="110" t="s">
        <v>162</v>
      </c>
      <c r="H3" s="111" t="s">
        <v>163</v>
      </c>
      <c r="I3" s="111"/>
      <c r="J3" s="111"/>
      <c r="K3" s="111" t="s">
        <v>164</v>
      </c>
      <c r="L3" s="109" t="s">
        <v>165</v>
      </c>
      <c r="M3" s="109" t="s">
        <v>166</v>
      </c>
      <c r="N3" s="106">
        <v>45498</v>
      </c>
      <c r="O3" s="112"/>
      <c r="W3" s="93" t="s">
        <v>167</v>
      </c>
    </row>
    <row r="4" spans="1:23" ht="62.25">
      <c r="A4" s="80">
        <v>2</v>
      </c>
      <c r="B4" s="106">
        <v>45512</v>
      </c>
      <c r="C4" s="183" t="s">
        <v>168</v>
      </c>
      <c r="D4" s="107" t="s">
        <v>169</v>
      </c>
      <c r="E4" s="108" t="s">
        <v>160</v>
      </c>
      <c r="F4" s="109" t="s">
        <v>161</v>
      </c>
      <c r="G4" s="110" t="s">
        <v>170</v>
      </c>
      <c r="H4" s="111" t="s">
        <v>171</v>
      </c>
      <c r="I4" s="111" t="s">
        <v>172</v>
      </c>
      <c r="J4" s="111"/>
      <c r="K4" s="111" t="s">
        <v>164</v>
      </c>
      <c r="L4" s="109" t="s">
        <v>173</v>
      </c>
      <c r="M4" s="109" t="s">
        <v>166</v>
      </c>
      <c r="N4" s="106">
        <v>45512</v>
      </c>
      <c r="O4" s="112"/>
      <c r="W4" s="93" t="s">
        <v>161</v>
      </c>
    </row>
    <row r="5" spans="1:23" ht="50.25">
      <c r="A5" s="113">
        <v>3</v>
      </c>
      <c r="B5" s="106">
        <v>45526</v>
      </c>
      <c r="C5" s="183" t="s">
        <v>174</v>
      </c>
      <c r="D5" s="107" t="s">
        <v>175</v>
      </c>
      <c r="E5" s="108" t="s">
        <v>160</v>
      </c>
      <c r="F5" s="109" t="s">
        <v>161</v>
      </c>
      <c r="G5" s="110" t="s">
        <v>176</v>
      </c>
      <c r="H5" s="111" t="s">
        <v>177</v>
      </c>
      <c r="I5" s="111" t="s">
        <v>178</v>
      </c>
      <c r="J5" s="111"/>
      <c r="K5" s="111" t="s">
        <v>164</v>
      </c>
      <c r="L5" s="109" t="s">
        <v>179</v>
      </c>
      <c r="M5" s="109" t="s">
        <v>166</v>
      </c>
      <c r="N5" s="106">
        <v>45526</v>
      </c>
      <c r="O5" s="112"/>
    </row>
    <row r="6" spans="1:23" ht="50.25">
      <c r="A6" s="80">
        <v>4</v>
      </c>
      <c r="B6" s="106">
        <v>45540</v>
      </c>
      <c r="C6" s="183" t="s">
        <v>180</v>
      </c>
      <c r="D6" s="107" t="s">
        <v>181</v>
      </c>
      <c r="E6" s="108" t="s">
        <v>182</v>
      </c>
      <c r="F6" s="109" t="s">
        <v>161</v>
      </c>
      <c r="G6" s="110" t="s">
        <v>170</v>
      </c>
      <c r="H6" s="111" t="s">
        <v>183</v>
      </c>
      <c r="I6" s="111" t="s">
        <v>184</v>
      </c>
      <c r="J6" s="111" t="s">
        <v>185</v>
      </c>
      <c r="K6" s="111" t="s">
        <v>164</v>
      </c>
      <c r="L6" s="109" t="s">
        <v>186</v>
      </c>
      <c r="M6" s="109" t="s">
        <v>166</v>
      </c>
      <c r="N6" s="106">
        <v>45540</v>
      </c>
      <c r="O6" s="112"/>
    </row>
    <row r="7" spans="1:23" ht="37.5">
      <c r="A7" s="80">
        <v>5</v>
      </c>
      <c r="B7" s="81">
        <v>45554</v>
      </c>
      <c r="C7" s="184" t="s">
        <v>187</v>
      </c>
      <c r="D7" s="107" t="s">
        <v>188</v>
      </c>
      <c r="E7" s="108" t="s">
        <v>160</v>
      </c>
      <c r="F7" s="109" t="s">
        <v>161</v>
      </c>
      <c r="G7" s="110" t="s">
        <v>189</v>
      </c>
      <c r="H7" s="111" t="s">
        <v>185</v>
      </c>
      <c r="I7" s="111"/>
      <c r="J7" s="109"/>
      <c r="K7" s="111" t="s">
        <v>164</v>
      </c>
      <c r="L7" s="109" t="s">
        <v>190</v>
      </c>
      <c r="M7" s="109" t="s">
        <v>166</v>
      </c>
      <c r="N7" s="81">
        <v>45554</v>
      </c>
      <c r="O7" s="112"/>
    </row>
    <row r="8" spans="1:23" ht="37.5">
      <c r="A8" s="80">
        <v>6</v>
      </c>
      <c r="B8" s="81">
        <v>45568</v>
      </c>
      <c r="C8" s="184" t="s">
        <v>191</v>
      </c>
      <c r="D8" s="107" t="s">
        <v>192</v>
      </c>
      <c r="E8" s="108" t="s">
        <v>160</v>
      </c>
      <c r="F8" s="109" t="s">
        <v>161</v>
      </c>
      <c r="G8" s="110" t="s">
        <v>193</v>
      </c>
      <c r="H8" s="111" t="s">
        <v>194</v>
      </c>
      <c r="I8" s="111"/>
      <c r="J8" s="83"/>
      <c r="K8" s="111" t="s">
        <v>164</v>
      </c>
      <c r="L8" s="109" t="s">
        <v>186</v>
      </c>
      <c r="M8" s="109" t="s">
        <v>166</v>
      </c>
      <c r="N8" s="81">
        <v>45568</v>
      </c>
      <c r="O8" s="112"/>
    </row>
    <row r="9" spans="1:23" ht="50.25">
      <c r="A9" s="80">
        <v>7</v>
      </c>
      <c r="B9" s="81">
        <v>45582</v>
      </c>
      <c r="C9" s="184" t="s">
        <v>195</v>
      </c>
      <c r="D9" s="107" t="s">
        <v>188</v>
      </c>
      <c r="E9" s="108" t="s">
        <v>160</v>
      </c>
      <c r="F9" s="109" t="s">
        <v>161</v>
      </c>
      <c r="G9" s="110" t="s">
        <v>189</v>
      </c>
      <c r="H9" s="111" t="s">
        <v>196</v>
      </c>
      <c r="I9" s="83"/>
      <c r="J9" s="83"/>
      <c r="K9" s="111" t="s">
        <v>164</v>
      </c>
      <c r="L9" s="114" t="s">
        <v>197</v>
      </c>
      <c r="M9" s="109" t="s">
        <v>166</v>
      </c>
      <c r="N9" s="81">
        <v>45582</v>
      </c>
      <c r="O9" s="112"/>
    </row>
    <row r="10" spans="1:23" ht="37.5">
      <c r="A10" s="80">
        <v>8</v>
      </c>
      <c r="B10" s="81">
        <v>45596</v>
      </c>
      <c r="C10" s="184" t="s">
        <v>198</v>
      </c>
      <c r="D10" s="115" t="s">
        <v>199</v>
      </c>
      <c r="E10" s="108" t="s">
        <v>160</v>
      </c>
      <c r="F10" s="109" t="s">
        <v>161</v>
      </c>
      <c r="G10" s="115" t="s">
        <v>200</v>
      </c>
      <c r="H10" s="83" t="s">
        <v>201</v>
      </c>
      <c r="I10" s="83"/>
      <c r="J10" s="83"/>
      <c r="K10" s="111" t="s">
        <v>164</v>
      </c>
      <c r="L10" s="109" t="s">
        <v>179</v>
      </c>
      <c r="M10" s="109" t="s">
        <v>166</v>
      </c>
      <c r="N10" s="81">
        <v>45596</v>
      </c>
      <c r="O10" s="112"/>
    </row>
    <row r="11" spans="1:23" ht="37.5">
      <c r="A11" s="80">
        <v>9</v>
      </c>
      <c r="B11" s="106" t="s">
        <v>202</v>
      </c>
      <c r="C11" s="108" t="s">
        <v>203</v>
      </c>
      <c r="D11" s="107" t="s">
        <v>204</v>
      </c>
      <c r="E11" s="108" t="s">
        <v>182</v>
      </c>
      <c r="F11" s="109" t="s">
        <v>161</v>
      </c>
      <c r="G11" s="110" t="s">
        <v>205</v>
      </c>
      <c r="H11" s="111" t="s">
        <v>206</v>
      </c>
      <c r="I11" s="111" t="s">
        <v>207</v>
      </c>
      <c r="J11" s="111"/>
      <c r="K11" s="111" t="s">
        <v>164</v>
      </c>
      <c r="L11" s="114" t="s">
        <v>197</v>
      </c>
      <c r="M11" s="109" t="s">
        <v>166</v>
      </c>
      <c r="N11" s="81">
        <v>45610</v>
      </c>
      <c r="O11" s="111" t="s">
        <v>208</v>
      </c>
    </row>
    <row r="12" spans="1:23" s="91" customFormat="1" ht="62.25">
      <c r="A12" s="80">
        <v>10</v>
      </c>
      <c r="B12" s="81">
        <v>45638</v>
      </c>
      <c r="C12" s="83" t="s">
        <v>209</v>
      </c>
      <c r="D12" s="115" t="s">
        <v>210</v>
      </c>
      <c r="E12" s="83" t="s">
        <v>160</v>
      </c>
      <c r="F12" s="83" t="s">
        <v>161</v>
      </c>
      <c r="G12" s="83" t="s">
        <v>211</v>
      </c>
      <c r="H12" s="83" t="s">
        <v>212</v>
      </c>
      <c r="I12" s="83"/>
      <c r="J12" s="83"/>
      <c r="K12" s="116" t="s">
        <v>213</v>
      </c>
      <c r="L12" s="109" t="s">
        <v>214</v>
      </c>
      <c r="M12" s="109" t="s">
        <v>166</v>
      </c>
      <c r="N12" s="117">
        <v>45638</v>
      </c>
      <c r="O12" s="112"/>
    </row>
    <row r="13" spans="1:23" ht="69" customHeight="1">
      <c r="A13" s="118">
        <v>11</v>
      </c>
      <c r="B13" s="119">
        <v>45666</v>
      </c>
      <c r="C13" s="120" t="s">
        <v>215</v>
      </c>
      <c r="D13" s="120" t="s">
        <v>216</v>
      </c>
      <c r="E13" s="120" t="s">
        <v>182</v>
      </c>
      <c r="F13" s="120" t="s">
        <v>161</v>
      </c>
      <c r="G13" s="120" t="s">
        <v>217</v>
      </c>
      <c r="H13" s="83" t="s">
        <v>218</v>
      </c>
      <c r="I13" s="83" t="s">
        <v>219</v>
      </c>
      <c r="J13" s="120"/>
      <c r="K13" s="116" t="s">
        <v>220</v>
      </c>
      <c r="L13" s="109" t="s">
        <v>214</v>
      </c>
      <c r="M13" s="121" t="s">
        <v>166</v>
      </c>
      <c r="N13" s="122">
        <v>45680</v>
      </c>
      <c r="O13" s="123" t="s">
        <v>221</v>
      </c>
    </row>
    <row r="14" spans="1:23" ht="188.25">
      <c r="A14" s="124">
        <v>12</v>
      </c>
      <c r="B14" s="125">
        <v>45680</v>
      </c>
      <c r="C14" s="120" t="s">
        <v>222</v>
      </c>
      <c r="D14" s="109" t="s">
        <v>223</v>
      </c>
      <c r="E14" s="121" t="s">
        <v>182</v>
      </c>
      <c r="F14" s="121" t="s">
        <v>161</v>
      </c>
      <c r="G14" s="109" t="s">
        <v>224</v>
      </c>
      <c r="H14" s="109" t="s">
        <v>225</v>
      </c>
      <c r="I14" s="109" t="s">
        <v>226</v>
      </c>
      <c r="J14" s="109" t="s">
        <v>227</v>
      </c>
      <c r="K14" s="109" t="s">
        <v>228</v>
      </c>
      <c r="L14" s="109" t="s">
        <v>229</v>
      </c>
      <c r="M14" s="121" t="s">
        <v>166</v>
      </c>
      <c r="N14" s="125">
        <v>45680</v>
      </c>
      <c r="O14" s="126" t="s">
        <v>221</v>
      </c>
    </row>
    <row r="15" spans="1:23" ht="213.75">
      <c r="A15" s="118">
        <v>13</v>
      </c>
      <c r="B15" s="119">
        <v>45694</v>
      </c>
      <c r="C15" s="120" t="s">
        <v>230</v>
      </c>
      <c r="D15" s="120" t="s">
        <v>231</v>
      </c>
      <c r="E15" s="120" t="s">
        <v>182</v>
      </c>
      <c r="F15" s="120" t="s">
        <v>161</v>
      </c>
      <c r="G15" s="83" t="s">
        <v>232</v>
      </c>
      <c r="H15" s="83" t="s">
        <v>233</v>
      </c>
      <c r="I15" s="83" t="s">
        <v>234</v>
      </c>
      <c r="J15" s="120"/>
      <c r="K15" s="116" t="s">
        <v>235</v>
      </c>
      <c r="L15" s="109" t="s">
        <v>229</v>
      </c>
      <c r="M15" s="121" t="s">
        <v>166</v>
      </c>
      <c r="N15" s="119">
        <v>45694</v>
      </c>
      <c r="O15" s="123"/>
    </row>
    <row r="16" spans="1:23" ht="37.5">
      <c r="A16" s="118">
        <v>14</v>
      </c>
      <c r="B16" s="119">
        <v>45708</v>
      </c>
      <c r="C16" s="83" t="s">
        <v>100</v>
      </c>
      <c r="D16" s="120" t="s">
        <v>236</v>
      </c>
      <c r="E16" s="120" t="s">
        <v>182</v>
      </c>
      <c r="F16" s="120" t="s">
        <v>161</v>
      </c>
      <c r="G16" s="120" t="s">
        <v>236</v>
      </c>
      <c r="H16" s="83" t="s">
        <v>237</v>
      </c>
      <c r="I16" s="83" t="s">
        <v>238</v>
      </c>
      <c r="J16" s="120"/>
      <c r="K16" s="116" t="s">
        <v>239</v>
      </c>
      <c r="L16" s="109" t="s">
        <v>190</v>
      </c>
      <c r="M16" s="121" t="s">
        <v>166</v>
      </c>
      <c r="N16" s="119">
        <v>45708</v>
      </c>
      <c r="O16" s="123"/>
    </row>
    <row r="17" spans="1:15" ht="138">
      <c r="A17" s="118">
        <v>15</v>
      </c>
      <c r="B17" s="119">
        <v>45722</v>
      </c>
      <c r="C17" s="83" t="s">
        <v>240</v>
      </c>
      <c r="D17" s="120" t="s">
        <v>241</v>
      </c>
      <c r="E17" s="120" t="s">
        <v>160</v>
      </c>
      <c r="F17" s="120" t="s">
        <v>161</v>
      </c>
      <c r="G17" s="120" t="s">
        <v>176</v>
      </c>
      <c r="H17" s="83" t="s">
        <v>242</v>
      </c>
      <c r="I17" s="120"/>
      <c r="J17" s="120"/>
      <c r="K17" s="116" t="s">
        <v>243</v>
      </c>
      <c r="L17" s="109" t="s">
        <v>244</v>
      </c>
      <c r="M17" s="121" t="s">
        <v>166</v>
      </c>
      <c r="N17" s="119">
        <v>45722</v>
      </c>
      <c r="O17" s="123"/>
    </row>
    <row r="18" spans="1:15" s="82" customFormat="1" ht="75.75">
      <c r="A18" s="80">
        <v>16</v>
      </c>
      <c r="B18" s="81">
        <v>45736</v>
      </c>
      <c r="C18" s="185" t="s">
        <v>102</v>
      </c>
      <c r="D18" s="83" t="s">
        <v>245</v>
      </c>
      <c r="E18" s="83" t="s">
        <v>182</v>
      </c>
      <c r="F18" s="83" t="s">
        <v>161</v>
      </c>
      <c r="G18" s="83" t="s">
        <v>246</v>
      </c>
      <c r="H18" s="83" t="s">
        <v>247</v>
      </c>
      <c r="I18" s="83" t="s">
        <v>248</v>
      </c>
      <c r="J18" s="83" t="s">
        <v>249</v>
      </c>
      <c r="K18" s="83" t="s">
        <v>250</v>
      </c>
      <c r="L18" s="109" t="s">
        <v>244</v>
      </c>
      <c r="M18" s="121" t="s">
        <v>166</v>
      </c>
      <c r="N18" s="81">
        <v>45750</v>
      </c>
      <c r="O18" s="84" t="s">
        <v>251</v>
      </c>
    </row>
    <row r="19" spans="1:15" ht="62.25">
      <c r="A19" s="80">
        <v>17</v>
      </c>
      <c r="B19" s="81">
        <v>45750</v>
      </c>
      <c r="C19" s="185" t="s">
        <v>103</v>
      </c>
      <c r="D19" s="120" t="s">
        <v>252</v>
      </c>
      <c r="E19" s="120" t="s">
        <v>160</v>
      </c>
      <c r="F19" s="120" t="s">
        <v>161</v>
      </c>
      <c r="G19" s="120" t="s">
        <v>200</v>
      </c>
      <c r="H19" s="83" t="s">
        <v>253</v>
      </c>
      <c r="I19" s="120"/>
      <c r="J19" s="120"/>
      <c r="K19" s="83" t="s">
        <v>254</v>
      </c>
      <c r="L19" s="109" t="s">
        <v>244</v>
      </c>
      <c r="M19" s="121" t="s">
        <v>166</v>
      </c>
      <c r="N19" s="81">
        <v>45764</v>
      </c>
      <c r="O19" s="123"/>
    </row>
    <row r="20" spans="1:15" ht="37.5">
      <c r="A20" s="80">
        <v>18</v>
      </c>
      <c r="B20" s="81">
        <v>45764</v>
      </c>
      <c r="C20" s="185" t="s">
        <v>105</v>
      </c>
      <c r="D20" s="120" t="s">
        <v>255</v>
      </c>
      <c r="E20" s="120" t="s">
        <v>256</v>
      </c>
      <c r="F20" s="120" t="s">
        <v>161</v>
      </c>
      <c r="G20" s="120" t="s">
        <v>257</v>
      </c>
      <c r="H20" s="83" t="s">
        <v>258</v>
      </c>
      <c r="I20" s="83" t="s">
        <v>259</v>
      </c>
      <c r="J20" s="120"/>
      <c r="K20" s="83"/>
      <c r="L20" s="109" t="s">
        <v>244</v>
      </c>
      <c r="M20" s="121" t="s">
        <v>166</v>
      </c>
      <c r="N20" s="81">
        <v>45778</v>
      </c>
      <c r="O20" s="123"/>
    </row>
    <row r="21" spans="1:15" ht="62.25">
      <c r="A21" s="87">
        <v>19</v>
      </c>
      <c r="B21" s="81">
        <v>45778</v>
      </c>
      <c r="C21" s="185" t="s">
        <v>107</v>
      </c>
      <c r="D21" s="120" t="s">
        <v>260</v>
      </c>
      <c r="E21" s="120" t="s">
        <v>160</v>
      </c>
      <c r="F21" s="120" t="s">
        <v>161</v>
      </c>
      <c r="G21" s="120" t="s">
        <v>200</v>
      </c>
      <c r="H21" s="86" t="s">
        <v>261</v>
      </c>
      <c r="I21" s="86" t="s">
        <v>262</v>
      </c>
      <c r="J21" s="127"/>
      <c r="K21" s="86"/>
      <c r="L21" s="128" t="s">
        <v>263</v>
      </c>
      <c r="M21" s="129" t="s">
        <v>166</v>
      </c>
      <c r="N21" s="81">
        <v>45792</v>
      </c>
      <c r="O21" s="123"/>
    </row>
    <row r="22" spans="1:15" ht="62.25">
      <c r="A22" s="83">
        <v>20</v>
      </c>
      <c r="B22" s="85">
        <v>45792</v>
      </c>
      <c r="C22" s="185" t="s">
        <v>109</v>
      </c>
      <c r="D22" s="120" t="s">
        <v>264</v>
      </c>
      <c r="E22" s="120" t="s">
        <v>160</v>
      </c>
      <c r="F22" s="120" t="s">
        <v>161</v>
      </c>
      <c r="G22" s="130" t="s">
        <v>265</v>
      </c>
      <c r="H22" s="83" t="s">
        <v>266</v>
      </c>
      <c r="I22" s="83" t="s">
        <v>267</v>
      </c>
      <c r="J22" s="120"/>
      <c r="K22" s="83"/>
      <c r="L22" s="109" t="s">
        <v>268</v>
      </c>
      <c r="M22" s="121" t="s">
        <v>166</v>
      </c>
      <c r="N22" s="85">
        <v>45813</v>
      </c>
      <c r="O22" s="123"/>
    </row>
    <row r="23" spans="1:15" ht="75.75">
      <c r="A23" s="83">
        <v>21</v>
      </c>
      <c r="B23" s="85">
        <v>45792</v>
      </c>
      <c r="C23" s="185" t="s">
        <v>109</v>
      </c>
      <c r="D23" s="120" t="s">
        <v>269</v>
      </c>
      <c r="E23" s="120" t="s">
        <v>182</v>
      </c>
      <c r="F23" s="120" t="s">
        <v>161</v>
      </c>
      <c r="G23" s="130" t="s">
        <v>270</v>
      </c>
      <c r="H23" s="83" t="s">
        <v>271</v>
      </c>
      <c r="I23" s="83" t="s">
        <v>272</v>
      </c>
      <c r="J23" s="120"/>
      <c r="K23" s="83" t="s">
        <v>273</v>
      </c>
      <c r="L23" s="109" t="s">
        <v>268</v>
      </c>
      <c r="M23" s="121" t="s">
        <v>166</v>
      </c>
      <c r="N23" s="81">
        <v>45807</v>
      </c>
      <c r="O23" s="131"/>
    </row>
    <row r="24" spans="1:15" ht="113.25">
      <c r="A24" s="186">
        <v>22</v>
      </c>
      <c r="B24" s="88">
        <v>45806</v>
      </c>
      <c r="C24" s="187" t="s">
        <v>111</v>
      </c>
      <c r="D24" s="127" t="s">
        <v>255</v>
      </c>
      <c r="E24" s="127" t="s">
        <v>182</v>
      </c>
      <c r="F24" s="127" t="s">
        <v>161</v>
      </c>
      <c r="G24" s="132" t="s">
        <v>274</v>
      </c>
      <c r="H24" s="86" t="s">
        <v>275</v>
      </c>
      <c r="I24" s="86" t="s">
        <v>276</v>
      </c>
      <c r="J24" s="186"/>
      <c r="K24" s="86" t="s">
        <v>277</v>
      </c>
      <c r="L24" s="128" t="s">
        <v>179</v>
      </c>
      <c r="M24" s="129" t="s">
        <v>166</v>
      </c>
      <c r="N24" s="88">
        <v>45820</v>
      </c>
      <c r="O24" s="188"/>
    </row>
    <row r="25" spans="1:15" ht="62.25">
      <c r="A25" s="186">
        <v>23</v>
      </c>
      <c r="B25" s="90">
        <v>45904</v>
      </c>
      <c r="C25" s="189" t="s">
        <v>278</v>
      </c>
      <c r="D25" s="127" t="s">
        <v>279</v>
      </c>
      <c r="E25" s="127" t="s">
        <v>182</v>
      </c>
      <c r="F25" s="127" t="s">
        <v>161</v>
      </c>
      <c r="G25" s="127" t="s">
        <v>280</v>
      </c>
      <c r="H25" s="86" t="s">
        <v>281</v>
      </c>
      <c r="I25" s="86" t="s">
        <v>282</v>
      </c>
      <c r="J25" s="186"/>
      <c r="K25" s="86" t="s">
        <v>283</v>
      </c>
      <c r="L25" s="128" t="s">
        <v>284</v>
      </c>
      <c r="M25" s="129" t="s">
        <v>166</v>
      </c>
      <c r="N25" s="90">
        <v>45926</v>
      </c>
      <c r="O25" s="188"/>
    </row>
    <row r="26" spans="1:15" s="95" customFormat="1" ht="125.25">
      <c r="A26" s="83">
        <v>24</v>
      </c>
      <c r="B26" s="81">
        <v>45973</v>
      </c>
      <c r="C26" s="83" t="s">
        <v>285</v>
      </c>
      <c r="D26" s="116" t="s">
        <v>286</v>
      </c>
      <c r="E26" s="120" t="s">
        <v>256</v>
      </c>
      <c r="F26" s="120" t="s">
        <v>161</v>
      </c>
      <c r="G26" s="120" t="s">
        <v>287</v>
      </c>
      <c r="H26" s="115" t="s">
        <v>130</v>
      </c>
      <c r="I26" s="190"/>
      <c r="J26" s="190"/>
      <c r="K26" s="83" t="s">
        <v>288</v>
      </c>
      <c r="L26" s="109" t="s">
        <v>179</v>
      </c>
      <c r="M26" s="121" t="s">
        <v>289</v>
      </c>
      <c r="N26" s="125"/>
      <c r="O26" s="190"/>
    </row>
  </sheetData>
  <mergeCells count="1">
    <mergeCell ref="H1:J1"/>
  </mergeCells>
  <dataValidations count="1">
    <dataValidation type="list" allowBlank="1" showInputMessage="1" showErrorMessage="1" sqref="F3:F27" xr:uid="{6A8DD024-4FDC-479C-B450-E96CBBB7C8EB}">
      <formula1>$W$3:$W$10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7" sqref="C7"/>
    </sheetView>
  </sheetViews>
  <sheetFormatPr defaultColWidth="8.88671875" defaultRowHeight="12.95"/>
  <cols>
    <col min="1" max="1" width="17.5546875" style="7" customWidth="1"/>
    <col min="2" max="9" width="8.88671875" style="7"/>
    <col min="10" max="10" width="9.109375" style="7" customWidth="1"/>
    <col min="11" max="15" width="8.88671875" style="7"/>
    <col min="16" max="16" width="10.21875" style="7" bestFit="1" customWidth="1"/>
    <col min="17" max="16384" width="8.88671875" style="7"/>
  </cols>
  <sheetData>
    <row r="1" spans="1:16" ht="15.75">
      <c r="A1" s="57" t="s">
        <v>56</v>
      </c>
      <c r="B1" s="7" t="str">
        <f>_xlfn.XLOOKUP("Yes",Data!L1:L52,Data!A1:A52,0,0)</f>
        <v>2.1 Sprint 6 (Sep-20-2024 to Oct-3-2024)</v>
      </c>
      <c r="I1" s="245" t="s">
        <v>8</v>
      </c>
      <c r="J1" s="245"/>
      <c r="L1" s="7" t="s">
        <v>155</v>
      </c>
      <c r="N1" s="12"/>
      <c r="O1" s="13" t="s">
        <v>290</v>
      </c>
      <c r="P1" s="13" t="s">
        <v>291</v>
      </c>
    </row>
    <row r="2" spans="1:16" ht="15.75">
      <c r="A2" s="58" t="s">
        <v>51</v>
      </c>
      <c r="B2" s="40" t="s">
        <v>52</v>
      </c>
      <c r="C2" s="40" t="s">
        <v>53</v>
      </c>
      <c r="I2" s="4" t="s">
        <v>69</v>
      </c>
      <c r="J2" s="8">
        <v>1</v>
      </c>
      <c r="L2" s="7" t="s">
        <v>292</v>
      </c>
      <c r="N2" s="14" t="s">
        <v>293</v>
      </c>
      <c r="O2" s="13">
        <v>5</v>
      </c>
      <c r="P2" s="13"/>
    </row>
    <row r="3" spans="1:16" ht="12.75">
      <c r="A3" s="7" t="str">
        <f>Scorecard!A8</f>
        <v>Commitment Index</v>
      </c>
      <c r="B3" s="61">
        <f>VLOOKUP($B$1,Table_1[#All],4)</f>
        <v>1</v>
      </c>
      <c r="C3" s="8">
        <f>B3*'QualityMetrics-Definition'!D2</f>
        <v>0.25</v>
      </c>
      <c r="I3" s="4" t="s">
        <v>70</v>
      </c>
      <c r="J3" s="8">
        <v>0.9</v>
      </c>
      <c r="L3" s="7" t="s">
        <v>57</v>
      </c>
      <c r="N3" s="15" t="s">
        <v>294</v>
      </c>
      <c r="O3" s="13">
        <v>10</v>
      </c>
      <c r="P3" s="13">
        <v>15</v>
      </c>
    </row>
    <row r="4" spans="1:16" ht="12.75">
      <c r="A4" s="7" t="str">
        <f>Scorecard!A9</f>
        <v>Velocity</v>
      </c>
      <c r="B4" s="60" t="str">
        <f>IF((VLOOKUP($B$1,Table_1[#Data],5)/Data!AK27)&gt;1,"100%",(VLOOKUP($B$1,Table_1[#Data],5)/Data!AK27))</f>
        <v>100%</v>
      </c>
      <c r="C4" s="8">
        <f>B4*'QualityMetrics-Definition'!D3</f>
        <v>0.2</v>
      </c>
      <c r="I4" s="4" t="s">
        <v>71</v>
      </c>
      <c r="J4" s="8">
        <v>0.8</v>
      </c>
      <c r="L4" s="7" t="s">
        <v>295</v>
      </c>
      <c r="N4" s="16" t="s">
        <v>296</v>
      </c>
      <c r="O4" s="13">
        <v>15</v>
      </c>
      <c r="P4" s="13">
        <v>20</v>
      </c>
    </row>
    <row r="5" spans="1:16" ht="12.75">
      <c r="A5" s="7" t="str">
        <f>Scorecard!A10</f>
        <v>Defect-free Rate</v>
      </c>
      <c r="B5" s="60">
        <f>1-IFERROR((VLOOKUP($B$1,Table_1[],9)+VLOOKUP($B$1,Table_1[],10))/VLOOKUP($B$1,Table_1[],5),0)</f>
        <v>0.59259259259259256</v>
      </c>
      <c r="C5" s="8">
        <f>(B5)*'QualityMetrics-Definition'!D4</f>
        <v>0.11851851851851852</v>
      </c>
      <c r="E5" s="59"/>
      <c r="L5" s="7" t="s">
        <v>297</v>
      </c>
      <c r="N5" s="17" t="s">
        <v>298</v>
      </c>
      <c r="O5" s="13"/>
      <c r="P5" s="13">
        <v>25</v>
      </c>
    </row>
    <row r="6" spans="1:16" ht="12.75">
      <c r="A6" s="7" t="str">
        <f>Scorecard!A11</f>
        <v>Code Quality Index</v>
      </c>
      <c r="B6" s="60">
        <f>1-(VLOOKUP($B$1,Table_1[],7)+VLOOKUP($B$1,Table_1[],8))/VLOOKUP($B$1,Table_1[],3)</f>
        <v>1</v>
      </c>
      <c r="C6" s="8">
        <f>(B6)*'QualityMetrics-Definition'!D5</f>
        <v>0.15</v>
      </c>
      <c r="I6" s="245" t="s">
        <v>13</v>
      </c>
      <c r="J6" s="245"/>
    </row>
    <row r="7" spans="1:16" ht="12.75">
      <c r="A7" s="7" t="str">
        <f>Scorecard!A12</f>
        <v>Unit Testing &amp; Code Coverage</v>
      </c>
      <c r="B7" s="60">
        <f>VLOOKUP($B$1,Table_1[],6)</f>
        <v>1</v>
      </c>
      <c r="C7" s="8">
        <f>B7*'QualityMetrics-Definition'!D6</f>
        <v>0.1</v>
      </c>
      <c r="I7" s="4" t="s">
        <v>69</v>
      </c>
      <c r="J7" s="9">
        <v>20</v>
      </c>
    </row>
    <row r="8" spans="1:16">
      <c r="A8" s="7" t="str">
        <f>Scorecard!A13</f>
        <v>Backlog Health</v>
      </c>
      <c r="B8" s="60">
        <f>IF((VLOOKUP($B$1,Table_1[#All],11)/Data!K2)&gt;1,"100%",(VLOOKUP($B$1,Table_1[#All],11)/Data!K2))</f>
        <v>1</v>
      </c>
      <c r="C8" s="8">
        <f>B8*'QualityMetrics-Definition'!D7</f>
        <v>0.1</v>
      </c>
    </row>
    <row r="9" spans="1:16" ht="12.75">
      <c r="B9" s="60"/>
      <c r="I9" s="245" t="s">
        <v>59</v>
      </c>
      <c r="J9" s="245"/>
    </row>
    <row r="10" spans="1:16" ht="12.75">
      <c r="I10" s="4" t="s">
        <v>69</v>
      </c>
      <c r="J10" s="8">
        <v>0.9</v>
      </c>
    </row>
    <row r="21" spans="9:16" ht="12.75">
      <c r="I21" s="10" t="s">
        <v>299</v>
      </c>
      <c r="J21" s="10"/>
      <c r="L21" s="244" t="s">
        <v>300</v>
      </c>
      <c r="M21" s="244"/>
      <c r="O21" s="10" t="s">
        <v>301</v>
      </c>
      <c r="P21" s="10"/>
    </row>
    <row r="22" spans="9:16" ht="12.75">
      <c r="I22" s="10" t="s">
        <v>293</v>
      </c>
      <c r="J22" s="10">
        <v>15</v>
      </c>
      <c r="L22" s="11" t="s">
        <v>302</v>
      </c>
      <c r="M22" s="11" t="s">
        <v>303</v>
      </c>
      <c r="O22" s="10" t="s">
        <v>304</v>
      </c>
      <c r="P22" s="10">
        <f>VLOOKUP(Scorecard!B5,Table_1[#All],11)</f>
        <v>30</v>
      </c>
    </row>
    <row r="23" spans="9:16" ht="12.75">
      <c r="I23" s="10" t="s">
        <v>294</v>
      </c>
      <c r="J23" s="10">
        <v>20</v>
      </c>
      <c r="L23" s="11">
        <v>5</v>
      </c>
      <c r="M23" s="11">
        <v>10</v>
      </c>
      <c r="O23" s="10" t="s">
        <v>305</v>
      </c>
      <c r="P23" s="10">
        <v>1</v>
      </c>
    </row>
    <row r="24" spans="9:16" ht="12.75">
      <c r="I24" s="10" t="s">
        <v>296</v>
      </c>
      <c r="J24" s="10">
        <v>25</v>
      </c>
      <c r="L24" s="11">
        <v>10</v>
      </c>
      <c r="M24" s="11">
        <v>10</v>
      </c>
      <c r="O24" s="10" t="s">
        <v>306</v>
      </c>
      <c r="P24" s="10">
        <v>30</v>
      </c>
    </row>
    <row r="25" spans="9:16" ht="12.75">
      <c r="I25" s="10" t="s">
        <v>298</v>
      </c>
      <c r="J25" s="10">
        <v>30</v>
      </c>
      <c r="L25" s="11">
        <v>15</v>
      </c>
      <c r="M25" s="11">
        <v>10</v>
      </c>
    </row>
    <row r="26" spans="9:16" ht="12.75">
      <c r="I26" s="10" t="s">
        <v>307</v>
      </c>
      <c r="J26" s="10">
        <f>SUM(J22:J25)</f>
        <v>90</v>
      </c>
      <c r="L26" s="11">
        <v>20</v>
      </c>
      <c r="M26" s="11">
        <v>10</v>
      </c>
    </row>
    <row r="27" spans="9:16" ht="12.75">
      <c r="L27" s="11">
        <v>25</v>
      </c>
      <c r="M27" s="11">
        <v>10</v>
      </c>
    </row>
    <row r="28" spans="9:16" ht="12.75">
      <c r="L28" s="11"/>
      <c r="M28" s="11">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95"/>
  <cols>
    <col min="2" max="2" width="42.6640625" customWidth="1"/>
    <col min="3" max="3" width="53" customWidth="1"/>
  </cols>
  <sheetData>
    <row r="1" spans="1:3" ht="30.95">
      <c r="A1" s="246" t="s">
        <v>308</v>
      </c>
      <c r="B1" s="246"/>
      <c r="C1" s="246"/>
    </row>
    <row r="2" spans="1:3">
      <c r="A2" s="247" t="s">
        <v>309</v>
      </c>
      <c r="B2" s="248"/>
      <c r="C2" s="248"/>
    </row>
    <row r="3" spans="1:3">
      <c r="A3" s="248"/>
      <c r="B3" s="248"/>
      <c r="C3" s="248"/>
    </row>
    <row r="4" spans="1:3">
      <c r="A4" s="248"/>
      <c r="B4" s="248"/>
      <c r="C4" s="248"/>
    </row>
    <row r="5" spans="1:3">
      <c r="A5" s="248"/>
      <c r="B5" s="248"/>
      <c r="C5" s="248"/>
    </row>
    <row r="6" spans="1:3">
      <c r="A6" s="248"/>
      <c r="B6" s="248"/>
      <c r="C6" s="248"/>
    </row>
    <row r="7" spans="1:3">
      <c r="A7" s="248"/>
      <c r="B7" s="248"/>
      <c r="C7" s="248"/>
    </row>
    <row r="8" spans="1:3">
      <c r="A8" s="248"/>
      <c r="B8" s="248"/>
      <c r="C8" s="248"/>
    </row>
    <row r="9" spans="1:3">
      <c r="A9" s="248"/>
      <c r="B9" s="248"/>
      <c r="C9" s="248"/>
    </row>
    <row r="10" spans="1:3">
      <c r="A10" s="248"/>
      <c r="B10" s="248"/>
      <c r="C10" s="248"/>
    </row>
    <row r="11" spans="1:3">
      <c r="A11" s="248"/>
      <c r="B11" s="248"/>
      <c r="C11" s="248"/>
    </row>
    <row r="12" spans="1:3">
      <c r="A12" s="248"/>
      <c r="B12" s="248"/>
      <c r="C12" s="248"/>
    </row>
    <row r="13" spans="1:3">
      <c r="A13" s="248"/>
      <c r="B13" s="248"/>
      <c r="C13" s="248"/>
    </row>
    <row r="14" spans="1:3">
      <c r="A14" s="248"/>
      <c r="B14" s="248"/>
      <c r="C14" s="248"/>
    </row>
    <row r="15" spans="1:3">
      <c r="A15" s="248"/>
      <c r="B15" s="248"/>
      <c r="C15" s="248"/>
    </row>
    <row r="16" spans="1:3">
      <c r="A16" s="248"/>
      <c r="B16" s="248"/>
      <c r="C16" s="248"/>
    </row>
  </sheetData>
  <mergeCells count="2">
    <mergeCell ref="A1:C1"/>
    <mergeCell ref="A2:C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Bavithra Arasakumaran</cp:lastModifiedBy>
  <cp:revision/>
  <dcterms:created xsi:type="dcterms:W3CDTF">2023-11-20T18:07:28Z</dcterms:created>
  <dcterms:modified xsi:type="dcterms:W3CDTF">2026-05-15T13:12:41Z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2025-03-21T14:37:46Z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b3e77749-3482-46c2-8fc3-7b26287dc987</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