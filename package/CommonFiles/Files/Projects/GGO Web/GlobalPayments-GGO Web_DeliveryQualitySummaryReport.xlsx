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hidePivotFieldList="1"/>
  <mc:AlternateContent xmlns:mc="http://schemas.openxmlformats.org/markup-compatibility/2006">
    <mc:Choice Requires="x15">
      <x15ac:absPath xmlns:x15ac="http://schemas.microsoft.com/office/spreadsheetml/2010/11/ac" url="C:\Users\mathanrajr\OneDrive - Relevantz\GP_Metrics\Latest Version - Apr 2024\GGO Web\"/>
    </mc:Choice>
  </mc:AlternateContent>
  <xr:revisionPtr revIDLastSave="2643" documentId="13_ncr:1_{DE2116F0-9315-4F5F-AC7B-7B76C1CE8A1F}" xr6:coauthVersionLast="47" xr6:coauthVersionMax="47" xr10:uidLastSave="{06011602-8236-4C93-BA91-9F75E71D33C3}"/>
  <bookViews>
    <workbookView xWindow="0" yWindow="0" windowWidth="19200" windowHeight="6930" firstSheet="2" activeTab="2" xr2:uid="{00000000-000D-0000-FFFF-FFFF00000000}"/>
  </bookViews>
  <sheets>
    <sheet name="Dashboard" sheetId="1" r:id="rId1"/>
    <sheet name="Scorecard" sheetId="6" r:id="rId2"/>
    <sheet name="Data" sheetId="2" r:id="rId3"/>
    <sheet name="RCA" sheetId="8" r:id="rId4"/>
    <sheet name="QualityMetrics-Definition" sheetId="4" r:id="rId5"/>
    <sheet name="Config" sheetId="5" r:id="rId6"/>
    <sheet name="Instructions" sheetId="7" state="hidden" r:id="rId7"/>
  </sheets>
  <definedNames>
    <definedName name="_xlnm._FilterDatabase" localSheetId="2" hidden="1">Data!$R$1:$X$8</definedName>
    <definedName name="Status">Config!$L$2:$L$5</definedName>
    <definedName name="Z_3662FBDA_518E_4D58_A85F_B943BC586F75_.wvu.FilterData" localSheetId="0" hidden="1">Dashboard!$G$12</definedName>
    <definedName name="Z_3662FBDA_518E_4D58_A85F_B943BC586F75_.wvu.FilterData" localSheetId="2" hidden="1">Data!$A$1:$K$44</definedName>
  </definedNames>
  <calcPr calcId="191028"/>
  <customWorkbookViews>
    <customWorkbookView name="Filter 1" guid="{3662FBDA-518E-4D58-A85F-B943BC586F75}"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5" i="2" l="1"/>
  <c r="E55" i="2"/>
  <c r="D54" i="2"/>
  <c r="E54" i="2"/>
  <c r="D53" i="2"/>
  <c r="E53" i="2"/>
  <c r="D52" i="2"/>
  <c r="E52" i="2"/>
  <c r="B11" i="6"/>
  <c r="B10" i="6"/>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D51" i="2"/>
  <c r="D50" i="2"/>
  <c r="D49" i="2"/>
  <c r="D48" i="2"/>
  <c r="D47" i="2"/>
  <c r="D46" i="2"/>
  <c r="D45" i="2"/>
  <c r="D44" i="2"/>
  <c r="B8" i="6" s="1"/>
  <c r="D43" i="2"/>
  <c r="D42" i="2"/>
  <c r="D41" i="2"/>
  <c r="D40" i="2"/>
  <c r="D39" i="2"/>
  <c r="D8" i="6"/>
  <c r="D38" i="2"/>
  <c r="D37" i="2"/>
  <c r="D36" i="2"/>
  <c r="D35" i="2"/>
  <c r="D34" i="2"/>
  <c r="D33" i="2"/>
  <c r="D32" i="2"/>
  <c r="D31" i="2"/>
  <c r="D30" i="2"/>
  <c r="AM29" i="2"/>
  <c r="AK29" i="2"/>
  <c r="AI29" i="2"/>
  <c r="AH29" i="2"/>
  <c r="AG29" i="2"/>
  <c r="D29" i="2"/>
  <c r="D28" i="2"/>
  <c r="D27" i="2"/>
  <c r="D26" i="2"/>
  <c r="D25" i="2"/>
  <c r="D22" i="2"/>
  <c r="D24" i="2"/>
  <c r="D10" i="4"/>
  <c r="C10" i="4"/>
  <c r="D23" i="2"/>
  <c r="B12" i="6"/>
  <c r="B13" i="6"/>
  <c r="D21" i="2"/>
  <c r="D20" i="2"/>
  <c r="D19" i="2"/>
  <c r="D18" i="2"/>
  <c r="D17" i="2"/>
  <c r="D16" i="2"/>
  <c r="D13" i="2"/>
  <c r="D14" i="2"/>
  <c r="D15" i="2"/>
  <c r="D3" i="2"/>
  <c r="D4" i="2"/>
  <c r="D5" i="2"/>
  <c r="D6" i="2"/>
  <c r="D7" i="2"/>
  <c r="D8" i="2"/>
  <c r="D9" i="2"/>
  <c r="D10" i="2"/>
  <c r="D11" i="2"/>
  <c r="D12" i="2"/>
  <c r="D2" i="2"/>
  <c r="C11" i="6"/>
  <c r="C10" i="6"/>
  <c r="B1" i="5"/>
  <c r="C1" i="5"/>
  <c r="A4" i="5"/>
  <c r="A5" i="5"/>
  <c r="A6" i="5"/>
  <c r="A7" i="5"/>
  <c r="A8" i="5"/>
  <c r="A3" i="5"/>
  <c r="B6" i="5" l="1"/>
  <c r="C6" i="5" s="1"/>
  <c r="B5" i="5"/>
  <c r="C5" i="5" s="1"/>
  <c r="B8" i="5"/>
  <c r="C8" i="5" s="1"/>
  <c r="B7" i="5"/>
  <c r="C7" i="5" s="1"/>
  <c r="B3" i="5"/>
  <c r="C3" i="5" s="1"/>
  <c r="C13" i="6"/>
  <c r="AM39" i="2" l="1"/>
  <c r="AM38" i="2"/>
  <c r="AM37" i="2"/>
  <c r="AM36" i="2"/>
  <c r="AM35" i="2"/>
  <c r="AM34" i="2"/>
  <c r="AM33" i="2"/>
  <c r="AM32" i="2"/>
  <c r="AM31" i="2"/>
  <c r="AM30" i="2"/>
  <c r="AM28" i="2"/>
  <c r="AM27" i="2"/>
  <c r="AM23" i="2"/>
  <c r="AK39" i="2"/>
  <c r="AK38" i="2"/>
  <c r="AK37" i="2"/>
  <c r="B4" i="5" s="1"/>
  <c r="C4" i="5" s="1"/>
  <c r="AK36" i="2"/>
  <c r="AK35" i="2"/>
  <c r="AK34" i="2"/>
  <c r="AK33" i="2"/>
  <c r="AK32" i="2"/>
  <c r="AK31" i="2"/>
  <c r="AK30" i="2"/>
  <c r="AK28" i="2"/>
  <c r="AK27" i="2"/>
  <c r="AK23" i="2"/>
  <c r="AI39" i="2"/>
  <c r="AH39" i="2"/>
  <c r="AG39" i="2"/>
  <c r="AI38" i="2"/>
  <c r="AH38" i="2"/>
  <c r="AG38" i="2"/>
  <c r="AI37" i="2"/>
  <c r="AH37" i="2"/>
  <c r="AG37" i="2"/>
  <c r="AI36" i="2"/>
  <c r="AH36" i="2"/>
  <c r="AG36" i="2"/>
  <c r="AI35" i="2"/>
  <c r="AH35" i="2"/>
  <c r="AG35" i="2"/>
  <c r="AI34" i="2"/>
  <c r="AH34" i="2"/>
  <c r="AG34" i="2"/>
  <c r="AI33" i="2"/>
  <c r="AH33" i="2"/>
  <c r="AG33" i="2"/>
  <c r="AI32" i="2"/>
  <c r="AH32" i="2"/>
  <c r="AG32" i="2"/>
  <c r="AI31" i="2"/>
  <c r="AH31" i="2"/>
  <c r="AG31" i="2"/>
  <c r="AI30" i="2"/>
  <c r="AH30" i="2"/>
  <c r="AG30" i="2"/>
  <c r="AI28" i="2"/>
  <c r="AH28" i="2"/>
  <c r="AG28" i="2"/>
  <c r="AI27" i="2"/>
  <c r="AH27" i="2"/>
  <c r="AG27" i="2"/>
  <c r="AI23" i="2"/>
  <c r="AH23" i="2"/>
  <c r="AG23" i="2"/>
  <c r="AM15" i="2"/>
  <c r="AM14" i="2"/>
  <c r="AM13" i="2"/>
  <c r="AM12" i="2"/>
  <c r="AM11" i="2"/>
  <c r="AM10" i="2"/>
  <c r="AM9" i="2"/>
  <c r="AK15" i="2"/>
  <c r="AK14" i="2"/>
  <c r="AK13" i="2"/>
  <c r="AK12" i="2"/>
  <c r="AK11" i="2"/>
  <c r="AK10" i="2"/>
  <c r="AK9" i="2"/>
  <c r="AK7" i="2"/>
  <c r="AK6" i="2"/>
  <c r="AK5" i="2"/>
  <c r="AK4" i="2"/>
  <c r="AK3" i="2"/>
  <c r="AM7" i="2"/>
  <c r="AM6" i="2"/>
  <c r="AM5" i="2"/>
  <c r="AM4" i="2"/>
  <c r="AM3" i="2"/>
  <c r="AI7" i="2"/>
  <c r="AH7" i="2"/>
  <c r="AG7" i="2"/>
  <c r="AI6" i="2"/>
  <c r="AH6" i="2"/>
  <c r="AG6" i="2"/>
  <c r="AI5" i="2"/>
  <c r="AH5" i="2"/>
  <c r="AG5" i="2"/>
  <c r="AI4" i="2"/>
  <c r="AH4" i="2"/>
  <c r="AG4" i="2"/>
  <c r="AI3" i="2"/>
  <c r="AH3" i="2"/>
  <c r="AG3" i="2"/>
  <c r="B9" i="6" l="1"/>
  <c r="C9" i="6" s="1"/>
  <c r="AM2" i="2" l="1"/>
  <c r="AK2" i="2"/>
  <c r="AI2" i="2"/>
  <c r="AH2" i="2"/>
  <c r="AG2" i="2"/>
  <c r="P22" i="5" l="1"/>
  <c r="M28" i="5"/>
  <c r="J26" i="5"/>
  <c r="AM8" i="2"/>
  <c r="AK8" i="2"/>
  <c r="AI15" i="2"/>
  <c r="AI14" i="2"/>
  <c r="AI13" i="2"/>
  <c r="AI12" i="2"/>
  <c r="AI11" i="2"/>
  <c r="AI10" i="2"/>
  <c r="AI9" i="2"/>
  <c r="AI8" i="2"/>
  <c r="AH15" i="2"/>
  <c r="AH14" i="2"/>
  <c r="AH13" i="2"/>
  <c r="AH12" i="2"/>
  <c r="AH11" i="2"/>
  <c r="AH10" i="2"/>
  <c r="AH9" i="2"/>
  <c r="AH8" i="2"/>
  <c r="AG15" i="2"/>
  <c r="AG14" i="2"/>
  <c r="AG13" i="2"/>
  <c r="AG12" i="2"/>
  <c r="AG11" i="2"/>
  <c r="AG10" i="2"/>
  <c r="AG9" i="2"/>
  <c r="AG8" i="2"/>
  <c r="C12" i="6"/>
  <c r="C8" i="6" l="1"/>
  <c r="B3"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Vijaya Raghavan Rajasekar</author>
  </authors>
  <commentList>
    <comment ref="D7" authorId="0" shapeId="0" xr:uid="{4A4A475A-6C9D-4E2E-931C-70874BA622AC}">
      <text>
        <r>
          <rPr>
            <sz val="10"/>
            <color rgb="FF000000"/>
            <rFont val="Georgia"/>
            <family val="1"/>
            <scheme val="minor"/>
          </rPr>
          <t xml:space="preserve">Incase of any Non-Compliance, Root-cause must be available.
</t>
        </r>
      </text>
    </comment>
  </commentList>
</comments>
</file>

<file path=xl/sharedStrings.xml><?xml version="1.0" encoding="utf-8"?>
<sst xmlns="http://schemas.openxmlformats.org/spreadsheetml/2006/main" count="662" uniqueCount="355">
  <si>
    <t>BOH</t>
  </si>
  <si>
    <t>Project Name</t>
  </si>
  <si>
    <t>GGO Web</t>
  </si>
  <si>
    <t>Engagement Model</t>
  </si>
  <si>
    <t>Relevantz Co Owned</t>
  </si>
  <si>
    <t>Overall Score</t>
  </si>
  <si>
    <t>Current Sprint</t>
  </si>
  <si>
    <t>GGO 8.4.0 Sprint 2 (16-Apr-2026 to 30-Apr-2026)</t>
  </si>
  <si>
    <t>Metrics</t>
  </si>
  <si>
    <t>UnWeighted</t>
  </si>
  <si>
    <t>Weighted</t>
  </si>
  <si>
    <t>Notes</t>
  </si>
  <si>
    <t>Target</t>
  </si>
  <si>
    <t>Commitment Index</t>
  </si>
  <si>
    <t>Velocity</t>
  </si>
  <si>
    <t>Defect-free Rate</t>
  </si>
  <si>
    <t>Code Quality Index</t>
  </si>
  <si>
    <t>Unit Testing</t>
  </si>
  <si>
    <t>Backlog Health</t>
  </si>
  <si>
    <t>Sprint</t>
  </si>
  <si>
    <t>Committed</t>
  </si>
  <si>
    <t>Delivered</t>
  </si>
  <si>
    <t>Code Coverage</t>
  </si>
  <si>
    <t>Code Review Comments - Internal</t>
  </si>
  <si>
    <t>Code Review Comments - External</t>
  </si>
  <si>
    <t>QA Defects</t>
  </si>
  <si>
    <t>Escaped Defects</t>
  </si>
  <si>
    <t>Last Sprint?</t>
  </si>
  <si>
    <t>Planned Leaves</t>
  </si>
  <si>
    <t>Availed Leaves</t>
  </si>
  <si>
    <t>Remarks</t>
  </si>
  <si>
    <t>CommitmentIndex</t>
  </si>
  <si>
    <t>Goal</t>
  </si>
  <si>
    <t>Risk</t>
  </si>
  <si>
    <t>Issue</t>
  </si>
  <si>
    <t>7.17.0 Sprint 1 (22-Mar-2024 to 4-Apr-2024)</t>
  </si>
  <si>
    <t>No</t>
  </si>
  <si>
    <t>1 story got carried. Development completed and testing inprogress. Required Salesforce client team support for QA.</t>
  </si>
  <si>
    <t>7.17.0 Sprint 2 (05-Apr -2024 to 18-Apr-2024)</t>
  </si>
  <si>
    <t>The scope of 1 carried story is only for testing and verified from our end in QA environment. Few scenarios having client dependancy to test in PAPI environment.</t>
  </si>
  <si>
    <t>7.17.0 Sprint 3 (19-Apr-2024 to 02-May-2024)</t>
  </si>
  <si>
    <t>2 stories got carried. 1. Due to salesforce team confirmed they can't do any changes. 2. Onshore Testing is pending</t>
  </si>
  <si>
    <t>7.17.0 Sprint 4 (03-May -2024 to 16-May-2024)</t>
  </si>
  <si>
    <t>3 stories got carried.</t>
  </si>
  <si>
    <t>7.18.0 Sprint 1 (17-May-2024 to 30-May-2024)</t>
  </si>
  <si>
    <t>7.18.0 Sprint 2 (31-May-2024 to 13-Jun-2024)</t>
  </si>
  <si>
    <t>7.18.0 Sprint 3 (14-Jun-2024 to 27-Jun-2024)</t>
  </si>
  <si>
    <t>7.18.0 Sprint 4 (28-Jun-2024 to 11-Jul-2024)</t>
  </si>
  <si>
    <t>7.19.0 Sprint 1 (12-Jul-2024 to 25-Jul-2024)</t>
  </si>
  <si>
    <t>7.19.0 Sprint 2 (26-Jul-2024 to 07-Aug-2024)</t>
  </si>
  <si>
    <t>7.19.0 Sprint 3 (08-Aug-2024 to 22-Aug-2024)</t>
  </si>
  <si>
    <t>7.19.0 Sprint 4 (23-Aug-2024 to 5-Sep-2024)</t>
  </si>
  <si>
    <t>Automation Regression story got carried over as it was new  for Offshore QA and there was some learning curve involved.</t>
  </si>
  <si>
    <t>7.20.0 Sprint 1 (5-Sep-2024 to 19-Sep-2024)</t>
  </si>
  <si>
    <t>1 story got carried over to next sprint. Development and testing completed
from our end, but onsite QA testing pending.</t>
  </si>
  <si>
    <t>7.20.0 Sprint 2 (19-Sep-2024 to 3-Oct-2024)</t>
  </si>
  <si>
    <t>GGO-14067 got carried, We are migrating Bid-03 report to new RDLC framework, there is lot of existing logic present in RPT file. we need to exactly replicate same logic in SQL stored procedure for new RDLC format.understanding .rpt file logic is complication involved</t>
  </si>
  <si>
    <t>7.20.0 Sprint 3 (3-Oct -2024 to 17-Oct-2024)</t>
  </si>
  <si>
    <t>Bid-03 report has a lot of functionalities and turned out to be more complex than planned</t>
  </si>
  <si>
    <t>7.20.0 Sprint 4 (17-Oct-2024 to 31-Oct-2024)</t>
  </si>
  <si>
    <t>Bid-03 report, Getting Timeout issue for large records</t>
  </si>
  <si>
    <t>7.21.0 Sprint 1 (31-Oct-2024 to 14-Nov-2024)</t>
  </si>
  <si>
    <t>Onsite QA testing pending, development was completed on time</t>
  </si>
  <si>
    <t>7.21.0 Sprint 2(14-Nov-2024 to 25-Nov-2024)</t>
  </si>
  <si>
    <t>Azure CRT testing is blocked because  of Azure image access issue and a ticket with Microsoft  has been opened</t>
  </si>
  <si>
    <t>7.21.0 Sprint 3 (25-Nov-2024 to 12-Dec-2024)</t>
  </si>
  <si>
    <t>GGO 7.21.0 Sprint 4 (12-Dec -2024 to 9-Jan-2025)</t>
  </si>
  <si>
    <t>GGO-14427 - BID-06 - Part-3 story is a huge effort, this has got more than 100 scenario's, so it took more time for testing left out with 2 bugs at the end of sprint (development done for the bugs) only testing pending.</t>
  </si>
  <si>
    <t>GGO 7.22.0 Sprint 1 (9-Jan-2025 to 23-Jan-2025)</t>
  </si>
  <si>
    <t>GGO-14422, PAPI-789 - Development and Testing completed from our end, Pending testing from Nate (Onsite QA) because he was focusing more in CRT regression.
GGO-14447 - Automation story completed from our end, pending review from Nate
GGO-14450 - A.C change one day prior to Sprint end date, so it got carry forward to next sprint</t>
  </si>
  <si>
    <t>GGO 7.22.0 Sprint 2 (23-Jan-2025 to 6-Feb-2025)</t>
  </si>
  <si>
    <t>Testing is pending by Onsite QA and we completed the stories (GGO-14503, GGO-14450) and deployed to TST 2 days prior Sprint end, that's the reason these stories got rolled over to next sprint.</t>
  </si>
  <si>
    <t>GGO 7.22.0 Sprint 3 (6-Feb-2025 to 20-Feb-2025)</t>
  </si>
  <si>
    <t>2 stories got carried over
GGO-14504 - The story was given Onisite QA for testing 3 days before the end of Sprint but  Onsite QA logged bug on the last day of Thesprint. It was fixed  and deployed before sprint prep, QA didn't get time to complete it.
GGO-14070 - Development  took a lot of time and got completed only on 1 day before Sprint end, the offshore QA logged a minor bug on the last day of sprint, fixed the bug and PR created for review. (Saranya worked on the RDLC report for the first time and there was a learning curve involved which took time)</t>
  </si>
  <si>
    <t>GGO 7.22.0 Sprint  4 (20-Feb-2025 to 6-Mar-2025)</t>
  </si>
  <si>
    <t>1 Story GGO-14510 - Bootstrap update  got rolled over- Development and Testing from Offshore got completed, the automation flow broken with this bootstrap update, so Nate created a automation change ticket under this story and this got carry forwarded to next sprint.</t>
  </si>
  <si>
    <t>GGO 7.23.0 Sprint 1 (6-Mar-2025 to 20-Mar-2025)</t>
  </si>
  <si>
    <t>All planned stories completed</t>
  </si>
  <si>
    <t>GGO 7.23.0 Sprint 2 (20-Mar-2025 to 3-Apr-2025)</t>
  </si>
  <si>
    <r>
      <rPr>
        <sz val="10"/>
        <color rgb="FF585858"/>
        <rFont val="Calibri"/>
      </rPr>
      <t>2 Stories has been carried forward and 2 QA defects found
1.</t>
    </r>
    <r>
      <rPr>
        <b/>
        <sz val="10"/>
        <color rgb="FF585858"/>
        <rFont val="Calibri"/>
      </rPr>
      <t>GGO-14573</t>
    </r>
    <r>
      <rPr>
        <sz val="10"/>
        <color rgb="FF585858"/>
        <rFont val="Calibri"/>
      </rPr>
      <t xml:space="preserve"> -Hard to reproduce in the lower environements. The offshore developers made several attempts to reproduce the issue, but because it’s related to performance, it took a considerable amount of time to replicate. That’s why it got carried over.
2</t>
    </r>
    <r>
      <rPr>
        <b/>
        <sz val="10"/>
        <color rgb="FF585858"/>
        <rFont val="Calibri"/>
      </rPr>
      <t>.PAPI-839[Stretch]</t>
    </r>
    <r>
      <rPr>
        <sz val="10"/>
        <color rgb="FF585858"/>
        <rFont val="Calibri"/>
      </rPr>
      <t xml:space="preserve"> -Dependency on Onsite QA to complete it 
3.</t>
    </r>
    <r>
      <rPr>
        <b/>
        <sz val="10"/>
        <color rgb="FF585858"/>
        <rFont val="Calibri"/>
      </rPr>
      <t xml:space="preserve"> GGO-14626 and GGO-14621- </t>
    </r>
    <r>
      <rPr>
        <sz val="10"/>
        <color rgb="FF585858"/>
        <rFont val="Calibri"/>
      </rPr>
      <t>Due to access rule configuration Issue for Quartz job server and  Aesop Service bounce email not validated in Send Grid.</t>
    </r>
  </si>
  <si>
    <t>GGO 7.23.0 Sprint 3 (3-Apr-2025 to 17-Apr-2025)</t>
  </si>
  <si>
    <r>
      <rPr>
        <sz val="10"/>
        <color rgb="FF585858"/>
        <rFont val="Calibri"/>
      </rPr>
      <t>"1 assigned and 1 stretch Stories has been carried forward and 1 QA defects found
1.</t>
    </r>
    <r>
      <rPr>
        <b/>
        <sz val="10"/>
        <color rgb="FF585858"/>
        <rFont val="Calibri"/>
      </rPr>
      <t>PAPI-840(8spt)and GGO-14644[Stretch] -</t>
    </r>
    <r>
      <rPr>
        <sz val="10"/>
        <color rgb="FF585858"/>
        <rFont val="Calibri"/>
      </rPr>
      <t xml:space="preserve">Development for this story was completed three days ahead of the sprint deadline. However, a last-minute AC request from the client required code modifications, which were implemented the timeline.The story was left in Peer Review upon completion, per the client's request to hold it and maintain this branch separately from the CERT branch.Offshore QA has completed verification in the lower environment. The story is now pending validation from Onsite QA.
2. </t>
    </r>
    <r>
      <rPr>
        <b/>
        <sz val="10"/>
        <color rgb="FF585858"/>
        <rFont val="Calibri"/>
      </rPr>
      <t xml:space="preserve">QA Defect - </t>
    </r>
    <r>
      <rPr>
        <sz val="10"/>
        <color rgb="FF585858"/>
        <rFont val="Calibri"/>
      </rPr>
      <t>GGO-14633 Code mistakenly overwritten for GGO-14457.The team addressed the issue promptly, and the defect was resolved and closed on the same day.</t>
    </r>
  </si>
  <si>
    <t>GGO 7.23.0 Sprint 4 (17-Apr-2025 to 01-May-2025)</t>
  </si>
  <si>
    <t>2 stories has been carried forward additional stretch stories completed by the team to compensate.
GGO-13722 and GGO-13723 -&gt;we documented the alternative encryption change, client wanted to add new feature flag based on that need to follow the old and new encryption flow</t>
  </si>
  <si>
    <t>GGO 7.24.0 Sprint 1 (1-May-2025 to 15-May-2025)</t>
  </si>
  <si>
    <r>
      <rPr>
        <sz val="10"/>
        <color rgb="FF585858"/>
        <rFont val="Calibri"/>
      </rPr>
      <t xml:space="preserve">2 assigned stories has been carried forward
</t>
    </r>
    <r>
      <rPr>
        <b/>
        <sz val="10"/>
        <color rgb="FF585858"/>
        <rFont val="Calibri"/>
      </rPr>
      <t>GGO-14628 -&gt;</t>
    </r>
    <r>
      <rPr>
        <sz val="10"/>
        <color rgb="FF585858"/>
        <rFont val="Calibri"/>
      </rPr>
      <t xml:space="preserve">Hard to reproduce in the lower environements. The offshore developers and QA's  made several attempts to reproduce the issue, However, on the last day of the sprint,we found one way to reproduce it. But team need to ensure this after providing the solutions and to check whether this the cause of this issue. Team is still working on it.That’s why it got carried over.
</t>
    </r>
    <r>
      <rPr>
        <b/>
        <sz val="10"/>
        <color rgb="FF585858"/>
        <rFont val="Calibri"/>
      </rPr>
      <t>GGO-14656-&gt;</t>
    </r>
    <r>
      <rPr>
        <sz val="10"/>
        <color rgb="FF585858"/>
        <rFont val="Calibri"/>
      </rPr>
      <t xml:space="preserve">Reskin-V2 is a complete overhaul of the existing Master Page. The new layout seamlessly integrates Telerik controls, Bootstrap, and Kendo UI CSS, ensuring an optimized, modern, and adaptive user experience across all devices. As part of this redesign, we need to explore which Telerik control is best suited for the requested layout to achieve the desired functionality and responsiveness. So it is taking more time for the team to complete this story 
</t>
    </r>
    <r>
      <rPr>
        <b/>
        <sz val="10"/>
        <color rgb="FF585858"/>
        <rFont val="Calibri"/>
      </rPr>
      <t>1 Production Issue</t>
    </r>
    <r>
      <rPr>
        <sz val="10"/>
        <color rgb="FF585858"/>
        <rFont val="Calibri"/>
      </rPr>
      <t xml:space="preserve"> - GGO-14678-This is a production issue. The export sale grid functionality 
broke due to changes in the SLS report. Team completed this on the same day and pushed the code for the CRT testing.</t>
    </r>
  </si>
  <si>
    <t>GGO 7.24.0 Sprint 2 (16-May-2025 to 29-May-2025)</t>
  </si>
  <si>
    <r>
      <rPr>
        <b/>
        <sz val="10"/>
        <color rgb="FF000000"/>
        <rFont val="Calibri"/>
      </rPr>
      <t>GGO-14628-&gt;</t>
    </r>
    <r>
      <rPr>
        <sz val="10"/>
        <color rgb="FF000000"/>
        <rFont val="Calibri"/>
      </rPr>
      <t>Hard to reproduce in the lower environements. The offshore developers and QA's  made several attempts to reproduce the issue. Team is still working on it.That’s why it was put on hold as it is of low priority</t>
    </r>
  </si>
  <si>
    <t>GGO 7.24.0 Sprint 3 (29-May-2025 to 12-Jun-2025)</t>
  </si>
  <si>
    <r>
      <rPr>
        <sz val="10"/>
        <color rgb="FF000000"/>
        <rFont val="Georgia"/>
        <scheme val="minor"/>
      </rPr>
      <t xml:space="preserve">GGO web and GGO Donor wave team report:
2 assigned stories has been carried forward
</t>
    </r>
    <r>
      <rPr>
        <b/>
        <sz val="10"/>
        <color rgb="FF000000"/>
        <rFont val="Georgia"/>
        <scheme val="minor"/>
      </rPr>
      <t xml:space="preserve">GGO-14682 and GGO-14683 </t>
    </r>
    <r>
      <rPr>
        <sz val="10"/>
        <color rgb="FF000000"/>
        <rFont val="Georgia"/>
        <scheme val="minor"/>
      </rPr>
      <t xml:space="preserve">- Reskin-V2 is a complete overhaul of the existing Master Page.Its taking more time to complete this since UI design work is new to the development team and it is bit challenging too.Also for </t>
    </r>
    <r>
      <rPr>
        <b/>
        <sz val="10"/>
        <color rgb="FF000000"/>
        <rFont val="Georgia"/>
        <scheme val="minor"/>
      </rPr>
      <t xml:space="preserve">GGO-14682 </t>
    </r>
    <r>
      <rPr>
        <sz val="10"/>
        <color rgb="FF000000"/>
        <rFont val="Georgia"/>
        <scheme val="minor"/>
      </rPr>
      <t xml:space="preserve">-&gt;Development  took a lot of time and got completed only on 1 day before Sprint end, the offshore QA logged a bug on the last day of sprint.
One 5 point story </t>
    </r>
    <r>
      <rPr>
        <b/>
        <sz val="10"/>
        <color rgb="FF000000"/>
        <rFont val="Georgia"/>
        <scheme val="minor"/>
      </rPr>
      <t xml:space="preserve">GGO-14724 </t>
    </r>
    <r>
      <rPr>
        <sz val="10"/>
        <color rgb="FF000000"/>
        <rFont val="Georgia"/>
        <scheme val="minor"/>
      </rPr>
      <t>moved to backlog because we do not have access to OneTrust Privay Policy Center and discussions are still ongoing on the client side. So Client has been moved  this story to the backlog
GGO Donor wave: Completed all the assigned setup stories</t>
    </r>
  </si>
  <si>
    <t>GGO 7.24.0 Sprint 4 (12-Jun-2025 to 26-Jun-2025)</t>
  </si>
  <si>
    <t>GGO web and GGO Donor wave team report: Completed all the assigned stories. No defects and CRC.</t>
  </si>
  <si>
    <t>GGO 7.25.0 Sprint 1 (26-Jun-2025 to 10-Jul-2025)</t>
  </si>
  <si>
    <t>Merged GGO web and GGO Donor wave team report: 
GGO Donor wave: Completed all the assigned stories. No defects and CRC.
GGO Web: 2 stories has been carried forward as we are currently working on the reskinning of the grid component. Development is taking more time to complete this since UI design work is new to the development team and it is bit challenging too. Once this is completed, the remaining stories for the upcoming sprints are expected to progress quickly. Informed to client as well. No defects and CRC.</t>
  </si>
  <si>
    <t>GGO 7.25.0 Sprint 2 (10-Jul-2025 to 24-Jul-2025)</t>
  </si>
  <si>
    <t xml:space="preserve">Merged GGO web and GGO Donor wave team report: 
GGO Donor wave: Completed all the assigned stories. No defects and CRC.
GGO Web: 3 stories carried forward
GGO-14688 - Can't able to complete the task as planned due to changes in the new layout design, which introduced additional controls and complexity. Also, another story GGO-14687 required more time than anticipated, which impacted the overall timeline."
GGO-14802 - Development is completed. During testing,tester found 3 defects. 2 defects and this story also got carried forward.
GGO-14724: Client requested to add few more things in the same story at the end of the sprint end. </t>
  </si>
  <si>
    <t>GGO 7.25.0 Sprint 3 (24-Jul-2025 to 07-Aug-2025)</t>
  </si>
  <si>
    <t xml:space="preserve">Merged GGO web and GGO Donor wave team report: 
GGO Donor wave: Completed all the assigned stories. No defects and CRC.
GGO Web: 2 stories carried forward
GGO-14712 and GGO-14851- The design challenges in this story prevent us from reusing existing user controls in every controls </t>
  </si>
  <si>
    <t>GGO 7.25.0 Sprint 4 (07-Aug-2025 to 21-Aug-2025)</t>
  </si>
  <si>
    <t xml:space="preserve">Merged GGO web and GGO Donor wave team report: 
GGO Donor wave: 1 story got carried forward. Pending with Onsite client QA.
GGO Web : Completed all the assigned stories. </t>
  </si>
  <si>
    <t>GGO 8.0.0 Sprint 1 (21-Aug-2025 to 04-Sep-2025)</t>
  </si>
  <si>
    <t>Merged GGO web and GGO Donor wave team report: 
GGO Donor wave: Completed all the assigned stories. 
GGO Web :GGO-14875 - Onsite Dev-Mike Wall picked this story earlier did some basic changes due to design difficulties hand overed the story to offshore on 1-sep-25 and also So far, we’ve worked on implementing grid controls across all modules. The team is currently focused on the Create Pages as part of the redesign effort, which is taking additional time due to the complexity of the UI work.
GGO - 14854 - Stretch stories - Development and Dev env testing completed from our QA. Pending for Review.</t>
  </si>
  <si>
    <t>GGO 8.0.0 Sprint 2 (04-Aug-2025 to 18-Sep-2025)</t>
  </si>
  <si>
    <t>Merged GGO web and GGO Donor wave team report: 
GGO Donor wave: Completed all the assigned stories. 
GGO Web : 1 assigned story carried forward
Due to complications involving multiple user controls on the filter page, some functions within the new user control are not triggering as expected. Additionally, new controls were added which require further integration and testing to ensure smooth functionality.</t>
  </si>
  <si>
    <t>GGO 8.0.0 Sprint 3 (18-Sep-2025 to 2-Oct-2025)</t>
  </si>
  <si>
    <t>Merged GGO web and GGO Donor wave team report: 
GGO Donor wave: Completed all the assigned stories and more
GGO Web :  Completed all the assigned stories. 
NO RCA</t>
  </si>
  <si>
    <t>GGO 8.0.0 Sprint 4 (2-Oct-2025 to 16-Oct-2025)</t>
  </si>
  <si>
    <t>GGO 8.1.0 Sprint 1 (16-Oct-2025 to 30-Oct-2025)</t>
  </si>
  <si>
    <t>Merged GGO web and GGO Donor wave team report: 
GGO Donor wave: Completed all the assigned stories and more
GGO Web :  1 assigned story carried forward
GGO-14901 - Since the design is more complex and focused on group items by household functionality in the view supporters filter</t>
  </si>
  <si>
    <t>GGO 8.1.0 Sprint 2 (30-Oct-2025 to 13-Nov-2025)</t>
  </si>
  <si>
    <t>Next Release - Dec 17th,
Merged GGO web and GGO Donor wave team report: 
GGO Donor wave: Completed all the assigned stories and more
GGO Web :  Completed all the assigned stories. Defects Closed
NO RCA</t>
  </si>
  <si>
    <t>GGO 8.1.0 Sprint 3 (13-Nov-2025 to 26-Nov-2025)</t>
  </si>
  <si>
    <t>GGO 8.1.0 Sprint 4 (26-Nov-2025 to 11-Dec-2025)</t>
  </si>
  <si>
    <t>GGO 8.2.0 Sprint 1 (11-Dec-2025 to 08-Jan-2026)</t>
  </si>
  <si>
    <t xml:space="preserve">
Merged GGO web and GGO Donor wave team report: 
GGO Donor wave: Completed all the assigned stories
GGO Web :  Completed all the assigned stories and more
NO RCA</t>
  </si>
  <si>
    <t>GGO 8.2.0 Sprint 3 (08-Jan-2026 to 22-Jan-2026)</t>
  </si>
  <si>
    <t xml:space="preserve">
Merged GGO web and GGO Donor wave team report: 
GGO Donor wave: Completed all the assigned stories and more
GGO Web :  2 assigned stories carried forward
GGO-14628 Hard to reproduce the the Print invoice/receipt page issue in lower environment
GGO-15135 Development and testing is completed by our end. Settings to be updated by Jscramber IT team
</t>
  </si>
  <si>
    <t>GGO 8.2.0 Sprint 4 (22-Jan-2026 to 05-Feb-2026)</t>
  </si>
  <si>
    <r>
      <rPr>
        <sz val="10"/>
        <color rgb="FF585858"/>
        <rFont val="Calibri"/>
      </rPr>
      <t xml:space="preserve">
Merged GGO web and GGO Donor wave team report: 
</t>
    </r>
    <r>
      <rPr>
        <b/>
        <sz val="10"/>
        <color rgb="FF585858"/>
        <rFont val="Calibri"/>
      </rPr>
      <t xml:space="preserve">GGO Donor wave: </t>
    </r>
    <r>
      <rPr>
        <sz val="10"/>
        <color rgb="FF585858"/>
        <rFont val="Calibri"/>
      </rPr>
      <t xml:space="preserve">Completed all the assigned stories and more
</t>
    </r>
    <r>
      <rPr>
        <b/>
        <sz val="10"/>
        <color rgb="FF585858"/>
        <rFont val="Calibri"/>
      </rPr>
      <t xml:space="preserve">GGO Web </t>
    </r>
    <r>
      <rPr>
        <sz val="10"/>
        <color rgb="FF585858"/>
        <rFont val="Calibri"/>
      </rPr>
      <t xml:space="preserve">:  2 assigned stories carried forward
GGO-14628 - For this issue, a temporary fix has been provided by the offshore development team. However, the client has requested a permanent fix with a different approach, so the story has been carried forward
GGO-15140 - CRT regression testing has been completed by the offshore QA team. The onsite QA requested that this story be put on hold, as WAF testing is still pending on his side. Therefore, the story has been carried forward
</t>
    </r>
  </si>
  <si>
    <t>GGO 8.3.0 Sprint 1 (05-Feb-2026 to 19-Feb-2026)</t>
  </si>
  <si>
    <r>
      <rPr>
        <sz val="10"/>
        <color rgb="FF585858"/>
        <rFont val="Calibri"/>
      </rPr>
      <t xml:space="preserve">
Merged GGO web and GGO Donor wave team report: 
</t>
    </r>
    <r>
      <rPr>
        <b/>
        <sz val="10"/>
        <color rgb="FF585858"/>
        <rFont val="Calibri"/>
      </rPr>
      <t xml:space="preserve">GGO Donor wave: </t>
    </r>
    <r>
      <rPr>
        <sz val="10"/>
        <color rgb="FF585858"/>
        <rFont val="Calibri"/>
      </rPr>
      <t xml:space="preserve">Completed all the assigned stories and more
</t>
    </r>
    <r>
      <rPr>
        <b/>
        <sz val="10"/>
        <color rgb="FF585858"/>
        <rFont val="Calibri"/>
      </rPr>
      <t xml:space="preserve">GGO Web: Completed all </t>
    </r>
    <r>
      <rPr>
        <sz val="10"/>
        <color rgb="FF585858"/>
        <rFont val="Calibri"/>
      </rPr>
      <t xml:space="preserve">assigned stories. </t>
    </r>
  </si>
  <si>
    <t>GGO 8.3.0 Sprint 2 (19-Feb-2026 to 05-Mar-2026)</t>
  </si>
  <si>
    <t>GGO 8.3.0 Sprint 3 (05-Feb-2026 to 19-Mar-2026)</t>
  </si>
  <si>
    <t>GGO 8.3.0 Sprint 4 (19-Mar-2026 to 02-Apr-2026)</t>
  </si>
  <si>
    <t>GGO 8.4.0 Sprint 1 (02-Apr-2026 to 16-Apr-2026)</t>
  </si>
  <si>
    <t>GGO 8.4.0 Sprint 3 (30-Apr-2026 to 14-May-2026)</t>
  </si>
  <si>
    <t>Yes</t>
  </si>
  <si>
    <t>3 Why Analysis</t>
  </si>
  <si>
    <t>Sl.No</t>
  </si>
  <si>
    <t>Issue/ Date</t>
  </si>
  <si>
    <t>Sprint Date
(DD-MMM-YY  
to 
DD-MMM-YY)</t>
  </si>
  <si>
    <t>Issue Description</t>
  </si>
  <si>
    <t>Issue
Type</t>
  </si>
  <si>
    <t>Root Cause category</t>
  </si>
  <si>
    <t>Sub category</t>
  </si>
  <si>
    <t>Why 1?</t>
  </si>
  <si>
    <t>Why 2?</t>
  </si>
  <si>
    <t>Why 3?</t>
  </si>
  <si>
    <t>Action
 ( Issue /Risk mitigation plan)</t>
  </si>
  <si>
    <t>Owner</t>
  </si>
  <si>
    <t>Status</t>
  </si>
  <si>
    <t>Target Date</t>
  </si>
  <si>
    <t>Comments</t>
  </si>
  <si>
    <t>7.17.0 Sprint 2 (05 Apr to 18 Apr)</t>
  </si>
  <si>
    <t>1 Story Testing got carried</t>
  </si>
  <si>
    <t>Internal</t>
  </si>
  <si>
    <t>Metric Deviation</t>
  </si>
  <si>
    <t>Commitment Index Deviation</t>
  </si>
  <si>
    <t>Few scenarios having client dependancy to test in PAPI environment, which is uncontrol.</t>
  </si>
  <si>
    <t>Client was well aware of their dependancy to test in PAPI environment and informed in team standup.</t>
  </si>
  <si>
    <t>Priya</t>
  </si>
  <si>
    <t>Closed</t>
  </si>
  <si>
    <t>7.17.0 Sprint 4 (03 May to 16 May)</t>
  </si>
  <si>
    <t>Commitment index 21% acheived. 3 stories got carried.</t>
  </si>
  <si>
    <t>External</t>
  </si>
  <si>
    <t>Client IT team has to do some configuration to resolve the environment issue.</t>
  </si>
  <si>
    <t>pogo</t>
  </si>
  <si>
    <t>Similar type of requirement has to identified and informed with client in well advance.</t>
  </si>
  <si>
    <t>Sathiyabharathi</t>
  </si>
  <si>
    <t>7.18.0 Sprint 3 (14 Jun to 27 Jun)</t>
  </si>
  <si>
    <t>Client reported 1 CRC</t>
  </si>
  <si>
    <t>Codding STD Missed</t>
  </si>
  <si>
    <t>Fix typo/misspell privilege.</t>
  </si>
  <si>
    <t>Cosmetic error</t>
  </si>
  <si>
    <t>Knowledge share with Team in Stand Up, So that similar type of issue can be mitigated.</t>
  </si>
  <si>
    <t>Rajesh/Sathiyabharathi</t>
  </si>
  <si>
    <t>7.18.0 Sprint 3 (28 Jun to 11 Jul)</t>
  </si>
  <si>
    <t>Replace "" with string.Empty</t>
  </si>
  <si>
    <t>Saranya/Sathiyabharathi</t>
  </si>
  <si>
    <t>Others</t>
  </si>
  <si>
    <t>7.19.0 Sprint 3 (08 Aug to 22 Aug)</t>
  </si>
  <si>
    <t>Code review comment</t>
  </si>
  <si>
    <t>NVARCHAR(MAX) should not be used with Split.</t>
  </si>
  <si>
    <t>Saranya/Rajesh/Sathiya</t>
  </si>
  <si>
    <t>7.19.0 Sprint 4 (22 Aug to 5 Sep)</t>
  </si>
  <si>
    <t xml:space="preserve">1 Story got rolled over </t>
  </si>
  <si>
    <t>New  to Automation regression and part of learning curve</t>
  </si>
  <si>
    <t>Sathiyabharthi</t>
  </si>
  <si>
    <t>7.20.0 Sprint 1(5 Sep to 19 Sep)</t>
  </si>
  <si>
    <t>1 Story Testing from Onsite QA got carried</t>
  </si>
  <si>
    <t>We gave the pull request 2 days before the sprint end and offshore also completed testing but Client QA was busy with testing of other stories and couldn't complete this one.</t>
  </si>
  <si>
    <t>Unplanned PTO for Sathiyabharathi</t>
  </si>
  <si>
    <t xml:space="preserve">Dev resource will try assisting client QA to complete the testing </t>
  </si>
  <si>
    <t>7.20.0 Sprint 2( 19 Sep to 3 Oct)</t>
  </si>
  <si>
    <t>Learning curve involved for the new RDLC tool</t>
  </si>
  <si>
    <t>7.20.0 Sprint 3 (3 Oct to 17 Oct)</t>
  </si>
  <si>
    <t>GGO-14067 got carried, We are migrating Bid-03 report to new RDLC framework, there is lot of complex functionalities which needs more time</t>
  </si>
  <si>
    <t>Team continues learning the old reports to implement in the new toolset which requires continuous customer feedback</t>
  </si>
  <si>
    <t>Rajesh/Sathiyabharathi/ Saranya</t>
  </si>
  <si>
    <t>7.20.0 Sprint 4 (17 Oct to 31 Oct)</t>
  </si>
  <si>
    <t>GGO-14067 got carried,  Getting Timeout issue for large records</t>
  </si>
  <si>
    <t>It is the most complex report   and given it is one of the 1st reports the team continues to understand the functionality</t>
  </si>
  <si>
    <t>7.21.0 Sprint 1 (31 Oct to 14 Nov)</t>
  </si>
  <si>
    <t>GGO-14295 got carried, Onsite QA testing pending</t>
  </si>
  <si>
    <t>Onsite QA dependency</t>
  </si>
  <si>
    <t>Rajesh</t>
  </si>
  <si>
    <t>7.21.0 Sprint 2 (14 Nov to 25 Nov)</t>
  </si>
  <si>
    <t>GGO-13319 got carried, blocked by access issue</t>
  </si>
  <si>
    <t>Onsite DevOps dependency</t>
  </si>
  <si>
    <t>7.21.0 Sprint 4 (12 Dec to 9  Jan)</t>
  </si>
  <si>
    <t>Complex Report with infinite test data combination. Additional testing from Dev to solve QA challenges</t>
  </si>
  <si>
    <t>Rajesh/Sathiyabharathi/Saranya/Priya</t>
  </si>
  <si>
    <t>7.22.0 Sprint 1 ( 9  Janto 23  Jan)</t>
  </si>
  <si>
    <t xml:space="preserve">4 Stories got rolled over </t>
  </si>
  <si>
    <t>Dependent on Onsite QA</t>
  </si>
  <si>
    <t>7.22.0 Sprint 2 (23  Jan to 6 Feb)</t>
  </si>
  <si>
    <t xml:space="preserve">2 Stories got rolled over </t>
  </si>
  <si>
    <t>Dependent on Onsite QA and the onsite QA was strecthched because of multiple unplanned PTO's from offshore QA Priya and onsite QA Manager Owen due to family emergency</t>
  </si>
  <si>
    <t xml:space="preserve"> 1 production escalation </t>
  </si>
  <si>
    <t>Internal/External</t>
  </si>
  <si>
    <t>Defect free Rate</t>
  </si>
  <si>
    <t>Production Issue for invoice report - GGO 14529
The old report generation handled it but the new report didn't so a miss  on testing end</t>
  </si>
  <si>
    <t>Extended testing needs to be done with a lot more combination of data</t>
  </si>
  <si>
    <t>7.22.0 Sprint 3  6 Feb to 20 Feb)</t>
  </si>
  <si>
    <t>1) GGO-14504 - The story was given Onisite QA for testing 3 days before the end of Sprint but  Onsite QA logged bug on the last day of Thesprint. It was fixed  and deployed before sprint prep, QA didn't get time to complete it.
2)GGO-14070 - Development  took a lot of time and got completed only on 1 day before Sprint end, the offshore QA logged a minor bug on the last day of sprint, fixed the bug and PR created for review. (Saranya worked on the RDLC report for the first time and there was a learning curve involved which took time)</t>
  </si>
  <si>
    <t>Going forward this learning curve will help complete reports on time</t>
  </si>
  <si>
    <t>Saranya</t>
  </si>
  <si>
    <t>Beacause of the hotfix the team couldn't complete the testing of tickets</t>
  </si>
  <si>
    <t>7.22.0 Sprint 4  20 Feb to 6 Mar)</t>
  </si>
  <si>
    <t xml:space="preserve">1 Stories got rolled over </t>
  </si>
  <si>
    <t>Onsite QA needs to fix automation test to complete the final round of testing</t>
  </si>
  <si>
    <t>Dependency on Onsite QA to complete it</t>
  </si>
  <si>
    <t>7.23.0 Sprint 2 (20-Mar-2025 to 3-Apr-2025)</t>
  </si>
  <si>
    <t>We took other Stretch tickets and compensated on that</t>
  </si>
  <si>
    <t xml:space="preserve">1 Story GGO-14573 -The offshore developers made several attempts to reproduce the issue, but because it’s related to performance, it took a considerable amount of time to replicate. That’s why it was carried over. </t>
  </si>
  <si>
    <t>Hard to reproduce in lower environments. To mitigate the issues, Going forward we will enhance performance monitoring and implement parallel testing where possible to reduce dependencies and replicate the issue more efficiently.</t>
  </si>
  <si>
    <t>7.23.0 Sprint 3 (3-Apr-2025 to 17-Apr-2025)</t>
  </si>
  <si>
    <t xml:space="preserve">1 assigned Story got rolled over </t>
  </si>
  <si>
    <t>1 Assigned Story PAPI-840(8spt)Development for this story was completed three days ahead of the sprint deadline. However, a last-minute AC request from the client required code modifications, which were implemented the timeline.The story was left in Peer Review upon completion, per the client's request to hold it and maintain this branch separately from the CERT branch.Offshore QA has completed verification in the lower environment. The story is now pending validation from Onsite QA.</t>
  </si>
  <si>
    <t>Client Requirements got changed</t>
  </si>
  <si>
    <t xml:space="preserve">PAPI-840(8spt): Due to last-minute AC changes, it took additional time to complete develpment and testing, and to prevent similar delays in the future, we are enhancing our review and validation process.
 </t>
  </si>
  <si>
    <t>Rajesh/Sathiyabharathi/ Saranya/Priya</t>
  </si>
  <si>
    <t>QA Defect</t>
  </si>
  <si>
    <t>Defect</t>
  </si>
  <si>
    <t xml:space="preserve"> QA Defect - GGO-14633 Code mistakenly overwritten for GGO-14457. The team addressed the issue promptly, and the defect was resolved and closed on the same day.
</t>
  </si>
  <si>
    <t xml:space="preserve">Minor Changes in the code </t>
  </si>
  <si>
    <t xml:space="preserve">QA Defect - GGO-14457 - Going forward team will make sure these kinds of overwrites will not be repeated and will do the review process accordingly .
Onsite Reviewer  Checklist should have impact of Code - Reviwer checklist has to enahnced </t>
  </si>
  <si>
    <t>7.24.0 Sprint 1 (1-May-2025 to 15-May-2025)</t>
  </si>
  <si>
    <t>2 assigned Story got rolled over and 1 QA defect found</t>
  </si>
  <si>
    <t>2 stories has been carried forward
GGO-14656: This issue has proven difficult to reproduce in lower environments. Despite multiple attempts by the offshore developers and QA team throughout the sprint, a reproducible scenario was only identified on the last day. The team now needs to validate the proposed solution and confirm whether this scenario is indeed the root cause. Investigation and testing are still in progress, which is why the story was carried over to the next sprint.
GGO-14628: Reskin-V2 involves a comprehensive redesign of the existing Master Page. The new layout integrates Telerik controls, Bootstrap, and Kendo UI CSS to deliver a modern, responsive user experience across devices. As part of the redesign, the team is evaluating the most appropriate Telerik controls to meet layout and functionality requirements. This exploration and implementation process is more time-consuming than anticipated, leading to the story being carried forward.</t>
  </si>
  <si>
    <t xml:space="preserve"> Unable to Reproduce for one story and Reskin work for the other story</t>
  </si>
  <si>
    <t>GGO-14656: Prioritize reproducibility with targeted debugging and confirm fix with early QA involvement.
GGO-14628: Conduct rapid prototyping of UI components and align frequently with design to avoid delays.</t>
  </si>
  <si>
    <t xml:space="preserve"> 1 production issue</t>
  </si>
  <si>
    <t>GGO-14678-This is a production issue. The export sale grid functionality 
broke due to changes in the SLS report. Team completed this on the same day and pushed the code for the CRT testing.</t>
  </si>
  <si>
    <t xml:space="preserve">Minor DB changes impacted the other part of front end UI </t>
  </si>
  <si>
    <t>For every small change implemented, a complete regression testing cycle must be performed to ensure system stability. This includes updating both automation and manual test cases to reflect any new or impacted scenarios.
Additionally, thorough verification of all buttons across all application pages must be included, and corresponding scenarios should be documented and maintained in the manual test cases to ensure comprehensive coverage.</t>
  </si>
  <si>
    <t>7.24.0 Sprint 2 (16-May-2025 to 29-May-2025)</t>
  </si>
  <si>
    <t>1 Story got rolled over</t>
  </si>
  <si>
    <t>internal/External</t>
  </si>
  <si>
    <t xml:space="preserve">GGO-14628 Issue not reproduceable in Dev and TST.Need to check query execution CRT 
</t>
  </si>
  <si>
    <t>The work around has been provided and ticket has been put on hold for now as it only impacts only one client/org and is of low priority</t>
  </si>
  <si>
    <t>7.24.0 Sprint 2 (29-May-2025 to 12-June-2025)</t>
  </si>
  <si>
    <t>2 assigned Story got rolled over</t>
  </si>
  <si>
    <t xml:space="preserve">
GGO-14682 and GGO-14683 - Reskin-V2 is a complete overhaul of the existing Master Page.Its taking more time to complete this since UI design work is new to the development team and it is bit challenging too.Also for GGO-14682 -&gt;Development  took a lot of time and got completed only on 1 day before Sprint end, the offshore QA logged a bug on the last day of sprint.
One 5 point story GGO-14724 moved to backlog because we do not have access to OneTrust Privay Policy Center and discussions are still ongoing on the client side. So Client has been moved  this stroy to the backlog</t>
  </si>
  <si>
    <t>Application Reskin</t>
  </si>
  <si>
    <t>Team continues learning the UI design to implement the same</t>
  </si>
  <si>
    <t>1 Internal Defects</t>
  </si>
  <si>
    <t>GGO-14763 -&gt;UI design work is new to the development team and it is bit challenging too.</t>
  </si>
  <si>
    <t>7.25.0 Sprint 1 (26-Jun-2025 to 10-Jul-2025)</t>
  </si>
  <si>
    <t>2 assigned Stories got rolled over</t>
  </si>
  <si>
    <t>2 stories has been carried forward as we are currently working on the reskinning of the grid component. Development is taking more time to complete this since UI design work is new to the development team and it is bit challenging too. Once this is completed, the remaining stories for the upcoming sprints are expected to progress quickly. Informed to client as well. No defects and CRC.</t>
  </si>
  <si>
    <t>Reskin - Team continues learning the UI design to implement the same</t>
  </si>
  <si>
    <t>7.25.0 Sprint 2 (10-Jul-2025 to 24-Jul-2025)</t>
  </si>
  <si>
    <t xml:space="preserve"> 3 stories carried forward
GGO-14688 - Can't able to complete the task as planned due to changes in the new layout design, which introduced additional controls and complexity. Also, another story GGO-14687 required more time than anticipated, which impacted the overall timeline."
GGO-14802 - Development is completed. During testing,tester found 3 defects. 2 defects and this story also got carried forward.
GGO-14724: Client requested to add few more things in the same story at the end of the sprint end. </t>
  </si>
  <si>
    <t>Team is continuing development on the supporter grid, which remains challenging as this is the base work for the ongoing redesign. Additionally, Tester have reported a few bugs, and the team is actively working on resolving them. We have already communicated these updates to the client.</t>
  </si>
  <si>
    <t>GGO-14802 -UI design work is new to the development team and it is bit challenging too. During testing,tester found 3 defects. 2 defects and this story also got carried forward.</t>
  </si>
  <si>
    <t>Moving forward, Developers will also do proper Unit testing before pushing this to TST env.These defects will be prioritized early in the next sprint with better coordination to avoid future defects.</t>
  </si>
  <si>
    <t>7.25.0 Sprint 3 (24-Jul-2025 to 7-Aug-2025)</t>
  </si>
  <si>
    <t xml:space="preserve">Mergerd GGO web and GGO Donor wave team report: 
GGO Donor wave: Completed all the assigned stories. No defects and CRC.
GGO Web: 2 stories carried forward
GGO-14712 and GGO-14851- The design challenges in this story prevent us from reusing existing user controls in every controls </t>
  </si>
  <si>
    <t>Team is continuing development on the supporter page and filters page, which remains challenging as this is the base work for the ongoing redesign.</t>
  </si>
  <si>
    <t>7.25.0 Sprint 4 (7-Aug-2025 to 21-Aug-2025)</t>
  </si>
  <si>
    <t xml:space="preserve">Mergerd GGO web and GGO Donor wave team report: 
GGO Donor wave: 1 story got carried forward. Pending with Onsite client QA.
</t>
  </si>
  <si>
    <t>Pending with onsite client QA</t>
  </si>
  <si>
    <t>Don 18 -will be prioritized early in the next sprint with better coordination to avoid future delays.</t>
  </si>
  <si>
    <t>Vishnu,Charles</t>
  </si>
  <si>
    <t>5 internal and 1 external CRC - Considering all the cosmetic comments as "1" and External as 1</t>
  </si>
  <si>
    <t>Considering all the cosmetic comments as "5"
1. Correct the params here
2. Correct the param here 
3. Don't we have to check teamCoordinator is not null here before accessing its property
4. correct the param name here 
5. Why are we keeping empty class here? remove it if not needed
1 External : Remove Semicolon</t>
  </si>
  <si>
    <t>Cosmetic Errors,Developers missed to follow coding standards</t>
  </si>
  <si>
    <t>. The CRC comments are addressed and resolved. Team was informed. Knowledge share with Team in Stand Up, So that similar type of suggestion can be mitigated</t>
  </si>
  <si>
    <t>Vishnu,Charles,Kannan,Ubaithula</t>
  </si>
  <si>
    <t>GGO Web :GGO-14875 - Onsite Dev-Mike Wall picked this story earlier did some basic changes due to design difficulties hand overed the story to offshore on 1-sep-25 and also So far, we’ve worked on implementing grid controls across all modules. The team is currently focused on the Create Pages as part of the redesign effort, which is taking additional time due to the complexity of the UI work.</t>
  </si>
  <si>
    <t>GGO-14875-will be prioritized early in the next sprint with better coordination to avoid future delays.</t>
  </si>
  <si>
    <t>GGO Web :1 assigned story carried forward
Due to complications involving multiple user controls on the filter page, some functions within the new user control are not triggering as expected. Additionally, new controls were added which require further integration and testing to ensure smooth functionality.</t>
  </si>
  <si>
    <t>GGO-14980 -will be prioritized early in the next sprint with better coordination to avoid future delays.</t>
  </si>
  <si>
    <t>Pending: 1 assigned story carried forward
GGO-14901 - Since the design is more complex and focused on group items by household functionality in the view supporters filter</t>
  </si>
  <si>
    <t>Team is continuing development on the Manage Images popup. will be prioritized and close this one in the next sprint</t>
  </si>
  <si>
    <t>1 External Defects</t>
  </si>
  <si>
    <t>Incorrect data report generated for end customers</t>
  </si>
  <si>
    <t>The issue occurred due to improper synchronization logic in the backend.
A static component was used by the developer instead of an object-based approach.
Static methods and variables do not maintain session-specific state, leading to data overlap when multiple users accessed the system simultaneously.
Specifically, when two users logged in with different organization IDs, the shared static component failed to isolate data correctly, resulting in cross-org data contamination.</t>
  </si>
  <si>
    <t>Replace the static component with a session-specific object-based implementation, correct impacted data, and enforce coding standards with automated checks to prevent future cross-organization data contamination.</t>
  </si>
  <si>
    <t xml:space="preserve">2 assigned Story got rolled over </t>
  </si>
  <si>
    <t>2 assigned stories carried forward
GGO-14628 Hard to reproduce the the Print invoice/receipt page issue in lower environment
GGO-15135 Development and testing is completed by our end. Settings to be updated by Jscramber IT team</t>
  </si>
  <si>
    <t>a temporary fix has been provided by the offshore development team</t>
  </si>
  <si>
    <t>Inprogress</t>
  </si>
  <si>
    <t>: 2 assigned stories carried forward
GGO-14628 - For this issue, a temporary fix has been provided by the offshore development team. However, the client has requested a permanent fix with a different approach, so the story has been carried forward
GGO-15140 - CRT regression testing has been completed by the offshore QA team. The onsite QA requested that this story be put on hold, as WAF testing is still pending on his side. Therefore, the story has been carried forward</t>
  </si>
  <si>
    <t xml:space="preserve">Ensure early alignment with clients by validating the proposed technical approach </t>
  </si>
  <si>
    <t>Rajesh/Sathiyabharathi/ Saranya/Onsite QA</t>
  </si>
  <si>
    <t>Key Performance Indicator</t>
  </si>
  <si>
    <t>Description</t>
  </si>
  <si>
    <t>Formula</t>
  </si>
  <si>
    <t>Weightage</t>
  </si>
  <si>
    <t>Green</t>
  </si>
  <si>
    <t>Amber</t>
  </si>
  <si>
    <t>Red</t>
  </si>
  <si>
    <t>Client Approved</t>
  </si>
  <si>
    <t>Indicates the percentage of story points fulfilled relative to the commitment for each sprint.</t>
  </si>
  <si>
    <t>Completed Story Points/
Planned Story Points</t>
  </si>
  <si>
    <t>81-99</t>
  </si>
  <si>
    <t>&lt;=80%</t>
  </si>
  <si>
    <t xml:space="preserve">Denotes the overall count of story points accomplished in each sprint. </t>
  </si>
  <si>
    <t>Completed Story Points/Average of 4 sprints (4 sprints after the team completely onboarded and started the project related activities)
The above formulae is customized and should not be below the value derived from
8*1(2 Weeks Sprint)*(Number of Team Members)</t>
  </si>
  <si>
    <t>80-94</t>
  </si>
  <si>
    <t>&lt;80%</t>
  </si>
  <si>
    <t>The number of defects identified post-development</t>
  </si>
  <si>
    <t>(Internal+Escaped) Defects Found/
Size (actual in Story Points)</t>
  </si>
  <si>
    <t>99-80</t>
  </si>
  <si>
    <t>&gt;20%</t>
  </si>
  <si>
    <t>Evaluate the code quality across various dimensions, whether through manual code review or automated analysis using tools like SonarCube. Assess aspects such as correctness, readability, maintainability, efficiency, consistency, testability, scalability, security, documentation, and adherence to established standards.</t>
  </si>
  <si>
    <t>(Peer + Client) Code Review/
Size (actual in Story Points)</t>
  </si>
  <si>
    <t>&gt;=80</t>
  </si>
  <si>
    <t>79-65</t>
  </si>
  <si>
    <t>&lt;65%</t>
  </si>
  <si>
    <t>Unit Testing &amp; Code Coverage</t>
  </si>
  <si>
    <t>Unit Test Results should be &gt;85%
Code Coverage should be &gt;85%</t>
  </si>
  <si>
    <t>Average of Unit Test &amp; Code Coverage</t>
  </si>
  <si>
    <t>&gt;=90</t>
  </si>
  <si>
    <t>71-89</t>
  </si>
  <si>
    <t>&lt;=70%</t>
  </si>
  <si>
    <t>Shows the health of backlog in as total number of Story Points available in backlog Vs Average Velocity (last 6 Sprints)</t>
  </si>
  <si>
    <t>No. Of stories points (Velocity of the Team) ready for (N+1)th Sprint</t>
  </si>
  <si>
    <t xml:space="preserve">Delivery Score </t>
  </si>
  <si>
    <t>Sum of all the scores from different metrics</t>
  </si>
  <si>
    <t>NA</t>
  </si>
  <si>
    <t>&gt;=90%</t>
  </si>
  <si>
    <t>81-89</t>
  </si>
  <si>
    <t>Less Than</t>
  </si>
  <si>
    <t>Greater Than</t>
  </si>
  <si>
    <t>Ready</t>
  </si>
  <si>
    <t>Below Avg</t>
  </si>
  <si>
    <t>Avg</t>
  </si>
  <si>
    <t>Done</t>
  </si>
  <si>
    <t>Good</t>
  </si>
  <si>
    <t>CF</t>
  </si>
  <si>
    <t>Excellent</t>
  </si>
  <si>
    <t>Backlog Health - Categories</t>
  </si>
  <si>
    <t>Story Point Labels</t>
  </si>
  <si>
    <t>Backlog Health - Achieved</t>
  </si>
  <si>
    <t>Labels</t>
  </si>
  <si>
    <t>Values</t>
  </si>
  <si>
    <t>Story Points</t>
  </si>
  <si>
    <t>Thickness</t>
  </si>
  <si>
    <t>Indicator</t>
  </si>
  <si>
    <t>Total</t>
  </si>
  <si>
    <t>Instructions</t>
  </si>
  <si>
    <t xml:space="preserve">1. Define the metrics that are required for the project in the "QualityMetrics-Defintion" sheet
2. For the defined metrics, update the Data in the "Data" sheet. 
3. Update the Goals in the "Data" sheet from Column AC to AL - Add/Delete the required goals as necessary - This is used in the Scorecard metrics calculation
4. Update the Project details in the "Scorecard" sheet
5. As per the goals defined, update the formulae required to calculate the metrics
6. As per the goals defined, update the "Conditional Formatting" rules to reflect the correct color coding as per the defined goals
7. To update the Dashboard charts, Open the document in desktop version and select the required sprints (cycles) to display the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</si>
</sst>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0"/>
      <color rgb="FF000000"/>
      <name val="Georgia"/>
      <scheme val="minor"/>
    </font>
    <font>
      <sz val="10"/>
      <color theme="1"/>
      <name val="Calibri"/>
      <family val="2"/>
    </font>
    <font>
      <sz val="10"/>
      <color theme="1"/>
      <name val="Georgia"/>
      <family val="1"/>
      <scheme val="minor"/>
    </font>
    <font>
      <sz val="10"/>
      <color theme="1"/>
      <name val="Arial"/>
      <family val="2"/>
    </font>
    <font>
      <sz val="10"/>
      <color rgb="FF000000"/>
      <name val="Calibri"/>
      <family val="2"/>
    </font>
    <font>
      <sz val="8"/>
      <name val="Georgia"/>
      <family val="1"/>
      <scheme val="minor"/>
    </font>
    <font>
      <b/>
      <sz val="10"/>
      <color rgb="FFFFFFFF"/>
      <name val="Calibri"/>
      <family val="2"/>
    </font>
    <font>
      <b/>
      <sz val="16"/>
      <color rgb="FFFFFFFF"/>
      <name val="Calibri"/>
      <family val="2"/>
    </font>
    <font>
      <b/>
      <sz val="16"/>
      <color theme="1" tint="0.39997558519241921"/>
      <name val="Calibri"/>
      <family val="2"/>
    </font>
    <font>
      <b/>
      <sz val="10"/>
      <color theme="5" tint="-0.249977111117893"/>
      <name val="Calibri"/>
      <family val="2"/>
    </font>
    <font>
      <sz val="10"/>
      <color rgb="FF000000"/>
      <name val="Georgia"/>
      <family val="1"/>
      <scheme val="minor"/>
    </font>
    <font>
      <b/>
      <sz val="10"/>
      <color rgb="FF000000"/>
      <name val="Calibri"/>
      <family val="2"/>
    </font>
    <font>
      <sz val="14"/>
      <color rgb="FF000000"/>
      <name val="Calibri"/>
      <family val="2"/>
    </font>
    <font>
      <b/>
      <sz val="10"/>
      <color theme="1"/>
      <name val="Proxima Nova"/>
    </font>
    <font>
      <sz val="10"/>
      <name val="Arial"/>
      <family val="2"/>
    </font>
    <font>
      <b/>
      <sz val="12"/>
      <color rgb="FF000000"/>
      <name val="Calibri"/>
      <family val="2"/>
    </font>
    <font>
      <b/>
      <sz val="12"/>
      <color rgb="FF000000"/>
      <name val="Georgia"/>
      <family val="1"/>
      <scheme val="minor"/>
    </font>
    <font>
      <b/>
      <sz val="12"/>
      <color theme="1"/>
      <name val="Proxima Nova"/>
    </font>
    <font>
      <b/>
      <sz val="12"/>
      <name val="Arial"/>
      <family val="2"/>
    </font>
    <font>
      <sz val="12"/>
      <color rgb="FF000000"/>
      <name val="Calibri"/>
      <family val="2"/>
    </font>
    <font>
      <sz val="12"/>
      <color rgb="FF000000"/>
      <name val="Georgia"/>
      <family val="1"/>
      <scheme val="minor"/>
    </font>
    <font>
      <sz val="12"/>
      <color rgb="FF006100"/>
      <name val="Calibri"/>
      <family val="2"/>
    </font>
    <font>
      <sz val="12"/>
      <color rgb="FFFFFFFF"/>
      <name val="Calibri"/>
      <family val="2"/>
    </font>
    <font>
      <b/>
      <sz val="12"/>
      <color rgb="FFFFFFFF"/>
      <name val="Calibri"/>
      <family val="2"/>
    </font>
    <font>
      <sz val="10"/>
      <color rgb="FFFFFFFF"/>
      <name val="Calibri"/>
      <family val="2"/>
    </font>
    <font>
      <sz val="10"/>
      <color rgb="FFFFFFFF"/>
      <name val="Georgia"/>
      <family val="1"/>
      <scheme val="minor"/>
    </font>
    <font>
      <sz val="10"/>
      <color rgb="FFFFFFFF"/>
      <name val="Georgia"/>
      <family val="1"/>
      <scheme val="minor"/>
    </font>
    <font>
      <sz val="24"/>
      <color rgb="FF000000"/>
      <name val="Calibri"/>
      <family val="2"/>
    </font>
    <font>
      <sz val="10"/>
      <color theme="1"/>
      <name val="Calibri"/>
    </font>
    <font>
      <sz val="10"/>
      <color rgb="FF585858"/>
      <name val="Calibri"/>
    </font>
    <font>
      <b/>
      <sz val="10"/>
      <color rgb="FF585858"/>
      <name val="Calibri"/>
    </font>
    <font>
      <sz val="10"/>
      <color rgb="FF000000"/>
      <name val="Calibri"/>
    </font>
    <font>
      <b/>
      <sz val="10"/>
      <color rgb="FF000000"/>
      <name val="Calibri"/>
    </font>
    <font>
      <b/>
      <sz val="16"/>
      <color rgb="FFFFFFFF"/>
      <name val="Calibri"/>
    </font>
    <font>
      <b/>
      <sz val="10"/>
      <color rgb="FF000000"/>
      <name val="Georgia"/>
      <scheme val="minor"/>
    </font>
    <font>
      <sz val="10"/>
      <color rgb="FF292929"/>
      <name val="Arial"/>
    </font>
    <font>
      <b/>
      <sz val="9"/>
      <color rgb="FFFFFFFF"/>
      <name val="Arial"/>
    </font>
    <font>
      <sz val="10"/>
      <color rgb="FFFFFFFF"/>
      <name val="Arial"/>
    </font>
    <font>
      <sz val="9"/>
      <color theme="0" tint="-0.89999084444715716"/>
      <name val="Arial"/>
    </font>
    <font>
      <sz val="10"/>
      <color theme="0" tint="-0.89999084444715716"/>
      <name val="Arial"/>
    </font>
  </fonts>
  <fills count="24">
    <fill>
      <patternFill patternType="none"/>
    </fill>
    <fill>
      <patternFill patternType="gray125"/>
    </fill>
    <fill>
      <patternFill patternType="solid">
        <fgColor rgb="FFFFFFFF"/>
        <bgColor rgb="FFFFFFFF"/>
      </patternFill>
    </fill>
    <fill>
      <patternFill patternType="solid">
        <fgColor rgb="FFC27BA0"/>
        <bgColor rgb="FFC27BA0"/>
      </patternFill>
    </fill>
    <fill>
      <patternFill patternType="solid">
        <fgColor theme="5" tint="9.9978637043366805E-2"/>
        <bgColor rgb="FFFFFFFF"/>
      </patternFill>
    </fill>
    <fill>
      <patternFill patternType="solid">
        <fgColor theme="5" tint="9.9978637043366805E-2"/>
        <bgColor indexed="64"/>
      </patternFill>
    </fill>
    <fill>
      <patternFill patternType="solid">
        <fgColor theme="5" tint="0.249977111117893"/>
        <bgColor rgb="FFFFFFFF"/>
      </patternFill>
    </fill>
    <fill>
      <patternFill patternType="solid">
        <fgColor theme="5" tint="0.499984740745262"/>
        <bgColor rgb="FFFFFFFF"/>
      </patternFill>
    </fill>
    <fill>
      <patternFill patternType="solid">
        <fgColor theme="5" tint="0.499984740745262"/>
        <bgColor indexed="64"/>
      </patternFill>
    </fill>
    <fill>
      <patternFill patternType="solid">
        <fgColor theme="5" tint="0.749992370372631"/>
        <bgColor rgb="FFFFFFFF"/>
      </patternFill>
    </fill>
    <fill>
      <patternFill patternType="solid">
        <fgColor theme="5" tint="0.749992370372631"/>
        <bgColor indexed="64"/>
      </patternFill>
    </fill>
    <fill>
      <patternFill patternType="solid">
        <fgColor rgb="FFFF0000"/>
        <bgColor indexed="64"/>
      </patternFill>
    </fill>
    <fill>
      <patternFill patternType="solid">
        <fgColor rgb="FFFFFF00"/>
        <bgColor indexed="64"/>
      </patternFill>
    </fill>
    <fill>
      <patternFill patternType="solid">
        <fgColor rgb="FFA1E7A1"/>
        <bgColor indexed="64"/>
      </patternFill>
    </fill>
    <fill>
      <patternFill patternType="solid">
        <fgColor rgb="FF00B050"/>
        <bgColor indexed="64"/>
      </patternFill>
    </fill>
    <fill>
      <patternFill patternType="solid">
        <fgColor rgb="FFD9EAD3"/>
        <bgColor rgb="FFD9EAD3"/>
      </patternFill>
    </fill>
    <fill>
      <patternFill patternType="solid">
        <fgColor rgb="FFC6EFCE"/>
        <bgColor rgb="FF000000"/>
      </patternFill>
    </fill>
    <fill>
      <patternFill patternType="solid">
        <fgColor theme="4" tint="0.59999389629810485"/>
        <bgColor indexed="64"/>
      </patternFill>
    </fill>
    <fill>
      <patternFill patternType="solid">
        <fgColor rgb="FF92D050"/>
        <bgColor indexed="64"/>
      </patternFill>
    </fill>
    <fill>
      <patternFill patternType="solid">
        <fgColor rgb="FF002060"/>
        <bgColor indexed="64"/>
      </patternFill>
    </fill>
    <fill>
      <patternFill patternType="solid">
        <fgColor rgb="FF00B0F0"/>
        <bgColor indexed="64"/>
      </patternFill>
    </fill>
    <fill>
      <patternFill patternType="solid">
        <fgColor rgb="FF27235C"/>
        <bgColor rgb="FF27235C"/>
      </patternFill>
    </fill>
    <fill>
      <patternFill patternType="solid">
        <fgColor rgb="FF97247E"/>
        <bgColor rgb="FF97247E"/>
      </patternFill>
    </fill>
    <fill>
      <patternFill patternType="solid">
        <fgColor rgb="FFF759BB"/>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theme="1" tint="0.39997558519241921"/>
      </left>
      <right style="thin">
        <color theme="1" tint="0.39997558519241921"/>
      </right>
      <top style="thin">
        <color theme="1" tint="0.39997558519241921"/>
      </top>
      <bottom style="thin">
        <color theme="1" tint="0.39997558519241921"/>
      </bottom>
      <diagonal/>
    </border>
    <border>
      <left style="thin">
        <color theme="1" tint="0.39997558519241921"/>
      </left>
      <right/>
      <top/>
      <bottom style="thin">
        <color theme="1" tint="0.39997558519241921"/>
      </bottom>
      <diagonal/>
    </border>
    <border>
      <left/>
      <right style="thin">
        <color theme="1" tint="0.39997558519241921"/>
      </right>
      <top style="thin">
        <color theme="1" tint="0.39997558519241921"/>
      </top>
      <bottom style="thin">
        <color theme="1" tint="0.39997558519241921"/>
      </bottom>
      <diagonal/>
    </border>
    <border>
      <left style="thin">
        <color theme="1" tint="0.39997558519241921"/>
      </left>
      <right/>
      <top style="thin">
        <color theme="1" tint="0.39997558519241921"/>
      </top>
      <bottom style="thin">
        <color theme="1" tint="0.39997558519241921"/>
      </bottom>
      <diagonal/>
    </border>
    <border>
      <left/>
      <right/>
      <top style="medium">
        <color theme="1" tint="0.39997558519241921"/>
      </top>
      <bottom/>
      <diagonal/>
    </border>
    <border>
      <left style="thin">
        <color rgb="FF002060"/>
      </left>
      <right style="thin">
        <color rgb="FF002060"/>
      </right>
      <top style="thin">
        <color rgb="FF002060"/>
      </top>
      <bottom style="thin">
        <color rgb="FF00206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theme="1" tint="0.39997558519241921"/>
      </left>
      <right/>
      <top style="thin">
        <color theme="1" tint="0.39997558519241921"/>
      </top>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theme="1" tint="0.39997558519241921"/>
      </right>
      <top/>
      <bottom/>
      <diagonal/>
    </border>
    <border>
      <left style="thin">
        <color theme="1" tint="0.39997558519241921"/>
      </left>
      <right style="thin">
        <color theme="1" tint="0.39997558519241921"/>
      </right>
      <top/>
      <bottom/>
      <diagonal/>
    </border>
    <border>
      <left style="thin">
        <color theme="1" tint="0.39997558519241921"/>
      </left>
      <right/>
      <top/>
      <bottom/>
      <diagonal/>
    </border>
  </borders>
  <cellStyleXfs count="1">
    <xf numFmtId="0" fontId="0" fillId="0" borderId="0"/>
  </cellStyleXfs>
  <cellXfs count="224">
    <xf numFmtId="0" fontId="0" fillId="0" borderId="0" xfId="0"/>
    <xf numFmtId="0" fontId="2" fillId="2" borderId="0" xfId="0" applyFont="1" applyFill="1"/>
    <xf numFmtId="0" fontId="2" fillId="0" borderId="0" xfId="0" applyFont="1"/>
    <xf numFmtId="9" fontId="1" fillId="0" borderId="0" xfId="0" applyNumberFormat="1" applyFont="1" applyAlignment="1">
      <alignment horizontal="center"/>
    </xf>
    <xf numFmtId="0" fontId="1" fillId="0" borderId="0" xfId="0" applyFont="1" applyAlignment="1">
      <alignment horizontal="center"/>
    </xf>
    <xf numFmtId="0" fontId="3" fillId="0" borderId="0" xfId="0" applyFont="1"/>
    <xf numFmtId="10" fontId="1" fillId="0" borderId="0" xfId="0" applyNumberFormat="1" applyFont="1" applyAlignment="1">
      <alignment horizontal="center"/>
    </xf>
    <xf numFmtId="0" fontId="7" fillId="0" borderId="0" xfId="0" applyFont="1" applyAlignment="1">
      <alignment vertical="top" textRotation="90"/>
    </xf>
    <xf numFmtId="0" fontId="1" fillId="2" borderId="4" xfId="0" applyFont="1" applyFill="1" applyBorder="1" applyAlignment="1">
      <alignment horizontal="center"/>
    </xf>
    <xf numFmtId="0" fontId="1" fillId="0" borderId="2" xfId="0" applyFont="1" applyBorder="1" applyAlignment="1">
      <alignment horizontal="center"/>
    </xf>
    <xf numFmtId="9" fontId="1" fillId="0" borderId="2" xfId="0" applyNumberFormat="1" applyFont="1" applyBorder="1" applyAlignment="1">
      <alignment horizontal="center"/>
    </xf>
    <xf numFmtId="0" fontId="1" fillId="0" borderId="5" xfId="0" applyFont="1" applyBorder="1" applyAlignment="1">
      <alignment horizontal="center"/>
    </xf>
    <xf numFmtId="0" fontId="6" fillId="5" borderId="0" xfId="0" applyFont="1" applyFill="1" applyAlignment="1">
      <alignment horizontal="center"/>
    </xf>
    <xf numFmtId="0" fontId="6" fillId="6" borderId="0" xfId="0" applyFont="1" applyFill="1" applyAlignment="1">
      <alignment horizontal="center"/>
    </xf>
    <xf numFmtId="0" fontId="4" fillId="0" borderId="0" xfId="0" applyFont="1"/>
    <xf numFmtId="9" fontId="4" fillId="0" borderId="0" xfId="0" applyNumberFormat="1" applyFont="1"/>
    <xf numFmtId="1" fontId="4" fillId="0" borderId="0" xfId="0" applyNumberFormat="1" applyFont="1"/>
    <xf numFmtId="0" fontId="4" fillId="0" borderId="1" xfId="0" applyFont="1" applyBorder="1"/>
    <xf numFmtId="0" fontId="4" fillId="0" borderId="1" xfId="0" applyFont="1" applyBorder="1" applyAlignment="1">
      <alignment horizontal="center"/>
    </xf>
    <xf numFmtId="0" fontId="4" fillId="0" borderId="7" xfId="0" applyFont="1" applyBorder="1"/>
    <xf numFmtId="0" fontId="4" fillId="0" borderId="7" xfId="0" applyFont="1" applyBorder="1" applyAlignment="1">
      <alignment horizontal="center"/>
    </xf>
    <xf numFmtId="0" fontId="4" fillId="11" borderId="7" xfId="0" applyFont="1" applyFill="1" applyBorder="1"/>
    <xf numFmtId="0" fontId="4" fillId="12" borderId="7" xfId="0" applyFont="1" applyFill="1" applyBorder="1"/>
    <xf numFmtId="0" fontId="4" fillId="13" borderId="7" xfId="0" applyFont="1" applyFill="1" applyBorder="1"/>
    <xf numFmtId="0" fontId="4" fillId="14" borderId="7" xfId="0" applyFont="1" applyFill="1" applyBorder="1"/>
    <xf numFmtId="0" fontId="4" fillId="0" borderId="0" xfId="0" applyFont="1" applyAlignment="1">
      <alignment horizontal="center"/>
    </xf>
    <xf numFmtId="1" fontId="1" fillId="0" borderId="0" xfId="0" applyNumberFormat="1" applyFont="1" applyAlignment="1">
      <alignment horizontal="center"/>
    </xf>
    <xf numFmtId="0" fontId="1" fillId="2" borderId="0" xfId="0" applyFont="1" applyFill="1"/>
    <xf numFmtId="0" fontId="10" fillId="0" borderId="8" xfId="0" applyFont="1" applyBorder="1"/>
    <xf numFmtId="9" fontId="12" fillId="0" borderId="8" xfId="0" applyNumberFormat="1" applyFont="1" applyBorder="1"/>
    <xf numFmtId="9" fontId="12" fillId="0" borderId="10" xfId="0" applyNumberFormat="1" applyFont="1" applyBorder="1"/>
    <xf numFmtId="0" fontId="0" fillId="0" borderId="0" xfId="0" applyAlignment="1">
      <alignment wrapText="1"/>
    </xf>
    <xf numFmtId="0" fontId="14" fillId="0" borderId="0" xfId="0" applyFont="1"/>
    <xf numFmtId="9" fontId="13" fillId="0" borderId="0" xfId="0" applyNumberFormat="1" applyFont="1" applyAlignment="1">
      <alignment horizontal="center" vertical="center"/>
    </xf>
    <xf numFmtId="0" fontId="11" fillId="15" borderId="9" xfId="0" applyFont="1" applyFill="1" applyBorder="1"/>
    <xf numFmtId="0" fontId="11" fillId="15" borderId="9" xfId="0" applyFont="1" applyFill="1" applyBorder="1" applyAlignment="1">
      <alignment wrapText="1"/>
    </xf>
    <xf numFmtId="0" fontId="11" fillId="15" borderId="9" xfId="0" applyFont="1" applyFill="1" applyBorder="1" applyAlignment="1">
      <alignment horizontal="left" wrapText="1"/>
    </xf>
    <xf numFmtId="0" fontId="11" fillId="15" borderId="9" xfId="0" applyFont="1" applyFill="1" applyBorder="1" applyAlignment="1">
      <alignment horizontal="center" wrapText="1"/>
    </xf>
    <xf numFmtId="0" fontId="11" fillId="18" borderId="9" xfId="0" applyFont="1" applyFill="1" applyBorder="1" applyAlignment="1">
      <alignment horizontal="center" wrapText="1"/>
    </xf>
    <xf numFmtId="0" fontId="11" fillId="17" borderId="9" xfId="0" applyFont="1" applyFill="1" applyBorder="1" applyAlignment="1">
      <alignment horizontal="center" wrapText="1"/>
    </xf>
    <xf numFmtId="0" fontId="9" fillId="11" borderId="9" xfId="0" applyFont="1" applyFill="1" applyBorder="1" applyAlignment="1">
      <alignment horizontal="center" wrapText="1"/>
    </xf>
    <xf numFmtId="0" fontId="15" fillId="0" borderId="8" xfId="0" applyFont="1" applyBorder="1" applyAlignment="1">
      <alignment horizontal="left" vertical="center"/>
    </xf>
    <xf numFmtId="0" fontId="16" fillId="0" borderId="8" xfId="0" applyFont="1" applyBorder="1"/>
    <xf numFmtId="0" fontId="17" fillId="0" borderId="8" xfId="0" applyFont="1" applyBorder="1" applyAlignment="1">
      <alignment horizontal="center" vertical="center"/>
    </xf>
    <xf numFmtId="0" fontId="18" fillId="0" borderId="8" xfId="0" applyFont="1" applyBorder="1"/>
    <xf numFmtId="0" fontId="0" fillId="0" borderId="0" xfId="0" applyAlignment="1">
      <alignment horizontal="left"/>
    </xf>
    <xf numFmtId="0" fontId="19" fillId="0" borderId="8" xfId="0" applyFont="1" applyBorder="1" applyAlignment="1">
      <alignment horizontal="center"/>
    </xf>
    <xf numFmtId="0" fontId="20" fillId="0" borderId="0" xfId="0" applyFont="1"/>
    <xf numFmtId="0" fontId="19" fillId="0" borderId="0" xfId="0" applyFont="1"/>
    <xf numFmtId="0" fontId="19" fillId="0" borderId="8" xfId="0" applyFont="1" applyBorder="1"/>
    <xf numFmtId="9" fontId="21" fillId="16" borderId="8" xfId="0" applyNumberFormat="1" applyFont="1" applyFill="1" applyBorder="1" applyAlignment="1">
      <alignment horizontal="center"/>
    </xf>
    <xf numFmtId="9" fontId="19" fillId="0" borderId="8" xfId="0" applyNumberFormat="1" applyFont="1" applyBorder="1" applyAlignment="1">
      <alignment horizontal="center"/>
    </xf>
    <xf numFmtId="0" fontId="22" fillId="19" borderId="8" xfId="0" applyFont="1" applyFill="1" applyBorder="1"/>
    <xf numFmtId="0" fontId="22" fillId="19" borderId="1" xfId="0" applyFont="1" applyFill="1" applyBorder="1"/>
    <xf numFmtId="0" fontId="23" fillId="19" borderId="10" xfId="0" applyFont="1" applyFill="1" applyBorder="1"/>
    <xf numFmtId="0" fontId="23" fillId="19" borderId="10" xfId="0" applyFont="1" applyFill="1" applyBorder="1" applyAlignment="1">
      <alignment horizontal="center"/>
    </xf>
    <xf numFmtId="0" fontId="23" fillId="19" borderId="8" xfId="0" applyFont="1" applyFill="1" applyBorder="1" applyAlignment="1">
      <alignment horizontal="center"/>
    </xf>
    <xf numFmtId="0" fontId="24" fillId="0" borderId="0" xfId="0" applyFont="1" applyAlignment="1">
      <alignment horizontal="center"/>
    </xf>
    <xf numFmtId="0" fontId="6" fillId="8" borderId="0" xfId="0" applyFont="1" applyFill="1" applyAlignment="1">
      <alignment horizontal="center"/>
    </xf>
    <xf numFmtId="0" fontId="6" fillId="10" borderId="0" xfId="0" applyFont="1" applyFill="1" applyAlignment="1">
      <alignment horizontal="center"/>
    </xf>
    <xf numFmtId="9" fontId="0" fillId="0" borderId="0" xfId="0" applyNumberFormat="1"/>
    <xf numFmtId="0" fontId="0" fillId="0" borderId="0" xfId="0" applyAlignment="1">
      <alignment horizontal="center"/>
    </xf>
    <xf numFmtId="10" fontId="0" fillId="0" borderId="0" xfId="0" applyNumberFormat="1"/>
    <xf numFmtId="0" fontId="19" fillId="2" borderId="0" xfId="0" applyFont="1" applyFill="1" applyAlignment="1">
      <alignment horizontal="center"/>
    </xf>
    <xf numFmtId="0" fontId="15" fillId="0" borderId="0" xfId="0" applyFont="1" applyAlignment="1">
      <alignment horizontal="center"/>
    </xf>
    <xf numFmtId="0" fontId="22" fillId="0" borderId="0" xfId="0" applyFont="1" applyAlignment="1">
      <alignment horizontal="center"/>
    </xf>
    <xf numFmtId="0" fontId="4" fillId="0" borderId="8" xfId="0" applyFont="1" applyBorder="1" applyAlignment="1">
      <alignment horizontal="left" vertical="center"/>
    </xf>
    <xf numFmtId="0" fontId="4" fillId="0" borderId="8" xfId="0" applyFont="1" applyBorder="1" applyAlignment="1">
      <alignment horizontal="left" vertical="top" wrapText="1"/>
    </xf>
    <xf numFmtId="0" fontId="4" fillId="0" borderId="8" xfId="0" applyFont="1" applyBorder="1" applyAlignment="1">
      <alignment horizontal="left" vertical="center" wrapText="1"/>
    </xf>
    <xf numFmtId="9" fontId="4" fillId="0" borderId="8" xfId="0" applyNumberFormat="1" applyFont="1" applyBorder="1" applyAlignment="1">
      <alignment horizontal="center" vertical="center"/>
    </xf>
    <xf numFmtId="0" fontId="4" fillId="0" borderId="8" xfId="0" applyFont="1" applyBorder="1" applyAlignment="1">
      <alignment horizontal="center" vertical="center"/>
    </xf>
    <xf numFmtId="0" fontId="4" fillId="0" borderId="8" xfId="0" applyFont="1" applyBorder="1" applyAlignment="1">
      <alignment horizontal="left" wrapText="1"/>
    </xf>
    <xf numFmtId="9" fontId="1" fillId="0" borderId="8" xfId="0" applyNumberFormat="1" applyFont="1" applyBorder="1" applyAlignment="1">
      <alignment horizontal="center" vertical="center"/>
    </xf>
    <xf numFmtId="49"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4" fillId="0" borderId="8" xfId="0" applyFont="1" applyBorder="1" applyAlignment="1">
      <alignment wrapText="1"/>
    </xf>
    <xf numFmtId="0" fontId="22" fillId="19" borderId="11" xfId="0" applyFont="1" applyFill="1" applyBorder="1"/>
    <xf numFmtId="0" fontId="23" fillId="19" borderId="8" xfId="0" applyFont="1" applyFill="1" applyBorder="1"/>
    <xf numFmtId="0" fontId="1" fillId="0" borderId="3" xfId="0" applyFont="1" applyBorder="1" applyAlignment="1">
      <alignment horizontal="center"/>
    </xf>
    <xf numFmtId="9" fontId="4" fillId="0" borderId="0" xfId="0" applyNumberFormat="1" applyFont="1" applyAlignment="1">
      <alignment horizontal="center"/>
    </xf>
    <xf numFmtId="9" fontId="4" fillId="0" borderId="0" xfId="0" applyNumberFormat="1" applyFont="1" applyAlignment="1">
      <alignment horizontal="center" vertical="center"/>
    </xf>
    <xf numFmtId="0" fontId="0" fillId="0" borderId="2" xfId="0" applyBorder="1" applyAlignment="1">
      <alignment horizontal="left"/>
    </xf>
    <xf numFmtId="0" fontId="7" fillId="4" borderId="6" xfId="0" applyFont="1" applyFill="1" applyBorder="1" applyAlignment="1">
      <alignment horizontal="center" vertical="center" textRotation="90"/>
    </xf>
    <xf numFmtId="0" fontId="7" fillId="4" borderId="0" xfId="0" applyFont="1" applyFill="1" applyAlignment="1">
      <alignment horizontal="center" vertical="center" textRotation="90"/>
    </xf>
    <xf numFmtId="0" fontId="7" fillId="6" borderId="0" xfId="0" applyFont="1" applyFill="1" applyAlignment="1">
      <alignment horizontal="center" vertical="center" textRotation="90"/>
    </xf>
    <xf numFmtId="0" fontId="8" fillId="7" borderId="0" xfId="0" applyFont="1" applyFill="1" applyAlignment="1">
      <alignment horizontal="center" vertical="center" textRotation="90"/>
    </xf>
    <xf numFmtId="0" fontId="8" fillId="9" borderId="0" xfId="0" applyFont="1" applyFill="1" applyAlignment="1">
      <alignment horizontal="center" vertical="center" textRotation="90"/>
    </xf>
    <xf numFmtId="0" fontId="1" fillId="2" borderId="0" xfId="0" applyFont="1" applyFill="1" applyAlignment="1">
      <alignment horizontal="center"/>
    </xf>
    <xf numFmtId="0" fontId="1" fillId="0" borderId="4" xfId="0" applyFont="1" applyBorder="1" applyAlignment="1">
      <alignment horizontal="center"/>
    </xf>
    <xf numFmtId="0" fontId="15" fillId="2" borderId="1" xfId="0" applyFont="1" applyFill="1" applyBorder="1" applyAlignment="1">
      <alignment horizontal="center" wrapText="1"/>
    </xf>
    <xf numFmtId="9" fontId="28" fillId="0" borderId="0" xfId="0" applyNumberFormat="1" applyFont="1" applyAlignment="1">
      <alignment horizontal="center"/>
    </xf>
    <xf numFmtId="1" fontId="28" fillId="0" borderId="0" xfId="0" applyNumberFormat="1" applyFont="1" applyAlignment="1">
      <alignment horizontal="center"/>
    </xf>
    <xf numFmtId="0" fontId="31" fillId="0" borderId="0" xfId="0" applyFont="1" applyAlignment="1">
      <alignment horizontal="center"/>
    </xf>
    <xf numFmtId="0" fontId="28" fillId="2" borderId="0" xfId="0" applyFont="1" applyFill="1" applyAlignment="1">
      <alignment horizontal="center"/>
    </xf>
    <xf numFmtId="0" fontId="33" fillId="0" borderId="0" xfId="0" applyFont="1" applyAlignment="1">
      <alignment horizontal="center" vertical="top" textRotation="90"/>
    </xf>
    <xf numFmtId="0" fontId="0" fillId="0" borderId="0" xfId="0" applyAlignment="1">
      <alignment horizontal="center" vertical="center"/>
    </xf>
    <xf numFmtId="0" fontId="0" fillId="0" borderId="0" xfId="0" applyAlignment="1">
      <alignment horizontal="left" vertical="center"/>
    </xf>
    <xf numFmtId="0" fontId="2" fillId="2" borderId="0" xfId="0" applyFont="1" applyFill="1" applyAlignment="1">
      <alignment horizontal="left" vertical="center"/>
    </xf>
    <xf numFmtId="0" fontId="7" fillId="0" borderId="0" xfId="0" applyFont="1" applyAlignment="1">
      <alignment horizontal="left" vertical="center" textRotation="90"/>
    </xf>
    <xf numFmtId="9" fontId="1" fillId="0" borderId="0" xfId="0" applyNumberFormat="1" applyFont="1" applyAlignment="1">
      <alignment horizontal="left" vertical="center"/>
    </xf>
    <xf numFmtId="1" fontId="1" fillId="0" borderId="0" xfId="0" applyNumberFormat="1" applyFont="1" applyAlignment="1">
      <alignment horizontal="left" vertical="center"/>
    </xf>
    <xf numFmtId="0" fontId="1" fillId="2" borderId="0" xfId="0" applyFont="1" applyFill="1" applyAlignment="1">
      <alignment horizontal="left" vertical="center"/>
    </xf>
    <xf numFmtId="0" fontId="4" fillId="0" borderId="0" xfId="0" applyFont="1" applyAlignment="1">
      <alignment horizontal="left" vertical="center"/>
    </xf>
    <xf numFmtId="0" fontId="35" fillId="0" borderId="0" xfId="0" applyFont="1" applyAlignment="1">
      <alignment horizontal="left"/>
    </xf>
    <xf numFmtId="0" fontId="35" fillId="0" borderId="0" xfId="0" applyFont="1" applyAlignment="1">
      <alignment horizontal="center"/>
    </xf>
    <xf numFmtId="0" fontId="35" fillId="0" borderId="0" xfId="0" applyFont="1"/>
    <xf numFmtId="0" fontId="36" fillId="21" borderId="13" xfId="0" applyFont="1" applyFill="1" applyBorder="1" applyAlignment="1">
      <alignment horizontal="center" vertical="center" wrapText="1"/>
    </xf>
    <xf numFmtId="0" fontId="36" fillId="21" borderId="14" xfId="0" applyFont="1" applyFill="1" applyBorder="1" applyAlignment="1">
      <alignment horizontal="center" vertical="center" wrapText="1"/>
    </xf>
    <xf numFmtId="0" fontId="36" fillId="22" borderId="14" xfId="0" applyFont="1" applyFill="1" applyBorder="1" applyAlignment="1">
      <alignment horizontal="center" vertical="center" wrapText="1"/>
    </xf>
    <xf numFmtId="0" fontId="36" fillId="23" borderId="14" xfId="0" applyFont="1" applyFill="1" applyBorder="1" applyAlignment="1">
      <alignment horizontal="center" vertical="center" wrapText="1"/>
    </xf>
    <xf numFmtId="0" fontId="36" fillId="23" borderId="15" xfId="0" applyFont="1" applyFill="1" applyBorder="1" applyAlignment="1">
      <alignment horizontal="center" vertical="center" wrapText="1"/>
    </xf>
    <xf numFmtId="0" fontId="37" fillId="0" borderId="0" xfId="0" applyFont="1"/>
    <xf numFmtId="0" fontId="38" fillId="0" borderId="16" xfId="0" applyFont="1" applyBorder="1" applyAlignment="1">
      <alignment horizontal="center" vertical="center"/>
    </xf>
    <xf numFmtId="15" fontId="38" fillId="0" borderId="10" xfId="0" applyNumberFormat="1" applyFont="1" applyBorder="1" applyAlignment="1">
      <alignment horizontal="center" vertical="center"/>
    </xf>
    <xf numFmtId="0" fontId="38" fillId="0" borderId="10" xfId="0" applyFont="1" applyBorder="1" applyAlignment="1">
      <alignment horizontal="left" vertical="center" wrapText="1"/>
    </xf>
    <xf numFmtId="0" fontId="38" fillId="0" borderId="10" xfId="0" applyFont="1" applyBorder="1" applyAlignment="1">
      <alignment horizontal="left" vertical="center"/>
    </xf>
    <xf numFmtId="15" fontId="38" fillId="0" borderId="10" xfId="0" applyNumberFormat="1" applyFont="1" applyBorder="1" applyAlignment="1">
      <alignment horizontal="left" vertical="center"/>
    </xf>
    <xf numFmtId="0" fontId="39" fillId="0" borderId="0" xfId="0" applyFont="1" applyAlignment="1">
      <alignment horizontal="left" vertical="center"/>
    </xf>
    <xf numFmtId="0" fontId="38" fillId="0" borderId="8" xfId="0" applyFont="1" applyBorder="1" applyAlignment="1">
      <alignment horizontal="left" vertical="center"/>
    </xf>
    <xf numFmtId="0" fontId="38" fillId="0" borderId="8" xfId="0" applyFont="1" applyBorder="1" applyAlignment="1">
      <alignment horizontal="left" vertical="center" wrapText="1"/>
    </xf>
    <xf numFmtId="0" fontId="39" fillId="0" borderId="0" xfId="0" applyFont="1" applyAlignment="1">
      <alignment horizontal="left"/>
    </xf>
    <xf numFmtId="0" fontId="38" fillId="0" borderId="20" xfId="0" applyFont="1" applyBorder="1" applyAlignment="1">
      <alignment horizontal="left" vertical="center" wrapText="1"/>
    </xf>
    <xf numFmtId="0" fontId="38" fillId="0" borderId="18" xfId="0" applyFont="1" applyBorder="1" applyAlignment="1">
      <alignment horizontal="left"/>
    </xf>
    <xf numFmtId="0" fontId="38" fillId="0" borderId="21" xfId="0" applyFont="1" applyBorder="1" applyAlignment="1">
      <alignment horizontal="left" vertical="center"/>
    </xf>
    <xf numFmtId="0" fontId="38" fillId="0" borderId="23" xfId="0" applyFont="1" applyBorder="1" applyAlignment="1">
      <alignment horizontal="left" vertical="center"/>
    </xf>
    <xf numFmtId="0" fontId="38" fillId="0" borderId="17" xfId="0" applyFont="1" applyBorder="1" applyAlignment="1">
      <alignment horizontal="center"/>
    </xf>
    <xf numFmtId="15" fontId="38" fillId="0" borderId="8" xfId="0" applyNumberFormat="1" applyFont="1" applyBorder="1" applyAlignment="1">
      <alignment horizontal="center"/>
    </xf>
    <xf numFmtId="0" fontId="38" fillId="0" borderId="20" xfId="0" applyFont="1" applyBorder="1" applyAlignment="1">
      <alignment horizontal="left" vertical="center"/>
    </xf>
    <xf numFmtId="15" fontId="38" fillId="0" borderId="20" xfId="0" applyNumberFormat="1" applyFont="1" applyBorder="1" applyAlignment="1">
      <alignment horizontal="left" vertical="center"/>
    </xf>
    <xf numFmtId="0" fontId="38" fillId="0" borderId="24" xfId="0" applyFont="1" applyBorder="1" applyAlignment="1">
      <alignment horizontal="left" vertical="center" wrapText="1"/>
    </xf>
    <xf numFmtId="15" fontId="38" fillId="0" borderId="8" xfId="0" applyNumberFormat="1" applyFont="1" applyBorder="1" applyAlignment="1">
      <alignment horizontal="left" vertical="center"/>
    </xf>
    <xf numFmtId="0" fontId="38" fillId="0" borderId="8" xfId="0" applyFont="1" applyBorder="1" applyAlignment="1">
      <alignment horizontal="left" wrapText="1"/>
    </xf>
    <xf numFmtId="0" fontId="39" fillId="0" borderId="8" xfId="0" applyFont="1" applyBorder="1" applyAlignment="1">
      <alignment horizontal="left"/>
    </xf>
    <xf numFmtId="0" fontId="39" fillId="0" borderId="23" xfId="0" applyFont="1" applyBorder="1" applyAlignment="1">
      <alignment horizontal="left"/>
    </xf>
    <xf numFmtId="0" fontId="38" fillId="0" borderId="17" xfId="0" applyFont="1" applyBorder="1" applyAlignment="1">
      <alignment horizontal="center" vertical="center"/>
    </xf>
    <xf numFmtId="15" fontId="38" fillId="0" borderId="8" xfId="0" applyNumberFormat="1" applyFont="1" applyBorder="1" applyAlignment="1">
      <alignment horizontal="center" vertical="center"/>
    </xf>
    <xf numFmtId="0" fontId="39" fillId="0" borderId="21" xfId="0" applyFont="1" applyBorder="1" applyAlignment="1">
      <alignment horizontal="left" vertical="center"/>
    </xf>
    <xf numFmtId="0" fontId="38" fillId="0" borderId="21" xfId="0" applyFont="1" applyBorder="1" applyAlignment="1">
      <alignment horizontal="left" vertical="center" wrapText="1"/>
    </xf>
    <xf numFmtId="15" fontId="38" fillId="0" borderId="9" xfId="0" applyNumberFormat="1" applyFont="1" applyBorder="1" applyAlignment="1">
      <alignment horizontal="center" vertical="center"/>
    </xf>
    <xf numFmtId="0" fontId="39" fillId="0" borderId="23" xfId="0" applyFont="1" applyBorder="1" applyAlignment="1">
      <alignment horizontal="left" vertical="center"/>
    </xf>
    <xf numFmtId="0" fontId="38" fillId="0" borderId="23" xfId="0" applyFont="1" applyBorder="1" applyAlignment="1">
      <alignment horizontal="left" vertical="center" wrapText="1"/>
    </xf>
    <xf numFmtId="0" fontId="38" fillId="0" borderId="9" xfId="0" applyFont="1" applyBorder="1" applyAlignment="1">
      <alignment horizontal="left" vertical="center"/>
    </xf>
    <xf numFmtId="15" fontId="38" fillId="0" borderId="9" xfId="0" applyNumberFormat="1" applyFont="1" applyBorder="1" applyAlignment="1">
      <alignment horizontal="left" vertical="center"/>
    </xf>
    <xf numFmtId="0" fontId="38" fillId="0" borderId="9" xfId="0" applyFont="1" applyBorder="1" applyAlignment="1">
      <alignment horizontal="left" vertical="center" wrapText="1"/>
    </xf>
    <xf numFmtId="0" fontId="38" fillId="0" borderId="8" xfId="0" applyFont="1" applyBorder="1" applyAlignment="1">
      <alignment horizontal="left"/>
    </xf>
    <xf numFmtId="0" fontId="39" fillId="0" borderId="9" xfId="0" applyFont="1" applyBorder="1" applyAlignment="1">
      <alignment horizontal="left"/>
    </xf>
    <xf numFmtId="0" fontId="38" fillId="0" borderId="25" xfId="0" applyFont="1" applyBorder="1" applyAlignment="1">
      <alignment horizontal="center" vertical="center"/>
    </xf>
    <xf numFmtId="0" fontId="38" fillId="0" borderId="9" xfId="0" applyFont="1" applyBorder="1" applyAlignment="1">
      <alignment horizontal="left"/>
    </xf>
    <xf numFmtId="0" fontId="38" fillId="0" borderId="0" xfId="0" applyFont="1" applyAlignment="1">
      <alignment horizontal="left"/>
    </xf>
    <xf numFmtId="0" fontId="38" fillId="0" borderId="8" xfId="0" applyFont="1" applyBorder="1" applyAlignment="1">
      <alignment horizontal="center" vertical="center"/>
    </xf>
    <xf numFmtId="14" fontId="39" fillId="0" borderId="8" xfId="0" applyNumberFormat="1" applyFont="1" applyBorder="1" applyAlignment="1">
      <alignment horizontal="left"/>
    </xf>
    <xf numFmtId="0" fontId="39" fillId="0" borderId="9" xfId="0" applyFont="1" applyBorder="1" applyAlignment="1">
      <alignment horizontal="center"/>
    </xf>
    <xf numFmtId="14" fontId="39" fillId="0" borderId="9" xfId="0" applyNumberFormat="1" applyFont="1" applyBorder="1" applyAlignment="1">
      <alignment horizontal="left"/>
    </xf>
    <xf numFmtId="0" fontId="39" fillId="0" borderId="8" xfId="0" applyFont="1" applyBorder="1" applyAlignment="1">
      <alignment horizontal="center"/>
    </xf>
    <xf numFmtId="0" fontId="1" fillId="2" borderId="8" xfId="0" applyFont="1" applyFill="1" applyBorder="1" applyAlignment="1">
      <alignment horizontal="left" vertical="center"/>
    </xf>
    <xf numFmtId="0" fontId="1" fillId="2" borderId="19" xfId="0" applyFont="1" applyFill="1" applyBorder="1" applyAlignment="1">
      <alignment horizontal="left" vertical="center"/>
    </xf>
    <xf numFmtId="0" fontId="1" fillId="2" borderId="19" xfId="0" applyFont="1" applyFill="1" applyBorder="1" applyAlignment="1">
      <alignment horizontal="left" vertical="center" wrapText="1"/>
    </xf>
    <xf numFmtId="0" fontId="39" fillId="0" borderId="19" xfId="0" applyFont="1" applyBorder="1" applyAlignment="1">
      <alignment horizontal="left"/>
    </xf>
    <xf numFmtId="0" fontId="35" fillId="0" borderId="8" xfId="0" applyFont="1" applyBorder="1" applyAlignment="1">
      <alignment horizontal="left"/>
    </xf>
    <xf numFmtId="0" fontId="1" fillId="2" borderId="26" xfId="0" applyFont="1" applyFill="1" applyBorder="1" applyAlignment="1">
      <alignment horizontal="left" vertical="center" wrapText="1"/>
    </xf>
    <xf numFmtId="0" fontId="1" fillId="2" borderId="26" xfId="0" applyFont="1" applyFill="1" applyBorder="1" applyAlignment="1">
      <alignment horizontal="left" vertical="center"/>
    </xf>
    <xf numFmtId="14" fontId="35" fillId="0" borderId="8" xfId="0" applyNumberFormat="1" applyFont="1" applyBorder="1" applyAlignment="1">
      <alignment horizontal="left"/>
    </xf>
    <xf numFmtId="0" fontId="35" fillId="0" borderId="19" xfId="0" applyFont="1" applyBorder="1" applyAlignment="1">
      <alignment horizontal="left"/>
    </xf>
    <xf numFmtId="0" fontId="1" fillId="2" borderId="21" xfId="0" applyFont="1" applyFill="1" applyBorder="1" applyAlignment="1">
      <alignment horizontal="left" vertical="center"/>
    </xf>
    <xf numFmtId="0" fontId="35" fillId="0" borderId="8" xfId="0" applyFont="1" applyBorder="1" applyAlignment="1">
      <alignment horizontal="center"/>
    </xf>
    <xf numFmtId="14" fontId="35" fillId="0" borderId="8" xfId="0" applyNumberFormat="1" applyFont="1" applyBorder="1" applyAlignment="1">
      <alignment horizontal="center"/>
    </xf>
    <xf numFmtId="0" fontId="1" fillId="2" borderId="27" xfId="0" applyFont="1" applyFill="1" applyBorder="1" applyAlignment="1">
      <alignment horizontal="left" vertical="center"/>
    </xf>
    <xf numFmtId="0" fontId="31" fillId="0" borderId="8" xfId="0" applyFont="1" applyBorder="1" applyAlignment="1">
      <alignment horizontal="center" vertical="center"/>
    </xf>
    <xf numFmtId="0" fontId="0" fillId="0" borderId="8" xfId="0" applyBorder="1" applyAlignment="1">
      <alignment horizontal="center" vertical="center"/>
    </xf>
    <xf numFmtId="9" fontId="28" fillId="0" borderId="8" xfId="0" applyNumberFormat="1" applyFont="1" applyBorder="1" applyAlignment="1">
      <alignment horizontal="center" vertical="center"/>
    </xf>
    <xf numFmtId="0" fontId="28" fillId="0" borderId="8" xfId="0" applyFont="1" applyBorder="1" applyAlignment="1">
      <alignment horizontal="center" vertical="center"/>
    </xf>
    <xf numFmtId="0" fontId="29" fillId="0" borderId="8" xfId="0" applyFont="1" applyBorder="1" applyAlignment="1">
      <alignment horizontal="left" vertical="center" wrapText="1"/>
    </xf>
    <xf numFmtId="0" fontId="25" fillId="2" borderId="0" xfId="0" applyFont="1" applyFill="1" applyAlignment="1">
      <alignment horizontal="center"/>
    </xf>
    <xf numFmtId="0" fontId="25" fillId="0" borderId="0" xfId="0" applyFont="1" applyAlignment="1">
      <alignment horizontal="center"/>
    </xf>
    <xf numFmtId="0" fontId="26" fillId="0" borderId="0" xfId="0" applyFont="1" applyAlignment="1">
      <alignment horizontal="center"/>
    </xf>
    <xf numFmtId="0" fontId="0" fillId="0" borderId="8" xfId="0" applyBorder="1" applyAlignment="1">
      <alignment horizontal="left" vertical="center"/>
    </xf>
    <xf numFmtId="0" fontId="2" fillId="2" borderId="8" xfId="0" applyFont="1" applyFill="1" applyBorder="1" applyAlignment="1">
      <alignment horizontal="left" vertical="center"/>
    </xf>
    <xf numFmtId="0" fontId="7" fillId="0" borderId="8" xfId="0" applyFont="1" applyBorder="1" applyAlignment="1">
      <alignment horizontal="left" vertical="center" textRotation="90"/>
    </xf>
    <xf numFmtId="9" fontId="1" fillId="0" borderId="8" xfId="0" applyNumberFormat="1" applyFont="1" applyBorder="1" applyAlignment="1">
      <alignment horizontal="left" vertical="center"/>
    </xf>
    <xf numFmtId="1" fontId="1" fillId="0" borderId="8" xfId="0" applyNumberFormat="1" applyFont="1" applyBorder="1" applyAlignment="1">
      <alignment horizontal="left" vertical="center"/>
    </xf>
    <xf numFmtId="0" fontId="0" fillId="0" borderId="8" xfId="0" applyBorder="1"/>
    <xf numFmtId="0" fontId="2" fillId="2" borderId="8" xfId="0" applyFont="1" applyFill="1" applyBorder="1"/>
    <xf numFmtId="0" fontId="7" fillId="0" borderId="8" xfId="0" applyFont="1" applyBorder="1" applyAlignment="1">
      <alignment vertical="top" textRotation="90"/>
    </xf>
    <xf numFmtId="0" fontId="1" fillId="2" borderId="8" xfId="0" applyFont="1" applyFill="1" applyBorder="1" applyAlignment="1">
      <alignment horizontal="left" wrapText="1"/>
    </xf>
    <xf numFmtId="0" fontId="1" fillId="0" borderId="8" xfId="0" applyFont="1" applyBorder="1" applyAlignment="1">
      <alignment horizontal="left"/>
    </xf>
    <xf numFmtId="0" fontId="1" fillId="2" borderId="8" xfId="0" applyFont="1" applyFill="1" applyBorder="1" applyAlignment="1">
      <alignment horizontal="left"/>
    </xf>
    <xf numFmtId="0" fontId="0" fillId="0" borderId="8" xfId="0" applyBorder="1" applyAlignment="1">
      <alignment horizontal="left"/>
    </xf>
    <xf numFmtId="0" fontId="1" fillId="0" borderId="8" xfId="0" applyFont="1" applyBorder="1" applyAlignment="1">
      <alignment horizontal="left" wrapText="1"/>
    </xf>
    <xf numFmtId="0" fontId="29" fillId="0" borderId="8" xfId="0" applyFont="1" applyBorder="1" applyAlignment="1">
      <alignment horizontal="left" wrapText="1"/>
    </xf>
    <xf numFmtId="0" fontId="0" fillId="0" borderId="8" xfId="0" applyBorder="1" applyAlignment="1">
      <alignment horizontal="left" wrapText="1"/>
    </xf>
    <xf numFmtId="0" fontId="22" fillId="3" borderId="28" xfId="0" applyFont="1" applyFill="1" applyBorder="1" applyAlignment="1">
      <alignment horizontal="center"/>
    </xf>
    <xf numFmtId="0" fontId="22" fillId="3" borderId="29" xfId="0" applyFont="1" applyFill="1" applyBorder="1" applyAlignment="1">
      <alignment horizontal="center" vertical="center"/>
    </xf>
    <xf numFmtId="0" fontId="22" fillId="3" borderId="29" xfId="0" applyFont="1" applyFill="1" applyBorder="1" applyAlignment="1">
      <alignment horizontal="center" vertical="center" wrapText="1"/>
    </xf>
    <xf numFmtId="0" fontId="22" fillId="3" borderId="30" xfId="0" applyFont="1" applyFill="1" applyBorder="1" applyAlignment="1">
      <alignment horizontal="center" vertical="center" wrapText="1"/>
    </xf>
    <xf numFmtId="0" fontId="22" fillId="3" borderId="30" xfId="0" applyFont="1" applyFill="1" applyBorder="1" applyAlignment="1">
      <alignment horizontal="center" vertical="center"/>
    </xf>
    <xf numFmtId="0" fontId="22" fillId="3" borderId="22" xfId="0" applyFont="1" applyFill="1" applyBorder="1" applyAlignment="1">
      <alignment horizontal="center" vertical="center" wrapText="1"/>
    </xf>
    <xf numFmtId="0" fontId="22" fillId="3" borderId="29" xfId="0" applyFont="1" applyFill="1" applyBorder="1" applyAlignment="1">
      <alignment horizontal="center"/>
    </xf>
    <xf numFmtId="0" fontId="1" fillId="2" borderId="10" xfId="0" applyFont="1" applyFill="1" applyBorder="1" applyAlignment="1">
      <alignment horizontal="left" vertical="center"/>
    </xf>
    <xf numFmtId="0" fontId="31" fillId="0" borderId="10" xfId="0" applyFont="1" applyBorder="1" applyAlignment="1">
      <alignment horizontal="center" vertical="center"/>
    </xf>
    <xf numFmtId="9" fontId="28" fillId="0" borderId="10" xfId="0" applyNumberFormat="1" applyFont="1" applyBorder="1" applyAlignment="1">
      <alignment horizontal="center" vertical="center"/>
    </xf>
    <xf numFmtId="0" fontId="28" fillId="0" borderId="10" xfId="0" applyFont="1" applyBorder="1" applyAlignment="1">
      <alignment horizontal="center" vertical="center"/>
    </xf>
    <xf numFmtId="0" fontId="29" fillId="0" borderId="10" xfId="0" applyFont="1" applyBorder="1" applyAlignment="1">
      <alignment horizontal="left" vertical="center" wrapText="1"/>
    </xf>
    <xf numFmtId="0" fontId="1" fillId="2" borderId="9" xfId="0" applyFont="1" applyFill="1" applyBorder="1" applyAlignment="1">
      <alignment horizontal="left" vertical="center"/>
    </xf>
    <xf numFmtId="0" fontId="0" fillId="0" borderId="9" xfId="0" applyBorder="1" applyAlignment="1">
      <alignment horizontal="center" vertical="center"/>
    </xf>
    <xf numFmtId="9" fontId="28" fillId="0" borderId="9" xfId="0" applyNumberFormat="1" applyFont="1" applyBorder="1" applyAlignment="1">
      <alignment horizontal="center" vertical="center"/>
    </xf>
    <xf numFmtId="0" fontId="28" fillId="0" borderId="9" xfId="0" applyFont="1" applyBorder="1" applyAlignment="1">
      <alignment horizontal="center" vertical="center"/>
    </xf>
    <xf numFmtId="0" fontId="31" fillId="0" borderId="9" xfId="0" applyFont="1" applyBorder="1" applyAlignment="1">
      <alignment horizontal="center" vertical="center"/>
    </xf>
    <xf numFmtId="1" fontId="1" fillId="0" borderId="8" xfId="0" applyNumberFormat="1" applyFont="1" applyBorder="1" applyAlignment="1">
      <alignment horizontal="center" vertical="center"/>
    </xf>
    <xf numFmtId="0" fontId="31" fillId="0" borderId="21" xfId="0" applyFont="1" applyBorder="1" applyAlignment="1">
      <alignment horizontal="center" vertical="center"/>
    </xf>
    <xf numFmtId="0" fontId="31" fillId="0" borderId="19" xfId="0" applyFont="1" applyBorder="1" applyAlignment="1">
      <alignment horizontal="center" vertical="center"/>
    </xf>
    <xf numFmtId="0" fontId="29" fillId="0" borderId="23" xfId="0" applyFont="1" applyBorder="1" applyAlignment="1">
      <alignment horizontal="left" vertical="center" wrapText="1"/>
    </xf>
    <xf numFmtId="0" fontId="22" fillId="19" borderId="8" xfId="0" applyFont="1" applyFill="1" applyBorder="1" applyAlignment="1">
      <alignment horizontal="left"/>
    </xf>
    <xf numFmtId="0" fontId="22" fillId="19" borderId="9" xfId="0" applyFont="1" applyFill="1" applyBorder="1" applyAlignment="1">
      <alignment horizontal="left"/>
    </xf>
    <xf numFmtId="9" fontId="19" fillId="0" borderId="8" xfId="0" applyNumberFormat="1" applyFont="1" applyBorder="1" applyAlignment="1">
      <alignment horizontal="center" vertical="center"/>
    </xf>
    <xf numFmtId="0" fontId="19" fillId="0" borderId="9" xfId="0" applyFont="1" applyBorder="1" applyAlignment="1">
      <alignment horizontal="center" vertical="center"/>
    </xf>
    <xf numFmtId="0" fontId="19" fillId="0" borderId="9" xfId="0" applyFont="1" applyBorder="1" applyAlignment="1">
      <alignment horizontal="left" vertical="center" wrapText="1"/>
    </xf>
    <xf numFmtId="0" fontId="19" fillId="0" borderId="20" xfId="0" applyFont="1" applyBorder="1" applyAlignment="1">
      <alignment horizontal="left" vertical="center" wrapText="1"/>
    </xf>
    <xf numFmtId="0" fontId="19" fillId="0" borderId="10" xfId="0" applyFont="1" applyBorder="1" applyAlignment="1">
      <alignment horizontal="left" vertical="center" wrapText="1"/>
    </xf>
    <xf numFmtId="0" fontId="35" fillId="0" borderId="12" xfId="0" applyFont="1" applyBorder="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27" fillId="20" borderId="8" xfId="0" applyFont="1" applyFill="1" applyBorder="1" applyAlignment="1">
      <alignment horizontal="center" vertical="center"/>
    </xf>
    <xf numFmtId="0" fontId="19" fillId="0" borderId="8" xfId="0" applyFont="1" applyBorder="1" applyAlignment="1">
      <alignment horizontal="left" vertical="top" wrapText="1"/>
    </xf>
    <xf numFmtId="0" fontId="19" fillId="0" borderId="8" xfId="0" applyFont="1" applyBorder="1" applyAlignment="1">
      <alignment horizontal="left" vertical="top"/>
    </xf>
  </cellXfs>
  <cellStyles count="1">
    <cellStyle name="Normal" xfId="0" builtinId="0"/>
  </cellStyles>
  <dxfs count="38">
    <dxf>
      <alignment horizontal="left"/>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alignment horizontal="center" vertical="center" wrapText="0"/>
      <border diagonalUp="0" diagonalDown="0">
        <left style="thin">
          <color theme="1" tint="0.39997558519241921"/>
        </left>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left"/>
      <border diagonalUp="0" diagonalDown="0">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bottom style="thin">
          <color theme="1" tint="0.39997558519241921"/>
        </bottom>
      </border>
    </dxf>
    <dxf>
      <border diagonalUp="0" diagonalDown="0">
        <left style="thin">
          <color theme="1" tint="0.39997558519241921"/>
        </left>
        <right style="thin">
          <color theme="1" tint="0.39997558519241921"/>
        </right>
        <top style="thin">
          <color theme="1" tint="0.39997558519241921"/>
        </top>
        <bottom style="thin">
          <color theme="1" tint="0.39997558519241921"/>
        </bottom>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sz val="12"/>
        <color rgb="FFFFFFFF"/>
      </font>
      <alignment horizontal="center"/>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FFFFFF"/>
      <color rgb="FF292929"/>
      <color rgb="FFFF3300"/>
      <color rgb="FFA1E7A1"/>
      <color rgb="FF777777"/>
      <color rgb="FF002060"/>
      <color rgb="FF4D4D4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ea typeface="Calibri" panose="020F0502020204030204" pitchFamily="34" charset="0"/>
                <a:cs typeface="Arial" panose="020B0604020202020204" pitchFamily="34" charset="0"/>
              </a:rPr>
              <a:t>Commitment Index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Data!$D$1</c:f>
              <c:strCache>
                <c:ptCount val="1"/>
                <c:pt idx="0">
                  <c:v>Commitment Index</c:v>
                </c:pt>
              </c:strCache>
            </c:strRef>
          </c:tx>
          <c:spPr>
            <a:gradFill flip="none" rotWithShape="1">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tileRect/>
            </a:gradFill>
            <a:ln>
              <a:noFill/>
            </a:ln>
            <a:effectLst/>
          </c:spPr>
          <c:invertIfNegative val="0"/>
          <c:dLbls>
            <c:spPr>
              <a:noFill/>
              <a:ln>
                <a:noFill/>
              </a:ln>
              <a:effectLst/>
            </c:spPr>
            <c:txPr>
              <a:bodyPr rot="-5400000" spcFirstLastPara="1" vertOverflow="overflow" horzOverflow="overflow" vert="horz" wrap="square" lIns="38100" tIns="91440" rIns="38100" bIns="19050" anchor="t" anchorCtr="0">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Data!$A$2:$A$46</c:f>
              <c:strCache>
                <c:ptCount val="45"/>
                <c:pt idx="0">
                  <c:v>7.17.0 Sprint 1 (22-Mar-2024 to 4-Apr-2024)</c:v>
                </c:pt>
                <c:pt idx="1">
                  <c:v>7.17.0 Sprint 2 (05-Apr -2024 to 18-Apr-2024)</c:v>
                </c:pt>
                <c:pt idx="2">
                  <c:v>7.17.0 Sprint 3 (19-Apr-2024 to 02-May-2024)</c:v>
                </c:pt>
                <c:pt idx="3">
                  <c:v>7.17.0 Sprint 4 (03-May -2024 to 16-May-2024)</c:v>
                </c:pt>
                <c:pt idx="4">
                  <c:v>7.18.0 Sprint 1 (17-May-2024 to 30-May-2024)</c:v>
                </c:pt>
                <c:pt idx="5">
                  <c:v>7.18.0 Sprint 2 (31-May-2024 to 13-Jun-2024)</c:v>
                </c:pt>
                <c:pt idx="6">
                  <c:v>7.18.0 Sprint 3 (14-Jun-2024 to 27-Jun-2024)</c:v>
                </c:pt>
                <c:pt idx="7">
                  <c:v>7.18.0 Sprint 4 (28-Jun-2024 to 11-Jul-2024)</c:v>
                </c:pt>
                <c:pt idx="8">
                  <c:v>7.19.0 Sprint 1 (12-Jul-2024 to 25-Jul-2024)</c:v>
                </c:pt>
                <c:pt idx="9">
                  <c:v>7.19.0 Sprint 2 (26-Jul-2024 to 07-Aug-2024)</c:v>
                </c:pt>
                <c:pt idx="10">
                  <c:v>7.19.0 Sprint 3 (08-Aug-2024 to 22-Aug-2024)</c:v>
                </c:pt>
                <c:pt idx="11">
                  <c:v>7.19.0 Sprint 4 (23-Aug-2024 to 5-Sep-2024)</c:v>
                </c:pt>
                <c:pt idx="12">
                  <c:v>7.20.0 Sprint 1 (5-Sep-2024 to 19-Sep-2024)</c:v>
                </c:pt>
                <c:pt idx="13">
                  <c:v>7.20.0 Sprint 2 (19-Sep-2024 to 3-Oct-2024)</c:v>
                </c:pt>
                <c:pt idx="14">
                  <c:v>7.20.0 Sprint 3 (3-Oct -2024 to 17-Oct-2024)</c:v>
                </c:pt>
                <c:pt idx="15">
                  <c:v>7.20.0 Sprint 4 (17-Oct-2024 to 31-Oct-2024)</c:v>
                </c:pt>
                <c:pt idx="16">
                  <c:v>7.21.0 Sprint 1 (31-Oct-2024 to 14-Nov-2024)</c:v>
                </c:pt>
                <c:pt idx="17">
                  <c:v>7.21.0 Sprint 2(14-Nov-2024 to 25-Nov-2024)</c:v>
                </c:pt>
                <c:pt idx="18">
                  <c:v>7.21.0 Sprint 3 (25-Nov-2024 to 12-Dec-2024)</c:v>
                </c:pt>
                <c:pt idx="19">
                  <c:v>GGO 7.21.0 Sprint 4 (12-Dec -2024 to 9-Jan-2025)</c:v>
                </c:pt>
                <c:pt idx="20">
                  <c:v>GGO 7.22.0 Sprint 1 (9-Jan-2025 to 23-Jan-2025)</c:v>
                </c:pt>
                <c:pt idx="21">
                  <c:v>GGO 7.22.0 Sprint 2 (23-Jan-2025 to 6-Feb-2025)</c:v>
                </c:pt>
                <c:pt idx="22">
                  <c:v>GGO 7.22.0 Sprint 3 (6-Feb-2025 to 20-Feb-2025)</c:v>
                </c:pt>
                <c:pt idx="23">
                  <c:v>GGO 7.22.0 Sprint  4 (20-Feb-2025 to 6-Mar-2025)</c:v>
                </c:pt>
                <c:pt idx="24">
                  <c:v>GGO 7.23.0 Sprint 1 (6-Mar-2025 to 20-Mar-2025)</c:v>
                </c:pt>
                <c:pt idx="25">
                  <c:v>GGO 7.23.0 Sprint 2 (20-Mar-2025 to 3-Apr-2025)</c:v>
                </c:pt>
                <c:pt idx="26">
                  <c:v>GGO 7.23.0 Sprint 3 (3-Apr-2025 to 17-Apr-2025)</c:v>
                </c:pt>
                <c:pt idx="27">
                  <c:v>GGO 7.23.0 Sprint 4 (17-Apr-2025 to 01-May-2025)</c:v>
                </c:pt>
                <c:pt idx="28">
                  <c:v>GGO 7.24.0 Sprint 1 (1-May-2025 to 15-May-2025)</c:v>
                </c:pt>
                <c:pt idx="29">
                  <c:v>GGO 7.24.0 Sprint 2 (16-May-2025 to 29-May-2025)</c:v>
                </c:pt>
                <c:pt idx="30">
                  <c:v>GGO 7.24.0 Sprint 3 (29-May-2025 to 12-Jun-2025)</c:v>
                </c:pt>
                <c:pt idx="31">
                  <c:v>GGO 7.24.0 Sprint 4 (12-Jun-2025 to 26-Jun-2025)</c:v>
                </c:pt>
                <c:pt idx="32">
                  <c:v>GGO 7.25.0 Sprint 1 (26-Jun-2025 to 10-Jul-2025)</c:v>
                </c:pt>
                <c:pt idx="33">
                  <c:v>GGO 7.25.0 Sprint 2 (10-Jul-2025 to 24-Jul-2025)</c:v>
                </c:pt>
                <c:pt idx="34">
                  <c:v>GGO 7.25.0 Sprint 3 (24-Jul-2025 to 07-Aug-2025)</c:v>
                </c:pt>
                <c:pt idx="35">
                  <c:v>GGO 7.25.0 Sprint 4 (07-Aug-2025 to 21-Aug-2025)</c:v>
                </c:pt>
                <c:pt idx="36">
                  <c:v>GGO 8.0.0 Sprint 1 (21-Aug-2025 to 04-Sep-2025)</c:v>
                </c:pt>
                <c:pt idx="37">
                  <c:v>GGO 8.0.0 Sprint 2 (04-Aug-2025 to 18-Sep-2025)</c:v>
                </c:pt>
                <c:pt idx="38">
                  <c:v>GGO 8.0.0 Sprint 3 (18-Sep-2025 to 2-Oct-2025)</c:v>
                </c:pt>
                <c:pt idx="39">
                  <c:v>GGO 8.0.0 Sprint 4 (2-Oct-2025 to 16-Oct-2025)</c:v>
                </c:pt>
                <c:pt idx="40">
                  <c:v>GGO 8.1.0 Sprint 1 (16-Oct-2025 to 30-Oct-2025)</c:v>
                </c:pt>
                <c:pt idx="41">
                  <c:v>GGO 8.1.0 Sprint 2 (30-Oct-2025 to 13-Nov-2025)</c:v>
                </c:pt>
                <c:pt idx="42">
                  <c:v>GGO 8.1.0 Sprint 3 (13-Nov-2025 to 26-Nov-2025)</c:v>
                </c:pt>
                <c:pt idx="43">
                  <c:v>GGO 8.1.0 Sprint 4 (26-Nov-2025 to 11-Dec-2025)</c:v>
                </c:pt>
                <c:pt idx="44">
                  <c:v>GGO 8.2.0 Sprint 1 (11-Dec-2025 to 08-Jan-2026)</c:v>
                </c:pt>
              </c:strCache>
            </c:strRef>
          </c:cat>
          <c:val>
            <c:numRef>
              <c:f>Data!$D$2:$D$46</c:f>
              <c:numCache>
                <c:formatCode>0%</c:formatCode>
                <c:ptCount val="45"/>
                <c:pt idx="0">
                  <c:v>0.7857142857142857</c:v>
                </c:pt>
                <c:pt idx="1">
                  <c:v>0.89473684210526316</c:v>
                </c:pt>
                <c:pt idx="2">
                  <c:v>0.61111111111111116</c:v>
                </c:pt>
                <c:pt idx="3">
                  <c:v>0.21428571428571427</c:v>
                </c:pt>
                <c:pt idx="4">
                  <c:v>0.93333333333333335</c:v>
                </c:pt>
                <c:pt idx="5">
                  <c:v>0.8</c:v>
                </c:pt>
                <c:pt idx="6">
                  <c:v>0.88235294117647056</c:v>
                </c:pt>
                <c:pt idx="7">
                  <c:v>1</c:v>
                </c:pt>
                <c:pt idx="8">
                  <c:v>1</c:v>
                </c:pt>
                <c:pt idx="9">
                  <c:v>1</c:v>
                </c:pt>
                <c:pt idx="10">
                  <c:v>1</c:v>
                </c:pt>
                <c:pt idx="11">
                  <c:v>0.82352941176470584</c:v>
                </c:pt>
                <c:pt idx="12">
                  <c:v>0.8666666666666667</c:v>
                </c:pt>
                <c:pt idx="13">
                  <c:v>0.73684210526315785</c:v>
                </c:pt>
                <c:pt idx="14">
                  <c:v>0.70588235294117652</c:v>
                </c:pt>
                <c:pt idx="15">
                  <c:v>0.8125</c:v>
                </c:pt>
                <c:pt idx="16">
                  <c:v>0.94444444444444442</c:v>
                </c:pt>
                <c:pt idx="17">
                  <c:v>0.7857142857142857</c:v>
                </c:pt>
                <c:pt idx="18">
                  <c:v>1</c:v>
                </c:pt>
                <c:pt idx="19">
                  <c:v>0.79166666666666663</c:v>
                </c:pt>
                <c:pt idx="20">
                  <c:v>0.80952380952380953</c:v>
                </c:pt>
                <c:pt idx="21">
                  <c:v>0.61111111111111116</c:v>
                </c:pt>
                <c:pt idx="22">
                  <c:v>0.44444444444444442</c:v>
                </c:pt>
                <c:pt idx="23">
                  <c:v>0.75</c:v>
                </c:pt>
                <c:pt idx="24">
                  <c:v>1</c:v>
                </c:pt>
                <c:pt idx="25">
                  <c:v>1</c:v>
                </c:pt>
                <c:pt idx="26">
                  <c:v>1</c:v>
                </c:pt>
                <c:pt idx="27">
                  <c:v>1</c:v>
                </c:pt>
                <c:pt idx="28">
                  <c:v>0.84210526315789469</c:v>
                </c:pt>
                <c:pt idx="29">
                  <c:v>0.88461538461538458</c:v>
                </c:pt>
                <c:pt idx="30">
                  <c:v>0.65217391304347827</c:v>
                </c:pt>
                <c:pt idx="31">
                  <c:v>1</c:v>
                </c:pt>
                <c:pt idx="32">
                  <c:v>0.6428571428571429</c:v>
                </c:pt>
                <c:pt idx="33">
                  <c:v>0.65789473684210531</c:v>
                </c:pt>
                <c:pt idx="34">
                  <c:v>0.72972972972972971</c:v>
                </c:pt>
                <c:pt idx="35">
                  <c:v>0.96551724137931039</c:v>
                </c:pt>
                <c:pt idx="36">
                  <c:v>1</c:v>
                </c:pt>
                <c:pt idx="37">
                  <c:v>0.96296296296296291</c:v>
                </c:pt>
                <c:pt idx="38">
                  <c:v>1</c:v>
                </c:pt>
                <c:pt idx="39">
                  <c:v>1</c:v>
                </c:pt>
                <c:pt idx="40">
                  <c:v>0.875</c:v>
                </c:pt>
                <c:pt idx="41">
                  <c:v>1</c:v>
                </c:pt>
                <c:pt idx="42">
                  <c:v>1</c:v>
                </c:pt>
                <c:pt idx="43">
                  <c:v>1</c:v>
                </c:pt>
                <c:pt idx="44">
                  <c:v>1</c:v>
                </c:pt>
              </c:numCache>
            </c:numRef>
          </c:val>
          <c:extLst>
            <c:ext xmlns:c16="http://schemas.microsoft.com/office/drawing/2014/chart" uri="{C3380CC4-5D6E-409C-BE32-E72D297353CC}">
              <c16:uniqueId val="{00000000-C967-4DA8-BB06-E501ACC6CDE2}"/>
            </c:ext>
          </c:extLst>
        </c:ser>
        <c:dLbls>
          <c:showLegendKey val="0"/>
          <c:showVal val="0"/>
          <c:showCatName val="0"/>
          <c:showSerName val="0"/>
          <c:showPercent val="0"/>
          <c:showBubbleSize val="0"/>
        </c:dLbls>
        <c:gapWidth val="219"/>
        <c:overlap val="-27"/>
        <c:axId val="163501087"/>
        <c:axId val="226628447"/>
      </c:barChart>
      <c:lineChart>
        <c:grouping val="standard"/>
        <c:varyColors val="0"/>
        <c:ser>
          <c:idx val="1"/>
          <c:order val="1"/>
          <c:tx>
            <c:strRef>
              <c:f>Data!$AG$1</c:f>
              <c:strCache>
                <c:ptCount val="1"/>
                <c:pt idx="0">
                  <c:v>Goal</c:v>
                </c:pt>
              </c:strCache>
            </c:strRef>
          </c:tx>
          <c:spPr>
            <a:ln w="22225" cap="rnd">
              <a:solidFill>
                <a:srgbClr val="00B050"/>
              </a:solidFill>
              <a:prstDash val="dash"/>
              <a:round/>
            </a:ln>
            <a:effectLst/>
          </c:spPr>
          <c:marker>
            <c:symbol val="none"/>
          </c:marker>
          <c:cat>
            <c:strRef>
              <c:f>Data!$A$2:$A$46</c:f>
              <c:strCache>
                <c:ptCount val="45"/>
                <c:pt idx="0">
                  <c:v>7.17.0 Sprint 1 (22-Mar-2024 to 4-Apr-2024)</c:v>
                </c:pt>
                <c:pt idx="1">
                  <c:v>7.17.0 Sprint 2 (05-Apr -2024 to 18-Apr-2024)</c:v>
                </c:pt>
                <c:pt idx="2">
                  <c:v>7.17.0 Sprint 3 (19-Apr-2024 to 02-May-2024)</c:v>
                </c:pt>
                <c:pt idx="3">
                  <c:v>7.17.0 Sprint 4 (03-May -2024 to 16-May-2024)</c:v>
                </c:pt>
                <c:pt idx="4">
                  <c:v>7.18.0 Sprint 1 (17-May-2024 to 30-May-2024)</c:v>
                </c:pt>
                <c:pt idx="5">
                  <c:v>7.18.0 Sprint 2 (31-May-2024 to 13-Jun-2024)</c:v>
                </c:pt>
                <c:pt idx="6">
                  <c:v>7.18.0 Sprint 3 (14-Jun-2024 to 27-Jun-2024)</c:v>
                </c:pt>
                <c:pt idx="7">
                  <c:v>7.18.0 Sprint 4 (28-Jun-2024 to 11-Jul-2024)</c:v>
                </c:pt>
                <c:pt idx="8">
                  <c:v>7.19.0 Sprint 1 (12-Jul-2024 to 25-Jul-2024)</c:v>
                </c:pt>
                <c:pt idx="9">
                  <c:v>7.19.0 Sprint 2 (26-Jul-2024 to 07-Aug-2024)</c:v>
                </c:pt>
                <c:pt idx="10">
                  <c:v>7.19.0 Sprint 3 (08-Aug-2024 to 22-Aug-2024)</c:v>
                </c:pt>
                <c:pt idx="11">
                  <c:v>7.19.0 Sprint 4 (23-Aug-2024 to 5-Sep-2024)</c:v>
                </c:pt>
                <c:pt idx="12">
                  <c:v>7.20.0 Sprint 1 (5-Sep-2024 to 19-Sep-2024)</c:v>
                </c:pt>
                <c:pt idx="13">
                  <c:v>7.20.0 Sprint 2 (19-Sep-2024 to 3-Oct-2024)</c:v>
                </c:pt>
                <c:pt idx="14">
                  <c:v>7.20.0 Sprint 3 (3-Oct -2024 to 17-Oct-2024)</c:v>
                </c:pt>
                <c:pt idx="15">
                  <c:v>7.20.0 Sprint 4 (17-Oct-2024 to 31-Oct-2024)</c:v>
                </c:pt>
                <c:pt idx="16">
                  <c:v>7.21.0 Sprint 1 (31-Oct-2024 to 14-Nov-2024)</c:v>
                </c:pt>
                <c:pt idx="17">
                  <c:v>7.21.0 Sprint 2(14-Nov-2024 to 25-Nov-2024)</c:v>
                </c:pt>
                <c:pt idx="18">
                  <c:v>7.21.0 Sprint 3 (25-Nov-2024 to 12-Dec-2024)</c:v>
                </c:pt>
                <c:pt idx="19">
                  <c:v>GGO 7.21.0 Sprint 4 (12-Dec -2024 to 9-Jan-2025)</c:v>
                </c:pt>
                <c:pt idx="20">
                  <c:v>GGO 7.22.0 Sprint 1 (9-Jan-2025 to 23-Jan-2025)</c:v>
                </c:pt>
                <c:pt idx="21">
                  <c:v>GGO 7.22.0 Sprint 2 (23-Jan-2025 to 6-Feb-2025)</c:v>
                </c:pt>
                <c:pt idx="22">
                  <c:v>GGO 7.22.0 Sprint 3 (6-Feb-2025 to 20-Feb-2025)</c:v>
                </c:pt>
                <c:pt idx="23">
                  <c:v>GGO 7.22.0 Sprint  4 (20-Feb-2025 to 6-Mar-2025)</c:v>
                </c:pt>
                <c:pt idx="24">
                  <c:v>GGO 7.23.0 Sprint 1 (6-Mar-2025 to 20-Mar-2025)</c:v>
                </c:pt>
                <c:pt idx="25">
                  <c:v>GGO 7.23.0 Sprint 2 (20-Mar-2025 to 3-Apr-2025)</c:v>
                </c:pt>
                <c:pt idx="26">
                  <c:v>GGO 7.23.0 Sprint 3 (3-Apr-2025 to 17-Apr-2025)</c:v>
                </c:pt>
                <c:pt idx="27">
                  <c:v>GGO 7.23.0 Sprint 4 (17-Apr-2025 to 01-May-2025)</c:v>
                </c:pt>
                <c:pt idx="28">
                  <c:v>GGO 7.24.0 Sprint 1 (1-May-2025 to 15-May-2025)</c:v>
                </c:pt>
                <c:pt idx="29">
                  <c:v>GGO 7.24.0 Sprint 2 (16-May-2025 to 29-May-2025)</c:v>
                </c:pt>
                <c:pt idx="30">
                  <c:v>GGO 7.24.0 Sprint 3 (29-May-2025 to 12-Jun-2025)</c:v>
                </c:pt>
                <c:pt idx="31">
                  <c:v>GGO 7.24.0 Sprint 4 (12-Jun-2025 to 26-Jun-2025)</c:v>
                </c:pt>
                <c:pt idx="32">
                  <c:v>GGO 7.25.0 Sprint 1 (26-Jun-2025 to 10-Jul-2025)</c:v>
                </c:pt>
                <c:pt idx="33">
                  <c:v>GGO 7.25.0 Sprint 2 (10-Jul-2025 to 24-Jul-2025)</c:v>
                </c:pt>
                <c:pt idx="34">
                  <c:v>GGO 7.25.0 Sprint 3 (24-Jul-2025 to 07-Aug-2025)</c:v>
                </c:pt>
                <c:pt idx="35">
                  <c:v>GGO 7.25.0 Sprint 4 (07-Aug-2025 to 21-Aug-2025)</c:v>
                </c:pt>
                <c:pt idx="36">
                  <c:v>GGO 8.0.0 Sprint 1 (21-Aug-2025 to 04-Sep-2025)</c:v>
                </c:pt>
                <c:pt idx="37">
                  <c:v>GGO 8.0.0 Sprint 2 (04-Aug-2025 to 18-Sep-2025)</c:v>
                </c:pt>
                <c:pt idx="38">
                  <c:v>GGO 8.0.0 Sprint 3 (18-Sep-2025 to 2-Oct-2025)</c:v>
                </c:pt>
                <c:pt idx="39">
                  <c:v>GGO 8.0.0 Sprint 4 (2-Oct-2025 to 16-Oct-2025)</c:v>
                </c:pt>
                <c:pt idx="40">
                  <c:v>GGO 8.1.0 Sprint 1 (16-Oct-2025 to 30-Oct-2025)</c:v>
                </c:pt>
                <c:pt idx="41">
                  <c:v>GGO 8.1.0 Sprint 2 (30-Oct-2025 to 13-Nov-2025)</c:v>
                </c:pt>
                <c:pt idx="42">
                  <c:v>GGO 8.1.0 Sprint 3 (13-Nov-2025 to 26-Nov-2025)</c:v>
                </c:pt>
                <c:pt idx="43">
                  <c:v>GGO 8.1.0 Sprint 4 (26-Nov-2025 to 11-Dec-2025)</c:v>
                </c:pt>
                <c:pt idx="44">
                  <c:v>GGO 8.2.0 Sprint 1 (11-Dec-2025 to 08-Jan-2026)</c:v>
                </c:pt>
              </c:strCache>
            </c:strRef>
          </c:cat>
          <c:val>
            <c:numRef>
              <c:f>Data!$AG$8:$AG$8</c:f>
              <c:numCache>
                <c:formatCode>0%</c:formatCode>
                <c:ptCount val="1"/>
                <c:pt idx="0">
                  <c:v>1</c:v>
                </c:pt>
              </c:numCache>
            </c:numRef>
          </c:val>
          <c:smooth val="0"/>
          <c:extLst>
            <c:ext xmlns:c16="http://schemas.microsoft.com/office/drawing/2014/chart" uri="{C3380CC4-5D6E-409C-BE32-E72D297353CC}">
              <c16:uniqueId val="{00000001-C967-4DA8-BB06-E501ACC6CDE2}"/>
            </c:ext>
          </c:extLst>
        </c:ser>
        <c:ser>
          <c:idx val="2"/>
          <c:order val="2"/>
          <c:tx>
            <c:strRef>
              <c:f>Data!$AH$1</c:f>
              <c:strCache>
                <c:ptCount val="1"/>
                <c:pt idx="0">
                  <c:v>Risk</c:v>
                </c:pt>
              </c:strCache>
            </c:strRef>
          </c:tx>
          <c:spPr>
            <a:ln w="22225" cap="rnd">
              <a:solidFill>
                <a:schemeClr val="accent1"/>
              </a:solidFill>
              <a:prstDash val="dash"/>
              <a:round/>
            </a:ln>
            <a:effectLst/>
          </c:spPr>
          <c:marker>
            <c:symbol val="none"/>
          </c:marker>
          <c:cat>
            <c:strRef>
              <c:f>Data!$A$2:$A$46</c:f>
              <c:strCache>
                <c:ptCount val="45"/>
                <c:pt idx="0">
                  <c:v>7.17.0 Sprint 1 (22-Mar-2024 to 4-Apr-2024)</c:v>
                </c:pt>
                <c:pt idx="1">
                  <c:v>7.17.0 Sprint 2 (05-Apr -2024 to 18-Apr-2024)</c:v>
                </c:pt>
                <c:pt idx="2">
                  <c:v>7.17.0 Sprint 3 (19-Apr-2024 to 02-May-2024)</c:v>
                </c:pt>
                <c:pt idx="3">
                  <c:v>7.17.0 Sprint 4 (03-May -2024 to 16-May-2024)</c:v>
                </c:pt>
                <c:pt idx="4">
                  <c:v>7.18.0 Sprint 1 (17-May-2024 to 30-May-2024)</c:v>
                </c:pt>
                <c:pt idx="5">
                  <c:v>7.18.0 Sprint 2 (31-May-2024 to 13-Jun-2024)</c:v>
                </c:pt>
                <c:pt idx="6">
                  <c:v>7.18.0 Sprint 3 (14-Jun-2024 to 27-Jun-2024)</c:v>
                </c:pt>
                <c:pt idx="7">
                  <c:v>7.18.0 Sprint 4 (28-Jun-2024 to 11-Jul-2024)</c:v>
                </c:pt>
                <c:pt idx="8">
                  <c:v>7.19.0 Sprint 1 (12-Jul-2024 to 25-Jul-2024)</c:v>
                </c:pt>
                <c:pt idx="9">
                  <c:v>7.19.0 Sprint 2 (26-Jul-2024 to 07-Aug-2024)</c:v>
                </c:pt>
                <c:pt idx="10">
                  <c:v>7.19.0 Sprint 3 (08-Aug-2024 to 22-Aug-2024)</c:v>
                </c:pt>
                <c:pt idx="11">
                  <c:v>7.19.0 Sprint 4 (23-Aug-2024 to 5-Sep-2024)</c:v>
                </c:pt>
                <c:pt idx="12">
                  <c:v>7.20.0 Sprint 1 (5-Sep-2024 to 19-Sep-2024)</c:v>
                </c:pt>
                <c:pt idx="13">
                  <c:v>7.20.0 Sprint 2 (19-Sep-2024 to 3-Oct-2024)</c:v>
                </c:pt>
                <c:pt idx="14">
                  <c:v>7.20.0 Sprint 3 (3-Oct -2024 to 17-Oct-2024)</c:v>
                </c:pt>
                <c:pt idx="15">
                  <c:v>7.20.0 Sprint 4 (17-Oct-2024 to 31-Oct-2024)</c:v>
                </c:pt>
                <c:pt idx="16">
                  <c:v>7.21.0 Sprint 1 (31-Oct-2024 to 14-Nov-2024)</c:v>
                </c:pt>
                <c:pt idx="17">
                  <c:v>7.21.0 Sprint 2(14-Nov-2024 to 25-Nov-2024)</c:v>
                </c:pt>
                <c:pt idx="18">
                  <c:v>7.21.0 Sprint 3 (25-Nov-2024 to 12-Dec-2024)</c:v>
                </c:pt>
                <c:pt idx="19">
                  <c:v>GGO 7.21.0 Sprint 4 (12-Dec -2024 to 9-Jan-2025)</c:v>
                </c:pt>
                <c:pt idx="20">
                  <c:v>GGO 7.22.0 Sprint 1 (9-Jan-2025 to 23-Jan-2025)</c:v>
                </c:pt>
                <c:pt idx="21">
                  <c:v>GGO 7.22.0 Sprint 2 (23-Jan-2025 to 6-Feb-2025)</c:v>
                </c:pt>
                <c:pt idx="22">
                  <c:v>GGO 7.22.0 Sprint 3 (6-Feb-2025 to 20-Feb-2025)</c:v>
                </c:pt>
                <c:pt idx="23">
                  <c:v>GGO 7.22.0 Sprint  4 (20-Feb-2025 to 6-Mar-2025)</c:v>
                </c:pt>
                <c:pt idx="24">
                  <c:v>GGO 7.23.0 Sprint 1 (6-Mar-2025 to 20-Mar-2025)</c:v>
                </c:pt>
                <c:pt idx="25">
                  <c:v>GGO 7.23.0 Sprint 2 (20-Mar-2025 to 3-Apr-2025)</c:v>
                </c:pt>
                <c:pt idx="26">
                  <c:v>GGO 7.23.0 Sprint 3 (3-Apr-2025 to 17-Apr-2025)</c:v>
                </c:pt>
                <c:pt idx="27">
                  <c:v>GGO 7.23.0 Sprint 4 (17-Apr-2025 to 01-May-2025)</c:v>
                </c:pt>
                <c:pt idx="28">
                  <c:v>GGO 7.24.0 Sprint 1 (1-May-2025 to 15-May-2025)</c:v>
                </c:pt>
                <c:pt idx="29">
                  <c:v>GGO 7.24.0 Sprint 2 (16-May-2025 to 29-May-2025)</c:v>
                </c:pt>
                <c:pt idx="30">
                  <c:v>GGO 7.24.0 Sprint 3 (29-May-2025 to 12-Jun-2025)</c:v>
                </c:pt>
                <c:pt idx="31">
                  <c:v>GGO 7.24.0 Sprint 4 (12-Jun-2025 to 26-Jun-2025)</c:v>
                </c:pt>
                <c:pt idx="32">
                  <c:v>GGO 7.25.0 Sprint 1 (26-Jun-2025 to 10-Jul-2025)</c:v>
                </c:pt>
                <c:pt idx="33">
                  <c:v>GGO 7.25.0 Sprint 2 (10-Jul-2025 to 24-Jul-2025)</c:v>
                </c:pt>
                <c:pt idx="34">
                  <c:v>GGO 7.25.0 Sprint 3 (24-Jul-2025 to 07-Aug-2025)</c:v>
                </c:pt>
                <c:pt idx="35">
                  <c:v>GGO 7.25.0 Sprint 4 (07-Aug-2025 to 21-Aug-2025)</c:v>
                </c:pt>
                <c:pt idx="36">
                  <c:v>GGO 8.0.0 Sprint 1 (21-Aug-2025 to 04-Sep-2025)</c:v>
                </c:pt>
                <c:pt idx="37">
                  <c:v>GGO 8.0.0 Sprint 2 (04-Aug-2025 to 18-Sep-2025)</c:v>
                </c:pt>
                <c:pt idx="38">
                  <c:v>GGO 8.0.0 Sprint 3 (18-Sep-2025 to 2-Oct-2025)</c:v>
                </c:pt>
                <c:pt idx="39">
                  <c:v>GGO 8.0.0 Sprint 4 (2-Oct-2025 to 16-Oct-2025)</c:v>
                </c:pt>
                <c:pt idx="40">
                  <c:v>GGO 8.1.0 Sprint 1 (16-Oct-2025 to 30-Oct-2025)</c:v>
                </c:pt>
                <c:pt idx="41">
                  <c:v>GGO 8.1.0 Sprint 2 (30-Oct-2025 to 13-Nov-2025)</c:v>
                </c:pt>
                <c:pt idx="42">
                  <c:v>GGO 8.1.0 Sprint 3 (13-Nov-2025 to 26-Nov-2025)</c:v>
                </c:pt>
                <c:pt idx="43">
                  <c:v>GGO 8.1.0 Sprint 4 (26-Nov-2025 to 11-Dec-2025)</c:v>
                </c:pt>
                <c:pt idx="44">
                  <c:v>GGO 8.2.0 Sprint 1 (11-Dec-2025 to 08-Jan-2026)</c:v>
                </c:pt>
              </c:strCache>
            </c:strRef>
          </c:cat>
          <c:val>
            <c:numRef>
              <c:f>Data!$AH$8:$AH$8</c:f>
              <c:numCache>
                <c:formatCode>0%</c:formatCode>
                <c:ptCount val="1"/>
                <c:pt idx="0">
                  <c:v>0.9</c:v>
                </c:pt>
              </c:numCache>
            </c:numRef>
          </c:val>
          <c:smooth val="0"/>
          <c:extLst>
            <c:ext xmlns:c16="http://schemas.microsoft.com/office/drawing/2014/chart" uri="{C3380CC4-5D6E-409C-BE32-E72D297353CC}">
              <c16:uniqueId val="{00000002-C967-4DA8-BB06-E501ACC6CDE2}"/>
            </c:ext>
          </c:extLst>
        </c:ser>
        <c:ser>
          <c:idx val="3"/>
          <c:order val="3"/>
          <c:tx>
            <c:strRef>
              <c:f>Data!$AI$1</c:f>
              <c:strCache>
                <c:ptCount val="1"/>
                <c:pt idx="0">
                  <c:v>Issue</c:v>
                </c:pt>
              </c:strCache>
            </c:strRef>
          </c:tx>
          <c:spPr>
            <a:ln w="22225" cap="rnd">
              <a:solidFill>
                <a:srgbClr val="FF0000"/>
              </a:solidFill>
              <a:prstDash val="dash"/>
              <a:round/>
            </a:ln>
            <a:effectLst/>
          </c:spPr>
          <c:marker>
            <c:symbol val="none"/>
          </c:marker>
          <c:cat>
            <c:strRef>
              <c:f>Data!$A$2:$A$46</c:f>
              <c:strCache>
                <c:ptCount val="45"/>
                <c:pt idx="0">
                  <c:v>7.17.0 Sprint 1 (22-Mar-2024 to 4-Apr-2024)</c:v>
                </c:pt>
                <c:pt idx="1">
                  <c:v>7.17.0 Sprint 2 (05-Apr -2024 to 18-Apr-2024)</c:v>
                </c:pt>
                <c:pt idx="2">
                  <c:v>7.17.0 Sprint 3 (19-Apr-2024 to 02-May-2024)</c:v>
                </c:pt>
                <c:pt idx="3">
                  <c:v>7.17.0 Sprint 4 (03-May -2024 to 16-May-2024)</c:v>
                </c:pt>
                <c:pt idx="4">
                  <c:v>7.18.0 Sprint 1 (17-May-2024 to 30-May-2024)</c:v>
                </c:pt>
                <c:pt idx="5">
                  <c:v>7.18.0 Sprint 2 (31-May-2024 to 13-Jun-2024)</c:v>
                </c:pt>
                <c:pt idx="6">
                  <c:v>7.18.0 Sprint 3 (14-Jun-2024 to 27-Jun-2024)</c:v>
                </c:pt>
                <c:pt idx="7">
                  <c:v>7.18.0 Sprint 4 (28-Jun-2024 to 11-Jul-2024)</c:v>
                </c:pt>
                <c:pt idx="8">
                  <c:v>7.19.0 Sprint 1 (12-Jul-2024 to 25-Jul-2024)</c:v>
                </c:pt>
                <c:pt idx="9">
                  <c:v>7.19.0 Sprint 2 (26-Jul-2024 to 07-Aug-2024)</c:v>
                </c:pt>
                <c:pt idx="10">
                  <c:v>7.19.0 Sprint 3 (08-Aug-2024 to 22-Aug-2024)</c:v>
                </c:pt>
                <c:pt idx="11">
                  <c:v>7.19.0 Sprint 4 (23-Aug-2024 to 5-Sep-2024)</c:v>
                </c:pt>
                <c:pt idx="12">
                  <c:v>7.20.0 Sprint 1 (5-Sep-2024 to 19-Sep-2024)</c:v>
                </c:pt>
                <c:pt idx="13">
                  <c:v>7.20.0 Sprint 2 (19-Sep-2024 to 3-Oct-2024)</c:v>
                </c:pt>
                <c:pt idx="14">
                  <c:v>7.20.0 Sprint 3 (3-Oct -2024 to 17-Oct-2024)</c:v>
                </c:pt>
                <c:pt idx="15">
                  <c:v>7.20.0 Sprint 4 (17-Oct-2024 to 31-Oct-2024)</c:v>
                </c:pt>
                <c:pt idx="16">
                  <c:v>7.21.0 Sprint 1 (31-Oct-2024 to 14-Nov-2024)</c:v>
                </c:pt>
                <c:pt idx="17">
                  <c:v>7.21.0 Sprint 2(14-Nov-2024 to 25-Nov-2024)</c:v>
                </c:pt>
                <c:pt idx="18">
                  <c:v>7.21.0 Sprint 3 (25-Nov-2024 to 12-Dec-2024)</c:v>
                </c:pt>
                <c:pt idx="19">
                  <c:v>GGO 7.21.0 Sprint 4 (12-Dec -2024 to 9-Jan-2025)</c:v>
                </c:pt>
                <c:pt idx="20">
                  <c:v>GGO 7.22.0 Sprint 1 (9-Jan-2025 to 23-Jan-2025)</c:v>
                </c:pt>
                <c:pt idx="21">
                  <c:v>GGO 7.22.0 Sprint 2 (23-Jan-2025 to 6-Feb-2025)</c:v>
                </c:pt>
                <c:pt idx="22">
                  <c:v>GGO 7.22.0 Sprint 3 (6-Feb-2025 to 20-Feb-2025)</c:v>
                </c:pt>
                <c:pt idx="23">
                  <c:v>GGO 7.22.0 Sprint  4 (20-Feb-2025 to 6-Mar-2025)</c:v>
                </c:pt>
                <c:pt idx="24">
                  <c:v>GGO 7.23.0 Sprint 1 (6-Mar-2025 to 20-Mar-2025)</c:v>
                </c:pt>
                <c:pt idx="25">
                  <c:v>GGO 7.23.0 Sprint 2 (20-Mar-2025 to 3-Apr-2025)</c:v>
                </c:pt>
                <c:pt idx="26">
                  <c:v>GGO 7.23.0 Sprint 3 (3-Apr-2025 to 17-Apr-2025)</c:v>
                </c:pt>
                <c:pt idx="27">
                  <c:v>GGO 7.23.0 Sprint 4 (17-Apr-2025 to 01-May-2025)</c:v>
                </c:pt>
                <c:pt idx="28">
                  <c:v>GGO 7.24.0 Sprint 1 (1-May-2025 to 15-May-2025)</c:v>
                </c:pt>
                <c:pt idx="29">
                  <c:v>GGO 7.24.0 Sprint 2 (16-May-2025 to 29-May-2025)</c:v>
                </c:pt>
                <c:pt idx="30">
                  <c:v>GGO 7.24.0 Sprint 3 (29-May-2025 to 12-Jun-2025)</c:v>
                </c:pt>
                <c:pt idx="31">
                  <c:v>GGO 7.24.0 Sprint 4 (12-Jun-2025 to 26-Jun-2025)</c:v>
                </c:pt>
                <c:pt idx="32">
                  <c:v>GGO 7.25.0 Sprint 1 (26-Jun-2025 to 10-Jul-2025)</c:v>
                </c:pt>
                <c:pt idx="33">
                  <c:v>GGO 7.25.0 Sprint 2 (10-Jul-2025 to 24-Jul-2025)</c:v>
                </c:pt>
                <c:pt idx="34">
                  <c:v>GGO 7.25.0 Sprint 3 (24-Jul-2025 to 07-Aug-2025)</c:v>
                </c:pt>
                <c:pt idx="35">
                  <c:v>GGO 7.25.0 Sprint 4 (07-Aug-2025 to 21-Aug-2025)</c:v>
                </c:pt>
                <c:pt idx="36">
                  <c:v>GGO 8.0.0 Sprint 1 (21-Aug-2025 to 04-Sep-2025)</c:v>
                </c:pt>
                <c:pt idx="37">
                  <c:v>GGO 8.0.0 Sprint 2 (04-Aug-2025 to 18-Sep-2025)</c:v>
                </c:pt>
                <c:pt idx="38">
                  <c:v>GGO 8.0.0 Sprint 3 (18-Sep-2025 to 2-Oct-2025)</c:v>
                </c:pt>
                <c:pt idx="39">
                  <c:v>GGO 8.0.0 Sprint 4 (2-Oct-2025 to 16-Oct-2025)</c:v>
                </c:pt>
                <c:pt idx="40">
                  <c:v>GGO 8.1.0 Sprint 1 (16-Oct-2025 to 30-Oct-2025)</c:v>
                </c:pt>
                <c:pt idx="41">
                  <c:v>GGO 8.1.0 Sprint 2 (30-Oct-2025 to 13-Nov-2025)</c:v>
                </c:pt>
                <c:pt idx="42">
                  <c:v>GGO 8.1.0 Sprint 3 (13-Nov-2025 to 26-Nov-2025)</c:v>
                </c:pt>
                <c:pt idx="43">
                  <c:v>GGO 8.1.0 Sprint 4 (26-Nov-2025 to 11-Dec-2025)</c:v>
                </c:pt>
                <c:pt idx="44">
                  <c:v>GGO 8.2.0 Sprint 1 (11-Dec-2025 to 08-Jan-2026)</c:v>
                </c:pt>
              </c:strCache>
            </c:strRef>
          </c:cat>
          <c:val>
            <c:numRef>
              <c:f>Data!$AI$8:$AI$8</c:f>
              <c:numCache>
                <c:formatCode>0%</c:formatCode>
                <c:ptCount val="1"/>
                <c:pt idx="0">
                  <c:v>0.8</c:v>
                </c:pt>
              </c:numCache>
            </c:numRef>
          </c:val>
          <c:smooth val="0"/>
          <c:extLst>
            <c:ext xmlns:c16="http://schemas.microsoft.com/office/drawing/2014/chart" uri="{C3380CC4-5D6E-409C-BE32-E72D297353CC}">
              <c16:uniqueId val="{00000003-C967-4DA8-BB06-E501ACC6CDE2}"/>
            </c:ext>
          </c:extLst>
        </c:ser>
        <c:dLbls>
          <c:showLegendKey val="0"/>
          <c:showVal val="0"/>
          <c:showCatName val="0"/>
          <c:showSerName val="0"/>
          <c:showPercent val="0"/>
          <c:showBubbleSize val="0"/>
        </c:dLbls>
        <c:marker val="1"/>
        <c:smooth val="0"/>
        <c:axId val="163501087"/>
        <c:axId val="226628447"/>
      </c:lineChart>
      <c:catAx>
        <c:axId val="163501087"/>
        <c:scaling>
          <c:orientation val="minMax"/>
        </c:scaling>
        <c:delete val="0"/>
        <c:axPos val="b"/>
        <c:numFmt formatCode="General" sourceLinked="1"/>
        <c:majorTickMark val="none"/>
        <c:minorTickMark val="none"/>
        <c:tickLblPos val="nextTo"/>
        <c:spPr>
          <a:noFill/>
          <a:ln w="9525" cap="flat" cmpd="sng" algn="ctr">
            <a:solidFill>
              <a:schemeClr val="bg1">
                <a:lumMod val="1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28447"/>
        <c:crosses val="autoZero"/>
        <c:auto val="1"/>
        <c:lblAlgn val="ctr"/>
        <c:lblOffset val="100"/>
        <c:noMultiLvlLbl val="0"/>
      </c:catAx>
      <c:valAx>
        <c:axId val="22662844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bg1">
                <a:lumMod val="1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1087"/>
        <c:crosses val="autoZero"/>
        <c:crossBetween val="between"/>
        <c:majorUnit val="0.2"/>
        <c:minorUnit val="4.0000000000000008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Velocity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Data!$E$1</c:f>
              <c:strCache>
                <c:ptCount val="1"/>
                <c:pt idx="0">
                  <c:v>Velocity</c:v>
                </c:pt>
              </c:strCache>
            </c:strRef>
          </c:tx>
          <c:spPr>
            <a:ln w="28575" cap="rnd">
              <a:solidFill>
                <a:schemeClr val="accent2">
                  <a:lumMod val="90000"/>
                  <a:lumOff val="10000"/>
                </a:schemeClr>
              </a:solidFill>
              <a:round/>
            </a:ln>
            <a:effectLst/>
          </c:spPr>
          <c:marker>
            <c:symbol val="plus"/>
            <c:size val="8"/>
            <c:spPr>
              <a:noFill/>
              <a:ln w="9525">
                <a:solidFill>
                  <a:schemeClr val="accent2">
                    <a:shade val="76000"/>
                  </a:schemeClr>
                </a:solidFill>
              </a:ln>
              <a:effectLst/>
            </c:spPr>
          </c:marker>
          <c:dLbls>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Data!$A$2:$A$46</c:f>
              <c:strCache>
                <c:ptCount val="45"/>
                <c:pt idx="0">
                  <c:v>7.17.0 Sprint 1 (22-Mar-2024 to 4-Apr-2024)</c:v>
                </c:pt>
                <c:pt idx="1">
                  <c:v>7.17.0 Sprint 2 (05-Apr -2024 to 18-Apr-2024)</c:v>
                </c:pt>
                <c:pt idx="2">
                  <c:v>7.17.0 Sprint 3 (19-Apr-2024 to 02-May-2024)</c:v>
                </c:pt>
                <c:pt idx="3">
                  <c:v>7.17.0 Sprint 4 (03-May -2024 to 16-May-2024)</c:v>
                </c:pt>
                <c:pt idx="4">
                  <c:v>7.18.0 Sprint 1 (17-May-2024 to 30-May-2024)</c:v>
                </c:pt>
                <c:pt idx="5">
                  <c:v>7.18.0 Sprint 2 (31-May-2024 to 13-Jun-2024)</c:v>
                </c:pt>
                <c:pt idx="6">
                  <c:v>7.18.0 Sprint 3 (14-Jun-2024 to 27-Jun-2024)</c:v>
                </c:pt>
                <c:pt idx="7">
                  <c:v>7.18.0 Sprint 4 (28-Jun-2024 to 11-Jul-2024)</c:v>
                </c:pt>
                <c:pt idx="8">
                  <c:v>7.19.0 Sprint 1 (12-Jul-2024 to 25-Jul-2024)</c:v>
                </c:pt>
                <c:pt idx="9">
                  <c:v>7.19.0 Sprint 2 (26-Jul-2024 to 07-Aug-2024)</c:v>
                </c:pt>
                <c:pt idx="10">
                  <c:v>7.19.0 Sprint 3 (08-Aug-2024 to 22-Aug-2024)</c:v>
                </c:pt>
                <c:pt idx="11">
                  <c:v>7.19.0 Sprint 4 (23-Aug-2024 to 5-Sep-2024)</c:v>
                </c:pt>
                <c:pt idx="12">
                  <c:v>7.20.0 Sprint 1 (5-Sep-2024 to 19-Sep-2024)</c:v>
                </c:pt>
                <c:pt idx="13">
                  <c:v>7.20.0 Sprint 2 (19-Sep-2024 to 3-Oct-2024)</c:v>
                </c:pt>
                <c:pt idx="14">
                  <c:v>7.20.0 Sprint 3 (3-Oct -2024 to 17-Oct-2024)</c:v>
                </c:pt>
                <c:pt idx="15">
                  <c:v>7.20.0 Sprint 4 (17-Oct-2024 to 31-Oct-2024)</c:v>
                </c:pt>
                <c:pt idx="16">
                  <c:v>7.21.0 Sprint 1 (31-Oct-2024 to 14-Nov-2024)</c:v>
                </c:pt>
                <c:pt idx="17">
                  <c:v>7.21.0 Sprint 2(14-Nov-2024 to 25-Nov-2024)</c:v>
                </c:pt>
                <c:pt idx="18">
                  <c:v>7.21.0 Sprint 3 (25-Nov-2024 to 12-Dec-2024)</c:v>
                </c:pt>
                <c:pt idx="19">
                  <c:v>GGO 7.21.0 Sprint 4 (12-Dec -2024 to 9-Jan-2025)</c:v>
                </c:pt>
                <c:pt idx="20">
                  <c:v>GGO 7.22.0 Sprint 1 (9-Jan-2025 to 23-Jan-2025)</c:v>
                </c:pt>
                <c:pt idx="21">
                  <c:v>GGO 7.22.0 Sprint 2 (23-Jan-2025 to 6-Feb-2025)</c:v>
                </c:pt>
                <c:pt idx="22">
                  <c:v>GGO 7.22.0 Sprint 3 (6-Feb-2025 to 20-Feb-2025)</c:v>
                </c:pt>
                <c:pt idx="23">
                  <c:v>GGO 7.22.0 Sprint  4 (20-Feb-2025 to 6-Mar-2025)</c:v>
                </c:pt>
                <c:pt idx="24">
                  <c:v>GGO 7.23.0 Sprint 1 (6-Mar-2025 to 20-Mar-2025)</c:v>
                </c:pt>
                <c:pt idx="25">
                  <c:v>GGO 7.23.0 Sprint 2 (20-Mar-2025 to 3-Apr-2025)</c:v>
                </c:pt>
                <c:pt idx="26">
                  <c:v>GGO 7.23.0 Sprint 3 (3-Apr-2025 to 17-Apr-2025)</c:v>
                </c:pt>
                <c:pt idx="27">
                  <c:v>GGO 7.23.0 Sprint 4 (17-Apr-2025 to 01-May-2025)</c:v>
                </c:pt>
                <c:pt idx="28">
                  <c:v>GGO 7.24.0 Sprint 1 (1-May-2025 to 15-May-2025)</c:v>
                </c:pt>
                <c:pt idx="29">
                  <c:v>GGO 7.24.0 Sprint 2 (16-May-2025 to 29-May-2025)</c:v>
                </c:pt>
                <c:pt idx="30">
                  <c:v>GGO 7.24.0 Sprint 3 (29-May-2025 to 12-Jun-2025)</c:v>
                </c:pt>
                <c:pt idx="31">
                  <c:v>GGO 7.24.0 Sprint 4 (12-Jun-2025 to 26-Jun-2025)</c:v>
                </c:pt>
                <c:pt idx="32">
                  <c:v>GGO 7.25.0 Sprint 1 (26-Jun-2025 to 10-Jul-2025)</c:v>
                </c:pt>
                <c:pt idx="33">
                  <c:v>GGO 7.25.0 Sprint 2 (10-Jul-2025 to 24-Jul-2025)</c:v>
                </c:pt>
                <c:pt idx="34">
                  <c:v>GGO 7.25.0 Sprint 3 (24-Jul-2025 to 07-Aug-2025)</c:v>
                </c:pt>
                <c:pt idx="35">
                  <c:v>GGO 7.25.0 Sprint 4 (07-Aug-2025 to 21-Aug-2025)</c:v>
                </c:pt>
                <c:pt idx="36">
                  <c:v>GGO 8.0.0 Sprint 1 (21-Aug-2025 to 04-Sep-2025)</c:v>
                </c:pt>
                <c:pt idx="37">
                  <c:v>GGO 8.0.0 Sprint 2 (04-Aug-2025 to 18-Sep-2025)</c:v>
                </c:pt>
                <c:pt idx="38">
                  <c:v>GGO 8.0.0 Sprint 3 (18-Sep-2025 to 2-Oct-2025)</c:v>
                </c:pt>
                <c:pt idx="39">
                  <c:v>GGO 8.0.0 Sprint 4 (2-Oct-2025 to 16-Oct-2025)</c:v>
                </c:pt>
                <c:pt idx="40">
                  <c:v>GGO 8.1.0 Sprint 1 (16-Oct-2025 to 30-Oct-2025)</c:v>
                </c:pt>
                <c:pt idx="41">
                  <c:v>GGO 8.1.0 Sprint 2 (30-Oct-2025 to 13-Nov-2025)</c:v>
                </c:pt>
                <c:pt idx="42">
                  <c:v>GGO 8.1.0 Sprint 3 (13-Nov-2025 to 26-Nov-2025)</c:v>
                </c:pt>
                <c:pt idx="43">
                  <c:v>GGO 8.1.0 Sprint 4 (26-Nov-2025 to 11-Dec-2025)</c:v>
                </c:pt>
                <c:pt idx="44">
                  <c:v>GGO 8.2.0 Sprint 1 (11-Dec-2025 to 08-Jan-2026)</c:v>
                </c:pt>
              </c:strCache>
            </c:strRef>
          </c:cat>
          <c:val>
            <c:numRef>
              <c:f>Data!$E$2:$E$46</c:f>
              <c:numCache>
                <c:formatCode>0</c:formatCode>
                <c:ptCount val="45"/>
                <c:pt idx="0">
                  <c:v>20</c:v>
                </c:pt>
                <c:pt idx="1">
                  <c:v>20</c:v>
                </c:pt>
                <c:pt idx="2">
                  <c:v>20</c:v>
                </c:pt>
                <c:pt idx="3">
                  <c:v>10.5</c:v>
                </c:pt>
                <c:pt idx="4">
                  <c:v>11.25</c:v>
                </c:pt>
                <c:pt idx="5">
                  <c:v>11</c:v>
                </c:pt>
                <c:pt idx="6">
                  <c:v>12</c:v>
                </c:pt>
                <c:pt idx="7">
                  <c:v>16.25</c:v>
                </c:pt>
                <c:pt idx="8">
                  <c:v>16.5</c:v>
                </c:pt>
                <c:pt idx="9">
                  <c:v>14</c:v>
                </c:pt>
                <c:pt idx="10">
                  <c:v>14.25</c:v>
                </c:pt>
                <c:pt idx="11">
                  <c:v>12.75</c:v>
                </c:pt>
                <c:pt idx="12">
                  <c:v>12.25</c:v>
                </c:pt>
                <c:pt idx="13">
                  <c:v>14.25</c:v>
                </c:pt>
                <c:pt idx="14">
                  <c:v>13.25</c:v>
                </c:pt>
                <c:pt idx="15">
                  <c:v>13</c:v>
                </c:pt>
                <c:pt idx="16">
                  <c:v>14</c:v>
                </c:pt>
                <c:pt idx="17">
                  <c:v>13.25</c:v>
                </c:pt>
                <c:pt idx="18">
                  <c:v>13.75</c:v>
                </c:pt>
                <c:pt idx="19">
                  <c:v>15.25</c:v>
                </c:pt>
                <c:pt idx="20">
                  <c:v>15.25</c:v>
                </c:pt>
                <c:pt idx="21">
                  <c:v>15.25</c:v>
                </c:pt>
                <c:pt idx="22">
                  <c:v>13.75</c:v>
                </c:pt>
                <c:pt idx="23">
                  <c:v>12.75</c:v>
                </c:pt>
                <c:pt idx="24">
                  <c:v>13.25</c:v>
                </c:pt>
                <c:pt idx="25">
                  <c:v>15.25</c:v>
                </c:pt>
                <c:pt idx="26">
                  <c:v>19.25</c:v>
                </c:pt>
                <c:pt idx="27">
                  <c:v>22.25</c:v>
                </c:pt>
                <c:pt idx="28">
                  <c:v>21.5</c:v>
                </c:pt>
                <c:pt idx="29">
                  <c:v>22.5</c:v>
                </c:pt>
                <c:pt idx="30">
                  <c:v>20.25</c:v>
                </c:pt>
                <c:pt idx="31">
                  <c:v>21.5</c:v>
                </c:pt>
                <c:pt idx="32">
                  <c:v>22</c:v>
                </c:pt>
                <c:pt idx="33">
                  <c:v>22.5</c:v>
                </c:pt>
                <c:pt idx="34">
                  <c:v>25.5</c:v>
                </c:pt>
                <c:pt idx="35">
                  <c:v>24.5</c:v>
                </c:pt>
                <c:pt idx="36">
                  <c:v>27.75</c:v>
                </c:pt>
                <c:pt idx="37">
                  <c:v>28</c:v>
                </c:pt>
                <c:pt idx="38">
                  <c:v>27.25</c:v>
                </c:pt>
                <c:pt idx="39">
                  <c:v>25.5</c:v>
                </c:pt>
                <c:pt idx="40">
                  <c:v>23</c:v>
                </c:pt>
                <c:pt idx="41">
                  <c:v>24</c:v>
                </c:pt>
                <c:pt idx="42">
                  <c:v>26</c:v>
                </c:pt>
                <c:pt idx="43">
                  <c:v>27.75</c:v>
                </c:pt>
                <c:pt idx="44">
                  <c:v>34.75</c:v>
                </c:pt>
              </c:numCache>
            </c:numRef>
          </c:val>
          <c:smooth val="1"/>
          <c:extLst>
            <c:ext xmlns:c16="http://schemas.microsoft.com/office/drawing/2014/chart" uri="{C3380CC4-5D6E-409C-BE32-E72D297353CC}">
              <c16:uniqueId val="{00000000-E202-4D83-A5A7-DA11D4B0C556}"/>
            </c:ext>
          </c:extLst>
        </c:ser>
        <c:ser>
          <c:idx val="1"/>
          <c:order val="1"/>
          <c:tx>
            <c:strRef>
              <c:f>Data!$AK$1</c:f>
              <c:strCache>
                <c:ptCount val="1"/>
                <c:pt idx="0">
                  <c:v>Goal</c:v>
                </c:pt>
              </c:strCache>
            </c:strRef>
          </c:tx>
          <c:spPr>
            <a:ln w="19050" cap="rnd">
              <a:solidFill>
                <a:srgbClr val="00B050"/>
              </a:solidFill>
              <a:prstDash val="dash"/>
              <a:round/>
            </a:ln>
            <a:effectLst/>
          </c:spPr>
          <c:marker>
            <c:symbol val="none"/>
          </c:marker>
          <c:cat>
            <c:strRef>
              <c:f>Data!$A$2:$A$46</c:f>
              <c:strCache>
                <c:ptCount val="45"/>
                <c:pt idx="0">
                  <c:v>7.17.0 Sprint 1 (22-Mar-2024 to 4-Apr-2024)</c:v>
                </c:pt>
                <c:pt idx="1">
                  <c:v>7.17.0 Sprint 2 (05-Apr -2024 to 18-Apr-2024)</c:v>
                </c:pt>
                <c:pt idx="2">
                  <c:v>7.17.0 Sprint 3 (19-Apr-2024 to 02-May-2024)</c:v>
                </c:pt>
                <c:pt idx="3">
                  <c:v>7.17.0 Sprint 4 (03-May -2024 to 16-May-2024)</c:v>
                </c:pt>
                <c:pt idx="4">
                  <c:v>7.18.0 Sprint 1 (17-May-2024 to 30-May-2024)</c:v>
                </c:pt>
                <c:pt idx="5">
                  <c:v>7.18.0 Sprint 2 (31-May-2024 to 13-Jun-2024)</c:v>
                </c:pt>
                <c:pt idx="6">
                  <c:v>7.18.0 Sprint 3 (14-Jun-2024 to 27-Jun-2024)</c:v>
                </c:pt>
                <c:pt idx="7">
                  <c:v>7.18.0 Sprint 4 (28-Jun-2024 to 11-Jul-2024)</c:v>
                </c:pt>
                <c:pt idx="8">
                  <c:v>7.19.0 Sprint 1 (12-Jul-2024 to 25-Jul-2024)</c:v>
                </c:pt>
                <c:pt idx="9">
                  <c:v>7.19.0 Sprint 2 (26-Jul-2024 to 07-Aug-2024)</c:v>
                </c:pt>
                <c:pt idx="10">
                  <c:v>7.19.0 Sprint 3 (08-Aug-2024 to 22-Aug-2024)</c:v>
                </c:pt>
                <c:pt idx="11">
                  <c:v>7.19.0 Sprint 4 (23-Aug-2024 to 5-Sep-2024)</c:v>
                </c:pt>
                <c:pt idx="12">
                  <c:v>7.20.0 Sprint 1 (5-Sep-2024 to 19-Sep-2024)</c:v>
                </c:pt>
                <c:pt idx="13">
                  <c:v>7.20.0 Sprint 2 (19-Sep-2024 to 3-Oct-2024)</c:v>
                </c:pt>
                <c:pt idx="14">
                  <c:v>7.20.0 Sprint 3 (3-Oct -2024 to 17-Oct-2024)</c:v>
                </c:pt>
                <c:pt idx="15">
                  <c:v>7.20.0 Sprint 4 (17-Oct-2024 to 31-Oct-2024)</c:v>
                </c:pt>
                <c:pt idx="16">
                  <c:v>7.21.0 Sprint 1 (31-Oct-2024 to 14-Nov-2024)</c:v>
                </c:pt>
                <c:pt idx="17">
                  <c:v>7.21.0 Sprint 2(14-Nov-2024 to 25-Nov-2024)</c:v>
                </c:pt>
                <c:pt idx="18">
                  <c:v>7.21.0 Sprint 3 (25-Nov-2024 to 12-Dec-2024)</c:v>
                </c:pt>
                <c:pt idx="19">
                  <c:v>GGO 7.21.0 Sprint 4 (12-Dec -2024 to 9-Jan-2025)</c:v>
                </c:pt>
                <c:pt idx="20">
                  <c:v>GGO 7.22.0 Sprint 1 (9-Jan-2025 to 23-Jan-2025)</c:v>
                </c:pt>
                <c:pt idx="21">
                  <c:v>GGO 7.22.0 Sprint 2 (23-Jan-2025 to 6-Feb-2025)</c:v>
                </c:pt>
                <c:pt idx="22">
                  <c:v>GGO 7.22.0 Sprint 3 (6-Feb-2025 to 20-Feb-2025)</c:v>
                </c:pt>
                <c:pt idx="23">
                  <c:v>GGO 7.22.0 Sprint  4 (20-Feb-2025 to 6-Mar-2025)</c:v>
                </c:pt>
                <c:pt idx="24">
                  <c:v>GGO 7.23.0 Sprint 1 (6-Mar-2025 to 20-Mar-2025)</c:v>
                </c:pt>
                <c:pt idx="25">
                  <c:v>GGO 7.23.0 Sprint 2 (20-Mar-2025 to 3-Apr-2025)</c:v>
                </c:pt>
                <c:pt idx="26">
                  <c:v>GGO 7.23.0 Sprint 3 (3-Apr-2025 to 17-Apr-2025)</c:v>
                </c:pt>
                <c:pt idx="27">
                  <c:v>GGO 7.23.0 Sprint 4 (17-Apr-2025 to 01-May-2025)</c:v>
                </c:pt>
                <c:pt idx="28">
                  <c:v>GGO 7.24.0 Sprint 1 (1-May-2025 to 15-May-2025)</c:v>
                </c:pt>
                <c:pt idx="29">
                  <c:v>GGO 7.24.0 Sprint 2 (16-May-2025 to 29-May-2025)</c:v>
                </c:pt>
                <c:pt idx="30">
                  <c:v>GGO 7.24.0 Sprint 3 (29-May-2025 to 12-Jun-2025)</c:v>
                </c:pt>
                <c:pt idx="31">
                  <c:v>GGO 7.24.0 Sprint 4 (12-Jun-2025 to 26-Jun-2025)</c:v>
                </c:pt>
                <c:pt idx="32">
                  <c:v>GGO 7.25.0 Sprint 1 (26-Jun-2025 to 10-Jul-2025)</c:v>
                </c:pt>
                <c:pt idx="33">
                  <c:v>GGO 7.25.0 Sprint 2 (10-Jul-2025 to 24-Jul-2025)</c:v>
                </c:pt>
                <c:pt idx="34">
                  <c:v>GGO 7.25.0 Sprint 3 (24-Jul-2025 to 07-Aug-2025)</c:v>
                </c:pt>
                <c:pt idx="35">
                  <c:v>GGO 7.25.0 Sprint 4 (07-Aug-2025 to 21-Aug-2025)</c:v>
                </c:pt>
                <c:pt idx="36">
                  <c:v>GGO 8.0.0 Sprint 1 (21-Aug-2025 to 04-Sep-2025)</c:v>
                </c:pt>
                <c:pt idx="37">
                  <c:v>GGO 8.0.0 Sprint 2 (04-Aug-2025 to 18-Sep-2025)</c:v>
                </c:pt>
                <c:pt idx="38">
                  <c:v>GGO 8.0.0 Sprint 3 (18-Sep-2025 to 2-Oct-2025)</c:v>
                </c:pt>
                <c:pt idx="39">
                  <c:v>GGO 8.0.0 Sprint 4 (2-Oct-2025 to 16-Oct-2025)</c:v>
                </c:pt>
                <c:pt idx="40">
                  <c:v>GGO 8.1.0 Sprint 1 (16-Oct-2025 to 30-Oct-2025)</c:v>
                </c:pt>
                <c:pt idx="41">
                  <c:v>GGO 8.1.0 Sprint 2 (30-Oct-2025 to 13-Nov-2025)</c:v>
                </c:pt>
                <c:pt idx="42">
                  <c:v>GGO 8.1.0 Sprint 3 (13-Nov-2025 to 26-Nov-2025)</c:v>
                </c:pt>
                <c:pt idx="43">
                  <c:v>GGO 8.1.0 Sprint 4 (26-Nov-2025 to 11-Dec-2025)</c:v>
                </c:pt>
                <c:pt idx="44">
                  <c:v>GGO 8.2.0 Sprint 1 (11-Dec-2025 to 08-Jan-2026)</c:v>
                </c:pt>
              </c:strCache>
            </c:strRef>
          </c:cat>
          <c:val>
            <c:numRef>
              <c:f>Data!$AK$8:$AK$8</c:f>
              <c:numCache>
                <c:formatCode>0</c:formatCode>
                <c:ptCount val="1"/>
                <c:pt idx="0">
                  <c:v>20</c:v>
                </c:pt>
              </c:numCache>
            </c:numRef>
          </c:val>
          <c:smooth val="0"/>
          <c:extLst>
            <c:ext xmlns:c16="http://schemas.microsoft.com/office/drawing/2014/chart" uri="{C3380CC4-5D6E-409C-BE32-E72D297353CC}">
              <c16:uniqueId val="{00000001-E202-4D83-A5A7-DA11D4B0C556}"/>
            </c:ext>
          </c:extLst>
        </c:ser>
        <c:dLbls>
          <c:showLegendKey val="0"/>
          <c:showVal val="0"/>
          <c:showCatName val="0"/>
          <c:showSerName val="0"/>
          <c:showPercent val="0"/>
          <c:showBubbleSize val="0"/>
        </c:dLbls>
        <c:marker val="1"/>
        <c:smooth val="0"/>
        <c:axId val="1411112544"/>
        <c:axId val="219597727"/>
      </c:lineChart>
      <c:catAx>
        <c:axId val="141111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97727"/>
        <c:crosses val="autoZero"/>
        <c:auto val="1"/>
        <c:lblAlgn val="ctr"/>
        <c:lblOffset val="100"/>
        <c:noMultiLvlLbl val="0"/>
      </c:catAx>
      <c:valAx>
        <c:axId val="219597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rgbClr val="00B05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12544"/>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Code Coverage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Data!$F$1</c:f>
              <c:strCache>
                <c:ptCount val="1"/>
                <c:pt idx="0">
                  <c:v>Code Coverage</c:v>
                </c:pt>
              </c:strCache>
            </c:strRef>
          </c:tx>
          <c:spPr>
            <a:gradFill>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gra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Data!$A$2:$A$46</c:f>
              <c:strCache>
                <c:ptCount val="45"/>
                <c:pt idx="0">
                  <c:v>7.17.0 Sprint 1 (22-Mar-2024 to 4-Apr-2024)</c:v>
                </c:pt>
                <c:pt idx="1">
                  <c:v>7.17.0 Sprint 2 (05-Apr -2024 to 18-Apr-2024)</c:v>
                </c:pt>
                <c:pt idx="2">
                  <c:v>7.17.0 Sprint 3 (19-Apr-2024 to 02-May-2024)</c:v>
                </c:pt>
                <c:pt idx="3">
                  <c:v>7.17.0 Sprint 4 (03-May -2024 to 16-May-2024)</c:v>
                </c:pt>
                <c:pt idx="4">
                  <c:v>7.18.0 Sprint 1 (17-May-2024 to 30-May-2024)</c:v>
                </c:pt>
                <c:pt idx="5">
                  <c:v>7.18.0 Sprint 2 (31-May-2024 to 13-Jun-2024)</c:v>
                </c:pt>
                <c:pt idx="6">
                  <c:v>7.18.0 Sprint 3 (14-Jun-2024 to 27-Jun-2024)</c:v>
                </c:pt>
                <c:pt idx="7">
                  <c:v>7.18.0 Sprint 4 (28-Jun-2024 to 11-Jul-2024)</c:v>
                </c:pt>
                <c:pt idx="8">
                  <c:v>7.19.0 Sprint 1 (12-Jul-2024 to 25-Jul-2024)</c:v>
                </c:pt>
                <c:pt idx="9">
                  <c:v>7.19.0 Sprint 2 (26-Jul-2024 to 07-Aug-2024)</c:v>
                </c:pt>
                <c:pt idx="10">
                  <c:v>7.19.0 Sprint 3 (08-Aug-2024 to 22-Aug-2024)</c:v>
                </c:pt>
                <c:pt idx="11">
                  <c:v>7.19.0 Sprint 4 (23-Aug-2024 to 5-Sep-2024)</c:v>
                </c:pt>
                <c:pt idx="12">
                  <c:v>7.20.0 Sprint 1 (5-Sep-2024 to 19-Sep-2024)</c:v>
                </c:pt>
                <c:pt idx="13">
                  <c:v>7.20.0 Sprint 2 (19-Sep-2024 to 3-Oct-2024)</c:v>
                </c:pt>
                <c:pt idx="14">
                  <c:v>7.20.0 Sprint 3 (3-Oct -2024 to 17-Oct-2024)</c:v>
                </c:pt>
                <c:pt idx="15">
                  <c:v>7.20.0 Sprint 4 (17-Oct-2024 to 31-Oct-2024)</c:v>
                </c:pt>
                <c:pt idx="16">
                  <c:v>7.21.0 Sprint 1 (31-Oct-2024 to 14-Nov-2024)</c:v>
                </c:pt>
                <c:pt idx="17">
                  <c:v>7.21.0 Sprint 2(14-Nov-2024 to 25-Nov-2024)</c:v>
                </c:pt>
                <c:pt idx="18">
                  <c:v>7.21.0 Sprint 3 (25-Nov-2024 to 12-Dec-2024)</c:v>
                </c:pt>
                <c:pt idx="19">
                  <c:v>GGO 7.21.0 Sprint 4 (12-Dec -2024 to 9-Jan-2025)</c:v>
                </c:pt>
                <c:pt idx="20">
                  <c:v>GGO 7.22.0 Sprint 1 (9-Jan-2025 to 23-Jan-2025)</c:v>
                </c:pt>
                <c:pt idx="21">
                  <c:v>GGO 7.22.0 Sprint 2 (23-Jan-2025 to 6-Feb-2025)</c:v>
                </c:pt>
                <c:pt idx="22">
                  <c:v>GGO 7.22.0 Sprint 3 (6-Feb-2025 to 20-Feb-2025)</c:v>
                </c:pt>
                <c:pt idx="23">
                  <c:v>GGO 7.22.0 Sprint  4 (20-Feb-2025 to 6-Mar-2025)</c:v>
                </c:pt>
                <c:pt idx="24">
                  <c:v>GGO 7.23.0 Sprint 1 (6-Mar-2025 to 20-Mar-2025)</c:v>
                </c:pt>
                <c:pt idx="25">
                  <c:v>GGO 7.23.0 Sprint 2 (20-Mar-2025 to 3-Apr-2025)</c:v>
                </c:pt>
                <c:pt idx="26">
                  <c:v>GGO 7.23.0 Sprint 3 (3-Apr-2025 to 17-Apr-2025)</c:v>
                </c:pt>
                <c:pt idx="27">
                  <c:v>GGO 7.23.0 Sprint 4 (17-Apr-2025 to 01-May-2025)</c:v>
                </c:pt>
                <c:pt idx="28">
                  <c:v>GGO 7.24.0 Sprint 1 (1-May-2025 to 15-May-2025)</c:v>
                </c:pt>
                <c:pt idx="29">
                  <c:v>GGO 7.24.0 Sprint 2 (16-May-2025 to 29-May-2025)</c:v>
                </c:pt>
                <c:pt idx="30">
                  <c:v>GGO 7.24.0 Sprint 3 (29-May-2025 to 12-Jun-2025)</c:v>
                </c:pt>
                <c:pt idx="31">
                  <c:v>GGO 7.24.0 Sprint 4 (12-Jun-2025 to 26-Jun-2025)</c:v>
                </c:pt>
                <c:pt idx="32">
                  <c:v>GGO 7.25.0 Sprint 1 (26-Jun-2025 to 10-Jul-2025)</c:v>
                </c:pt>
                <c:pt idx="33">
                  <c:v>GGO 7.25.0 Sprint 2 (10-Jul-2025 to 24-Jul-2025)</c:v>
                </c:pt>
                <c:pt idx="34">
                  <c:v>GGO 7.25.0 Sprint 3 (24-Jul-2025 to 07-Aug-2025)</c:v>
                </c:pt>
                <c:pt idx="35">
                  <c:v>GGO 7.25.0 Sprint 4 (07-Aug-2025 to 21-Aug-2025)</c:v>
                </c:pt>
                <c:pt idx="36">
                  <c:v>GGO 8.0.0 Sprint 1 (21-Aug-2025 to 04-Sep-2025)</c:v>
                </c:pt>
                <c:pt idx="37">
                  <c:v>GGO 8.0.0 Sprint 2 (04-Aug-2025 to 18-Sep-2025)</c:v>
                </c:pt>
                <c:pt idx="38">
                  <c:v>GGO 8.0.0 Sprint 3 (18-Sep-2025 to 2-Oct-2025)</c:v>
                </c:pt>
                <c:pt idx="39">
                  <c:v>GGO 8.0.0 Sprint 4 (2-Oct-2025 to 16-Oct-2025)</c:v>
                </c:pt>
                <c:pt idx="40">
                  <c:v>GGO 8.1.0 Sprint 1 (16-Oct-2025 to 30-Oct-2025)</c:v>
                </c:pt>
                <c:pt idx="41">
                  <c:v>GGO 8.1.0 Sprint 2 (30-Oct-2025 to 13-Nov-2025)</c:v>
                </c:pt>
                <c:pt idx="42">
                  <c:v>GGO 8.1.0 Sprint 3 (13-Nov-2025 to 26-Nov-2025)</c:v>
                </c:pt>
                <c:pt idx="43">
                  <c:v>GGO 8.1.0 Sprint 4 (26-Nov-2025 to 11-Dec-2025)</c:v>
                </c:pt>
                <c:pt idx="44">
                  <c:v>GGO 8.2.0 Sprint 1 (11-Dec-2025 to 08-Jan-2026)</c:v>
                </c:pt>
              </c:strCache>
            </c:strRef>
          </c:cat>
          <c:val>
            <c:numRef>
              <c:f>Data!$F$2:$F$46</c:f>
              <c:numCache>
                <c:formatCode>0%</c:formatCode>
                <c:ptCount val="45"/>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pt idx="31">
                  <c:v>0.9</c:v>
                </c:pt>
                <c:pt idx="32">
                  <c:v>0.9</c:v>
                </c:pt>
                <c:pt idx="33">
                  <c:v>0.9</c:v>
                </c:pt>
                <c:pt idx="34">
                  <c:v>0.9</c:v>
                </c:pt>
                <c:pt idx="35">
                  <c:v>0.9</c:v>
                </c:pt>
                <c:pt idx="36">
                  <c:v>0.9</c:v>
                </c:pt>
                <c:pt idx="37">
                  <c:v>0.9</c:v>
                </c:pt>
                <c:pt idx="38">
                  <c:v>0.9</c:v>
                </c:pt>
                <c:pt idx="39">
                  <c:v>0.9</c:v>
                </c:pt>
                <c:pt idx="40">
                  <c:v>0.9</c:v>
                </c:pt>
                <c:pt idx="41">
                  <c:v>0.9</c:v>
                </c:pt>
                <c:pt idx="42">
                  <c:v>0.9</c:v>
                </c:pt>
                <c:pt idx="43">
                  <c:v>0.9</c:v>
                </c:pt>
                <c:pt idx="44">
                  <c:v>0.9</c:v>
                </c:pt>
              </c:numCache>
            </c:numRef>
          </c:val>
          <c:extLst>
            <c:ext xmlns:c16="http://schemas.microsoft.com/office/drawing/2014/chart" uri="{C3380CC4-5D6E-409C-BE32-E72D297353CC}">
              <c16:uniqueId val="{00000000-C3A8-4FCA-9F2A-285FD84A8673}"/>
            </c:ext>
          </c:extLst>
        </c:ser>
        <c:dLbls>
          <c:showLegendKey val="0"/>
          <c:showVal val="0"/>
          <c:showCatName val="0"/>
          <c:showSerName val="0"/>
          <c:showPercent val="0"/>
          <c:showBubbleSize val="0"/>
        </c:dLbls>
        <c:gapWidth val="219"/>
        <c:overlap val="-27"/>
        <c:axId val="164230447"/>
        <c:axId val="785813231"/>
      </c:barChart>
      <c:lineChart>
        <c:grouping val="standard"/>
        <c:varyColors val="0"/>
        <c:ser>
          <c:idx val="1"/>
          <c:order val="1"/>
          <c:tx>
            <c:strRef>
              <c:f>Data!$AM$1</c:f>
              <c:strCache>
                <c:ptCount val="1"/>
                <c:pt idx="0">
                  <c:v>Goal</c:v>
                </c:pt>
              </c:strCache>
            </c:strRef>
          </c:tx>
          <c:spPr>
            <a:ln w="19050" cap="rnd">
              <a:solidFill>
                <a:srgbClr val="00B050"/>
              </a:solidFill>
              <a:prstDash val="dash"/>
              <a:round/>
            </a:ln>
            <a:effectLst/>
          </c:spPr>
          <c:marker>
            <c:symbol val="none"/>
          </c:marker>
          <c:cat>
            <c:strRef>
              <c:f>Data!$A$2:$A$46</c:f>
              <c:strCache>
                <c:ptCount val="45"/>
                <c:pt idx="0">
                  <c:v>7.17.0 Sprint 1 (22-Mar-2024 to 4-Apr-2024)</c:v>
                </c:pt>
                <c:pt idx="1">
                  <c:v>7.17.0 Sprint 2 (05-Apr -2024 to 18-Apr-2024)</c:v>
                </c:pt>
                <c:pt idx="2">
                  <c:v>7.17.0 Sprint 3 (19-Apr-2024 to 02-May-2024)</c:v>
                </c:pt>
                <c:pt idx="3">
                  <c:v>7.17.0 Sprint 4 (03-May -2024 to 16-May-2024)</c:v>
                </c:pt>
                <c:pt idx="4">
                  <c:v>7.18.0 Sprint 1 (17-May-2024 to 30-May-2024)</c:v>
                </c:pt>
                <c:pt idx="5">
                  <c:v>7.18.0 Sprint 2 (31-May-2024 to 13-Jun-2024)</c:v>
                </c:pt>
                <c:pt idx="6">
                  <c:v>7.18.0 Sprint 3 (14-Jun-2024 to 27-Jun-2024)</c:v>
                </c:pt>
                <c:pt idx="7">
                  <c:v>7.18.0 Sprint 4 (28-Jun-2024 to 11-Jul-2024)</c:v>
                </c:pt>
                <c:pt idx="8">
                  <c:v>7.19.0 Sprint 1 (12-Jul-2024 to 25-Jul-2024)</c:v>
                </c:pt>
                <c:pt idx="9">
                  <c:v>7.19.0 Sprint 2 (26-Jul-2024 to 07-Aug-2024)</c:v>
                </c:pt>
                <c:pt idx="10">
                  <c:v>7.19.0 Sprint 3 (08-Aug-2024 to 22-Aug-2024)</c:v>
                </c:pt>
                <c:pt idx="11">
                  <c:v>7.19.0 Sprint 4 (23-Aug-2024 to 5-Sep-2024)</c:v>
                </c:pt>
                <c:pt idx="12">
                  <c:v>7.20.0 Sprint 1 (5-Sep-2024 to 19-Sep-2024)</c:v>
                </c:pt>
                <c:pt idx="13">
                  <c:v>7.20.0 Sprint 2 (19-Sep-2024 to 3-Oct-2024)</c:v>
                </c:pt>
                <c:pt idx="14">
                  <c:v>7.20.0 Sprint 3 (3-Oct -2024 to 17-Oct-2024)</c:v>
                </c:pt>
                <c:pt idx="15">
                  <c:v>7.20.0 Sprint 4 (17-Oct-2024 to 31-Oct-2024)</c:v>
                </c:pt>
                <c:pt idx="16">
                  <c:v>7.21.0 Sprint 1 (31-Oct-2024 to 14-Nov-2024)</c:v>
                </c:pt>
                <c:pt idx="17">
                  <c:v>7.21.0 Sprint 2(14-Nov-2024 to 25-Nov-2024)</c:v>
                </c:pt>
                <c:pt idx="18">
                  <c:v>7.21.0 Sprint 3 (25-Nov-2024 to 12-Dec-2024)</c:v>
                </c:pt>
                <c:pt idx="19">
                  <c:v>GGO 7.21.0 Sprint 4 (12-Dec -2024 to 9-Jan-2025)</c:v>
                </c:pt>
                <c:pt idx="20">
                  <c:v>GGO 7.22.0 Sprint 1 (9-Jan-2025 to 23-Jan-2025)</c:v>
                </c:pt>
                <c:pt idx="21">
                  <c:v>GGO 7.22.0 Sprint 2 (23-Jan-2025 to 6-Feb-2025)</c:v>
                </c:pt>
                <c:pt idx="22">
                  <c:v>GGO 7.22.0 Sprint 3 (6-Feb-2025 to 20-Feb-2025)</c:v>
                </c:pt>
                <c:pt idx="23">
                  <c:v>GGO 7.22.0 Sprint  4 (20-Feb-2025 to 6-Mar-2025)</c:v>
                </c:pt>
                <c:pt idx="24">
                  <c:v>GGO 7.23.0 Sprint 1 (6-Mar-2025 to 20-Mar-2025)</c:v>
                </c:pt>
                <c:pt idx="25">
                  <c:v>GGO 7.23.0 Sprint 2 (20-Mar-2025 to 3-Apr-2025)</c:v>
                </c:pt>
                <c:pt idx="26">
                  <c:v>GGO 7.23.0 Sprint 3 (3-Apr-2025 to 17-Apr-2025)</c:v>
                </c:pt>
                <c:pt idx="27">
                  <c:v>GGO 7.23.0 Sprint 4 (17-Apr-2025 to 01-May-2025)</c:v>
                </c:pt>
                <c:pt idx="28">
                  <c:v>GGO 7.24.0 Sprint 1 (1-May-2025 to 15-May-2025)</c:v>
                </c:pt>
                <c:pt idx="29">
                  <c:v>GGO 7.24.0 Sprint 2 (16-May-2025 to 29-May-2025)</c:v>
                </c:pt>
                <c:pt idx="30">
                  <c:v>GGO 7.24.0 Sprint 3 (29-May-2025 to 12-Jun-2025)</c:v>
                </c:pt>
                <c:pt idx="31">
                  <c:v>GGO 7.24.0 Sprint 4 (12-Jun-2025 to 26-Jun-2025)</c:v>
                </c:pt>
                <c:pt idx="32">
                  <c:v>GGO 7.25.0 Sprint 1 (26-Jun-2025 to 10-Jul-2025)</c:v>
                </c:pt>
                <c:pt idx="33">
                  <c:v>GGO 7.25.0 Sprint 2 (10-Jul-2025 to 24-Jul-2025)</c:v>
                </c:pt>
                <c:pt idx="34">
                  <c:v>GGO 7.25.0 Sprint 3 (24-Jul-2025 to 07-Aug-2025)</c:v>
                </c:pt>
                <c:pt idx="35">
                  <c:v>GGO 7.25.0 Sprint 4 (07-Aug-2025 to 21-Aug-2025)</c:v>
                </c:pt>
                <c:pt idx="36">
                  <c:v>GGO 8.0.0 Sprint 1 (21-Aug-2025 to 04-Sep-2025)</c:v>
                </c:pt>
                <c:pt idx="37">
                  <c:v>GGO 8.0.0 Sprint 2 (04-Aug-2025 to 18-Sep-2025)</c:v>
                </c:pt>
                <c:pt idx="38">
                  <c:v>GGO 8.0.0 Sprint 3 (18-Sep-2025 to 2-Oct-2025)</c:v>
                </c:pt>
                <c:pt idx="39">
                  <c:v>GGO 8.0.0 Sprint 4 (2-Oct-2025 to 16-Oct-2025)</c:v>
                </c:pt>
                <c:pt idx="40">
                  <c:v>GGO 8.1.0 Sprint 1 (16-Oct-2025 to 30-Oct-2025)</c:v>
                </c:pt>
                <c:pt idx="41">
                  <c:v>GGO 8.1.0 Sprint 2 (30-Oct-2025 to 13-Nov-2025)</c:v>
                </c:pt>
                <c:pt idx="42">
                  <c:v>GGO 8.1.0 Sprint 3 (13-Nov-2025 to 26-Nov-2025)</c:v>
                </c:pt>
                <c:pt idx="43">
                  <c:v>GGO 8.1.0 Sprint 4 (26-Nov-2025 to 11-Dec-2025)</c:v>
                </c:pt>
                <c:pt idx="44">
                  <c:v>GGO 8.2.0 Sprint 1 (11-Dec-2025 to 08-Jan-2026)</c:v>
                </c:pt>
              </c:strCache>
            </c:strRef>
          </c:cat>
          <c:val>
            <c:numRef>
              <c:f>Data!$AM$8:$AM$8</c:f>
              <c:numCache>
                <c:formatCode>0%</c:formatCode>
                <c:ptCount val="1"/>
                <c:pt idx="0">
                  <c:v>0.9</c:v>
                </c:pt>
              </c:numCache>
            </c:numRef>
          </c:val>
          <c:smooth val="0"/>
          <c:extLst>
            <c:ext xmlns:c16="http://schemas.microsoft.com/office/drawing/2014/chart" uri="{C3380CC4-5D6E-409C-BE32-E72D297353CC}">
              <c16:uniqueId val="{00000001-C3A8-4FCA-9F2A-285FD84A8673}"/>
            </c:ext>
          </c:extLst>
        </c:ser>
        <c:dLbls>
          <c:showLegendKey val="0"/>
          <c:showVal val="0"/>
          <c:showCatName val="0"/>
          <c:showSerName val="0"/>
          <c:showPercent val="0"/>
          <c:showBubbleSize val="0"/>
        </c:dLbls>
        <c:marker val="1"/>
        <c:smooth val="0"/>
        <c:axId val="164230447"/>
        <c:axId val="785813231"/>
      </c:lineChart>
      <c:catAx>
        <c:axId val="16423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813231"/>
        <c:crosses val="autoZero"/>
        <c:auto val="1"/>
        <c:lblAlgn val="ctr"/>
        <c:lblOffset val="100"/>
        <c:noMultiLvlLbl val="0"/>
      </c:catAx>
      <c:valAx>
        <c:axId val="78581323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0447"/>
        <c:crosses val="autoZero"/>
        <c:crossBetween val="between"/>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rgbClr val="585858">
                  <a:lumMod val="65000"/>
                  <a:lumOff val="35000"/>
                </a:srgb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Data!$H$1</c:f>
              <c:strCache>
                <c:ptCount val="1"/>
                <c:pt idx="0">
                  <c:v>Code Review Comments - External</c:v>
                </c:pt>
              </c:strCache>
            </c:strRef>
          </c:tx>
          <c:spPr>
            <a:solidFill>
              <a:schemeClr val="accent1"/>
            </a:solidFill>
            <a:ln>
              <a:noFill/>
            </a:ln>
            <a:effectLst/>
          </c:spPr>
          <c:invertIfNegative val="0"/>
          <c:cat>
            <c:strRef>
              <c:f>Data!$A$2:$A$46</c:f>
              <c:strCache>
                <c:ptCount val="45"/>
                <c:pt idx="0">
                  <c:v>7.17.0 Sprint 1 (22-Mar-2024 to 4-Apr-2024)</c:v>
                </c:pt>
                <c:pt idx="1">
                  <c:v>7.17.0 Sprint 2 (05-Apr -2024 to 18-Apr-2024)</c:v>
                </c:pt>
                <c:pt idx="2">
                  <c:v>7.17.0 Sprint 3 (19-Apr-2024 to 02-May-2024)</c:v>
                </c:pt>
                <c:pt idx="3">
                  <c:v>7.17.0 Sprint 4 (03-May -2024 to 16-May-2024)</c:v>
                </c:pt>
                <c:pt idx="4">
                  <c:v>7.18.0 Sprint 1 (17-May-2024 to 30-May-2024)</c:v>
                </c:pt>
                <c:pt idx="5">
                  <c:v>7.18.0 Sprint 2 (31-May-2024 to 13-Jun-2024)</c:v>
                </c:pt>
                <c:pt idx="6">
                  <c:v>7.18.0 Sprint 3 (14-Jun-2024 to 27-Jun-2024)</c:v>
                </c:pt>
                <c:pt idx="7">
                  <c:v>7.18.0 Sprint 4 (28-Jun-2024 to 11-Jul-2024)</c:v>
                </c:pt>
                <c:pt idx="8">
                  <c:v>7.19.0 Sprint 1 (12-Jul-2024 to 25-Jul-2024)</c:v>
                </c:pt>
                <c:pt idx="9">
                  <c:v>7.19.0 Sprint 2 (26-Jul-2024 to 07-Aug-2024)</c:v>
                </c:pt>
                <c:pt idx="10">
                  <c:v>7.19.0 Sprint 3 (08-Aug-2024 to 22-Aug-2024)</c:v>
                </c:pt>
                <c:pt idx="11">
                  <c:v>7.19.0 Sprint 4 (23-Aug-2024 to 5-Sep-2024)</c:v>
                </c:pt>
                <c:pt idx="12">
                  <c:v>7.20.0 Sprint 1 (5-Sep-2024 to 19-Sep-2024)</c:v>
                </c:pt>
                <c:pt idx="13">
                  <c:v>7.20.0 Sprint 2 (19-Sep-2024 to 3-Oct-2024)</c:v>
                </c:pt>
                <c:pt idx="14">
                  <c:v>7.20.0 Sprint 3 (3-Oct -2024 to 17-Oct-2024)</c:v>
                </c:pt>
                <c:pt idx="15">
                  <c:v>7.20.0 Sprint 4 (17-Oct-2024 to 31-Oct-2024)</c:v>
                </c:pt>
                <c:pt idx="16">
                  <c:v>7.21.0 Sprint 1 (31-Oct-2024 to 14-Nov-2024)</c:v>
                </c:pt>
                <c:pt idx="17">
                  <c:v>7.21.0 Sprint 2(14-Nov-2024 to 25-Nov-2024)</c:v>
                </c:pt>
                <c:pt idx="18">
                  <c:v>7.21.0 Sprint 3 (25-Nov-2024 to 12-Dec-2024)</c:v>
                </c:pt>
                <c:pt idx="19">
                  <c:v>GGO 7.21.0 Sprint 4 (12-Dec -2024 to 9-Jan-2025)</c:v>
                </c:pt>
                <c:pt idx="20">
                  <c:v>GGO 7.22.0 Sprint 1 (9-Jan-2025 to 23-Jan-2025)</c:v>
                </c:pt>
                <c:pt idx="21">
                  <c:v>GGO 7.22.0 Sprint 2 (23-Jan-2025 to 6-Feb-2025)</c:v>
                </c:pt>
                <c:pt idx="22">
                  <c:v>GGO 7.22.0 Sprint 3 (6-Feb-2025 to 20-Feb-2025)</c:v>
                </c:pt>
                <c:pt idx="23">
                  <c:v>GGO 7.22.0 Sprint  4 (20-Feb-2025 to 6-Mar-2025)</c:v>
                </c:pt>
                <c:pt idx="24">
                  <c:v>GGO 7.23.0 Sprint 1 (6-Mar-2025 to 20-Mar-2025)</c:v>
                </c:pt>
                <c:pt idx="25">
                  <c:v>GGO 7.23.0 Sprint 2 (20-Mar-2025 to 3-Apr-2025)</c:v>
                </c:pt>
                <c:pt idx="26">
                  <c:v>GGO 7.23.0 Sprint 3 (3-Apr-2025 to 17-Apr-2025)</c:v>
                </c:pt>
                <c:pt idx="27">
                  <c:v>GGO 7.23.0 Sprint 4 (17-Apr-2025 to 01-May-2025)</c:v>
                </c:pt>
                <c:pt idx="28">
                  <c:v>GGO 7.24.0 Sprint 1 (1-May-2025 to 15-May-2025)</c:v>
                </c:pt>
                <c:pt idx="29">
                  <c:v>GGO 7.24.0 Sprint 2 (16-May-2025 to 29-May-2025)</c:v>
                </c:pt>
                <c:pt idx="30">
                  <c:v>GGO 7.24.0 Sprint 3 (29-May-2025 to 12-Jun-2025)</c:v>
                </c:pt>
                <c:pt idx="31">
                  <c:v>GGO 7.24.0 Sprint 4 (12-Jun-2025 to 26-Jun-2025)</c:v>
                </c:pt>
                <c:pt idx="32">
                  <c:v>GGO 7.25.0 Sprint 1 (26-Jun-2025 to 10-Jul-2025)</c:v>
                </c:pt>
                <c:pt idx="33">
                  <c:v>GGO 7.25.0 Sprint 2 (10-Jul-2025 to 24-Jul-2025)</c:v>
                </c:pt>
                <c:pt idx="34">
                  <c:v>GGO 7.25.0 Sprint 3 (24-Jul-2025 to 07-Aug-2025)</c:v>
                </c:pt>
                <c:pt idx="35">
                  <c:v>GGO 7.25.0 Sprint 4 (07-Aug-2025 to 21-Aug-2025)</c:v>
                </c:pt>
                <c:pt idx="36">
                  <c:v>GGO 8.0.0 Sprint 1 (21-Aug-2025 to 04-Sep-2025)</c:v>
                </c:pt>
                <c:pt idx="37">
                  <c:v>GGO 8.0.0 Sprint 2 (04-Aug-2025 to 18-Sep-2025)</c:v>
                </c:pt>
                <c:pt idx="38">
                  <c:v>GGO 8.0.0 Sprint 3 (18-Sep-2025 to 2-Oct-2025)</c:v>
                </c:pt>
                <c:pt idx="39">
                  <c:v>GGO 8.0.0 Sprint 4 (2-Oct-2025 to 16-Oct-2025)</c:v>
                </c:pt>
                <c:pt idx="40">
                  <c:v>GGO 8.1.0 Sprint 1 (16-Oct-2025 to 30-Oct-2025)</c:v>
                </c:pt>
                <c:pt idx="41">
                  <c:v>GGO 8.1.0 Sprint 2 (30-Oct-2025 to 13-Nov-2025)</c:v>
                </c:pt>
                <c:pt idx="42">
                  <c:v>GGO 8.1.0 Sprint 3 (13-Nov-2025 to 26-Nov-2025)</c:v>
                </c:pt>
                <c:pt idx="43">
                  <c:v>GGO 8.1.0 Sprint 4 (26-Nov-2025 to 11-Dec-2025)</c:v>
                </c:pt>
                <c:pt idx="44">
                  <c:v>GGO 8.2.0 Sprint 1 (11-Dec-2025 to 08-Jan-2026)</c:v>
                </c:pt>
              </c:strCache>
            </c:strRef>
          </c:cat>
          <c:val>
            <c:numRef>
              <c:f>Data!$H$2:$H$46</c:f>
              <c:numCache>
                <c:formatCode>General</c:formatCode>
                <c:ptCount val="45"/>
                <c:pt idx="0">
                  <c:v>0</c:v>
                </c:pt>
                <c:pt idx="1">
                  <c:v>0</c:v>
                </c:pt>
                <c:pt idx="2">
                  <c:v>0</c:v>
                </c:pt>
                <c:pt idx="3">
                  <c:v>0</c:v>
                </c:pt>
                <c:pt idx="4">
                  <c:v>1</c:v>
                </c:pt>
                <c:pt idx="5">
                  <c:v>0</c:v>
                </c:pt>
                <c:pt idx="6">
                  <c:v>1</c:v>
                </c:pt>
                <c:pt idx="7">
                  <c:v>1</c:v>
                </c:pt>
                <c:pt idx="8">
                  <c:v>0</c:v>
                </c:pt>
                <c:pt idx="9">
                  <c:v>0</c:v>
                </c:pt>
                <c:pt idx="10">
                  <c:v>1</c:v>
                </c:pt>
                <c:pt idx="11">
                  <c:v>0</c:v>
                </c:pt>
                <c:pt idx="12">
                  <c:v>3</c:v>
                </c:pt>
                <c:pt idx="13">
                  <c:v>0</c:v>
                </c:pt>
                <c:pt idx="14">
                  <c:v>0</c:v>
                </c:pt>
                <c:pt idx="15">
                  <c:v>0</c:v>
                </c:pt>
                <c:pt idx="16">
                  <c:v>0</c:v>
                </c:pt>
                <c:pt idx="17">
                  <c:v>1</c:v>
                </c:pt>
                <c:pt idx="18">
                  <c:v>0</c:v>
                </c:pt>
                <c:pt idx="19">
                  <c:v>0</c:v>
                </c:pt>
                <c:pt idx="20">
                  <c:v>0</c:v>
                </c:pt>
                <c:pt idx="21">
                  <c:v>0</c:v>
                </c:pt>
                <c:pt idx="22">
                  <c:v>2</c:v>
                </c:pt>
                <c:pt idx="23">
                  <c:v>0</c:v>
                </c:pt>
                <c:pt idx="24">
                  <c:v>0</c:v>
                </c:pt>
                <c:pt idx="25">
                  <c:v>0</c:v>
                </c:pt>
                <c:pt idx="26">
                  <c:v>0</c:v>
                </c:pt>
                <c:pt idx="27">
                  <c:v>0</c:v>
                </c:pt>
                <c:pt idx="28">
                  <c:v>0</c:v>
                </c:pt>
                <c:pt idx="29">
                  <c:v>0</c:v>
                </c:pt>
                <c:pt idx="30">
                  <c:v>0</c:v>
                </c:pt>
                <c:pt idx="31">
                  <c:v>0</c:v>
                </c:pt>
                <c:pt idx="32">
                  <c:v>0</c:v>
                </c:pt>
                <c:pt idx="33">
                  <c:v>0</c:v>
                </c:pt>
                <c:pt idx="34">
                  <c:v>0</c:v>
                </c:pt>
                <c:pt idx="35">
                  <c:v>1</c:v>
                </c:pt>
                <c:pt idx="36">
                  <c:v>0</c:v>
                </c:pt>
                <c:pt idx="37">
                  <c:v>0</c:v>
                </c:pt>
                <c:pt idx="38">
                  <c:v>0</c:v>
                </c:pt>
                <c:pt idx="39">
                  <c:v>0</c:v>
                </c:pt>
                <c:pt idx="40">
                  <c:v>0</c:v>
                </c:pt>
                <c:pt idx="41">
                  <c:v>0</c:v>
                </c:pt>
                <c:pt idx="42">
                  <c:v>0</c:v>
                </c:pt>
                <c:pt idx="43">
                  <c:v>0</c:v>
                </c:pt>
                <c:pt idx="44">
                  <c:v>0</c:v>
                </c:pt>
              </c:numCache>
            </c:numRef>
          </c:val>
          <c:extLst>
            <c:ext xmlns:c16="http://schemas.microsoft.com/office/drawing/2014/chart" uri="{C3380CC4-5D6E-409C-BE32-E72D297353CC}">
              <c16:uniqueId val="{00000000-0E70-4CA7-93B7-40244EBBDC80}"/>
            </c:ext>
          </c:extLst>
        </c:ser>
        <c:dLbls>
          <c:showLegendKey val="0"/>
          <c:showVal val="0"/>
          <c:showCatName val="0"/>
          <c:showSerName val="0"/>
          <c:showPercent val="0"/>
          <c:showBubbleSize val="0"/>
        </c:dLbls>
        <c:gapWidth val="219"/>
        <c:overlap val="-27"/>
        <c:axId val="195954207"/>
        <c:axId val="1801070608"/>
      </c:barChart>
      <c:catAx>
        <c:axId val="1959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1070608"/>
        <c:crosses val="autoZero"/>
        <c:auto val="1"/>
        <c:lblAlgn val="ctr"/>
        <c:lblOffset val="100"/>
        <c:noMultiLvlLbl val="0"/>
      </c:catAx>
      <c:valAx>
        <c:axId val="1801070608"/>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5954207"/>
        <c:crosses val="autoZero"/>
        <c:crossBetween val="between"/>
        <c:majorUnit val="2"/>
        <c:minorUnit val="1"/>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Data!$I$1</c:f>
              <c:strCache>
                <c:ptCount val="1"/>
                <c:pt idx="0">
                  <c:v>QA Defects</c:v>
                </c:pt>
              </c:strCache>
            </c:strRef>
          </c:tx>
          <c:spPr>
            <a:gradFill flip="none" rotWithShape="1">
              <a:gsLst>
                <a:gs pos="0">
                  <a:schemeClr val="accent6">
                    <a:lumMod val="40000"/>
                    <a:lumOff val="60000"/>
                  </a:schemeClr>
                </a:gs>
                <a:gs pos="46000">
                  <a:schemeClr val="accent6">
                    <a:lumMod val="95000"/>
                    <a:lumOff val="5000"/>
                  </a:schemeClr>
                </a:gs>
                <a:gs pos="0">
                  <a:schemeClr val="accent6">
                    <a:lumMod val="6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Data!$A$2:$A$46</c:f>
              <c:strCache>
                <c:ptCount val="45"/>
                <c:pt idx="0">
                  <c:v>7.17.0 Sprint 1 (22-Mar-2024 to 4-Apr-2024)</c:v>
                </c:pt>
                <c:pt idx="1">
                  <c:v>7.17.0 Sprint 2 (05-Apr -2024 to 18-Apr-2024)</c:v>
                </c:pt>
                <c:pt idx="2">
                  <c:v>7.17.0 Sprint 3 (19-Apr-2024 to 02-May-2024)</c:v>
                </c:pt>
                <c:pt idx="3">
                  <c:v>7.17.0 Sprint 4 (03-May -2024 to 16-May-2024)</c:v>
                </c:pt>
                <c:pt idx="4">
                  <c:v>7.18.0 Sprint 1 (17-May-2024 to 30-May-2024)</c:v>
                </c:pt>
                <c:pt idx="5">
                  <c:v>7.18.0 Sprint 2 (31-May-2024 to 13-Jun-2024)</c:v>
                </c:pt>
                <c:pt idx="6">
                  <c:v>7.18.0 Sprint 3 (14-Jun-2024 to 27-Jun-2024)</c:v>
                </c:pt>
                <c:pt idx="7">
                  <c:v>7.18.0 Sprint 4 (28-Jun-2024 to 11-Jul-2024)</c:v>
                </c:pt>
                <c:pt idx="8">
                  <c:v>7.19.0 Sprint 1 (12-Jul-2024 to 25-Jul-2024)</c:v>
                </c:pt>
                <c:pt idx="9">
                  <c:v>7.19.0 Sprint 2 (26-Jul-2024 to 07-Aug-2024)</c:v>
                </c:pt>
                <c:pt idx="10">
                  <c:v>7.19.0 Sprint 3 (08-Aug-2024 to 22-Aug-2024)</c:v>
                </c:pt>
                <c:pt idx="11">
                  <c:v>7.19.0 Sprint 4 (23-Aug-2024 to 5-Sep-2024)</c:v>
                </c:pt>
                <c:pt idx="12">
                  <c:v>7.20.0 Sprint 1 (5-Sep-2024 to 19-Sep-2024)</c:v>
                </c:pt>
                <c:pt idx="13">
                  <c:v>7.20.0 Sprint 2 (19-Sep-2024 to 3-Oct-2024)</c:v>
                </c:pt>
                <c:pt idx="14">
                  <c:v>7.20.0 Sprint 3 (3-Oct -2024 to 17-Oct-2024)</c:v>
                </c:pt>
                <c:pt idx="15">
                  <c:v>7.20.0 Sprint 4 (17-Oct-2024 to 31-Oct-2024)</c:v>
                </c:pt>
                <c:pt idx="16">
                  <c:v>7.21.0 Sprint 1 (31-Oct-2024 to 14-Nov-2024)</c:v>
                </c:pt>
                <c:pt idx="17">
                  <c:v>7.21.0 Sprint 2(14-Nov-2024 to 25-Nov-2024)</c:v>
                </c:pt>
                <c:pt idx="18">
                  <c:v>7.21.0 Sprint 3 (25-Nov-2024 to 12-Dec-2024)</c:v>
                </c:pt>
                <c:pt idx="19">
                  <c:v>GGO 7.21.0 Sprint 4 (12-Dec -2024 to 9-Jan-2025)</c:v>
                </c:pt>
                <c:pt idx="20">
                  <c:v>GGO 7.22.0 Sprint 1 (9-Jan-2025 to 23-Jan-2025)</c:v>
                </c:pt>
                <c:pt idx="21">
                  <c:v>GGO 7.22.0 Sprint 2 (23-Jan-2025 to 6-Feb-2025)</c:v>
                </c:pt>
                <c:pt idx="22">
                  <c:v>GGO 7.22.0 Sprint 3 (6-Feb-2025 to 20-Feb-2025)</c:v>
                </c:pt>
                <c:pt idx="23">
                  <c:v>GGO 7.22.0 Sprint  4 (20-Feb-2025 to 6-Mar-2025)</c:v>
                </c:pt>
                <c:pt idx="24">
                  <c:v>GGO 7.23.0 Sprint 1 (6-Mar-2025 to 20-Mar-2025)</c:v>
                </c:pt>
                <c:pt idx="25">
                  <c:v>GGO 7.23.0 Sprint 2 (20-Mar-2025 to 3-Apr-2025)</c:v>
                </c:pt>
                <c:pt idx="26">
                  <c:v>GGO 7.23.0 Sprint 3 (3-Apr-2025 to 17-Apr-2025)</c:v>
                </c:pt>
                <c:pt idx="27">
                  <c:v>GGO 7.23.0 Sprint 4 (17-Apr-2025 to 01-May-2025)</c:v>
                </c:pt>
                <c:pt idx="28">
                  <c:v>GGO 7.24.0 Sprint 1 (1-May-2025 to 15-May-2025)</c:v>
                </c:pt>
                <c:pt idx="29">
                  <c:v>GGO 7.24.0 Sprint 2 (16-May-2025 to 29-May-2025)</c:v>
                </c:pt>
                <c:pt idx="30">
                  <c:v>GGO 7.24.0 Sprint 3 (29-May-2025 to 12-Jun-2025)</c:v>
                </c:pt>
                <c:pt idx="31">
                  <c:v>GGO 7.24.0 Sprint 4 (12-Jun-2025 to 26-Jun-2025)</c:v>
                </c:pt>
                <c:pt idx="32">
                  <c:v>GGO 7.25.0 Sprint 1 (26-Jun-2025 to 10-Jul-2025)</c:v>
                </c:pt>
                <c:pt idx="33">
                  <c:v>GGO 7.25.0 Sprint 2 (10-Jul-2025 to 24-Jul-2025)</c:v>
                </c:pt>
                <c:pt idx="34">
                  <c:v>GGO 7.25.0 Sprint 3 (24-Jul-2025 to 07-Aug-2025)</c:v>
                </c:pt>
                <c:pt idx="35">
                  <c:v>GGO 7.25.0 Sprint 4 (07-Aug-2025 to 21-Aug-2025)</c:v>
                </c:pt>
                <c:pt idx="36">
                  <c:v>GGO 8.0.0 Sprint 1 (21-Aug-2025 to 04-Sep-2025)</c:v>
                </c:pt>
                <c:pt idx="37">
                  <c:v>GGO 8.0.0 Sprint 2 (04-Aug-2025 to 18-Sep-2025)</c:v>
                </c:pt>
                <c:pt idx="38">
                  <c:v>GGO 8.0.0 Sprint 3 (18-Sep-2025 to 2-Oct-2025)</c:v>
                </c:pt>
                <c:pt idx="39">
                  <c:v>GGO 8.0.0 Sprint 4 (2-Oct-2025 to 16-Oct-2025)</c:v>
                </c:pt>
                <c:pt idx="40">
                  <c:v>GGO 8.1.0 Sprint 1 (16-Oct-2025 to 30-Oct-2025)</c:v>
                </c:pt>
                <c:pt idx="41">
                  <c:v>GGO 8.1.0 Sprint 2 (30-Oct-2025 to 13-Nov-2025)</c:v>
                </c:pt>
                <c:pt idx="42">
                  <c:v>GGO 8.1.0 Sprint 3 (13-Nov-2025 to 26-Nov-2025)</c:v>
                </c:pt>
                <c:pt idx="43">
                  <c:v>GGO 8.1.0 Sprint 4 (26-Nov-2025 to 11-Dec-2025)</c:v>
                </c:pt>
                <c:pt idx="44">
                  <c:v>GGO 8.2.0 Sprint 1 (11-Dec-2025 to 08-Jan-2026)</c:v>
                </c:pt>
              </c:strCache>
            </c:strRef>
          </c:cat>
          <c:val>
            <c:numRef>
              <c:f>Data!$I$2:$I$46</c:f>
              <c:numCache>
                <c:formatCode>General</c:formatCode>
                <c:ptCount val="45"/>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c:v>
                </c:pt>
                <c:pt idx="16">
                  <c:v>2</c:v>
                </c:pt>
                <c:pt idx="17">
                  <c:v>0</c:v>
                </c:pt>
                <c:pt idx="18">
                  <c:v>0</c:v>
                </c:pt>
                <c:pt idx="19">
                  <c:v>8</c:v>
                </c:pt>
                <c:pt idx="20">
                  <c:v>6</c:v>
                </c:pt>
                <c:pt idx="21">
                  <c:v>0</c:v>
                </c:pt>
                <c:pt idx="22">
                  <c:v>4</c:v>
                </c:pt>
                <c:pt idx="23">
                  <c:v>4</c:v>
                </c:pt>
                <c:pt idx="24">
                  <c:v>0</c:v>
                </c:pt>
                <c:pt idx="25">
                  <c:v>2</c:v>
                </c:pt>
                <c:pt idx="26">
                  <c:v>1</c:v>
                </c:pt>
                <c:pt idx="27">
                  <c:v>1</c:v>
                </c:pt>
                <c:pt idx="28">
                  <c:v>0</c:v>
                </c:pt>
                <c:pt idx="29">
                  <c:v>0</c:v>
                </c:pt>
                <c:pt idx="30">
                  <c:v>3</c:v>
                </c:pt>
                <c:pt idx="31">
                  <c:v>0</c:v>
                </c:pt>
                <c:pt idx="32">
                  <c:v>0</c:v>
                </c:pt>
                <c:pt idx="33">
                  <c:v>3</c:v>
                </c:pt>
                <c:pt idx="34">
                  <c:v>1</c:v>
                </c:pt>
                <c:pt idx="35">
                  <c:v>2</c:v>
                </c:pt>
                <c:pt idx="36">
                  <c:v>1</c:v>
                </c:pt>
                <c:pt idx="37">
                  <c:v>1</c:v>
                </c:pt>
                <c:pt idx="38">
                  <c:v>1</c:v>
                </c:pt>
                <c:pt idx="39">
                  <c:v>0</c:v>
                </c:pt>
                <c:pt idx="40">
                  <c:v>0</c:v>
                </c:pt>
                <c:pt idx="41">
                  <c:v>1</c:v>
                </c:pt>
                <c:pt idx="42">
                  <c:v>1</c:v>
                </c:pt>
                <c:pt idx="43">
                  <c:v>2</c:v>
                </c:pt>
                <c:pt idx="44">
                  <c:v>0</c:v>
                </c:pt>
              </c:numCache>
            </c:numRef>
          </c:val>
          <c:extLst>
            <c:ext xmlns:c16="http://schemas.microsoft.com/office/drawing/2014/chart" uri="{C3380CC4-5D6E-409C-BE32-E72D297353CC}">
              <c16:uniqueId val="{00000000-BEEB-41CF-AB84-9A98E24C570B}"/>
            </c:ext>
          </c:extLst>
        </c:ser>
        <c:dLbls>
          <c:dLblPos val="ctr"/>
          <c:showLegendKey val="0"/>
          <c:showVal val="1"/>
          <c:showCatName val="0"/>
          <c:showSerName val="0"/>
          <c:showPercent val="0"/>
          <c:showBubbleSize val="0"/>
        </c:dLbls>
        <c:gapWidth val="219"/>
        <c:overlap val="-27"/>
        <c:axId val="243966095"/>
        <c:axId val="207678063"/>
      </c:barChart>
      <c:catAx>
        <c:axId val="24396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8063"/>
        <c:crosses val="autoZero"/>
        <c:auto val="1"/>
        <c:lblAlgn val="ctr"/>
        <c:lblOffset val="100"/>
        <c:noMultiLvlLbl val="0"/>
      </c:catAx>
      <c:valAx>
        <c:axId val="207678063"/>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60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Data!$J$1</c:f>
              <c:strCache>
                <c:ptCount val="1"/>
                <c:pt idx="0">
                  <c:v>Escaped Defects</c:v>
                </c:pt>
              </c:strCache>
            </c:strRef>
          </c:tx>
          <c:spPr>
            <a:solidFill>
              <a:schemeClr val="accent1"/>
            </a:solidFill>
            <a:ln>
              <a:noFill/>
            </a:ln>
            <a:effectLst/>
          </c:spPr>
          <c:invertIfNegative val="0"/>
          <c:cat>
            <c:strRef>
              <c:f>Data!$A$2:$A$46</c:f>
              <c:strCache>
                <c:ptCount val="45"/>
                <c:pt idx="0">
                  <c:v>7.17.0 Sprint 1 (22-Mar-2024 to 4-Apr-2024)</c:v>
                </c:pt>
                <c:pt idx="1">
                  <c:v>7.17.0 Sprint 2 (05-Apr -2024 to 18-Apr-2024)</c:v>
                </c:pt>
                <c:pt idx="2">
                  <c:v>7.17.0 Sprint 3 (19-Apr-2024 to 02-May-2024)</c:v>
                </c:pt>
                <c:pt idx="3">
                  <c:v>7.17.0 Sprint 4 (03-May -2024 to 16-May-2024)</c:v>
                </c:pt>
                <c:pt idx="4">
                  <c:v>7.18.0 Sprint 1 (17-May-2024 to 30-May-2024)</c:v>
                </c:pt>
                <c:pt idx="5">
                  <c:v>7.18.0 Sprint 2 (31-May-2024 to 13-Jun-2024)</c:v>
                </c:pt>
                <c:pt idx="6">
                  <c:v>7.18.0 Sprint 3 (14-Jun-2024 to 27-Jun-2024)</c:v>
                </c:pt>
                <c:pt idx="7">
                  <c:v>7.18.0 Sprint 4 (28-Jun-2024 to 11-Jul-2024)</c:v>
                </c:pt>
                <c:pt idx="8">
                  <c:v>7.19.0 Sprint 1 (12-Jul-2024 to 25-Jul-2024)</c:v>
                </c:pt>
                <c:pt idx="9">
                  <c:v>7.19.0 Sprint 2 (26-Jul-2024 to 07-Aug-2024)</c:v>
                </c:pt>
                <c:pt idx="10">
                  <c:v>7.19.0 Sprint 3 (08-Aug-2024 to 22-Aug-2024)</c:v>
                </c:pt>
                <c:pt idx="11">
                  <c:v>7.19.0 Sprint 4 (23-Aug-2024 to 5-Sep-2024)</c:v>
                </c:pt>
                <c:pt idx="12">
                  <c:v>7.20.0 Sprint 1 (5-Sep-2024 to 19-Sep-2024)</c:v>
                </c:pt>
                <c:pt idx="13">
                  <c:v>7.20.0 Sprint 2 (19-Sep-2024 to 3-Oct-2024)</c:v>
                </c:pt>
                <c:pt idx="14">
                  <c:v>7.20.0 Sprint 3 (3-Oct -2024 to 17-Oct-2024)</c:v>
                </c:pt>
                <c:pt idx="15">
                  <c:v>7.20.0 Sprint 4 (17-Oct-2024 to 31-Oct-2024)</c:v>
                </c:pt>
                <c:pt idx="16">
                  <c:v>7.21.0 Sprint 1 (31-Oct-2024 to 14-Nov-2024)</c:v>
                </c:pt>
                <c:pt idx="17">
                  <c:v>7.21.0 Sprint 2(14-Nov-2024 to 25-Nov-2024)</c:v>
                </c:pt>
                <c:pt idx="18">
                  <c:v>7.21.0 Sprint 3 (25-Nov-2024 to 12-Dec-2024)</c:v>
                </c:pt>
                <c:pt idx="19">
                  <c:v>GGO 7.21.0 Sprint 4 (12-Dec -2024 to 9-Jan-2025)</c:v>
                </c:pt>
                <c:pt idx="20">
                  <c:v>GGO 7.22.0 Sprint 1 (9-Jan-2025 to 23-Jan-2025)</c:v>
                </c:pt>
                <c:pt idx="21">
                  <c:v>GGO 7.22.0 Sprint 2 (23-Jan-2025 to 6-Feb-2025)</c:v>
                </c:pt>
                <c:pt idx="22">
                  <c:v>GGO 7.22.0 Sprint 3 (6-Feb-2025 to 20-Feb-2025)</c:v>
                </c:pt>
                <c:pt idx="23">
                  <c:v>GGO 7.22.0 Sprint  4 (20-Feb-2025 to 6-Mar-2025)</c:v>
                </c:pt>
                <c:pt idx="24">
                  <c:v>GGO 7.23.0 Sprint 1 (6-Mar-2025 to 20-Mar-2025)</c:v>
                </c:pt>
                <c:pt idx="25">
                  <c:v>GGO 7.23.0 Sprint 2 (20-Mar-2025 to 3-Apr-2025)</c:v>
                </c:pt>
                <c:pt idx="26">
                  <c:v>GGO 7.23.0 Sprint 3 (3-Apr-2025 to 17-Apr-2025)</c:v>
                </c:pt>
                <c:pt idx="27">
                  <c:v>GGO 7.23.0 Sprint 4 (17-Apr-2025 to 01-May-2025)</c:v>
                </c:pt>
                <c:pt idx="28">
                  <c:v>GGO 7.24.0 Sprint 1 (1-May-2025 to 15-May-2025)</c:v>
                </c:pt>
                <c:pt idx="29">
                  <c:v>GGO 7.24.0 Sprint 2 (16-May-2025 to 29-May-2025)</c:v>
                </c:pt>
                <c:pt idx="30">
                  <c:v>GGO 7.24.0 Sprint 3 (29-May-2025 to 12-Jun-2025)</c:v>
                </c:pt>
                <c:pt idx="31">
                  <c:v>GGO 7.24.0 Sprint 4 (12-Jun-2025 to 26-Jun-2025)</c:v>
                </c:pt>
                <c:pt idx="32">
                  <c:v>GGO 7.25.0 Sprint 1 (26-Jun-2025 to 10-Jul-2025)</c:v>
                </c:pt>
                <c:pt idx="33">
                  <c:v>GGO 7.25.0 Sprint 2 (10-Jul-2025 to 24-Jul-2025)</c:v>
                </c:pt>
                <c:pt idx="34">
                  <c:v>GGO 7.25.0 Sprint 3 (24-Jul-2025 to 07-Aug-2025)</c:v>
                </c:pt>
                <c:pt idx="35">
                  <c:v>GGO 7.25.0 Sprint 4 (07-Aug-2025 to 21-Aug-2025)</c:v>
                </c:pt>
                <c:pt idx="36">
                  <c:v>GGO 8.0.0 Sprint 1 (21-Aug-2025 to 04-Sep-2025)</c:v>
                </c:pt>
                <c:pt idx="37">
                  <c:v>GGO 8.0.0 Sprint 2 (04-Aug-2025 to 18-Sep-2025)</c:v>
                </c:pt>
                <c:pt idx="38">
                  <c:v>GGO 8.0.0 Sprint 3 (18-Sep-2025 to 2-Oct-2025)</c:v>
                </c:pt>
                <c:pt idx="39">
                  <c:v>GGO 8.0.0 Sprint 4 (2-Oct-2025 to 16-Oct-2025)</c:v>
                </c:pt>
                <c:pt idx="40">
                  <c:v>GGO 8.1.0 Sprint 1 (16-Oct-2025 to 30-Oct-2025)</c:v>
                </c:pt>
                <c:pt idx="41">
                  <c:v>GGO 8.1.0 Sprint 2 (30-Oct-2025 to 13-Nov-2025)</c:v>
                </c:pt>
                <c:pt idx="42">
                  <c:v>GGO 8.1.0 Sprint 3 (13-Nov-2025 to 26-Nov-2025)</c:v>
                </c:pt>
                <c:pt idx="43">
                  <c:v>GGO 8.1.0 Sprint 4 (26-Nov-2025 to 11-Dec-2025)</c:v>
                </c:pt>
                <c:pt idx="44">
                  <c:v>GGO 8.2.0 Sprint 1 (11-Dec-2025 to 08-Jan-2026)</c:v>
                </c:pt>
              </c:strCache>
            </c:strRef>
          </c:cat>
          <c:val>
            <c:numRef>
              <c:f>Data!$J$2:$J$46</c:f>
              <c:numCache>
                <c:formatCode>General</c:formatCode>
                <c:ptCount val="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c:v>
                </c:pt>
                <c:pt idx="22">
                  <c:v>1</c:v>
                </c:pt>
                <c:pt idx="23">
                  <c:v>0</c:v>
                </c:pt>
                <c:pt idx="24">
                  <c:v>0</c:v>
                </c:pt>
                <c:pt idx="25">
                  <c:v>0</c:v>
                </c:pt>
                <c:pt idx="26">
                  <c:v>0</c:v>
                </c:pt>
                <c:pt idx="27">
                  <c:v>0</c:v>
                </c:pt>
                <c:pt idx="28">
                  <c:v>1</c:v>
                </c:pt>
                <c:pt idx="29">
                  <c:v>0</c:v>
                </c:pt>
                <c:pt idx="30">
                  <c:v>0</c:v>
                </c:pt>
                <c:pt idx="31">
                  <c:v>0</c:v>
                </c:pt>
                <c:pt idx="32">
                  <c:v>0</c:v>
                </c:pt>
                <c:pt idx="33">
                  <c:v>0</c:v>
                </c:pt>
                <c:pt idx="34">
                  <c:v>0</c:v>
                </c:pt>
                <c:pt idx="35">
                  <c:v>0</c:v>
                </c:pt>
                <c:pt idx="36">
                  <c:v>0</c:v>
                </c:pt>
                <c:pt idx="37">
                  <c:v>0</c:v>
                </c:pt>
                <c:pt idx="38">
                  <c:v>0</c:v>
                </c:pt>
                <c:pt idx="39">
                  <c:v>0</c:v>
                </c:pt>
                <c:pt idx="40">
                  <c:v>1</c:v>
                </c:pt>
                <c:pt idx="41">
                  <c:v>0</c:v>
                </c:pt>
                <c:pt idx="42">
                  <c:v>0</c:v>
                </c:pt>
                <c:pt idx="43">
                  <c:v>0</c:v>
                </c:pt>
                <c:pt idx="44">
                  <c:v>0</c:v>
                </c:pt>
              </c:numCache>
            </c:numRef>
          </c:val>
          <c:extLst>
            <c:ext xmlns:c16="http://schemas.microsoft.com/office/drawing/2014/chart" uri="{C3380CC4-5D6E-409C-BE32-E72D297353CC}">
              <c16:uniqueId val="{00000000-4CE4-49E2-A59E-D11010B7C9FA}"/>
            </c:ext>
          </c:extLst>
        </c:ser>
        <c:dLbls>
          <c:showLegendKey val="0"/>
          <c:showVal val="0"/>
          <c:showCatName val="0"/>
          <c:showSerName val="0"/>
          <c:showPercent val="0"/>
          <c:showBubbleSize val="0"/>
        </c:dLbls>
        <c:gapWidth val="219"/>
        <c:overlap val="-27"/>
        <c:axId val="243968495"/>
        <c:axId val="207671119"/>
      </c:barChart>
      <c:catAx>
        <c:axId val="24396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1119"/>
        <c:crosses val="autoZero"/>
        <c:auto val="1"/>
        <c:lblAlgn val="ctr"/>
        <c:lblOffset val="100"/>
        <c:noMultiLvlLbl val="0"/>
      </c:catAx>
      <c:valAx>
        <c:axId val="207671119"/>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84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Product Backlog Health - Current Sprint</a:t>
            </a:r>
          </a:p>
        </c:rich>
      </c:tx>
      <c:layout>
        <c:manualLayout>
          <c:xMode val="edge"/>
          <c:yMode val="edge"/>
          <c:x val="0.12296103763728564"/>
          <c:y val="0.83943152454780356"/>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661391840583035"/>
          <c:y val="3.6659952389672228E-2"/>
          <c:w val="0.56735468746018403"/>
          <c:h val="0.90600826059533257"/>
        </c:manualLayout>
      </c:layout>
      <c:pieChart>
        <c:varyColors val="1"/>
        <c:ser>
          <c:idx val="2"/>
          <c:order val="2"/>
          <c:tx>
            <c:v>Pointer</c:v>
          </c:tx>
          <c:spPr>
            <a:ln>
              <a:solidFill>
                <a:srgbClr val="FFFFFF"/>
              </a:solidFill>
            </a:ln>
          </c:spPr>
          <c:dPt>
            <c:idx val="0"/>
            <c:bubble3D val="0"/>
            <c:spPr>
              <a:noFill/>
              <a:ln w="19050">
                <a:solidFill>
                  <a:srgbClr val="FFFFFF"/>
                </a:solidFill>
              </a:ln>
              <a:effectLst/>
            </c:spPr>
            <c:extLst>
              <c:ext xmlns:c16="http://schemas.microsoft.com/office/drawing/2014/chart" uri="{C3380CC4-5D6E-409C-BE32-E72D297353CC}">
                <c16:uniqueId val="{00000001-1E8C-41AD-BA36-455CC939BB92}"/>
              </c:ext>
            </c:extLst>
          </c:dPt>
          <c:dPt>
            <c:idx val="1"/>
            <c:bubble3D val="0"/>
            <c:explosion val="5"/>
            <c:spPr>
              <a:solidFill>
                <a:srgbClr val="0070C0"/>
              </a:solidFill>
              <a:ln w="19050">
                <a:solidFill>
                  <a:srgbClr val="FFFFFF"/>
                </a:solidFill>
              </a:ln>
              <a:effectLst/>
            </c:spPr>
            <c:extLst>
              <c:ext xmlns:c16="http://schemas.microsoft.com/office/drawing/2014/chart" uri="{C3380CC4-5D6E-409C-BE32-E72D297353CC}">
                <c16:uniqueId val="{00000003-1E8C-41AD-BA36-455CC939BB92}"/>
              </c:ext>
            </c:extLst>
          </c:dPt>
          <c:dPt>
            <c:idx val="2"/>
            <c:bubble3D val="0"/>
            <c:spPr>
              <a:noFill/>
              <a:ln w="19050">
                <a:solidFill>
                  <a:srgbClr val="FFFFFF"/>
                </a:solidFill>
              </a:ln>
              <a:effectLst/>
            </c:spPr>
            <c:extLst>
              <c:ext xmlns:c16="http://schemas.microsoft.com/office/drawing/2014/chart" uri="{C3380CC4-5D6E-409C-BE32-E72D297353CC}">
                <c16:uniqueId val="{00000005-1E8C-41AD-BA36-455CC939BB92}"/>
              </c:ext>
            </c:extLst>
          </c:dPt>
          <c:val>
            <c:numRef>
              <c:f>Config!$P$22:$P$24</c:f>
              <c:numCache>
                <c:formatCode>General</c:formatCode>
                <c:ptCount val="3"/>
                <c:pt idx="0">
                  <c:v>30</c:v>
                </c:pt>
                <c:pt idx="1">
                  <c:v>1</c:v>
                </c:pt>
                <c:pt idx="2">
                  <c:v>30</c:v>
                </c:pt>
              </c:numCache>
            </c:numRef>
          </c:val>
          <c:extLst>
            <c:ext xmlns:c16="http://schemas.microsoft.com/office/drawing/2014/chart" uri="{C3380CC4-5D6E-409C-BE32-E72D297353CC}">
              <c16:uniqueId val="{00000006-1E8C-41AD-BA36-455CC939BB92}"/>
            </c:ext>
          </c:extLst>
        </c:ser>
        <c:dLbls>
          <c:showLegendKey val="0"/>
          <c:showVal val="0"/>
          <c:showCatName val="0"/>
          <c:showSerName val="0"/>
          <c:showPercent val="0"/>
          <c:showBubbleSize val="0"/>
          <c:showLeaderLines val="1"/>
        </c:dLbls>
        <c:firstSliceAng val="270"/>
      </c:pieChart>
      <c:doughnutChart>
        <c:varyColors val="1"/>
        <c:ser>
          <c:idx val="0"/>
          <c:order val="0"/>
          <c:tx>
            <c:strRef>
              <c:f>Config!$I$21</c:f>
              <c:strCache>
                <c:ptCount val="1"/>
                <c:pt idx="0">
                  <c:v>Backlog Health - Categories</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8-1E8C-41AD-BA36-455CC939BB92}"/>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A-1E8C-41AD-BA36-455CC939BB92}"/>
              </c:ext>
            </c:extLst>
          </c:dPt>
          <c:dPt>
            <c:idx val="2"/>
            <c:bubble3D val="0"/>
            <c:spPr>
              <a:solidFill>
                <a:srgbClr val="A1E7A1"/>
              </a:solidFill>
              <a:ln w="19050">
                <a:solidFill>
                  <a:schemeClr val="lt1"/>
                </a:solidFill>
              </a:ln>
              <a:effectLst/>
            </c:spPr>
            <c:extLst>
              <c:ext xmlns:c16="http://schemas.microsoft.com/office/drawing/2014/chart" uri="{C3380CC4-5D6E-409C-BE32-E72D297353CC}">
                <c16:uniqueId val="{0000000C-1E8C-41AD-BA36-455CC939BB92}"/>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E-1E8C-41AD-BA36-455CC939BB92}"/>
              </c:ext>
            </c:extLst>
          </c:dPt>
          <c:dPt>
            <c:idx val="4"/>
            <c:bubble3D val="0"/>
            <c:spPr>
              <a:noFill/>
              <a:ln w="19050">
                <a:solidFill>
                  <a:srgbClr val="FFFFFF"/>
                </a:solidFill>
              </a:ln>
              <a:effectLst/>
            </c:spPr>
            <c:extLst>
              <c:ext xmlns:c16="http://schemas.microsoft.com/office/drawing/2014/chart" uri="{C3380CC4-5D6E-409C-BE32-E72D297353CC}">
                <c16:uniqueId val="{00000010-1E8C-41AD-BA36-455CC939BB92}"/>
              </c:ext>
            </c:extLst>
          </c:dPt>
          <c:dLbls>
            <c:dLbl>
              <c:idx val="0"/>
              <c:tx>
                <c:rich>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81099632-B951-47B7-A643-12D671BB2272}" type="CELLRANGE">
                      <a:rPr lang="en-US"/>
                      <a:pPr>
                        <a:defRPr>
                          <a:solidFill>
                            <a:schemeClr val="tx1"/>
                          </a:solidFill>
                        </a:defRPr>
                      </a:pPr>
                      <a:t>[]</a:t>
                    </a:fld>
                    <a:endParaRPr/>
                  </a:p>
                </c:rich>
              </c:tx>
              <c:spPr>
                <a:noFill/>
                <a:ln>
                  <a:noFill/>
                </a:ln>
                <a:effectLst/>
              </c:spPr>
              <c:txPr>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E8C-41AD-BA36-455CC939BB92}"/>
                </c:ext>
              </c:extLst>
            </c:dLbl>
            <c:dLbl>
              <c:idx val="1"/>
              <c:tx>
                <c:rich>
                  <a:bodyPr/>
                  <a:lstStyle/>
                  <a:p>
                    <a:fld id="{B0F7BA33-18FE-480C-A682-93AADB98077C}"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E8C-41AD-BA36-455CC939BB92}"/>
                </c:ext>
              </c:extLst>
            </c:dLbl>
            <c:dLbl>
              <c:idx val="2"/>
              <c:tx>
                <c:rich>
                  <a:bodyPr/>
                  <a:lstStyle/>
                  <a:p>
                    <a:fld id="{E9870EA8-8157-44BD-8D2C-6ABE99F334B8}"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E8C-41AD-BA36-455CC939BB92}"/>
                </c:ext>
              </c:extLst>
            </c:dLbl>
            <c:dLbl>
              <c:idx val="3"/>
              <c:layout>
                <c:manualLayout>
                  <c:x val="0"/>
                  <c:y val="1.0335917312661475E-2"/>
                </c:manualLayout>
              </c:layout>
              <c:tx>
                <c:rich>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C5E48293-F40F-48C7-B522-145462592524}" type="CELLRANGE">
                      <a:rPr lang="en-US"/>
                      <a:pPr>
                        <a:defRPr>
                          <a:solidFill>
                            <a:schemeClr val="tx1"/>
                          </a:solidFill>
                        </a:defRPr>
                      </a:pPr>
                      <a:t>[]</a:t>
                    </a:fld>
                    <a:endParaRPr/>
                  </a:p>
                </c:rich>
              </c:tx>
              <c:spPr>
                <a:noFill/>
                <a:ln>
                  <a:noFill/>
                </a:ln>
                <a:effectLst/>
              </c:spPr>
              <c:txPr>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E8C-41AD-BA36-455CC939BB92}"/>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Config!$J$22:$J$26</c:f>
              <c:numCache>
                <c:formatCode>General</c:formatCode>
                <c:ptCount val="5"/>
                <c:pt idx="0">
                  <c:v>15</c:v>
                </c:pt>
                <c:pt idx="1">
                  <c:v>20</c:v>
                </c:pt>
                <c:pt idx="2">
                  <c:v>25</c:v>
                </c:pt>
                <c:pt idx="3">
                  <c:v>30</c:v>
                </c:pt>
                <c:pt idx="4">
                  <c:v>90</c:v>
                </c:pt>
              </c:numCache>
            </c:numRef>
          </c:val>
          <c:extLst>
            <c:ext xmlns:c15="http://schemas.microsoft.com/office/drawing/2012/chart" uri="{02D57815-91ED-43cb-92C2-25804820EDAC}">
              <c15:datalabelsRange>
                <c15:f>Config!$I$22:$I$25</c15:f>
                <c15:dlblRangeCache>
                  <c:ptCount val="4"/>
                  <c:pt idx="0">
                    <c:v>Below Avg</c:v>
                  </c:pt>
                  <c:pt idx="1">
                    <c:v>Avg</c:v>
                  </c:pt>
                  <c:pt idx="2">
                    <c:v>Good</c:v>
                  </c:pt>
                  <c:pt idx="3">
                    <c:v>Excellent</c:v>
                  </c:pt>
                </c15:dlblRangeCache>
              </c15:datalabelsRange>
            </c:ext>
            <c:ext xmlns:c16="http://schemas.microsoft.com/office/drawing/2014/chart" uri="{C3380CC4-5D6E-409C-BE32-E72D297353CC}">
              <c16:uniqueId val="{00000011-1E8C-41AD-BA36-455CC939BB92}"/>
            </c:ext>
          </c:extLst>
        </c:ser>
        <c:ser>
          <c:idx val="1"/>
          <c:order val="1"/>
          <c:tx>
            <c:v>StoryPoints</c:v>
          </c:tx>
          <c:dPt>
            <c:idx val="0"/>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13-1E8C-41AD-BA36-455CC939BB92}"/>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15-1E8C-41AD-BA36-455CC939BB92}"/>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17-1E8C-41AD-BA36-455CC939BB92}"/>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9-1E8C-41AD-BA36-455CC939BB92}"/>
              </c:ext>
            </c:extLst>
          </c:dPt>
          <c:dPt>
            <c:idx val="4"/>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B-1E8C-41AD-BA36-455CC939BB92}"/>
              </c:ext>
            </c:extLst>
          </c:dPt>
          <c:dPt>
            <c:idx val="5"/>
            <c:bubble3D val="0"/>
            <c:spPr>
              <a:noFill/>
              <a:ln w="19050">
                <a:solidFill>
                  <a:srgbClr val="FFFFFF"/>
                </a:solidFill>
              </a:ln>
              <a:effectLst/>
            </c:spPr>
            <c:extLst>
              <c:ext xmlns:c16="http://schemas.microsoft.com/office/drawing/2014/chart" uri="{C3380CC4-5D6E-409C-BE32-E72D297353CC}">
                <c16:uniqueId val="{0000001D-1E8C-41AD-BA36-455CC939BB92}"/>
              </c:ext>
            </c:extLst>
          </c:dPt>
          <c:dLbls>
            <c:dLbl>
              <c:idx val="0"/>
              <c:tx>
                <c:rich>
                  <a:bodyPr/>
                  <a:lstStyle/>
                  <a:p>
                    <a:fld id="{6C4D7781-43EF-4DB4-A64D-6AD91A1946B3}"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1E8C-41AD-BA36-455CC939BB92}"/>
                </c:ext>
              </c:extLst>
            </c:dLbl>
            <c:dLbl>
              <c:idx val="1"/>
              <c:tx>
                <c:rich>
                  <a:bodyPr/>
                  <a:lstStyle/>
                  <a:p>
                    <a:fld id="{D5361DEF-504E-4435-AEB6-5F9FF9DC3388}"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E8C-41AD-BA36-455CC939BB92}"/>
                </c:ext>
              </c:extLst>
            </c:dLbl>
            <c:dLbl>
              <c:idx val="2"/>
              <c:tx>
                <c:rich>
                  <a:bodyPr/>
                  <a:lstStyle/>
                  <a:p>
                    <a:fld id="{D4644807-77B0-4EA4-804E-AA9BF7C17ECC}"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E8C-41AD-BA36-455CC939BB92}"/>
                </c:ext>
              </c:extLst>
            </c:dLbl>
            <c:dLbl>
              <c:idx val="3"/>
              <c:tx>
                <c:rich>
                  <a:bodyPr/>
                  <a:lstStyle/>
                  <a:p>
                    <a:fld id="{E8C4A03D-7B6B-4B96-900F-A29CB51990A7}"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E8C-41AD-BA36-455CC939BB92}"/>
                </c:ext>
              </c:extLst>
            </c:dLbl>
            <c:dLbl>
              <c:idx val="4"/>
              <c:tx>
                <c:rich>
                  <a:bodyPr/>
                  <a:lstStyle/>
                  <a:p>
                    <a:fld id="{D3A24A63-B71B-4BD1-862E-101327A7F078}"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E8C-41AD-BA36-455CC939BB92}"/>
                </c:ext>
              </c:extLst>
            </c:dLbl>
            <c:dLbl>
              <c:idx val="5"/>
              <c:tx>
                <c:rich>
                  <a:bodyPr/>
                  <a:lstStyle/>
                  <a:p>
                    <a:fld id="{5B621355-0A0D-462B-91E2-E7CE96031E2A}"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Config!$M$23:$M$28</c:f>
              <c:numCache>
                <c:formatCode>General</c:formatCode>
                <c:ptCount val="6"/>
                <c:pt idx="0">
                  <c:v>10</c:v>
                </c:pt>
                <c:pt idx="1">
                  <c:v>10</c:v>
                </c:pt>
                <c:pt idx="2">
                  <c:v>10</c:v>
                </c:pt>
                <c:pt idx="3">
                  <c:v>10</c:v>
                </c:pt>
                <c:pt idx="4">
                  <c:v>10</c:v>
                </c:pt>
                <c:pt idx="5">
                  <c:v>50</c:v>
                </c:pt>
              </c:numCache>
            </c:numRef>
          </c:val>
          <c:extLst>
            <c:ext xmlns:c15="http://schemas.microsoft.com/office/drawing/2012/chart" uri="{02D57815-91ED-43cb-92C2-25804820EDAC}">
              <c15:datalabelsRange>
                <c15:f>Config!$L$23:$L$28</c15:f>
                <c15:dlblRangeCache>
                  <c:ptCount val="6"/>
                  <c:pt idx="0">
                    <c:v>5</c:v>
                  </c:pt>
                  <c:pt idx="1">
                    <c:v>10</c:v>
                  </c:pt>
                  <c:pt idx="2">
                    <c:v>15</c:v>
                  </c:pt>
                  <c:pt idx="3">
                    <c:v>20</c:v>
                  </c:pt>
                  <c:pt idx="4">
                    <c:v>25</c:v>
                  </c:pt>
                </c15:dlblRangeCache>
              </c15:datalabelsRange>
            </c:ext>
            <c:ext xmlns:c16="http://schemas.microsoft.com/office/drawing/2014/chart" uri="{C3380CC4-5D6E-409C-BE32-E72D297353CC}">
              <c16:uniqueId val="{00000020-1E8C-41AD-BA36-455CC939BB92}"/>
            </c:ext>
          </c:extLst>
        </c:ser>
        <c:dLbls>
          <c:showLegendKey val="0"/>
          <c:showVal val="0"/>
          <c:showCatName val="0"/>
          <c:showSerName val="0"/>
          <c:showPercent val="0"/>
          <c:showBubbleSize val="0"/>
          <c:showLeaderLines val="1"/>
        </c:dLbls>
        <c:firstSliceAng val="27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GGO Web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Scorecard!$V$7</c:f>
              <c:strCache>
                <c:ptCount val="1"/>
                <c:pt idx="0">
                  <c:v>Target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c:v>
                </c:pt>
                <c:pt idx="5">
                  <c:v>Backlog Health</c:v>
                </c:pt>
              </c:strCache>
            </c:strRef>
          </c:cat>
          <c:val>
            <c:numRef>
              <c:f>Scorecard!$V$8:$V$13</c:f>
              <c:numCache>
                <c:formatCode>0%</c:formatCode>
                <c:ptCount val="6"/>
                <c:pt idx="0">
                  <c:v>1</c:v>
                </c:pt>
                <c:pt idx="1">
                  <c:v>0.95</c:v>
                </c:pt>
                <c:pt idx="2">
                  <c:v>1</c:v>
                </c:pt>
                <c:pt idx="3">
                  <c:v>1</c:v>
                </c:pt>
                <c:pt idx="4">
                  <c:v>0.9</c:v>
                </c:pt>
                <c:pt idx="5">
                  <c:v>1</c:v>
                </c:pt>
              </c:numCache>
            </c:numRef>
          </c:val>
          <c:extLst>
            <c:ext xmlns:c16="http://schemas.microsoft.com/office/drawing/2014/chart" uri="{C3380CC4-5D6E-409C-BE32-E72D297353CC}">
              <c16:uniqueId val="{00000001-FEA2-4FE4-911E-D950685AD988}"/>
            </c:ext>
          </c:extLst>
        </c:ser>
        <c:ser>
          <c:idx val="0"/>
          <c:order val="1"/>
          <c:tx>
            <c:v>Achieved</c:v>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c:v>
                </c:pt>
                <c:pt idx="5">
                  <c:v>Backlog Health</c:v>
                </c:pt>
              </c:strCache>
            </c:strRef>
          </c:cat>
          <c:val>
            <c:numRef>
              <c:f>Scorecard!$B$8:$B$13</c:f>
              <c:numCache>
                <c:formatCode>0%</c:formatCode>
                <c:ptCount val="6"/>
                <c:pt idx="0">
                  <c:v>1</c:v>
                </c:pt>
                <c:pt idx="1">
                  <c:v>0</c:v>
                </c:pt>
                <c:pt idx="2">
                  <c:v>1</c:v>
                </c:pt>
                <c:pt idx="3">
                  <c:v>1</c:v>
                </c:pt>
                <c:pt idx="4">
                  <c:v>0.9</c:v>
                </c:pt>
                <c:pt idx="5">
                  <c:v>1</c:v>
                </c:pt>
              </c:numCache>
            </c:numRef>
          </c:val>
          <c:extLst>
            <c:ext xmlns:c16="http://schemas.microsoft.com/office/drawing/2014/chart" uri="{C3380CC4-5D6E-409C-BE32-E72D297353CC}">
              <c16:uniqueId val="{00000000-FEA2-4FE4-911E-D950685AD988}"/>
            </c:ext>
          </c:extLst>
        </c:ser>
        <c:dLbls>
          <c:dLblPos val="outEnd"/>
          <c:showLegendKey val="0"/>
          <c:showVal val="1"/>
          <c:showCatName val="0"/>
          <c:showSerName val="0"/>
          <c:showPercent val="0"/>
          <c:showBubbleSize val="0"/>
        </c:dLbls>
        <c:gapWidth val="219"/>
        <c:overlap val="-27"/>
        <c:axId val="1069533663"/>
        <c:axId val="1658262223"/>
      </c:barChart>
      <c:catAx>
        <c:axId val="10695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62223"/>
        <c:crosses val="autoZero"/>
        <c:auto val="1"/>
        <c:lblAlgn val="ctr"/>
        <c:lblOffset val="100"/>
        <c:noMultiLvlLbl val="0"/>
      </c:catAx>
      <c:valAx>
        <c:axId val="165826222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3366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552449</xdr:colOff>
      <xdr:row>2</xdr:row>
      <xdr:rowOff>19050</xdr:rowOff>
    </xdr:from>
    <xdr:to>
      <xdr:col>4</xdr:col>
      <xdr:colOff>825500</xdr:colOff>
      <xdr:row>14</xdr:row>
      <xdr:rowOff>95250</xdr:rowOff>
    </xdr:to>
    <xdr:graphicFrame macro="">
      <xdr:nvGraphicFramePr>
        <xdr:cNvPr id="17" name="Chart 5">
          <a:extLst>
            <a:ext uri="{FF2B5EF4-FFF2-40B4-BE49-F238E27FC236}">
              <a16:creationId xmlns:a16="http://schemas.microsoft.com/office/drawing/2014/main" i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960437</xdr:colOff>
      <xdr:row>2</xdr:row>
      <xdr:rowOff>0</xdr:rowOff>
    </xdr:from>
    <xdr:to>
      <xdr:col>8</xdr:col>
      <xdr:colOff>957262</xdr:colOff>
      <xdr:row>14</xdr:row>
      <xdr:rowOff>114300</xdr:rowOff>
    </xdr:to>
    <xdr:graphicFrame macro="">
      <xdr:nvGraphicFramePr>
        <xdr:cNvPr id="18" name="Chart 6">
          <a:extLst>
            <a:ext uri="{FF2B5EF4-FFF2-40B4-BE49-F238E27FC236}">
              <a16:creationId xmlns:a16="http://schemas.microsoft.com/office/drawing/2014/main" id="{074AFD73-B397-4DD3-B1B3-BD33B6B017F1}"/>
            </a:ext>
            <a:ext uri="{147F2762-F138-4A5C-976F-8EAC2B608ADB}">
              <a16:predDERef xmlns:a16="http://schemas.microsoft.com/office/drawing/2014/main" pre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100012</xdr:colOff>
      <xdr:row>2</xdr:row>
      <xdr:rowOff>12700</xdr:rowOff>
    </xdr:from>
    <xdr:to>
      <xdr:col>12</xdr:col>
      <xdr:colOff>887412</xdr:colOff>
      <xdr:row>14</xdr:row>
      <xdr:rowOff>117475</xdr:rowOff>
    </xdr:to>
    <xdr:graphicFrame macro="">
      <xdr:nvGraphicFramePr>
        <xdr:cNvPr id="19" name="Chart 7">
          <a:extLst>
            <a:ext uri="{FF2B5EF4-FFF2-40B4-BE49-F238E27FC236}">
              <a16:creationId xmlns:a16="http://schemas.microsoft.com/office/drawing/2014/main" id="{F7127D37-A07A-4D9D-9153-B251452A2241}"/>
            </a:ext>
            <a:ext uri="{147F2762-F138-4A5C-976F-8EAC2B608ADB}">
              <a16:predDERef xmlns:a16="http://schemas.microsoft.com/office/drawing/2014/main" pred="{074AFD73-B397-4DD3-B1B3-BD33B6B01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960436</xdr:colOff>
      <xdr:row>14</xdr:row>
      <xdr:rowOff>196850</xdr:rowOff>
    </xdr:from>
    <xdr:to>
      <xdr:col>8</xdr:col>
      <xdr:colOff>957262</xdr:colOff>
      <xdr:row>27</xdr:row>
      <xdr:rowOff>39687</xdr:rowOff>
    </xdr:to>
    <xdr:graphicFrame macro="">
      <xdr:nvGraphicFramePr>
        <xdr:cNvPr id="20" name="Chart 3">
          <a:extLst>
            <a:ext uri="{FF2B5EF4-FFF2-40B4-BE49-F238E27FC236}">
              <a16:creationId xmlns:a16="http://schemas.microsoft.com/office/drawing/2014/main" id="{4D48D1DA-0A13-43CB-B08C-65AE85BE1C3F}"/>
            </a:ext>
            <a:ext uri="{147F2762-F138-4A5C-976F-8EAC2B608ADB}">
              <a16:predDERef xmlns:a16="http://schemas.microsoft.com/office/drawing/2014/main" pred="{F7127D37-A07A-4D9D-9153-B251452A2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101600</xdr:colOff>
      <xdr:row>15</xdr:row>
      <xdr:rowOff>12699</xdr:rowOff>
    </xdr:from>
    <xdr:to>
      <xdr:col>12</xdr:col>
      <xdr:colOff>889000</xdr:colOff>
      <xdr:row>27</xdr:row>
      <xdr:rowOff>55562</xdr:rowOff>
    </xdr:to>
    <xdr:graphicFrame macro="">
      <xdr:nvGraphicFramePr>
        <xdr:cNvPr id="16" name="Chart 4">
          <a:extLst>
            <a:ext uri="{FF2B5EF4-FFF2-40B4-BE49-F238E27FC236}">
              <a16:creationId xmlns:a16="http://schemas.microsoft.com/office/drawing/2014/main" id="{76E6E04C-8B13-47CB-A185-14130F2757F0}"/>
            </a:ext>
            <a:ext uri="{147F2762-F138-4A5C-976F-8EAC2B608ADB}">
              <a16:predDERef xmlns:a16="http://schemas.microsoft.com/office/drawing/2014/main" pred="{4D48D1DA-0A13-43CB-B08C-65AE85BE1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590550</xdr:colOff>
      <xdr:row>28</xdr:row>
      <xdr:rowOff>128589</xdr:rowOff>
    </xdr:from>
    <xdr:to>
      <xdr:col>4</xdr:col>
      <xdr:colOff>800100</xdr:colOff>
      <xdr:row>39</xdr:row>
      <xdr:rowOff>101601</xdr:rowOff>
    </xdr:to>
    <xdr:graphicFrame macro="">
      <xdr:nvGraphicFramePr>
        <xdr:cNvPr id="21" name="Chart 8">
          <a:extLst>
            <a:ext uri="{FF2B5EF4-FFF2-40B4-BE49-F238E27FC236}">
              <a16:creationId xmlns:a16="http://schemas.microsoft.com/office/drawing/2014/main" id="{A06703FC-3348-4B70-852D-A931B124FCF0}"/>
            </a:ext>
            <a:ext uri="{147F2762-F138-4A5C-976F-8EAC2B608ADB}">
              <a16:predDERef xmlns:a16="http://schemas.microsoft.com/office/drawing/2014/main" pred="{76E6E04C-8B13-47CB-A185-14130F275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557213</xdr:colOff>
      <xdr:row>14</xdr:row>
      <xdr:rowOff>180977</xdr:rowOff>
    </xdr:from>
    <xdr:to>
      <xdr:col>4</xdr:col>
      <xdr:colOff>825500</xdr:colOff>
      <xdr:row>27</xdr:row>
      <xdr:rowOff>38101</xdr:rowOff>
    </xdr:to>
    <xdr:graphicFrame macro="">
      <xdr:nvGraphicFramePr>
        <xdr:cNvPr id="12" name="Chart 9">
          <a:extLst>
            <a:ext uri="{FF2B5EF4-FFF2-40B4-BE49-F238E27FC236}">
              <a16:creationId xmlns:a16="http://schemas.microsoft.com/office/drawing/2014/main" id="{6A63B08A-0D04-40F9-B52C-24F106595AA0}"/>
            </a:ext>
            <a:ext uri="{147F2762-F138-4A5C-976F-8EAC2B608ADB}">
              <a16:predDERef xmlns:a16="http://schemas.microsoft.com/office/drawing/2014/main" pred="{A06703FC-3348-4B70-852D-A931B124F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533401</xdr:colOff>
      <xdr:row>22</xdr:row>
      <xdr:rowOff>38101</xdr:rowOff>
    </xdr:from>
    <xdr:to>
      <xdr:col>2</xdr:col>
      <xdr:colOff>163831</xdr:colOff>
      <xdr:row>25</xdr:row>
      <xdr:rowOff>66676</xdr:rowOff>
    </xdr:to>
    <xdr:pic>
      <xdr:nvPicPr>
        <xdr:cNvPr id="2" name="Picture 10">
          <a:extLst>
            <a:ext uri="{FF2B5EF4-FFF2-40B4-BE49-F238E27FC236}">
              <a16:creationId xmlns:a16="http://schemas.microsoft.com/office/drawing/2014/main" id="{0AA857DD-0991-9836-0247-750BD43D9A89}"/>
            </a:ext>
            <a:ext uri="{147F2762-F138-4A5C-976F-8EAC2B608ADB}">
              <a16:predDERef xmlns:a16="http://schemas.microsoft.com/office/drawing/2014/main" pred="{6A63B08A-0D04-40F9-B52C-24F106595AA0}"/>
            </a:ext>
          </a:extLst>
        </xdr:cNvPr>
        <xdr:cNvPicPr>
          <a:picLocks noChangeAspect="1"/>
        </xdr:cNvPicPr>
      </xdr:nvPicPr>
      <xdr:blipFill>
        <a:blip xmlns:r="http://schemas.openxmlformats.org/officeDocument/2006/relationships" r:embed="rId8"/>
        <a:stretch>
          <a:fillRect/>
        </a:stretch>
      </xdr:blipFill>
      <xdr:spPr>
        <a:xfrm>
          <a:off x="533401" y="4438651"/>
          <a:ext cx="1802130"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708024</xdr:colOff>
      <xdr:row>14</xdr:row>
      <xdr:rowOff>65086</xdr:rowOff>
    </xdr:from>
    <xdr:to>
      <xdr:col>3</xdr:col>
      <xdr:colOff>579436</xdr:colOff>
      <xdr:row>35</xdr:row>
      <xdr:rowOff>6349</xdr:rowOff>
    </xdr:to>
    <xdr:graphicFrame macro="">
      <xdr:nvGraphicFramePr>
        <xdr:cNvPr id="12" name="Chart 10">
          <a:extLst>
            <a:ext uri="{FF2B5EF4-FFF2-40B4-BE49-F238E27FC236}">
              <a16:creationId xmlns:a16="http://schemas.microsoft.com/office/drawing/2014/main" id="{DAE60724-CD30-8DBB-7431-2E9E1DBD9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44" headerRowDxfId="19" totalsRowDxfId="18" headerRowBorderDxfId="16" tableBorderDxfId="17">
  <autoFilter ref="A1:O44"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000-000001000000}" name="Sprint" dataDxfId="15"/>
    <tableColumn id="2" xr3:uid="{00000000-0010-0000-0000-000002000000}" name="Committed" dataDxfId="14"/>
    <tableColumn id="3" xr3:uid="{00000000-0010-0000-0000-000003000000}" name="Delivered" dataDxfId="13"/>
    <tableColumn id="4" xr3:uid="{00000000-0010-0000-0000-000004000000}" name="Commitment Index" dataDxfId="12">
      <calculatedColumnFormula>IF((C2/B2)&gt;1,1,(C2/B2))</calculatedColumnFormula>
    </tableColumn>
    <tableColumn id="5" xr3:uid="{00000000-0010-0000-0000-000005000000}" name="Velocity" dataDxfId="11"/>
    <tableColumn id="6" xr3:uid="{00000000-0010-0000-0000-000006000000}" name="Code Coverage" dataDxfId="10"/>
    <tableColumn id="7" xr3:uid="{00000000-0010-0000-0000-000007000000}" name="Code Review Comments - Internal" dataDxfId="9"/>
    <tableColumn id="8" xr3:uid="{00000000-0010-0000-0000-000008000000}" name="Code Review Comments - External" dataDxfId="8"/>
    <tableColumn id="9" xr3:uid="{00000000-0010-0000-0000-000009000000}" name="QA Defects" dataDxfId="7"/>
    <tableColumn id="10" xr3:uid="{00000000-0010-0000-0000-00000A000000}" name="Escaped Defects" dataDxfId="6"/>
    <tableColumn id="11" xr3:uid="{00000000-0010-0000-0000-00000B000000}" name="Backlog Health" dataDxfId="5"/>
    <tableColumn id="13" xr3:uid="{D6216E8B-1559-494A-9D34-B3185DCE8534}" name="Last Sprint?" dataDxfId="4"/>
    <tableColumn id="14" xr3:uid="{566DA8CC-2FE6-4FEA-B891-310037F41EF6}" name="Planned Leaves" dataDxfId="3"/>
    <tableColumn id="15" xr3:uid="{385AA360-EBFF-45FC-A4E2-B39E041FA242}" name="Availed Leaves" dataDxfId="2"/>
    <tableColumn id="12" xr3:uid="{A231F803-22C9-4504-83AF-09BF5C7F62B3}" name="Remarks" dataDxfId="0" totalsRowDxfId="1"/>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585858"/>
      </a:dk1>
      <a:lt1>
        <a:srgbClr val="F3EEE8"/>
      </a:lt1>
      <a:dk2>
        <a:srgbClr val="585858"/>
      </a:dk2>
      <a:lt2>
        <a:srgbClr val="F3EEE8"/>
      </a:lt2>
      <a:accent1>
        <a:srgbClr val="D4541B"/>
      </a:accent1>
      <a:accent2>
        <a:srgbClr val="005454"/>
      </a:accent2>
      <a:accent3>
        <a:srgbClr val="DE9779"/>
      </a:accent3>
      <a:accent4>
        <a:srgbClr val="895E21"/>
      </a:accent4>
      <a:accent5>
        <a:srgbClr val="819462"/>
      </a:accent5>
      <a:accent6>
        <a:srgbClr val="9BBBAA"/>
      </a:accent6>
      <a:hlink>
        <a:srgbClr val="3960AB"/>
      </a:hlink>
      <a:folHlink>
        <a:srgbClr val="3960AB"/>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5"/>
  <sheetViews>
    <sheetView showGridLines="0" zoomScale="70" zoomScaleNormal="70" workbookViewId="0"/>
  </sheetViews>
  <sheetFormatPr defaultColWidth="12.6640625" defaultRowHeight="15.75" customHeight="1"/>
  <cols>
    <col min="4" max="4" width="5.88671875" customWidth="1"/>
  </cols>
  <sheetData>
    <row r="1" spans="1:26" ht="15.75" customHeight="1">
      <c r="A1" s="3" t="s">
        <v>0</v>
      </c>
      <c r="B1" s="2"/>
      <c r="C1" s="2"/>
      <c r="D1" s="2"/>
      <c r="E1" s="2"/>
      <c r="F1" s="2"/>
      <c r="G1" s="2"/>
      <c r="H1" s="2"/>
      <c r="I1" s="2"/>
      <c r="J1" s="2"/>
      <c r="K1" s="2"/>
      <c r="L1" s="2"/>
      <c r="M1" s="2"/>
      <c r="N1" s="2"/>
      <c r="O1" s="2"/>
      <c r="P1" s="2"/>
      <c r="Q1" s="2"/>
      <c r="R1" s="2"/>
      <c r="S1" s="2"/>
      <c r="T1" s="2"/>
      <c r="U1" s="2"/>
      <c r="V1" s="2"/>
      <c r="W1" s="2"/>
      <c r="X1" s="2"/>
      <c r="Y1" s="2"/>
      <c r="Z1" s="2"/>
    </row>
    <row r="2" spans="1:26" ht="15.75" customHeight="1">
      <c r="A2" s="2"/>
      <c r="B2" s="2"/>
      <c r="C2" s="2"/>
      <c r="D2" s="2"/>
      <c r="E2" s="2"/>
      <c r="F2" s="2"/>
      <c r="G2" s="2"/>
      <c r="H2" s="2"/>
      <c r="I2" s="2"/>
      <c r="J2" s="2"/>
      <c r="K2" s="2"/>
      <c r="L2" s="2"/>
      <c r="M2" s="2"/>
      <c r="N2" s="2"/>
      <c r="O2" s="2"/>
      <c r="P2" s="2"/>
      <c r="Q2" s="2"/>
      <c r="R2" s="2"/>
      <c r="S2" s="2"/>
      <c r="T2" s="2"/>
      <c r="U2" s="2"/>
      <c r="V2" s="2"/>
      <c r="W2" s="2"/>
      <c r="X2" s="2"/>
      <c r="Y2" s="2"/>
      <c r="Z2" s="2"/>
    </row>
    <row r="3" spans="1:26" ht="15.75" customHeight="1">
      <c r="A3" s="2"/>
      <c r="B3" s="2"/>
      <c r="C3" s="2"/>
      <c r="D3" s="2"/>
      <c r="E3" s="2"/>
      <c r="F3" s="2"/>
      <c r="G3" s="2"/>
      <c r="H3" s="2"/>
      <c r="I3" s="2"/>
      <c r="J3" s="2"/>
      <c r="K3" s="2"/>
      <c r="L3" s="2"/>
      <c r="M3" s="2"/>
      <c r="N3" s="2"/>
      <c r="O3" s="2"/>
      <c r="P3" s="2"/>
      <c r="Q3" s="2"/>
      <c r="R3" s="2"/>
      <c r="S3" s="2"/>
      <c r="T3" s="2"/>
      <c r="U3" s="2"/>
      <c r="V3" s="2"/>
      <c r="W3" s="2"/>
      <c r="X3" s="2"/>
      <c r="Y3" s="2"/>
      <c r="Z3" s="2"/>
    </row>
    <row r="4" spans="1:26" ht="15.75" customHeight="1">
      <c r="A4" s="2"/>
      <c r="B4" s="2"/>
      <c r="C4" s="2"/>
      <c r="D4" s="2"/>
      <c r="E4" s="2"/>
      <c r="F4" s="2"/>
      <c r="G4" s="2"/>
      <c r="H4" s="2"/>
      <c r="I4" s="2"/>
      <c r="J4" s="2"/>
      <c r="K4" s="2"/>
      <c r="L4" s="2"/>
      <c r="M4" s="2"/>
      <c r="N4" s="2"/>
      <c r="O4" s="2"/>
      <c r="P4" s="2"/>
      <c r="Q4" s="2"/>
      <c r="R4" s="2"/>
      <c r="S4" s="2"/>
      <c r="T4" s="2"/>
      <c r="U4" s="2"/>
      <c r="V4" s="2"/>
      <c r="W4" s="2"/>
      <c r="X4" s="2"/>
      <c r="Y4" s="2"/>
      <c r="Z4" s="2"/>
    </row>
    <row r="5" spans="1:26" ht="15.75" customHeight="1">
      <c r="A5" s="2"/>
      <c r="B5" s="2"/>
      <c r="C5" s="2"/>
      <c r="D5" s="2"/>
      <c r="E5" s="2"/>
      <c r="F5" s="2"/>
      <c r="G5" s="2"/>
      <c r="H5" s="2"/>
      <c r="I5" s="2"/>
      <c r="J5" s="2"/>
      <c r="K5" s="2"/>
      <c r="L5" s="2"/>
      <c r="M5" s="2"/>
      <c r="N5" s="2"/>
      <c r="O5" s="2"/>
      <c r="P5" s="2"/>
      <c r="Q5" s="2"/>
      <c r="R5" s="2"/>
      <c r="S5" s="2"/>
      <c r="T5" s="2"/>
      <c r="U5" s="2"/>
      <c r="V5" s="2"/>
      <c r="W5" s="2"/>
      <c r="X5" s="2"/>
      <c r="Y5" s="2"/>
      <c r="Z5" s="2"/>
    </row>
    <row r="6" spans="1:26" ht="15.75" customHeight="1">
      <c r="A6" s="2"/>
      <c r="B6" s="2"/>
      <c r="C6" s="2"/>
      <c r="D6" s="2"/>
      <c r="E6" s="2"/>
      <c r="F6" s="2"/>
      <c r="G6" s="2"/>
      <c r="H6" s="2"/>
      <c r="I6" s="2"/>
      <c r="J6" s="2"/>
      <c r="K6" s="2"/>
      <c r="L6" s="2"/>
      <c r="M6" s="2"/>
      <c r="N6" s="2"/>
      <c r="O6" s="2"/>
      <c r="P6" s="2"/>
      <c r="Q6" s="2"/>
      <c r="R6" s="2"/>
      <c r="S6" s="2"/>
      <c r="T6" s="2"/>
      <c r="U6" s="2"/>
      <c r="V6" s="2"/>
      <c r="W6" s="2"/>
      <c r="X6" s="2"/>
      <c r="Y6" s="2"/>
      <c r="Z6" s="2"/>
    </row>
    <row r="7" spans="1:26" ht="15.75" customHeight="1">
      <c r="A7" s="2"/>
      <c r="B7" s="2"/>
      <c r="C7" s="2"/>
      <c r="D7" s="2"/>
      <c r="E7" s="2"/>
      <c r="F7" s="2"/>
      <c r="G7" s="2"/>
      <c r="H7" s="2"/>
      <c r="I7" s="2"/>
      <c r="J7" s="2"/>
      <c r="K7" s="2"/>
      <c r="L7" s="2"/>
      <c r="M7" s="2"/>
      <c r="N7" s="2"/>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2"/>
      <c r="B9" s="2"/>
      <c r="C9" s="2"/>
      <c r="D9" s="2"/>
      <c r="E9" s="2"/>
      <c r="F9" s="2"/>
      <c r="G9" s="2"/>
      <c r="H9" s="2"/>
      <c r="I9" s="2"/>
      <c r="J9" s="2"/>
      <c r="K9" s="2"/>
      <c r="L9" s="2"/>
      <c r="M9" s="2"/>
      <c r="N9" s="2"/>
      <c r="O9" s="2"/>
      <c r="P9" s="2"/>
      <c r="Q9" s="2"/>
      <c r="R9" s="2"/>
      <c r="S9" s="2"/>
      <c r="T9" s="2"/>
      <c r="U9" s="2"/>
      <c r="V9" s="2"/>
      <c r="W9" s="2"/>
      <c r="X9" s="2"/>
      <c r="Y9" s="2"/>
      <c r="Z9" s="2"/>
    </row>
    <row r="10" spans="1:26"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3"/>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25" spans="1:1" ht="12.95">
      <c r="A25" s="5"/>
    </row>
  </sheetData>
  <customSheetViews>
    <customSheetView guid="{3662FBDA-518E-4D58-A85F-B943BC586F75}" filter="1" showAutoFilter="1">
      <pageMargins left="0" right="0" top="0" bottom="0" header="0" footer="0"/>
      <autoFilter ref="G12" xr:uid="{76BBF270-B856-4965-A782-AFA5AF8242E7}"/>
    </customSheetView>
  </customSheetView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F4AD-44CC-4777-BF43-44CEAEFAF3F3}">
  <dimension ref="A1:V22"/>
  <sheetViews>
    <sheetView showGridLines="0" zoomScale="80" zoomScaleNormal="80" workbookViewId="0">
      <selection activeCell="B5" sqref="B5"/>
    </sheetView>
  </sheetViews>
  <sheetFormatPr defaultColWidth="8.88671875" defaultRowHeight="12.95"/>
  <cols>
    <col min="1" max="1" width="18" customWidth="1"/>
    <col min="2" max="2" width="27.77734375" customWidth="1"/>
    <col min="3" max="3" width="12.21875" bestFit="1" customWidth="1"/>
    <col min="4" max="4" width="67.44140625" customWidth="1"/>
    <col min="5" max="5" width="17.109375" customWidth="1"/>
    <col min="11" max="11" width="6.21875" hidden="1" customWidth="1"/>
    <col min="21" max="21" width="8.21875" customWidth="1"/>
    <col min="22" max="22" width="8.5546875" customWidth="1"/>
  </cols>
  <sheetData>
    <row r="1" spans="1:22" ht="15.6">
      <c r="A1" s="52" t="s">
        <v>1</v>
      </c>
      <c r="B1" s="46" t="s">
        <v>2</v>
      </c>
      <c r="C1" s="47"/>
      <c r="D1" s="47"/>
    </row>
    <row r="2" spans="1:22" ht="15.6">
      <c r="A2" s="52" t="s">
        <v>3</v>
      </c>
      <c r="B2" s="46" t="s">
        <v>4</v>
      </c>
      <c r="C2" s="47"/>
      <c r="D2" s="47"/>
    </row>
    <row r="3" spans="1:22" ht="12.75" customHeight="1">
      <c r="A3" s="211" t="s">
        <v>5</v>
      </c>
      <c r="B3" s="213">
        <f>SUM(C8:C13)</f>
        <v>0.99</v>
      </c>
      <c r="C3" s="47"/>
      <c r="D3" s="47"/>
    </row>
    <row r="4" spans="1:22" ht="12.75" customHeight="1">
      <c r="A4" s="212"/>
      <c r="B4" s="214"/>
      <c r="C4" s="47"/>
      <c r="D4" s="47"/>
    </row>
    <row r="5" spans="1:22" ht="32.25">
      <c r="A5" s="53" t="s">
        <v>6</v>
      </c>
      <c r="B5" s="89" t="s">
        <v>7</v>
      </c>
      <c r="C5" s="63"/>
      <c r="D5" s="47"/>
    </row>
    <row r="6" spans="1:22" ht="15.6">
      <c r="A6" s="48"/>
      <c r="B6" s="64"/>
      <c r="C6" s="63"/>
      <c r="D6" s="47"/>
    </row>
    <row r="7" spans="1:22" ht="18.75" customHeight="1">
      <c r="A7" s="54" t="s">
        <v>8</v>
      </c>
      <c r="B7" s="55" t="s">
        <v>9</v>
      </c>
      <c r="C7" s="56" t="s">
        <v>10</v>
      </c>
      <c r="D7" s="56" t="s">
        <v>11</v>
      </c>
      <c r="V7" s="56" t="s">
        <v>12</v>
      </c>
    </row>
    <row r="8" spans="1:22" ht="15.75" customHeight="1">
      <c r="A8" s="49" t="s">
        <v>13</v>
      </c>
      <c r="B8" s="50">
        <f>VLOOKUP($B$5,Table_1[#All],4)</f>
        <v>1</v>
      </c>
      <c r="C8" s="51">
        <f>'QualityMetrics-Definition'!D2*B8</f>
        <v>0.25</v>
      </c>
      <c r="D8" s="215" t="str">
        <f>_xlfn.XLOOKUP($B$5,Data!A:A,Data!O:O)</f>
        <v xml:space="preserve">
Merged GGO web and GGO Donor wave team report: 
GGO Donor wave: Completed all the assigned stories and more
GGO Web: Completed all assigned stories. </v>
      </c>
      <c r="K8" s="29">
        <v>0.25</v>
      </c>
      <c r="V8" s="29">
        <v>1</v>
      </c>
    </row>
    <row r="9" spans="1:22" ht="15.75" customHeight="1">
      <c r="A9" s="49" t="s">
        <v>14</v>
      </c>
      <c r="B9" s="50" t="str">
        <f>IF((VLOOKUP($B$5,Table_1[#Data],5)/Data!AK37)&gt;1,"100%",(VLOOKUP($B$5,Table_1[#Data],5)/Data!AK37))</f>
        <v>100%</v>
      </c>
      <c r="C9" s="51">
        <f>'QualityMetrics-Definition'!D3*B9</f>
        <v>0.2</v>
      </c>
      <c r="D9" s="216"/>
      <c r="K9" s="30">
        <v>0.2</v>
      </c>
      <c r="V9" s="29">
        <v>0.95</v>
      </c>
    </row>
    <row r="10" spans="1:22" ht="15.75" customHeight="1">
      <c r="A10" s="49" t="s">
        <v>15</v>
      </c>
      <c r="B10" s="50">
        <f>1-IFERROR((VLOOKUP($B$5,Data!A1:N84,9)+VLOOKUP($B$5,Data!A1:N84,10))/VLOOKUP($B$5,Data!A1:N84,5),0)</f>
        <v>1</v>
      </c>
      <c r="C10" s="51">
        <f>(B10)*'QualityMetrics-Definition'!D4</f>
        <v>0.2</v>
      </c>
      <c r="D10" s="216"/>
      <c r="K10" s="30">
        <v>0.2</v>
      </c>
      <c r="V10" s="29">
        <v>1</v>
      </c>
    </row>
    <row r="11" spans="1:22" ht="15.75" customHeight="1">
      <c r="A11" s="49" t="s">
        <v>16</v>
      </c>
      <c r="B11" s="50">
        <f>1-(VLOOKUP($B$5,Data!A1:N89,7)+VLOOKUP($B$5,Data!A1:N89,8))/VLOOKUP($B$5,Data!A1:N89,3)</f>
        <v>1</v>
      </c>
      <c r="C11" s="51">
        <f>(B11)*'QualityMetrics-Definition'!D5</f>
        <v>0.15</v>
      </c>
      <c r="D11" s="216"/>
      <c r="K11" s="30">
        <v>0.15</v>
      </c>
      <c r="V11" s="29">
        <v>1</v>
      </c>
    </row>
    <row r="12" spans="1:22" ht="15.75" customHeight="1">
      <c r="A12" s="49" t="s">
        <v>17</v>
      </c>
      <c r="B12" s="50">
        <f>VLOOKUP($B$5,Table_1[],6)</f>
        <v>0.9</v>
      </c>
      <c r="C12" s="51">
        <f>'QualityMetrics-Definition'!D6*B12</f>
        <v>9.0000000000000011E-2</v>
      </c>
      <c r="D12" s="216"/>
      <c r="K12" s="30">
        <v>0.1</v>
      </c>
      <c r="V12" s="29">
        <v>0.9</v>
      </c>
    </row>
    <row r="13" spans="1:22" ht="15.75" customHeight="1">
      <c r="A13" s="49" t="s">
        <v>18</v>
      </c>
      <c r="B13" s="50">
        <f>IF((VLOOKUP($B$5,Table_1[#All],11)/Data!K2)&gt;1,"100%",(VLOOKUP($B$5,Table_1[#All],11)/Data!K2))</f>
        <v>1</v>
      </c>
      <c r="C13" s="51">
        <f>'QualityMetrics-Definition'!D7*B13</f>
        <v>0.1</v>
      </c>
      <c r="D13" s="217"/>
      <c r="K13" s="30">
        <v>0.1</v>
      </c>
      <c r="V13" s="29">
        <v>1</v>
      </c>
    </row>
    <row r="14" spans="1:22" ht="12.75"/>
    <row r="16" spans="1:22">
      <c r="B16" s="61"/>
    </row>
    <row r="17" spans="7:8">
      <c r="G17" s="60"/>
      <c r="H17" s="60"/>
    </row>
    <row r="18" spans="7:8">
      <c r="G18" s="60"/>
      <c r="H18" s="60"/>
    </row>
    <row r="19" spans="7:8">
      <c r="G19" s="60"/>
      <c r="H19" s="60"/>
    </row>
    <row r="20" spans="7:8">
      <c r="G20" s="60"/>
      <c r="H20" s="60"/>
    </row>
    <row r="21" spans="7:8">
      <c r="G21" s="60"/>
      <c r="H21" s="60"/>
    </row>
    <row r="22" spans="7:8">
      <c r="G22" s="60"/>
      <c r="H22" s="60"/>
    </row>
  </sheetData>
  <mergeCells count="3">
    <mergeCell ref="A3:A4"/>
    <mergeCell ref="B3:B4"/>
    <mergeCell ref="D8:D13"/>
  </mergeCells>
  <conditionalFormatting sqref="B3:B4">
    <cfRule type="cellIs" dxfId="37" priority="1" operator="lessThanOrEqual">
      <formula>0.8</formula>
    </cfRule>
    <cfRule type="cellIs" dxfId="36" priority="2" operator="between">
      <formula>0.81</formula>
      <formula>0.89</formula>
    </cfRule>
    <cfRule type="cellIs" dxfId="35" priority="3" operator="greaterThanOrEqual">
      <formula>0.9</formula>
    </cfRule>
  </conditionalFormatting>
  <conditionalFormatting sqref="B8 B13">
    <cfRule type="cellIs" dxfId="34" priority="16" operator="lessThanOrEqual">
      <formula>0.8</formula>
    </cfRule>
    <cfRule type="cellIs" dxfId="33" priority="17" operator="equal">
      <formula>1</formula>
    </cfRule>
    <cfRule type="cellIs" dxfId="32" priority="18" operator="between">
      <formula>0.99</formula>
      <formula>0.81</formula>
    </cfRule>
  </conditionalFormatting>
  <conditionalFormatting sqref="B9">
    <cfRule type="cellIs" dxfId="31" priority="13" operator="lessThan">
      <formula>0.8</formula>
    </cfRule>
    <cfRule type="cellIs" dxfId="30" priority="14" operator="between">
      <formula>0.94</formula>
      <formula>0.8</formula>
    </cfRule>
    <cfRule type="cellIs" dxfId="29" priority="15" operator="greaterThanOrEqual">
      <formula>0.95</formula>
    </cfRule>
  </conditionalFormatting>
  <conditionalFormatting sqref="B10">
    <cfRule type="cellIs" dxfId="28" priority="10" operator="lessThan">
      <formula>0.9</formula>
    </cfRule>
    <cfRule type="cellIs" dxfId="27" priority="11" operator="between">
      <formula>0.99</formula>
      <formula>0.9</formula>
    </cfRule>
    <cfRule type="cellIs" dxfId="26" priority="12" operator="equal">
      <formula>1</formula>
    </cfRule>
  </conditionalFormatting>
  <conditionalFormatting sqref="B11">
    <cfRule type="cellIs" dxfId="25" priority="7" operator="lessThan">
      <formula>0.65</formula>
    </cfRule>
    <cfRule type="cellIs" dxfId="24" priority="8" operator="between">
      <formula>0.79</formula>
      <formula>0.65</formula>
    </cfRule>
    <cfRule type="cellIs" dxfId="23" priority="9" operator="greaterThanOrEqual">
      <formula>0.8</formula>
    </cfRule>
  </conditionalFormatting>
  <conditionalFormatting sqref="B12">
    <cfRule type="cellIs" dxfId="22" priority="4" operator="lessThanOrEqual">
      <formula>0.7</formula>
    </cfRule>
    <cfRule type="cellIs" dxfId="21" priority="5" operator="between">
      <formula>0.89</formula>
      <formula>0.71</formula>
    </cfRule>
    <cfRule type="cellIs" dxfId="20" priority="6" operator="greaterThan">
      <formula>0.9</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1544B81-FDC6-4137-A0C9-4E619F98EFF7}">
          <x14:formula1>
            <xm:f>Data!$A$8:$A$8</xm:f>
          </x14:formula1>
          <xm:sqref>C5:C6 B6</xm:sqref>
        </x14:dataValidation>
        <x14:dataValidation type="list" allowBlank="1" showInputMessage="1" showErrorMessage="1" xr:uid="{B623CD76-4A66-45FA-A1B5-2835EA8D998F}">
          <x14:formula1>
            <xm:f>Data!$A$2:$A$114</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P995"/>
  <sheetViews>
    <sheetView showGridLines="0" tabSelected="1" zoomScale="90" zoomScaleNormal="90" workbookViewId="0">
      <pane ySplit="1" topLeftCell="A46" activePane="bottomLeft" state="frozen"/>
      <selection pane="bottomLeft" activeCell="A57" sqref="A57"/>
    </sheetView>
  </sheetViews>
  <sheetFormatPr defaultColWidth="12.6640625" defaultRowHeight="15.75" customHeight="1"/>
  <cols>
    <col min="1" max="1" width="32.5546875" customWidth="1"/>
    <col min="2" max="2" width="9.77734375" style="95" customWidth="1"/>
    <col min="3" max="3" width="8.21875" style="95" customWidth="1"/>
    <col min="4" max="4" width="9.44140625" style="95" customWidth="1"/>
    <col min="5" max="5" width="7.44140625" style="95" bestFit="1" customWidth="1"/>
    <col min="6" max="6" width="11.21875" style="95" customWidth="1"/>
    <col min="7" max="10" width="8.21875" style="95" customWidth="1"/>
    <col min="11" max="11" width="9" style="95" customWidth="1"/>
    <col min="12" max="12" width="8.109375" style="95" customWidth="1"/>
    <col min="13" max="14" width="13.33203125" style="95" customWidth="1"/>
    <col min="15" max="15" width="55.44140625" style="45" customWidth="1"/>
    <col min="18" max="18" width="5.88671875" bestFit="1" customWidth="1"/>
    <col min="19" max="19" width="14.44140625" bestFit="1" customWidth="1"/>
    <col min="20" max="20" width="6.5546875" bestFit="1" customWidth="1"/>
    <col min="21" max="21" width="11.44140625" bestFit="1" customWidth="1"/>
    <col min="22" max="22" width="18.44140625" bestFit="1" customWidth="1"/>
    <col min="23" max="23" width="22.88671875" bestFit="1" customWidth="1"/>
    <col min="24" max="24" width="11.6640625" bestFit="1" customWidth="1"/>
    <col min="32" max="32" width="4.77734375" style="7" bestFit="1" customWidth="1"/>
    <col min="33" max="33" width="4.44140625" bestFit="1" customWidth="1"/>
    <col min="34" max="34" width="3.6640625" bestFit="1" customWidth="1"/>
    <col min="35" max="35" width="4.33203125" bestFit="1" customWidth="1"/>
    <col min="36" max="36" width="4.77734375" bestFit="1" customWidth="1"/>
    <col min="37" max="37" width="4" bestFit="1" customWidth="1"/>
    <col min="38" max="38" width="4.77734375" bestFit="1" customWidth="1"/>
    <col min="39" max="39" width="4" bestFit="1" customWidth="1"/>
    <col min="40" max="40" width="4.77734375" bestFit="1" customWidth="1"/>
    <col min="41" max="41" width="4" bestFit="1" customWidth="1"/>
  </cols>
  <sheetData>
    <row r="1" spans="1:42" s="174" customFormat="1" ht="33" customHeight="1">
      <c r="A1" s="190" t="s">
        <v>19</v>
      </c>
      <c r="B1" s="191" t="s">
        <v>20</v>
      </c>
      <c r="C1" s="191" t="s">
        <v>21</v>
      </c>
      <c r="D1" s="192" t="s">
        <v>13</v>
      </c>
      <c r="E1" s="191" t="s">
        <v>14</v>
      </c>
      <c r="F1" s="192" t="s">
        <v>22</v>
      </c>
      <c r="G1" s="192" t="s">
        <v>23</v>
      </c>
      <c r="H1" s="192" t="s">
        <v>24</v>
      </c>
      <c r="I1" s="192" t="s">
        <v>25</v>
      </c>
      <c r="J1" s="192" t="s">
        <v>26</v>
      </c>
      <c r="K1" s="193" t="s">
        <v>18</v>
      </c>
      <c r="L1" s="194" t="s">
        <v>27</v>
      </c>
      <c r="M1" s="195" t="s">
        <v>28</v>
      </c>
      <c r="N1" s="195" t="s">
        <v>29</v>
      </c>
      <c r="O1" s="196" t="s">
        <v>30</v>
      </c>
      <c r="P1" s="57"/>
      <c r="Q1" s="57"/>
      <c r="R1" s="65"/>
      <c r="S1" s="65"/>
      <c r="T1" s="65"/>
      <c r="U1" s="65"/>
      <c r="V1" s="65"/>
      <c r="W1" s="65"/>
      <c r="X1" s="65"/>
      <c r="Y1" s="57"/>
      <c r="Z1" s="57"/>
      <c r="AA1" s="57"/>
      <c r="AB1" s="57"/>
      <c r="AC1" s="57"/>
      <c r="AD1" s="57"/>
      <c r="AE1" s="172"/>
      <c r="AF1" s="82" t="s">
        <v>31</v>
      </c>
      <c r="AG1" s="12" t="s">
        <v>32</v>
      </c>
      <c r="AH1" s="12" t="s">
        <v>33</v>
      </c>
      <c r="AI1" s="12" t="s">
        <v>34</v>
      </c>
      <c r="AJ1" s="84" t="s">
        <v>14</v>
      </c>
      <c r="AK1" s="13" t="s">
        <v>32</v>
      </c>
      <c r="AL1" s="85" t="s">
        <v>22</v>
      </c>
      <c r="AM1" s="58" t="s">
        <v>32</v>
      </c>
      <c r="AN1" s="86" t="s">
        <v>18</v>
      </c>
      <c r="AO1" s="59" t="s">
        <v>32</v>
      </c>
      <c r="AP1" s="173"/>
    </row>
    <row r="2" spans="1:42" ht="24" customHeight="1">
      <c r="A2" s="183" t="s">
        <v>35</v>
      </c>
      <c r="B2" s="74">
        <v>14</v>
      </c>
      <c r="C2" s="74">
        <v>11</v>
      </c>
      <c r="D2" s="72">
        <f t="shared" ref="D2:D15" si="0">IF((C2/B2)&gt;1,1,(C2/B2))</f>
        <v>0.7857142857142857</v>
      </c>
      <c r="E2" s="207">
        <v>20</v>
      </c>
      <c r="F2" s="72">
        <v>0.9</v>
      </c>
      <c r="G2" s="74">
        <v>0</v>
      </c>
      <c r="H2" s="74">
        <v>0</v>
      </c>
      <c r="I2" s="74">
        <v>1</v>
      </c>
      <c r="J2" s="74">
        <v>0</v>
      </c>
      <c r="K2" s="74">
        <v>30</v>
      </c>
      <c r="L2" s="74" t="s">
        <v>36</v>
      </c>
      <c r="M2" s="74"/>
      <c r="N2" s="74"/>
      <c r="O2" s="184" t="s">
        <v>37</v>
      </c>
      <c r="P2" s="6"/>
      <c r="Q2" s="6"/>
      <c r="R2" s="4"/>
      <c r="S2" s="3"/>
      <c r="T2" s="3"/>
      <c r="U2" s="3"/>
      <c r="V2" s="3"/>
      <c r="W2" s="3"/>
      <c r="X2" s="3"/>
      <c r="Y2" s="6"/>
      <c r="Z2" s="6"/>
      <c r="AA2" s="6"/>
      <c r="AB2" s="6"/>
      <c r="AC2" s="6"/>
      <c r="AD2" s="6"/>
      <c r="AE2" s="2"/>
      <c r="AF2" s="83"/>
      <c r="AG2" s="3">
        <f>Config!$J$2</f>
        <v>1</v>
      </c>
      <c r="AH2" s="3">
        <f>Config!$J$3</f>
        <v>0.9</v>
      </c>
      <c r="AI2" s="3">
        <f>Config!$J$4</f>
        <v>0.8</v>
      </c>
      <c r="AJ2" s="84"/>
      <c r="AK2" s="26">
        <f>Config!$J$7</f>
        <v>20</v>
      </c>
      <c r="AL2" s="85"/>
      <c r="AM2" s="3">
        <f>Config!$J$10</f>
        <v>0.9</v>
      </c>
      <c r="AN2" s="86"/>
      <c r="AO2" s="25">
        <v>30</v>
      </c>
    </row>
    <row r="3" spans="1:42" ht="24" customHeight="1">
      <c r="A3" s="185" t="s">
        <v>38</v>
      </c>
      <c r="B3" s="74">
        <v>19</v>
      </c>
      <c r="C3" s="74">
        <v>17</v>
      </c>
      <c r="D3" s="72">
        <f t="shared" si="0"/>
        <v>0.89473684210526316</v>
      </c>
      <c r="E3" s="207">
        <v>20</v>
      </c>
      <c r="F3" s="72">
        <v>0.9</v>
      </c>
      <c r="G3" s="74">
        <v>0</v>
      </c>
      <c r="H3" s="74">
        <v>0</v>
      </c>
      <c r="I3" s="74">
        <v>0</v>
      </c>
      <c r="J3" s="74">
        <v>0</v>
      </c>
      <c r="K3" s="74">
        <v>30</v>
      </c>
      <c r="L3" s="74" t="s">
        <v>36</v>
      </c>
      <c r="M3" s="74"/>
      <c r="N3" s="74"/>
      <c r="O3" s="184" t="s">
        <v>39</v>
      </c>
      <c r="P3" s="6"/>
      <c r="Q3" s="6"/>
      <c r="R3" s="4"/>
      <c r="S3" s="3"/>
      <c r="T3" s="3"/>
      <c r="U3" s="3"/>
      <c r="V3" s="3"/>
      <c r="W3" s="3"/>
      <c r="X3" s="3"/>
      <c r="Y3" s="6"/>
      <c r="Z3" s="6"/>
      <c r="AA3" s="6"/>
      <c r="AB3" s="6"/>
      <c r="AC3" s="6"/>
      <c r="AD3" s="6"/>
      <c r="AE3" s="2"/>
      <c r="AF3" s="83"/>
      <c r="AG3" s="3">
        <f>Config!$J$2</f>
        <v>1</v>
      </c>
      <c r="AH3" s="3">
        <f>Config!$J$3</f>
        <v>0.9</v>
      </c>
      <c r="AI3" s="3">
        <f>Config!$J$4</f>
        <v>0.8</v>
      </c>
      <c r="AJ3" s="84"/>
      <c r="AK3" s="26">
        <f>Config!$J$7</f>
        <v>20</v>
      </c>
      <c r="AL3" s="85"/>
      <c r="AM3" s="3">
        <f>Config!$J$10</f>
        <v>0.9</v>
      </c>
      <c r="AN3" s="86"/>
      <c r="AO3" s="25">
        <v>30</v>
      </c>
    </row>
    <row r="4" spans="1:42" ht="24" customHeight="1">
      <c r="A4" s="185" t="s">
        <v>40</v>
      </c>
      <c r="B4" s="74">
        <v>18</v>
      </c>
      <c r="C4" s="74">
        <v>11</v>
      </c>
      <c r="D4" s="72">
        <f t="shared" si="0"/>
        <v>0.61111111111111116</v>
      </c>
      <c r="E4" s="207">
        <v>20</v>
      </c>
      <c r="F4" s="72">
        <v>0.9</v>
      </c>
      <c r="G4" s="74">
        <v>0</v>
      </c>
      <c r="H4" s="74">
        <v>0</v>
      </c>
      <c r="I4" s="74">
        <v>0</v>
      </c>
      <c r="J4" s="74">
        <v>0</v>
      </c>
      <c r="K4" s="74">
        <v>25</v>
      </c>
      <c r="L4" s="74" t="s">
        <v>36</v>
      </c>
      <c r="M4" s="74"/>
      <c r="N4" s="74"/>
      <c r="O4" s="184" t="s">
        <v>41</v>
      </c>
      <c r="P4" s="6"/>
      <c r="Q4" s="6"/>
      <c r="R4" s="4"/>
      <c r="S4" s="3"/>
      <c r="T4" s="3"/>
      <c r="U4" s="3"/>
      <c r="V4" s="3"/>
      <c r="W4" s="3"/>
      <c r="X4" s="3"/>
      <c r="Y4" s="6"/>
      <c r="Z4" s="6"/>
      <c r="AA4" s="6"/>
      <c r="AB4" s="6"/>
      <c r="AC4" s="6"/>
      <c r="AD4" s="6"/>
      <c r="AE4" s="2"/>
      <c r="AF4" s="83"/>
      <c r="AG4" s="3">
        <f>Config!$J$2</f>
        <v>1</v>
      </c>
      <c r="AH4" s="3">
        <f>Config!$J$3</f>
        <v>0.9</v>
      </c>
      <c r="AI4" s="3">
        <f>Config!$J$4</f>
        <v>0.8</v>
      </c>
      <c r="AJ4" s="84"/>
      <c r="AK4" s="26">
        <f>Config!$J$7</f>
        <v>20</v>
      </c>
      <c r="AL4" s="85"/>
      <c r="AM4" s="3">
        <f>Config!$J$10</f>
        <v>0.9</v>
      </c>
      <c r="AN4" s="86"/>
      <c r="AO4" s="25">
        <v>30</v>
      </c>
    </row>
    <row r="5" spans="1:42" ht="24" customHeight="1">
      <c r="A5" s="185" t="s">
        <v>42</v>
      </c>
      <c r="B5" s="74">
        <v>14</v>
      </c>
      <c r="C5" s="74">
        <v>3</v>
      </c>
      <c r="D5" s="72">
        <f t="shared" si="0"/>
        <v>0.21428571428571427</v>
      </c>
      <c r="E5" s="207">
        <f>AVERAGE(C2:C5)</f>
        <v>10.5</v>
      </c>
      <c r="F5" s="72">
        <v>0.9</v>
      </c>
      <c r="G5" s="74">
        <v>0</v>
      </c>
      <c r="H5" s="74">
        <v>0</v>
      </c>
      <c r="I5" s="74">
        <v>0</v>
      </c>
      <c r="J5" s="74">
        <v>0</v>
      </c>
      <c r="K5" s="74">
        <v>25</v>
      </c>
      <c r="L5" s="74" t="s">
        <v>36</v>
      </c>
      <c r="M5" s="74"/>
      <c r="N5" s="74"/>
      <c r="O5" s="184" t="s">
        <v>43</v>
      </c>
      <c r="P5" s="6"/>
      <c r="Q5" s="6"/>
      <c r="R5" s="4"/>
      <c r="S5" s="3"/>
      <c r="T5" s="3"/>
      <c r="U5" s="3"/>
      <c r="V5" s="3"/>
      <c r="W5" s="3"/>
      <c r="X5" s="3"/>
      <c r="Y5" s="6"/>
      <c r="Z5" s="6"/>
      <c r="AA5" s="6"/>
      <c r="AB5" s="6"/>
      <c r="AC5" s="6"/>
      <c r="AD5" s="6"/>
      <c r="AE5" s="2"/>
      <c r="AF5" s="83"/>
      <c r="AG5" s="3">
        <f>Config!$J$2</f>
        <v>1</v>
      </c>
      <c r="AH5" s="3">
        <f>Config!$J$3</f>
        <v>0.9</v>
      </c>
      <c r="AI5" s="3">
        <f>Config!$J$4</f>
        <v>0.8</v>
      </c>
      <c r="AJ5" s="84"/>
      <c r="AK5" s="26">
        <f>Config!$J$7</f>
        <v>20</v>
      </c>
      <c r="AL5" s="85"/>
      <c r="AM5" s="3">
        <f>Config!$J$10</f>
        <v>0.9</v>
      </c>
      <c r="AN5" s="86"/>
      <c r="AO5" s="25">
        <v>30</v>
      </c>
    </row>
    <row r="6" spans="1:42" ht="24" customHeight="1">
      <c r="A6" s="185" t="s">
        <v>44</v>
      </c>
      <c r="B6" s="74">
        <v>15</v>
      </c>
      <c r="C6" s="74">
        <v>14</v>
      </c>
      <c r="D6" s="72">
        <f t="shared" si="0"/>
        <v>0.93333333333333335</v>
      </c>
      <c r="E6" s="207">
        <f>AVERAGE(C3:C6)</f>
        <v>11.25</v>
      </c>
      <c r="F6" s="72">
        <v>0.9</v>
      </c>
      <c r="G6" s="74">
        <v>0</v>
      </c>
      <c r="H6" s="74">
        <v>1</v>
      </c>
      <c r="I6" s="74">
        <v>0</v>
      </c>
      <c r="J6" s="74">
        <v>0</v>
      </c>
      <c r="K6" s="74">
        <v>25</v>
      </c>
      <c r="L6" s="74" t="s">
        <v>36</v>
      </c>
      <c r="M6" s="74"/>
      <c r="N6" s="74"/>
      <c r="O6" s="184"/>
      <c r="P6" s="6"/>
      <c r="Q6" s="6"/>
      <c r="R6" s="4"/>
      <c r="S6" s="3"/>
      <c r="T6" s="3"/>
      <c r="U6" s="3"/>
      <c r="V6" s="3"/>
      <c r="W6" s="3"/>
      <c r="X6" s="3"/>
      <c r="Y6" s="6"/>
      <c r="Z6" s="6"/>
      <c r="AA6" s="6"/>
      <c r="AB6" s="6"/>
      <c r="AC6" s="6"/>
      <c r="AD6" s="6"/>
      <c r="AE6" s="2"/>
      <c r="AF6" s="83"/>
      <c r="AG6" s="3">
        <f>Config!$J$2</f>
        <v>1</v>
      </c>
      <c r="AH6" s="3">
        <f>Config!$J$3</f>
        <v>0.9</v>
      </c>
      <c r="AI6" s="3">
        <f>Config!$J$4</f>
        <v>0.8</v>
      </c>
      <c r="AJ6" s="84"/>
      <c r="AK6" s="26">
        <f>Config!$J$7</f>
        <v>20</v>
      </c>
      <c r="AL6" s="85"/>
      <c r="AM6" s="3">
        <f>Config!$J$10</f>
        <v>0.9</v>
      </c>
      <c r="AN6" s="86"/>
      <c r="AO6" s="25">
        <v>30</v>
      </c>
    </row>
    <row r="7" spans="1:42" ht="24" customHeight="1">
      <c r="A7" s="185" t="s">
        <v>45</v>
      </c>
      <c r="B7" s="74">
        <v>20</v>
      </c>
      <c r="C7" s="74">
        <v>16</v>
      </c>
      <c r="D7" s="72">
        <f t="shared" si="0"/>
        <v>0.8</v>
      </c>
      <c r="E7" s="207">
        <f>AVERAGE(C4:C7)</f>
        <v>11</v>
      </c>
      <c r="F7" s="72">
        <v>0.9</v>
      </c>
      <c r="G7" s="74">
        <v>0</v>
      </c>
      <c r="H7" s="74">
        <v>0</v>
      </c>
      <c r="I7" s="74">
        <v>0</v>
      </c>
      <c r="J7" s="74">
        <v>0</v>
      </c>
      <c r="K7" s="74">
        <v>25</v>
      </c>
      <c r="L7" s="74" t="s">
        <v>36</v>
      </c>
      <c r="M7" s="74"/>
      <c r="N7" s="74"/>
      <c r="O7" s="184"/>
      <c r="P7" s="6"/>
      <c r="Q7" s="6"/>
      <c r="R7" s="4"/>
      <c r="S7" s="3"/>
      <c r="T7" s="3"/>
      <c r="U7" s="3"/>
      <c r="V7" s="3"/>
      <c r="W7" s="3"/>
      <c r="X7" s="3"/>
      <c r="Y7" s="6"/>
      <c r="Z7" s="6"/>
      <c r="AA7" s="6"/>
      <c r="AB7" s="6"/>
      <c r="AC7" s="6"/>
      <c r="AD7" s="6"/>
      <c r="AE7" s="2"/>
      <c r="AF7" s="83"/>
      <c r="AG7" s="3">
        <f>Config!$J$2</f>
        <v>1</v>
      </c>
      <c r="AH7" s="3">
        <f>Config!$J$3</f>
        <v>0.9</v>
      </c>
      <c r="AI7" s="3">
        <f>Config!$J$4</f>
        <v>0.8</v>
      </c>
      <c r="AJ7" s="84"/>
      <c r="AK7" s="26">
        <f>Config!$J$7</f>
        <v>20</v>
      </c>
      <c r="AL7" s="85"/>
      <c r="AM7" s="3">
        <f>Config!$J$10</f>
        <v>0.9</v>
      </c>
      <c r="AN7" s="86"/>
      <c r="AO7" s="25">
        <v>30</v>
      </c>
    </row>
    <row r="8" spans="1:42" ht="24" customHeight="1">
      <c r="A8" s="185" t="s">
        <v>46</v>
      </c>
      <c r="B8" s="74">
        <v>17</v>
      </c>
      <c r="C8" s="74">
        <v>15</v>
      </c>
      <c r="D8" s="72">
        <f t="shared" si="0"/>
        <v>0.88235294117647056</v>
      </c>
      <c r="E8" s="207">
        <f>AVERAGE(C5:C8)</f>
        <v>12</v>
      </c>
      <c r="F8" s="72">
        <v>0.9</v>
      </c>
      <c r="G8" s="74">
        <v>0</v>
      </c>
      <c r="H8" s="74">
        <v>1</v>
      </c>
      <c r="I8" s="74">
        <v>0</v>
      </c>
      <c r="J8" s="74">
        <v>0</v>
      </c>
      <c r="K8" s="74">
        <v>25</v>
      </c>
      <c r="L8" s="74" t="s">
        <v>36</v>
      </c>
      <c r="M8" s="74"/>
      <c r="N8" s="74"/>
      <c r="O8" s="184"/>
      <c r="P8" s="6"/>
      <c r="Q8" s="6"/>
      <c r="R8" s="4"/>
      <c r="S8" s="3"/>
      <c r="T8" s="3"/>
      <c r="U8" s="3"/>
      <c r="V8" s="3"/>
      <c r="W8" s="3"/>
      <c r="X8" s="3"/>
      <c r="Y8" s="6"/>
      <c r="Z8" s="6"/>
      <c r="AA8" s="6"/>
      <c r="AB8" s="6"/>
      <c r="AC8" s="6"/>
      <c r="AD8" s="6"/>
      <c r="AE8" s="2"/>
      <c r="AF8" s="83"/>
      <c r="AG8" s="3">
        <f>Config!$J$2</f>
        <v>1</v>
      </c>
      <c r="AH8" s="3">
        <f>Config!$J$3</f>
        <v>0.9</v>
      </c>
      <c r="AI8" s="3">
        <f>Config!$J$4</f>
        <v>0.8</v>
      </c>
      <c r="AJ8" s="84"/>
      <c r="AK8" s="26">
        <f>Config!$J$7</f>
        <v>20</v>
      </c>
      <c r="AL8" s="85"/>
      <c r="AM8" s="3">
        <f>Config!$J$10</f>
        <v>0.9</v>
      </c>
      <c r="AN8" s="86"/>
      <c r="AO8" s="25">
        <v>30</v>
      </c>
    </row>
    <row r="9" spans="1:42" ht="24" customHeight="1">
      <c r="A9" s="185" t="s">
        <v>47</v>
      </c>
      <c r="B9" s="74">
        <v>20</v>
      </c>
      <c r="C9" s="74">
        <v>20</v>
      </c>
      <c r="D9" s="72">
        <f t="shared" si="0"/>
        <v>1</v>
      </c>
      <c r="E9" s="207">
        <f>AVERAGE(C6:C9)</f>
        <v>16.25</v>
      </c>
      <c r="F9" s="72">
        <v>0.9</v>
      </c>
      <c r="G9" s="74">
        <v>0</v>
      </c>
      <c r="H9" s="74">
        <v>1</v>
      </c>
      <c r="I9" s="74">
        <v>0</v>
      </c>
      <c r="J9" s="74">
        <v>0</v>
      </c>
      <c r="K9" s="74">
        <v>25</v>
      </c>
      <c r="L9" s="74" t="s">
        <v>36</v>
      </c>
      <c r="M9" s="74"/>
      <c r="N9" s="74"/>
      <c r="O9" s="186"/>
      <c r="AE9" s="1"/>
      <c r="AF9" s="83"/>
      <c r="AG9" s="3">
        <f>Config!$J$2</f>
        <v>1</v>
      </c>
      <c r="AH9" s="3">
        <f>Config!$J$3</f>
        <v>0.9</v>
      </c>
      <c r="AI9" s="3">
        <f>Config!$J$4</f>
        <v>0.8</v>
      </c>
      <c r="AJ9" s="84"/>
      <c r="AK9" s="26">
        <f>Config!$J$7</f>
        <v>20</v>
      </c>
      <c r="AL9" s="85"/>
      <c r="AM9" s="3">
        <f>Config!$J$10</f>
        <v>0.9</v>
      </c>
      <c r="AN9" s="86"/>
      <c r="AO9" s="25">
        <v>30</v>
      </c>
    </row>
    <row r="10" spans="1:42" ht="24" customHeight="1">
      <c r="A10" s="185" t="s">
        <v>48</v>
      </c>
      <c r="B10" s="74">
        <v>15</v>
      </c>
      <c r="C10" s="74">
        <v>15</v>
      </c>
      <c r="D10" s="72">
        <f t="shared" si="0"/>
        <v>1</v>
      </c>
      <c r="E10" s="207">
        <f>AVERAGE(C7:C10)</f>
        <v>16.5</v>
      </c>
      <c r="F10" s="72">
        <v>0.9</v>
      </c>
      <c r="G10" s="74">
        <v>0</v>
      </c>
      <c r="H10" s="74">
        <v>0</v>
      </c>
      <c r="I10" s="74">
        <v>0</v>
      </c>
      <c r="J10" s="74">
        <v>0</v>
      </c>
      <c r="K10" s="74">
        <v>25</v>
      </c>
      <c r="L10" s="74" t="s">
        <v>36</v>
      </c>
      <c r="M10" s="74"/>
      <c r="N10" s="74"/>
      <c r="O10" s="186"/>
      <c r="AE10" s="1"/>
      <c r="AF10" s="83"/>
      <c r="AG10" s="3">
        <f>Config!$J$2</f>
        <v>1</v>
      </c>
      <c r="AH10" s="3">
        <f>Config!$J$3</f>
        <v>0.9</v>
      </c>
      <c r="AI10" s="3">
        <f>Config!$J$4</f>
        <v>0.8</v>
      </c>
      <c r="AJ10" s="84"/>
      <c r="AK10" s="26">
        <f>Config!$J$7</f>
        <v>20</v>
      </c>
      <c r="AL10" s="85"/>
      <c r="AM10" s="3">
        <f>Config!$J$10</f>
        <v>0.9</v>
      </c>
      <c r="AN10" s="86"/>
      <c r="AO10" s="25">
        <v>30</v>
      </c>
    </row>
    <row r="11" spans="1:42" ht="24" customHeight="1">
      <c r="A11" s="185" t="s">
        <v>49</v>
      </c>
      <c r="B11" s="74">
        <v>6</v>
      </c>
      <c r="C11" s="74">
        <v>6</v>
      </c>
      <c r="D11" s="72">
        <f t="shared" si="0"/>
        <v>1</v>
      </c>
      <c r="E11" s="207">
        <f>AVERAGE(C8:C11)</f>
        <v>14</v>
      </c>
      <c r="F11" s="72">
        <v>0.9</v>
      </c>
      <c r="G11" s="74">
        <v>0</v>
      </c>
      <c r="H11" s="74">
        <v>0</v>
      </c>
      <c r="I11" s="74">
        <v>0</v>
      </c>
      <c r="J11" s="74">
        <v>0</v>
      </c>
      <c r="K11" s="74">
        <v>25</v>
      </c>
      <c r="L11" s="74" t="s">
        <v>36</v>
      </c>
      <c r="M11" s="74"/>
      <c r="N11" s="74"/>
      <c r="O11" s="186"/>
      <c r="AE11" s="1"/>
      <c r="AF11" s="83"/>
      <c r="AG11" s="3">
        <f>Config!$J$2</f>
        <v>1</v>
      </c>
      <c r="AH11" s="3">
        <f>Config!$J$3</f>
        <v>0.9</v>
      </c>
      <c r="AI11" s="3">
        <f>Config!$J$4</f>
        <v>0.8</v>
      </c>
      <c r="AJ11" s="84"/>
      <c r="AK11" s="26">
        <f>Config!$J$7</f>
        <v>20</v>
      </c>
      <c r="AL11" s="85"/>
      <c r="AM11" s="3">
        <f>Config!$J$10</f>
        <v>0.9</v>
      </c>
      <c r="AN11" s="86"/>
      <c r="AO11" s="25">
        <v>30</v>
      </c>
    </row>
    <row r="12" spans="1:42" ht="24" customHeight="1">
      <c r="A12" s="185" t="s">
        <v>50</v>
      </c>
      <c r="B12" s="74">
        <v>16</v>
      </c>
      <c r="C12" s="74">
        <v>16</v>
      </c>
      <c r="D12" s="72">
        <f t="shared" si="0"/>
        <v>1</v>
      </c>
      <c r="E12" s="207">
        <f>AVERAGE(C9:C12)</f>
        <v>14.25</v>
      </c>
      <c r="F12" s="72">
        <v>0.9</v>
      </c>
      <c r="G12" s="74">
        <v>0</v>
      </c>
      <c r="H12" s="74">
        <v>1</v>
      </c>
      <c r="I12" s="74">
        <v>0</v>
      </c>
      <c r="J12" s="74">
        <v>0</v>
      </c>
      <c r="K12" s="74">
        <v>25</v>
      </c>
      <c r="L12" s="74" t="s">
        <v>36</v>
      </c>
      <c r="M12" s="74"/>
      <c r="N12" s="74"/>
      <c r="O12" s="184"/>
      <c r="AE12" s="1"/>
      <c r="AF12" s="83"/>
      <c r="AG12" s="3">
        <f>Config!$J$2</f>
        <v>1</v>
      </c>
      <c r="AH12" s="3">
        <f>Config!$J$3</f>
        <v>0.9</v>
      </c>
      <c r="AI12" s="3">
        <f>Config!$J$4</f>
        <v>0.8</v>
      </c>
      <c r="AJ12" s="84"/>
      <c r="AK12" s="26">
        <f>Config!$J$7</f>
        <v>20</v>
      </c>
      <c r="AL12" s="85"/>
      <c r="AM12" s="3">
        <f>Config!$J$10</f>
        <v>0.9</v>
      </c>
      <c r="AN12" s="86"/>
      <c r="AO12" s="25">
        <v>30</v>
      </c>
    </row>
    <row r="13" spans="1:42" ht="24" customHeight="1">
      <c r="A13" s="185" t="s">
        <v>51</v>
      </c>
      <c r="B13" s="74">
        <v>17</v>
      </c>
      <c r="C13" s="74">
        <v>14</v>
      </c>
      <c r="D13" s="72">
        <f t="shared" si="0"/>
        <v>0.82352941176470584</v>
      </c>
      <c r="E13" s="207">
        <f>AVERAGE(C10:C13)</f>
        <v>12.75</v>
      </c>
      <c r="F13" s="72">
        <v>0.9</v>
      </c>
      <c r="G13" s="74">
        <v>0</v>
      </c>
      <c r="H13" s="74">
        <v>0</v>
      </c>
      <c r="I13" s="74">
        <v>0</v>
      </c>
      <c r="J13" s="74">
        <v>0</v>
      </c>
      <c r="K13" s="74">
        <v>30</v>
      </c>
      <c r="L13" s="74" t="s">
        <v>36</v>
      </c>
      <c r="M13" s="74"/>
      <c r="N13" s="74"/>
      <c r="O13" s="184" t="s">
        <v>52</v>
      </c>
      <c r="P13" s="87"/>
      <c r="Q13" s="88"/>
      <c r="R13" s="9"/>
      <c r="S13" s="10"/>
      <c r="T13" s="9"/>
      <c r="U13" s="10"/>
      <c r="V13" s="9"/>
      <c r="W13" s="9"/>
      <c r="X13" s="9"/>
      <c r="Y13" s="9"/>
      <c r="Z13" s="11"/>
      <c r="AA13" s="78"/>
      <c r="AB13" s="81"/>
      <c r="AC13" s="8"/>
      <c r="AD13" s="9"/>
      <c r="AE13" s="9"/>
      <c r="AF13" s="10"/>
      <c r="AG13" s="9">
        <f>Config!$J$2</f>
        <v>1</v>
      </c>
      <c r="AH13" s="10">
        <f>Config!$J$3</f>
        <v>0.9</v>
      </c>
      <c r="AI13" s="9">
        <f>Config!$J$4</f>
        <v>0.8</v>
      </c>
      <c r="AJ13" s="9"/>
      <c r="AK13" s="9">
        <f>Config!$J$7</f>
        <v>20</v>
      </c>
      <c r="AL13" s="9"/>
      <c r="AM13" s="11">
        <f>Config!$J$10</f>
        <v>0.9</v>
      </c>
      <c r="AN13" s="78"/>
      <c r="AO13" s="81">
        <v>30</v>
      </c>
    </row>
    <row r="14" spans="1:42" ht="24" customHeight="1">
      <c r="A14" s="185" t="s">
        <v>53</v>
      </c>
      <c r="B14" s="74">
        <v>15</v>
      </c>
      <c r="C14" s="74">
        <v>13</v>
      </c>
      <c r="D14" s="72">
        <f t="shared" si="0"/>
        <v>0.8666666666666667</v>
      </c>
      <c r="E14" s="207">
        <f>AVERAGE(C11:C14)</f>
        <v>12.25</v>
      </c>
      <c r="F14" s="72">
        <v>0.9</v>
      </c>
      <c r="G14" s="74">
        <v>0</v>
      </c>
      <c r="H14" s="74">
        <v>3</v>
      </c>
      <c r="I14" s="74">
        <v>0</v>
      </c>
      <c r="J14" s="74">
        <v>0</v>
      </c>
      <c r="K14" s="74">
        <v>30</v>
      </c>
      <c r="L14" s="74" t="s">
        <v>36</v>
      </c>
      <c r="M14" s="74"/>
      <c r="N14" s="74"/>
      <c r="O14" s="184" t="s">
        <v>54</v>
      </c>
      <c r="AE14" s="1"/>
      <c r="AF14" s="83"/>
      <c r="AG14" s="3">
        <f>Config!$J$2</f>
        <v>1</v>
      </c>
      <c r="AH14" s="3">
        <f>Config!$J$3</f>
        <v>0.9</v>
      </c>
      <c r="AI14" s="3">
        <f>Config!$J$4</f>
        <v>0.8</v>
      </c>
      <c r="AJ14" s="84"/>
      <c r="AK14" s="26">
        <f>Config!$J$7</f>
        <v>20</v>
      </c>
      <c r="AL14" s="85"/>
      <c r="AM14" s="3">
        <f>Config!$J$10</f>
        <v>0.9</v>
      </c>
      <c r="AN14" s="86"/>
      <c r="AO14" s="25">
        <v>30</v>
      </c>
    </row>
    <row r="15" spans="1:42" ht="24" customHeight="1">
      <c r="A15" s="185" t="s">
        <v>55</v>
      </c>
      <c r="B15" s="74">
        <v>19</v>
      </c>
      <c r="C15" s="74">
        <v>14</v>
      </c>
      <c r="D15" s="72">
        <f t="shared" si="0"/>
        <v>0.73684210526315785</v>
      </c>
      <c r="E15" s="207">
        <f>AVERAGE(C12:C15)</f>
        <v>14.25</v>
      </c>
      <c r="F15" s="72">
        <v>0.9</v>
      </c>
      <c r="G15" s="74">
        <v>0</v>
      </c>
      <c r="H15" s="74">
        <v>0</v>
      </c>
      <c r="I15" s="74">
        <v>0</v>
      </c>
      <c r="J15" s="74">
        <v>0</v>
      </c>
      <c r="K15" s="74">
        <v>30</v>
      </c>
      <c r="L15" s="74" t="s">
        <v>36</v>
      </c>
      <c r="M15" s="74"/>
      <c r="N15" s="74"/>
      <c r="O15" s="184" t="s">
        <v>56</v>
      </c>
      <c r="AE15" s="1"/>
      <c r="AF15" s="83"/>
      <c r="AG15" s="3">
        <f>Config!$J$2</f>
        <v>1</v>
      </c>
      <c r="AH15" s="3">
        <f>Config!$J$3</f>
        <v>0.9</v>
      </c>
      <c r="AI15" s="3">
        <f>Config!$J$4</f>
        <v>0.8</v>
      </c>
      <c r="AJ15" s="84"/>
      <c r="AK15" s="26">
        <f>Config!$J$7</f>
        <v>20</v>
      </c>
      <c r="AL15" s="85"/>
      <c r="AM15" s="3">
        <f>Config!$J$10</f>
        <v>0.9</v>
      </c>
      <c r="AN15" s="86"/>
      <c r="AO15" s="25">
        <v>30</v>
      </c>
    </row>
    <row r="16" spans="1:42" ht="24" customHeight="1">
      <c r="A16" s="185" t="s">
        <v>57</v>
      </c>
      <c r="B16" s="74">
        <v>17</v>
      </c>
      <c r="C16" s="74">
        <v>12</v>
      </c>
      <c r="D16" s="72">
        <f t="shared" ref="D16" si="1">IF((C16/B16)&gt;1,1,(C16/B16))</f>
        <v>0.70588235294117652</v>
      </c>
      <c r="E16" s="207">
        <f>AVERAGE(C13:C16)</f>
        <v>13.25</v>
      </c>
      <c r="F16" s="72">
        <v>0.9</v>
      </c>
      <c r="G16" s="74">
        <v>0</v>
      </c>
      <c r="H16" s="74">
        <v>0</v>
      </c>
      <c r="I16" s="74">
        <v>0</v>
      </c>
      <c r="J16" s="74">
        <v>0</v>
      </c>
      <c r="K16" s="74">
        <v>30</v>
      </c>
      <c r="L16" s="74" t="s">
        <v>36</v>
      </c>
      <c r="M16" s="74"/>
      <c r="N16" s="74"/>
      <c r="O16" s="184" t="s">
        <v>58</v>
      </c>
      <c r="AE16" s="1"/>
      <c r="AF16" s="83"/>
      <c r="AG16" s="3"/>
      <c r="AH16" s="3"/>
      <c r="AI16" s="3"/>
      <c r="AJ16" s="84"/>
      <c r="AK16" s="26"/>
      <c r="AL16" s="85"/>
      <c r="AM16" s="3"/>
      <c r="AN16" s="86"/>
      <c r="AO16" s="25"/>
    </row>
    <row r="17" spans="1:41" ht="24" customHeight="1">
      <c r="A17" s="185" t="s">
        <v>59</v>
      </c>
      <c r="B17" s="74">
        <v>16</v>
      </c>
      <c r="C17" s="74">
        <v>13</v>
      </c>
      <c r="D17" s="72">
        <f t="shared" ref="D17" si="2">IF((C17/B17)&gt;1,1,(C17/B17))</f>
        <v>0.8125</v>
      </c>
      <c r="E17" s="207">
        <f>AVERAGE(C14:C17)</f>
        <v>13</v>
      </c>
      <c r="F17" s="72">
        <v>0.9</v>
      </c>
      <c r="G17" s="74">
        <v>0</v>
      </c>
      <c r="H17" s="74">
        <v>0</v>
      </c>
      <c r="I17" s="74">
        <v>1</v>
      </c>
      <c r="J17" s="74">
        <v>0</v>
      </c>
      <c r="K17" s="74">
        <v>30</v>
      </c>
      <c r="L17" s="74" t="s">
        <v>36</v>
      </c>
      <c r="M17" s="74"/>
      <c r="N17" s="74"/>
      <c r="O17" s="184" t="s">
        <v>60</v>
      </c>
      <c r="AE17" s="1"/>
      <c r="AF17" s="83"/>
      <c r="AG17" s="3"/>
      <c r="AH17" s="3"/>
      <c r="AI17" s="3"/>
      <c r="AJ17" s="84"/>
      <c r="AK17" s="26"/>
      <c r="AL17" s="85"/>
      <c r="AM17" s="3"/>
      <c r="AN17" s="86"/>
      <c r="AO17" s="25"/>
    </row>
    <row r="18" spans="1:41" ht="24" customHeight="1">
      <c r="A18" s="185" t="s">
        <v>61</v>
      </c>
      <c r="B18" s="74">
        <v>18</v>
      </c>
      <c r="C18" s="74">
        <v>17</v>
      </c>
      <c r="D18" s="72">
        <f t="shared" ref="D18" si="3">IF((C18/B18)&gt;1,1,(C18/B18))</f>
        <v>0.94444444444444442</v>
      </c>
      <c r="E18" s="207">
        <f>AVERAGE(C15:C18)</f>
        <v>14</v>
      </c>
      <c r="F18" s="72">
        <v>0.9</v>
      </c>
      <c r="G18" s="74">
        <v>0</v>
      </c>
      <c r="H18" s="74">
        <v>0</v>
      </c>
      <c r="I18" s="74">
        <v>2</v>
      </c>
      <c r="J18" s="74">
        <v>0</v>
      </c>
      <c r="K18" s="74">
        <v>30</v>
      </c>
      <c r="L18" s="74" t="s">
        <v>36</v>
      </c>
      <c r="M18" s="74"/>
      <c r="N18" s="74"/>
      <c r="O18" s="184" t="s">
        <v>62</v>
      </c>
      <c r="AE18" s="1"/>
      <c r="AF18" s="83"/>
      <c r="AG18" s="3"/>
      <c r="AH18" s="3"/>
      <c r="AI18" s="3"/>
      <c r="AJ18" s="84"/>
      <c r="AK18" s="26"/>
      <c r="AL18" s="85"/>
      <c r="AM18" s="3"/>
      <c r="AN18" s="86"/>
      <c r="AO18" s="25"/>
    </row>
    <row r="19" spans="1:41" ht="24" customHeight="1">
      <c r="A19" s="185" t="s">
        <v>63</v>
      </c>
      <c r="B19" s="74">
        <v>14</v>
      </c>
      <c r="C19" s="74">
        <v>11</v>
      </c>
      <c r="D19" s="72">
        <f t="shared" ref="D19" si="4">IF((C19/B19)&gt;1,1,(C19/B19))</f>
        <v>0.7857142857142857</v>
      </c>
      <c r="E19" s="207">
        <f>AVERAGE(C16:C19)</f>
        <v>13.25</v>
      </c>
      <c r="F19" s="72">
        <v>0.9</v>
      </c>
      <c r="G19" s="74">
        <v>0</v>
      </c>
      <c r="H19" s="74">
        <v>1</v>
      </c>
      <c r="I19" s="74">
        <v>0</v>
      </c>
      <c r="J19" s="74">
        <v>0</v>
      </c>
      <c r="K19" s="74">
        <v>30</v>
      </c>
      <c r="L19" s="74" t="s">
        <v>36</v>
      </c>
      <c r="M19" s="74"/>
      <c r="N19" s="74"/>
      <c r="O19" s="184" t="s">
        <v>64</v>
      </c>
      <c r="AE19" s="1"/>
      <c r="AF19" s="83"/>
      <c r="AG19" s="3"/>
      <c r="AH19" s="3"/>
      <c r="AI19" s="3"/>
      <c r="AJ19" s="84"/>
      <c r="AK19" s="26"/>
      <c r="AL19" s="85"/>
      <c r="AM19" s="3"/>
      <c r="AN19" s="86"/>
      <c r="AO19" s="25"/>
    </row>
    <row r="20" spans="1:41" ht="24" customHeight="1">
      <c r="A20" s="185" t="s">
        <v>65</v>
      </c>
      <c r="B20" s="74">
        <v>14</v>
      </c>
      <c r="C20" s="74">
        <v>14</v>
      </c>
      <c r="D20" s="72">
        <f t="shared" ref="D20" si="5">IF((C20/B20)&gt;1,1,(C20/B20))</f>
        <v>1</v>
      </c>
      <c r="E20" s="207">
        <f>AVERAGE(C17:C20)</f>
        <v>13.75</v>
      </c>
      <c r="F20" s="72">
        <v>0.9</v>
      </c>
      <c r="G20" s="74">
        <v>0</v>
      </c>
      <c r="H20" s="74">
        <v>0</v>
      </c>
      <c r="I20" s="74">
        <v>0</v>
      </c>
      <c r="J20" s="74">
        <v>0</v>
      </c>
      <c r="K20" s="74">
        <v>30</v>
      </c>
      <c r="L20" s="74" t="s">
        <v>36</v>
      </c>
      <c r="M20" s="74"/>
      <c r="N20" s="74"/>
      <c r="O20" s="184"/>
      <c r="AE20" s="1"/>
      <c r="AF20" s="83"/>
      <c r="AG20" s="3"/>
      <c r="AH20" s="3"/>
      <c r="AI20" s="3"/>
      <c r="AJ20" s="84"/>
      <c r="AK20" s="26"/>
      <c r="AL20" s="85"/>
      <c r="AM20" s="3"/>
      <c r="AN20" s="86"/>
      <c r="AO20" s="25"/>
    </row>
    <row r="21" spans="1:41" ht="24" customHeight="1">
      <c r="A21" s="185" t="s">
        <v>66</v>
      </c>
      <c r="B21" s="74">
        <v>24</v>
      </c>
      <c r="C21" s="74">
        <v>19</v>
      </c>
      <c r="D21" s="72">
        <f t="shared" ref="D21:D22" si="6">IF((C21/B21)&gt;1,1,(C21/B21))</f>
        <v>0.79166666666666663</v>
      </c>
      <c r="E21" s="207">
        <f>AVERAGE(C18:C21)</f>
        <v>15.25</v>
      </c>
      <c r="F21" s="72">
        <v>0.9</v>
      </c>
      <c r="G21" s="74">
        <v>0</v>
      </c>
      <c r="H21" s="74">
        <v>0</v>
      </c>
      <c r="I21" s="74">
        <v>8</v>
      </c>
      <c r="J21" s="74">
        <v>0</v>
      </c>
      <c r="K21" s="74">
        <v>30</v>
      </c>
      <c r="L21" s="74" t="s">
        <v>36</v>
      </c>
      <c r="M21" s="74"/>
      <c r="N21" s="74"/>
      <c r="O21" s="184" t="s">
        <v>67</v>
      </c>
      <c r="AE21" s="1"/>
      <c r="AF21" s="83"/>
      <c r="AG21" s="3"/>
      <c r="AH21" s="3"/>
      <c r="AI21" s="3"/>
      <c r="AJ21" s="84"/>
      <c r="AK21" s="26"/>
      <c r="AL21" s="85"/>
      <c r="AM21" s="3"/>
      <c r="AN21" s="86"/>
      <c r="AO21" s="25"/>
    </row>
    <row r="22" spans="1:41" ht="24" customHeight="1">
      <c r="A22" s="185" t="s">
        <v>68</v>
      </c>
      <c r="B22" s="74">
        <v>21</v>
      </c>
      <c r="C22" s="74">
        <v>17</v>
      </c>
      <c r="D22" s="72">
        <f>IF((C22/B22)&gt;1,1,(C22/B22))</f>
        <v>0.80952380952380953</v>
      </c>
      <c r="E22" s="207">
        <f>AVERAGE(C19:C22)</f>
        <v>15.25</v>
      </c>
      <c r="F22" s="72">
        <v>0.9</v>
      </c>
      <c r="G22" s="74">
        <v>0</v>
      </c>
      <c r="H22" s="74">
        <v>0</v>
      </c>
      <c r="I22" s="74">
        <v>6</v>
      </c>
      <c r="J22" s="74">
        <v>0</v>
      </c>
      <c r="K22" s="74">
        <v>30</v>
      </c>
      <c r="L22" s="74" t="s">
        <v>36</v>
      </c>
      <c r="M22" s="74"/>
      <c r="N22" s="74"/>
      <c r="O22" s="187" t="s">
        <v>69</v>
      </c>
      <c r="AE22" s="1"/>
      <c r="AF22" s="83"/>
      <c r="AG22" s="3"/>
      <c r="AH22" s="3"/>
      <c r="AI22" s="3"/>
      <c r="AJ22" s="84"/>
      <c r="AK22" s="26"/>
      <c r="AL22" s="85"/>
      <c r="AM22" s="3"/>
      <c r="AN22" s="86"/>
      <c r="AO22" s="25"/>
    </row>
    <row r="23" spans="1:41" ht="24" customHeight="1">
      <c r="A23" s="185" t="s">
        <v>70</v>
      </c>
      <c r="B23" s="74">
        <v>18</v>
      </c>
      <c r="C23" s="74">
        <v>11</v>
      </c>
      <c r="D23" s="72">
        <f t="shared" ref="D23" si="7">IF((C23/B23)&gt;1,1,(C23/B23))</f>
        <v>0.61111111111111116</v>
      </c>
      <c r="E23" s="207">
        <f>AVERAGE(C20:C23)</f>
        <v>15.25</v>
      </c>
      <c r="F23" s="72">
        <v>0.9</v>
      </c>
      <c r="G23" s="74">
        <v>0</v>
      </c>
      <c r="H23" s="74">
        <v>0</v>
      </c>
      <c r="I23" s="74">
        <v>0</v>
      </c>
      <c r="J23" s="74">
        <v>1</v>
      </c>
      <c r="K23" s="74">
        <v>30</v>
      </c>
      <c r="L23" s="74" t="s">
        <v>36</v>
      </c>
      <c r="M23" s="74"/>
      <c r="N23" s="74"/>
      <c r="O23" s="184" t="s">
        <v>71</v>
      </c>
      <c r="AE23" s="1"/>
      <c r="AG23" s="3">
        <f>Config!$J$2</f>
        <v>1</v>
      </c>
      <c r="AH23" s="3">
        <f>Config!$J$3</f>
        <v>0.9</v>
      </c>
      <c r="AI23" s="3">
        <f>Config!$J$4</f>
        <v>0.8</v>
      </c>
      <c r="AJ23" s="3"/>
      <c r="AK23" s="26">
        <f>Config!$J$7</f>
        <v>20</v>
      </c>
      <c r="AL23" s="27"/>
      <c r="AM23" s="3">
        <f>Config!$J$10</f>
        <v>0.9</v>
      </c>
      <c r="AN23" s="27"/>
      <c r="AO23" s="25">
        <v>30</v>
      </c>
    </row>
    <row r="24" spans="1:41" ht="24" customHeight="1">
      <c r="A24" s="185" t="s">
        <v>72</v>
      </c>
      <c r="B24" s="74">
        <v>18</v>
      </c>
      <c r="C24" s="74">
        <v>8</v>
      </c>
      <c r="D24" s="169">
        <f t="shared" ref="D24" si="8">IF((C24/B24)&gt;1,1,(C24/B24))</f>
        <v>0.44444444444444442</v>
      </c>
      <c r="E24" s="207">
        <f>AVERAGE(C21:C24)</f>
        <v>13.75</v>
      </c>
      <c r="F24" s="169">
        <v>0.9</v>
      </c>
      <c r="G24" s="74">
        <v>0</v>
      </c>
      <c r="H24" s="74">
        <v>2</v>
      </c>
      <c r="I24" s="74">
        <v>4</v>
      </c>
      <c r="J24" s="74">
        <v>1</v>
      </c>
      <c r="K24" s="74">
        <v>30</v>
      </c>
      <c r="L24" s="74" t="s">
        <v>36</v>
      </c>
      <c r="M24" s="74"/>
      <c r="N24" s="74"/>
      <c r="O24" s="187" t="s">
        <v>73</v>
      </c>
      <c r="AE24" s="1"/>
      <c r="AG24" s="3"/>
      <c r="AH24" s="3"/>
      <c r="AI24" s="3"/>
      <c r="AJ24" s="3"/>
      <c r="AK24" s="26"/>
      <c r="AL24" s="27"/>
      <c r="AM24" s="3"/>
      <c r="AN24" s="27"/>
      <c r="AO24" s="25"/>
    </row>
    <row r="25" spans="1:41" ht="24" customHeight="1">
      <c r="A25" s="185" t="s">
        <v>74</v>
      </c>
      <c r="B25" s="74">
        <v>20</v>
      </c>
      <c r="C25" s="74">
        <v>15</v>
      </c>
      <c r="D25" s="169">
        <f t="shared" ref="D25" si="9">IF((C25/B25)&gt;1,1,(C25/B25))</f>
        <v>0.75</v>
      </c>
      <c r="E25" s="207">
        <f>AVERAGE(C22:C25)</f>
        <v>12.75</v>
      </c>
      <c r="F25" s="169">
        <v>0.9</v>
      </c>
      <c r="G25" s="74">
        <v>0</v>
      </c>
      <c r="H25" s="74">
        <v>0</v>
      </c>
      <c r="I25" s="74">
        <v>4</v>
      </c>
      <c r="J25" s="74">
        <v>0</v>
      </c>
      <c r="K25" s="74">
        <v>30</v>
      </c>
      <c r="L25" s="74" t="s">
        <v>36</v>
      </c>
      <c r="M25" s="74"/>
      <c r="N25" s="74"/>
      <c r="O25" s="187" t="s">
        <v>75</v>
      </c>
      <c r="AE25" s="1"/>
      <c r="AG25" s="3"/>
      <c r="AH25" s="3"/>
      <c r="AI25" s="3"/>
      <c r="AJ25" s="3"/>
      <c r="AK25" s="26"/>
      <c r="AL25" s="27"/>
      <c r="AM25" s="3"/>
      <c r="AN25" s="27"/>
      <c r="AO25" s="25"/>
    </row>
    <row r="26" spans="1:41" ht="24" customHeight="1">
      <c r="A26" s="185" t="s">
        <v>76</v>
      </c>
      <c r="B26" s="74">
        <v>19</v>
      </c>
      <c r="C26" s="74">
        <v>19</v>
      </c>
      <c r="D26" s="169">
        <f t="shared" ref="D26" si="10">IF((C26/B26)&gt;1,1,(C26/B26))</f>
        <v>1</v>
      </c>
      <c r="E26" s="207">
        <f>AVERAGE(C23:C26)</f>
        <v>13.25</v>
      </c>
      <c r="F26" s="169">
        <v>0.9</v>
      </c>
      <c r="G26" s="74">
        <v>0</v>
      </c>
      <c r="H26" s="74">
        <v>0</v>
      </c>
      <c r="I26" s="74">
        <v>0</v>
      </c>
      <c r="J26" s="74">
        <v>0</v>
      </c>
      <c r="K26" s="74">
        <v>30</v>
      </c>
      <c r="L26" s="74" t="s">
        <v>36</v>
      </c>
      <c r="M26" s="74"/>
      <c r="N26" s="74"/>
      <c r="O26" s="187" t="s">
        <v>77</v>
      </c>
      <c r="AE26" s="1"/>
      <c r="AG26" s="3"/>
      <c r="AH26" s="3"/>
      <c r="AI26" s="3"/>
      <c r="AJ26" s="3"/>
      <c r="AK26" s="26"/>
      <c r="AL26" s="27"/>
      <c r="AM26" s="3"/>
      <c r="AN26" s="27"/>
      <c r="AO26" s="25"/>
    </row>
    <row r="27" spans="1:41" ht="24" customHeight="1">
      <c r="A27" s="185" t="s">
        <v>78</v>
      </c>
      <c r="B27" s="74">
        <v>13</v>
      </c>
      <c r="C27" s="74">
        <v>19</v>
      </c>
      <c r="D27" s="169">
        <f>IF((C27/B27)&gt;1,1,(C27/B27))</f>
        <v>1</v>
      </c>
      <c r="E27" s="207">
        <f>AVERAGE(C24:C27)</f>
        <v>15.25</v>
      </c>
      <c r="F27" s="169">
        <v>0.9</v>
      </c>
      <c r="G27" s="74">
        <v>0</v>
      </c>
      <c r="H27" s="74">
        <v>0</v>
      </c>
      <c r="I27" s="74">
        <v>2</v>
      </c>
      <c r="J27" s="74">
        <v>0</v>
      </c>
      <c r="K27" s="74">
        <v>30</v>
      </c>
      <c r="L27" s="74" t="s">
        <v>36</v>
      </c>
      <c r="M27" s="74"/>
      <c r="N27" s="74"/>
      <c r="O27" s="188" t="s">
        <v>79</v>
      </c>
      <c r="AE27" s="1"/>
      <c r="AG27" s="3">
        <f>Config!$J$2</f>
        <v>1</v>
      </c>
      <c r="AH27" s="3">
        <f>Config!$J$3</f>
        <v>0.9</v>
      </c>
      <c r="AI27" s="3">
        <f>Config!$J$4</f>
        <v>0.8</v>
      </c>
      <c r="AJ27" s="3"/>
      <c r="AK27" s="26">
        <f>Config!$J$7</f>
        <v>20</v>
      </c>
      <c r="AL27" s="27"/>
      <c r="AM27" s="3">
        <f>Config!$J$10</f>
        <v>0.9</v>
      </c>
      <c r="AN27" s="27"/>
      <c r="AO27" s="25">
        <v>30</v>
      </c>
    </row>
    <row r="28" spans="1:41" ht="24" customHeight="1">
      <c r="A28" s="185" t="s">
        <v>80</v>
      </c>
      <c r="B28" s="74">
        <v>22</v>
      </c>
      <c r="C28" s="74">
        <v>24</v>
      </c>
      <c r="D28" s="169">
        <f>IF((C28/B28)&gt;1,1,(C28/B28))</f>
        <v>1</v>
      </c>
      <c r="E28" s="207">
        <f>AVERAGE(C25:C28)</f>
        <v>19.25</v>
      </c>
      <c r="F28" s="169">
        <v>0.9</v>
      </c>
      <c r="G28" s="74">
        <v>0</v>
      </c>
      <c r="H28" s="74">
        <v>0</v>
      </c>
      <c r="I28" s="74">
        <v>1</v>
      </c>
      <c r="J28" s="74">
        <v>0</v>
      </c>
      <c r="K28" s="74">
        <v>30</v>
      </c>
      <c r="L28" s="74" t="s">
        <v>36</v>
      </c>
      <c r="M28" s="74"/>
      <c r="N28" s="74"/>
      <c r="O28" s="188" t="s">
        <v>81</v>
      </c>
      <c r="AE28" s="1"/>
      <c r="AG28" s="3">
        <f>Config!$J$2</f>
        <v>1</v>
      </c>
      <c r="AH28" s="3">
        <f>Config!$J$3</f>
        <v>0.9</v>
      </c>
      <c r="AI28" s="3">
        <f>Config!$J$4</f>
        <v>0.8</v>
      </c>
      <c r="AJ28" s="3"/>
      <c r="AK28" s="26">
        <f>Config!$J$7</f>
        <v>20</v>
      </c>
      <c r="AL28" s="27"/>
      <c r="AM28" s="3">
        <f>Config!$J$10</f>
        <v>0.9</v>
      </c>
      <c r="AN28" s="27"/>
      <c r="AO28" s="25">
        <v>30</v>
      </c>
    </row>
    <row r="29" spans="1:41" ht="24" customHeight="1">
      <c r="A29" s="185" t="s">
        <v>82</v>
      </c>
      <c r="B29" s="74">
        <v>23</v>
      </c>
      <c r="C29" s="74">
        <v>27</v>
      </c>
      <c r="D29" s="169">
        <f>IF((C29/B29)&gt;1,1,(C29/B29))</f>
        <v>1</v>
      </c>
      <c r="E29" s="207">
        <f>AVERAGE(C26:C29)</f>
        <v>22.25</v>
      </c>
      <c r="F29" s="169">
        <v>0.9</v>
      </c>
      <c r="G29" s="74">
        <v>0</v>
      </c>
      <c r="H29" s="74">
        <v>0</v>
      </c>
      <c r="I29" s="74">
        <v>1</v>
      </c>
      <c r="J29" s="74">
        <v>0</v>
      </c>
      <c r="K29" s="74">
        <v>30</v>
      </c>
      <c r="L29" s="74" t="s">
        <v>36</v>
      </c>
      <c r="M29" s="74"/>
      <c r="N29" s="74"/>
      <c r="O29" s="188" t="s">
        <v>83</v>
      </c>
      <c r="AE29" s="1"/>
      <c r="AG29" s="3">
        <f>Config!$J$2</f>
        <v>1</v>
      </c>
      <c r="AH29" s="3">
        <f>Config!$J$3</f>
        <v>0.9</v>
      </c>
      <c r="AI29" s="3">
        <f>Config!$J$4</f>
        <v>0.8</v>
      </c>
      <c r="AJ29" s="3"/>
      <c r="AK29" s="26">
        <f>Config!$J$7</f>
        <v>20</v>
      </c>
      <c r="AL29" s="27"/>
      <c r="AM29" s="3">
        <f>Config!$J$10</f>
        <v>0.9</v>
      </c>
      <c r="AN29" s="27"/>
      <c r="AO29" s="25">
        <v>30</v>
      </c>
    </row>
    <row r="30" spans="1:41" ht="24" customHeight="1">
      <c r="A30" s="185" t="s">
        <v>84</v>
      </c>
      <c r="B30" s="74">
        <v>19</v>
      </c>
      <c r="C30" s="74">
        <v>16</v>
      </c>
      <c r="D30" s="169">
        <f>IF((C30/B30)&gt;1,1,(C30/B30))</f>
        <v>0.84210526315789469</v>
      </c>
      <c r="E30" s="207">
        <f>AVERAGE(C27:C30)</f>
        <v>21.5</v>
      </c>
      <c r="F30" s="169">
        <v>0.9</v>
      </c>
      <c r="G30" s="74">
        <v>0</v>
      </c>
      <c r="H30" s="74">
        <v>0</v>
      </c>
      <c r="I30" s="74">
        <v>0</v>
      </c>
      <c r="J30" s="74">
        <v>1</v>
      </c>
      <c r="K30" s="74">
        <v>30</v>
      </c>
      <c r="L30" s="74" t="s">
        <v>36</v>
      </c>
      <c r="M30" s="74"/>
      <c r="N30" s="74"/>
      <c r="O30" s="188" t="s">
        <v>85</v>
      </c>
      <c r="AE30" s="1"/>
      <c r="AG30" s="3">
        <f>Config!$J$2</f>
        <v>1</v>
      </c>
      <c r="AH30" s="3">
        <f>Config!$J$3</f>
        <v>0.9</v>
      </c>
      <c r="AI30" s="3">
        <f>Config!$J$4</f>
        <v>0.8</v>
      </c>
      <c r="AJ30" s="3"/>
      <c r="AK30" s="26">
        <f>Config!$J$7</f>
        <v>20</v>
      </c>
      <c r="AL30" s="27"/>
      <c r="AM30" s="3">
        <f>Config!$J$10</f>
        <v>0.9</v>
      </c>
      <c r="AN30" s="27"/>
      <c r="AO30" s="25">
        <v>30</v>
      </c>
    </row>
    <row r="31" spans="1:41" s="92" customFormat="1" ht="24" customHeight="1">
      <c r="A31" s="185" t="s">
        <v>86</v>
      </c>
      <c r="B31" s="167">
        <v>26</v>
      </c>
      <c r="C31" s="167">
        <v>23</v>
      </c>
      <c r="D31" s="169">
        <f>IF((C31/B31)&gt;1,1,(C31/B31))</f>
        <v>0.88461538461538458</v>
      </c>
      <c r="E31" s="207">
        <f>AVERAGE(C28:C31)</f>
        <v>22.5</v>
      </c>
      <c r="F31" s="169">
        <v>0.9</v>
      </c>
      <c r="G31" s="167">
        <v>0</v>
      </c>
      <c r="H31" s="167">
        <v>0</v>
      </c>
      <c r="I31" s="167">
        <v>0</v>
      </c>
      <c r="J31" s="167">
        <v>0</v>
      </c>
      <c r="K31" s="167">
        <v>30</v>
      </c>
      <c r="L31" s="170" t="s">
        <v>36</v>
      </c>
      <c r="M31" s="170"/>
      <c r="N31" s="170"/>
      <c r="O31" s="188" t="s">
        <v>87</v>
      </c>
      <c r="AE31" s="93"/>
      <c r="AF31" s="94"/>
      <c r="AG31" s="90">
        <f>Config!$J$2</f>
        <v>1</v>
      </c>
      <c r="AH31" s="90">
        <f>Config!$J$3</f>
        <v>0.9</v>
      </c>
      <c r="AI31" s="90">
        <f>Config!$J$4</f>
        <v>0.8</v>
      </c>
      <c r="AJ31" s="90"/>
      <c r="AK31" s="91">
        <f>Config!$J$7</f>
        <v>20</v>
      </c>
      <c r="AL31" s="93"/>
      <c r="AM31" s="90">
        <f>Config!$J$10</f>
        <v>0.9</v>
      </c>
      <c r="AN31" s="93"/>
      <c r="AO31" s="92">
        <v>30</v>
      </c>
    </row>
    <row r="32" spans="1:41" ht="24" customHeight="1">
      <c r="A32" s="185" t="s">
        <v>88</v>
      </c>
      <c r="B32" s="167">
        <v>23</v>
      </c>
      <c r="C32" s="167">
        <v>15</v>
      </c>
      <c r="D32" s="169">
        <f>IF((C32/B32)&gt;1,1,(C32/B32))</f>
        <v>0.65217391304347827</v>
      </c>
      <c r="E32" s="207">
        <f>AVERAGE(C29:C32)</f>
        <v>20.25</v>
      </c>
      <c r="F32" s="169">
        <v>0.9</v>
      </c>
      <c r="G32" s="167">
        <v>0</v>
      </c>
      <c r="H32" s="167">
        <v>0</v>
      </c>
      <c r="I32" s="167">
        <v>3</v>
      </c>
      <c r="J32" s="167">
        <v>0</v>
      </c>
      <c r="K32" s="167">
        <v>30</v>
      </c>
      <c r="L32" s="170" t="s">
        <v>36</v>
      </c>
      <c r="M32" s="170"/>
      <c r="N32" s="170"/>
      <c r="O32" s="188" t="s">
        <v>89</v>
      </c>
      <c r="AE32" s="1"/>
      <c r="AG32" s="3">
        <f>Config!$J$2</f>
        <v>1</v>
      </c>
      <c r="AH32" s="3">
        <f>Config!$J$3</f>
        <v>0.9</v>
      </c>
      <c r="AI32" s="3">
        <f>Config!$J$4</f>
        <v>0.8</v>
      </c>
      <c r="AJ32" s="3"/>
      <c r="AK32" s="26">
        <f>Config!$J$7</f>
        <v>20</v>
      </c>
      <c r="AL32" s="27"/>
      <c r="AM32" s="3">
        <f>Config!$J$10</f>
        <v>0.9</v>
      </c>
      <c r="AN32" s="27"/>
      <c r="AO32" s="25">
        <v>30</v>
      </c>
    </row>
    <row r="33" spans="1:41" ht="24" customHeight="1">
      <c r="A33" s="185" t="s">
        <v>90</v>
      </c>
      <c r="B33" s="167">
        <v>32</v>
      </c>
      <c r="C33" s="167">
        <v>32</v>
      </c>
      <c r="D33" s="169">
        <f>IF((C33/B33)&gt;1,1,(C33/B33))</f>
        <v>1</v>
      </c>
      <c r="E33" s="207">
        <f>AVERAGE(C30:C33)</f>
        <v>21.5</v>
      </c>
      <c r="F33" s="169">
        <v>0.9</v>
      </c>
      <c r="G33" s="167">
        <v>0</v>
      </c>
      <c r="H33" s="167">
        <v>0</v>
      </c>
      <c r="I33" s="167">
        <v>0</v>
      </c>
      <c r="J33" s="167">
        <v>0</v>
      </c>
      <c r="K33" s="167">
        <v>30</v>
      </c>
      <c r="L33" s="170" t="s">
        <v>36</v>
      </c>
      <c r="M33" s="170"/>
      <c r="N33" s="170"/>
      <c r="O33" s="188" t="s">
        <v>91</v>
      </c>
      <c r="AE33" s="1"/>
      <c r="AG33" s="3">
        <f>Config!$J$2</f>
        <v>1</v>
      </c>
      <c r="AH33" s="3">
        <f>Config!$J$3</f>
        <v>0.9</v>
      </c>
      <c r="AI33" s="3">
        <f>Config!$J$4</f>
        <v>0.8</v>
      </c>
      <c r="AJ33" s="3"/>
      <c r="AK33" s="26">
        <f>Config!$J$7</f>
        <v>20</v>
      </c>
      <c r="AL33" s="27"/>
      <c r="AM33" s="3">
        <f>Config!$J$10</f>
        <v>0.9</v>
      </c>
      <c r="AN33" s="27"/>
      <c r="AO33" s="25">
        <v>30</v>
      </c>
    </row>
    <row r="34" spans="1:41" ht="24" customHeight="1">
      <c r="A34" s="185" t="s">
        <v>92</v>
      </c>
      <c r="B34" s="167">
        <v>28</v>
      </c>
      <c r="C34" s="167">
        <v>18</v>
      </c>
      <c r="D34" s="169">
        <f>IF((C34/B34)&gt;1,1,(C34/B34))</f>
        <v>0.6428571428571429</v>
      </c>
      <c r="E34" s="207">
        <f>AVERAGE(C31:C34)</f>
        <v>22</v>
      </c>
      <c r="F34" s="169">
        <v>0.9</v>
      </c>
      <c r="G34" s="167">
        <v>0</v>
      </c>
      <c r="H34" s="167">
        <v>0</v>
      </c>
      <c r="I34" s="167">
        <v>0</v>
      </c>
      <c r="J34" s="167">
        <v>0</v>
      </c>
      <c r="K34" s="167">
        <v>30</v>
      </c>
      <c r="L34" s="170" t="s">
        <v>36</v>
      </c>
      <c r="M34" s="170"/>
      <c r="N34" s="170"/>
      <c r="O34" s="188" t="s">
        <v>93</v>
      </c>
      <c r="AE34" s="1"/>
      <c r="AG34" s="3">
        <f>Config!$J$2</f>
        <v>1</v>
      </c>
      <c r="AH34" s="3">
        <f>Config!$J$3</f>
        <v>0.9</v>
      </c>
      <c r="AI34" s="3">
        <f>Config!$J$4</f>
        <v>0.8</v>
      </c>
      <c r="AJ34" s="3"/>
      <c r="AK34" s="26">
        <f>Config!$J$7</f>
        <v>20</v>
      </c>
      <c r="AL34" s="27"/>
      <c r="AM34" s="3">
        <f>Config!$J$10</f>
        <v>0.9</v>
      </c>
      <c r="AN34" s="27"/>
      <c r="AO34" s="25">
        <v>30</v>
      </c>
    </row>
    <row r="35" spans="1:41" ht="24" customHeight="1">
      <c r="A35" s="185" t="s">
        <v>94</v>
      </c>
      <c r="B35" s="167">
        <v>38</v>
      </c>
      <c r="C35" s="167">
        <v>25</v>
      </c>
      <c r="D35" s="169">
        <f>IF((C35/B35)&gt;1,1,(C35/B35))</f>
        <v>0.65789473684210531</v>
      </c>
      <c r="E35" s="207">
        <f>AVERAGE(C32:C35)</f>
        <v>22.5</v>
      </c>
      <c r="F35" s="169">
        <v>0.9</v>
      </c>
      <c r="G35" s="167">
        <v>0</v>
      </c>
      <c r="H35" s="167">
        <v>0</v>
      </c>
      <c r="I35" s="167">
        <v>3</v>
      </c>
      <c r="J35" s="167">
        <v>0</v>
      </c>
      <c r="K35" s="167">
        <v>30</v>
      </c>
      <c r="L35" s="170" t="s">
        <v>36</v>
      </c>
      <c r="M35" s="170"/>
      <c r="N35" s="170"/>
      <c r="O35" s="188" t="s">
        <v>95</v>
      </c>
      <c r="AE35" s="1"/>
      <c r="AG35" s="3">
        <f>Config!$J$2</f>
        <v>1</v>
      </c>
      <c r="AH35" s="3">
        <f>Config!$J$3</f>
        <v>0.9</v>
      </c>
      <c r="AI35" s="3">
        <f>Config!$J$4</f>
        <v>0.8</v>
      </c>
      <c r="AJ35" s="3"/>
      <c r="AK35" s="26">
        <f>Config!$J$7</f>
        <v>20</v>
      </c>
      <c r="AL35" s="27"/>
      <c r="AM35" s="3">
        <f>Config!$J$10</f>
        <v>0.9</v>
      </c>
      <c r="AN35" s="27"/>
      <c r="AO35" s="25">
        <v>30</v>
      </c>
    </row>
    <row r="36" spans="1:41" ht="24" customHeight="1">
      <c r="A36" s="185" t="s">
        <v>96</v>
      </c>
      <c r="B36" s="167">
        <v>37</v>
      </c>
      <c r="C36" s="167">
        <v>27</v>
      </c>
      <c r="D36" s="169">
        <f>IF((C36/B36)&gt;1,1,(C36/B36))</f>
        <v>0.72972972972972971</v>
      </c>
      <c r="E36" s="207">
        <f>AVERAGE(C33:C36)</f>
        <v>25.5</v>
      </c>
      <c r="F36" s="169">
        <v>0.9</v>
      </c>
      <c r="G36" s="167">
        <v>0</v>
      </c>
      <c r="H36" s="167">
        <v>0</v>
      </c>
      <c r="I36" s="167">
        <v>1</v>
      </c>
      <c r="J36" s="167">
        <v>0</v>
      </c>
      <c r="K36" s="167">
        <v>30</v>
      </c>
      <c r="L36" s="170" t="s">
        <v>36</v>
      </c>
      <c r="M36" s="170"/>
      <c r="N36" s="170"/>
      <c r="O36" s="189" t="s">
        <v>97</v>
      </c>
      <c r="AE36" s="1"/>
      <c r="AG36" s="3">
        <f>Config!$J$2</f>
        <v>1</v>
      </c>
      <c r="AH36" s="3">
        <f>Config!$J$3</f>
        <v>0.9</v>
      </c>
      <c r="AI36" s="3">
        <f>Config!$J$4</f>
        <v>0.8</v>
      </c>
      <c r="AJ36" s="3"/>
      <c r="AK36" s="26">
        <f>Config!$J$7</f>
        <v>20</v>
      </c>
      <c r="AL36" s="27"/>
      <c r="AM36" s="3">
        <f>Config!$J$10</f>
        <v>0.9</v>
      </c>
      <c r="AN36" s="27"/>
      <c r="AO36" s="25">
        <v>30</v>
      </c>
    </row>
    <row r="37" spans="1:41" ht="24" customHeight="1">
      <c r="A37" s="185" t="s">
        <v>98</v>
      </c>
      <c r="B37" s="167">
        <v>29</v>
      </c>
      <c r="C37" s="167">
        <v>28</v>
      </c>
      <c r="D37" s="169">
        <f>IF((C37/B37)&gt;1,1,(C37/B37))</f>
        <v>0.96551724137931039</v>
      </c>
      <c r="E37" s="207">
        <f>AVERAGE(C34:C37)</f>
        <v>24.5</v>
      </c>
      <c r="F37" s="169">
        <v>0.9</v>
      </c>
      <c r="G37" s="167">
        <v>1</v>
      </c>
      <c r="H37" s="167">
        <v>1</v>
      </c>
      <c r="I37" s="167">
        <v>2</v>
      </c>
      <c r="J37" s="167">
        <v>0</v>
      </c>
      <c r="K37" s="167">
        <v>30</v>
      </c>
      <c r="L37" s="170" t="s">
        <v>36</v>
      </c>
      <c r="M37" s="170"/>
      <c r="N37" s="170"/>
      <c r="O37" s="188" t="s">
        <v>99</v>
      </c>
      <c r="AE37" s="1"/>
      <c r="AG37" s="3">
        <f>Config!$J$2</f>
        <v>1</v>
      </c>
      <c r="AH37" s="3">
        <f>Config!$J$3</f>
        <v>0.9</v>
      </c>
      <c r="AI37" s="3">
        <f>Config!$J$4</f>
        <v>0.8</v>
      </c>
      <c r="AJ37" s="3"/>
      <c r="AK37" s="26">
        <f>Config!$J$7</f>
        <v>20</v>
      </c>
      <c r="AL37" s="27"/>
      <c r="AM37" s="3">
        <f>Config!$J$10</f>
        <v>0.9</v>
      </c>
      <c r="AN37" s="27"/>
      <c r="AO37" s="25">
        <v>30</v>
      </c>
    </row>
    <row r="38" spans="1:41" s="96" customFormat="1" ht="24" customHeight="1">
      <c r="A38" s="154" t="s">
        <v>100</v>
      </c>
      <c r="B38" s="167">
        <v>30</v>
      </c>
      <c r="C38" s="167">
        <v>31</v>
      </c>
      <c r="D38" s="169">
        <f>IF((C38/B38)&gt;1,1,(C38/B38))</f>
        <v>1</v>
      </c>
      <c r="E38" s="207">
        <f>AVERAGE(C35:C38)</f>
        <v>27.75</v>
      </c>
      <c r="F38" s="169">
        <v>0.9</v>
      </c>
      <c r="G38" s="167">
        <v>0</v>
      </c>
      <c r="H38" s="167">
        <v>0</v>
      </c>
      <c r="I38" s="167">
        <v>1</v>
      </c>
      <c r="J38" s="167">
        <v>0</v>
      </c>
      <c r="K38" s="167">
        <v>30</v>
      </c>
      <c r="L38" s="170" t="s">
        <v>36</v>
      </c>
      <c r="M38" s="170"/>
      <c r="N38" s="170"/>
      <c r="O38" s="171" t="s">
        <v>101</v>
      </c>
      <c r="AE38" s="97"/>
      <c r="AF38" s="98"/>
      <c r="AG38" s="99">
        <f>Config!$J$2</f>
        <v>1</v>
      </c>
      <c r="AH38" s="99">
        <f>Config!$J$3</f>
        <v>0.9</v>
      </c>
      <c r="AI38" s="99">
        <f>Config!$J$4</f>
        <v>0.8</v>
      </c>
      <c r="AJ38" s="99"/>
      <c r="AK38" s="100">
        <f>Config!$J$7</f>
        <v>20</v>
      </c>
      <c r="AL38" s="101"/>
      <c r="AM38" s="99">
        <f>Config!$J$10</f>
        <v>0.9</v>
      </c>
      <c r="AN38" s="101"/>
      <c r="AO38" s="102">
        <v>30</v>
      </c>
    </row>
    <row r="39" spans="1:41" s="96" customFormat="1" ht="24" customHeight="1">
      <c r="A39" s="154" t="s">
        <v>102</v>
      </c>
      <c r="B39" s="167">
        <v>27</v>
      </c>
      <c r="C39" s="167">
        <v>26</v>
      </c>
      <c r="D39" s="169">
        <f>IF((C39/B39)&gt;1,1,(C39/B39))</f>
        <v>0.96296296296296291</v>
      </c>
      <c r="E39" s="207">
        <f>AVERAGE(C36:C39)</f>
        <v>28</v>
      </c>
      <c r="F39" s="169">
        <v>0.9</v>
      </c>
      <c r="G39" s="167">
        <v>0</v>
      </c>
      <c r="H39" s="167">
        <v>0</v>
      </c>
      <c r="I39" s="167">
        <v>1</v>
      </c>
      <c r="J39" s="167">
        <v>0</v>
      </c>
      <c r="K39" s="167">
        <v>30</v>
      </c>
      <c r="L39" s="170" t="s">
        <v>36</v>
      </c>
      <c r="M39" s="170"/>
      <c r="N39" s="170"/>
      <c r="O39" s="171" t="s">
        <v>103</v>
      </c>
      <c r="AE39" s="97"/>
      <c r="AF39" s="98"/>
      <c r="AG39" s="99">
        <f>Config!$J$2</f>
        <v>1</v>
      </c>
      <c r="AH39" s="99">
        <f>Config!$J$3</f>
        <v>0.9</v>
      </c>
      <c r="AI39" s="99">
        <f>Config!$J$4</f>
        <v>0.8</v>
      </c>
      <c r="AJ39" s="99"/>
      <c r="AK39" s="100">
        <f>Config!$J$7</f>
        <v>20</v>
      </c>
      <c r="AL39" s="101"/>
      <c r="AM39" s="99">
        <f>Config!$J$10</f>
        <v>0.9</v>
      </c>
      <c r="AN39" s="101"/>
      <c r="AO39" s="102">
        <v>30</v>
      </c>
    </row>
    <row r="40" spans="1:41" s="175" customFormat="1" ht="24" customHeight="1">
      <c r="A40" s="197" t="s">
        <v>104</v>
      </c>
      <c r="B40" s="198">
        <v>22</v>
      </c>
      <c r="C40" s="167">
        <v>24</v>
      </c>
      <c r="D40" s="199">
        <f>IF((C40/B40)&gt;1,1,(C40/B40))</f>
        <v>1</v>
      </c>
      <c r="E40" s="207">
        <f>AVERAGE(C37:C40)</f>
        <v>27.25</v>
      </c>
      <c r="F40" s="199">
        <v>0.9</v>
      </c>
      <c r="G40" s="198">
        <v>0</v>
      </c>
      <c r="H40" s="198">
        <v>0</v>
      </c>
      <c r="I40" s="198">
        <v>1</v>
      </c>
      <c r="J40" s="198">
        <v>0</v>
      </c>
      <c r="K40" s="198">
        <v>30</v>
      </c>
      <c r="L40" s="200" t="s">
        <v>36</v>
      </c>
      <c r="M40" s="200"/>
      <c r="N40" s="200"/>
      <c r="O40" s="201" t="s">
        <v>105</v>
      </c>
      <c r="AE40" s="176"/>
      <c r="AF40" s="177"/>
      <c r="AG40" s="178"/>
      <c r="AH40" s="178"/>
      <c r="AI40" s="178"/>
      <c r="AJ40" s="178"/>
      <c r="AK40" s="179"/>
      <c r="AL40" s="154"/>
      <c r="AM40" s="178"/>
      <c r="AN40" s="154"/>
      <c r="AO40" s="179"/>
    </row>
    <row r="41" spans="1:41" s="175" customFormat="1" ht="24" customHeight="1">
      <c r="A41" s="154" t="s">
        <v>106</v>
      </c>
      <c r="B41" s="167">
        <v>20</v>
      </c>
      <c r="C41" s="167">
        <v>21</v>
      </c>
      <c r="D41" s="169">
        <f>IF((C41/B41)&gt;1,1,(C41/B41))</f>
        <v>1</v>
      </c>
      <c r="E41" s="207">
        <f>AVERAGE(C38:C41)</f>
        <v>25.5</v>
      </c>
      <c r="F41" s="169">
        <v>0.9</v>
      </c>
      <c r="G41" s="167">
        <v>0</v>
      </c>
      <c r="H41" s="167">
        <v>0</v>
      </c>
      <c r="I41" s="167">
        <v>0</v>
      </c>
      <c r="J41" s="167">
        <v>0</v>
      </c>
      <c r="K41" s="167">
        <v>30</v>
      </c>
      <c r="L41" s="170" t="s">
        <v>36</v>
      </c>
      <c r="M41" s="170"/>
      <c r="N41" s="170"/>
      <c r="O41" s="171" t="s">
        <v>105</v>
      </c>
      <c r="AE41" s="176"/>
      <c r="AF41" s="177"/>
      <c r="AG41" s="178"/>
      <c r="AH41" s="178"/>
      <c r="AI41" s="178"/>
      <c r="AJ41" s="178"/>
      <c r="AK41" s="179"/>
      <c r="AL41" s="154"/>
      <c r="AM41" s="178"/>
      <c r="AN41" s="154"/>
      <c r="AO41" s="179"/>
    </row>
    <row r="42" spans="1:41" s="180" customFormat="1" ht="24" customHeight="1">
      <c r="A42" s="154" t="s">
        <v>107</v>
      </c>
      <c r="B42" s="167">
        <v>24</v>
      </c>
      <c r="C42" s="167">
        <v>21</v>
      </c>
      <c r="D42" s="169">
        <f>IF((C42/B42)&gt;1,1,(C42/B42))</f>
        <v>0.875</v>
      </c>
      <c r="E42" s="207">
        <f>AVERAGE(C39:C42)</f>
        <v>23</v>
      </c>
      <c r="F42" s="169">
        <v>0.9</v>
      </c>
      <c r="G42" s="167">
        <v>0</v>
      </c>
      <c r="H42" s="167">
        <v>0</v>
      </c>
      <c r="I42" s="167">
        <v>0</v>
      </c>
      <c r="J42" s="167">
        <v>1</v>
      </c>
      <c r="K42" s="167">
        <v>30</v>
      </c>
      <c r="L42" s="170" t="s">
        <v>36</v>
      </c>
      <c r="M42" s="170"/>
      <c r="N42" s="170"/>
      <c r="O42" s="171" t="s">
        <v>108</v>
      </c>
      <c r="AE42" s="181"/>
      <c r="AF42" s="182"/>
      <c r="AG42" s="181"/>
      <c r="AH42" s="181"/>
      <c r="AI42" s="181"/>
      <c r="AJ42" s="181"/>
      <c r="AK42" s="181"/>
      <c r="AL42" s="181"/>
      <c r="AM42" s="181"/>
      <c r="AN42" s="181"/>
    </row>
    <row r="43" spans="1:41" s="180" customFormat="1" ht="24" customHeight="1">
      <c r="A43" s="154" t="s">
        <v>109</v>
      </c>
      <c r="B43" s="167">
        <v>30</v>
      </c>
      <c r="C43" s="167">
        <v>30</v>
      </c>
      <c r="D43" s="169">
        <f>IF((C43/B43)&gt;1,1,(C43/B43))</f>
        <v>1</v>
      </c>
      <c r="E43" s="207">
        <f>AVERAGE(C40:C43)</f>
        <v>24</v>
      </c>
      <c r="F43" s="169">
        <v>0.9</v>
      </c>
      <c r="G43" s="167">
        <v>0</v>
      </c>
      <c r="H43" s="167">
        <v>0</v>
      </c>
      <c r="I43" s="167">
        <v>1</v>
      </c>
      <c r="J43" s="167">
        <v>0</v>
      </c>
      <c r="K43" s="167">
        <v>30</v>
      </c>
      <c r="L43" s="170" t="s">
        <v>36</v>
      </c>
      <c r="M43" s="170"/>
      <c r="N43" s="170"/>
      <c r="O43" s="171" t="s">
        <v>110</v>
      </c>
      <c r="AE43" s="181"/>
      <c r="AF43" s="182"/>
      <c r="AG43" s="181"/>
      <c r="AH43" s="181"/>
      <c r="AI43" s="181"/>
      <c r="AJ43" s="181"/>
      <c r="AK43" s="181"/>
      <c r="AL43" s="181"/>
      <c r="AM43" s="181"/>
      <c r="AN43" s="181"/>
    </row>
    <row r="44" spans="1:41" s="180" customFormat="1" ht="24" customHeight="1">
      <c r="A44" s="154" t="s">
        <v>111</v>
      </c>
      <c r="B44" s="167">
        <v>27</v>
      </c>
      <c r="C44" s="167">
        <v>32</v>
      </c>
      <c r="D44" s="169">
        <f>IF((C44/B44)&gt;1,1,(C44/B44))</f>
        <v>1</v>
      </c>
      <c r="E44" s="207">
        <f>AVERAGE(C41:C44)</f>
        <v>26</v>
      </c>
      <c r="F44" s="169">
        <v>0.9</v>
      </c>
      <c r="G44" s="167">
        <v>0</v>
      </c>
      <c r="H44" s="167">
        <v>0</v>
      </c>
      <c r="I44" s="167">
        <v>1</v>
      </c>
      <c r="J44" s="167">
        <v>0</v>
      </c>
      <c r="K44" s="167">
        <v>30</v>
      </c>
      <c r="L44" s="170" t="s">
        <v>36</v>
      </c>
      <c r="M44" s="170"/>
      <c r="N44" s="170"/>
      <c r="O44" s="171" t="s">
        <v>110</v>
      </c>
      <c r="AE44" s="181"/>
      <c r="AF44" s="182"/>
      <c r="AG44" s="181"/>
      <c r="AH44" s="181"/>
      <c r="AI44" s="181"/>
      <c r="AJ44" s="181"/>
      <c r="AK44" s="181"/>
      <c r="AL44" s="181"/>
      <c r="AM44" s="181"/>
      <c r="AN44" s="181"/>
    </row>
    <row r="45" spans="1:41" s="180" customFormat="1" ht="24" customHeight="1">
      <c r="A45" s="154" t="s">
        <v>112</v>
      </c>
      <c r="B45" s="167">
        <v>28</v>
      </c>
      <c r="C45" s="167">
        <v>28</v>
      </c>
      <c r="D45" s="169">
        <f>IF((C45/B45)&gt;1,1,(C45/B45))</f>
        <v>1</v>
      </c>
      <c r="E45" s="207">
        <f>AVERAGE(C42:C45)</f>
        <v>27.75</v>
      </c>
      <c r="F45" s="169">
        <v>0.9</v>
      </c>
      <c r="G45" s="167">
        <v>0</v>
      </c>
      <c r="H45" s="167">
        <v>0</v>
      </c>
      <c r="I45" s="167">
        <v>2</v>
      </c>
      <c r="J45" s="167">
        <v>0</v>
      </c>
      <c r="K45" s="167">
        <v>30</v>
      </c>
      <c r="L45" s="170" t="s">
        <v>36</v>
      </c>
      <c r="M45" s="170"/>
      <c r="N45" s="170"/>
      <c r="O45" s="171" t="s">
        <v>110</v>
      </c>
      <c r="AE45" s="181"/>
      <c r="AF45" s="182"/>
      <c r="AG45" s="181"/>
      <c r="AH45" s="181"/>
      <c r="AI45" s="181"/>
      <c r="AJ45" s="181"/>
      <c r="AK45" s="181"/>
      <c r="AL45" s="181"/>
      <c r="AM45" s="181"/>
      <c r="AN45" s="181"/>
    </row>
    <row r="46" spans="1:41" s="180" customFormat="1" ht="24" customHeight="1">
      <c r="A46" s="154" t="s">
        <v>113</v>
      </c>
      <c r="B46" s="167">
        <v>40</v>
      </c>
      <c r="C46" s="167">
        <v>49</v>
      </c>
      <c r="D46" s="169">
        <f>IF((C46/B46)&gt;1,1,(C46/B46))</f>
        <v>1</v>
      </c>
      <c r="E46" s="207">
        <f>AVERAGE(C43:C46)</f>
        <v>34.75</v>
      </c>
      <c r="F46" s="169">
        <v>0.9</v>
      </c>
      <c r="G46" s="167">
        <v>0</v>
      </c>
      <c r="H46" s="167">
        <v>0</v>
      </c>
      <c r="I46" s="167">
        <v>0</v>
      </c>
      <c r="J46" s="167">
        <v>0</v>
      </c>
      <c r="K46" s="167">
        <v>30</v>
      </c>
      <c r="L46" s="170" t="s">
        <v>36</v>
      </c>
      <c r="M46" s="170"/>
      <c r="N46" s="170"/>
      <c r="O46" s="171" t="s">
        <v>114</v>
      </c>
      <c r="AE46" s="181"/>
      <c r="AF46" s="182"/>
      <c r="AG46" s="181"/>
      <c r="AH46" s="181"/>
      <c r="AI46" s="181"/>
      <c r="AJ46" s="181"/>
      <c r="AK46" s="181"/>
      <c r="AL46" s="181"/>
      <c r="AM46" s="181"/>
      <c r="AN46" s="181"/>
    </row>
    <row r="47" spans="1:41" s="180" customFormat="1" ht="21" customHeight="1">
      <c r="A47" s="154" t="s">
        <v>115</v>
      </c>
      <c r="B47" s="167">
        <v>31</v>
      </c>
      <c r="C47" s="167">
        <v>30</v>
      </c>
      <c r="D47" s="169">
        <f>IF((C47/B47)&gt;1,1,(C47/B47))</f>
        <v>0.967741935483871</v>
      </c>
      <c r="E47" s="207">
        <f>AVERAGE(C44:C47)</f>
        <v>34.75</v>
      </c>
      <c r="F47" s="169">
        <v>0.9</v>
      </c>
      <c r="G47" s="167">
        <v>0</v>
      </c>
      <c r="H47" s="167">
        <v>0</v>
      </c>
      <c r="I47" s="167">
        <v>0</v>
      </c>
      <c r="J47" s="167">
        <v>0</v>
      </c>
      <c r="K47" s="167">
        <v>30</v>
      </c>
      <c r="L47" s="170" t="s">
        <v>36</v>
      </c>
      <c r="M47" s="170"/>
      <c r="N47" s="170"/>
      <c r="O47" s="171" t="s">
        <v>116</v>
      </c>
      <c r="AE47" s="181"/>
      <c r="AF47" s="182"/>
      <c r="AG47" s="181"/>
      <c r="AH47" s="181"/>
      <c r="AI47" s="181"/>
      <c r="AJ47" s="181"/>
      <c r="AK47" s="181"/>
      <c r="AL47" s="181"/>
      <c r="AM47" s="181"/>
      <c r="AN47" s="181"/>
    </row>
    <row r="48" spans="1:41" s="180" customFormat="1" ht="21" customHeight="1">
      <c r="A48" s="154" t="s">
        <v>117</v>
      </c>
      <c r="B48" s="167">
        <v>29</v>
      </c>
      <c r="C48" s="167">
        <v>33</v>
      </c>
      <c r="D48" s="169">
        <f>IF((C48/B48)&gt;1,1,(C48/B48))</f>
        <v>1</v>
      </c>
      <c r="E48" s="207">
        <f>AVERAGE(C45:C48)</f>
        <v>35</v>
      </c>
      <c r="F48" s="169">
        <v>0.9</v>
      </c>
      <c r="G48" s="167">
        <v>0</v>
      </c>
      <c r="H48" s="167">
        <v>0</v>
      </c>
      <c r="I48" s="167">
        <v>0</v>
      </c>
      <c r="J48" s="167">
        <v>0</v>
      </c>
      <c r="K48" s="167">
        <v>30</v>
      </c>
      <c r="L48" s="170" t="s">
        <v>36</v>
      </c>
      <c r="M48" s="170"/>
      <c r="N48" s="170"/>
      <c r="O48" s="171" t="s">
        <v>118</v>
      </c>
      <c r="AE48" s="181"/>
      <c r="AF48" s="182"/>
      <c r="AG48" s="181"/>
      <c r="AH48" s="181"/>
      <c r="AI48" s="181"/>
      <c r="AJ48" s="181"/>
      <c r="AK48" s="181"/>
      <c r="AL48" s="181"/>
      <c r="AM48" s="181"/>
      <c r="AN48" s="181"/>
    </row>
    <row r="49" spans="1:40" s="180" customFormat="1" ht="21" customHeight="1">
      <c r="A49" s="154" t="s">
        <v>119</v>
      </c>
      <c r="B49" s="167">
        <v>34</v>
      </c>
      <c r="C49" s="167">
        <v>39</v>
      </c>
      <c r="D49" s="169">
        <f>IF((C49/B49)&gt;1,1,(C49/B49))</f>
        <v>1</v>
      </c>
      <c r="E49" s="207">
        <f>AVERAGE(C46:C49)</f>
        <v>37.75</v>
      </c>
      <c r="F49" s="169">
        <v>0.9</v>
      </c>
      <c r="G49" s="167">
        <v>0</v>
      </c>
      <c r="H49" s="167">
        <v>0</v>
      </c>
      <c r="I49" s="167">
        <v>0</v>
      </c>
      <c r="J49" s="167">
        <v>0</v>
      </c>
      <c r="K49" s="167">
        <v>30</v>
      </c>
      <c r="L49" s="170" t="s">
        <v>36</v>
      </c>
      <c r="M49" s="168"/>
      <c r="N49" s="168"/>
      <c r="O49" s="171" t="s">
        <v>120</v>
      </c>
      <c r="AE49" s="181"/>
      <c r="AF49" s="182"/>
      <c r="AG49" s="181"/>
      <c r="AH49" s="181"/>
      <c r="AI49" s="181"/>
      <c r="AJ49" s="181"/>
      <c r="AK49" s="181"/>
      <c r="AL49" s="181"/>
      <c r="AM49" s="181"/>
      <c r="AN49" s="181"/>
    </row>
    <row r="50" spans="1:40" s="180" customFormat="1" ht="18.75" customHeight="1">
      <c r="A50" s="202" t="s">
        <v>121</v>
      </c>
      <c r="B50" s="167">
        <v>32</v>
      </c>
      <c r="C50" s="167">
        <v>38</v>
      </c>
      <c r="D50" s="204">
        <f>IF((C50/B50)&gt;1,1,(C50/B50))</f>
        <v>1</v>
      </c>
      <c r="E50" s="207">
        <f>AVERAGE(C47:C50)</f>
        <v>35</v>
      </c>
      <c r="F50" s="204">
        <v>0.9</v>
      </c>
      <c r="G50" s="206">
        <v>0</v>
      </c>
      <c r="H50" s="206">
        <v>0</v>
      </c>
      <c r="I50" s="206">
        <v>0</v>
      </c>
      <c r="J50" s="206">
        <v>0</v>
      </c>
      <c r="K50" s="206">
        <v>30</v>
      </c>
      <c r="L50" s="205" t="s">
        <v>36</v>
      </c>
      <c r="M50" s="203"/>
      <c r="N50" s="203"/>
      <c r="O50" s="171" t="s">
        <v>120</v>
      </c>
      <c r="AE50" s="181"/>
      <c r="AF50" s="182"/>
      <c r="AG50" s="181"/>
      <c r="AH50" s="181"/>
      <c r="AI50" s="181"/>
      <c r="AJ50" s="181"/>
      <c r="AK50" s="181"/>
      <c r="AL50" s="181"/>
      <c r="AM50" s="181"/>
      <c r="AN50" s="181"/>
    </row>
    <row r="51" spans="1:40" ht="18.75" customHeight="1">
      <c r="A51" s="154" t="s">
        <v>122</v>
      </c>
      <c r="B51" s="206">
        <v>35</v>
      </c>
      <c r="C51" s="167">
        <v>38</v>
      </c>
      <c r="D51" s="169">
        <f>IF((C51/B51)&gt;1,1,(C51/B51))</f>
        <v>1</v>
      </c>
      <c r="E51" s="207">
        <f>AVERAGE(C48:C51)</f>
        <v>37</v>
      </c>
      <c r="F51" s="169">
        <v>0.9</v>
      </c>
      <c r="G51" s="167">
        <v>0</v>
      </c>
      <c r="H51" s="167">
        <v>0</v>
      </c>
      <c r="I51" s="167">
        <v>0</v>
      </c>
      <c r="J51" s="167">
        <v>0</v>
      </c>
      <c r="K51" s="167">
        <v>30</v>
      </c>
      <c r="L51" s="205" t="s">
        <v>36</v>
      </c>
      <c r="M51" s="168"/>
      <c r="N51" s="168"/>
      <c r="O51" s="171" t="s">
        <v>120</v>
      </c>
      <c r="AE51" s="1"/>
      <c r="AG51" s="1"/>
      <c r="AH51" s="1"/>
      <c r="AI51" s="1"/>
      <c r="AJ51" s="1"/>
      <c r="AK51" s="1"/>
      <c r="AL51" s="1"/>
      <c r="AM51" s="1"/>
      <c r="AN51" s="1"/>
    </row>
    <row r="52" spans="1:40" ht="33" customHeight="1">
      <c r="A52" s="155" t="s">
        <v>123</v>
      </c>
      <c r="B52" s="167">
        <v>32</v>
      </c>
      <c r="C52" s="208">
        <v>33</v>
      </c>
      <c r="D52" s="169">
        <f>IF((C52/B52)&gt;1,1,(C52/B52))</f>
        <v>1</v>
      </c>
      <c r="E52" s="207">
        <f>AVERAGE(C49:C52)</f>
        <v>37</v>
      </c>
      <c r="F52" s="169">
        <v>0.9</v>
      </c>
      <c r="G52" s="167">
        <v>0</v>
      </c>
      <c r="H52" s="167">
        <v>0</v>
      </c>
      <c r="I52" s="167">
        <v>0</v>
      </c>
      <c r="J52" s="167">
        <v>0</v>
      </c>
      <c r="K52" s="167">
        <v>30</v>
      </c>
      <c r="L52" s="205" t="s">
        <v>36</v>
      </c>
      <c r="M52" s="203">
        <v>4</v>
      </c>
      <c r="N52" s="203">
        <v>4</v>
      </c>
      <c r="O52" s="171" t="s">
        <v>120</v>
      </c>
      <c r="AE52" s="1"/>
      <c r="AG52" s="1"/>
      <c r="AH52" s="1"/>
      <c r="AI52" s="1"/>
      <c r="AJ52" s="1"/>
      <c r="AK52" s="1"/>
      <c r="AL52" s="1"/>
      <c r="AM52" s="1"/>
      <c r="AN52" s="1"/>
    </row>
    <row r="53" spans="1:40" ht="19.5" customHeight="1">
      <c r="A53" s="154" t="s">
        <v>124</v>
      </c>
      <c r="B53" s="167">
        <v>31</v>
      </c>
      <c r="C53" s="167">
        <v>39</v>
      </c>
      <c r="D53" s="169">
        <f>IF((C53/B53)&gt;1,1,(C53/B53))</f>
        <v>1</v>
      </c>
      <c r="E53" s="207">
        <f>AVERAGE(C50:C53)</f>
        <v>37</v>
      </c>
      <c r="F53" s="169">
        <v>0.9</v>
      </c>
      <c r="G53" s="167">
        <v>0</v>
      </c>
      <c r="H53" s="167">
        <v>0</v>
      </c>
      <c r="I53" s="167">
        <v>0</v>
      </c>
      <c r="J53" s="167">
        <v>0</v>
      </c>
      <c r="K53" s="167">
        <v>30</v>
      </c>
      <c r="L53" s="205" t="s">
        <v>36</v>
      </c>
      <c r="M53" s="203">
        <v>4</v>
      </c>
      <c r="N53" s="203">
        <v>5</v>
      </c>
      <c r="O53" s="210" t="s">
        <v>120</v>
      </c>
      <c r="AE53" s="1"/>
      <c r="AG53" s="1"/>
      <c r="AH53" s="1"/>
      <c r="AI53" s="1"/>
      <c r="AJ53" s="1"/>
      <c r="AK53" s="1"/>
      <c r="AL53" s="1"/>
      <c r="AM53" s="1"/>
      <c r="AN53" s="1"/>
    </row>
    <row r="54" spans="1:40" ht="19.5" customHeight="1">
      <c r="A54" s="154" t="s">
        <v>7</v>
      </c>
      <c r="B54" s="167">
        <v>32</v>
      </c>
      <c r="C54" s="167">
        <v>33</v>
      </c>
      <c r="D54" s="169">
        <f>IF((C54/B54)&gt;1,1,(C54/B54))</f>
        <v>1</v>
      </c>
      <c r="E54" s="207">
        <f>AVERAGE(C51:C54)</f>
        <v>35.75</v>
      </c>
      <c r="F54" s="169">
        <v>0.9</v>
      </c>
      <c r="G54" s="167">
        <v>0</v>
      </c>
      <c r="H54" s="167">
        <v>0</v>
      </c>
      <c r="I54" s="167">
        <v>0</v>
      </c>
      <c r="J54" s="167">
        <v>0</v>
      </c>
      <c r="K54" s="209">
        <v>30</v>
      </c>
      <c r="L54" s="205" t="s">
        <v>36</v>
      </c>
      <c r="M54" s="168">
        <v>4</v>
      </c>
      <c r="N54" s="168">
        <v>4</v>
      </c>
      <c r="O54" s="171" t="s">
        <v>120</v>
      </c>
      <c r="AE54" s="1"/>
      <c r="AG54" s="1"/>
      <c r="AH54" s="1"/>
      <c r="AI54" s="1"/>
      <c r="AJ54" s="1"/>
      <c r="AK54" s="1"/>
      <c r="AL54" s="1"/>
      <c r="AM54" s="1"/>
      <c r="AN54" s="1"/>
    </row>
    <row r="55" spans="1:40" ht="19.5" customHeight="1">
      <c r="A55" s="154" t="s">
        <v>125</v>
      </c>
      <c r="B55" s="167">
        <v>29</v>
      </c>
      <c r="C55" s="167">
        <v>30</v>
      </c>
      <c r="D55" s="169">
        <f>IF((C55/B55)&gt;1,1,(C55/B55))</f>
        <v>1</v>
      </c>
      <c r="E55" s="207">
        <f>AVERAGE(C52:C55)</f>
        <v>33.75</v>
      </c>
      <c r="F55" s="169">
        <v>0.9</v>
      </c>
      <c r="G55" s="167">
        <v>0</v>
      </c>
      <c r="H55" s="167">
        <v>0</v>
      </c>
      <c r="I55" s="167">
        <v>0</v>
      </c>
      <c r="J55" s="167">
        <v>0</v>
      </c>
      <c r="K55" s="209">
        <v>30</v>
      </c>
      <c r="L55" s="170" t="s">
        <v>126</v>
      </c>
      <c r="M55" s="168">
        <v>4</v>
      </c>
      <c r="N55" s="168">
        <v>4.5</v>
      </c>
      <c r="O55" s="171" t="s">
        <v>120</v>
      </c>
      <c r="AE55" s="1"/>
      <c r="AG55" s="1"/>
      <c r="AH55" s="1"/>
      <c r="AI55" s="1"/>
      <c r="AJ55" s="1"/>
      <c r="AK55" s="1"/>
      <c r="AL55" s="1"/>
      <c r="AM55" s="1"/>
      <c r="AN55" s="1"/>
    </row>
    <row r="56" spans="1:40" ht="19.5" customHeight="1">
      <c r="AE56" s="1"/>
      <c r="AG56" s="1"/>
      <c r="AH56" s="1"/>
      <c r="AI56" s="1"/>
      <c r="AJ56" s="1"/>
      <c r="AK56" s="1"/>
      <c r="AL56" s="1"/>
      <c r="AM56" s="1"/>
      <c r="AN56" s="1"/>
    </row>
    <row r="57" spans="1:40" ht="19.5" customHeight="1">
      <c r="AE57" s="1"/>
      <c r="AG57" s="1"/>
      <c r="AH57" s="1"/>
      <c r="AI57" s="1"/>
      <c r="AJ57" s="1"/>
      <c r="AK57" s="1"/>
      <c r="AL57" s="1"/>
      <c r="AM57" s="1"/>
      <c r="AN57" s="1"/>
    </row>
    <row r="58" spans="1:40" ht="21">
      <c r="AE58" s="1"/>
      <c r="AG58" s="1"/>
      <c r="AH58" s="1"/>
      <c r="AI58" s="1"/>
      <c r="AJ58" s="1"/>
      <c r="AK58" s="1"/>
      <c r="AL58" s="1"/>
      <c r="AM58" s="1"/>
      <c r="AN58" s="1"/>
    </row>
    <row r="59" spans="1:40" ht="21">
      <c r="AE59" s="1"/>
      <c r="AG59" s="1"/>
      <c r="AH59" s="1"/>
      <c r="AI59" s="1"/>
      <c r="AJ59" s="1"/>
      <c r="AK59" s="1"/>
      <c r="AL59" s="1"/>
      <c r="AM59" s="1"/>
      <c r="AN59" s="1"/>
    </row>
    <row r="60" spans="1:40" ht="21">
      <c r="AE60" s="1"/>
      <c r="AG60" s="1"/>
      <c r="AH60" s="1"/>
      <c r="AI60" s="1"/>
      <c r="AJ60" s="1"/>
      <c r="AK60" s="1"/>
      <c r="AL60" s="1"/>
      <c r="AM60" s="1"/>
      <c r="AN60" s="1"/>
    </row>
    <row r="61" spans="1:40" ht="21">
      <c r="AE61" s="1"/>
      <c r="AG61" s="1"/>
      <c r="AH61" s="1"/>
      <c r="AI61" s="1"/>
      <c r="AJ61" s="1"/>
      <c r="AK61" s="1"/>
      <c r="AL61" s="1"/>
      <c r="AM61" s="1"/>
      <c r="AN61" s="1"/>
    </row>
    <row r="62" spans="1:40" ht="21">
      <c r="AE62" s="1"/>
      <c r="AG62" s="1"/>
      <c r="AH62" s="1"/>
      <c r="AI62" s="1"/>
      <c r="AJ62" s="1"/>
      <c r="AK62" s="1"/>
      <c r="AL62" s="1"/>
      <c r="AM62" s="1"/>
      <c r="AN62" s="1"/>
    </row>
    <row r="63" spans="1:40" ht="21">
      <c r="AE63" s="1"/>
      <c r="AG63" s="1"/>
      <c r="AH63" s="1"/>
      <c r="AI63" s="1"/>
      <c r="AJ63" s="1"/>
      <c r="AK63" s="1"/>
      <c r="AL63" s="1"/>
      <c r="AM63" s="1"/>
      <c r="AN63" s="1"/>
    </row>
    <row r="64" spans="1:40" ht="21">
      <c r="AE64" s="1"/>
      <c r="AG64" s="1"/>
      <c r="AH64" s="1"/>
      <c r="AI64" s="1"/>
      <c r="AJ64" s="1"/>
      <c r="AK64" s="1"/>
      <c r="AL64" s="1"/>
      <c r="AM64" s="1"/>
      <c r="AN64" s="1"/>
    </row>
    <row r="65" spans="31:40" ht="21">
      <c r="AE65" s="1"/>
      <c r="AG65" s="1"/>
      <c r="AH65" s="1"/>
      <c r="AI65" s="1"/>
      <c r="AJ65" s="1"/>
      <c r="AK65" s="1"/>
      <c r="AL65" s="1"/>
      <c r="AM65" s="1"/>
      <c r="AN65" s="1"/>
    </row>
    <row r="66" spans="31:40" ht="21">
      <c r="AE66" s="1"/>
      <c r="AG66" s="1"/>
      <c r="AH66" s="1"/>
      <c r="AI66" s="1"/>
      <c r="AJ66" s="1"/>
      <c r="AK66" s="1"/>
      <c r="AL66" s="1"/>
      <c r="AM66" s="1"/>
      <c r="AN66" s="1"/>
    </row>
    <row r="67" spans="31:40" ht="21">
      <c r="AE67" s="1"/>
      <c r="AG67" s="1"/>
      <c r="AH67" s="1"/>
      <c r="AI67" s="1"/>
      <c r="AJ67" s="1"/>
      <c r="AK67" s="1"/>
      <c r="AL67" s="1"/>
      <c r="AM67" s="1"/>
      <c r="AN67" s="1"/>
    </row>
    <row r="68" spans="31:40" ht="21">
      <c r="AE68" s="1"/>
      <c r="AG68" s="1"/>
      <c r="AH68" s="1"/>
      <c r="AI68" s="1"/>
      <c r="AJ68" s="1"/>
      <c r="AK68" s="1"/>
      <c r="AL68" s="1"/>
      <c r="AM68" s="1"/>
      <c r="AN68" s="1"/>
    </row>
    <row r="69" spans="31:40" ht="21">
      <c r="AE69" s="1"/>
      <c r="AG69" s="1"/>
      <c r="AH69" s="1"/>
      <c r="AI69" s="1"/>
      <c r="AJ69" s="1"/>
      <c r="AK69" s="1"/>
      <c r="AL69" s="1"/>
      <c r="AM69" s="1"/>
      <c r="AN69" s="1"/>
    </row>
    <row r="70" spans="31:40" ht="21">
      <c r="AE70" s="1"/>
      <c r="AG70" s="1"/>
      <c r="AH70" s="1"/>
      <c r="AI70" s="1"/>
      <c r="AJ70" s="1"/>
      <c r="AK70" s="1"/>
      <c r="AL70" s="1"/>
      <c r="AM70" s="1"/>
      <c r="AN70" s="1"/>
    </row>
    <row r="71" spans="31:40" ht="21">
      <c r="AE71" s="1"/>
      <c r="AG71" s="1"/>
      <c r="AH71" s="1"/>
      <c r="AI71" s="1"/>
      <c r="AJ71" s="1"/>
      <c r="AK71" s="1"/>
      <c r="AL71" s="1"/>
      <c r="AM71" s="1"/>
      <c r="AN71" s="1"/>
    </row>
    <row r="72" spans="31:40" ht="21">
      <c r="AE72" s="1"/>
      <c r="AG72" s="1"/>
      <c r="AH72" s="1"/>
      <c r="AI72" s="1"/>
      <c r="AJ72" s="1"/>
      <c r="AK72" s="1"/>
      <c r="AL72" s="1"/>
      <c r="AM72" s="1"/>
      <c r="AN72" s="1"/>
    </row>
    <row r="73" spans="31:40" ht="21">
      <c r="AE73" s="1"/>
      <c r="AG73" s="1"/>
      <c r="AH73" s="1"/>
      <c r="AI73" s="1"/>
      <c r="AJ73" s="1"/>
      <c r="AK73" s="1"/>
      <c r="AL73" s="1"/>
      <c r="AM73" s="1"/>
      <c r="AN73" s="1"/>
    </row>
    <row r="74" spans="31:40" ht="21">
      <c r="AE74" s="1"/>
      <c r="AG74" s="1"/>
      <c r="AH74" s="1"/>
      <c r="AI74" s="1"/>
      <c r="AJ74" s="1"/>
      <c r="AK74" s="1"/>
      <c r="AL74" s="1"/>
      <c r="AM74" s="1"/>
      <c r="AN74" s="1"/>
    </row>
    <row r="75" spans="31:40" ht="21">
      <c r="AE75" s="1"/>
      <c r="AG75" s="1"/>
      <c r="AH75" s="1"/>
      <c r="AI75" s="1"/>
      <c r="AJ75" s="1"/>
      <c r="AK75" s="1"/>
      <c r="AL75" s="1"/>
      <c r="AM75" s="1"/>
      <c r="AN75" s="1"/>
    </row>
    <row r="76" spans="31:40" ht="21">
      <c r="AE76" s="1"/>
      <c r="AG76" s="1"/>
      <c r="AH76" s="1"/>
      <c r="AI76" s="1"/>
      <c r="AJ76" s="1"/>
      <c r="AK76" s="1"/>
      <c r="AL76" s="1"/>
      <c r="AM76" s="1"/>
      <c r="AN76" s="1"/>
    </row>
    <row r="77" spans="31:40" ht="21">
      <c r="AE77" s="1"/>
      <c r="AG77" s="1"/>
      <c r="AH77" s="1"/>
      <c r="AI77" s="1"/>
      <c r="AJ77" s="1"/>
      <c r="AK77" s="1"/>
      <c r="AL77" s="1"/>
      <c r="AM77" s="1"/>
      <c r="AN77" s="1"/>
    </row>
    <row r="78" spans="31:40" ht="21">
      <c r="AE78" s="1"/>
      <c r="AG78" s="1"/>
      <c r="AH78" s="1"/>
      <c r="AI78" s="1"/>
      <c r="AJ78" s="1"/>
      <c r="AK78" s="1"/>
      <c r="AL78" s="1"/>
      <c r="AM78" s="1"/>
      <c r="AN78" s="1"/>
    </row>
    <row r="79" spans="31:40" ht="21">
      <c r="AE79" s="1"/>
      <c r="AG79" s="1"/>
      <c r="AH79" s="1"/>
      <c r="AI79" s="1"/>
      <c r="AJ79" s="1"/>
      <c r="AK79" s="1"/>
      <c r="AL79" s="1"/>
      <c r="AM79" s="1"/>
      <c r="AN79" s="1"/>
    </row>
    <row r="80" spans="31:40" ht="21">
      <c r="AE80" s="1"/>
      <c r="AG80" s="1"/>
      <c r="AH80" s="1"/>
      <c r="AI80" s="1"/>
      <c r="AJ80" s="1"/>
      <c r="AK80" s="1"/>
      <c r="AL80" s="1"/>
      <c r="AM80" s="1"/>
      <c r="AN80" s="1"/>
    </row>
    <row r="81" spans="31:40" ht="21">
      <c r="AE81" s="1"/>
      <c r="AG81" s="1"/>
      <c r="AH81" s="1"/>
      <c r="AI81" s="1"/>
      <c r="AJ81" s="1"/>
      <c r="AK81" s="1"/>
      <c r="AL81" s="1"/>
      <c r="AM81" s="1"/>
      <c r="AN81" s="1"/>
    </row>
    <row r="82" spans="31:40" ht="21">
      <c r="AE82" s="1"/>
      <c r="AG82" s="1"/>
      <c r="AH82" s="1"/>
      <c r="AI82" s="1"/>
      <c r="AJ82" s="1"/>
      <c r="AK82" s="1"/>
      <c r="AL82" s="1"/>
      <c r="AM82" s="1"/>
      <c r="AN82" s="1"/>
    </row>
    <row r="83" spans="31:40" ht="21">
      <c r="AE83" s="1"/>
      <c r="AG83" s="1"/>
      <c r="AH83" s="1"/>
      <c r="AI83" s="1"/>
      <c r="AJ83" s="1"/>
      <c r="AK83" s="1"/>
      <c r="AL83" s="1"/>
      <c r="AM83" s="1"/>
      <c r="AN83" s="1"/>
    </row>
    <row r="84" spans="31:40" ht="21">
      <c r="AE84" s="1"/>
      <c r="AG84" s="1"/>
      <c r="AH84" s="1"/>
      <c r="AI84" s="1"/>
      <c r="AJ84" s="1"/>
      <c r="AK84" s="1"/>
      <c r="AL84" s="1"/>
      <c r="AM84" s="1"/>
      <c r="AN84" s="1"/>
    </row>
    <row r="85" spans="31:40" ht="21">
      <c r="AE85" s="1"/>
      <c r="AG85" s="1"/>
      <c r="AH85" s="1"/>
      <c r="AI85" s="1"/>
      <c r="AJ85" s="1"/>
      <c r="AK85" s="1"/>
      <c r="AL85" s="1"/>
      <c r="AM85" s="1"/>
      <c r="AN85" s="1"/>
    </row>
    <row r="86" spans="31:40" ht="21">
      <c r="AE86" s="1"/>
      <c r="AG86" s="1"/>
      <c r="AH86" s="1"/>
      <c r="AI86" s="1"/>
      <c r="AJ86" s="1"/>
      <c r="AK86" s="1"/>
      <c r="AL86" s="1"/>
      <c r="AM86" s="1"/>
      <c r="AN86" s="1"/>
    </row>
    <row r="87" spans="31:40" ht="21">
      <c r="AE87" s="1"/>
      <c r="AG87" s="1"/>
      <c r="AH87" s="1"/>
      <c r="AI87" s="1"/>
      <c r="AJ87" s="1"/>
      <c r="AK87" s="1"/>
      <c r="AL87" s="1"/>
      <c r="AM87" s="1"/>
      <c r="AN87" s="1"/>
    </row>
    <row r="88" spans="31:40" ht="21">
      <c r="AE88" s="1"/>
      <c r="AG88" s="1"/>
      <c r="AH88" s="1"/>
      <c r="AI88" s="1"/>
      <c r="AJ88" s="1"/>
      <c r="AK88" s="1"/>
      <c r="AL88" s="1"/>
      <c r="AM88" s="1"/>
      <c r="AN88" s="1"/>
    </row>
    <row r="89" spans="31:40" ht="21">
      <c r="AE89" s="1"/>
      <c r="AG89" s="1"/>
      <c r="AH89" s="1"/>
      <c r="AI89" s="1"/>
      <c r="AJ89" s="1"/>
      <c r="AK89" s="1"/>
      <c r="AL89" s="1"/>
      <c r="AM89" s="1"/>
      <c r="AN89" s="1"/>
    </row>
    <row r="90" spans="31:40" ht="21">
      <c r="AE90" s="1"/>
      <c r="AG90" s="1"/>
      <c r="AH90" s="1"/>
      <c r="AI90" s="1"/>
      <c r="AJ90" s="1"/>
      <c r="AK90" s="1"/>
      <c r="AL90" s="1"/>
      <c r="AM90" s="1"/>
      <c r="AN90" s="1"/>
    </row>
    <row r="91" spans="31:40" ht="21">
      <c r="AE91" s="1"/>
      <c r="AG91" s="1"/>
      <c r="AH91" s="1"/>
      <c r="AI91" s="1"/>
      <c r="AJ91" s="1"/>
      <c r="AK91" s="1"/>
      <c r="AL91" s="1"/>
      <c r="AM91" s="1"/>
      <c r="AN91" s="1"/>
    </row>
    <row r="92" spans="31:40" ht="21">
      <c r="AE92" s="1"/>
      <c r="AG92" s="1"/>
      <c r="AH92" s="1"/>
      <c r="AI92" s="1"/>
      <c r="AJ92" s="1"/>
      <c r="AK92" s="1"/>
      <c r="AL92" s="1"/>
      <c r="AM92" s="1"/>
      <c r="AN92" s="1"/>
    </row>
    <row r="93" spans="31:40" ht="21">
      <c r="AE93" s="1"/>
      <c r="AG93" s="1"/>
      <c r="AH93" s="1"/>
      <c r="AI93" s="1"/>
      <c r="AJ93" s="1"/>
      <c r="AK93" s="1"/>
      <c r="AL93" s="1"/>
      <c r="AM93" s="1"/>
      <c r="AN93" s="1"/>
    </row>
    <row r="94" spans="31:40" ht="21">
      <c r="AE94" s="1"/>
      <c r="AG94" s="1"/>
      <c r="AH94" s="1"/>
      <c r="AI94" s="1"/>
      <c r="AJ94" s="1"/>
      <c r="AK94" s="1"/>
      <c r="AL94" s="1"/>
      <c r="AM94" s="1"/>
      <c r="AN94" s="1"/>
    </row>
    <row r="95" spans="31:40" ht="21">
      <c r="AE95" s="1"/>
      <c r="AG95" s="1"/>
      <c r="AH95" s="1"/>
      <c r="AI95" s="1"/>
      <c r="AJ95" s="1"/>
      <c r="AK95" s="1"/>
      <c r="AL95" s="1"/>
      <c r="AM95" s="1"/>
      <c r="AN95" s="1"/>
    </row>
    <row r="96" spans="31:40" ht="21">
      <c r="AE96" s="1"/>
      <c r="AG96" s="1"/>
      <c r="AH96" s="1"/>
      <c r="AI96" s="1"/>
      <c r="AJ96" s="1"/>
      <c r="AK96" s="1"/>
      <c r="AL96" s="1"/>
      <c r="AM96" s="1"/>
      <c r="AN96" s="1"/>
    </row>
    <row r="97" spans="31:40" ht="21">
      <c r="AE97" s="1"/>
      <c r="AG97" s="1"/>
      <c r="AH97" s="1"/>
      <c r="AI97" s="1"/>
      <c r="AJ97" s="1"/>
      <c r="AK97" s="1"/>
      <c r="AL97" s="1"/>
      <c r="AM97" s="1"/>
      <c r="AN97" s="1"/>
    </row>
    <row r="98" spans="31:40" ht="21">
      <c r="AE98" s="1"/>
      <c r="AG98" s="1"/>
      <c r="AH98" s="1"/>
      <c r="AI98" s="1"/>
      <c r="AJ98" s="1"/>
      <c r="AK98" s="1"/>
      <c r="AL98" s="1"/>
      <c r="AM98" s="1"/>
      <c r="AN98" s="1"/>
    </row>
    <row r="99" spans="31:40" ht="21">
      <c r="AE99" s="1"/>
      <c r="AG99" s="1"/>
      <c r="AH99" s="1"/>
      <c r="AI99" s="1"/>
      <c r="AJ99" s="1"/>
      <c r="AK99" s="1"/>
      <c r="AL99" s="1"/>
      <c r="AM99" s="1"/>
      <c r="AN99" s="1"/>
    </row>
    <row r="100" spans="31:40" ht="21">
      <c r="AE100" s="1"/>
      <c r="AG100" s="1"/>
      <c r="AH100" s="1"/>
      <c r="AI100" s="1"/>
      <c r="AJ100" s="1"/>
      <c r="AK100" s="1"/>
      <c r="AL100" s="1"/>
      <c r="AM100" s="1"/>
      <c r="AN100" s="1"/>
    </row>
    <row r="101" spans="31:40" ht="21">
      <c r="AE101" s="1"/>
      <c r="AG101" s="1"/>
      <c r="AH101" s="1"/>
      <c r="AI101" s="1"/>
      <c r="AJ101" s="1"/>
      <c r="AK101" s="1"/>
      <c r="AL101" s="1"/>
      <c r="AM101" s="1"/>
      <c r="AN101" s="1"/>
    </row>
    <row r="102" spans="31:40" ht="21">
      <c r="AE102" s="1"/>
      <c r="AG102" s="1"/>
      <c r="AH102" s="1"/>
      <c r="AI102" s="1"/>
      <c r="AJ102" s="1"/>
      <c r="AK102" s="1"/>
      <c r="AL102" s="1"/>
      <c r="AM102" s="1"/>
      <c r="AN102" s="1"/>
    </row>
    <row r="103" spans="31:40" ht="21">
      <c r="AE103" s="1"/>
      <c r="AG103" s="1"/>
      <c r="AH103" s="1"/>
      <c r="AI103" s="1"/>
      <c r="AJ103" s="1"/>
      <c r="AK103" s="1"/>
      <c r="AL103" s="1"/>
      <c r="AM103" s="1"/>
      <c r="AN103" s="1"/>
    </row>
    <row r="104" spans="31:40" ht="21">
      <c r="AE104" s="1"/>
      <c r="AG104" s="1"/>
      <c r="AH104" s="1"/>
      <c r="AI104" s="1"/>
      <c r="AJ104" s="1"/>
      <c r="AK104" s="1"/>
      <c r="AL104" s="1"/>
      <c r="AM104" s="1"/>
      <c r="AN104" s="1"/>
    </row>
    <row r="105" spans="31:40" ht="21">
      <c r="AE105" s="1"/>
      <c r="AG105" s="1"/>
      <c r="AH105" s="1"/>
      <c r="AI105" s="1"/>
      <c r="AJ105" s="1"/>
      <c r="AK105" s="1"/>
      <c r="AL105" s="1"/>
      <c r="AM105" s="1"/>
      <c r="AN105" s="1"/>
    </row>
    <row r="106" spans="31:40" ht="21">
      <c r="AE106" s="1"/>
      <c r="AG106" s="1"/>
      <c r="AH106" s="1"/>
      <c r="AI106" s="1"/>
      <c r="AJ106" s="1"/>
      <c r="AK106" s="1"/>
      <c r="AL106" s="1"/>
      <c r="AM106" s="1"/>
      <c r="AN106" s="1"/>
    </row>
    <row r="107" spans="31:40" ht="21">
      <c r="AE107" s="1"/>
      <c r="AG107" s="1"/>
      <c r="AH107" s="1"/>
      <c r="AI107" s="1"/>
      <c r="AJ107" s="1"/>
      <c r="AK107" s="1"/>
      <c r="AL107" s="1"/>
      <c r="AM107" s="1"/>
      <c r="AN107" s="1"/>
    </row>
    <row r="108" spans="31:40" ht="21">
      <c r="AE108" s="1"/>
      <c r="AG108" s="1"/>
      <c r="AH108" s="1"/>
      <c r="AI108" s="1"/>
      <c r="AJ108" s="1"/>
      <c r="AK108" s="1"/>
      <c r="AL108" s="1"/>
      <c r="AM108" s="1"/>
      <c r="AN108" s="1"/>
    </row>
    <row r="109" spans="31:40" ht="21">
      <c r="AE109" s="1"/>
      <c r="AG109" s="1"/>
      <c r="AH109" s="1"/>
      <c r="AI109" s="1"/>
      <c r="AJ109" s="1"/>
      <c r="AK109" s="1"/>
      <c r="AL109" s="1"/>
      <c r="AM109" s="1"/>
      <c r="AN109" s="1"/>
    </row>
    <row r="110" spans="31:40" ht="21">
      <c r="AE110" s="1"/>
      <c r="AG110" s="1"/>
      <c r="AH110" s="1"/>
      <c r="AI110" s="1"/>
      <c r="AJ110" s="1"/>
      <c r="AK110" s="1"/>
      <c r="AL110" s="1"/>
      <c r="AM110" s="1"/>
      <c r="AN110" s="1"/>
    </row>
    <row r="111" spans="31:40" ht="21">
      <c r="AE111" s="1"/>
      <c r="AG111" s="1"/>
      <c r="AH111" s="1"/>
      <c r="AI111" s="1"/>
      <c r="AJ111" s="1"/>
      <c r="AK111" s="1"/>
      <c r="AL111" s="1"/>
      <c r="AM111" s="1"/>
      <c r="AN111" s="1"/>
    </row>
    <row r="112" spans="31:40" ht="21">
      <c r="AE112" s="1"/>
      <c r="AG112" s="1"/>
      <c r="AH112" s="1"/>
      <c r="AI112" s="1"/>
      <c r="AJ112" s="1"/>
      <c r="AK112" s="1"/>
      <c r="AL112" s="1"/>
      <c r="AM112" s="1"/>
      <c r="AN112" s="1"/>
    </row>
    <row r="113" spans="31:40" ht="21">
      <c r="AE113" s="1"/>
      <c r="AG113" s="1"/>
      <c r="AH113" s="1"/>
      <c r="AI113" s="1"/>
      <c r="AJ113" s="1"/>
      <c r="AK113" s="1"/>
      <c r="AL113" s="1"/>
      <c r="AM113" s="1"/>
      <c r="AN113" s="1"/>
    </row>
    <row r="114" spans="31:40" ht="21">
      <c r="AE114" s="1"/>
      <c r="AG114" s="1"/>
      <c r="AH114" s="1"/>
      <c r="AI114" s="1"/>
      <c r="AJ114" s="1"/>
      <c r="AK114" s="1"/>
      <c r="AL114" s="1"/>
      <c r="AM114" s="1"/>
      <c r="AN114" s="1"/>
    </row>
    <row r="115" spans="31:40" ht="21">
      <c r="AE115" s="1"/>
      <c r="AG115" s="1"/>
      <c r="AH115" s="1"/>
      <c r="AI115" s="1"/>
      <c r="AJ115" s="1"/>
      <c r="AK115" s="1"/>
      <c r="AL115" s="1"/>
      <c r="AM115" s="1"/>
      <c r="AN115" s="1"/>
    </row>
    <row r="116" spans="31:40" ht="21">
      <c r="AE116" s="1"/>
      <c r="AG116" s="1"/>
      <c r="AH116" s="1"/>
      <c r="AI116" s="1"/>
      <c r="AJ116" s="1"/>
      <c r="AK116" s="1"/>
      <c r="AL116" s="1"/>
      <c r="AM116" s="1"/>
      <c r="AN116" s="1"/>
    </row>
    <row r="117" spans="31:40" ht="21">
      <c r="AE117" s="1"/>
      <c r="AG117" s="1"/>
      <c r="AH117" s="1"/>
      <c r="AI117" s="1"/>
      <c r="AJ117" s="1"/>
      <c r="AK117" s="1"/>
      <c r="AL117" s="1"/>
      <c r="AM117" s="1"/>
      <c r="AN117" s="1"/>
    </row>
    <row r="118" spans="31:40" ht="21">
      <c r="AE118" s="1"/>
      <c r="AG118" s="1"/>
      <c r="AH118" s="1"/>
      <c r="AI118" s="1"/>
      <c r="AJ118" s="1"/>
      <c r="AK118" s="1"/>
      <c r="AL118" s="1"/>
      <c r="AM118" s="1"/>
      <c r="AN118" s="1"/>
    </row>
    <row r="119" spans="31:40" ht="21">
      <c r="AE119" s="1"/>
      <c r="AG119" s="1"/>
      <c r="AH119" s="1"/>
      <c r="AI119" s="1"/>
      <c r="AJ119" s="1"/>
      <c r="AK119" s="1"/>
      <c r="AL119" s="1"/>
      <c r="AM119" s="1"/>
      <c r="AN119" s="1"/>
    </row>
    <row r="120" spans="31:40" ht="21">
      <c r="AE120" s="1"/>
      <c r="AG120" s="1"/>
      <c r="AH120" s="1"/>
      <c r="AI120" s="1"/>
      <c r="AJ120" s="1"/>
      <c r="AK120" s="1"/>
      <c r="AL120" s="1"/>
      <c r="AM120" s="1"/>
      <c r="AN120" s="1"/>
    </row>
    <row r="121" spans="31:40" ht="21">
      <c r="AE121" s="1"/>
      <c r="AG121" s="1"/>
      <c r="AH121" s="1"/>
      <c r="AI121" s="1"/>
      <c r="AJ121" s="1"/>
      <c r="AK121" s="1"/>
      <c r="AL121" s="1"/>
      <c r="AM121" s="1"/>
      <c r="AN121" s="1"/>
    </row>
    <row r="122" spans="31:40" ht="21">
      <c r="AE122" s="1"/>
      <c r="AG122" s="1"/>
      <c r="AH122" s="1"/>
      <c r="AI122" s="1"/>
      <c r="AJ122" s="1"/>
      <c r="AK122" s="1"/>
      <c r="AL122" s="1"/>
      <c r="AM122" s="1"/>
      <c r="AN122" s="1"/>
    </row>
    <row r="123" spans="31:40" ht="21">
      <c r="AE123" s="1"/>
      <c r="AG123" s="1"/>
      <c r="AH123" s="1"/>
      <c r="AI123" s="1"/>
      <c r="AJ123" s="1"/>
      <c r="AK123" s="1"/>
      <c r="AL123" s="1"/>
      <c r="AM123" s="1"/>
      <c r="AN123" s="1"/>
    </row>
    <row r="124" spans="31:40" ht="21">
      <c r="AE124" s="1"/>
      <c r="AG124" s="1"/>
      <c r="AH124" s="1"/>
      <c r="AI124" s="1"/>
      <c r="AJ124" s="1"/>
      <c r="AK124" s="1"/>
      <c r="AL124" s="1"/>
      <c r="AM124" s="1"/>
      <c r="AN124" s="1"/>
    </row>
    <row r="125" spans="31:40" ht="21">
      <c r="AE125" s="1"/>
      <c r="AG125" s="1"/>
      <c r="AH125" s="1"/>
      <c r="AI125" s="1"/>
      <c r="AJ125" s="1"/>
      <c r="AK125" s="1"/>
      <c r="AL125" s="1"/>
      <c r="AM125" s="1"/>
      <c r="AN125" s="1"/>
    </row>
    <row r="126" spans="31:40" ht="21">
      <c r="AE126" s="1"/>
      <c r="AG126" s="1"/>
      <c r="AH126" s="1"/>
      <c r="AI126" s="1"/>
      <c r="AJ126" s="1"/>
      <c r="AK126" s="1"/>
      <c r="AL126" s="1"/>
      <c r="AM126" s="1"/>
      <c r="AN126" s="1"/>
    </row>
    <row r="127" spans="31:40" ht="21">
      <c r="AE127" s="1"/>
      <c r="AG127" s="1"/>
      <c r="AH127" s="1"/>
      <c r="AI127" s="1"/>
      <c r="AJ127" s="1"/>
      <c r="AK127" s="1"/>
      <c r="AL127" s="1"/>
      <c r="AM127" s="1"/>
      <c r="AN127" s="1"/>
    </row>
    <row r="128" spans="31:40" ht="21">
      <c r="AE128" s="1"/>
      <c r="AG128" s="1"/>
      <c r="AH128" s="1"/>
      <c r="AI128" s="1"/>
      <c r="AJ128" s="1"/>
      <c r="AK128" s="1"/>
      <c r="AL128" s="1"/>
      <c r="AM128" s="1"/>
      <c r="AN128" s="1"/>
    </row>
    <row r="129" spans="31:40" ht="21">
      <c r="AE129" s="1"/>
      <c r="AG129" s="1"/>
      <c r="AH129" s="1"/>
      <c r="AI129" s="1"/>
      <c r="AJ129" s="1"/>
      <c r="AK129" s="1"/>
      <c r="AL129" s="1"/>
      <c r="AM129" s="1"/>
      <c r="AN129" s="1"/>
    </row>
    <row r="130" spans="31:40" ht="21">
      <c r="AE130" s="1"/>
      <c r="AG130" s="1"/>
      <c r="AH130" s="1"/>
      <c r="AI130" s="1"/>
      <c r="AJ130" s="1"/>
      <c r="AK130" s="1"/>
      <c r="AL130" s="1"/>
      <c r="AM130" s="1"/>
      <c r="AN130" s="1"/>
    </row>
    <row r="131" spans="31:40" ht="21">
      <c r="AE131" s="1"/>
      <c r="AG131" s="1"/>
      <c r="AH131" s="1"/>
      <c r="AI131" s="1"/>
      <c r="AJ131" s="1"/>
      <c r="AK131" s="1"/>
      <c r="AL131" s="1"/>
      <c r="AM131" s="1"/>
      <c r="AN131" s="1"/>
    </row>
    <row r="132" spans="31:40" ht="21">
      <c r="AE132" s="1"/>
      <c r="AG132" s="1"/>
      <c r="AH132" s="1"/>
      <c r="AI132" s="1"/>
      <c r="AJ132" s="1"/>
      <c r="AK132" s="1"/>
      <c r="AL132" s="1"/>
      <c r="AM132" s="1"/>
      <c r="AN132" s="1"/>
    </row>
    <row r="133" spans="31:40" ht="21">
      <c r="AE133" s="1"/>
      <c r="AG133" s="1"/>
      <c r="AH133" s="1"/>
      <c r="AI133" s="1"/>
      <c r="AJ133" s="1"/>
      <c r="AK133" s="1"/>
      <c r="AL133" s="1"/>
      <c r="AM133" s="1"/>
      <c r="AN133" s="1"/>
    </row>
    <row r="134" spans="31:40" ht="21">
      <c r="AE134" s="1"/>
      <c r="AG134" s="1"/>
      <c r="AH134" s="1"/>
      <c r="AI134" s="1"/>
      <c r="AJ134" s="1"/>
      <c r="AK134" s="1"/>
      <c r="AL134" s="1"/>
      <c r="AM134" s="1"/>
      <c r="AN134" s="1"/>
    </row>
    <row r="135" spans="31:40" ht="21">
      <c r="AE135" s="1"/>
      <c r="AG135" s="1"/>
      <c r="AH135" s="1"/>
      <c r="AI135" s="1"/>
      <c r="AJ135" s="1"/>
      <c r="AK135" s="1"/>
      <c r="AL135" s="1"/>
      <c r="AM135" s="1"/>
      <c r="AN135" s="1"/>
    </row>
    <row r="136" spans="31:40" ht="21">
      <c r="AE136" s="1"/>
      <c r="AG136" s="1"/>
      <c r="AH136" s="1"/>
      <c r="AI136" s="1"/>
      <c r="AJ136" s="1"/>
      <c r="AK136" s="1"/>
      <c r="AL136" s="1"/>
      <c r="AM136" s="1"/>
      <c r="AN136" s="1"/>
    </row>
    <row r="137" spans="31:40" ht="21">
      <c r="AE137" s="1"/>
      <c r="AG137" s="1"/>
      <c r="AH137" s="1"/>
      <c r="AI137" s="1"/>
      <c r="AJ137" s="1"/>
      <c r="AK137" s="1"/>
      <c r="AL137" s="1"/>
      <c r="AM137" s="1"/>
      <c r="AN137" s="1"/>
    </row>
    <row r="138" spans="31:40" ht="21">
      <c r="AE138" s="1"/>
      <c r="AG138" s="1"/>
      <c r="AH138" s="1"/>
      <c r="AI138" s="1"/>
      <c r="AJ138" s="1"/>
      <c r="AK138" s="1"/>
      <c r="AL138" s="1"/>
      <c r="AM138" s="1"/>
      <c r="AN138" s="1"/>
    </row>
    <row r="139" spans="31:40" ht="21">
      <c r="AE139" s="1"/>
      <c r="AG139" s="1"/>
      <c r="AH139" s="1"/>
      <c r="AI139" s="1"/>
      <c r="AJ139" s="1"/>
      <c r="AK139" s="1"/>
      <c r="AL139" s="1"/>
      <c r="AM139" s="1"/>
      <c r="AN139" s="1"/>
    </row>
    <row r="140" spans="31:40" ht="21">
      <c r="AE140" s="1"/>
      <c r="AG140" s="1"/>
      <c r="AH140" s="1"/>
      <c r="AI140" s="1"/>
      <c r="AJ140" s="1"/>
      <c r="AK140" s="1"/>
      <c r="AL140" s="1"/>
      <c r="AM140" s="1"/>
      <c r="AN140" s="1"/>
    </row>
    <row r="141" spans="31:40" ht="21">
      <c r="AE141" s="1"/>
      <c r="AG141" s="1"/>
      <c r="AH141" s="1"/>
      <c r="AI141" s="1"/>
      <c r="AJ141" s="1"/>
      <c r="AK141" s="1"/>
      <c r="AL141" s="1"/>
      <c r="AM141" s="1"/>
      <c r="AN141" s="1"/>
    </row>
    <row r="142" spans="31:40" ht="21">
      <c r="AE142" s="1"/>
      <c r="AG142" s="1"/>
      <c r="AH142" s="1"/>
      <c r="AI142" s="1"/>
      <c r="AJ142" s="1"/>
      <c r="AK142" s="1"/>
      <c r="AL142" s="1"/>
      <c r="AM142" s="1"/>
      <c r="AN142" s="1"/>
    </row>
    <row r="143" spans="31:40" ht="21">
      <c r="AE143" s="1"/>
      <c r="AG143" s="1"/>
      <c r="AH143" s="1"/>
      <c r="AI143" s="1"/>
      <c r="AJ143" s="1"/>
      <c r="AK143" s="1"/>
      <c r="AL143" s="1"/>
      <c r="AM143" s="1"/>
      <c r="AN143" s="1"/>
    </row>
    <row r="144" spans="31:40" ht="21">
      <c r="AE144" s="1"/>
      <c r="AG144" s="1"/>
      <c r="AH144" s="1"/>
      <c r="AI144" s="1"/>
      <c r="AJ144" s="1"/>
      <c r="AK144" s="1"/>
      <c r="AL144" s="1"/>
      <c r="AM144" s="1"/>
      <c r="AN144" s="1"/>
    </row>
    <row r="145" spans="31:40" ht="21">
      <c r="AE145" s="1"/>
      <c r="AG145" s="1"/>
      <c r="AH145" s="1"/>
      <c r="AI145" s="1"/>
      <c r="AJ145" s="1"/>
      <c r="AK145" s="1"/>
      <c r="AL145" s="1"/>
      <c r="AM145" s="1"/>
      <c r="AN145" s="1"/>
    </row>
    <row r="146" spans="31:40" ht="21">
      <c r="AE146" s="1"/>
      <c r="AG146" s="1"/>
      <c r="AH146" s="1"/>
      <c r="AI146" s="1"/>
      <c r="AJ146" s="1"/>
      <c r="AK146" s="1"/>
      <c r="AL146" s="1"/>
      <c r="AM146" s="1"/>
      <c r="AN146" s="1"/>
    </row>
    <row r="147" spans="31:40" ht="21">
      <c r="AE147" s="1"/>
      <c r="AG147" s="1"/>
      <c r="AH147" s="1"/>
      <c r="AI147" s="1"/>
      <c r="AJ147" s="1"/>
      <c r="AK147" s="1"/>
      <c r="AL147" s="1"/>
      <c r="AM147" s="1"/>
      <c r="AN147" s="1"/>
    </row>
    <row r="148" spans="31:40" ht="21">
      <c r="AE148" s="1"/>
      <c r="AG148" s="1"/>
      <c r="AH148" s="1"/>
      <c r="AI148" s="1"/>
      <c r="AJ148" s="1"/>
      <c r="AK148" s="1"/>
      <c r="AL148" s="1"/>
      <c r="AM148" s="1"/>
      <c r="AN148" s="1"/>
    </row>
    <row r="149" spans="31:40" ht="21">
      <c r="AE149" s="1"/>
      <c r="AG149" s="1"/>
      <c r="AH149" s="1"/>
      <c r="AI149" s="1"/>
      <c r="AJ149" s="1"/>
      <c r="AK149" s="1"/>
      <c r="AL149" s="1"/>
      <c r="AM149" s="1"/>
      <c r="AN149" s="1"/>
    </row>
    <row r="150" spans="31:40" ht="21">
      <c r="AE150" s="1"/>
      <c r="AG150" s="1"/>
      <c r="AH150" s="1"/>
      <c r="AI150" s="1"/>
      <c r="AJ150" s="1"/>
      <c r="AK150" s="1"/>
      <c r="AL150" s="1"/>
      <c r="AM150" s="1"/>
      <c r="AN150" s="1"/>
    </row>
    <row r="151" spans="31:40" ht="21">
      <c r="AE151" s="1"/>
      <c r="AG151" s="1"/>
      <c r="AH151" s="1"/>
      <c r="AI151" s="1"/>
      <c r="AJ151" s="1"/>
      <c r="AK151" s="1"/>
      <c r="AL151" s="1"/>
      <c r="AM151" s="1"/>
      <c r="AN151" s="1"/>
    </row>
    <row r="152" spans="31:40" ht="21">
      <c r="AE152" s="1"/>
      <c r="AG152" s="1"/>
      <c r="AH152" s="1"/>
      <c r="AI152" s="1"/>
      <c r="AJ152" s="1"/>
      <c r="AK152" s="1"/>
      <c r="AL152" s="1"/>
      <c r="AM152" s="1"/>
      <c r="AN152" s="1"/>
    </row>
    <row r="153" spans="31:40" ht="21">
      <c r="AE153" s="1"/>
      <c r="AG153" s="1"/>
      <c r="AH153" s="1"/>
      <c r="AI153" s="1"/>
      <c r="AJ153" s="1"/>
      <c r="AK153" s="1"/>
      <c r="AL153" s="1"/>
      <c r="AM153" s="1"/>
      <c r="AN153" s="1"/>
    </row>
    <row r="154" spans="31:40" ht="21">
      <c r="AE154" s="1"/>
      <c r="AG154" s="1"/>
      <c r="AH154" s="1"/>
      <c r="AI154" s="1"/>
      <c r="AJ154" s="1"/>
      <c r="AK154" s="1"/>
      <c r="AL154" s="1"/>
      <c r="AM154" s="1"/>
      <c r="AN154" s="1"/>
    </row>
    <row r="155" spans="31:40" ht="21">
      <c r="AE155" s="1"/>
      <c r="AG155" s="1"/>
      <c r="AH155" s="1"/>
      <c r="AI155" s="1"/>
      <c r="AJ155" s="1"/>
      <c r="AK155" s="1"/>
      <c r="AL155" s="1"/>
      <c r="AM155" s="1"/>
      <c r="AN155" s="1"/>
    </row>
    <row r="156" spans="31:40" ht="21">
      <c r="AE156" s="1"/>
      <c r="AG156" s="1"/>
      <c r="AH156" s="1"/>
      <c r="AI156" s="1"/>
      <c r="AJ156" s="1"/>
      <c r="AK156" s="1"/>
      <c r="AL156" s="1"/>
      <c r="AM156" s="1"/>
      <c r="AN156" s="1"/>
    </row>
    <row r="157" spans="31:40" ht="21">
      <c r="AE157" s="1"/>
      <c r="AG157" s="1"/>
      <c r="AH157" s="1"/>
      <c r="AI157" s="1"/>
      <c r="AJ157" s="1"/>
      <c r="AK157" s="1"/>
      <c r="AL157" s="1"/>
      <c r="AM157" s="1"/>
      <c r="AN157" s="1"/>
    </row>
    <row r="158" spans="31:40" ht="21">
      <c r="AE158" s="1"/>
      <c r="AG158" s="1"/>
      <c r="AH158" s="1"/>
      <c r="AI158" s="1"/>
      <c r="AJ158" s="1"/>
      <c r="AK158" s="1"/>
      <c r="AL158" s="1"/>
      <c r="AM158" s="1"/>
      <c r="AN158" s="1"/>
    </row>
    <row r="159" spans="31:40" ht="21">
      <c r="AE159" s="1"/>
      <c r="AG159" s="1"/>
      <c r="AH159" s="1"/>
      <c r="AI159" s="1"/>
      <c r="AJ159" s="1"/>
      <c r="AK159" s="1"/>
      <c r="AL159" s="1"/>
      <c r="AM159" s="1"/>
      <c r="AN159" s="1"/>
    </row>
    <row r="160" spans="31:40" ht="21">
      <c r="AE160" s="1"/>
      <c r="AG160" s="1"/>
      <c r="AH160" s="1"/>
      <c r="AI160" s="1"/>
      <c r="AJ160" s="1"/>
      <c r="AK160" s="1"/>
      <c r="AL160" s="1"/>
      <c r="AM160" s="1"/>
      <c r="AN160" s="1"/>
    </row>
    <row r="161" spans="31:40" ht="21">
      <c r="AE161" s="1"/>
      <c r="AG161" s="1"/>
      <c r="AH161" s="1"/>
      <c r="AI161" s="1"/>
      <c r="AJ161" s="1"/>
      <c r="AK161" s="1"/>
      <c r="AL161" s="1"/>
      <c r="AM161" s="1"/>
      <c r="AN161" s="1"/>
    </row>
    <row r="162" spans="31:40" ht="21">
      <c r="AE162" s="1"/>
      <c r="AG162" s="1"/>
      <c r="AH162" s="1"/>
      <c r="AI162" s="1"/>
      <c r="AJ162" s="1"/>
      <c r="AK162" s="1"/>
      <c r="AL162" s="1"/>
      <c r="AM162" s="1"/>
      <c r="AN162" s="1"/>
    </row>
    <row r="163" spans="31:40" ht="21">
      <c r="AE163" s="1"/>
      <c r="AG163" s="1"/>
      <c r="AH163" s="1"/>
      <c r="AI163" s="1"/>
      <c r="AJ163" s="1"/>
      <c r="AK163" s="1"/>
      <c r="AL163" s="1"/>
      <c r="AM163" s="1"/>
      <c r="AN163" s="1"/>
    </row>
    <row r="164" spans="31:40" ht="21">
      <c r="AE164" s="1"/>
      <c r="AG164" s="1"/>
      <c r="AH164" s="1"/>
      <c r="AI164" s="1"/>
      <c r="AJ164" s="1"/>
      <c r="AK164" s="1"/>
      <c r="AL164" s="1"/>
      <c r="AM164" s="1"/>
      <c r="AN164" s="1"/>
    </row>
    <row r="165" spans="31:40" ht="21">
      <c r="AE165" s="1"/>
      <c r="AG165" s="1"/>
      <c r="AH165" s="1"/>
      <c r="AI165" s="1"/>
      <c r="AJ165" s="1"/>
      <c r="AK165" s="1"/>
      <c r="AL165" s="1"/>
      <c r="AM165" s="1"/>
      <c r="AN165" s="1"/>
    </row>
    <row r="166" spans="31:40" ht="21">
      <c r="AE166" s="1"/>
      <c r="AG166" s="1"/>
      <c r="AH166" s="1"/>
      <c r="AI166" s="1"/>
      <c r="AJ166" s="1"/>
      <c r="AK166" s="1"/>
      <c r="AL166" s="1"/>
      <c r="AM166" s="1"/>
      <c r="AN166" s="1"/>
    </row>
    <row r="167" spans="31:40" ht="21">
      <c r="AE167" s="1"/>
      <c r="AG167" s="1"/>
      <c r="AH167" s="1"/>
      <c r="AI167" s="1"/>
      <c r="AJ167" s="1"/>
      <c r="AK167" s="1"/>
      <c r="AL167" s="1"/>
      <c r="AM167" s="1"/>
      <c r="AN167" s="1"/>
    </row>
    <row r="168" spans="31:40" ht="21">
      <c r="AE168" s="1"/>
      <c r="AG168" s="1"/>
      <c r="AH168" s="1"/>
      <c r="AI168" s="1"/>
      <c r="AJ168" s="1"/>
      <c r="AK168" s="1"/>
      <c r="AL168" s="1"/>
      <c r="AM168" s="1"/>
      <c r="AN168" s="1"/>
    </row>
    <row r="169" spans="31:40" ht="21">
      <c r="AE169" s="1"/>
      <c r="AG169" s="1"/>
      <c r="AH169" s="1"/>
      <c r="AI169" s="1"/>
      <c r="AJ169" s="1"/>
      <c r="AK169" s="1"/>
      <c r="AL169" s="1"/>
      <c r="AM169" s="1"/>
      <c r="AN169" s="1"/>
    </row>
    <row r="170" spans="31:40" ht="21">
      <c r="AE170" s="1"/>
      <c r="AG170" s="1"/>
      <c r="AH170" s="1"/>
      <c r="AI170" s="1"/>
      <c r="AJ170" s="1"/>
      <c r="AK170" s="1"/>
      <c r="AL170" s="1"/>
      <c r="AM170" s="1"/>
      <c r="AN170" s="1"/>
    </row>
    <row r="171" spans="31:40" ht="21">
      <c r="AE171" s="1"/>
      <c r="AG171" s="1"/>
      <c r="AH171" s="1"/>
      <c r="AI171" s="1"/>
      <c r="AJ171" s="1"/>
      <c r="AK171" s="1"/>
      <c r="AL171" s="1"/>
      <c r="AM171" s="1"/>
      <c r="AN171" s="1"/>
    </row>
    <row r="172" spans="31:40" ht="21">
      <c r="AE172" s="1"/>
      <c r="AG172" s="1"/>
      <c r="AH172" s="1"/>
      <c r="AI172" s="1"/>
      <c r="AJ172" s="1"/>
      <c r="AK172" s="1"/>
      <c r="AL172" s="1"/>
      <c r="AM172" s="1"/>
      <c r="AN172" s="1"/>
    </row>
    <row r="173" spans="31:40" ht="21">
      <c r="AE173" s="1"/>
      <c r="AG173" s="1"/>
      <c r="AH173" s="1"/>
      <c r="AI173" s="1"/>
      <c r="AJ173" s="1"/>
      <c r="AK173" s="1"/>
      <c r="AL173" s="1"/>
      <c r="AM173" s="1"/>
      <c r="AN173" s="1"/>
    </row>
    <row r="174" spans="31:40" ht="21">
      <c r="AE174" s="1"/>
      <c r="AG174" s="1"/>
      <c r="AH174" s="1"/>
      <c r="AI174" s="1"/>
      <c r="AJ174" s="1"/>
      <c r="AK174" s="1"/>
      <c r="AL174" s="1"/>
      <c r="AM174" s="1"/>
      <c r="AN174" s="1"/>
    </row>
    <row r="175" spans="31:40" ht="21">
      <c r="AE175" s="1"/>
      <c r="AG175" s="1"/>
      <c r="AH175" s="1"/>
      <c r="AI175" s="1"/>
      <c r="AJ175" s="1"/>
      <c r="AK175" s="1"/>
      <c r="AL175" s="1"/>
      <c r="AM175" s="1"/>
      <c r="AN175" s="1"/>
    </row>
    <row r="176" spans="31:40" ht="21">
      <c r="AE176" s="1"/>
      <c r="AG176" s="1"/>
      <c r="AH176" s="1"/>
      <c r="AI176" s="1"/>
      <c r="AJ176" s="1"/>
      <c r="AK176" s="1"/>
      <c r="AL176" s="1"/>
      <c r="AM176" s="1"/>
      <c r="AN176" s="1"/>
    </row>
    <row r="177" spans="31:40" ht="21">
      <c r="AE177" s="1"/>
      <c r="AG177" s="1"/>
      <c r="AH177" s="1"/>
      <c r="AI177" s="1"/>
      <c r="AJ177" s="1"/>
      <c r="AK177" s="1"/>
      <c r="AL177" s="1"/>
      <c r="AM177" s="1"/>
      <c r="AN177" s="1"/>
    </row>
    <row r="178" spans="31:40" ht="21">
      <c r="AE178" s="1"/>
      <c r="AG178" s="1"/>
      <c r="AH178" s="1"/>
      <c r="AI178" s="1"/>
      <c r="AJ178" s="1"/>
      <c r="AK178" s="1"/>
      <c r="AL178" s="1"/>
      <c r="AM178" s="1"/>
      <c r="AN178" s="1"/>
    </row>
    <row r="179" spans="31:40" ht="21">
      <c r="AE179" s="1"/>
      <c r="AG179" s="1"/>
      <c r="AH179" s="1"/>
      <c r="AI179" s="1"/>
      <c r="AJ179" s="1"/>
      <c r="AK179" s="1"/>
      <c r="AL179" s="1"/>
      <c r="AM179" s="1"/>
      <c r="AN179" s="1"/>
    </row>
    <row r="180" spans="31:40" ht="21">
      <c r="AE180" s="1"/>
      <c r="AG180" s="1"/>
      <c r="AH180" s="1"/>
      <c r="AI180" s="1"/>
      <c r="AJ180" s="1"/>
      <c r="AK180" s="1"/>
      <c r="AL180" s="1"/>
      <c r="AM180" s="1"/>
      <c r="AN180" s="1"/>
    </row>
    <row r="181" spans="31:40" ht="21">
      <c r="AE181" s="1"/>
      <c r="AG181" s="1"/>
      <c r="AH181" s="1"/>
      <c r="AI181" s="1"/>
      <c r="AJ181" s="1"/>
      <c r="AK181" s="1"/>
      <c r="AL181" s="1"/>
      <c r="AM181" s="1"/>
      <c r="AN181" s="1"/>
    </row>
    <row r="182" spans="31:40" ht="21">
      <c r="AE182" s="1"/>
      <c r="AG182" s="1"/>
      <c r="AH182" s="1"/>
      <c r="AI182" s="1"/>
      <c r="AJ182" s="1"/>
      <c r="AK182" s="1"/>
      <c r="AL182" s="1"/>
      <c r="AM182" s="1"/>
      <c r="AN182" s="1"/>
    </row>
    <row r="183" spans="31:40" ht="21">
      <c r="AE183" s="1"/>
      <c r="AG183" s="1"/>
      <c r="AH183" s="1"/>
      <c r="AI183" s="1"/>
      <c r="AJ183" s="1"/>
      <c r="AK183" s="1"/>
      <c r="AL183" s="1"/>
      <c r="AM183" s="1"/>
      <c r="AN183" s="1"/>
    </row>
    <row r="184" spans="31:40" ht="21">
      <c r="AE184" s="1"/>
      <c r="AG184" s="1"/>
      <c r="AH184" s="1"/>
      <c r="AI184" s="1"/>
      <c r="AJ184" s="1"/>
      <c r="AK184" s="1"/>
      <c r="AL184" s="1"/>
      <c r="AM184" s="1"/>
      <c r="AN184" s="1"/>
    </row>
    <row r="185" spans="31:40" ht="21">
      <c r="AE185" s="1"/>
      <c r="AG185" s="1"/>
      <c r="AH185" s="1"/>
      <c r="AI185" s="1"/>
      <c r="AJ185" s="1"/>
      <c r="AK185" s="1"/>
      <c r="AL185" s="1"/>
      <c r="AM185" s="1"/>
      <c r="AN185" s="1"/>
    </row>
    <row r="186" spans="31:40" ht="21">
      <c r="AE186" s="1"/>
      <c r="AG186" s="1"/>
      <c r="AH186" s="1"/>
      <c r="AI186" s="1"/>
      <c r="AJ186" s="1"/>
      <c r="AK186" s="1"/>
      <c r="AL186" s="1"/>
      <c r="AM186" s="1"/>
      <c r="AN186" s="1"/>
    </row>
    <row r="187" spans="31:40" ht="21">
      <c r="AE187" s="1"/>
      <c r="AG187" s="1"/>
      <c r="AH187" s="1"/>
      <c r="AI187" s="1"/>
      <c r="AJ187" s="1"/>
      <c r="AK187" s="1"/>
      <c r="AL187" s="1"/>
      <c r="AM187" s="1"/>
      <c r="AN187" s="1"/>
    </row>
    <row r="188" spans="31:40" ht="21">
      <c r="AE188" s="1"/>
      <c r="AG188" s="1"/>
      <c r="AH188" s="1"/>
      <c r="AI188" s="1"/>
      <c r="AJ188" s="1"/>
      <c r="AK188" s="1"/>
      <c r="AL188" s="1"/>
      <c r="AM188" s="1"/>
      <c r="AN188" s="1"/>
    </row>
    <row r="189" spans="31:40" ht="21">
      <c r="AE189" s="1"/>
      <c r="AG189" s="1"/>
      <c r="AH189" s="1"/>
      <c r="AI189" s="1"/>
      <c r="AJ189" s="1"/>
      <c r="AK189" s="1"/>
      <c r="AL189" s="1"/>
      <c r="AM189" s="1"/>
      <c r="AN189" s="1"/>
    </row>
    <row r="190" spans="31:40" ht="21">
      <c r="AE190" s="1"/>
      <c r="AG190" s="1"/>
      <c r="AH190" s="1"/>
      <c r="AI190" s="1"/>
      <c r="AJ190" s="1"/>
      <c r="AK190" s="1"/>
      <c r="AL190" s="1"/>
      <c r="AM190" s="1"/>
      <c r="AN190" s="1"/>
    </row>
    <row r="191" spans="31:40" ht="21">
      <c r="AE191" s="1"/>
      <c r="AG191" s="1"/>
      <c r="AH191" s="1"/>
      <c r="AI191" s="1"/>
      <c r="AJ191" s="1"/>
      <c r="AK191" s="1"/>
      <c r="AL191" s="1"/>
      <c r="AM191" s="1"/>
      <c r="AN191" s="1"/>
    </row>
    <row r="192" spans="31:40" ht="21">
      <c r="AE192" s="1"/>
      <c r="AG192" s="1"/>
      <c r="AH192" s="1"/>
      <c r="AI192" s="1"/>
      <c r="AJ192" s="1"/>
      <c r="AK192" s="1"/>
      <c r="AL192" s="1"/>
      <c r="AM192" s="1"/>
      <c r="AN192" s="1"/>
    </row>
    <row r="193" spans="31:40" ht="21">
      <c r="AE193" s="1"/>
      <c r="AG193" s="1"/>
      <c r="AH193" s="1"/>
      <c r="AI193" s="1"/>
      <c r="AJ193" s="1"/>
      <c r="AK193" s="1"/>
      <c r="AL193" s="1"/>
      <c r="AM193" s="1"/>
      <c r="AN193" s="1"/>
    </row>
    <row r="194" spans="31:40" ht="21">
      <c r="AE194" s="1"/>
      <c r="AG194" s="1"/>
      <c r="AH194" s="1"/>
      <c r="AI194" s="1"/>
      <c r="AJ194" s="1"/>
      <c r="AK194" s="1"/>
      <c r="AL194" s="1"/>
      <c r="AM194" s="1"/>
      <c r="AN194" s="1"/>
    </row>
    <row r="195" spans="31:40" ht="21">
      <c r="AE195" s="1"/>
      <c r="AG195" s="1"/>
      <c r="AH195" s="1"/>
      <c r="AI195" s="1"/>
      <c r="AJ195" s="1"/>
      <c r="AK195" s="1"/>
      <c r="AL195" s="1"/>
      <c r="AM195" s="1"/>
      <c r="AN195" s="1"/>
    </row>
    <row r="196" spans="31:40" ht="21">
      <c r="AE196" s="1"/>
      <c r="AG196" s="1"/>
      <c r="AH196" s="1"/>
      <c r="AI196" s="1"/>
      <c r="AJ196" s="1"/>
      <c r="AK196" s="1"/>
      <c r="AL196" s="1"/>
      <c r="AM196" s="1"/>
      <c r="AN196" s="1"/>
    </row>
    <row r="197" spans="31:40" ht="21">
      <c r="AE197" s="1"/>
      <c r="AG197" s="1"/>
      <c r="AH197" s="1"/>
      <c r="AI197" s="1"/>
      <c r="AJ197" s="1"/>
      <c r="AK197" s="1"/>
      <c r="AL197" s="1"/>
      <c r="AM197" s="1"/>
      <c r="AN197" s="1"/>
    </row>
    <row r="198" spans="31:40" ht="21">
      <c r="AE198" s="1"/>
      <c r="AG198" s="1"/>
      <c r="AH198" s="1"/>
      <c r="AI198" s="1"/>
      <c r="AJ198" s="1"/>
      <c r="AK198" s="1"/>
      <c r="AL198" s="1"/>
      <c r="AM198" s="1"/>
      <c r="AN198" s="1"/>
    </row>
    <row r="199" spans="31:40" ht="21">
      <c r="AE199" s="1"/>
      <c r="AG199" s="1"/>
      <c r="AH199" s="1"/>
      <c r="AI199" s="1"/>
      <c r="AJ199" s="1"/>
      <c r="AK199" s="1"/>
      <c r="AL199" s="1"/>
      <c r="AM199" s="1"/>
      <c r="AN199" s="1"/>
    </row>
    <row r="200" spans="31:40" ht="21">
      <c r="AE200" s="1"/>
      <c r="AG200" s="1"/>
      <c r="AH200" s="1"/>
      <c r="AI200" s="1"/>
      <c r="AJ200" s="1"/>
      <c r="AK200" s="1"/>
      <c r="AL200" s="1"/>
      <c r="AM200" s="1"/>
      <c r="AN200" s="1"/>
    </row>
    <row r="201" spans="31:40" ht="21">
      <c r="AE201" s="1"/>
      <c r="AG201" s="1"/>
      <c r="AH201" s="1"/>
      <c r="AI201" s="1"/>
      <c r="AJ201" s="1"/>
      <c r="AK201" s="1"/>
      <c r="AL201" s="1"/>
      <c r="AM201" s="1"/>
      <c r="AN201" s="1"/>
    </row>
    <row r="202" spans="31:40" ht="21">
      <c r="AE202" s="1"/>
      <c r="AG202" s="1"/>
      <c r="AH202" s="1"/>
      <c r="AI202" s="1"/>
      <c r="AJ202" s="1"/>
      <c r="AK202" s="1"/>
      <c r="AL202" s="1"/>
      <c r="AM202" s="1"/>
      <c r="AN202" s="1"/>
    </row>
    <row r="203" spans="31:40" ht="21">
      <c r="AE203" s="1"/>
      <c r="AG203" s="1"/>
      <c r="AH203" s="1"/>
      <c r="AI203" s="1"/>
      <c r="AJ203" s="1"/>
      <c r="AK203" s="1"/>
      <c r="AL203" s="1"/>
      <c r="AM203" s="1"/>
      <c r="AN203" s="1"/>
    </row>
    <row r="204" spans="31:40" ht="21">
      <c r="AE204" s="1"/>
      <c r="AG204" s="1"/>
      <c r="AH204" s="1"/>
      <c r="AI204" s="1"/>
      <c r="AJ204" s="1"/>
      <c r="AK204" s="1"/>
      <c r="AL204" s="1"/>
      <c r="AM204" s="1"/>
      <c r="AN204" s="1"/>
    </row>
    <row r="205" spans="31:40" ht="21">
      <c r="AE205" s="1"/>
      <c r="AG205" s="1"/>
      <c r="AH205" s="1"/>
      <c r="AI205" s="1"/>
      <c r="AJ205" s="1"/>
      <c r="AK205" s="1"/>
      <c r="AL205" s="1"/>
      <c r="AM205" s="1"/>
      <c r="AN205" s="1"/>
    </row>
    <row r="206" spans="31:40" ht="21">
      <c r="AE206" s="1"/>
      <c r="AG206" s="1"/>
      <c r="AH206" s="1"/>
      <c r="AI206" s="1"/>
      <c r="AJ206" s="1"/>
      <c r="AK206" s="1"/>
      <c r="AL206" s="1"/>
      <c r="AM206" s="1"/>
      <c r="AN206" s="1"/>
    </row>
    <row r="207" spans="31:40" ht="21">
      <c r="AE207" s="1"/>
      <c r="AG207" s="1"/>
      <c r="AH207" s="1"/>
      <c r="AI207" s="1"/>
      <c r="AJ207" s="1"/>
      <c r="AK207" s="1"/>
      <c r="AL207" s="1"/>
      <c r="AM207" s="1"/>
      <c r="AN207" s="1"/>
    </row>
    <row r="208" spans="31:40" ht="21">
      <c r="AE208" s="1"/>
      <c r="AG208" s="1"/>
      <c r="AH208" s="1"/>
      <c r="AI208" s="1"/>
      <c r="AJ208" s="1"/>
      <c r="AK208" s="1"/>
      <c r="AL208" s="1"/>
      <c r="AM208" s="1"/>
      <c r="AN208" s="1"/>
    </row>
    <row r="209" spans="31:40" ht="21">
      <c r="AE209" s="1"/>
      <c r="AG209" s="1"/>
      <c r="AH209" s="1"/>
      <c r="AI209" s="1"/>
      <c r="AJ209" s="1"/>
      <c r="AK209" s="1"/>
      <c r="AL209" s="1"/>
      <c r="AM209" s="1"/>
      <c r="AN209" s="1"/>
    </row>
    <row r="210" spans="31:40" ht="21">
      <c r="AE210" s="1"/>
      <c r="AG210" s="1"/>
      <c r="AH210" s="1"/>
      <c r="AI210" s="1"/>
      <c r="AJ210" s="1"/>
      <c r="AK210" s="1"/>
      <c r="AL210" s="1"/>
      <c r="AM210" s="1"/>
      <c r="AN210" s="1"/>
    </row>
    <row r="211" spans="31:40" ht="21">
      <c r="AE211" s="1"/>
      <c r="AG211" s="1"/>
      <c r="AH211" s="1"/>
      <c r="AI211" s="1"/>
      <c r="AJ211" s="1"/>
      <c r="AK211" s="1"/>
      <c r="AL211" s="1"/>
      <c r="AM211" s="1"/>
      <c r="AN211" s="1"/>
    </row>
    <row r="212" spans="31:40" ht="21">
      <c r="AE212" s="1"/>
      <c r="AG212" s="1"/>
      <c r="AH212" s="1"/>
      <c r="AI212" s="1"/>
      <c r="AJ212" s="1"/>
      <c r="AK212" s="1"/>
      <c r="AL212" s="1"/>
      <c r="AM212" s="1"/>
      <c r="AN212" s="1"/>
    </row>
    <row r="213" spans="31:40" ht="21">
      <c r="AE213" s="1"/>
      <c r="AG213" s="1"/>
      <c r="AH213" s="1"/>
      <c r="AI213" s="1"/>
      <c r="AJ213" s="1"/>
      <c r="AK213" s="1"/>
      <c r="AL213" s="1"/>
      <c r="AM213" s="1"/>
      <c r="AN213" s="1"/>
    </row>
    <row r="214" spans="31:40" ht="21">
      <c r="AE214" s="1"/>
      <c r="AG214" s="1"/>
      <c r="AH214" s="1"/>
      <c r="AI214" s="1"/>
      <c r="AJ214" s="1"/>
      <c r="AK214" s="1"/>
      <c r="AL214" s="1"/>
      <c r="AM214" s="1"/>
      <c r="AN214" s="1"/>
    </row>
    <row r="215" spans="31:40" ht="21">
      <c r="AE215" s="1"/>
      <c r="AG215" s="1"/>
      <c r="AH215" s="1"/>
      <c r="AI215" s="1"/>
      <c r="AJ215" s="1"/>
      <c r="AK215" s="1"/>
      <c r="AL215" s="1"/>
      <c r="AM215" s="1"/>
      <c r="AN215" s="1"/>
    </row>
    <row r="216" spans="31:40" ht="21">
      <c r="AE216" s="1"/>
      <c r="AG216" s="1"/>
      <c r="AH216" s="1"/>
      <c r="AI216" s="1"/>
      <c r="AJ216" s="1"/>
      <c r="AK216" s="1"/>
      <c r="AL216" s="1"/>
      <c r="AM216" s="1"/>
      <c r="AN216" s="1"/>
    </row>
    <row r="217" spans="31:40" ht="21">
      <c r="AE217" s="1"/>
      <c r="AG217" s="1"/>
      <c r="AH217" s="1"/>
      <c r="AI217" s="1"/>
      <c r="AJ217" s="1"/>
      <c r="AK217" s="1"/>
      <c r="AL217" s="1"/>
      <c r="AM217" s="1"/>
      <c r="AN217" s="1"/>
    </row>
    <row r="218" spans="31:40" ht="21">
      <c r="AE218" s="1"/>
      <c r="AG218" s="1"/>
      <c r="AH218" s="1"/>
      <c r="AI218" s="1"/>
      <c r="AJ218" s="1"/>
      <c r="AK218" s="1"/>
      <c r="AL218" s="1"/>
      <c r="AM218" s="1"/>
      <c r="AN218" s="1"/>
    </row>
    <row r="219" spans="31:40" ht="21">
      <c r="AE219" s="1"/>
      <c r="AG219" s="1"/>
      <c r="AH219" s="1"/>
      <c r="AI219" s="1"/>
      <c r="AJ219" s="1"/>
      <c r="AK219" s="1"/>
      <c r="AL219" s="1"/>
      <c r="AM219" s="1"/>
      <c r="AN219" s="1"/>
    </row>
    <row r="220" spans="31:40" ht="21">
      <c r="AE220" s="1"/>
      <c r="AG220" s="1"/>
      <c r="AH220" s="1"/>
      <c r="AI220" s="1"/>
      <c r="AJ220" s="1"/>
      <c r="AK220" s="1"/>
      <c r="AL220" s="1"/>
      <c r="AM220" s="1"/>
      <c r="AN220" s="1"/>
    </row>
    <row r="221" spans="31:40" ht="21">
      <c r="AE221" s="1"/>
      <c r="AG221" s="1"/>
      <c r="AH221" s="1"/>
      <c r="AI221" s="1"/>
      <c r="AJ221" s="1"/>
      <c r="AK221" s="1"/>
      <c r="AL221" s="1"/>
      <c r="AM221" s="1"/>
      <c r="AN221" s="1"/>
    </row>
    <row r="222" spans="31:40" ht="21">
      <c r="AE222" s="1"/>
      <c r="AG222" s="1"/>
      <c r="AH222" s="1"/>
      <c r="AI222" s="1"/>
      <c r="AJ222" s="1"/>
      <c r="AK222" s="1"/>
      <c r="AL222" s="1"/>
      <c r="AM222" s="1"/>
      <c r="AN222" s="1"/>
    </row>
    <row r="223" spans="31:40" ht="21">
      <c r="AE223" s="1"/>
      <c r="AG223" s="1"/>
      <c r="AH223" s="1"/>
      <c r="AI223" s="1"/>
      <c r="AJ223" s="1"/>
      <c r="AK223" s="1"/>
      <c r="AL223" s="1"/>
      <c r="AM223" s="1"/>
      <c r="AN223" s="1"/>
    </row>
    <row r="224" spans="31:40" ht="21">
      <c r="AE224" s="1"/>
      <c r="AG224" s="1"/>
      <c r="AH224" s="1"/>
      <c r="AI224" s="1"/>
      <c r="AJ224" s="1"/>
      <c r="AK224" s="1"/>
      <c r="AL224" s="1"/>
      <c r="AM224" s="1"/>
      <c r="AN224" s="1"/>
    </row>
    <row r="225" spans="31:40" ht="21">
      <c r="AE225" s="1"/>
      <c r="AG225" s="1"/>
      <c r="AH225" s="1"/>
      <c r="AI225" s="1"/>
      <c r="AJ225" s="1"/>
      <c r="AK225" s="1"/>
      <c r="AL225" s="1"/>
      <c r="AM225" s="1"/>
      <c r="AN225" s="1"/>
    </row>
    <row r="226" spans="31:40" ht="21">
      <c r="AE226" s="1"/>
      <c r="AG226" s="1"/>
      <c r="AH226" s="1"/>
      <c r="AI226" s="1"/>
      <c r="AJ226" s="1"/>
      <c r="AK226" s="1"/>
      <c r="AL226" s="1"/>
      <c r="AM226" s="1"/>
      <c r="AN226" s="1"/>
    </row>
    <row r="227" spans="31:40" ht="21">
      <c r="AE227" s="1"/>
      <c r="AG227" s="1"/>
      <c r="AH227" s="1"/>
      <c r="AI227" s="1"/>
      <c r="AJ227" s="1"/>
      <c r="AK227" s="1"/>
      <c r="AL227" s="1"/>
      <c r="AM227" s="1"/>
      <c r="AN227" s="1"/>
    </row>
    <row r="228" spans="31:40" ht="21">
      <c r="AE228" s="1"/>
      <c r="AG228" s="1"/>
      <c r="AH228" s="1"/>
      <c r="AI228" s="1"/>
      <c r="AJ228" s="1"/>
      <c r="AK228" s="1"/>
      <c r="AL228" s="1"/>
      <c r="AM228" s="1"/>
      <c r="AN228" s="1"/>
    </row>
    <row r="229" spans="31:40" ht="21">
      <c r="AE229" s="1"/>
      <c r="AG229" s="1"/>
      <c r="AH229" s="1"/>
      <c r="AI229" s="1"/>
      <c r="AJ229" s="1"/>
      <c r="AK229" s="1"/>
      <c r="AL229" s="1"/>
      <c r="AM229" s="1"/>
      <c r="AN229" s="1"/>
    </row>
    <row r="230" spans="31:40" ht="21">
      <c r="AE230" s="1"/>
      <c r="AG230" s="1"/>
      <c r="AH230" s="1"/>
      <c r="AI230" s="1"/>
      <c r="AJ230" s="1"/>
      <c r="AK230" s="1"/>
      <c r="AL230" s="1"/>
      <c r="AM230" s="1"/>
      <c r="AN230" s="1"/>
    </row>
    <row r="231" spans="31:40" ht="21">
      <c r="AE231" s="1"/>
      <c r="AG231" s="1"/>
      <c r="AH231" s="1"/>
      <c r="AI231" s="1"/>
      <c r="AJ231" s="1"/>
      <c r="AK231" s="1"/>
      <c r="AL231" s="1"/>
      <c r="AM231" s="1"/>
      <c r="AN231" s="1"/>
    </row>
    <row r="232" spans="31:40" ht="21">
      <c r="AE232" s="1"/>
      <c r="AG232" s="1"/>
      <c r="AH232" s="1"/>
      <c r="AI232" s="1"/>
      <c r="AJ232" s="1"/>
      <c r="AK232" s="1"/>
      <c r="AL232" s="1"/>
      <c r="AM232" s="1"/>
      <c r="AN232" s="1"/>
    </row>
    <row r="233" spans="31:40" ht="21">
      <c r="AE233" s="1"/>
      <c r="AG233" s="1"/>
      <c r="AH233" s="1"/>
      <c r="AI233" s="1"/>
      <c r="AJ233" s="1"/>
      <c r="AK233" s="1"/>
      <c r="AL233" s="1"/>
      <c r="AM233" s="1"/>
      <c r="AN233" s="1"/>
    </row>
    <row r="234" spans="31:40" ht="21">
      <c r="AE234" s="1"/>
      <c r="AG234" s="1"/>
      <c r="AH234" s="1"/>
      <c r="AI234" s="1"/>
      <c r="AJ234" s="1"/>
      <c r="AK234" s="1"/>
      <c r="AL234" s="1"/>
      <c r="AM234" s="1"/>
      <c r="AN234" s="1"/>
    </row>
    <row r="235" spans="31:40" ht="21">
      <c r="AE235" s="1"/>
      <c r="AG235" s="1"/>
      <c r="AH235" s="1"/>
      <c r="AI235" s="1"/>
      <c r="AJ235" s="1"/>
      <c r="AK235" s="1"/>
      <c r="AL235" s="1"/>
      <c r="AM235" s="1"/>
      <c r="AN235" s="1"/>
    </row>
    <row r="236" spans="31:40" ht="21">
      <c r="AE236" s="1"/>
      <c r="AG236" s="1"/>
      <c r="AH236" s="1"/>
      <c r="AI236" s="1"/>
      <c r="AJ236" s="1"/>
      <c r="AK236" s="1"/>
      <c r="AL236" s="1"/>
      <c r="AM236" s="1"/>
      <c r="AN236" s="1"/>
    </row>
    <row r="237" spans="31:40" ht="21">
      <c r="AE237" s="1"/>
      <c r="AG237" s="1"/>
      <c r="AH237" s="1"/>
      <c r="AI237" s="1"/>
      <c r="AJ237" s="1"/>
      <c r="AK237" s="1"/>
      <c r="AL237" s="1"/>
      <c r="AM237" s="1"/>
      <c r="AN237" s="1"/>
    </row>
    <row r="238" spans="31:40" ht="21">
      <c r="AE238" s="1"/>
      <c r="AG238" s="1"/>
      <c r="AH238" s="1"/>
      <c r="AI238" s="1"/>
      <c r="AJ238" s="1"/>
      <c r="AK238" s="1"/>
      <c r="AL238" s="1"/>
      <c r="AM238" s="1"/>
      <c r="AN238" s="1"/>
    </row>
    <row r="239" spans="31:40" ht="21">
      <c r="AE239" s="1"/>
      <c r="AG239" s="1"/>
      <c r="AH239" s="1"/>
      <c r="AI239" s="1"/>
      <c r="AJ239" s="1"/>
      <c r="AK239" s="1"/>
      <c r="AL239" s="1"/>
      <c r="AM239" s="1"/>
      <c r="AN239" s="1"/>
    </row>
    <row r="240" spans="31:40" ht="21">
      <c r="AE240" s="1"/>
      <c r="AG240" s="1"/>
      <c r="AH240" s="1"/>
      <c r="AI240" s="1"/>
      <c r="AJ240" s="1"/>
      <c r="AK240" s="1"/>
      <c r="AL240" s="1"/>
      <c r="AM240" s="1"/>
      <c r="AN240" s="1"/>
    </row>
    <row r="241" spans="31:40" ht="21">
      <c r="AE241" s="1"/>
      <c r="AG241" s="1"/>
      <c r="AH241" s="1"/>
      <c r="AI241" s="1"/>
      <c r="AJ241" s="1"/>
      <c r="AK241" s="1"/>
      <c r="AL241" s="1"/>
      <c r="AM241" s="1"/>
      <c r="AN241" s="1"/>
    </row>
    <row r="242" spans="31:40" ht="21">
      <c r="AE242" s="1"/>
      <c r="AG242" s="1"/>
      <c r="AH242" s="1"/>
      <c r="AI242" s="1"/>
      <c r="AJ242" s="1"/>
      <c r="AK242" s="1"/>
      <c r="AL242" s="1"/>
      <c r="AM242" s="1"/>
      <c r="AN242" s="1"/>
    </row>
    <row r="243" spans="31:40" ht="21">
      <c r="AE243" s="1"/>
      <c r="AG243" s="1"/>
      <c r="AH243" s="1"/>
      <c r="AI243" s="1"/>
      <c r="AJ243" s="1"/>
      <c r="AK243" s="1"/>
      <c r="AL243" s="1"/>
      <c r="AM243" s="1"/>
      <c r="AN243" s="1"/>
    </row>
    <row r="244" spans="31:40" ht="21">
      <c r="AE244" s="1"/>
      <c r="AG244" s="1"/>
      <c r="AH244" s="1"/>
      <c r="AI244" s="1"/>
      <c r="AJ244" s="1"/>
      <c r="AK244" s="1"/>
      <c r="AL244" s="1"/>
      <c r="AM244" s="1"/>
      <c r="AN244" s="1"/>
    </row>
    <row r="245" spans="31:40" ht="21">
      <c r="AE245" s="1"/>
      <c r="AG245" s="1"/>
      <c r="AH245" s="1"/>
      <c r="AI245" s="1"/>
      <c r="AJ245" s="1"/>
      <c r="AK245" s="1"/>
      <c r="AL245" s="1"/>
      <c r="AM245" s="1"/>
      <c r="AN245" s="1"/>
    </row>
    <row r="246" spans="31:40" ht="21">
      <c r="AE246" s="1"/>
      <c r="AG246" s="1"/>
      <c r="AH246" s="1"/>
      <c r="AI246" s="1"/>
      <c r="AJ246" s="1"/>
      <c r="AK246" s="1"/>
      <c r="AL246" s="1"/>
      <c r="AM246" s="1"/>
      <c r="AN246" s="1"/>
    </row>
    <row r="247" spans="31:40" ht="21">
      <c r="AE247" s="1"/>
      <c r="AG247" s="1"/>
      <c r="AH247" s="1"/>
      <c r="AI247" s="1"/>
      <c r="AJ247" s="1"/>
      <c r="AK247" s="1"/>
      <c r="AL247" s="1"/>
      <c r="AM247" s="1"/>
      <c r="AN247" s="1"/>
    </row>
    <row r="248" spans="31:40" ht="21">
      <c r="AE248" s="1"/>
      <c r="AG248" s="1"/>
      <c r="AH248" s="1"/>
      <c r="AI248" s="1"/>
      <c r="AJ248" s="1"/>
      <c r="AK248" s="1"/>
      <c r="AL248" s="1"/>
      <c r="AM248" s="1"/>
      <c r="AN248" s="1"/>
    </row>
    <row r="249" spans="31:40" ht="21">
      <c r="AE249" s="1"/>
      <c r="AG249" s="1"/>
      <c r="AH249" s="1"/>
      <c r="AI249" s="1"/>
      <c r="AJ249" s="1"/>
      <c r="AK249" s="1"/>
      <c r="AL249" s="1"/>
      <c r="AM249" s="1"/>
      <c r="AN249" s="1"/>
    </row>
    <row r="250" spans="31:40" ht="21">
      <c r="AE250" s="1"/>
      <c r="AG250" s="1"/>
      <c r="AH250" s="1"/>
      <c r="AI250" s="1"/>
      <c r="AJ250" s="1"/>
      <c r="AK250" s="1"/>
      <c r="AL250" s="1"/>
      <c r="AM250" s="1"/>
      <c r="AN250" s="1"/>
    </row>
    <row r="251" spans="31:40" ht="21">
      <c r="AE251" s="1"/>
      <c r="AG251" s="1"/>
      <c r="AH251" s="1"/>
      <c r="AI251" s="1"/>
      <c r="AJ251" s="1"/>
      <c r="AK251" s="1"/>
      <c r="AL251" s="1"/>
      <c r="AM251" s="1"/>
      <c r="AN251" s="1"/>
    </row>
    <row r="252" spans="31:40" ht="21">
      <c r="AE252" s="1"/>
      <c r="AG252" s="1"/>
      <c r="AH252" s="1"/>
      <c r="AI252" s="1"/>
      <c r="AJ252" s="1"/>
      <c r="AK252" s="1"/>
      <c r="AL252" s="1"/>
      <c r="AM252" s="1"/>
      <c r="AN252" s="1"/>
    </row>
    <row r="253" spans="31:40" ht="21">
      <c r="AE253" s="1"/>
      <c r="AG253" s="1"/>
      <c r="AH253" s="1"/>
      <c r="AI253" s="1"/>
      <c r="AJ253" s="1"/>
      <c r="AK253" s="1"/>
      <c r="AL253" s="1"/>
      <c r="AM253" s="1"/>
      <c r="AN253" s="1"/>
    </row>
    <row r="254" spans="31:40" ht="21">
      <c r="AE254" s="1"/>
      <c r="AG254" s="1"/>
      <c r="AH254" s="1"/>
      <c r="AI254" s="1"/>
      <c r="AJ254" s="1"/>
      <c r="AK254" s="1"/>
      <c r="AL254" s="1"/>
      <c r="AM254" s="1"/>
      <c r="AN254" s="1"/>
    </row>
    <row r="255" spans="31:40" ht="21">
      <c r="AE255" s="1"/>
      <c r="AG255" s="1"/>
      <c r="AH255" s="1"/>
      <c r="AI255" s="1"/>
      <c r="AJ255" s="1"/>
      <c r="AK255" s="1"/>
      <c r="AL255" s="1"/>
      <c r="AM255" s="1"/>
      <c r="AN255" s="1"/>
    </row>
    <row r="256" spans="31:40" ht="21">
      <c r="AE256" s="1"/>
      <c r="AG256" s="1"/>
      <c r="AH256" s="1"/>
      <c r="AI256" s="1"/>
      <c r="AJ256" s="1"/>
      <c r="AK256" s="1"/>
      <c r="AL256" s="1"/>
      <c r="AM256" s="1"/>
      <c r="AN256" s="1"/>
    </row>
    <row r="257" spans="31:40" ht="21">
      <c r="AE257" s="1"/>
      <c r="AG257" s="1"/>
      <c r="AH257" s="1"/>
      <c r="AI257" s="1"/>
      <c r="AJ257" s="1"/>
      <c r="AK257" s="1"/>
      <c r="AL257" s="1"/>
      <c r="AM257" s="1"/>
      <c r="AN257" s="1"/>
    </row>
    <row r="258" spans="31:40" ht="21">
      <c r="AE258" s="1"/>
      <c r="AG258" s="1"/>
      <c r="AH258" s="1"/>
      <c r="AI258" s="1"/>
      <c r="AJ258" s="1"/>
      <c r="AK258" s="1"/>
      <c r="AL258" s="1"/>
      <c r="AM258" s="1"/>
      <c r="AN258" s="1"/>
    </row>
    <row r="259" spans="31:40" ht="21">
      <c r="AE259" s="1"/>
      <c r="AG259" s="1"/>
      <c r="AH259" s="1"/>
      <c r="AI259" s="1"/>
      <c r="AJ259" s="1"/>
      <c r="AK259" s="1"/>
      <c r="AL259" s="1"/>
      <c r="AM259" s="1"/>
      <c r="AN259" s="1"/>
    </row>
    <row r="260" spans="31:40" ht="21">
      <c r="AE260" s="1"/>
      <c r="AG260" s="1"/>
      <c r="AH260" s="1"/>
      <c r="AI260" s="1"/>
      <c r="AJ260" s="1"/>
      <c r="AK260" s="1"/>
      <c r="AL260" s="1"/>
      <c r="AM260" s="1"/>
      <c r="AN260" s="1"/>
    </row>
    <row r="261" spans="31:40" ht="21">
      <c r="AE261" s="1"/>
      <c r="AG261" s="1"/>
      <c r="AH261" s="1"/>
      <c r="AI261" s="1"/>
      <c r="AJ261" s="1"/>
      <c r="AK261" s="1"/>
      <c r="AL261" s="1"/>
      <c r="AM261" s="1"/>
      <c r="AN261" s="1"/>
    </row>
    <row r="262" spans="31:40" ht="21">
      <c r="AE262" s="1"/>
      <c r="AG262" s="1"/>
      <c r="AH262" s="1"/>
      <c r="AI262" s="1"/>
      <c r="AJ262" s="1"/>
      <c r="AK262" s="1"/>
      <c r="AL262" s="1"/>
      <c r="AM262" s="1"/>
      <c r="AN262" s="1"/>
    </row>
    <row r="263" spans="31:40" ht="21">
      <c r="AE263" s="1"/>
      <c r="AG263" s="1"/>
      <c r="AH263" s="1"/>
      <c r="AI263" s="1"/>
      <c r="AJ263" s="1"/>
      <c r="AK263" s="1"/>
      <c r="AL263" s="1"/>
      <c r="AM263" s="1"/>
      <c r="AN263" s="1"/>
    </row>
    <row r="264" spans="31:40" ht="21">
      <c r="AE264" s="1"/>
      <c r="AG264" s="1"/>
      <c r="AH264" s="1"/>
      <c r="AI264" s="1"/>
      <c r="AJ264" s="1"/>
      <c r="AK264" s="1"/>
      <c r="AL264" s="1"/>
      <c r="AM264" s="1"/>
      <c r="AN264" s="1"/>
    </row>
    <row r="265" spans="31:40" ht="21">
      <c r="AE265" s="1"/>
      <c r="AG265" s="1"/>
      <c r="AH265" s="1"/>
      <c r="AI265" s="1"/>
      <c r="AJ265" s="1"/>
      <c r="AK265" s="1"/>
      <c r="AL265" s="1"/>
      <c r="AM265" s="1"/>
      <c r="AN265" s="1"/>
    </row>
    <row r="266" spans="31:40" ht="21">
      <c r="AE266" s="1"/>
      <c r="AG266" s="1"/>
      <c r="AH266" s="1"/>
      <c r="AI266" s="1"/>
      <c r="AJ266" s="1"/>
      <c r="AK266" s="1"/>
      <c r="AL266" s="1"/>
      <c r="AM266" s="1"/>
      <c r="AN266" s="1"/>
    </row>
    <row r="267" spans="31:40" ht="21">
      <c r="AE267" s="1"/>
      <c r="AG267" s="1"/>
      <c r="AH267" s="1"/>
      <c r="AI267" s="1"/>
      <c r="AJ267" s="1"/>
      <c r="AK267" s="1"/>
      <c r="AL267" s="1"/>
      <c r="AM267" s="1"/>
      <c r="AN267" s="1"/>
    </row>
    <row r="268" spans="31:40" ht="21">
      <c r="AE268" s="1"/>
      <c r="AG268" s="1"/>
      <c r="AH268" s="1"/>
      <c r="AI268" s="1"/>
      <c r="AJ268" s="1"/>
      <c r="AK268" s="1"/>
      <c r="AL268" s="1"/>
      <c r="AM268" s="1"/>
      <c r="AN268" s="1"/>
    </row>
    <row r="269" spans="31:40" ht="21">
      <c r="AE269" s="1"/>
      <c r="AG269" s="1"/>
      <c r="AH269" s="1"/>
      <c r="AI269" s="1"/>
      <c r="AJ269" s="1"/>
      <c r="AK269" s="1"/>
      <c r="AL269" s="1"/>
      <c r="AM269" s="1"/>
      <c r="AN269" s="1"/>
    </row>
    <row r="270" spans="31:40" ht="21">
      <c r="AE270" s="1"/>
      <c r="AG270" s="1"/>
      <c r="AH270" s="1"/>
      <c r="AI270" s="1"/>
      <c r="AJ270" s="1"/>
      <c r="AK270" s="1"/>
      <c r="AL270" s="1"/>
      <c r="AM270" s="1"/>
      <c r="AN270" s="1"/>
    </row>
    <row r="271" spans="31:40" ht="21">
      <c r="AE271" s="1"/>
      <c r="AG271" s="1"/>
      <c r="AH271" s="1"/>
      <c r="AI271" s="1"/>
      <c r="AJ271" s="1"/>
      <c r="AK271" s="1"/>
      <c r="AL271" s="1"/>
      <c r="AM271" s="1"/>
      <c r="AN271" s="1"/>
    </row>
    <row r="272" spans="31:40" ht="21">
      <c r="AE272" s="1"/>
      <c r="AG272" s="1"/>
      <c r="AH272" s="1"/>
      <c r="AI272" s="1"/>
      <c r="AJ272" s="1"/>
      <c r="AK272" s="1"/>
      <c r="AL272" s="1"/>
      <c r="AM272" s="1"/>
      <c r="AN272" s="1"/>
    </row>
    <row r="273" spans="31:40" ht="21">
      <c r="AE273" s="1"/>
      <c r="AG273" s="1"/>
      <c r="AH273" s="1"/>
      <c r="AI273" s="1"/>
      <c r="AJ273" s="1"/>
      <c r="AK273" s="1"/>
      <c r="AL273" s="1"/>
      <c r="AM273" s="1"/>
      <c r="AN273" s="1"/>
    </row>
    <row r="274" spans="31:40" ht="21">
      <c r="AE274" s="1"/>
      <c r="AG274" s="1"/>
      <c r="AH274" s="1"/>
      <c r="AI274" s="1"/>
      <c r="AJ274" s="1"/>
      <c r="AK274" s="1"/>
      <c r="AL274" s="1"/>
      <c r="AM274" s="1"/>
      <c r="AN274" s="1"/>
    </row>
    <row r="275" spans="31:40" ht="21">
      <c r="AE275" s="1"/>
      <c r="AG275" s="1"/>
      <c r="AH275" s="1"/>
      <c r="AI275" s="1"/>
      <c r="AJ275" s="1"/>
      <c r="AK275" s="1"/>
      <c r="AL275" s="1"/>
      <c r="AM275" s="1"/>
      <c r="AN275" s="1"/>
    </row>
    <row r="276" spans="31:40" ht="21">
      <c r="AE276" s="1"/>
      <c r="AG276" s="1"/>
      <c r="AH276" s="1"/>
      <c r="AI276" s="1"/>
      <c r="AJ276" s="1"/>
      <c r="AK276" s="1"/>
      <c r="AL276" s="1"/>
      <c r="AM276" s="1"/>
      <c r="AN276" s="1"/>
    </row>
    <row r="277" spans="31:40" ht="21">
      <c r="AE277" s="1"/>
      <c r="AG277" s="1"/>
      <c r="AH277" s="1"/>
      <c r="AI277" s="1"/>
      <c r="AJ277" s="1"/>
      <c r="AK277" s="1"/>
      <c r="AL277" s="1"/>
      <c r="AM277" s="1"/>
      <c r="AN277" s="1"/>
    </row>
    <row r="278" spans="31:40" ht="21">
      <c r="AE278" s="1"/>
      <c r="AG278" s="1"/>
      <c r="AH278" s="1"/>
      <c r="AI278" s="1"/>
      <c r="AJ278" s="1"/>
      <c r="AK278" s="1"/>
      <c r="AL278" s="1"/>
      <c r="AM278" s="1"/>
      <c r="AN278" s="1"/>
    </row>
    <row r="279" spans="31:40" ht="21">
      <c r="AE279" s="1"/>
      <c r="AG279" s="1"/>
      <c r="AH279" s="1"/>
      <c r="AI279" s="1"/>
      <c r="AJ279" s="1"/>
      <c r="AK279" s="1"/>
      <c r="AL279" s="1"/>
      <c r="AM279" s="1"/>
      <c r="AN279" s="1"/>
    </row>
    <row r="280" spans="31:40" ht="21">
      <c r="AE280" s="1"/>
      <c r="AG280" s="1"/>
      <c r="AH280" s="1"/>
      <c r="AI280" s="1"/>
      <c r="AJ280" s="1"/>
      <c r="AK280" s="1"/>
      <c r="AL280" s="1"/>
      <c r="AM280" s="1"/>
      <c r="AN280" s="1"/>
    </row>
    <row r="281" spans="31:40" ht="21">
      <c r="AE281" s="1"/>
      <c r="AG281" s="1"/>
      <c r="AH281" s="1"/>
      <c r="AI281" s="1"/>
      <c r="AJ281" s="1"/>
      <c r="AK281" s="1"/>
      <c r="AL281" s="1"/>
      <c r="AM281" s="1"/>
      <c r="AN281" s="1"/>
    </row>
    <row r="282" spans="31:40" ht="21">
      <c r="AE282" s="1"/>
      <c r="AG282" s="1"/>
      <c r="AH282" s="1"/>
      <c r="AI282" s="1"/>
      <c r="AJ282" s="1"/>
      <c r="AK282" s="1"/>
      <c r="AL282" s="1"/>
      <c r="AM282" s="1"/>
      <c r="AN282" s="1"/>
    </row>
    <row r="283" spans="31:40" ht="21">
      <c r="AE283" s="1"/>
      <c r="AG283" s="1"/>
      <c r="AH283" s="1"/>
      <c r="AI283" s="1"/>
      <c r="AJ283" s="1"/>
      <c r="AK283" s="1"/>
      <c r="AL283" s="1"/>
      <c r="AM283" s="1"/>
      <c r="AN283" s="1"/>
    </row>
    <row r="284" spans="31:40" ht="21">
      <c r="AE284" s="1"/>
      <c r="AG284" s="1"/>
      <c r="AH284" s="1"/>
      <c r="AI284" s="1"/>
      <c r="AJ284" s="1"/>
      <c r="AK284" s="1"/>
      <c r="AL284" s="1"/>
      <c r="AM284" s="1"/>
      <c r="AN284" s="1"/>
    </row>
    <row r="285" spans="31:40" ht="21">
      <c r="AE285" s="1"/>
      <c r="AG285" s="1"/>
      <c r="AH285" s="1"/>
      <c r="AI285" s="1"/>
      <c r="AJ285" s="1"/>
      <c r="AK285" s="1"/>
      <c r="AL285" s="1"/>
      <c r="AM285" s="1"/>
      <c r="AN285" s="1"/>
    </row>
    <row r="286" spans="31:40" ht="21">
      <c r="AE286" s="1"/>
      <c r="AG286" s="1"/>
      <c r="AH286" s="1"/>
      <c r="AI286" s="1"/>
      <c r="AJ286" s="1"/>
      <c r="AK286" s="1"/>
      <c r="AL286" s="1"/>
      <c r="AM286" s="1"/>
      <c r="AN286" s="1"/>
    </row>
    <row r="287" spans="31:40" ht="21">
      <c r="AE287" s="1"/>
      <c r="AG287" s="1"/>
      <c r="AH287" s="1"/>
      <c r="AI287" s="1"/>
      <c r="AJ287" s="1"/>
      <c r="AK287" s="1"/>
      <c r="AL287" s="1"/>
      <c r="AM287" s="1"/>
      <c r="AN287" s="1"/>
    </row>
    <row r="288" spans="31:40" ht="21">
      <c r="AE288" s="1"/>
      <c r="AG288" s="1"/>
      <c r="AH288" s="1"/>
      <c r="AI288" s="1"/>
      <c r="AJ288" s="1"/>
      <c r="AK288" s="1"/>
      <c r="AL288" s="1"/>
      <c r="AM288" s="1"/>
      <c r="AN288" s="1"/>
    </row>
    <row r="289" spans="31:40" ht="21">
      <c r="AE289" s="1"/>
      <c r="AG289" s="1"/>
      <c r="AH289" s="1"/>
      <c r="AI289" s="1"/>
      <c r="AJ289" s="1"/>
      <c r="AK289" s="1"/>
      <c r="AL289" s="1"/>
      <c r="AM289" s="1"/>
      <c r="AN289" s="1"/>
    </row>
    <row r="290" spans="31:40" ht="21">
      <c r="AE290" s="1"/>
      <c r="AG290" s="1"/>
      <c r="AH290" s="1"/>
      <c r="AI290" s="1"/>
      <c r="AJ290" s="1"/>
      <c r="AK290" s="1"/>
      <c r="AL290" s="1"/>
      <c r="AM290" s="1"/>
      <c r="AN290" s="1"/>
    </row>
    <row r="291" spans="31:40" ht="21">
      <c r="AE291" s="1"/>
      <c r="AG291" s="1"/>
      <c r="AH291" s="1"/>
      <c r="AI291" s="1"/>
      <c r="AJ291" s="1"/>
      <c r="AK291" s="1"/>
      <c r="AL291" s="1"/>
      <c r="AM291" s="1"/>
      <c r="AN291" s="1"/>
    </row>
    <row r="292" spans="31:40" ht="21">
      <c r="AE292" s="1"/>
      <c r="AG292" s="1"/>
      <c r="AH292" s="1"/>
      <c r="AI292" s="1"/>
      <c r="AJ292" s="1"/>
      <c r="AK292" s="1"/>
      <c r="AL292" s="1"/>
      <c r="AM292" s="1"/>
      <c r="AN292" s="1"/>
    </row>
    <row r="293" spans="31:40" ht="21">
      <c r="AE293" s="1"/>
      <c r="AG293" s="1"/>
      <c r="AH293" s="1"/>
      <c r="AI293" s="1"/>
      <c r="AJ293" s="1"/>
      <c r="AK293" s="1"/>
      <c r="AL293" s="1"/>
      <c r="AM293" s="1"/>
      <c r="AN293" s="1"/>
    </row>
    <row r="294" spans="31:40" ht="21">
      <c r="AE294" s="1"/>
      <c r="AG294" s="1"/>
      <c r="AH294" s="1"/>
      <c r="AI294" s="1"/>
      <c r="AJ294" s="1"/>
      <c r="AK294" s="1"/>
      <c r="AL294" s="1"/>
      <c r="AM294" s="1"/>
      <c r="AN294" s="1"/>
    </row>
    <row r="295" spans="31:40" ht="21">
      <c r="AE295" s="1"/>
      <c r="AG295" s="1"/>
      <c r="AH295" s="1"/>
      <c r="AI295" s="1"/>
      <c r="AJ295" s="1"/>
      <c r="AK295" s="1"/>
      <c r="AL295" s="1"/>
      <c r="AM295" s="1"/>
      <c r="AN295" s="1"/>
    </row>
    <row r="296" spans="31:40" ht="21">
      <c r="AE296" s="1"/>
      <c r="AG296" s="1"/>
      <c r="AH296" s="1"/>
      <c r="AI296" s="1"/>
      <c r="AJ296" s="1"/>
      <c r="AK296" s="1"/>
      <c r="AL296" s="1"/>
      <c r="AM296" s="1"/>
      <c r="AN296" s="1"/>
    </row>
    <row r="297" spans="31:40" ht="21">
      <c r="AE297" s="1"/>
      <c r="AG297" s="1"/>
      <c r="AH297" s="1"/>
      <c r="AI297" s="1"/>
      <c r="AJ297" s="1"/>
      <c r="AK297" s="1"/>
      <c r="AL297" s="1"/>
      <c r="AM297" s="1"/>
      <c r="AN297" s="1"/>
    </row>
    <row r="298" spans="31:40" ht="21">
      <c r="AE298" s="1"/>
      <c r="AG298" s="1"/>
      <c r="AH298" s="1"/>
      <c r="AI298" s="1"/>
      <c r="AJ298" s="1"/>
      <c r="AK298" s="1"/>
      <c r="AL298" s="1"/>
      <c r="AM298" s="1"/>
      <c r="AN298" s="1"/>
    </row>
    <row r="299" spans="31:40" ht="21">
      <c r="AE299" s="1"/>
      <c r="AG299" s="1"/>
      <c r="AH299" s="1"/>
      <c r="AI299" s="1"/>
      <c r="AJ299" s="1"/>
      <c r="AK299" s="1"/>
      <c r="AL299" s="1"/>
      <c r="AM299" s="1"/>
      <c r="AN299" s="1"/>
    </row>
    <row r="300" spans="31:40" ht="21">
      <c r="AE300" s="1"/>
      <c r="AG300" s="1"/>
      <c r="AH300" s="1"/>
      <c r="AI300" s="1"/>
      <c r="AJ300" s="1"/>
      <c r="AK300" s="1"/>
      <c r="AL300" s="1"/>
      <c r="AM300" s="1"/>
      <c r="AN300" s="1"/>
    </row>
    <row r="301" spans="31:40" ht="21">
      <c r="AE301" s="1"/>
      <c r="AG301" s="1"/>
      <c r="AH301" s="1"/>
      <c r="AI301" s="1"/>
      <c r="AJ301" s="1"/>
      <c r="AK301" s="1"/>
      <c r="AL301" s="1"/>
      <c r="AM301" s="1"/>
      <c r="AN301" s="1"/>
    </row>
    <row r="302" spans="31:40" ht="21">
      <c r="AE302" s="1"/>
      <c r="AG302" s="1"/>
      <c r="AH302" s="1"/>
      <c r="AI302" s="1"/>
      <c r="AJ302" s="1"/>
      <c r="AK302" s="1"/>
      <c r="AL302" s="1"/>
      <c r="AM302" s="1"/>
      <c r="AN302" s="1"/>
    </row>
    <row r="303" spans="31:40" ht="21">
      <c r="AE303" s="1"/>
      <c r="AG303" s="1"/>
      <c r="AH303" s="1"/>
      <c r="AI303" s="1"/>
      <c r="AJ303" s="1"/>
      <c r="AK303" s="1"/>
      <c r="AL303" s="1"/>
      <c r="AM303" s="1"/>
      <c r="AN303" s="1"/>
    </row>
    <row r="304" spans="31:40" ht="21">
      <c r="AE304" s="1"/>
      <c r="AG304" s="1"/>
      <c r="AH304" s="1"/>
      <c r="AI304" s="1"/>
      <c r="AJ304" s="1"/>
      <c r="AK304" s="1"/>
      <c r="AL304" s="1"/>
      <c r="AM304" s="1"/>
      <c r="AN304" s="1"/>
    </row>
    <row r="305" spans="31:40" ht="21">
      <c r="AE305" s="1"/>
      <c r="AG305" s="1"/>
      <c r="AH305" s="1"/>
      <c r="AI305" s="1"/>
      <c r="AJ305" s="1"/>
      <c r="AK305" s="1"/>
      <c r="AL305" s="1"/>
      <c r="AM305" s="1"/>
      <c r="AN305" s="1"/>
    </row>
    <row r="306" spans="31:40" ht="21">
      <c r="AE306" s="1"/>
      <c r="AG306" s="1"/>
      <c r="AH306" s="1"/>
      <c r="AI306" s="1"/>
      <c r="AJ306" s="1"/>
      <c r="AK306" s="1"/>
      <c r="AL306" s="1"/>
      <c r="AM306" s="1"/>
      <c r="AN306" s="1"/>
    </row>
    <row r="307" spans="31:40" ht="21">
      <c r="AE307" s="1"/>
      <c r="AG307" s="1"/>
      <c r="AH307" s="1"/>
      <c r="AI307" s="1"/>
      <c r="AJ307" s="1"/>
      <c r="AK307" s="1"/>
      <c r="AL307" s="1"/>
      <c r="AM307" s="1"/>
      <c r="AN307" s="1"/>
    </row>
    <row r="308" spans="31:40" ht="21">
      <c r="AE308" s="1"/>
      <c r="AG308" s="1"/>
      <c r="AH308" s="1"/>
      <c r="AI308" s="1"/>
      <c r="AJ308" s="1"/>
      <c r="AK308" s="1"/>
      <c r="AL308" s="1"/>
      <c r="AM308" s="1"/>
      <c r="AN308" s="1"/>
    </row>
    <row r="309" spans="31:40" ht="21">
      <c r="AE309" s="1"/>
      <c r="AG309" s="1"/>
      <c r="AH309" s="1"/>
      <c r="AI309" s="1"/>
      <c r="AJ309" s="1"/>
      <c r="AK309" s="1"/>
      <c r="AL309" s="1"/>
      <c r="AM309" s="1"/>
      <c r="AN309" s="1"/>
    </row>
    <row r="310" spans="31:40" ht="21">
      <c r="AE310" s="1"/>
      <c r="AG310" s="1"/>
      <c r="AH310" s="1"/>
      <c r="AI310" s="1"/>
      <c r="AJ310" s="1"/>
      <c r="AK310" s="1"/>
      <c r="AL310" s="1"/>
      <c r="AM310" s="1"/>
      <c r="AN310" s="1"/>
    </row>
    <row r="311" spans="31:40" ht="21">
      <c r="AE311" s="1"/>
      <c r="AG311" s="1"/>
      <c r="AH311" s="1"/>
      <c r="AI311" s="1"/>
      <c r="AJ311" s="1"/>
      <c r="AK311" s="1"/>
      <c r="AL311" s="1"/>
      <c r="AM311" s="1"/>
      <c r="AN311" s="1"/>
    </row>
    <row r="312" spans="31:40" ht="21">
      <c r="AE312" s="1"/>
      <c r="AG312" s="1"/>
      <c r="AH312" s="1"/>
      <c r="AI312" s="1"/>
      <c r="AJ312" s="1"/>
      <c r="AK312" s="1"/>
      <c r="AL312" s="1"/>
      <c r="AM312" s="1"/>
      <c r="AN312" s="1"/>
    </row>
    <row r="313" spans="31:40" ht="21">
      <c r="AE313" s="1"/>
      <c r="AG313" s="1"/>
      <c r="AH313" s="1"/>
      <c r="AI313" s="1"/>
      <c r="AJ313" s="1"/>
      <c r="AK313" s="1"/>
      <c r="AL313" s="1"/>
      <c r="AM313" s="1"/>
      <c r="AN313" s="1"/>
    </row>
    <row r="314" spans="31:40" ht="21">
      <c r="AE314" s="1"/>
      <c r="AG314" s="1"/>
      <c r="AH314" s="1"/>
      <c r="AI314" s="1"/>
      <c r="AJ314" s="1"/>
      <c r="AK314" s="1"/>
      <c r="AL314" s="1"/>
      <c r="AM314" s="1"/>
      <c r="AN314" s="1"/>
    </row>
    <row r="315" spans="31:40" ht="21">
      <c r="AE315" s="1"/>
      <c r="AG315" s="1"/>
      <c r="AH315" s="1"/>
      <c r="AI315" s="1"/>
      <c r="AJ315" s="1"/>
      <c r="AK315" s="1"/>
      <c r="AL315" s="1"/>
      <c r="AM315" s="1"/>
      <c r="AN315" s="1"/>
    </row>
    <row r="316" spans="31:40" ht="21">
      <c r="AE316" s="1"/>
      <c r="AG316" s="1"/>
      <c r="AH316" s="1"/>
      <c r="AI316" s="1"/>
      <c r="AJ316" s="1"/>
      <c r="AK316" s="1"/>
      <c r="AL316" s="1"/>
      <c r="AM316" s="1"/>
      <c r="AN316" s="1"/>
    </row>
    <row r="317" spans="31:40" ht="21">
      <c r="AE317" s="1"/>
      <c r="AG317" s="1"/>
      <c r="AH317" s="1"/>
      <c r="AI317" s="1"/>
      <c r="AJ317" s="1"/>
      <c r="AK317" s="1"/>
      <c r="AL317" s="1"/>
      <c r="AM317" s="1"/>
      <c r="AN317" s="1"/>
    </row>
    <row r="318" spans="31:40" ht="21">
      <c r="AE318" s="1"/>
      <c r="AG318" s="1"/>
      <c r="AH318" s="1"/>
      <c r="AI318" s="1"/>
      <c r="AJ318" s="1"/>
      <c r="AK318" s="1"/>
      <c r="AL318" s="1"/>
      <c r="AM318" s="1"/>
      <c r="AN318" s="1"/>
    </row>
    <row r="319" spans="31:40" ht="21">
      <c r="AE319" s="1"/>
      <c r="AG319" s="1"/>
      <c r="AH319" s="1"/>
      <c r="AI319" s="1"/>
      <c r="AJ319" s="1"/>
      <c r="AK319" s="1"/>
      <c r="AL319" s="1"/>
      <c r="AM319" s="1"/>
      <c r="AN319" s="1"/>
    </row>
    <row r="320" spans="31:40" ht="21">
      <c r="AE320" s="1"/>
      <c r="AG320" s="1"/>
      <c r="AH320" s="1"/>
      <c r="AI320" s="1"/>
      <c r="AJ320" s="1"/>
      <c r="AK320" s="1"/>
      <c r="AL320" s="1"/>
      <c r="AM320" s="1"/>
      <c r="AN320" s="1"/>
    </row>
    <row r="321" spans="31:40" ht="21">
      <c r="AE321" s="1"/>
      <c r="AG321" s="1"/>
      <c r="AH321" s="1"/>
      <c r="AI321" s="1"/>
      <c r="AJ321" s="1"/>
      <c r="AK321" s="1"/>
      <c r="AL321" s="1"/>
      <c r="AM321" s="1"/>
      <c r="AN321" s="1"/>
    </row>
    <row r="322" spans="31:40" ht="21">
      <c r="AE322" s="1"/>
      <c r="AG322" s="1"/>
      <c r="AH322" s="1"/>
      <c r="AI322" s="1"/>
      <c r="AJ322" s="1"/>
      <c r="AK322" s="1"/>
      <c r="AL322" s="1"/>
      <c r="AM322" s="1"/>
      <c r="AN322" s="1"/>
    </row>
    <row r="323" spans="31:40" ht="21">
      <c r="AE323" s="1"/>
      <c r="AG323" s="1"/>
      <c r="AH323" s="1"/>
      <c r="AI323" s="1"/>
      <c r="AJ323" s="1"/>
      <c r="AK323" s="1"/>
      <c r="AL323" s="1"/>
      <c r="AM323" s="1"/>
      <c r="AN323" s="1"/>
    </row>
    <row r="324" spans="31:40" ht="21">
      <c r="AE324" s="1"/>
      <c r="AG324" s="1"/>
      <c r="AH324" s="1"/>
      <c r="AI324" s="1"/>
      <c r="AJ324" s="1"/>
      <c r="AK324" s="1"/>
      <c r="AL324" s="1"/>
      <c r="AM324" s="1"/>
      <c r="AN324" s="1"/>
    </row>
    <row r="325" spans="31:40" ht="21">
      <c r="AE325" s="1"/>
      <c r="AG325" s="1"/>
      <c r="AH325" s="1"/>
      <c r="AI325" s="1"/>
      <c r="AJ325" s="1"/>
      <c r="AK325" s="1"/>
      <c r="AL325" s="1"/>
      <c r="AM325" s="1"/>
      <c r="AN325" s="1"/>
    </row>
    <row r="326" spans="31:40" ht="21">
      <c r="AE326" s="1"/>
      <c r="AG326" s="1"/>
      <c r="AH326" s="1"/>
      <c r="AI326" s="1"/>
      <c r="AJ326" s="1"/>
      <c r="AK326" s="1"/>
      <c r="AL326" s="1"/>
      <c r="AM326" s="1"/>
      <c r="AN326" s="1"/>
    </row>
    <row r="327" spans="31:40" ht="21">
      <c r="AE327" s="1"/>
      <c r="AG327" s="1"/>
      <c r="AH327" s="1"/>
      <c r="AI327" s="1"/>
      <c r="AJ327" s="1"/>
      <c r="AK327" s="1"/>
      <c r="AL327" s="1"/>
      <c r="AM327" s="1"/>
      <c r="AN327" s="1"/>
    </row>
    <row r="328" spans="31:40" ht="21">
      <c r="AE328" s="1"/>
      <c r="AG328" s="1"/>
      <c r="AH328" s="1"/>
      <c r="AI328" s="1"/>
      <c r="AJ328" s="1"/>
      <c r="AK328" s="1"/>
      <c r="AL328" s="1"/>
      <c r="AM328" s="1"/>
      <c r="AN328" s="1"/>
    </row>
    <row r="329" spans="31:40" ht="21">
      <c r="AE329" s="1"/>
      <c r="AG329" s="1"/>
      <c r="AH329" s="1"/>
      <c r="AI329" s="1"/>
      <c r="AJ329" s="1"/>
      <c r="AK329" s="1"/>
      <c r="AL329" s="1"/>
      <c r="AM329" s="1"/>
      <c r="AN329" s="1"/>
    </row>
    <row r="330" spans="31:40" ht="21">
      <c r="AE330" s="1"/>
      <c r="AG330" s="1"/>
      <c r="AH330" s="1"/>
      <c r="AI330" s="1"/>
      <c r="AJ330" s="1"/>
      <c r="AK330" s="1"/>
      <c r="AL330" s="1"/>
      <c r="AM330" s="1"/>
      <c r="AN330" s="1"/>
    </row>
    <row r="331" spans="31:40" ht="21">
      <c r="AE331" s="1"/>
      <c r="AG331" s="1"/>
      <c r="AH331" s="1"/>
      <c r="AI331" s="1"/>
      <c r="AJ331" s="1"/>
      <c r="AK331" s="1"/>
      <c r="AL331" s="1"/>
      <c r="AM331" s="1"/>
      <c r="AN331" s="1"/>
    </row>
    <row r="332" spans="31:40" ht="21">
      <c r="AE332" s="1"/>
      <c r="AG332" s="1"/>
      <c r="AH332" s="1"/>
      <c r="AI332" s="1"/>
      <c r="AJ332" s="1"/>
      <c r="AK332" s="1"/>
      <c r="AL332" s="1"/>
      <c r="AM332" s="1"/>
      <c r="AN332" s="1"/>
    </row>
    <row r="333" spans="31:40" ht="21">
      <c r="AE333" s="1"/>
      <c r="AG333" s="1"/>
      <c r="AH333" s="1"/>
      <c r="AI333" s="1"/>
      <c r="AJ333" s="1"/>
      <c r="AK333" s="1"/>
      <c r="AL333" s="1"/>
      <c r="AM333" s="1"/>
      <c r="AN333" s="1"/>
    </row>
    <row r="334" spans="31:40" ht="21">
      <c r="AE334" s="1"/>
      <c r="AG334" s="1"/>
      <c r="AH334" s="1"/>
      <c r="AI334" s="1"/>
      <c r="AJ334" s="1"/>
      <c r="AK334" s="1"/>
      <c r="AL334" s="1"/>
      <c r="AM334" s="1"/>
      <c r="AN334" s="1"/>
    </row>
    <row r="335" spans="31:40" ht="21">
      <c r="AE335" s="1"/>
      <c r="AG335" s="1"/>
      <c r="AH335" s="1"/>
      <c r="AI335" s="1"/>
      <c r="AJ335" s="1"/>
      <c r="AK335" s="1"/>
      <c r="AL335" s="1"/>
      <c r="AM335" s="1"/>
      <c r="AN335" s="1"/>
    </row>
    <row r="336" spans="31:40" ht="21">
      <c r="AE336" s="1"/>
      <c r="AG336" s="1"/>
      <c r="AH336" s="1"/>
      <c r="AI336" s="1"/>
      <c r="AJ336" s="1"/>
      <c r="AK336" s="1"/>
      <c r="AL336" s="1"/>
      <c r="AM336" s="1"/>
      <c r="AN336" s="1"/>
    </row>
    <row r="337" spans="31:40" ht="21">
      <c r="AE337" s="1"/>
      <c r="AG337" s="1"/>
      <c r="AH337" s="1"/>
      <c r="AI337" s="1"/>
      <c r="AJ337" s="1"/>
      <c r="AK337" s="1"/>
      <c r="AL337" s="1"/>
      <c r="AM337" s="1"/>
      <c r="AN337" s="1"/>
    </row>
    <row r="338" spans="31:40" ht="21">
      <c r="AE338" s="1"/>
      <c r="AG338" s="1"/>
      <c r="AH338" s="1"/>
      <c r="AI338" s="1"/>
      <c r="AJ338" s="1"/>
      <c r="AK338" s="1"/>
      <c r="AL338" s="1"/>
      <c r="AM338" s="1"/>
      <c r="AN338" s="1"/>
    </row>
    <row r="339" spans="31:40" ht="21">
      <c r="AE339" s="1"/>
      <c r="AG339" s="1"/>
      <c r="AH339" s="1"/>
      <c r="AI339" s="1"/>
      <c r="AJ339" s="1"/>
      <c r="AK339" s="1"/>
      <c r="AL339" s="1"/>
      <c r="AM339" s="1"/>
      <c r="AN339" s="1"/>
    </row>
    <row r="340" spans="31:40" ht="21">
      <c r="AE340" s="1"/>
      <c r="AG340" s="1"/>
      <c r="AH340" s="1"/>
      <c r="AI340" s="1"/>
      <c r="AJ340" s="1"/>
      <c r="AK340" s="1"/>
      <c r="AL340" s="1"/>
      <c r="AM340" s="1"/>
      <c r="AN340" s="1"/>
    </row>
    <row r="341" spans="31:40" ht="21">
      <c r="AE341" s="1"/>
      <c r="AG341" s="1"/>
      <c r="AH341" s="1"/>
      <c r="AI341" s="1"/>
      <c r="AJ341" s="1"/>
      <c r="AK341" s="1"/>
      <c r="AL341" s="1"/>
      <c r="AM341" s="1"/>
      <c r="AN341" s="1"/>
    </row>
    <row r="342" spans="31:40" ht="21">
      <c r="AE342" s="1"/>
      <c r="AG342" s="1"/>
      <c r="AH342" s="1"/>
      <c r="AI342" s="1"/>
      <c r="AJ342" s="1"/>
      <c r="AK342" s="1"/>
      <c r="AL342" s="1"/>
      <c r="AM342" s="1"/>
      <c r="AN342" s="1"/>
    </row>
    <row r="343" spans="31:40" ht="21">
      <c r="AE343" s="1"/>
      <c r="AG343" s="1"/>
      <c r="AH343" s="1"/>
      <c r="AI343" s="1"/>
      <c r="AJ343" s="1"/>
      <c r="AK343" s="1"/>
      <c r="AL343" s="1"/>
      <c r="AM343" s="1"/>
      <c r="AN343" s="1"/>
    </row>
    <row r="344" spans="31:40" ht="21">
      <c r="AE344" s="1"/>
      <c r="AG344" s="1"/>
      <c r="AH344" s="1"/>
      <c r="AI344" s="1"/>
      <c r="AJ344" s="1"/>
      <c r="AK344" s="1"/>
      <c r="AL344" s="1"/>
      <c r="AM344" s="1"/>
      <c r="AN344" s="1"/>
    </row>
    <row r="345" spans="31:40" ht="21">
      <c r="AE345" s="1"/>
      <c r="AG345" s="1"/>
      <c r="AH345" s="1"/>
      <c r="AI345" s="1"/>
      <c r="AJ345" s="1"/>
      <c r="AK345" s="1"/>
      <c r="AL345" s="1"/>
      <c r="AM345" s="1"/>
      <c r="AN345" s="1"/>
    </row>
    <row r="346" spans="31:40" ht="21">
      <c r="AE346" s="1"/>
      <c r="AG346" s="1"/>
      <c r="AH346" s="1"/>
      <c r="AI346" s="1"/>
      <c r="AJ346" s="1"/>
      <c r="AK346" s="1"/>
      <c r="AL346" s="1"/>
      <c r="AM346" s="1"/>
      <c r="AN346" s="1"/>
    </row>
    <row r="347" spans="31:40" ht="21">
      <c r="AE347" s="1"/>
      <c r="AG347" s="1"/>
      <c r="AH347" s="1"/>
      <c r="AI347" s="1"/>
      <c r="AJ347" s="1"/>
      <c r="AK347" s="1"/>
      <c r="AL347" s="1"/>
      <c r="AM347" s="1"/>
      <c r="AN347" s="1"/>
    </row>
    <row r="348" spans="31:40" ht="21">
      <c r="AE348" s="1"/>
      <c r="AG348" s="1"/>
      <c r="AH348" s="1"/>
      <c r="AI348" s="1"/>
      <c r="AJ348" s="1"/>
      <c r="AK348" s="1"/>
      <c r="AL348" s="1"/>
      <c r="AM348" s="1"/>
      <c r="AN348" s="1"/>
    </row>
    <row r="349" spans="31:40" ht="21">
      <c r="AE349" s="1"/>
      <c r="AG349" s="1"/>
      <c r="AH349" s="1"/>
      <c r="AI349" s="1"/>
      <c r="AJ349" s="1"/>
      <c r="AK349" s="1"/>
      <c r="AL349" s="1"/>
      <c r="AM349" s="1"/>
      <c r="AN349" s="1"/>
    </row>
    <row r="350" spans="31:40" ht="21">
      <c r="AE350" s="1"/>
      <c r="AG350" s="1"/>
      <c r="AH350" s="1"/>
      <c r="AI350" s="1"/>
      <c r="AJ350" s="1"/>
      <c r="AK350" s="1"/>
      <c r="AL350" s="1"/>
      <c r="AM350" s="1"/>
      <c r="AN350" s="1"/>
    </row>
    <row r="351" spans="31:40" ht="21">
      <c r="AE351" s="1"/>
      <c r="AG351" s="1"/>
      <c r="AH351" s="1"/>
      <c r="AI351" s="1"/>
      <c r="AJ351" s="1"/>
      <c r="AK351" s="1"/>
      <c r="AL351" s="1"/>
      <c r="AM351" s="1"/>
      <c r="AN351" s="1"/>
    </row>
    <row r="352" spans="31:40" ht="21">
      <c r="AE352" s="1"/>
      <c r="AG352" s="1"/>
      <c r="AH352" s="1"/>
      <c r="AI352" s="1"/>
      <c r="AJ352" s="1"/>
      <c r="AK352" s="1"/>
      <c r="AL352" s="1"/>
      <c r="AM352" s="1"/>
      <c r="AN352" s="1"/>
    </row>
    <row r="353" spans="31:40" ht="21">
      <c r="AE353" s="1"/>
      <c r="AG353" s="1"/>
      <c r="AH353" s="1"/>
      <c r="AI353" s="1"/>
      <c r="AJ353" s="1"/>
      <c r="AK353" s="1"/>
      <c r="AL353" s="1"/>
      <c r="AM353" s="1"/>
      <c r="AN353" s="1"/>
    </row>
    <row r="354" spans="31:40" ht="21">
      <c r="AE354" s="1"/>
      <c r="AG354" s="1"/>
      <c r="AH354" s="1"/>
      <c r="AI354" s="1"/>
      <c r="AJ354" s="1"/>
      <c r="AK354" s="1"/>
      <c r="AL354" s="1"/>
      <c r="AM354" s="1"/>
      <c r="AN354" s="1"/>
    </row>
    <row r="355" spans="31:40" ht="21">
      <c r="AE355" s="1"/>
      <c r="AG355" s="1"/>
      <c r="AH355" s="1"/>
      <c r="AI355" s="1"/>
      <c r="AJ355" s="1"/>
      <c r="AK355" s="1"/>
      <c r="AL355" s="1"/>
      <c r="AM355" s="1"/>
      <c r="AN355" s="1"/>
    </row>
    <row r="356" spans="31:40" ht="21">
      <c r="AE356" s="1"/>
      <c r="AG356" s="1"/>
      <c r="AH356" s="1"/>
      <c r="AI356" s="1"/>
      <c r="AJ356" s="1"/>
      <c r="AK356" s="1"/>
      <c r="AL356" s="1"/>
      <c r="AM356" s="1"/>
      <c r="AN356" s="1"/>
    </row>
    <row r="357" spans="31:40" ht="21">
      <c r="AE357" s="1"/>
      <c r="AG357" s="1"/>
      <c r="AH357" s="1"/>
      <c r="AI357" s="1"/>
      <c r="AJ357" s="1"/>
      <c r="AK357" s="1"/>
      <c r="AL357" s="1"/>
      <c r="AM357" s="1"/>
      <c r="AN357" s="1"/>
    </row>
    <row r="358" spans="31:40" ht="21">
      <c r="AE358" s="1"/>
      <c r="AG358" s="1"/>
      <c r="AH358" s="1"/>
      <c r="AI358" s="1"/>
      <c r="AJ358" s="1"/>
      <c r="AK358" s="1"/>
      <c r="AL358" s="1"/>
      <c r="AM358" s="1"/>
      <c r="AN358" s="1"/>
    </row>
    <row r="359" spans="31:40" ht="21">
      <c r="AE359" s="1"/>
      <c r="AG359" s="1"/>
      <c r="AH359" s="1"/>
      <c r="AI359" s="1"/>
      <c r="AJ359" s="1"/>
      <c r="AK359" s="1"/>
      <c r="AL359" s="1"/>
      <c r="AM359" s="1"/>
      <c r="AN359" s="1"/>
    </row>
    <row r="360" spans="31:40" ht="21">
      <c r="AE360" s="1"/>
      <c r="AG360" s="1"/>
      <c r="AH360" s="1"/>
      <c r="AI360" s="1"/>
      <c r="AJ360" s="1"/>
      <c r="AK360" s="1"/>
      <c r="AL360" s="1"/>
      <c r="AM360" s="1"/>
      <c r="AN360" s="1"/>
    </row>
    <row r="361" spans="31:40" ht="21">
      <c r="AE361" s="1"/>
      <c r="AG361" s="1"/>
      <c r="AH361" s="1"/>
      <c r="AI361" s="1"/>
      <c r="AJ361" s="1"/>
      <c r="AK361" s="1"/>
      <c r="AL361" s="1"/>
      <c r="AM361" s="1"/>
      <c r="AN361" s="1"/>
    </row>
    <row r="362" spans="31:40" ht="21">
      <c r="AE362" s="1"/>
      <c r="AG362" s="1"/>
      <c r="AH362" s="1"/>
      <c r="AI362" s="1"/>
      <c r="AJ362" s="1"/>
      <c r="AK362" s="1"/>
      <c r="AL362" s="1"/>
      <c r="AM362" s="1"/>
      <c r="AN362" s="1"/>
    </row>
    <row r="363" spans="31:40" ht="21">
      <c r="AE363" s="1"/>
      <c r="AG363" s="1"/>
      <c r="AH363" s="1"/>
      <c r="AI363" s="1"/>
      <c r="AJ363" s="1"/>
      <c r="AK363" s="1"/>
      <c r="AL363" s="1"/>
      <c r="AM363" s="1"/>
      <c r="AN363" s="1"/>
    </row>
    <row r="364" spans="31:40" ht="21">
      <c r="AE364" s="1"/>
      <c r="AG364" s="1"/>
      <c r="AH364" s="1"/>
      <c r="AI364" s="1"/>
      <c r="AJ364" s="1"/>
      <c r="AK364" s="1"/>
      <c r="AL364" s="1"/>
      <c r="AM364" s="1"/>
      <c r="AN364" s="1"/>
    </row>
    <row r="365" spans="31:40" ht="21">
      <c r="AE365" s="1"/>
      <c r="AG365" s="1"/>
      <c r="AH365" s="1"/>
      <c r="AI365" s="1"/>
      <c r="AJ365" s="1"/>
      <c r="AK365" s="1"/>
      <c r="AL365" s="1"/>
      <c r="AM365" s="1"/>
      <c r="AN365" s="1"/>
    </row>
    <row r="366" spans="31:40" ht="21">
      <c r="AE366" s="1"/>
      <c r="AG366" s="1"/>
      <c r="AH366" s="1"/>
      <c r="AI366" s="1"/>
      <c r="AJ366" s="1"/>
      <c r="AK366" s="1"/>
      <c r="AL366" s="1"/>
      <c r="AM366" s="1"/>
      <c r="AN366" s="1"/>
    </row>
    <row r="367" spans="31:40" ht="21">
      <c r="AE367" s="1"/>
      <c r="AG367" s="1"/>
      <c r="AH367" s="1"/>
      <c r="AI367" s="1"/>
      <c r="AJ367" s="1"/>
      <c r="AK367" s="1"/>
      <c r="AL367" s="1"/>
      <c r="AM367" s="1"/>
      <c r="AN367" s="1"/>
    </row>
    <row r="368" spans="31:40" ht="21">
      <c r="AE368" s="1"/>
      <c r="AG368" s="1"/>
      <c r="AH368" s="1"/>
      <c r="AI368" s="1"/>
      <c r="AJ368" s="1"/>
      <c r="AK368" s="1"/>
      <c r="AL368" s="1"/>
      <c r="AM368" s="1"/>
      <c r="AN368" s="1"/>
    </row>
    <row r="369" spans="31:40" ht="21">
      <c r="AE369" s="1"/>
      <c r="AG369" s="1"/>
      <c r="AH369" s="1"/>
      <c r="AI369" s="1"/>
      <c r="AJ369" s="1"/>
      <c r="AK369" s="1"/>
      <c r="AL369" s="1"/>
      <c r="AM369" s="1"/>
      <c r="AN369" s="1"/>
    </row>
    <row r="370" spans="31:40" ht="21">
      <c r="AE370" s="1"/>
      <c r="AG370" s="1"/>
      <c r="AH370" s="1"/>
      <c r="AI370" s="1"/>
      <c r="AJ370" s="1"/>
      <c r="AK370" s="1"/>
      <c r="AL370" s="1"/>
      <c r="AM370" s="1"/>
      <c r="AN370" s="1"/>
    </row>
    <row r="371" spans="31:40" ht="21">
      <c r="AE371" s="1"/>
      <c r="AG371" s="1"/>
      <c r="AH371" s="1"/>
      <c r="AI371" s="1"/>
      <c r="AJ371" s="1"/>
      <c r="AK371" s="1"/>
      <c r="AL371" s="1"/>
      <c r="AM371" s="1"/>
      <c r="AN371" s="1"/>
    </row>
    <row r="372" spans="31:40" ht="21">
      <c r="AE372" s="1"/>
      <c r="AG372" s="1"/>
      <c r="AH372" s="1"/>
      <c r="AI372" s="1"/>
      <c r="AJ372" s="1"/>
      <c r="AK372" s="1"/>
      <c r="AL372" s="1"/>
      <c r="AM372" s="1"/>
      <c r="AN372" s="1"/>
    </row>
    <row r="373" spans="31:40" ht="21">
      <c r="AE373" s="1"/>
      <c r="AG373" s="1"/>
      <c r="AH373" s="1"/>
      <c r="AI373" s="1"/>
      <c r="AJ373" s="1"/>
      <c r="AK373" s="1"/>
      <c r="AL373" s="1"/>
      <c r="AM373" s="1"/>
      <c r="AN373" s="1"/>
    </row>
    <row r="374" spans="31:40" ht="21">
      <c r="AE374" s="1"/>
      <c r="AG374" s="1"/>
      <c r="AH374" s="1"/>
      <c r="AI374" s="1"/>
      <c r="AJ374" s="1"/>
      <c r="AK374" s="1"/>
      <c r="AL374" s="1"/>
      <c r="AM374" s="1"/>
      <c r="AN374" s="1"/>
    </row>
    <row r="375" spans="31:40" ht="21">
      <c r="AE375" s="1"/>
      <c r="AG375" s="1"/>
      <c r="AH375" s="1"/>
      <c r="AI375" s="1"/>
      <c r="AJ375" s="1"/>
      <c r="AK375" s="1"/>
      <c r="AL375" s="1"/>
      <c r="AM375" s="1"/>
      <c r="AN375" s="1"/>
    </row>
    <row r="376" spans="31:40" ht="21">
      <c r="AE376" s="1"/>
      <c r="AG376" s="1"/>
      <c r="AH376" s="1"/>
      <c r="AI376" s="1"/>
      <c r="AJ376" s="1"/>
      <c r="AK376" s="1"/>
      <c r="AL376" s="1"/>
      <c r="AM376" s="1"/>
      <c r="AN376" s="1"/>
    </row>
    <row r="377" spans="31:40" ht="21">
      <c r="AE377" s="1"/>
      <c r="AG377" s="1"/>
      <c r="AH377" s="1"/>
      <c r="AI377" s="1"/>
      <c r="AJ377" s="1"/>
      <c r="AK377" s="1"/>
      <c r="AL377" s="1"/>
      <c r="AM377" s="1"/>
      <c r="AN377" s="1"/>
    </row>
    <row r="378" spans="31:40" ht="21">
      <c r="AE378" s="1"/>
      <c r="AG378" s="1"/>
      <c r="AH378" s="1"/>
      <c r="AI378" s="1"/>
      <c r="AJ378" s="1"/>
      <c r="AK378" s="1"/>
      <c r="AL378" s="1"/>
      <c r="AM378" s="1"/>
      <c r="AN378" s="1"/>
    </row>
    <row r="379" spans="31:40" ht="21">
      <c r="AE379" s="1"/>
      <c r="AG379" s="1"/>
      <c r="AH379" s="1"/>
      <c r="AI379" s="1"/>
      <c r="AJ379" s="1"/>
      <c r="AK379" s="1"/>
      <c r="AL379" s="1"/>
      <c r="AM379" s="1"/>
      <c r="AN379" s="1"/>
    </row>
    <row r="380" spans="31:40" ht="21">
      <c r="AE380" s="1"/>
      <c r="AG380" s="1"/>
      <c r="AH380" s="1"/>
      <c r="AI380" s="1"/>
      <c r="AJ380" s="1"/>
      <c r="AK380" s="1"/>
      <c r="AL380" s="1"/>
      <c r="AM380" s="1"/>
      <c r="AN380" s="1"/>
    </row>
    <row r="381" spans="31:40" ht="21">
      <c r="AE381" s="1"/>
      <c r="AG381" s="1"/>
      <c r="AH381" s="1"/>
      <c r="AI381" s="1"/>
      <c r="AJ381" s="1"/>
      <c r="AK381" s="1"/>
      <c r="AL381" s="1"/>
      <c r="AM381" s="1"/>
      <c r="AN381" s="1"/>
    </row>
    <row r="382" spans="31:40" ht="21">
      <c r="AE382" s="1"/>
      <c r="AG382" s="1"/>
      <c r="AH382" s="1"/>
      <c r="AI382" s="1"/>
      <c r="AJ382" s="1"/>
      <c r="AK382" s="1"/>
      <c r="AL382" s="1"/>
      <c r="AM382" s="1"/>
      <c r="AN382" s="1"/>
    </row>
    <row r="383" spans="31:40" ht="21">
      <c r="AE383" s="1"/>
      <c r="AG383" s="1"/>
      <c r="AH383" s="1"/>
      <c r="AI383" s="1"/>
      <c r="AJ383" s="1"/>
      <c r="AK383" s="1"/>
      <c r="AL383" s="1"/>
      <c r="AM383" s="1"/>
      <c r="AN383" s="1"/>
    </row>
    <row r="384" spans="31:40" ht="21">
      <c r="AE384" s="1"/>
      <c r="AG384" s="1"/>
      <c r="AH384" s="1"/>
      <c r="AI384" s="1"/>
      <c r="AJ384" s="1"/>
      <c r="AK384" s="1"/>
      <c r="AL384" s="1"/>
      <c r="AM384" s="1"/>
      <c r="AN384" s="1"/>
    </row>
    <row r="385" spans="31:40" ht="21">
      <c r="AE385" s="1"/>
      <c r="AG385" s="1"/>
      <c r="AH385" s="1"/>
      <c r="AI385" s="1"/>
      <c r="AJ385" s="1"/>
      <c r="AK385" s="1"/>
      <c r="AL385" s="1"/>
      <c r="AM385" s="1"/>
      <c r="AN385" s="1"/>
    </row>
    <row r="386" spans="31:40" ht="21">
      <c r="AE386" s="1"/>
      <c r="AG386" s="1"/>
      <c r="AH386" s="1"/>
      <c r="AI386" s="1"/>
      <c r="AJ386" s="1"/>
      <c r="AK386" s="1"/>
      <c r="AL386" s="1"/>
      <c r="AM386" s="1"/>
      <c r="AN386" s="1"/>
    </row>
    <row r="387" spans="31:40" ht="21">
      <c r="AE387" s="1"/>
      <c r="AG387" s="1"/>
      <c r="AH387" s="1"/>
      <c r="AI387" s="1"/>
      <c r="AJ387" s="1"/>
      <c r="AK387" s="1"/>
      <c r="AL387" s="1"/>
      <c r="AM387" s="1"/>
      <c r="AN387" s="1"/>
    </row>
    <row r="388" spans="31:40" ht="21">
      <c r="AE388" s="1"/>
      <c r="AG388" s="1"/>
      <c r="AH388" s="1"/>
      <c r="AI388" s="1"/>
      <c r="AJ388" s="1"/>
      <c r="AK388" s="1"/>
      <c r="AL388" s="1"/>
      <c r="AM388" s="1"/>
      <c r="AN388" s="1"/>
    </row>
    <row r="389" spans="31:40" ht="21">
      <c r="AE389" s="1"/>
      <c r="AG389" s="1"/>
      <c r="AH389" s="1"/>
      <c r="AI389" s="1"/>
      <c r="AJ389" s="1"/>
      <c r="AK389" s="1"/>
      <c r="AL389" s="1"/>
      <c r="AM389" s="1"/>
      <c r="AN389" s="1"/>
    </row>
    <row r="390" spans="31:40" ht="21">
      <c r="AE390" s="1"/>
      <c r="AG390" s="1"/>
      <c r="AH390" s="1"/>
      <c r="AI390" s="1"/>
      <c r="AJ390" s="1"/>
      <c r="AK390" s="1"/>
      <c r="AL390" s="1"/>
      <c r="AM390" s="1"/>
      <c r="AN390" s="1"/>
    </row>
    <row r="391" spans="31:40" ht="21">
      <c r="AE391" s="1"/>
      <c r="AG391" s="1"/>
      <c r="AH391" s="1"/>
      <c r="AI391" s="1"/>
      <c r="AJ391" s="1"/>
      <c r="AK391" s="1"/>
      <c r="AL391" s="1"/>
      <c r="AM391" s="1"/>
      <c r="AN391" s="1"/>
    </row>
    <row r="392" spans="31:40" ht="21">
      <c r="AE392" s="1"/>
      <c r="AG392" s="1"/>
      <c r="AH392" s="1"/>
      <c r="AI392" s="1"/>
      <c r="AJ392" s="1"/>
      <c r="AK392" s="1"/>
      <c r="AL392" s="1"/>
      <c r="AM392" s="1"/>
      <c r="AN392" s="1"/>
    </row>
    <row r="393" spans="31:40" ht="21">
      <c r="AE393" s="1"/>
      <c r="AG393" s="1"/>
      <c r="AH393" s="1"/>
      <c r="AI393" s="1"/>
      <c r="AJ393" s="1"/>
      <c r="AK393" s="1"/>
      <c r="AL393" s="1"/>
      <c r="AM393" s="1"/>
      <c r="AN393" s="1"/>
    </row>
    <row r="394" spans="31:40" ht="21">
      <c r="AE394" s="1"/>
      <c r="AG394" s="1"/>
      <c r="AH394" s="1"/>
      <c r="AI394" s="1"/>
      <c r="AJ394" s="1"/>
      <c r="AK394" s="1"/>
      <c r="AL394" s="1"/>
      <c r="AM394" s="1"/>
      <c r="AN394" s="1"/>
    </row>
    <row r="395" spans="31:40" ht="21">
      <c r="AE395" s="1"/>
      <c r="AG395" s="1"/>
      <c r="AH395" s="1"/>
      <c r="AI395" s="1"/>
      <c r="AJ395" s="1"/>
      <c r="AK395" s="1"/>
      <c r="AL395" s="1"/>
      <c r="AM395" s="1"/>
      <c r="AN395" s="1"/>
    </row>
    <row r="396" spans="31:40" ht="21">
      <c r="AE396" s="1"/>
      <c r="AG396" s="1"/>
      <c r="AH396" s="1"/>
      <c r="AI396" s="1"/>
      <c r="AJ396" s="1"/>
      <c r="AK396" s="1"/>
      <c r="AL396" s="1"/>
      <c r="AM396" s="1"/>
      <c r="AN396" s="1"/>
    </row>
    <row r="397" spans="31:40" ht="21">
      <c r="AE397" s="1"/>
      <c r="AG397" s="1"/>
      <c r="AH397" s="1"/>
      <c r="AI397" s="1"/>
      <c r="AJ397" s="1"/>
      <c r="AK397" s="1"/>
      <c r="AL397" s="1"/>
      <c r="AM397" s="1"/>
      <c r="AN397" s="1"/>
    </row>
    <row r="398" spans="31:40" ht="21">
      <c r="AE398" s="1"/>
      <c r="AG398" s="1"/>
      <c r="AH398" s="1"/>
      <c r="AI398" s="1"/>
      <c r="AJ398" s="1"/>
      <c r="AK398" s="1"/>
      <c r="AL398" s="1"/>
      <c r="AM398" s="1"/>
      <c r="AN398" s="1"/>
    </row>
    <row r="399" spans="31:40" ht="21">
      <c r="AE399" s="1"/>
      <c r="AG399" s="1"/>
      <c r="AH399" s="1"/>
      <c r="AI399" s="1"/>
      <c r="AJ399" s="1"/>
      <c r="AK399" s="1"/>
      <c r="AL399" s="1"/>
      <c r="AM399" s="1"/>
      <c r="AN399" s="1"/>
    </row>
    <row r="400" spans="31:40" ht="21">
      <c r="AE400" s="1"/>
      <c r="AG400" s="1"/>
      <c r="AH400" s="1"/>
      <c r="AI400" s="1"/>
      <c r="AJ400" s="1"/>
      <c r="AK400" s="1"/>
      <c r="AL400" s="1"/>
      <c r="AM400" s="1"/>
      <c r="AN400" s="1"/>
    </row>
    <row r="401" spans="31:40" ht="21">
      <c r="AE401" s="1"/>
      <c r="AG401" s="1"/>
      <c r="AH401" s="1"/>
      <c r="AI401" s="1"/>
      <c r="AJ401" s="1"/>
      <c r="AK401" s="1"/>
      <c r="AL401" s="1"/>
      <c r="AM401" s="1"/>
      <c r="AN401" s="1"/>
    </row>
    <row r="402" spans="31:40" ht="21">
      <c r="AE402" s="1"/>
      <c r="AG402" s="1"/>
      <c r="AH402" s="1"/>
      <c r="AI402" s="1"/>
      <c r="AJ402" s="1"/>
      <c r="AK402" s="1"/>
      <c r="AL402" s="1"/>
      <c r="AM402" s="1"/>
      <c r="AN402" s="1"/>
    </row>
    <row r="403" spans="31:40" ht="21">
      <c r="AE403" s="1"/>
      <c r="AG403" s="1"/>
      <c r="AH403" s="1"/>
      <c r="AI403" s="1"/>
      <c r="AJ403" s="1"/>
      <c r="AK403" s="1"/>
      <c r="AL403" s="1"/>
      <c r="AM403" s="1"/>
      <c r="AN403" s="1"/>
    </row>
    <row r="404" spans="31:40" ht="21">
      <c r="AE404" s="1"/>
      <c r="AG404" s="1"/>
      <c r="AH404" s="1"/>
      <c r="AI404" s="1"/>
      <c r="AJ404" s="1"/>
      <c r="AK404" s="1"/>
      <c r="AL404" s="1"/>
      <c r="AM404" s="1"/>
      <c r="AN404" s="1"/>
    </row>
    <row r="405" spans="31:40" ht="21">
      <c r="AE405" s="1"/>
      <c r="AG405" s="1"/>
      <c r="AH405" s="1"/>
      <c r="AI405" s="1"/>
      <c r="AJ405" s="1"/>
      <c r="AK405" s="1"/>
      <c r="AL405" s="1"/>
      <c r="AM405" s="1"/>
      <c r="AN405" s="1"/>
    </row>
    <row r="406" spans="31:40" ht="21">
      <c r="AE406" s="1"/>
      <c r="AG406" s="1"/>
      <c r="AH406" s="1"/>
      <c r="AI406" s="1"/>
      <c r="AJ406" s="1"/>
      <c r="AK406" s="1"/>
      <c r="AL406" s="1"/>
      <c r="AM406" s="1"/>
      <c r="AN406" s="1"/>
    </row>
    <row r="407" spans="31:40" ht="21">
      <c r="AE407" s="1"/>
      <c r="AG407" s="1"/>
      <c r="AH407" s="1"/>
      <c r="AI407" s="1"/>
      <c r="AJ407" s="1"/>
      <c r="AK407" s="1"/>
      <c r="AL407" s="1"/>
      <c r="AM407" s="1"/>
      <c r="AN407" s="1"/>
    </row>
    <row r="408" spans="31:40" ht="21">
      <c r="AE408" s="1"/>
      <c r="AG408" s="1"/>
      <c r="AH408" s="1"/>
      <c r="AI408" s="1"/>
      <c r="AJ408" s="1"/>
      <c r="AK408" s="1"/>
      <c r="AL408" s="1"/>
      <c r="AM408" s="1"/>
      <c r="AN408" s="1"/>
    </row>
    <row r="409" spans="31:40" ht="21">
      <c r="AE409" s="1"/>
      <c r="AG409" s="1"/>
      <c r="AH409" s="1"/>
      <c r="AI409" s="1"/>
      <c r="AJ409" s="1"/>
      <c r="AK409" s="1"/>
      <c r="AL409" s="1"/>
      <c r="AM409" s="1"/>
      <c r="AN409" s="1"/>
    </row>
    <row r="410" spans="31:40" ht="21">
      <c r="AE410" s="1"/>
      <c r="AG410" s="1"/>
      <c r="AH410" s="1"/>
      <c r="AI410" s="1"/>
      <c r="AJ410" s="1"/>
      <c r="AK410" s="1"/>
      <c r="AL410" s="1"/>
      <c r="AM410" s="1"/>
      <c r="AN410" s="1"/>
    </row>
    <row r="411" spans="31:40" ht="21">
      <c r="AE411" s="1"/>
      <c r="AG411" s="1"/>
      <c r="AH411" s="1"/>
      <c r="AI411" s="1"/>
      <c r="AJ411" s="1"/>
      <c r="AK411" s="1"/>
      <c r="AL411" s="1"/>
      <c r="AM411" s="1"/>
      <c r="AN411" s="1"/>
    </row>
    <row r="412" spans="31:40" ht="21">
      <c r="AE412" s="1"/>
      <c r="AG412" s="1"/>
      <c r="AH412" s="1"/>
      <c r="AI412" s="1"/>
      <c r="AJ412" s="1"/>
      <c r="AK412" s="1"/>
      <c r="AL412" s="1"/>
      <c r="AM412" s="1"/>
      <c r="AN412" s="1"/>
    </row>
    <row r="413" spans="31:40" ht="21">
      <c r="AE413" s="1"/>
      <c r="AG413" s="1"/>
      <c r="AH413" s="1"/>
      <c r="AI413" s="1"/>
      <c r="AJ413" s="1"/>
      <c r="AK413" s="1"/>
      <c r="AL413" s="1"/>
      <c r="AM413" s="1"/>
      <c r="AN413" s="1"/>
    </row>
    <row r="414" spans="31:40" ht="21">
      <c r="AE414" s="1"/>
      <c r="AG414" s="1"/>
      <c r="AH414" s="1"/>
      <c r="AI414" s="1"/>
      <c r="AJ414" s="1"/>
      <c r="AK414" s="1"/>
      <c r="AL414" s="1"/>
      <c r="AM414" s="1"/>
      <c r="AN414" s="1"/>
    </row>
    <row r="415" spans="31:40" ht="21">
      <c r="AE415" s="1"/>
      <c r="AG415" s="1"/>
      <c r="AH415" s="1"/>
      <c r="AI415" s="1"/>
      <c r="AJ415" s="1"/>
      <c r="AK415" s="1"/>
      <c r="AL415" s="1"/>
      <c r="AM415" s="1"/>
      <c r="AN415" s="1"/>
    </row>
    <row r="416" spans="31:40" ht="21">
      <c r="AE416" s="1"/>
      <c r="AG416" s="1"/>
      <c r="AH416" s="1"/>
      <c r="AI416" s="1"/>
      <c r="AJ416" s="1"/>
      <c r="AK416" s="1"/>
      <c r="AL416" s="1"/>
      <c r="AM416" s="1"/>
      <c r="AN416" s="1"/>
    </row>
    <row r="417" spans="31:40" ht="21">
      <c r="AE417" s="1"/>
      <c r="AG417" s="1"/>
      <c r="AH417" s="1"/>
      <c r="AI417" s="1"/>
      <c r="AJ417" s="1"/>
      <c r="AK417" s="1"/>
      <c r="AL417" s="1"/>
      <c r="AM417" s="1"/>
      <c r="AN417" s="1"/>
    </row>
    <row r="418" spans="31:40" ht="21">
      <c r="AE418" s="1"/>
      <c r="AG418" s="1"/>
      <c r="AH418" s="1"/>
      <c r="AI418" s="1"/>
      <c r="AJ418" s="1"/>
      <c r="AK418" s="1"/>
      <c r="AL418" s="1"/>
      <c r="AM418" s="1"/>
      <c r="AN418" s="1"/>
    </row>
    <row r="419" spans="31:40" ht="21">
      <c r="AE419" s="1"/>
      <c r="AG419" s="1"/>
      <c r="AH419" s="1"/>
      <c r="AI419" s="1"/>
      <c r="AJ419" s="1"/>
      <c r="AK419" s="1"/>
      <c r="AL419" s="1"/>
      <c r="AM419" s="1"/>
      <c r="AN419" s="1"/>
    </row>
    <row r="420" spans="31:40" ht="21">
      <c r="AE420" s="1"/>
      <c r="AG420" s="1"/>
      <c r="AH420" s="1"/>
      <c r="AI420" s="1"/>
      <c r="AJ420" s="1"/>
      <c r="AK420" s="1"/>
      <c r="AL420" s="1"/>
      <c r="AM420" s="1"/>
      <c r="AN420" s="1"/>
    </row>
    <row r="421" spans="31:40" ht="21">
      <c r="AE421" s="1"/>
      <c r="AG421" s="1"/>
      <c r="AH421" s="1"/>
      <c r="AI421" s="1"/>
      <c r="AJ421" s="1"/>
      <c r="AK421" s="1"/>
      <c r="AL421" s="1"/>
      <c r="AM421" s="1"/>
      <c r="AN421" s="1"/>
    </row>
    <row r="422" spans="31:40" ht="21">
      <c r="AE422" s="1"/>
      <c r="AG422" s="1"/>
      <c r="AH422" s="1"/>
      <c r="AI422" s="1"/>
      <c r="AJ422" s="1"/>
      <c r="AK422" s="1"/>
      <c r="AL422" s="1"/>
      <c r="AM422" s="1"/>
      <c r="AN422" s="1"/>
    </row>
    <row r="423" spans="31:40" ht="21">
      <c r="AE423" s="1"/>
      <c r="AG423" s="1"/>
      <c r="AH423" s="1"/>
      <c r="AI423" s="1"/>
      <c r="AJ423" s="1"/>
      <c r="AK423" s="1"/>
      <c r="AL423" s="1"/>
      <c r="AM423" s="1"/>
      <c r="AN423" s="1"/>
    </row>
    <row r="424" spans="31:40" ht="21">
      <c r="AE424" s="1"/>
      <c r="AG424" s="1"/>
      <c r="AH424" s="1"/>
      <c r="AI424" s="1"/>
      <c r="AJ424" s="1"/>
      <c r="AK424" s="1"/>
      <c r="AL424" s="1"/>
      <c r="AM424" s="1"/>
      <c r="AN424" s="1"/>
    </row>
    <row r="425" spans="31:40" ht="21">
      <c r="AE425" s="1"/>
      <c r="AG425" s="1"/>
      <c r="AH425" s="1"/>
      <c r="AI425" s="1"/>
      <c r="AJ425" s="1"/>
      <c r="AK425" s="1"/>
      <c r="AL425" s="1"/>
      <c r="AM425" s="1"/>
      <c r="AN425" s="1"/>
    </row>
    <row r="426" spans="31:40" ht="21">
      <c r="AE426" s="1"/>
      <c r="AG426" s="1"/>
      <c r="AH426" s="1"/>
      <c r="AI426" s="1"/>
      <c r="AJ426" s="1"/>
      <c r="AK426" s="1"/>
      <c r="AL426" s="1"/>
      <c r="AM426" s="1"/>
      <c r="AN426" s="1"/>
    </row>
    <row r="427" spans="31:40" ht="21">
      <c r="AE427" s="1"/>
      <c r="AG427" s="1"/>
      <c r="AH427" s="1"/>
      <c r="AI427" s="1"/>
      <c r="AJ427" s="1"/>
      <c r="AK427" s="1"/>
      <c r="AL427" s="1"/>
      <c r="AM427" s="1"/>
      <c r="AN427" s="1"/>
    </row>
    <row r="428" spans="31:40" ht="21">
      <c r="AE428" s="1"/>
      <c r="AG428" s="1"/>
      <c r="AH428" s="1"/>
      <c r="AI428" s="1"/>
      <c r="AJ428" s="1"/>
      <c r="AK428" s="1"/>
      <c r="AL428" s="1"/>
      <c r="AM428" s="1"/>
      <c r="AN428" s="1"/>
    </row>
    <row r="429" spans="31:40" ht="21">
      <c r="AE429" s="1"/>
      <c r="AG429" s="1"/>
      <c r="AH429" s="1"/>
      <c r="AI429" s="1"/>
      <c r="AJ429" s="1"/>
      <c r="AK429" s="1"/>
      <c r="AL429" s="1"/>
      <c r="AM429" s="1"/>
      <c r="AN429" s="1"/>
    </row>
    <row r="430" spans="31:40" ht="21">
      <c r="AE430" s="1"/>
      <c r="AG430" s="1"/>
      <c r="AH430" s="1"/>
      <c r="AI430" s="1"/>
      <c r="AJ430" s="1"/>
      <c r="AK430" s="1"/>
      <c r="AL430" s="1"/>
      <c r="AM430" s="1"/>
      <c r="AN430" s="1"/>
    </row>
    <row r="431" spans="31:40" ht="21">
      <c r="AE431" s="1"/>
      <c r="AG431" s="1"/>
      <c r="AH431" s="1"/>
      <c r="AI431" s="1"/>
      <c r="AJ431" s="1"/>
      <c r="AK431" s="1"/>
      <c r="AL431" s="1"/>
      <c r="AM431" s="1"/>
      <c r="AN431" s="1"/>
    </row>
    <row r="432" spans="31:40" ht="21">
      <c r="AE432" s="1"/>
      <c r="AG432" s="1"/>
      <c r="AH432" s="1"/>
      <c r="AI432" s="1"/>
      <c r="AJ432" s="1"/>
      <c r="AK432" s="1"/>
      <c r="AL432" s="1"/>
      <c r="AM432" s="1"/>
      <c r="AN432" s="1"/>
    </row>
    <row r="433" spans="31:40" ht="21">
      <c r="AE433" s="1"/>
      <c r="AG433" s="1"/>
      <c r="AH433" s="1"/>
      <c r="AI433" s="1"/>
      <c r="AJ433" s="1"/>
      <c r="AK433" s="1"/>
      <c r="AL433" s="1"/>
      <c r="AM433" s="1"/>
      <c r="AN433" s="1"/>
    </row>
    <row r="434" spans="31:40" ht="21">
      <c r="AE434" s="1"/>
      <c r="AG434" s="1"/>
      <c r="AH434" s="1"/>
      <c r="AI434" s="1"/>
      <c r="AJ434" s="1"/>
      <c r="AK434" s="1"/>
      <c r="AL434" s="1"/>
      <c r="AM434" s="1"/>
      <c r="AN434" s="1"/>
    </row>
    <row r="435" spans="31:40" ht="21">
      <c r="AE435" s="1"/>
      <c r="AG435" s="1"/>
      <c r="AH435" s="1"/>
      <c r="AI435" s="1"/>
      <c r="AJ435" s="1"/>
      <c r="AK435" s="1"/>
      <c r="AL435" s="1"/>
      <c r="AM435" s="1"/>
      <c r="AN435" s="1"/>
    </row>
    <row r="436" spans="31:40" ht="21">
      <c r="AE436" s="1"/>
      <c r="AG436" s="1"/>
      <c r="AH436" s="1"/>
      <c r="AI436" s="1"/>
      <c r="AJ436" s="1"/>
      <c r="AK436" s="1"/>
      <c r="AL436" s="1"/>
      <c r="AM436" s="1"/>
      <c r="AN436" s="1"/>
    </row>
    <row r="437" spans="31:40" ht="21">
      <c r="AE437" s="1"/>
      <c r="AG437" s="1"/>
      <c r="AH437" s="1"/>
      <c r="AI437" s="1"/>
      <c r="AJ437" s="1"/>
      <c r="AK437" s="1"/>
      <c r="AL437" s="1"/>
      <c r="AM437" s="1"/>
      <c r="AN437" s="1"/>
    </row>
    <row r="438" spans="31:40" ht="21">
      <c r="AE438" s="1"/>
      <c r="AG438" s="1"/>
      <c r="AH438" s="1"/>
      <c r="AI438" s="1"/>
      <c r="AJ438" s="1"/>
      <c r="AK438" s="1"/>
      <c r="AL438" s="1"/>
      <c r="AM438" s="1"/>
      <c r="AN438" s="1"/>
    </row>
    <row r="439" spans="31:40" ht="21">
      <c r="AE439" s="1"/>
      <c r="AG439" s="1"/>
      <c r="AH439" s="1"/>
      <c r="AI439" s="1"/>
      <c r="AJ439" s="1"/>
      <c r="AK439" s="1"/>
      <c r="AL439" s="1"/>
      <c r="AM439" s="1"/>
      <c r="AN439" s="1"/>
    </row>
    <row r="440" spans="31:40" ht="21">
      <c r="AE440" s="1"/>
      <c r="AG440" s="1"/>
      <c r="AH440" s="1"/>
      <c r="AI440" s="1"/>
      <c r="AJ440" s="1"/>
      <c r="AK440" s="1"/>
      <c r="AL440" s="1"/>
      <c r="AM440" s="1"/>
      <c r="AN440" s="1"/>
    </row>
    <row r="441" spans="31:40" ht="21">
      <c r="AE441" s="1"/>
      <c r="AG441" s="1"/>
      <c r="AH441" s="1"/>
      <c r="AI441" s="1"/>
      <c r="AJ441" s="1"/>
      <c r="AK441" s="1"/>
      <c r="AL441" s="1"/>
      <c r="AM441" s="1"/>
      <c r="AN441" s="1"/>
    </row>
    <row r="442" spans="31:40" ht="21">
      <c r="AE442" s="1"/>
      <c r="AG442" s="1"/>
      <c r="AH442" s="1"/>
      <c r="AI442" s="1"/>
      <c r="AJ442" s="1"/>
      <c r="AK442" s="1"/>
      <c r="AL442" s="1"/>
      <c r="AM442" s="1"/>
      <c r="AN442" s="1"/>
    </row>
    <row r="443" spans="31:40" ht="21">
      <c r="AE443" s="1"/>
      <c r="AG443" s="1"/>
      <c r="AH443" s="1"/>
      <c r="AI443" s="1"/>
      <c r="AJ443" s="1"/>
      <c r="AK443" s="1"/>
      <c r="AL443" s="1"/>
      <c r="AM443" s="1"/>
      <c r="AN443" s="1"/>
    </row>
    <row r="444" spans="31:40" ht="21">
      <c r="AE444" s="1"/>
      <c r="AG444" s="1"/>
      <c r="AH444" s="1"/>
      <c r="AI444" s="1"/>
      <c r="AJ444" s="1"/>
      <c r="AK444" s="1"/>
      <c r="AL444" s="1"/>
      <c r="AM444" s="1"/>
      <c r="AN444" s="1"/>
    </row>
    <row r="445" spans="31:40" ht="21">
      <c r="AE445" s="1"/>
      <c r="AG445" s="1"/>
      <c r="AH445" s="1"/>
      <c r="AI445" s="1"/>
      <c r="AJ445" s="1"/>
      <c r="AK445" s="1"/>
      <c r="AL445" s="1"/>
      <c r="AM445" s="1"/>
      <c r="AN445" s="1"/>
    </row>
    <row r="446" spans="31:40" ht="21">
      <c r="AE446" s="1"/>
      <c r="AG446" s="1"/>
      <c r="AH446" s="1"/>
      <c r="AI446" s="1"/>
      <c r="AJ446" s="1"/>
      <c r="AK446" s="1"/>
      <c r="AL446" s="1"/>
      <c r="AM446" s="1"/>
      <c r="AN446" s="1"/>
    </row>
    <row r="447" spans="31:40" ht="21">
      <c r="AE447" s="1"/>
      <c r="AG447" s="1"/>
      <c r="AH447" s="1"/>
      <c r="AI447" s="1"/>
      <c r="AJ447" s="1"/>
      <c r="AK447" s="1"/>
      <c r="AL447" s="1"/>
      <c r="AM447" s="1"/>
      <c r="AN447" s="1"/>
    </row>
    <row r="448" spans="31:40" ht="21">
      <c r="AE448" s="1"/>
      <c r="AG448" s="1"/>
      <c r="AH448" s="1"/>
      <c r="AI448" s="1"/>
      <c r="AJ448" s="1"/>
      <c r="AK448" s="1"/>
      <c r="AL448" s="1"/>
      <c r="AM448" s="1"/>
      <c r="AN448" s="1"/>
    </row>
    <row r="449" spans="31:40" ht="21">
      <c r="AE449" s="1"/>
      <c r="AG449" s="1"/>
      <c r="AH449" s="1"/>
      <c r="AI449" s="1"/>
      <c r="AJ449" s="1"/>
      <c r="AK449" s="1"/>
      <c r="AL449" s="1"/>
      <c r="AM449" s="1"/>
      <c r="AN449" s="1"/>
    </row>
    <row r="450" spans="31:40" ht="21">
      <c r="AE450" s="1"/>
      <c r="AG450" s="1"/>
      <c r="AH450" s="1"/>
      <c r="AI450" s="1"/>
      <c r="AJ450" s="1"/>
      <c r="AK450" s="1"/>
      <c r="AL450" s="1"/>
      <c r="AM450" s="1"/>
      <c r="AN450" s="1"/>
    </row>
    <row r="451" spans="31:40" ht="21">
      <c r="AE451" s="1"/>
      <c r="AG451" s="1"/>
      <c r="AH451" s="1"/>
      <c r="AI451" s="1"/>
      <c r="AJ451" s="1"/>
      <c r="AK451" s="1"/>
      <c r="AL451" s="1"/>
      <c r="AM451" s="1"/>
      <c r="AN451" s="1"/>
    </row>
    <row r="452" spans="31:40" ht="21">
      <c r="AE452" s="1"/>
      <c r="AG452" s="1"/>
      <c r="AH452" s="1"/>
      <c r="AI452" s="1"/>
      <c r="AJ452" s="1"/>
      <c r="AK452" s="1"/>
      <c r="AL452" s="1"/>
      <c r="AM452" s="1"/>
      <c r="AN452" s="1"/>
    </row>
    <row r="453" spans="31:40" ht="21">
      <c r="AE453" s="1"/>
      <c r="AG453" s="1"/>
      <c r="AH453" s="1"/>
      <c r="AI453" s="1"/>
      <c r="AJ453" s="1"/>
      <c r="AK453" s="1"/>
      <c r="AL453" s="1"/>
      <c r="AM453" s="1"/>
      <c r="AN453" s="1"/>
    </row>
    <row r="454" spans="31:40" ht="21">
      <c r="AE454" s="1"/>
      <c r="AG454" s="1"/>
      <c r="AH454" s="1"/>
      <c r="AI454" s="1"/>
      <c r="AJ454" s="1"/>
      <c r="AK454" s="1"/>
      <c r="AL454" s="1"/>
      <c r="AM454" s="1"/>
      <c r="AN454" s="1"/>
    </row>
    <row r="455" spans="31:40" ht="21">
      <c r="AE455" s="1"/>
      <c r="AG455" s="1"/>
      <c r="AH455" s="1"/>
      <c r="AI455" s="1"/>
      <c r="AJ455" s="1"/>
      <c r="AK455" s="1"/>
      <c r="AL455" s="1"/>
      <c r="AM455" s="1"/>
      <c r="AN455" s="1"/>
    </row>
    <row r="456" spans="31:40" ht="21">
      <c r="AE456" s="1"/>
      <c r="AG456" s="1"/>
      <c r="AH456" s="1"/>
      <c r="AI456" s="1"/>
      <c r="AJ456" s="1"/>
      <c r="AK456" s="1"/>
      <c r="AL456" s="1"/>
      <c r="AM456" s="1"/>
      <c r="AN456" s="1"/>
    </row>
    <row r="457" spans="31:40" ht="21">
      <c r="AE457" s="1"/>
      <c r="AG457" s="1"/>
      <c r="AH457" s="1"/>
      <c r="AI457" s="1"/>
      <c r="AJ457" s="1"/>
      <c r="AK457" s="1"/>
      <c r="AL457" s="1"/>
      <c r="AM457" s="1"/>
      <c r="AN457" s="1"/>
    </row>
    <row r="458" spans="31:40" ht="21">
      <c r="AE458" s="1"/>
      <c r="AG458" s="1"/>
      <c r="AH458" s="1"/>
      <c r="AI458" s="1"/>
      <c r="AJ458" s="1"/>
      <c r="AK458" s="1"/>
      <c r="AL458" s="1"/>
      <c r="AM458" s="1"/>
      <c r="AN458" s="1"/>
    </row>
    <row r="459" spans="31:40" ht="21">
      <c r="AE459" s="1"/>
      <c r="AG459" s="1"/>
      <c r="AH459" s="1"/>
      <c r="AI459" s="1"/>
      <c r="AJ459" s="1"/>
      <c r="AK459" s="1"/>
      <c r="AL459" s="1"/>
      <c r="AM459" s="1"/>
      <c r="AN459" s="1"/>
    </row>
    <row r="460" spans="31:40" ht="21">
      <c r="AE460" s="1"/>
      <c r="AG460" s="1"/>
      <c r="AH460" s="1"/>
      <c r="AI460" s="1"/>
      <c r="AJ460" s="1"/>
      <c r="AK460" s="1"/>
      <c r="AL460" s="1"/>
      <c r="AM460" s="1"/>
      <c r="AN460" s="1"/>
    </row>
    <row r="461" spans="31:40" ht="21">
      <c r="AE461" s="1"/>
      <c r="AG461" s="1"/>
      <c r="AH461" s="1"/>
      <c r="AI461" s="1"/>
      <c r="AJ461" s="1"/>
      <c r="AK461" s="1"/>
      <c r="AL461" s="1"/>
      <c r="AM461" s="1"/>
      <c r="AN461" s="1"/>
    </row>
    <row r="462" spans="31:40" ht="21">
      <c r="AE462" s="1"/>
      <c r="AG462" s="1"/>
      <c r="AH462" s="1"/>
      <c r="AI462" s="1"/>
      <c r="AJ462" s="1"/>
      <c r="AK462" s="1"/>
      <c r="AL462" s="1"/>
      <c r="AM462" s="1"/>
      <c r="AN462" s="1"/>
    </row>
    <row r="463" spans="31:40" ht="21">
      <c r="AE463" s="1"/>
      <c r="AG463" s="1"/>
      <c r="AH463" s="1"/>
      <c r="AI463" s="1"/>
      <c r="AJ463" s="1"/>
      <c r="AK463" s="1"/>
      <c r="AL463" s="1"/>
      <c r="AM463" s="1"/>
      <c r="AN463" s="1"/>
    </row>
    <row r="464" spans="31:40" ht="21">
      <c r="AE464" s="1"/>
      <c r="AG464" s="1"/>
      <c r="AH464" s="1"/>
      <c r="AI464" s="1"/>
      <c r="AJ464" s="1"/>
      <c r="AK464" s="1"/>
      <c r="AL464" s="1"/>
      <c r="AM464" s="1"/>
      <c r="AN464" s="1"/>
    </row>
    <row r="465" spans="31:40" ht="21">
      <c r="AE465" s="1"/>
      <c r="AG465" s="1"/>
      <c r="AH465" s="1"/>
      <c r="AI465" s="1"/>
      <c r="AJ465" s="1"/>
      <c r="AK465" s="1"/>
      <c r="AL465" s="1"/>
      <c r="AM465" s="1"/>
      <c r="AN465" s="1"/>
    </row>
    <row r="466" spans="31:40" ht="21">
      <c r="AE466" s="1"/>
      <c r="AG466" s="1"/>
      <c r="AH466" s="1"/>
      <c r="AI466" s="1"/>
      <c r="AJ466" s="1"/>
      <c r="AK466" s="1"/>
      <c r="AL466" s="1"/>
      <c r="AM466" s="1"/>
      <c r="AN466" s="1"/>
    </row>
    <row r="467" spans="31:40" ht="21">
      <c r="AE467" s="1"/>
      <c r="AG467" s="1"/>
      <c r="AH467" s="1"/>
      <c r="AI467" s="1"/>
      <c r="AJ467" s="1"/>
      <c r="AK467" s="1"/>
      <c r="AL467" s="1"/>
      <c r="AM467" s="1"/>
      <c r="AN467" s="1"/>
    </row>
    <row r="468" spans="31:40" ht="21">
      <c r="AE468" s="1"/>
      <c r="AG468" s="1"/>
      <c r="AH468" s="1"/>
      <c r="AI468" s="1"/>
      <c r="AJ468" s="1"/>
      <c r="AK468" s="1"/>
      <c r="AL468" s="1"/>
      <c r="AM468" s="1"/>
      <c r="AN468" s="1"/>
    </row>
    <row r="469" spans="31:40" ht="21">
      <c r="AE469" s="1"/>
      <c r="AG469" s="1"/>
      <c r="AH469" s="1"/>
      <c r="AI469" s="1"/>
      <c r="AJ469" s="1"/>
      <c r="AK469" s="1"/>
      <c r="AL469" s="1"/>
      <c r="AM469" s="1"/>
      <c r="AN469" s="1"/>
    </row>
    <row r="470" spans="31:40" ht="21">
      <c r="AE470" s="1"/>
      <c r="AG470" s="1"/>
      <c r="AH470" s="1"/>
      <c r="AI470" s="1"/>
      <c r="AJ470" s="1"/>
      <c r="AK470" s="1"/>
      <c r="AL470" s="1"/>
      <c r="AM470" s="1"/>
      <c r="AN470" s="1"/>
    </row>
    <row r="471" spans="31:40" ht="21">
      <c r="AE471" s="1"/>
      <c r="AG471" s="1"/>
      <c r="AH471" s="1"/>
      <c r="AI471" s="1"/>
      <c r="AJ471" s="1"/>
      <c r="AK471" s="1"/>
      <c r="AL471" s="1"/>
      <c r="AM471" s="1"/>
      <c r="AN471" s="1"/>
    </row>
    <row r="472" spans="31:40" ht="21">
      <c r="AE472" s="1"/>
      <c r="AG472" s="1"/>
      <c r="AH472" s="1"/>
      <c r="AI472" s="1"/>
      <c r="AJ472" s="1"/>
      <c r="AK472" s="1"/>
      <c r="AL472" s="1"/>
      <c r="AM472" s="1"/>
      <c r="AN472" s="1"/>
    </row>
    <row r="473" spans="31:40" ht="21">
      <c r="AE473" s="1"/>
      <c r="AG473" s="1"/>
      <c r="AH473" s="1"/>
      <c r="AI473" s="1"/>
      <c r="AJ473" s="1"/>
      <c r="AK473" s="1"/>
      <c r="AL473" s="1"/>
      <c r="AM473" s="1"/>
      <c r="AN473" s="1"/>
    </row>
    <row r="474" spans="31:40" ht="21">
      <c r="AE474" s="1"/>
      <c r="AG474" s="1"/>
      <c r="AH474" s="1"/>
      <c r="AI474" s="1"/>
      <c r="AJ474" s="1"/>
      <c r="AK474" s="1"/>
      <c r="AL474" s="1"/>
      <c r="AM474" s="1"/>
      <c r="AN474" s="1"/>
    </row>
    <row r="475" spans="31:40" ht="21">
      <c r="AE475" s="1"/>
      <c r="AG475" s="1"/>
      <c r="AH475" s="1"/>
      <c r="AI475" s="1"/>
      <c r="AJ475" s="1"/>
      <c r="AK475" s="1"/>
      <c r="AL475" s="1"/>
      <c r="AM475" s="1"/>
      <c r="AN475" s="1"/>
    </row>
    <row r="476" spans="31:40" ht="21">
      <c r="AE476" s="1"/>
      <c r="AG476" s="1"/>
      <c r="AH476" s="1"/>
      <c r="AI476" s="1"/>
      <c r="AJ476" s="1"/>
      <c r="AK476" s="1"/>
      <c r="AL476" s="1"/>
      <c r="AM476" s="1"/>
      <c r="AN476" s="1"/>
    </row>
    <row r="477" spans="31:40" ht="21">
      <c r="AE477" s="1"/>
      <c r="AG477" s="1"/>
      <c r="AH477" s="1"/>
      <c r="AI477" s="1"/>
      <c r="AJ477" s="1"/>
      <c r="AK477" s="1"/>
      <c r="AL477" s="1"/>
      <c r="AM477" s="1"/>
      <c r="AN477" s="1"/>
    </row>
    <row r="478" spans="31:40" ht="21">
      <c r="AE478" s="1"/>
      <c r="AG478" s="1"/>
      <c r="AH478" s="1"/>
      <c r="AI478" s="1"/>
      <c r="AJ478" s="1"/>
      <c r="AK478" s="1"/>
      <c r="AL478" s="1"/>
      <c r="AM478" s="1"/>
      <c r="AN478" s="1"/>
    </row>
    <row r="479" spans="31:40" ht="21">
      <c r="AE479" s="1"/>
      <c r="AG479" s="1"/>
      <c r="AH479" s="1"/>
      <c r="AI479" s="1"/>
      <c r="AJ479" s="1"/>
      <c r="AK479" s="1"/>
      <c r="AL479" s="1"/>
      <c r="AM479" s="1"/>
      <c r="AN479" s="1"/>
    </row>
    <row r="480" spans="31:40" ht="21">
      <c r="AE480" s="1"/>
      <c r="AG480" s="1"/>
      <c r="AH480" s="1"/>
      <c r="AI480" s="1"/>
      <c r="AJ480" s="1"/>
      <c r="AK480" s="1"/>
      <c r="AL480" s="1"/>
      <c r="AM480" s="1"/>
      <c r="AN480" s="1"/>
    </row>
    <row r="481" spans="31:40" ht="21">
      <c r="AE481" s="1"/>
      <c r="AG481" s="1"/>
      <c r="AH481" s="1"/>
      <c r="AI481" s="1"/>
      <c r="AJ481" s="1"/>
      <c r="AK481" s="1"/>
      <c r="AL481" s="1"/>
      <c r="AM481" s="1"/>
      <c r="AN481" s="1"/>
    </row>
    <row r="482" spans="31:40" ht="21">
      <c r="AE482" s="1"/>
      <c r="AG482" s="1"/>
      <c r="AH482" s="1"/>
      <c r="AI482" s="1"/>
      <c r="AJ482" s="1"/>
      <c r="AK482" s="1"/>
      <c r="AL482" s="1"/>
      <c r="AM482" s="1"/>
      <c r="AN482" s="1"/>
    </row>
    <row r="483" spans="31:40" ht="21">
      <c r="AE483" s="1"/>
      <c r="AG483" s="1"/>
      <c r="AH483" s="1"/>
      <c r="AI483" s="1"/>
      <c r="AJ483" s="1"/>
      <c r="AK483" s="1"/>
      <c r="AL483" s="1"/>
      <c r="AM483" s="1"/>
      <c r="AN483" s="1"/>
    </row>
    <row r="484" spans="31:40" ht="21">
      <c r="AE484" s="1"/>
      <c r="AG484" s="1"/>
      <c r="AH484" s="1"/>
      <c r="AI484" s="1"/>
      <c r="AJ484" s="1"/>
      <c r="AK484" s="1"/>
      <c r="AL484" s="1"/>
      <c r="AM484" s="1"/>
      <c r="AN484" s="1"/>
    </row>
    <row r="485" spans="31:40" ht="21">
      <c r="AE485" s="1"/>
      <c r="AG485" s="1"/>
      <c r="AH485" s="1"/>
      <c r="AI485" s="1"/>
      <c r="AJ485" s="1"/>
      <c r="AK485" s="1"/>
      <c r="AL485" s="1"/>
      <c r="AM485" s="1"/>
      <c r="AN485" s="1"/>
    </row>
    <row r="486" spans="31:40" ht="21">
      <c r="AE486" s="1"/>
      <c r="AG486" s="1"/>
      <c r="AH486" s="1"/>
      <c r="AI486" s="1"/>
      <c r="AJ486" s="1"/>
      <c r="AK486" s="1"/>
      <c r="AL486" s="1"/>
      <c r="AM486" s="1"/>
      <c r="AN486" s="1"/>
    </row>
    <row r="487" spans="31:40" ht="21">
      <c r="AE487" s="1"/>
      <c r="AG487" s="1"/>
      <c r="AH487" s="1"/>
      <c r="AI487" s="1"/>
      <c r="AJ487" s="1"/>
      <c r="AK487" s="1"/>
      <c r="AL487" s="1"/>
      <c r="AM487" s="1"/>
      <c r="AN487" s="1"/>
    </row>
    <row r="488" spans="31:40" ht="21">
      <c r="AE488" s="1"/>
      <c r="AG488" s="1"/>
      <c r="AH488" s="1"/>
      <c r="AI488" s="1"/>
      <c r="AJ488" s="1"/>
      <c r="AK488" s="1"/>
      <c r="AL488" s="1"/>
      <c r="AM488" s="1"/>
      <c r="AN488" s="1"/>
    </row>
    <row r="489" spans="31:40" ht="21">
      <c r="AE489" s="1"/>
      <c r="AG489" s="1"/>
      <c r="AH489" s="1"/>
      <c r="AI489" s="1"/>
      <c r="AJ489" s="1"/>
      <c r="AK489" s="1"/>
      <c r="AL489" s="1"/>
      <c r="AM489" s="1"/>
      <c r="AN489" s="1"/>
    </row>
    <row r="490" spans="31:40" ht="21">
      <c r="AE490" s="1"/>
      <c r="AG490" s="1"/>
      <c r="AH490" s="1"/>
      <c r="AI490" s="1"/>
      <c r="AJ490" s="1"/>
      <c r="AK490" s="1"/>
      <c r="AL490" s="1"/>
      <c r="AM490" s="1"/>
      <c r="AN490" s="1"/>
    </row>
    <row r="491" spans="31:40" ht="21">
      <c r="AE491" s="1"/>
      <c r="AG491" s="1"/>
      <c r="AH491" s="1"/>
      <c r="AI491" s="1"/>
      <c r="AJ491" s="1"/>
      <c r="AK491" s="1"/>
      <c r="AL491" s="1"/>
      <c r="AM491" s="1"/>
      <c r="AN491" s="1"/>
    </row>
    <row r="492" spans="31:40" ht="21">
      <c r="AE492" s="1"/>
      <c r="AG492" s="1"/>
      <c r="AH492" s="1"/>
      <c r="AI492" s="1"/>
      <c r="AJ492" s="1"/>
      <c r="AK492" s="1"/>
      <c r="AL492" s="1"/>
      <c r="AM492" s="1"/>
      <c r="AN492" s="1"/>
    </row>
    <row r="493" spans="31:40" ht="21">
      <c r="AE493" s="1"/>
      <c r="AG493" s="1"/>
      <c r="AH493" s="1"/>
      <c r="AI493" s="1"/>
      <c r="AJ493" s="1"/>
      <c r="AK493" s="1"/>
      <c r="AL493" s="1"/>
      <c r="AM493" s="1"/>
      <c r="AN493" s="1"/>
    </row>
    <row r="494" spans="31:40" ht="21">
      <c r="AE494" s="1"/>
      <c r="AG494" s="1"/>
      <c r="AH494" s="1"/>
      <c r="AI494" s="1"/>
      <c r="AJ494" s="1"/>
      <c r="AK494" s="1"/>
      <c r="AL494" s="1"/>
      <c r="AM494" s="1"/>
      <c r="AN494" s="1"/>
    </row>
    <row r="495" spans="31:40" ht="21">
      <c r="AE495" s="1"/>
      <c r="AG495" s="1"/>
      <c r="AH495" s="1"/>
      <c r="AI495" s="1"/>
      <c r="AJ495" s="1"/>
      <c r="AK495" s="1"/>
      <c r="AL495" s="1"/>
      <c r="AM495" s="1"/>
      <c r="AN495" s="1"/>
    </row>
    <row r="496" spans="31:40" ht="21">
      <c r="AE496" s="1"/>
      <c r="AG496" s="1"/>
      <c r="AH496" s="1"/>
      <c r="AI496" s="1"/>
      <c r="AJ496" s="1"/>
      <c r="AK496" s="1"/>
      <c r="AL496" s="1"/>
      <c r="AM496" s="1"/>
      <c r="AN496" s="1"/>
    </row>
    <row r="497" spans="31:40" ht="21">
      <c r="AE497" s="1"/>
      <c r="AG497" s="1"/>
      <c r="AH497" s="1"/>
      <c r="AI497" s="1"/>
      <c r="AJ497" s="1"/>
      <c r="AK497" s="1"/>
      <c r="AL497" s="1"/>
      <c r="AM497" s="1"/>
      <c r="AN497" s="1"/>
    </row>
    <row r="498" spans="31:40" ht="21">
      <c r="AE498" s="1"/>
      <c r="AG498" s="1"/>
      <c r="AH498" s="1"/>
      <c r="AI498" s="1"/>
      <c r="AJ498" s="1"/>
      <c r="AK498" s="1"/>
      <c r="AL498" s="1"/>
      <c r="AM498" s="1"/>
      <c r="AN498" s="1"/>
    </row>
    <row r="499" spans="31:40" ht="21">
      <c r="AE499" s="1"/>
      <c r="AG499" s="1"/>
      <c r="AH499" s="1"/>
      <c r="AI499" s="1"/>
      <c r="AJ499" s="1"/>
      <c r="AK499" s="1"/>
      <c r="AL499" s="1"/>
      <c r="AM499" s="1"/>
      <c r="AN499" s="1"/>
    </row>
    <row r="500" spans="31:40" ht="21">
      <c r="AE500" s="1"/>
      <c r="AG500" s="1"/>
      <c r="AH500" s="1"/>
      <c r="AI500" s="1"/>
      <c r="AJ500" s="1"/>
      <c r="AK500" s="1"/>
      <c r="AL500" s="1"/>
      <c r="AM500" s="1"/>
      <c r="AN500" s="1"/>
    </row>
    <row r="501" spans="31:40" ht="21">
      <c r="AE501" s="1"/>
      <c r="AG501" s="1"/>
      <c r="AH501" s="1"/>
      <c r="AI501" s="1"/>
      <c r="AJ501" s="1"/>
      <c r="AK501" s="1"/>
      <c r="AL501" s="1"/>
      <c r="AM501" s="1"/>
      <c r="AN501" s="1"/>
    </row>
    <row r="502" spans="31:40" ht="21">
      <c r="AE502" s="1"/>
      <c r="AG502" s="1"/>
      <c r="AH502" s="1"/>
      <c r="AI502" s="1"/>
      <c r="AJ502" s="1"/>
      <c r="AK502" s="1"/>
      <c r="AL502" s="1"/>
      <c r="AM502" s="1"/>
      <c r="AN502" s="1"/>
    </row>
    <row r="503" spans="31:40" ht="21">
      <c r="AE503" s="1"/>
      <c r="AG503" s="1"/>
      <c r="AH503" s="1"/>
      <c r="AI503" s="1"/>
      <c r="AJ503" s="1"/>
      <c r="AK503" s="1"/>
      <c r="AL503" s="1"/>
      <c r="AM503" s="1"/>
      <c r="AN503" s="1"/>
    </row>
    <row r="504" spans="31:40" ht="21">
      <c r="AE504" s="1"/>
      <c r="AG504" s="1"/>
      <c r="AH504" s="1"/>
      <c r="AI504" s="1"/>
      <c r="AJ504" s="1"/>
      <c r="AK504" s="1"/>
      <c r="AL504" s="1"/>
      <c r="AM504" s="1"/>
      <c r="AN504" s="1"/>
    </row>
    <row r="505" spans="31:40" ht="21">
      <c r="AE505" s="1"/>
      <c r="AG505" s="1"/>
      <c r="AH505" s="1"/>
      <c r="AI505" s="1"/>
      <c r="AJ505" s="1"/>
      <c r="AK505" s="1"/>
      <c r="AL505" s="1"/>
      <c r="AM505" s="1"/>
      <c r="AN505" s="1"/>
    </row>
    <row r="506" spans="31:40" ht="21">
      <c r="AE506" s="1"/>
      <c r="AG506" s="1"/>
      <c r="AH506" s="1"/>
      <c r="AI506" s="1"/>
      <c r="AJ506" s="1"/>
      <c r="AK506" s="1"/>
      <c r="AL506" s="1"/>
      <c r="AM506" s="1"/>
      <c r="AN506" s="1"/>
    </row>
    <row r="507" spans="31:40" ht="21">
      <c r="AE507" s="1"/>
      <c r="AG507" s="1"/>
      <c r="AH507" s="1"/>
      <c r="AI507" s="1"/>
      <c r="AJ507" s="1"/>
      <c r="AK507" s="1"/>
      <c r="AL507" s="1"/>
      <c r="AM507" s="1"/>
      <c r="AN507" s="1"/>
    </row>
    <row r="508" spans="31:40" ht="21">
      <c r="AE508" s="1"/>
      <c r="AG508" s="1"/>
      <c r="AH508" s="1"/>
      <c r="AI508" s="1"/>
      <c r="AJ508" s="1"/>
      <c r="AK508" s="1"/>
      <c r="AL508" s="1"/>
      <c r="AM508" s="1"/>
      <c r="AN508" s="1"/>
    </row>
    <row r="509" spans="31:40" ht="21">
      <c r="AE509" s="1"/>
      <c r="AG509" s="1"/>
      <c r="AH509" s="1"/>
      <c r="AI509" s="1"/>
      <c r="AJ509" s="1"/>
      <c r="AK509" s="1"/>
      <c r="AL509" s="1"/>
      <c r="AM509" s="1"/>
      <c r="AN509" s="1"/>
    </row>
    <row r="510" spans="31:40" ht="21">
      <c r="AE510" s="1"/>
      <c r="AG510" s="1"/>
      <c r="AH510" s="1"/>
      <c r="AI510" s="1"/>
      <c r="AJ510" s="1"/>
      <c r="AK510" s="1"/>
      <c r="AL510" s="1"/>
      <c r="AM510" s="1"/>
      <c r="AN510" s="1"/>
    </row>
    <row r="511" spans="31:40" ht="21">
      <c r="AE511" s="1"/>
      <c r="AG511" s="1"/>
      <c r="AH511" s="1"/>
      <c r="AI511" s="1"/>
      <c r="AJ511" s="1"/>
      <c r="AK511" s="1"/>
      <c r="AL511" s="1"/>
      <c r="AM511" s="1"/>
      <c r="AN511" s="1"/>
    </row>
    <row r="512" spans="31:40" ht="21">
      <c r="AE512" s="1"/>
      <c r="AG512" s="1"/>
      <c r="AH512" s="1"/>
      <c r="AI512" s="1"/>
      <c r="AJ512" s="1"/>
      <c r="AK512" s="1"/>
      <c r="AL512" s="1"/>
      <c r="AM512" s="1"/>
      <c r="AN512" s="1"/>
    </row>
    <row r="513" spans="31:40" ht="21">
      <c r="AE513" s="1"/>
      <c r="AG513" s="1"/>
      <c r="AH513" s="1"/>
      <c r="AI513" s="1"/>
      <c r="AJ513" s="1"/>
      <c r="AK513" s="1"/>
      <c r="AL513" s="1"/>
      <c r="AM513" s="1"/>
      <c r="AN513" s="1"/>
    </row>
    <row r="514" spans="31:40" ht="21">
      <c r="AE514" s="1"/>
      <c r="AG514" s="1"/>
      <c r="AH514" s="1"/>
      <c r="AI514" s="1"/>
      <c r="AJ514" s="1"/>
      <c r="AK514" s="1"/>
      <c r="AL514" s="1"/>
      <c r="AM514" s="1"/>
      <c r="AN514" s="1"/>
    </row>
    <row r="515" spans="31:40" ht="21">
      <c r="AE515" s="1"/>
      <c r="AG515" s="1"/>
      <c r="AH515" s="1"/>
      <c r="AI515" s="1"/>
      <c r="AJ515" s="1"/>
      <c r="AK515" s="1"/>
      <c r="AL515" s="1"/>
      <c r="AM515" s="1"/>
      <c r="AN515" s="1"/>
    </row>
    <row r="516" spans="31:40" ht="21">
      <c r="AE516" s="1"/>
      <c r="AG516" s="1"/>
      <c r="AH516" s="1"/>
      <c r="AI516" s="1"/>
      <c r="AJ516" s="1"/>
      <c r="AK516" s="1"/>
      <c r="AL516" s="1"/>
      <c r="AM516" s="1"/>
      <c r="AN516" s="1"/>
    </row>
    <row r="517" spans="31:40" ht="21">
      <c r="AE517" s="1"/>
      <c r="AG517" s="1"/>
      <c r="AH517" s="1"/>
      <c r="AI517" s="1"/>
      <c r="AJ517" s="1"/>
      <c r="AK517" s="1"/>
      <c r="AL517" s="1"/>
      <c r="AM517" s="1"/>
      <c r="AN517" s="1"/>
    </row>
    <row r="518" spans="31:40" ht="21">
      <c r="AE518" s="1"/>
      <c r="AG518" s="1"/>
      <c r="AH518" s="1"/>
      <c r="AI518" s="1"/>
      <c r="AJ518" s="1"/>
      <c r="AK518" s="1"/>
      <c r="AL518" s="1"/>
      <c r="AM518" s="1"/>
      <c r="AN518" s="1"/>
    </row>
    <row r="519" spans="31:40" ht="21">
      <c r="AE519" s="1"/>
      <c r="AG519" s="1"/>
      <c r="AH519" s="1"/>
      <c r="AI519" s="1"/>
      <c r="AJ519" s="1"/>
      <c r="AK519" s="1"/>
      <c r="AL519" s="1"/>
      <c r="AM519" s="1"/>
      <c r="AN519" s="1"/>
    </row>
    <row r="520" spans="31:40" ht="21">
      <c r="AE520" s="1"/>
      <c r="AG520" s="1"/>
      <c r="AH520" s="1"/>
      <c r="AI520" s="1"/>
      <c r="AJ520" s="1"/>
      <c r="AK520" s="1"/>
      <c r="AL520" s="1"/>
      <c r="AM520" s="1"/>
      <c r="AN520" s="1"/>
    </row>
    <row r="521" spans="31:40" ht="21">
      <c r="AE521" s="1"/>
      <c r="AG521" s="1"/>
      <c r="AH521" s="1"/>
      <c r="AI521" s="1"/>
      <c r="AJ521" s="1"/>
      <c r="AK521" s="1"/>
      <c r="AL521" s="1"/>
      <c r="AM521" s="1"/>
      <c r="AN521" s="1"/>
    </row>
    <row r="522" spans="31:40" ht="21">
      <c r="AE522" s="1"/>
      <c r="AG522" s="1"/>
      <c r="AH522" s="1"/>
      <c r="AI522" s="1"/>
      <c r="AJ522" s="1"/>
      <c r="AK522" s="1"/>
      <c r="AL522" s="1"/>
      <c r="AM522" s="1"/>
      <c r="AN522" s="1"/>
    </row>
    <row r="523" spans="31:40" ht="21">
      <c r="AE523" s="1"/>
      <c r="AG523" s="1"/>
      <c r="AH523" s="1"/>
      <c r="AI523" s="1"/>
      <c r="AJ523" s="1"/>
      <c r="AK523" s="1"/>
      <c r="AL523" s="1"/>
      <c r="AM523" s="1"/>
      <c r="AN523" s="1"/>
    </row>
    <row r="524" spans="31:40" ht="21">
      <c r="AE524" s="1"/>
      <c r="AG524" s="1"/>
      <c r="AH524" s="1"/>
      <c r="AI524" s="1"/>
      <c r="AJ524" s="1"/>
      <c r="AK524" s="1"/>
      <c r="AL524" s="1"/>
      <c r="AM524" s="1"/>
      <c r="AN524" s="1"/>
    </row>
    <row r="525" spans="31:40" ht="21">
      <c r="AE525" s="1"/>
      <c r="AG525" s="1"/>
      <c r="AH525" s="1"/>
      <c r="AI525" s="1"/>
      <c r="AJ525" s="1"/>
      <c r="AK525" s="1"/>
      <c r="AL525" s="1"/>
      <c r="AM525" s="1"/>
      <c r="AN525" s="1"/>
    </row>
    <row r="526" spans="31:40" ht="21">
      <c r="AE526" s="1"/>
      <c r="AG526" s="1"/>
      <c r="AH526" s="1"/>
      <c r="AI526" s="1"/>
      <c r="AJ526" s="1"/>
      <c r="AK526" s="1"/>
      <c r="AL526" s="1"/>
      <c r="AM526" s="1"/>
      <c r="AN526" s="1"/>
    </row>
    <row r="527" spans="31:40" ht="21">
      <c r="AE527" s="1"/>
      <c r="AG527" s="1"/>
      <c r="AH527" s="1"/>
      <c r="AI527" s="1"/>
      <c r="AJ527" s="1"/>
      <c r="AK527" s="1"/>
      <c r="AL527" s="1"/>
      <c r="AM527" s="1"/>
      <c r="AN527" s="1"/>
    </row>
    <row r="528" spans="31:40" ht="21">
      <c r="AE528" s="1"/>
      <c r="AG528" s="1"/>
      <c r="AH528" s="1"/>
      <c r="AI528" s="1"/>
      <c r="AJ528" s="1"/>
      <c r="AK528" s="1"/>
      <c r="AL528" s="1"/>
      <c r="AM528" s="1"/>
      <c r="AN528" s="1"/>
    </row>
    <row r="529" spans="31:40" ht="21">
      <c r="AE529" s="1"/>
      <c r="AG529" s="1"/>
      <c r="AH529" s="1"/>
      <c r="AI529" s="1"/>
      <c r="AJ529" s="1"/>
      <c r="AK529" s="1"/>
      <c r="AL529" s="1"/>
      <c r="AM529" s="1"/>
      <c r="AN529" s="1"/>
    </row>
    <row r="530" spans="31:40" ht="21">
      <c r="AE530" s="1"/>
      <c r="AG530" s="1"/>
      <c r="AH530" s="1"/>
      <c r="AI530" s="1"/>
      <c r="AJ530" s="1"/>
      <c r="AK530" s="1"/>
      <c r="AL530" s="1"/>
      <c r="AM530" s="1"/>
      <c r="AN530" s="1"/>
    </row>
    <row r="531" spans="31:40" ht="21">
      <c r="AE531" s="1"/>
      <c r="AG531" s="1"/>
      <c r="AH531" s="1"/>
      <c r="AI531" s="1"/>
      <c r="AJ531" s="1"/>
      <c r="AK531" s="1"/>
      <c r="AL531" s="1"/>
      <c r="AM531" s="1"/>
      <c r="AN531" s="1"/>
    </row>
    <row r="532" spans="31:40" ht="21">
      <c r="AE532" s="1"/>
      <c r="AG532" s="1"/>
      <c r="AH532" s="1"/>
      <c r="AI532" s="1"/>
      <c r="AJ532" s="1"/>
      <c r="AK532" s="1"/>
      <c r="AL532" s="1"/>
      <c r="AM532" s="1"/>
      <c r="AN532" s="1"/>
    </row>
    <row r="533" spans="31:40" ht="21">
      <c r="AE533" s="1"/>
      <c r="AG533" s="1"/>
      <c r="AH533" s="1"/>
      <c r="AI533" s="1"/>
      <c r="AJ533" s="1"/>
      <c r="AK533" s="1"/>
      <c r="AL533" s="1"/>
      <c r="AM533" s="1"/>
      <c r="AN533" s="1"/>
    </row>
    <row r="534" spans="31:40" ht="21">
      <c r="AE534" s="1"/>
      <c r="AG534" s="1"/>
      <c r="AH534" s="1"/>
      <c r="AI534" s="1"/>
      <c r="AJ534" s="1"/>
      <c r="AK534" s="1"/>
      <c r="AL534" s="1"/>
      <c r="AM534" s="1"/>
      <c r="AN534" s="1"/>
    </row>
    <row r="535" spans="31:40" ht="21">
      <c r="AE535" s="1"/>
      <c r="AG535" s="1"/>
      <c r="AH535" s="1"/>
      <c r="AI535" s="1"/>
      <c r="AJ535" s="1"/>
      <c r="AK535" s="1"/>
      <c r="AL535" s="1"/>
      <c r="AM535" s="1"/>
      <c r="AN535" s="1"/>
    </row>
    <row r="536" spans="31:40" ht="21">
      <c r="AE536" s="1"/>
      <c r="AG536" s="1"/>
      <c r="AH536" s="1"/>
      <c r="AI536" s="1"/>
      <c r="AJ536" s="1"/>
      <c r="AK536" s="1"/>
      <c r="AL536" s="1"/>
      <c r="AM536" s="1"/>
      <c r="AN536" s="1"/>
    </row>
    <row r="537" spans="31:40" ht="21">
      <c r="AE537" s="1"/>
      <c r="AG537" s="1"/>
      <c r="AH537" s="1"/>
      <c r="AI537" s="1"/>
      <c r="AJ537" s="1"/>
      <c r="AK537" s="1"/>
      <c r="AL537" s="1"/>
      <c r="AM537" s="1"/>
      <c r="AN537" s="1"/>
    </row>
    <row r="538" spans="31:40" ht="21">
      <c r="AE538" s="1"/>
      <c r="AG538" s="1"/>
      <c r="AH538" s="1"/>
      <c r="AI538" s="1"/>
      <c r="AJ538" s="1"/>
      <c r="AK538" s="1"/>
      <c r="AL538" s="1"/>
      <c r="AM538" s="1"/>
      <c r="AN538" s="1"/>
    </row>
    <row r="539" spans="31:40" ht="21">
      <c r="AE539" s="1"/>
      <c r="AG539" s="1"/>
      <c r="AH539" s="1"/>
      <c r="AI539" s="1"/>
      <c r="AJ539" s="1"/>
      <c r="AK539" s="1"/>
      <c r="AL539" s="1"/>
      <c r="AM539" s="1"/>
      <c r="AN539" s="1"/>
    </row>
    <row r="540" spans="31:40" ht="21">
      <c r="AE540" s="1"/>
      <c r="AG540" s="1"/>
      <c r="AH540" s="1"/>
      <c r="AI540" s="1"/>
      <c r="AJ540" s="1"/>
      <c r="AK540" s="1"/>
      <c r="AL540" s="1"/>
      <c r="AM540" s="1"/>
      <c r="AN540" s="1"/>
    </row>
    <row r="541" spans="31:40" ht="21">
      <c r="AE541" s="1"/>
      <c r="AG541" s="1"/>
      <c r="AH541" s="1"/>
      <c r="AI541" s="1"/>
      <c r="AJ541" s="1"/>
      <c r="AK541" s="1"/>
      <c r="AL541" s="1"/>
      <c r="AM541" s="1"/>
      <c r="AN541" s="1"/>
    </row>
    <row r="542" spans="31:40" ht="21">
      <c r="AE542" s="1"/>
      <c r="AG542" s="1"/>
      <c r="AH542" s="1"/>
      <c r="AI542" s="1"/>
      <c r="AJ542" s="1"/>
      <c r="AK542" s="1"/>
      <c r="AL542" s="1"/>
      <c r="AM542" s="1"/>
      <c r="AN542" s="1"/>
    </row>
    <row r="543" spans="31:40" ht="21">
      <c r="AE543" s="1"/>
      <c r="AG543" s="1"/>
      <c r="AH543" s="1"/>
      <c r="AI543" s="1"/>
      <c r="AJ543" s="1"/>
      <c r="AK543" s="1"/>
      <c r="AL543" s="1"/>
      <c r="AM543" s="1"/>
      <c r="AN543" s="1"/>
    </row>
    <row r="544" spans="31:40" ht="21">
      <c r="AE544" s="1"/>
      <c r="AG544" s="1"/>
      <c r="AH544" s="1"/>
      <c r="AI544" s="1"/>
      <c r="AJ544" s="1"/>
      <c r="AK544" s="1"/>
      <c r="AL544" s="1"/>
      <c r="AM544" s="1"/>
      <c r="AN544" s="1"/>
    </row>
    <row r="545" spans="31:40" ht="21">
      <c r="AE545" s="1"/>
      <c r="AG545" s="1"/>
      <c r="AH545" s="1"/>
      <c r="AI545" s="1"/>
      <c r="AJ545" s="1"/>
      <c r="AK545" s="1"/>
      <c r="AL545" s="1"/>
      <c r="AM545" s="1"/>
      <c r="AN545" s="1"/>
    </row>
    <row r="546" spans="31:40" ht="21">
      <c r="AE546" s="1"/>
      <c r="AG546" s="1"/>
      <c r="AH546" s="1"/>
      <c r="AI546" s="1"/>
      <c r="AJ546" s="1"/>
      <c r="AK546" s="1"/>
      <c r="AL546" s="1"/>
      <c r="AM546" s="1"/>
      <c r="AN546" s="1"/>
    </row>
    <row r="547" spans="31:40" ht="21">
      <c r="AE547" s="1"/>
      <c r="AG547" s="1"/>
      <c r="AH547" s="1"/>
      <c r="AI547" s="1"/>
      <c r="AJ547" s="1"/>
      <c r="AK547" s="1"/>
      <c r="AL547" s="1"/>
      <c r="AM547" s="1"/>
      <c r="AN547" s="1"/>
    </row>
    <row r="548" spans="31:40" ht="21">
      <c r="AE548" s="1"/>
      <c r="AG548" s="1"/>
      <c r="AH548" s="1"/>
      <c r="AI548" s="1"/>
      <c r="AJ548" s="1"/>
      <c r="AK548" s="1"/>
      <c r="AL548" s="1"/>
      <c r="AM548" s="1"/>
      <c r="AN548" s="1"/>
    </row>
    <row r="549" spans="31:40" ht="21">
      <c r="AE549" s="1"/>
      <c r="AG549" s="1"/>
      <c r="AH549" s="1"/>
      <c r="AI549" s="1"/>
      <c r="AJ549" s="1"/>
      <c r="AK549" s="1"/>
      <c r="AL549" s="1"/>
      <c r="AM549" s="1"/>
      <c r="AN549" s="1"/>
    </row>
    <row r="550" spans="31:40" ht="21">
      <c r="AE550" s="1"/>
      <c r="AG550" s="1"/>
      <c r="AH550" s="1"/>
      <c r="AI550" s="1"/>
      <c r="AJ550" s="1"/>
      <c r="AK550" s="1"/>
      <c r="AL550" s="1"/>
      <c r="AM550" s="1"/>
      <c r="AN550" s="1"/>
    </row>
    <row r="551" spans="31:40" ht="21">
      <c r="AE551" s="1"/>
      <c r="AG551" s="1"/>
      <c r="AH551" s="1"/>
      <c r="AI551" s="1"/>
      <c r="AJ551" s="1"/>
      <c r="AK551" s="1"/>
      <c r="AL551" s="1"/>
      <c r="AM551" s="1"/>
      <c r="AN551" s="1"/>
    </row>
    <row r="552" spans="31:40" ht="21">
      <c r="AE552" s="1"/>
      <c r="AG552" s="1"/>
      <c r="AH552" s="1"/>
      <c r="AI552" s="1"/>
      <c r="AJ552" s="1"/>
      <c r="AK552" s="1"/>
      <c r="AL552" s="1"/>
      <c r="AM552" s="1"/>
      <c r="AN552" s="1"/>
    </row>
    <row r="553" spans="31:40" ht="21">
      <c r="AE553" s="1"/>
      <c r="AG553" s="1"/>
      <c r="AH553" s="1"/>
      <c r="AI553" s="1"/>
      <c r="AJ553" s="1"/>
      <c r="AK553" s="1"/>
      <c r="AL553" s="1"/>
      <c r="AM553" s="1"/>
      <c r="AN553" s="1"/>
    </row>
    <row r="554" spans="31:40" ht="21">
      <c r="AE554" s="1"/>
      <c r="AG554" s="1"/>
      <c r="AH554" s="1"/>
      <c r="AI554" s="1"/>
      <c r="AJ554" s="1"/>
      <c r="AK554" s="1"/>
      <c r="AL554" s="1"/>
      <c r="AM554" s="1"/>
      <c r="AN554" s="1"/>
    </row>
    <row r="555" spans="31:40" ht="21">
      <c r="AE555" s="1"/>
      <c r="AG555" s="1"/>
      <c r="AH555" s="1"/>
      <c r="AI555" s="1"/>
      <c r="AJ555" s="1"/>
      <c r="AK555" s="1"/>
      <c r="AL555" s="1"/>
      <c r="AM555" s="1"/>
      <c r="AN555" s="1"/>
    </row>
    <row r="556" spans="31:40" ht="21">
      <c r="AE556" s="1"/>
      <c r="AG556" s="1"/>
      <c r="AH556" s="1"/>
      <c r="AI556" s="1"/>
      <c r="AJ556" s="1"/>
      <c r="AK556" s="1"/>
      <c r="AL556" s="1"/>
      <c r="AM556" s="1"/>
      <c r="AN556" s="1"/>
    </row>
    <row r="557" spans="31:40" ht="21">
      <c r="AE557" s="1"/>
      <c r="AG557" s="1"/>
      <c r="AH557" s="1"/>
      <c r="AI557" s="1"/>
      <c r="AJ557" s="1"/>
      <c r="AK557" s="1"/>
      <c r="AL557" s="1"/>
      <c r="AM557" s="1"/>
      <c r="AN557" s="1"/>
    </row>
    <row r="558" spans="31:40" ht="21">
      <c r="AE558" s="1"/>
      <c r="AG558" s="1"/>
      <c r="AH558" s="1"/>
      <c r="AI558" s="1"/>
      <c r="AJ558" s="1"/>
      <c r="AK558" s="1"/>
      <c r="AL558" s="1"/>
      <c r="AM558" s="1"/>
      <c r="AN558" s="1"/>
    </row>
    <row r="559" spans="31:40" ht="21">
      <c r="AE559" s="1"/>
      <c r="AG559" s="1"/>
      <c r="AH559" s="1"/>
      <c r="AI559" s="1"/>
      <c r="AJ559" s="1"/>
      <c r="AK559" s="1"/>
      <c r="AL559" s="1"/>
      <c r="AM559" s="1"/>
      <c r="AN559" s="1"/>
    </row>
    <row r="560" spans="31:40" ht="21">
      <c r="AE560" s="1"/>
      <c r="AG560" s="1"/>
      <c r="AH560" s="1"/>
      <c r="AI560" s="1"/>
      <c r="AJ560" s="1"/>
      <c r="AK560" s="1"/>
      <c r="AL560" s="1"/>
      <c r="AM560" s="1"/>
      <c r="AN560" s="1"/>
    </row>
    <row r="561" spans="31:40" ht="21">
      <c r="AE561" s="1"/>
      <c r="AG561" s="1"/>
      <c r="AH561" s="1"/>
      <c r="AI561" s="1"/>
      <c r="AJ561" s="1"/>
      <c r="AK561" s="1"/>
      <c r="AL561" s="1"/>
      <c r="AM561" s="1"/>
      <c r="AN561" s="1"/>
    </row>
    <row r="562" spans="31:40" ht="21">
      <c r="AE562" s="1"/>
      <c r="AG562" s="1"/>
      <c r="AH562" s="1"/>
      <c r="AI562" s="1"/>
      <c r="AJ562" s="1"/>
      <c r="AK562" s="1"/>
      <c r="AL562" s="1"/>
      <c r="AM562" s="1"/>
      <c r="AN562" s="1"/>
    </row>
    <row r="563" spans="31:40" ht="21">
      <c r="AE563" s="1"/>
      <c r="AG563" s="1"/>
      <c r="AH563" s="1"/>
      <c r="AI563" s="1"/>
      <c r="AJ563" s="1"/>
      <c r="AK563" s="1"/>
      <c r="AL563" s="1"/>
      <c r="AM563" s="1"/>
      <c r="AN563" s="1"/>
    </row>
    <row r="564" spans="31:40" ht="21">
      <c r="AE564" s="1"/>
      <c r="AG564" s="1"/>
      <c r="AH564" s="1"/>
      <c r="AI564" s="1"/>
      <c r="AJ564" s="1"/>
      <c r="AK564" s="1"/>
      <c r="AL564" s="1"/>
      <c r="AM564" s="1"/>
      <c r="AN564" s="1"/>
    </row>
    <row r="565" spans="31:40" ht="21">
      <c r="AE565" s="1"/>
      <c r="AG565" s="1"/>
      <c r="AH565" s="1"/>
      <c r="AI565" s="1"/>
      <c r="AJ565" s="1"/>
      <c r="AK565" s="1"/>
      <c r="AL565" s="1"/>
      <c r="AM565" s="1"/>
      <c r="AN565" s="1"/>
    </row>
    <row r="566" spans="31:40" ht="21">
      <c r="AE566" s="1"/>
      <c r="AG566" s="1"/>
      <c r="AH566" s="1"/>
      <c r="AI566" s="1"/>
      <c r="AJ566" s="1"/>
      <c r="AK566" s="1"/>
      <c r="AL566" s="1"/>
      <c r="AM566" s="1"/>
      <c r="AN566" s="1"/>
    </row>
    <row r="567" spans="31:40" ht="21">
      <c r="AE567" s="1"/>
      <c r="AG567" s="1"/>
      <c r="AH567" s="1"/>
      <c r="AI567" s="1"/>
      <c r="AJ567" s="1"/>
      <c r="AK567" s="1"/>
      <c r="AL567" s="1"/>
      <c r="AM567" s="1"/>
      <c r="AN567" s="1"/>
    </row>
    <row r="568" spans="31:40" ht="21">
      <c r="AE568" s="1"/>
      <c r="AG568" s="1"/>
      <c r="AH568" s="1"/>
      <c r="AI568" s="1"/>
      <c r="AJ568" s="1"/>
      <c r="AK568" s="1"/>
      <c r="AL568" s="1"/>
      <c r="AM568" s="1"/>
      <c r="AN568" s="1"/>
    </row>
    <row r="569" spans="31:40" ht="21">
      <c r="AE569" s="1"/>
      <c r="AG569" s="1"/>
      <c r="AH569" s="1"/>
      <c r="AI569" s="1"/>
      <c r="AJ569" s="1"/>
      <c r="AK569" s="1"/>
      <c r="AL569" s="1"/>
      <c r="AM569" s="1"/>
      <c r="AN569" s="1"/>
    </row>
    <row r="570" spans="31:40" ht="21">
      <c r="AE570" s="1"/>
      <c r="AG570" s="1"/>
      <c r="AH570" s="1"/>
      <c r="AI570" s="1"/>
      <c r="AJ570" s="1"/>
      <c r="AK570" s="1"/>
      <c r="AL570" s="1"/>
      <c r="AM570" s="1"/>
      <c r="AN570" s="1"/>
    </row>
    <row r="571" spans="31:40" ht="21">
      <c r="AE571" s="1"/>
      <c r="AG571" s="1"/>
      <c r="AH571" s="1"/>
      <c r="AI571" s="1"/>
      <c r="AJ571" s="1"/>
      <c r="AK571" s="1"/>
      <c r="AL571" s="1"/>
      <c r="AM571" s="1"/>
      <c r="AN571" s="1"/>
    </row>
    <row r="572" spans="31:40" ht="21">
      <c r="AE572" s="1"/>
      <c r="AG572" s="1"/>
      <c r="AH572" s="1"/>
      <c r="AI572" s="1"/>
      <c r="AJ572" s="1"/>
      <c r="AK572" s="1"/>
      <c r="AL572" s="1"/>
      <c r="AM572" s="1"/>
      <c r="AN572" s="1"/>
    </row>
    <row r="573" spans="31:40" ht="21">
      <c r="AE573" s="1"/>
      <c r="AG573" s="1"/>
      <c r="AH573" s="1"/>
      <c r="AI573" s="1"/>
      <c r="AJ573" s="1"/>
      <c r="AK573" s="1"/>
      <c r="AL573" s="1"/>
      <c r="AM573" s="1"/>
      <c r="AN573" s="1"/>
    </row>
    <row r="574" spans="31:40" ht="21">
      <c r="AE574" s="1"/>
      <c r="AG574" s="1"/>
      <c r="AH574" s="1"/>
      <c r="AI574" s="1"/>
      <c r="AJ574" s="1"/>
      <c r="AK574" s="1"/>
      <c r="AL574" s="1"/>
      <c r="AM574" s="1"/>
      <c r="AN574" s="1"/>
    </row>
    <row r="575" spans="31:40" ht="21">
      <c r="AE575" s="1"/>
      <c r="AG575" s="1"/>
      <c r="AH575" s="1"/>
      <c r="AI575" s="1"/>
      <c r="AJ575" s="1"/>
      <c r="AK575" s="1"/>
      <c r="AL575" s="1"/>
      <c r="AM575" s="1"/>
      <c r="AN575" s="1"/>
    </row>
    <row r="576" spans="31:40" ht="21">
      <c r="AE576" s="1"/>
      <c r="AG576" s="1"/>
      <c r="AH576" s="1"/>
      <c r="AI576" s="1"/>
      <c r="AJ576" s="1"/>
      <c r="AK576" s="1"/>
      <c r="AL576" s="1"/>
      <c r="AM576" s="1"/>
      <c r="AN576" s="1"/>
    </row>
    <row r="577" spans="31:40" ht="21">
      <c r="AE577" s="1"/>
      <c r="AG577" s="1"/>
      <c r="AH577" s="1"/>
      <c r="AI577" s="1"/>
      <c r="AJ577" s="1"/>
      <c r="AK577" s="1"/>
      <c r="AL577" s="1"/>
      <c r="AM577" s="1"/>
      <c r="AN577" s="1"/>
    </row>
    <row r="578" spans="31:40" ht="21">
      <c r="AE578" s="1"/>
      <c r="AG578" s="1"/>
      <c r="AH578" s="1"/>
      <c r="AI578" s="1"/>
      <c r="AJ578" s="1"/>
      <c r="AK578" s="1"/>
      <c r="AL578" s="1"/>
      <c r="AM578" s="1"/>
      <c r="AN578" s="1"/>
    </row>
    <row r="579" spans="31:40" ht="21">
      <c r="AE579" s="1"/>
      <c r="AG579" s="1"/>
      <c r="AH579" s="1"/>
      <c r="AI579" s="1"/>
      <c r="AJ579" s="1"/>
      <c r="AK579" s="1"/>
      <c r="AL579" s="1"/>
      <c r="AM579" s="1"/>
      <c r="AN579" s="1"/>
    </row>
    <row r="580" spans="31:40" ht="21">
      <c r="AE580" s="1"/>
      <c r="AG580" s="1"/>
      <c r="AH580" s="1"/>
      <c r="AI580" s="1"/>
      <c r="AJ580" s="1"/>
      <c r="AK580" s="1"/>
      <c r="AL580" s="1"/>
      <c r="AM580" s="1"/>
      <c r="AN580" s="1"/>
    </row>
    <row r="581" spans="31:40" ht="21">
      <c r="AE581" s="1"/>
      <c r="AG581" s="1"/>
      <c r="AH581" s="1"/>
      <c r="AI581" s="1"/>
      <c r="AJ581" s="1"/>
      <c r="AK581" s="1"/>
      <c r="AL581" s="1"/>
      <c r="AM581" s="1"/>
      <c r="AN581" s="1"/>
    </row>
    <row r="582" spans="31:40" ht="21">
      <c r="AE582" s="1"/>
      <c r="AG582" s="1"/>
      <c r="AH582" s="1"/>
      <c r="AI582" s="1"/>
      <c r="AJ582" s="1"/>
      <c r="AK582" s="1"/>
      <c r="AL582" s="1"/>
      <c r="AM582" s="1"/>
      <c r="AN582" s="1"/>
    </row>
    <row r="583" spans="31:40" ht="21">
      <c r="AE583" s="1"/>
      <c r="AG583" s="1"/>
      <c r="AH583" s="1"/>
      <c r="AI583" s="1"/>
      <c r="AJ583" s="1"/>
      <c r="AK583" s="1"/>
      <c r="AL583" s="1"/>
      <c r="AM583" s="1"/>
      <c r="AN583" s="1"/>
    </row>
    <row r="584" spans="31:40" ht="21">
      <c r="AE584" s="1"/>
      <c r="AG584" s="1"/>
      <c r="AH584" s="1"/>
      <c r="AI584" s="1"/>
      <c r="AJ584" s="1"/>
      <c r="AK584" s="1"/>
      <c r="AL584" s="1"/>
      <c r="AM584" s="1"/>
      <c r="AN584" s="1"/>
    </row>
    <row r="585" spans="31:40" ht="21">
      <c r="AE585" s="1"/>
      <c r="AG585" s="1"/>
      <c r="AH585" s="1"/>
      <c r="AI585" s="1"/>
      <c r="AJ585" s="1"/>
      <c r="AK585" s="1"/>
      <c r="AL585" s="1"/>
      <c r="AM585" s="1"/>
      <c r="AN585" s="1"/>
    </row>
    <row r="586" spans="31:40" ht="21">
      <c r="AE586" s="1"/>
      <c r="AG586" s="1"/>
      <c r="AH586" s="1"/>
      <c r="AI586" s="1"/>
      <c r="AJ586" s="1"/>
      <c r="AK586" s="1"/>
      <c r="AL586" s="1"/>
      <c r="AM586" s="1"/>
      <c r="AN586" s="1"/>
    </row>
    <row r="587" spans="31:40" ht="21">
      <c r="AE587" s="1"/>
      <c r="AG587" s="1"/>
      <c r="AH587" s="1"/>
      <c r="AI587" s="1"/>
      <c r="AJ587" s="1"/>
      <c r="AK587" s="1"/>
      <c r="AL587" s="1"/>
      <c r="AM587" s="1"/>
      <c r="AN587" s="1"/>
    </row>
    <row r="588" spans="31:40" ht="21">
      <c r="AE588" s="1"/>
      <c r="AG588" s="1"/>
      <c r="AH588" s="1"/>
      <c r="AI588" s="1"/>
      <c r="AJ588" s="1"/>
      <c r="AK588" s="1"/>
      <c r="AL588" s="1"/>
      <c r="AM588" s="1"/>
      <c r="AN588" s="1"/>
    </row>
    <row r="589" spans="31:40" ht="21">
      <c r="AE589" s="1"/>
      <c r="AG589" s="1"/>
      <c r="AH589" s="1"/>
      <c r="AI589" s="1"/>
      <c r="AJ589" s="1"/>
      <c r="AK589" s="1"/>
      <c r="AL589" s="1"/>
      <c r="AM589" s="1"/>
      <c r="AN589" s="1"/>
    </row>
    <row r="590" spans="31:40" ht="21">
      <c r="AE590" s="1"/>
      <c r="AG590" s="1"/>
      <c r="AH590" s="1"/>
      <c r="AI590" s="1"/>
      <c r="AJ590" s="1"/>
      <c r="AK590" s="1"/>
      <c r="AL590" s="1"/>
      <c r="AM590" s="1"/>
      <c r="AN590" s="1"/>
    </row>
    <row r="591" spans="31:40" ht="21">
      <c r="AE591" s="1"/>
      <c r="AG591" s="1"/>
      <c r="AH591" s="1"/>
      <c r="AI591" s="1"/>
      <c r="AJ591" s="1"/>
      <c r="AK591" s="1"/>
      <c r="AL591" s="1"/>
      <c r="AM591" s="1"/>
      <c r="AN591" s="1"/>
    </row>
    <row r="592" spans="31:40" ht="21">
      <c r="AE592" s="1"/>
      <c r="AG592" s="1"/>
      <c r="AH592" s="1"/>
      <c r="AI592" s="1"/>
      <c r="AJ592" s="1"/>
      <c r="AK592" s="1"/>
      <c r="AL592" s="1"/>
      <c r="AM592" s="1"/>
      <c r="AN592" s="1"/>
    </row>
    <row r="593" spans="31:40" ht="21">
      <c r="AE593" s="1"/>
      <c r="AG593" s="1"/>
      <c r="AH593" s="1"/>
      <c r="AI593" s="1"/>
      <c r="AJ593" s="1"/>
      <c r="AK593" s="1"/>
      <c r="AL593" s="1"/>
      <c r="AM593" s="1"/>
      <c r="AN593" s="1"/>
    </row>
    <row r="594" spans="31:40" ht="21">
      <c r="AE594" s="1"/>
      <c r="AG594" s="1"/>
      <c r="AH594" s="1"/>
      <c r="AI594" s="1"/>
      <c r="AJ594" s="1"/>
      <c r="AK594" s="1"/>
      <c r="AL594" s="1"/>
      <c r="AM594" s="1"/>
      <c r="AN594" s="1"/>
    </row>
    <row r="595" spans="31:40" ht="21">
      <c r="AE595" s="1"/>
      <c r="AG595" s="1"/>
      <c r="AH595" s="1"/>
      <c r="AI595" s="1"/>
      <c r="AJ595" s="1"/>
      <c r="AK595" s="1"/>
      <c r="AL595" s="1"/>
      <c r="AM595" s="1"/>
      <c r="AN595" s="1"/>
    </row>
    <row r="596" spans="31:40" ht="21">
      <c r="AE596" s="1"/>
      <c r="AG596" s="1"/>
      <c r="AH596" s="1"/>
      <c r="AI596" s="1"/>
      <c r="AJ596" s="1"/>
      <c r="AK596" s="1"/>
      <c r="AL596" s="1"/>
      <c r="AM596" s="1"/>
      <c r="AN596" s="1"/>
    </row>
    <row r="597" spans="31:40" ht="21">
      <c r="AE597" s="1"/>
      <c r="AG597" s="1"/>
      <c r="AH597" s="1"/>
      <c r="AI597" s="1"/>
      <c r="AJ597" s="1"/>
      <c r="AK597" s="1"/>
      <c r="AL597" s="1"/>
      <c r="AM597" s="1"/>
      <c r="AN597" s="1"/>
    </row>
    <row r="598" spans="31:40" ht="21">
      <c r="AE598" s="1"/>
      <c r="AG598" s="1"/>
      <c r="AH598" s="1"/>
      <c r="AI598" s="1"/>
      <c r="AJ598" s="1"/>
      <c r="AK598" s="1"/>
      <c r="AL598" s="1"/>
      <c r="AM598" s="1"/>
      <c r="AN598" s="1"/>
    </row>
    <row r="599" spans="31:40" ht="21">
      <c r="AE599" s="1"/>
      <c r="AG599" s="1"/>
      <c r="AH599" s="1"/>
      <c r="AI599" s="1"/>
      <c r="AJ599" s="1"/>
      <c r="AK599" s="1"/>
      <c r="AL599" s="1"/>
      <c r="AM599" s="1"/>
      <c r="AN599" s="1"/>
    </row>
    <row r="600" spans="31:40" ht="21">
      <c r="AE600" s="1"/>
      <c r="AG600" s="1"/>
      <c r="AH600" s="1"/>
      <c r="AI600" s="1"/>
      <c r="AJ600" s="1"/>
      <c r="AK600" s="1"/>
      <c r="AL600" s="1"/>
      <c r="AM600" s="1"/>
      <c r="AN600" s="1"/>
    </row>
    <row r="601" spans="31:40" ht="21">
      <c r="AE601" s="1"/>
      <c r="AG601" s="1"/>
      <c r="AH601" s="1"/>
      <c r="AI601" s="1"/>
      <c r="AJ601" s="1"/>
      <c r="AK601" s="1"/>
      <c r="AL601" s="1"/>
      <c r="AM601" s="1"/>
      <c r="AN601" s="1"/>
    </row>
    <row r="602" spans="31:40" ht="21">
      <c r="AE602" s="1"/>
      <c r="AG602" s="1"/>
      <c r="AH602" s="1"/>
      <c r="AI602" s="1"/>
      <c r="AJ602" s="1"/>
      <c r="AK602" s="1"/>
      <c r="AL602" s="1"/>
      <c r="AM602" s="1"/>
      <c r="AN602" s="1"/>
    </row>
    <row r="603" spans="31:40" ht="21">
      <c r="AE603" s="1"/>
      <c r="AG603" s="1"/>
      <c r="AH603" s="1"/>
      <c r="AI603" s="1"/>
      <c r="AJ603" s="1"/>
      <c r="AK603" s="1"/>
      <c r="AL603" s="1"/>
      <c r="AM603" s="1"/>
      <c r="AN603" s="1"/>
    </row>
    <row r="604" spans="31:40" ht="21">
      <c r="AE604" s="1"/>
      <c r="AG604" s="1"/>
      <c r="AH604" s="1"/>
      <c r="AI604" s="1"/>
      <c r="AJ604" s="1"/>
      <c r="AK604" s="1"/>
      <c r="AL604" s="1"/>
      <c r="AM604" s="1"/>
      <c r="AN604" s="1"/>
    </row>
    <row r="605" spans="31:40" ht="21">
      <c r="AE605" s="1"/>
      <c r="AG605" s="1"/>
      <c r="AH605" s="1"/>
      <c r="AI605" s="1"/>
      <c r="AJ605" s="1"/>
      <c r="AK605" s="1"/>
      <c r="AL605" s="1"/>
      <c r="AM605" s="1"/>
      <c r="AN605" s="1"/>
    </row>
    <row r="606" spans="31:40" ht="21">
      <c r="AE606" s="1"/>
      <c r="AG606" s="1"/>
      <c r="AH606" s="1"/>
      <c r="AI606" s="1"/>
      <c r="AJ606" s="1"/>
      <c r="AK606" s="1"/>
      <c r="AL606" s="1"/>
      <c r="AM606" s="1"/>
      <c r="AN606" s="1"/>
    </row>
    <row r="607" spans="31:40" ht="21">
      <c r="AE607" s="1"/>
      <c r="AG607" s="1"/>
      <c r="AH607" s="1"/>
      <c r="AI607" s="1"/>
      <c r="AJ607" s="1"/>
      <c r="AK607" s="1"/>
      <c r="AL607" s="1"/>
      <c r="AM607" s="1"/>
      <c r="AN607" s="1"/>
    </row>
    <row r="608" spans="31:40" ht="21">
      <c r="AE608" s="1"/>
      <c r="AG608" s="1"/>
      <c r="AH608" s="1"/>
      <c r="AI608" s="1"/>
      <c r="AJ608" s="1"/>
      <c r="AK608" s="1"/>
      <c r="AL608" s="1"/>
      <c r="AM608" s="1"/>
      <c r="AN608" s="1"/>
    </row>
    <row r="609" spans="31:40" ht="21">
      <c r="AE609" s="1"/>
      <c r="AG609" s="1"/>
      <c r="AH609" s="1"/>
      <c r="AI609" s="1"/>
      <c r="AJ609" s="1"/>
      <c r="AK609" s="1"/>
      <c r="AL609" s="1"/>
      <c r="AM609" s="1"/>
      <c r="AN609" s="1"/>
    </row>
    <row r="610" spans="31:40" ht="21">
      <c r="AE610" s="1"/>
      <c r="AG610" s="1"/>
      <c r="AH610" s="1"/>
      <c r="AI610" s="1"/>
      <c r="AJ610" s="1"/>
      <c r="AK610" s="1"/>
      <c r="AL610" s="1"/>
      <c r="AM610" s="1"/>
      <c r="AN610" s="1"/>
    </row>
    <row r="611" spans="31:40" ht="21">
      <c r="AE611" s="1"/>
      <c r="AG611" s="1"/>
      <c r="AH611" s="1"/>
      <c r="AI611" s="1"/>
      <c r="AJ611" s="1"/>
      <c r="AK611" s="1"/>
      <c r="AL611" s="1"/>
      <c r="AM611" s="1"/>
      <c r="AN611" s="1"/>
    </row>
    <row r="612" spans="31:40" ht="21">
      <c r="AE612" s="1"/>
      <c r="AG612" s="1"/>
      <c r="AH612" s="1"/>
      <c r="AI612" s="1"/>
      <c r="AJ612" s="1"/>
      <c r="AK612" s="1"/>
      <c r="AL612" s="1"/>
      <c r="AM612" s="1"/>
      <c r="AN612" s="1"/>
    </row>
    <row r="613" spans="31:40" ht="21">
      <c r="AE613" s="1"/>
      <c r="AG613" s="1"/>
      <c r="AH613" s="1"/>
      <c r="AI613" s="1"/>
      <c r="AJ613" s="1"/>
      <c r="AK613" s="1"/>
      <c r="AL613" s="1"/>
      <c r="AM613" s="1"/>
      <c r="AN613" s="1"/>
    </row>
    <row r="614" spans="31:40" ht="21">
      <c r="AE614" s="1"/>
      <c r="AG614" s="1"/>
      <c r="AH614" s="1"/>
      <c r="AI614" s="1"/>
      <c r="AJ614" s="1"/>
      <c r="AK614" s="1"/>
      <c r="AL614" s="1"/>
      <c r="AM614" s="1"/>
      <c r="AN614" s="1"/>
    </row>
    <row r="615" spans="31:40" ht="21">
      <c r="AE615" s="1"/>
      <c r="AG615" s="1"/>
      <c r="AH615" s="1"/>
      <c r="AI615" s="1"/>
      <c r="AJ615" s="1"/>
      <c r="AK615" s="1"/>
      <c r="AL615" s="1"/>
      <c r="AM615" s="1"/>
      <c r="AN615" s="1"/>
    </row>
    <row r="616" spans="31:40" ht="21">
      <c r="AE616" s="1"/>
      <c r="AG616" s="1"/>
      <c r="AH616" s="1"/>
      <c r="AI616" s="1"/>
      <c r="AJ616" s="1"/>
      <c r="AK616" s="1"/>
      <c r="AL616" s="1"/>
      <c r="AM616" s="1"/>
      <c r="AN616" s="1"/>
    </row>
    <row r="617" spans="31:40" ht="21">
      <c r="AE617" s="1"/>
      <c r="AG617" s="1"/>
      <c r="AH617" s="1"/>
      <c r="AI617" s="1"/>
      <c r="AJ617" s="1"/>
      <c r="AK617" s="1"/>
      <c r="AL617" s="1"/>
      <c r="AM617" s="1"/>
      <c r="AN617" s="1"/>
    </row>
    <row r="618" spans="31:40" ht="21">
      <c r="AE618" s="1"/>
      <c r="AG618" s="1"/>
      <c r="AH618" s="1"/>
      <c r="AI618" s="1"/>
      <c r="AJ618" s="1"/>
      <c r="AK618" s="1"/>
      <c r="AL618" s="1"/>
      <c r="AM618" s="1"/>
      <c r="AN618" s="1"/>
    </row>
    <row r="619" spans="31:40" ht="21">
      <c r="AE619" s="1"/>
      <c r="AG619" s="1"/>
      <c r="AH619" s="1"/>
      <c r="AI619" s="1"/>
      <c r="AJ619" s="1"/>
      <c r="AK619" s="1"/>
      <c r="AL619" s="1"/>
      <c r="AM619" s="1"/>
      <c r="AN619" s="1"/>
    </row>
    <row r="620" spans="31:40" ht="21">
      <c r="AE620" s="1"/>
      <c r="AG620" s="1"/>
      <c r="AH620" s="1"/>
      <c r="AI620" s="1"/>
      <c r="AJ620" s="1"/>
      <c r="AK620" s="1"/>
      <c r="AL620" s="1"/>
      <c r="AM620" s="1"/>
      <c r="AN620" s="1"/>
    </row>
    <row r="621" spans="31:40" ht="21">
      <c r="AE621" s="1"/>
      <c r="AG621" s="1"/>
      <c r="AH621" s="1"/>
      <c r="AI621" s="1"/>
      <c r="AJ621" s="1"/>
      <c r="AK621" s="1"/>
      <c r="AL621" s="1"/>
      <c r="AM621" s="1"/>
      <c r="AN621" s="1"/>
    </row>
    <row r="622" spans="31:40" ht="21">
      <c r="AE622" s="1"/>
      <c r="AG622" s="1"/>
      <c r="AH622" s="1"/>
      <c r="AI622" s="1"/>
      <c r="AJ622" s="1"/>
      <c r="AK622" s="1"/>
      <c r="AL622" s="1"/>
      <c r="AM622" s="1"/>
      <c r="AN622" s="1"/>
    </row>
    <row r="623" spans="31:40" ht="21">
      <c r="AE623" s="1"/>
      <c r="AG623" s="1"/>
      <c r="AH623" s="1"/>
      <c r="AI623" s="1"/>
      <c r="AJ623" s="1"/>
      <c r="AK623" s="1"/>
      <c r="AL623" s="1"/>
      <c r="AM623" s="1"/>
      <c r="AN623" s="1"/>
    </row>
    <row r="624" spans="31:40" ht="21">
      <c r="AE624" s="1"/>
      <c r="AG624" s="1"/>
      <c r="AH624" s="1"/>
      <c r="AI624" s="1"/>
      <c r="AJ624" s="1"/>
      <c r="AK624" s="1"/>
      <c r="AL624" s="1"/>
      <c r="AM624" s="1"/>
      <c r="AN624" s="1"/>
    </row>
    <row r="625" spans="31:40" ht="21">
      <c r="AE625" s="1"/>
      <c r="AG625" s="1"/>
      <c r="AH625" s="1"/>
      <c r="AI625" s="1"/>
      <c r="AJ625" s="1"/>
      <c r="AK625" s="1"/>
      <c r="AL625" s="1"/>
      <c r="AM625" s="1"/>
      <c r="AN625" s="1"/>
    </row>
    <row r="626" spans="31:40" ht="21">
      <c r="AE626" s="1"/>
      <c r="AG626" s="1"/>
      <c r="AH626" s="1"/>
      <c r="AI626" s="1"/>
      <c r="AJ626" s="1"/>
      <c r="AK626" s="1"/>
      <c r="AL626" s="1"/>
      <c r="AM626" s="1"/>
      <c r="AN626" s="1"/>
    </row>
    <row r="627" spans="31:40" ht="21">
      <c r="AE627" s="1"/>
      <c r="AG627" s="1"/>
      <c r="AH627" s="1"/>
      <c r="AI627" s="1"/>
      <c r="AJ627" s="1"/>
      <c r="AK627" s="1"/>
      <c r="AL627" s="1"/>
      <c r="AM627" s="1"/>
      <c r="AN627" s="1"/>
    </row>
    <row r="628" spans="31:40" ht="21">
      <c r="AE628" s="1"/>
      <c r="AG628" s="1"/>
      <c r="AH628" s="1"/>
      <c r="AI628" s="1"/>
      <c r="AJ628" s="1"/>
      <c r="AK628" s="1"/>
      <c r="AL628" s="1"/>
      <c r="AM628" s="1"/>
      <c r="AN628" s="1"/>
    </row>
    <row r="629" spans="31:40" ht="21">
      <c r="AE629" s="1"/>
      <c r="AG629" s="1"/>
      <c r="AH629" s="1"/>
      <c r="AI629" s="1"/>
      <c r="AJ629" s="1"/>
      <c r="AK629" s="1"/>
      <c r="AL629" s="1"/>
      <c r="AM629" s="1"/>
      <c r="AN629" s="1"/>
    </row>
    <row r="630" spans="31:40" ht="21">
      <c r="AE630" s="1"/>
      <c r="AG630" s="1"/>
      <c r="AH630" s="1"/>
      <c r="AI630" s="1"/>
      <c r="AJ630" s="1"/>
      <c r="AK630" s="1"/>
      <c r="AL630" s="1"/>
      <c r="AM630" s="1"/>
      <c r="AN630" s="1"/>
    </row>
    <row r="631" spans="31:40" ht="21">
      <c r="AE631" s="1"/>
      <c r="AG631" s="1"/>
      <c r="AH631" s="1"/>
      <c r="AI631" s="1"/>
      <c r="AJ631" s="1"/>
      <c r="AK631" s="1"/>
      <c r="AL631" s="1"/>
      <c r="AM631" s="1"/>
      <c r="AN631" s="1"/>
    </row>
    <row r="632" spans="31:40" ht="21">
      <c r="AE632" s="1"/>
      <c r="AG632" s="1"/>
      <c r="AH632" s="1"/>
      <c r="AI632" s="1"/>
      <c r="AJ632" s="1"/>
      <c r="AK632" s="1"/>
      <c r="AL632" s="1"/>
      <c r="AM632" s="1"/>
      <c r="AN632" s="1"/>
    </row>
    <row r="633" spans="31:40" ht="21">
      <c r="AE633" s="1"/>
      <c r="AG633" s="1"/>
      <c r="AH633" s="1"/>
      <c r="AI633" s="1"/>
      <c r="AJ633" s="1"/>
      <c r="AK633" s="1"/>
      <c r="AL633" s="1"/>
      <c r="AM633" s="1"/>
      <c r="AN633" s="1"/>
    </row>
    <row r="634" spans="31:40" ht="21">
      <c r="AE634" s="1"/>
      <c r="AG634" s="1"/>
      <c r="AH634" s="1"/>
      <c r="AI634" s="1"/>
      <c r="AJ634" s="1"/>
      <c r="AK634" s="1"/>
      <c r="AL634" s="1"/>
      <c r="AM634" s="1"/>
      <c r="AN634" s="1"/>
    </row>
    <row r="635" spans="31:40" ht="21">
      <c r="AE635" s="1"/>
      <c r="AG635" s="1"/>
      <c r="AH635" s="1"/>
      <c r="AI635" s="1"/>
      <c r="AJ635" s="1"/>
      <c r="AK635" s="1"/>
      <c r="AL635" s="1"/>
      <c r="AM635" s="1"/>
      <c r="AN635" s="1"/>
    </row>
    <row r="636" spans="31:40" ht="21">
      <c r="AE636" s="1"/>
      <c r="AG636" s="1"/>
      <c r="AH636" s="1"/>
      <c r="AI636" s="1"/>
      <c r="AJ636" s="1"/>
      <c r="AK636" s="1"/>
      <c r="AL636" s="1"/>
      <c r="AM636" s="1"/>
      <c r="AN636" s="1"/>
    </row>
    <row r="637" spans="31:40" ht="21">
      <c r="AE637" s="1"/>
      <c r="AG637" s="1"/>
      <c r="AH637" s="1"/>
      <c r="AI637" s="1"/>
      <c r="AJ637" s="1"/>
      <c r="AK637" s="1"/>
      <c r="AL637" s="1"/>
      <c r="AM637" s="1"/>
      <c r="AN637" s="1"/>
    </row>
    <row r="638" spans="31:40" ht="21">
      <c r="AE638" s="1"/>
      <c r="AG638" s="1"/>
      <c r="AH638" s="1"/>
      <c r="AI638" s="1"/>
      <c r="AJ638" s="1"/>
      <c r="AK638" s="1"/>
      <c r="AL638" s="1"/>
      <c r="AM638" s="1"/>
      <c r="AN638" s="1"/>
    </row>
    <row r="639" spans="31:40" ht="21">
      <c r="AE639" s="1"/>
      <c r="AG639" s="1"/>
      <c r="AH639" s="1"/>
      <c r="AI639" s="1"/>
      <c r="AJ639" s="1"/>
      <c r="AK639" s="1"/>
      <c r="AL639" s="1"/>
      <c r="AM639" s="1"/>
      <c r="AN639" s="1"/>
    </row>
    <row r="640" spans="31:40" ht="21">
      <c r="AE640" s="1"/>
      <c r="AG640" s="1"/>
      <c r="AH640" s="1"/>
      <c r="AI640" s="1"/>
      <c r="AJ640" s="1"/>
      <c r="AK640" s="1"/>
      <c r="AL640" s="1"/>
      <c r="AM640" s="1"/>
      <c r="AN640" s="1"/>
    </row>
    <row r="641" spans="31:40" ht="21">
      <c r="AE641" s="1"/>
      <c r="AG641" s="1"/>
      <c r="AH641" s="1"/>
      <c r="AI641" s="1"/>
      <c r="AJ641" s="1"/>
      <c r="AK641" s="1"/>
      <c r="AL641" s="1"/>
      <c r="AM641" s="1"/>
      <c r="AN641" s="1"/>
    </row>
    <row r="642" spans="31:40" ht="21">
      <c r="AE642" s="1"/>
      <c r="AG642" s="1"/>
      <c r="AH642" s="1"/>
      <c r="AI642" s="1"/>
      <c r="AJ642" s="1"/>
      <c r="AK642" s="1"/>
      <c r="AL642" s="1"/>
      <c r="AM642" s="1"/>
      <c r="AN642" s="1"/>
    </row>
    <row r="643" spans="31:40" ht="21">
      <c r="AE643" s="1"/>
      <c r="AG643" s="1"/>
      <c r="AH643" s="1"/>
      <c r="AI643" s="1"/>
      <c r="AJ643" s="1"/>
      <c r="AK643" s="1"/>
      <c r="AL643" s="1"/>
      <c r="AM643" s="1"/>
      <c r="AN643" s="1"/>
    </row>
    <row r="644" spans="31:40" ht="21">
      <c r="AE644" s="1"/>
      <c r="AG644" s="1"/>
      <c r="AH644" s="1"/>
      <c r="AI644" s="1"/>
      <c r="AJ644" s="1"/>
      <c r="AK644" s="1"/>
      <c r="AL644" s="1"/>
      <c r="AM644" s="1"/>
      <c r="AN644" s="1"/>
    </row>
    <row r="645" spans="31:40" ht="21">
      <c r="AE645" s="1"/>
      <c r="AG645" s="1"/>
      <c r="AH645" s="1"/>
      <c r="AI645" s="1"/>
      <c r="AJ645" s="1"/>
      <c r="AK645" s="1"/>
      <c r="AL645" s="1"/>
      <c r="AM645" s="1"/>
      <c r="AN645" s="1"/>
    </row>
    <row r="646" spans="31:40" ht="21">
      <c r="AE646" s="1"/>
      <c r="AG646" s="1"/>
      <c r="AH646" s="1"/>
      <c r="AI646" s="1"/>
      <c r="AJ646" s="1"/>
      <c r="AK646" s="1"/>
      <c r="AL646" s="1"/>
      <c r="AM646" s="1"/>
      <c r="AN646" s="1"/>
    </row>
    <row r="647" spans="31:40" ht="21">
      <c r="AE647" s="1"/>
      <c r="AG647" s="1"/>
      <c r="AH647" s="1"/>
      <c r="AI647" s="1"/>
      <c r="AJ647" s="1"/>
      <c r="AK647" s="1"/>
      <c r="AL647" s="1"/>
      <c r="AM647" s="1"/>
      <c r="AN647" s="1"/>
    </row>
    <row r="648" spans="31:40" ht="21">
      <c r="AE648" s="1"/>
      <c r="AG648" s="1"/>
      <c r="AH648" s="1"/>
      <c r="AI648" s="1"/>
      <c r="AJ648" s="1"/>
      <c r="AK648" s="1"/>
      <c r="AL648" s="1"/>
      <c r="AM648" s="1"/>
      <c r="AN648" s="1"/>
    </row>
    <row r="649" spans="31:40" ht="21">
      <c r="AE649" s="1"/>
      <c r="AG649" s="1"/>
      <c r="AH649" s="1"/>
      <c r="AI649" s="1"/>
      <c r="AJ649" s="1"/>
      <c r="AK649" s="1"/>
      <c r="AL649" s="1"/>
      <c r="AM649" s="1"/>
      <c r="AN649" s="1"/>
    </row>
    <row r="650" spans="31:40" ht="21">
      <c r="AE650" s="1"/>
      <c r="AG650" s="1"/>
      <c r="AH650" s="1"/>
      <c r="AI650" s="1"/>
      <c r="AJ650" s="1"/>
      <c r="AK650" s="1"/>
      <c r="AL650" s="1"/>
      <c r="AM650" s="1"/>
      <c r="AN650" s="1"/>
    </row>
    <row r="651" spans="31:40" ht="21">
      <c r="AE651" s="1"/>
      <c r="AG651" s="1"/>
      <c r="AH651" s="1"/>
      <c r="AI651" s="1"/>
      <c r="AJ651" s="1"/>
      <c r="AK651" s="1"/>
      <c r="AL651" s="1"/>
      <c r="AM651" s="1"/>
      <c r="AN651" s="1"/>
    </row>
    <row r="652" spans="31:40" ht="21">
      <c r="AE652" s="1"/>
      <c r="AG652" s="1"/>
      <c r="AH652" s="1"/>
      <c r="AI652" s="1"/>
      <c r="AJ652" s="1"/>
      <c r="AK652" s="1"/>
      <c r="AL652" s="1"/>
      <c r="AM652" s="1"/>
      <c r="AN652" s="1"/>
    </row>
    <row r="653" spans="31:40" ht="21">
      <c r="AE653" s="1"/>
      <c r="AG653" s="1"/>
      <c r="AH653" s="1"/>
      <c r="AI653" s="1"/>
      <c r="AJ653" s="1"/>
      <c r="AK653" s="1"/>
      <c r="AL653" s="1"/>
      <c r="AM653" s="1"/>
      <c r="AN653" s="1"/>
    </row>
    <row r="654" spans="31:40" ht="21">
      <c r="AE654" s="1"/>
      <c r="AG654" s="1"/>
      <c r="AH654" s="1"/>
      <c r="AI654" s="1"/>
      <c r="AJ654" s="1"/>
      <c r="AK654" s="1"/>
      <c r="AL654" s="1"/>
      <c r="AM654" s="1"/>
      <c r="AN654" s="1"/>
    </row>
    <row r="655" spans="31:40" ht="21">
      <c r="AE655" s="1"/>
      <c r="AG655" s="1"/>
      <c r="AH655" s="1"/>
      <c r="AI655" s="1"/>
      <c r="AJ655" s="1"/>
      <c r="AK655" s="1"/>
      <c r="AL655" s="1"/>
      <c r="AM655" s="1"/>
      <c r="AN655" s="1"/>
    </row>
    <row r="656" spans="31:40" ht="21">
      <c r="AE656" s="1"/>
      <c r="AG656" s="1"/>
      <c r="AH656" s="1"/>
      <c r="AI656" s="1"/>
      <c r="AJ656" s="1"/>
      <c r="AK656" s="1"/>
      <c r="AL656" s="1"/>
      <c r="AM656" s="1"/>
      <c r="AN656" s="1"/>
    </row>
    <row r="657" spans="31:40" ht="21">
      <c r="AE657" s="1"/>
      <c r="AG657" s="1"/>
      <c r="AH657" s="1"/>
      <c r="AI657" s="1"/>
      <c r="AJ657" s="1"/>
      <c r="AK657" s="1"/>
      <c r="AL657" s="1"/>
      <c r="AM657" s="1"/>
      <c r="AN657" s="1"/>
    </row>
    <row r="658" spans="31:40" ht="21">
      <c r="AE658" s="1"/>
      <c r="AG658" s="1"/>
      <c r="AH658" s="1"/>
      <c r="AI658" s="1"/>
      <c r="AJ658" s="1"/>
      <c r="AK658" s="1"/>
      <c r="AL658" s="1"/>
      <c r="AM658" s="1"/>
      <c r="AN658" s="1"/>
    </row>
    <row r="659" spans="31:40" ht="21">
      <c r="AE659" s="1"/>
      <c r="AG659" s="1"/>
      <c r="AH659" s="1"/>
      <c r="AI659" s="1"/>
      <c r="AJ659" s="1"/>
      <c r="AK659" s="1"/>
      <c r="AL659" s="1"/>
      <c r="AM659" s="1"/>
      <c r="AN659" s="1"/>
    </row>
    <row r="660" spans="31:40" ht="21">
      <c r="AE660" s="1"/>
      <c r="AG660" s="1"/>
      <c r="AH660" s="1"/>
      <c r="AI660" s="1"/>
      <c r="AJ660" s="1"/>
      <c r="AK660" s="1"/>
      <c r="AL660" s="1"/>
      <c r="AM660" s="1"/>
      <c r="AN660" s="1"/>
    </row>
    <row r="661" spans="31:40" ht="21">
      <c r="AE661" s="1"/>
      <c r="AG661" s="1"/>
      <c r="AH661" s="1"/>
      <c r="AI661" s="1"/>
      <c r="AJ661" s="1"/>
      <c r="AK661" s="1"/>
      <c r="AL661" s="1"/>
      <c r="AM661" s="1"/>
      <c r="AN661" s="1"/>
    </row>
    <row r="662" spans="31:40" ht="21">
      <c r="AE662" s="1"/>
      <c r="AG662" s="1"/>
      <c r="AH662" s="1"/>
      <c r="AI662" s="1"/>
      <c r="AJ662" s="1"/>
      <c r="AK662" s="1"/>
      <c r="AL662" s="1"/>
      <c r="AM662" s="1"/>
      <c r="AN662" s="1"/>
    </row>
    <row r="663" spans="31:40" ht="21">
      <c r="AE663" s="1"/>
      <c r="AG663" s="1"/>
      <c r="AH663" s="1"/>
      <c r="AI663" s="1"/>
      <c r="AJ663" s="1"/>
      <c r="AK663" s="1"/>
      <c r="AL663" s="1"/>
      <c r="AM663" s="1"/>
      <c r="AN663" s="1"/>
    </row>
    <row r="664" spans="31:40" ht="21">
      <c r="AE664" s="1"/>
      <c r="AG664" s="1"/>
      <c r="AH664" s="1"/>
      <c r="AI664" s="1"/>
      <c r="AJ664" s="1"/>
      <c r="AK664" s="1"/>
      <c r="AL664" s="1"/>
      <c r="AM664" s="1"/>
      <c r="AN664" s="1"/>
    </row>
    <row r="665" spans="31:40" ht="21">
      <c r="AE665" s="1"/>
      <c r="AG665" s="1"/>
      <c r="AH665" s="1"/>
      <c r="AI665" s="1"/>
      <c r="AJ665" s="1"/>
      <c r="AK665" s="1"/>
      <c r="AL665" s="1"/>
      <c r="AM665" s="1"/>
      <c r="AN665" s="1"/>
    </row>
    <row r="666" spans="31:40" ht="21">
      <c r="AE666" s="1"/>
      <c r="AG666" s="1"/>
      <c r="AH666" s="1"/>
      <c r="AI666" s="1"/>
      <c r="AJ666" s="1"/>
      <c r="AK666" s="1"/>
      <c r="AL666" s="1"/>
      <c r="AM666" s="1"/>
      <c r="AN666" s="1"/>
    </row>
    <row r="667" spans="31:40" ht="21">
      <c r="AE667" s="1"/>
      <c r="AG667" s="1"/>
      <c r="AH667" s="1"/>
      <c r="AI667" s="1"/>
      <c r="AJ667" s="1"/>
      <c r="AK667" s="1"/>
      <c r="AL667" s="1"/>
      <c r="AM667" s="1"/>
      <c r="AN667" s="1"/>
    </row>
    <row r="668" spans="31:40" ht="21">
      <c r="AE668" s="1"/>
      <c r="AG668" s="1"/>
      <c r="AH668" s="1"/>
      <c r="AI668" s="1"/>
      <c r="AJ668" s="1"/>
      <c r="AK668" s="1"/>
      <c r="AL668" s="1"/>
      <c r="AM668" s="1"/>
      <c r="AN668" s="1"/>
    </row>
    <row r="669" spans="31:40" ht="21">
      <c r="AE669" s="1"/>
      <c r="AG669" s="1"/>
      <c r="AH669" s="1"/>
      <c r="AI669" s="1"/>
      <c r="AJ669" s="1"/>
      <c r="AK669" s="1"/>
      <c r="AL669" s="1"/>
      <c r="AM669" s="1"/>
      <c r="AN669" s="1"/>
    </row>
    <row r="670" spans="31:40" ht="21">
      <c r="AE670" s="1"/>
      <c r="AG670" s="1"/>
      <c r="AH670" s="1"/>
      <c r="AI670" s="1"/>
      <c r="AJ670" s="1"/>
      <c r="AK670" s="1"/>
      <c r="AL670" s="1"/>
      <c r="AM670" s="1"/>
      <c r="AN670" s="1"/>
    </row>
    <row r="671" spans="31:40" ht="21">
      <c r="AE671" s="1"/>
      <c r="AG671" s="1"/>
      <c r="AH671" s="1"/>
      <c r="AI671" s="1"/>
      <c r="AJ671" s="1"/>
      <c r="AK671" s="1"/>
      <c r="AL671" s="1"/>
      <c r="AM671" s="1"/>
      <c r="AN671" s="1"/>
    </row>
    <row r="672" spans="31:40" ht="21">
      <c r="AE672" s="1"/>
      <c r="AG672" s="1"/>
      <c r="AH672" s="1"/>
      <c r="AI672" s="1"/>
      <c r="AJ672" s="1"/>
      <c r="AK672" s="1"/>
      <c r="AL672" s="1"/>
      <c r="AM672" s="1"/>
      <c r="AN672" s="1"/>
    </row>
    <row r="673" spans="31:40" ht="21">
      <c r="AE673" s="1"/>
      <c r="AG673" s="1"/>
      <c r="AH673" s="1"/>
      <c r="AI673" s="1"/>
      <c r="AJ673" s="1"/>
      <c r="AK673" s="1"/>
      <c r="AL673" s="1"/>
      <c r="AM673" s="1"/>
      <c r="AN673" s="1"/>
    </row>
    <row r="674" spans="31:40" ht="21">
      <c r="AE674" s="1"/>
      <c r="AG674" s="1"/>
      <c r="AH674" s="1"/>
      <c r="AI674" s="1"/>
      <c r="AJ674" s="1"/>
      <c r="AK674" s="1"/>
      <c r="AL674" s="1"/>
      <c r="AM674" s="1"/>
      <c r="AN674" s="1"/>
    </row>
    <row r="675" spans="31:40" ht="21">
      <c r="AE675" s="1"/>
      <c r="AG675" s="1"/>
      <c r="AH675" s="1"/>
      <c r="AI675" s="1"/>
      <c r="AJ675" s="1"/>
      <c r="AK675" s="1"/>
      <c r="AL675" s="1"/>
      <c r="AM675" s="1"/>
      <c r="AN675" s="1"/>
    </row>
    <row r="676" spans="31:40" ht="21">
      <c r="AE676" s="1"/>
      <c r="AG676" s="1"/>
      <c r="AH676" s="1"/>
      <c r="AI676" s="1"/>
      <c r="AJ676" s="1"/>
      <c r="AK676" s="1"/>
      <c r="AL676" s="1"/>
      <c r="AM676" s="1"/>
      <c r="AN676" s="1"/>
    </row>
    <row r="677" spans="31:40" ht="21">
      <c r="AE677" s="1"/>
      <c r="AG677" s="1"/>
      <c r="AH677" s="1"/>
      <c r="AI677" s="1"/>
      <c r="AJ677" s="1"/>
      <c r="AK677" s="1"/>
      <c r="AL677" s="1"/>
      <c r="AM677" s="1"/>
      <c r="AN677" s="1"/>
    </row>
    <row r="678" spans="31:40" ht="21">
      <c r="AE678" s="1"/>
      <c r="AG678" s="1"/>
      <c r="AH678" s="1"/>
      <c r="AI678" s="1"/>
      <c r="AJ678" s="1"/>
      <c r="AK678" s="1"/>
      <c r="AL678" s="1"/>
      <c r="AM678" s="1"/>
      <c r="AN678" s="1"/>
    </row>
    <row r="679" spans="31:40" ht="21">
      <c r="AE679" s="1"/>
      <c r="AG679" s="1"/>
      <c r="AH679" s="1"/>
      <c r="AI679" s="1"/>
      <c r="AJ679" s="1"/>
      <c r="AK679" s="1"/>
      <c r="AL679" s="1"/>
      <c r="AM679" s="1"/>
      <c r="AN679" s="1"/>
    </row>
    <row r="680" spans="31:40" ht="21">
      <c r="AE680" s="1"/>
      <c r="AG680" s="1"/>
      <c r="AH680" s="1"/>
      <c r="AI680" s="1"/>
      <c r="AJ680" s="1"/>
      <c r="AK680" s="1"/>
      <c r="AL680" s="1"/>
      <c r="AM680" s="1"/>
      <c r="AN680" s="1"/>
    </row>
    <row r="681" spans="31:40" ht="21">
      <c r="AE681" s="1"/>
      <c r="AG681" s="1"/>
      <c r="AH681" s="1"/>
      <c r="AI681" s="1"/>
      <c r="AJ681" s="1"/>
      <c r="AK681" s="1"/>
      <c r="AL681" s="1"/>
      <c r="AM681" s="1"/>
      <c r="AN681" s="1"/>
    </row>
    <row r="682" spans="31:40" ht="21">
      <c r="AE682" s="1"/>
      <c r="AG682" s="1"/>
      <c r="AH682" s="1"/>
      <c r="AI682" s="1"/>
      <c r="AJ682" s="1"/>
      <c r="AK682" s="1"/>
      <c r="AL682" s="1"/>
      <c r="AM682" s="1"/>
      <c r="AN682" s="1"/>
    </row>
    <row r="683" spans="31:40" ht="21">
      <c r="AE683" s="1"/>
      <c r="AG683" s="1"/>
      <c r="AH683" s="1"/>
      <c r="AI683" s="1"/>
      <c r="AJ683" s="1"/>
      <c r="AK683" s="1"/>
      <c r="AL683" s="1"/>
      <c r="AM683" s="1"/>
      <c r="AN683" s="1"/>
    </row>
    <row r="684" spans="31:40" ht="21">
      <c r="AE684" s="1"/>
      <c r="AG684" s="1"/>
      <c r="AH684" s="1"/>
      <c r="AI684" s="1"/>
      <c r="AJ684" s="1"/>
      <c r="AK684" s="1"/>
      <c r="AL684" s="1"/>
      <c r="AM684" s="1"/>
      <c r="AN684" s="1"/>
    </row>
    <row r="685" spans="31:40" ht="21">
      <c r="AE685" s="1"/>
      <c r="AG685" s="1"/>
      <c r="AH685" s="1"/>
      <c r="AI685" s="1"/>
      <c r="AJ685" s="1"/>
      <c r="AK685" s="1"/>
      <c r="AL685" s="1"/>
      <c r="AM685" s="1"/>
      <c r="AN685" s="1"/>
    </row>
    <row r="686" spans="31:40" ht="21">
      <c r="AE686" s="1"/>
      <c r="AG686" s="1"/>
      <c r="AH686" s="1"/>
      <c r="AI686" s="1"/>
      <c r="AJ686" s="1"/>
      <c r="AK686" s="1"/>
      <c r="AL686" s="1"/>
      <c r="AM686" s="1"/>
      <c r="AN686" s="1"/>
    </row>
    <row r="687" spans="31:40" ht="21">
      <c r="AE687" s="1"/>
      <c r="AG687" s="1"/>
      <c r="AH687" s="1"/>
      <c r="AI687" s="1"/>
      <c r="AJ687" s="1"/>
      <c r="AK687" s="1"/>
      <c r="AL687" s="1"/>
      <c r="AM687" s="1"/>
      <c r="AN687" s="1"/>
    </row>
    <row r="688" spans="31:40" ht="21">
      <c r="AE688" s="1"/>
      <c r="AG688" s="1"/>
      <c r="AH688" s="1"/>
      <c r="AI688" s="1"/>
      <c r="AJ688" s="1"/>
      <c r="AK688" s="1"/>
      <c r="AL688" s="1"/>
      <c r="AM688" s="1"/>
      <c r="AN688" s="1"/>
    </row>
    <row r="689" spans="31:40" ht="21">
      <c r="AE689" s="1"/>
      <c r="AG689" s="1"/>
      <c r="AH689" s="1"/>
      <c r="AI689" s="1"/>
      <c r="AJ689" s="1"/>
      <c r="AK689" s="1"/>
      <c r="AL689" s="1"/>
      <c r="AM689" s="1"/>
      <c r="AN689" s="1"/>
    </row>
    <row r="690" spans="31:40" ht="21">
      <c r="AE690" s="1"/>
      <c r="AG690" s="1"/>
      <c r="AH690" s="1"/>
      <c r="AI690" s="1"/>
      <c r="AJ690" s="1"/>
      <c r="AK690" s="1"/>
      <c r="AL690" s="1"/>
      <c r="AM690" s="1"/>
      <c r="AN690" s="1"/>
    </row>
    <row r="691" spans="31:40" ht="21">
      <c r="AE691" s="1"/>
      <c r="AG691" s="1"/>
      <c r="AH691" s="1"/>
      <c r="AI691" s="1"/>
      <c r="AJ691" s="1"/>
      <c r="AK691" s="1"/>
      <c r="AL691" s="1"/>
      <c r="AM691" s="1"/>
      <c r="AN691" s="1"/>
    </row>
    <row r="692" spans="31:40" ht="21">
      <c r="AE692" s="1"/>
      <c r="AG692" s="1"/>
      <c r="AH692" s="1"/>
      <c r="AI692" s="1"/>
      <c r="AJ692" s="1"/>
      <c r="AK692" s="1"/>
      <c r="AL692" s="1"/>
      <c r="AM692" s="1"/>
      <c r="AN692" s="1"/>
    </row>
    <row r="693" spans="31:40" ht="21">
      <c r="AE693" s="1"/>
      <c r="AG693" s="1"/>
      <c r="AH693" s="1"/>
      <c r="AI693" s="1"/>
      <c r="AJ693" s="1"/>
      <c r="AK693" s="1"/>
      <c r="AL693" s="1"/>
      <c r="AM693" s="1"/>
      <c r="AN693" s="1"/>
    </row>
    <row r="694" spans="31:40" ht="21">
      <c r="AE694" s="1"/>
      <c r="AG694" s="1"/>
      <c r="AH694" s="1"/>
      <c r="AI694" s="1"/>
      <c r="AJ694" s="1"/>
      <c r="AK694" s="1"/>
      <c r="AL694" s="1"/>
      <c r="AM694" s="1"/>
      <c r="AN694" s="1"/>
    </row>
    <row r="695" spans="31:40" ht="21">
      <c r="AE695" s="1"/>
      <c r="AG695" s="1"/>
      <c r="AH695" s="1"/>
      <c r="AI695" s="1"/>
      <c r="AJ695" s="1"/>
      <c r="AK695" s="1"/>
      <c r="AL695" s="1"/>
      <c r="AM695" s="1"/>
      <c r="AN695" s="1"/>
    </row>
    <row r="696" spans="31:40" ht="21">
      <c r="AE696" s="1"/>
      <c r="AG696" s="1"/>
      <c r="AH696" s="1"/>
      <c r="AI696" s="1"/>
      <c r="AJ696" s="1"/>
      <c r="AK696" s="1"/>
      <c r="AL696" s="1"/>
      <c r="AM696" s="1"/>
      <c r="AN696" s="1"/>
    </row>
    <row r="697" spans="31:40" ht="21">
      <c r="AE697" s="1"/>
      <c r="AG697" s="1"/>
      <c r="AH697" s="1"/>
      <c r="AI697" s="1"/>
      <c r="AJ697" s="1"/>
      <c r="AK697" s="1"/>
      <c r="AL697" s="1"/>
      <c r="AM697" s="1"/>
      <c r="AN697" s="1"/>
    </row>
    <row r="698" spans="31:40" ht="21">
      <c r="AE698" s="1"/>
      <c r="AG698" s="1"/>
      <c r="AH698" s="1"/>
      <c r="AI698" s="1"/>
      <c r="AJ698" s="1"/>
      <c r="AK698" s="1"/>
      <c r="AL698" s="1"/>
      <c r="AM698" s="1"/>
      <c r="AN698" s="1"/>
    </row>
    <row r="699" spans="31:40" ht="21">
      <c r="AE699" s="1"/>
      <c r="AG699" s="1"/>
      <c r="AH699" s="1"/>
      <c r="AI699" s="1"/>
      <c r="AJ699" s="1"/>
      <c r="AK699" s="1"/>
      <c r="AL699" s="1"/>
      <c r="AM699" s="1"/>
      <c r="AN699" s="1"/>
    </row>
    <row r="700" spans="31:40" ht="21">
      <c r="AE700" s="1"/>
      <c r="AG700" s="1"/>
      <c r="AH700" s="1"/>
      <c r="AI700" s="1"/>
      <c r="AJ700" s="1"/>
      <c r="AK700" s="1"/>
      <c r="AL700" s="1"/>
      <c r="AM700" s="1"/>
      <c r="AN700" s="1"/>
    </row>
    <row r="701" spans="31:40" ht="21">
      <c r="AE701" s="1"/>
      <c r="AG701" s="1"/>
      <c r="AH701" s="1"/>
      <c r="AI701" s="1"/>
      <c r="AJ701" s="1"/>
      <c r="AK701" s="1"/>
      <c r="AL701" s="1"/>
      <c r="AM701" s="1"/>
      <c r="AN701" s="1"/>
    </row>
    <row r="702" spans="31:40" ht="21">
      <c r="AE702" s="1"/>
      <c r="AG702" s="1"/>
      <c r="AH702" s="1"/>
      <c r="AI702" s="1"/>
      <c r="AJ702" s="1"/>
      <c r="AK702" s="1"/>
      <c r="AL702" s="1"/>
      <c r="AM702" s="1"/>
      <c r="AN702" s="1"/>
    </row>
    <row r="703" spans="31:40" ht="21">
      <c r="AE703" s="1"/>
      <c r="AG703" s="1"/>
      <c r="AH703" s="1"/>
      <c r="AI703" s="1"/>
      <c r="AJ703" s="1"/>
      <c r="AK703" s="1"/>
      <c r="AL703" s="1"/>
      <c r="AM703" s="1"/>
      <c r="AN703" s="1"/>
    </row>
    <row r="704" spans="31:40" ht="21">
      <c r="AE704" s="1"/>
      <c r="AG704" s="1"/>
      <c r="AH704" s="1"/>
      <c r="AI704" s="1"/>
      <c r="AJ704" s="1"/>
      <c r="AK704" s="1"/>
      <c r="AL704" s="1"/>
      <c r="AM704" s="1"/>
      <c r="AN704" s="1"/>
    </row>
    <row r="705" spans="31:40" ht="21">
      <c r="AE705" s="1"/>
      <c r="AG705" s="1"/>
      <c r="AH705" s="1"/>
      <c r="AI705" s="1"/>
      <c r="AJ705" s="1"/>
      <c r="AK705" s="1"/>
      <c r="AL705" s="1"/>
      <c r="AM705" s="1"/>
      <c r="AN705" s="1"/>
    </row>
    <row r="706" spans="31:40" ht="21">
      <c r="AE706" s="1"/>
      <c r="AG706" s="1"/>
      <c r="AH706" s="1"/>
      <c r="AI706" s="1"/>
      <c r="AJ706" s="1"/>
      <c r="AK706" s="1"/>
      <c r="AL706" s="1"/>
      <c r="AM706" s="1"/>
      <c r="AN706" s="1"/>
    </row>
    <row r="707" spans="31:40" ht="21">
      <c r="AE707" s="1"/>
      <c r="AG707" s="1"/>
      <c r="AH707" s="1"/>
      <c r="AI707" s="1"/>
      <c r="AJ707" s="1"/>
      <c r="AK707" s="1"/>
      <c r="AL707" s="1"/>
      <c r="AM707" s="1"/>
      <c r="AN707" s="1"/>
    </row>
    <row r="708" spans="31:40" ht="21">
      <c r="AE708" s="1"/>
      <c r="AG708" s="1"/>
      <c r="AH708" s="1"/>
      <c r="AI708" s="1"/>
      <c r="AJ708" s="1"/>
      <c r="AK708" s="1"/>
      <c r="AL708" s="1"/>
      <c r="AM708" s="1"/>
      <c r="AN708" s="1"/>
    </row>
    <row r="709" spans="31:40" ht="21">
      <c r="AE709" s="1"/>
      <c r="AG709" s="1"/>
      <c r="AH709" s="1"/>
      <c r="AI709" s="1"/>
      <c r="AJ709" s="1"/>
      <c r="AK709" s="1"/>
      <c r="AL709" s="1"/>
      <c r="AM709" s="1"/>
      <c r="AN709" s="1"/>
    </row>
    <row r="710" spans="31:40" ht="21">
      <c r="AE710" s="1"/>
      <c r="AG710" s="1"/>
      <c r="AH710" s="1"/>
      <c r="AI710" s="1"/>
      <c r="AJ710" s="1"/>
      <c r="AK710" s="1"/>
      <c r="AL710" s="1"/>
      <c r="AM710" s="1"/>
      <c r="AN710" s="1"/>
    </row>
    <row r="711" spans="31:40" ht="21">
      <c r="AE711" s="1"/>
      <c r="AG711" s="1"/>
      <c r="AH711" s="1"/>
      <c r="AI711" s="1"/>
      <c r="AJ711" s="1"/>
      <c r="AK711" s="1"/>
      <c r="AL711" s="1"/>
      <c r="AM711" s="1"/>
      <c r="AN711" s="1"/>
    </row>
    <row r="712" spans="31:40" ht="21">
      <c r="AE712" s="1"/>
      <c r="AG712" s="1"/>
      <c r="AH712" s="1"/>
      <c r="AI712" s="1"/>
      <c r="AJ712" s="1"/>
      <c r="AK712" s="1"/>
      <c r="AL712" s="1"/>
      <c r="AM712" s="1"/>
      <c r="AN712" s="1"/>
    </row>
    <row r="713" spans="31:40" ht="21">
      <c r="AE713" s="1"/>
      <c r="AG713" s="1"/>
      <c r="AH713" s="1"/>
      <c r="AI713" s="1"/>
      <c r="AJ713" s="1"/>
      <c r="AK713" s="1"/>
      <c r="AL713" s="1"/>
      <c r="AM713" s="1"/>
      <c r="AN713" s="1"/>
    </row>
    <row r="714" spans="31:40" ht="21">
      <c r="AE714" s="1"/>
      <c r="AG714" s="1"/>
      <c r="AH714" s="1"/>
      <c r="AI714" s="1"/>
      <c r="AJ714" s="1"/>
      <c r="AK714" s="1"/>
      <c r="AL714" s="1"/>
      <c r="AM714" s="1"/>
      <c r="AN714" s="1"/>
    </row>
    <row r="715" spans="31:40" ht="21">
      <c r="AE715" s="1"/>
      <c r="AG715" s="1"/>
      <c r="AH715" s="1"/>
      <c r="AI715" s="1"/>
      <c r="AJ715" s="1"/>
      <c r="AK715" s="1"/>
      <c r="AL715" s="1"/>
      <c r="AM715" s="1"/>
      <c r="AN715" s="1"/>
    </row>
    <row r="716" spans="31:40" ht="21">
      <c r="AE716" s="1"/>
      <c r="AG716" s="1"/>
      <c r="AH716" s="1"/>
      <c r="AI716" s="1"/>
      <c r="AJ716" s="1"/>
      <c r="AK716" s="1"/>
      <c r="AL716" s="1"/>
      <c r="AM716" s="1"/>
      <c r="AN716" s="1"/>
    </row>
    <row r="717" spans="31:40" ht="21">
      <c r="AE717" s="1"/>
      <c r="AG717" s="1"/>
      <c r="AH717" s="1"/>
      <c r="AI717" s="1"/>
      <c r="AJ717" s="1"/>
      <c r="AK717" s="1"/>
      <c r="AL717" s="1"/>
      <c r="AM717" s="1"/>
      <c r="AN717" s="1"/>
    </row>
    <row r="718" spans="31:40" ht="21">
      <c r="AE718" s="1"/>
      <c r="AG718" s="1"/>
      <c r="AH718" s="1"/>
      <c r="AI718" s="1"/>
      <c r="AJ718" s="1"/>
      <c r="AK718" s="1"/>
      <c r="AL718" s="1"/>
      <c r="AM718" s="1"/>
      <c r="AN718" s="1"/>
    </row>
    <row r="719" spans="31:40" ht="21">
      <c r="AE719" s="1"/>
      <c r="AG719" s="1"/>
      <c r="AH719" s="1"/>
      <c r="AI719" s="1"/>
      <c r="AJ719" s="1"/>
      <c r="AK719" s="1"/>
      <c r="AL719" s="1"/>
      <c r="AM719" s="1"/>
      <c r="AN719" s="1"/>
    </row>
    <row r="720" spans="31:40" ht="21">
      <c r="AE720" s="1"/>
      <c r="AG720" s="1"/>
      <c r="AH720" s="1"/>
      <c r="AI720" s="1"/>
      <c r="AJ720" s="1"/>
      <c r="AK720" s="1"/>
      <c r="AL720" s="1"/>
      <c r="AM720" s="1"/>
      <c r="AN720" s="1"/>
    </row>
    <row r="721" spans="31:40" ht="21">
      <c r="AE721" s="1"/>
      <c r="AG721" s="1"/>
      <c r="AH721" s="1"/>
      <c r="AI721" s="1"/>
      <c r="AJ721" s="1"/>
      <c r="AK721" s="1"/>
      <c r="AL721" s="1"/>
      <c r="AM721" s="1"/>
      <c r="AN721" s="1"/>
    </row>
    <row r="722" spans="31:40" ht="21">
      <c r="AE722" s="1"/>
      <c r="AG722" s="1"/>
      <c r="AH722" s="1"/>
      <c r="AI722" s="1"/>
      <c r="AJ722" s="1"/>
      <c r="AK722" s="1"/>
      <c r="AL722" s="1"/>
      <c r="AM722" s="1"/>
      <c r="AN722" s="1"/>
    </row>
    <row r="723" spans="31:40" ht="21">
      <c r="AE723" s="1"/>
      <c r="AG723" s="1"/>
      <c r="AH723" s="1"/>
      <c r="AI723" s="1"/>
      <c r="AJ723" s="1"/>
      <c r="AK723" s="1"/>
      <c r="AL723" s="1"/>
      <c r="AM723" s="1"/>
      <c r="AN723" s="1"/>
    </row>
    <row r="724" spans="31:40" ht="21">
      <c r="AE724" s="1"/>
      <c r="AG724" s="1"/>
      <c r="AH724" s="1"/>
      <c r="AI724" s="1"/>
      <c r="AJ724" s="1"/>
      <c r="AK724" s="1"/>
      <c r="AL724" s="1"/>
      <c r="AM724" s="1"/>
      <c r="AN724" s="1"/>
    </row>
    <row r="725" spans="31:40" ht="21">
      <c r="AE725" s="1"/>
      <c r="AG725" s="1"/>
      <c r="AH725" s="1"/>
      <c r="AI725" s="1"/>
      <c r="AJ725" s="1"/>
      <c r="AK725" s="1"/>
      <c r="AL725" s="1"/>
      <c r="AM725" s="1"/>
      <c r="AN725" s="1"/>
    </row>
    <row r="726" spans="31:40" ht="21">
      <c r="AE726" s="1"/>
      <c r="AG726" s="1"/>
      <c r="AH726" s="1"/>
      <c r="AI726" s="1"/>
      <c r="AJ726" s="1"/>
      <c r="AK726" s="1"/>
      <c r="AL726" s="1"/>
      <c r="AM726" s="1"/>
      <c r="AN726" s="1"/>
    </row>
    <row r="727" spans="31:40" ht="21">
      <c r="AE727" s="1"/>
      <c r="AG727" s="1"/>
      <c r="AH727" s="1"/>
      <c r="AI727" s="1"/>
      <c r="AJ727" s="1"/>
      <c r="AK727" s="1"/>
      <c r="AL727" s="1"/>
      <c r="AM727" s="1"/>
      <c r="AN727" s="1"/>
    </row>
    <row r="728" spans="31:40" ht="21">
      <c r="AE728" s="1"/>
      <c r="AG728" s="1"/>
      <c r="AH728" s="1"/>
      <c r="AI728" s="1"/>
      <c r="AJ728" s="1"/>
      <c r="AK728" s="1"/>
      <c r="AL728" s="1"/>
      <c r="AM728" s="1"/>
      <c r="AN728" s="1"/>
    </row>
    <row r="729" spans="31:40" ht="21">
      <c r="AE729" s="1"/>
      <c r="AG729" s="1"/>
      <c r="AH729" s="1"/>
      <c r="AI729" s="1"/>
      <c r="AJ729" s="1"/>
      <c r="AK729" s="1"/>
      <c r="AL729" s="1"/>
      <c r="AM729" s="1"/>
      <c r="AN729" s="1"/>
    </row>
    <row r="730" spans="31:40" ht="21">
      <c r="AE730" s="1"/>
      <c r="AG730" s="1"/>
      <c r="AH730" s="1"/>
      <c r="AI730" s="1"/>
      <c r="AJ730" s="1"/>
      <c r="AK730" s="1"/>
      <c r="AL730" s="1"/>
      <c r="AM730" s="1"/>
      <c r="AN730" s="1"/>
    </row>
    <row r="731" spans="31:40" ht="21">
      <c r="AE731" s="1"/>
      <c r="AG731" s="1"/>
      <c r="AH731" s="1"/>
      <c r="AI731" s="1"/>
      <c r="AJ731" s="1"/>
      <c r="AK731" s="1"/>
      <c r="AL731" s="1"/>
      <c r="AM731" s="1"/>
      <c r="AN731" s="1"/>
    </row>
    <row r="732" spans="31:40" ht="21">
      <c r="AE732" s="1"/>
      <c r="AG732" s="1"/>
      <c r="AH732" s="1"/>
      <c r="AI732" s="1"/>
      <c r="AJ732" s="1"/>
      <c r="AK732" s="1"/>
      <c r="AL732" s="1"/>
      <c r="AM732" s="1"/>
      <c r="AN732" s="1"/>
    </row>
    <row r="733" spans="31:40" ht="21">
      <c r="AE733" s="1"/>
      <c r="AG733" s="1"/>
      <c r="AH733" s="1"/>
      <c r="AI733" s="1"/>
      <c r="AJ733" s="1"/>
      <c r="AK733" s="1"/>
      <c r="AL733" s="1"/>
      <c r="AM733" s="1"/>
      <c r="AN733" s="1"/>
    </row>
    <row r="734" spans="31:40" ht="21">
      <c r="AE734" s="1"/>
      <c r="AG734" s="1"/>
      <c r="AH734" s="1"/>
      <c r="AI734" s="1"/>
      <c r="AJ734" s="1"/>
      <c r="AK734" s="1"/>
      <c r="AL734" s="1"/>
      <c r="AM734" s="1"/>
      <c r="AN734" s="1"/>
    </row>
    <row r="735" spans="31:40" ht="21">
      <c r="AE735" s="1"/>
      <c r="AG735" s="1"/>
      <c r="AH735" s="1"/>
      <c r="AI735" s="1"/>
      <c r="AJ735" s="1"/>
      <c r="AK735" s="1"/>
      <c r="AL735" s="1"/>
      <c r="AM735" s="1"/>
      <c r="AN735" s="1"/>
    </row>
    <row r="736" spans="31:40" ht="21">
      <c r="AE736" s="1"/>
      <c r="AG736" s="1"/>
      <c r="AH736" s="1"/>
      <c r="AI736" s="1"/>
      <c r="AJ736" s="1"/>
      <c r="AK736" s="1"/>
      <c r="AL736" s="1"/>
      <c r="AM736" s="1"/>
      <c r="AN736" s="1"/>
    </row>
    <row r="737" spans="31:40" ht="21">
      <c r="AE737" s="1"/>
      <c r="AG737" s="1"/>
      <c r="AH737" s="1"/>
      <c r="AI737" s="1"/>
      <c r="AJ737" s="1"/>
      <c r="AK737" s="1"/>
      <c r="AL737" s="1"/>
      <c r="AM737" s="1"/>
      <c r="AN737" s="1"/>
    </row>
    <row r="738" spans="31:40" ht="21">
      <c r="AE738" s="1"/>
      <c r="AG738" s="1"/>
      <c r="AH738" s="1"/>
      <c r="AI738" s="1"/>
      <c r="AJ738" s="1"/>
      <c r="AK738" s="1"/>
      <c r="AL738" s="1"/>
      <c r="AM738" s="1"/>
      <c r="AN738" s="1"/>
    </row>
    <row r="739" spans="31:40" ht="21">
      <c r="AE739" s="1"/>
      <c r="AG739" s="1"/>
      <c r="AH739" s="1"/>
      <c r="AI739" s="1"/>
      <c r="AJ739" s="1"/>
      <c r="AK739" s="1"/>
      <c r="AL739" s="1"/>
      <c r="AM739" s="1"/>
      <c r="AN739" s="1"/>
    </row>
    <row r="740" spans="31:40" ht="21">
      <c r="AE740" s="1"/>
      <c r="AG740" s="1"/>
      <c r="AH740" s="1"/>
      <c r="AI740" s="1"/>
      <c r="AJ740" s="1"/>
      <c r="AK740" s="1"/>
      <c r="AL740" s="1"/>
      <c r="AM740" s="1"/>
      <c r="AN740" s="1"/>
    </row>
    <row r="741" spans="31:40" ht="21">
      <c r="AE741" s="1"/>
      <c r="AG741" s="1"/>
      <c r="AH741" s="1"/>
      <c r="AI741" s="1"/>
      <c r="AJ741" s="1"/>
      <c r="AK741" s="1"/>
      <c r="AL741" s="1"/>
      <c r="AM741" s="1"/>
      <c r="AN741" s="1"/>
    </row>
    <row r="742" spans="31:40" ht="21">
      <c r="AE742" s="1"/>
      <c r="AG742" s="1"/>
      <c r="AH742" s="1"/>
      <c r="AI742" s="1"/>
      <c r="AJ742" s="1"/>
      <c r="AK742" s="1"/>
      <c r="AL742" s="1"/>
      <c r="AM742" s="1"/>
      <c r="AN742" s="1"/>
    </row>
    <row r="743" spans="31:40" ht="21">
      <c r="AE743" s="1"/>
      <c r="AG743" s="1"/>
      <c r="AH743" s="1"/>
      <c r="AI743" s="1"/>
      <c r="AJ743" s="1"/>
      <c r="AK743" s="1"/>
      <c r="AL743" s="1"/>
      <c r="AM743" s="1"/>
      <c r="AN743" s="1"/>
    </row>
    <row r="744" spans="31:40" ht="21">
      <c r="AE744" s="1"/>
      <c r="AG744" s="1"/>
      <c r="AH744" s="1"/>
      <c r="AI744" s="1"/>
      <c r="AJ744" s="1"/>
      <c r="AK744" s="1"/>
      <c r="AL744" s="1"/>
      <c r="AM744" s="1"/>
      <c r="AN744" s="1"/>
    </row>
    <row r="745" spans="31:40" ht="21">
      <c r="AE745" s="1"/>
      <c r="AG745" s="1"/>
      <c r="AH745" s="1"/>
      <c r="AI745" s="1"/>
      <c r="AJ745" s="1"/>
      <c r="AK745" s="1"/>
      <c r="AL745" s="1"/>
      <c r="AM745" s="1"/>
      <c r="AN745" s="1"/>
    </row>
    <row r="746" spans="31:40" ht="21">
      <c r="AE746" s="1"/>
      <c r="AG746" s="1"/>
      <c r="AH746" s="1"/>
      <c r="AI746" s="1"/>
      <c r="AJ746" s="1"/>
      <c r="AK746" s="1"/>
      <c r="AL746" s="1"/>
      <c r="AM746" s="1"/>
      <c r="AN746" s="1"/>
    </row>
    <row r="747" spans="31:40" ht="21">
      <c r="AE747" s="1"/>
      <c r="AG747" s="1"/>
      <c r="AH747" s="1"/>
      <c r="AI747" s="1"/>
      <c r="AJ747" s="1"/>
      <c r="AK747" s="1"/>
      <c r="AL747" s="1"/>
      <c r="AM747" s="1"/>
      <c r="AN747" s="1"/>
    </row>
    <row r="748" spans="31:40" ht="21">
      <c r="AE748" s="1"/>
      <c r="AG748" s="1"/>
      <c r="AH748" s="1"/>
      <c r="AI748" s="1"/>
      <c r="AJ748" s="1"/>
      <c r="AK748" s="1"/>
      <c r="AL748" s="1"/>
      <c r="AM748" s="1"/>
      <c r="AN748" s="1"/>
    </row>
    <row r="749" spans="31:40" ht="21">
      <c r="AE749" s="1"/>
      <c r="AG749" s="1"/>
      <c r="AH749" s="1"/>
      <c r="AI749" s="1"/>
      <c r="AJ749" s="1"/>
      <c r="AK749" s="1"/>
      <c r="AL749" s="1"/>
      <c r="AM749" s="1"/>
      <c r="AN749" s="1"/>
    </row>
    <row r="750" spans="31:40" ht="21">
      <c r="AE750" s="1"/>
      <c r="AG750" s="1"/>
      <c r="AH750" s="1"/>
      <c r="AI750" s="1"/>
      <c r="AJ750" s="1"/>
      <c r="AK750" s="1"/>
      <c r="AL750" s="1"/>
      <c r="AM750" s="1"/>
      <c r="AN750" s="1"/>
    </row>
    <row r="751" spans="31:40" ht="21">
      <c r="AE751" s="1"/>
      <c r="AG751" s="1"/>
      <c r="AH751" s="1"/>
      <c r="AI751" s="1"/>
      <c r="AJ751" s="1"/>
      <c r="AK751" s="1"/>
      <c r="AL751" s="1"/>
      <c r="AM751" s="1"/>
      <c r="AN751" s="1"/>
    </row>
    <row r="752" spans="31:40" ht="21">
      <c r="AE752" s="1"/>
      <c r="AG752" s="1"/>
      <c r="AH752" s="1"/>
      <c r="AI752" s="1"/>
      <c r="AJ752" s="1"/>
      <c r="AK752" s="1"/>
      <c r="AL752" s="1"/>
      <c r="AM752" s="1"/>
      <c r="AN752" s="1"/>
    </row>
    <row r="753" spans="31:40" ht="21">
      <c r="AE753" s="1"/>
      <c r="AG753" s="1"/>
      <c r="AH753" s="1"/>
      <c r="AI753" s="1"/>
      <c r="AJ753" s="1"/>
      <c r="AK753" s="1"/>
      <c r="AL753" s="1"/>
      <c r="AM753" s="1"/>
      <c r="AN753" s="1"/>
    </row>
    <row r="754" spans="31:40" ht="21">
      <c r="AE754" s="1"/>
      <c r="AG754" s="1"/>
      <c r="AH754" s="1"/>
      <c r="AI754" s="1"/>
      <c r="AJ754" s="1"/>
      <c r="AK754" s="1"/>
      <c r="AL754" s="1"/>
      <c r="AM754" s="1"/>
      <c r="AN754" s="1"/>
    </row>
    <row r="755" spans="31:40" ht="21">
      <c r="AE755" s="1"/>
      <c r="AG755" s="1"/>
      <c r="AH755" s="1"/>
      <c r="AI755" s="1"/>
      <c r="AJ755" s="1"/>
      <c r="AK755" s="1"/>
      <c r="AL755" s="1"/>
      <c r="AM755" s="1"/>
      <c r="AN755" s="1"/>
    </row>
    <row r="756" spans="31:40" ht="21">
      <c r="AE756" s="1"/>
      <c r="AG756" s="1"/>
      <c r="AH756" s="1"/>
      <c r="AI756" s="1"/>
      <c r="AJ756" s="1"/>
      <c r="AK756" s="1"/>
      <c r="AL756" s="1"/>
      <c r="AM756" s="1"/>
      <c r="AN756" s="1"/>
    </row>
    <row r="757" spans="31:40" ht="21">
      <c r="AE757" s="1"/>
      <c r="AG757" s="1"/>
      <c r="AH757" s="1"/>
      <c r="AI757" s="1"/>
      <c r="AJ757" s="1"/>
      <c r="AK757" s="1"/>
      <c r="AL757" s="1"/>
      <c r="AM757" s="1"/>
      <c r="AN757" s="1"/>
    </row>
    <row r="758" spans="31:40" ht="21">
      <c r="AE758" s="1"/>
      <c r="AG758" s="1"/>
      <c r="AH758" s="1"/>
      <c r="AI758" s="1"/>
      <c r="AJ758" s="1"/>
      <c r="AK758" s="1"/>
      <c r="AL758" s="1"/>
      <c r="AM758" s="1"/>
      <c r="AN758" s="1"/>
    </row>
    <row r="759" spans="31:40" ht="21">
      <c r="AE759" s="1"/>
      <c r="AG759" s="1"/>
      <c r="AH759" s="1"/>
      <c r="AI759" s="1"/>
      <c r="AJ759" s="1"/>
      <c r="AK759" s="1"/>
      <c r="AL759" s="1"/>
      <c r="AM759" s="1"/>
      <c r="AN759" s="1"/>
    </row>
    <row r="760" spans="31:40" ht="21">
      <c r="AE760" s="1"/>
      <c r="AG760" s="1"/>
      <c r="AH760" s="1"/>
      <c r="AI760" s="1"/>
      <c r="AJ760" s="1"/>
      <c r="AK760" s="1"/>
      <c r="AL760" s="1"/>
      <c r="AM760" s="1"/>
      <c r="AN760" s="1"/>
    </row>
    <row r="761" spans="31:40" ht="21">
      <c r="AE761" s="1"/>
      <c r="AG761" s="1"/>
      <c r="AH761" s="1"/>
      <c r="AI761" s="1"/>
      <c r="AJ761" s="1"/>
      <c r="AK761" s="1"/>
      <c r="AL761" s="1"/>
      <c r="AM761" s="1"/>
      <c r="AN761" s="1"/>
    </row>
    <row r="762" spans="31:40" ht="21">
      <c r="AE762" s="1"/>
      <c r="AG762" s="1"/>
      <c r="AH762" s="1"/>
      <c r="AI762" s="1"/>
      <c r="AJ762" s="1"/>
      <c r="AK762" s="1"/>
      <c r="AL762" s="1"/>
      <c r="AM762" s="1"/>
      <c r="AN762" s="1"/>
    </row>
    <row r="763" spans="31:40" ht="21">
      <c r="AE763" s="1"/>
      <c r="AG763" s="1"/>
      <c r="AH763" s="1"/>
      <c r="AI763" s="1"/>
      <c r="AJ763" s="1"/>
      <c r="AK763" s="1"/>
      <c r="AL763" s="1"/>
      <c r="AM763" s="1"/>
      <c r="AN763" s="1"/>
    </row>
    <row r="764" spans="31:40" ht="21">
      <c r="AE764" s="1"/>
      <c r="AG764" s="1"/>
      <c r="AH764" s="1"/>
      <c r="AI764" s="1"/>
      <c r="AJ764" s="1"/>
      <c r="AK764" s="1"/>
      <c r="AL764" s="1"/>
      <c r="AM764" s="1"/>
      <c r="AN764" s="1"/>
    </row>
    <row r="765" spans="31:40" ht="21">
      <c r="AE765" s="1"/>
      <c r="AG765" s="1"/>
      <c r="AH765" s="1"/>
      <c r="AI765" s="1"/>
      <c r="AJ765" s="1"/>
      <c r="AK765" s="1"/>
      <c r="AL765" s="1"/>
      <c r="AM765" s="1"/>
      <c r="AN765" s="1"/>
    </row>
    <row r="766" spans="31:40" ht="21">
      <c r="AE766" s="1"/>
      <c r="AG766" s="1"/>
      <c r="AH766" s="1"/>
      <c r="AI766" s="1"/>
      <c r="AJ766" s="1"/>
      <c r="AK766" s="1"/>
      <c r="AL766" s="1"/>
      <c r="AM766" s="1"/>
      <c r="AN766" s="1"/>
    </row>
    <row r="767" spans="31:40" ht="21">
      <c r="AE767" s="1"/>
      <c r="AG767" s="1"/>
      <c r="AH767" s="1"/>
      <c r="AI767" s="1"/>
      <c r="AJ767" s="1"/>
      <c r="AK767" s="1"/>
      <c r="AL767" s="1"/>
      <c r="AM767" s="1"/>
      <c r="AN767" s="1"/>
    </row>
    <row r="768" spans="31:40" ht="21">
      <c r="AE768" s="1"/>
      <c r="AG768" s="1"/>
      <c r="AH768" s="1"/>
      <c r="AI768" s="1"/>
      <c r="AJ768" s="1"/>
      <c r="AK768" s="1"/>
      <c r="AL768" s="1"/>
      <c r="AM768" s="1"/>
      <c r="AN768" s="1"/>
    </row>
    <row r="769" spans="31:40" ht="21">
      <c r="AE769" s="1"/>
      <c r="AG769" s="1"/>
      <c r="AH769" s="1"/>
      <c r="AI769" s="1"/>
      <c r="AJ769" s="1"/>
      <c r="AK769" s="1"/>
      <c r="AL769" s="1"/>
      <c r="AM769" s="1"/>
      <c r="AN769" s="1"/>
    </row>
    <row r="770" spans="31:40" ht="21">
      <c r="AE770" s="1"/>
      <c r="AG770" s="1"/>
      <c r="AH770" s="1"/>
      <c r="AI770" s="1"/>
      <c r="AJ770" s="1"/>
      <c r="AK770" s="1"/>
      <c r="AL770" s="1"/>
      <c r="AM770" s="1"/>
      <c r="AN770" s="1"/>
    </row>
    <row r="771" spans="31:40" ht="21">
      <c r="AE771" s="1"/>
      <c r="AG771" s="1"/>
      <c r="AH771" s="1"/>
      <c r="AI771" s="1"/>
      <c r="AJ771" s="1"/>
      <c r="AK771" s="1"/>
      <c r="AL771" s="1"/>
      <c r="AM771" s="1"/>
      <c r="AN771" s="1"/>
    </row>
    <row r="772" spans="31:40" ht="21">
      <c r="AE772" s="1"/>
      <c r="AG772" s="1"/>
      <c r="AH772" s="1"/>
      <c r="AI772" s="1"/>
      <c r="AJ772" s="1"/>
      <c r="AK772" s="1"/>
      <c r="AL772" s="1"/>
      <c r="AM772" s="1"/>
      <c r="AN772" s="1"/>
    </row>
    <row r="773" spans="31:40" ht="21">
      <c r="AE773" s="1"/>
      <c r="AG773" s="1"/>
      <c r="AH773" s="1"/>
      <c r="AI773" s="1"/>
      <c r="AJ773" s="1"/>
      <c r="AK773" s="1"/>
      <c r="AL773" s="1"/>
      <c r="AM773" s="1"/>
      <c r="AN773" s="1"/>
    </row>
    <row r="774" spans="31:40" ht="21">
      <c r="AE774" s="1"/>
      <c r="AG774" s="1"/>
      <c r="AH774" s="1"/>
      <c r="AI774" s="1"/>
      <c r="AJ774" s="1"/>
      <c r="AK774" s="1"/>
      <c r="AL774" s="1"/>
      <c r="AM774" s="1"/>
      <c r="AN774" s="1"/>
    </row>
    <row r="775" spans="31:40" ht="21">
      <c r="AE775" s="1"/>
      <c r="AG775" s="1"/>
      <c r="AH775" s="1"/>
      <c r="AI775" s="1"/>
      <c r="AJ775" s="1"/>
      <c r="AK775" s="1"/>
      <c r="AL775" s="1"/>
      <c r="AM775" s="1"/>
      <c r="AN775" s="1"/>
    </row>
    <row r="776" spans="31:40" ht="21">
      <c r="AE776" s="1"/>
      <c r="AG776" s="1"/>
      <c r="AH776" s="1"/>
      <c r="AI776" s="1"/>
      <c r="AJ776" s="1"/>
      <c r="AK776" s="1"/>
      <c r="AL776" s="1"/>
      <c r="AM776" s="1"/>
      <c r="AN776" s="1"/>
    </row>
    <row r="777" spans="31:40" ht="21">
      <c r="AE777" s="1"/>
      <c r="AG777" s="1"/>
      <c r="AH777" s="1"/>
      <c r="AI777" s="1"/>
      <c r="AJ777" s="1"/>
      <c r="AK777" s="1"/>
      <c r="AL777" s="1"/>
      <c r="AM777" s="1"/>
      <c r="AN777" s="1"/>
    </row>
    <row r="778" spans="31:40" ht="21">
      <c r="AE778" s="1"/>
      <c r="AG778" s="1"/>
      <c r="AH778" s="1"/>
      <c r="AI778" s="1"/>
      <c r="AJ778" s="1"/>
      <c r="AK778" s="1"/>
      <c r="AL778" s="1"/>
      <c r="AM778" s="1"/>
      <c r="AN778" s="1"/>
    </row>
    <row r="779" spans="31:40" ht="21">
      <c r="AE779" s="1"/>
      <c r="AG779" s="1"/>
      <c r="AH779" s="1"/>
      <c r="AI779" s="1"/>
      <c r="AJ779" s="1"/>
      <c r="AK779" s="1"/>
      <c r="AL779" s="1"/>
      <c r="AM779" s="1"/>
      <c r="AN779" s="1"/>
    </row>
    <row r="780" spans="31:40" ht="21">
      <c r="AE780" s="1"/>
      <c r="AG780" s="1"/>
      <c r="AH780" s="1"/>
      <c r="AI780" s="1"/>
      <c r="AJ780" s="1"/>
      <c r="AK780" s="1"/>
      <c r="AL780" s="1"/>
      <c r="AM780" s="1"/>
      <c r="AN780" s="1"/>
    </row>
    <row r="781" spans="31:40" ht="21">
      <c r="AE781" s="1"/>
      <c r="AG781" s="1"/>
      <c r="AH781" s="1"/>
      <c r="AI781" s="1"/>
      <c r="AJ781" s="1"/>
      <c r="AK781" s="1"/>
      <c r="AL781" s="1"/>
      <c r="AM781" s="1"/>
      <c r="AN781" s="1"/>
    </row>
    <row r="782" spans="31:40" ht="21">
      <c r="AE782" s="1"/>
      <c r="AG782" s="1"/>
      <c r="AH782" s="1"/>
      <c r="AI782" s="1"/>
      <c r="AJ782" s="1"/>
      <c r="AK782" s="1"/>
      <c r="AL782" s="1"/>
      <c r="AM782" s="1"/>
      <c r="AN782" s="1"/>
    </row>
    <row r="783" spans="31:40" ht="21">
      <c r="AE783" s="1"/>
      <c r="AG783" s="1"/>
      <c r="AH783" s="1"/>
      <c r="AI783" s="1"/>
      <c r="AJ783" s="1"/>
      <c r="AK783" s="1"/>
      <c r="AL783" s="1"/>
      <c r="AM783" s="1"/>
      <c r="AN783" s="1"/>
    </row>
    <row r="784" spans="31:40" ht="21">
      <c r="AE784" s="1"/>
      <c r="AG784" s="1"/>
      <c r="AH784" s="1"/>
      <c r="AI784" s="1"/>
      <c r="AJ784" s="1"/>
      <c r="AK784" s="1"/>
      <c r="AL784" s="1"/>
      <c r="AM784" s="1"/>
      <c r="AN784" s="1"/>
    </row>
    <row r="785" spans="31:40" ht="21">
      <c r="AE785" s="1"/>
      <c r="AG785" s="1"/>
      <c r="AH785" s="1"/>
      <c r="AI785" s="1"/>
      <c r="AJ785" s="1"/>
      <c r="AK785" s="1"/>
      <c r="AL785" s="1"/>
      <c r="AM785" s="1"/>
      <c r="AN785" s="1"/>
    </row>
    <row r="786" spans="31:40" ht="21">
      <c r="AE786" s="1"/>
      <c r="AG786" s="1"/>
      <c r="AH786" s="1"/>
      <c r="AI786" s="1"/>
      <c r="AJ786" s="1"/>
      <c r="AK786" s="1"/>
      <c r="AL786" s="1"/>
      <c r="AM786" s="1"/>
      <c r="AN786" s="1"/>
    </row>
    <row r="787" spans="31:40" ht="21">
      <c r="AE787" s="1"/>
      <c r="AG787" s="1"/>
      <c r="AH787" s="1"/>
      <c r="AI787" s="1"/>
      <c r="AJ787" s="1"/>
      <c r="AK787" s="1"/>
      <c r="AL787" s="1"/>
      <c r="AM787" s="1"/>
      <c r="AN787" s="1"/>
    </row>
    <row r="788" spans="31:40" ht="21">
      <c r="AE788" s="1"/>
      <c r="AG788" s="1"/>
      <c r="AH788" s="1"/>
      <c r="AI788" s="1"/>
      <c r="AJ788" s="1"/>
      <c r="AK788" s="1"/>
      <c r="AL788" s="1"/>
      <c r="AM788" s="1"/>
      <c r="AN788" s="1"/>
    </row>
    <row r="789" spans="31:40" ht="21">
      <c r="AE789" s="1"/>
      <c r="AG789" s="1"/>
      <c r="AH789" s="1"/>
      <c r="AI789" s="1"/>
      <c r="AJ789" s="1"/>
      <c r="AK789" s="1"/>
      <c r="AL789" s="1"/>
      <c r="AM789" s="1"/>
      <c r="AN789" s="1"/>
    </row>
    <row r="790" spans="31:40" ht="21">
      <c r="AE790" s="1"/>
      <c r="AG790" s="1"/>
      <c r="AH790" s="1"/>
      <c r="AI790" s="1"/>
      <c r="AJ790" s="1"/>
      <c r="AK790" s="1"/>
      <c r="AL790" s="1"/>
      <c r="AM790" s="1"/>
      <c r="AN790" s="1"/>
    </row>
    <row r="791" spans="31:40" ht="21">
      <c r="AE791" s="1"/>
      <c r="AG791" s="1"/>
      <c r="AH791" s="1"/>
      <c r="AI791" s="1"/>
      <c r="AJ791" s="1"/>
      <c r="AK791" s="1"/>
      <c r="AL791" s="1"/>
      <c r="AM791" s="1"/>
      <c r="AN791" s="1"/>
    </row>
    <row r="792" spans="31:40" ht="21">
      <c r="AE792" s="1"/>
      <c r="AG792" s="1"/>
      <c r="AH792" s="1"/>
      <c r="AI792" s="1"/>
      <c r="AJ792" s="1"/>
      <c r="AK792" s="1"/>
      <c r="AL792" s="1"/>
      <c r="AM792" s="1"/>
      <c r="AN792" s="1"/>
    </row>
    <row r="793" spans="31:40" ht="21">
      <c r="AE793" s="1"/>
      <c r="AG793" s="1"/>
      <c r="AH793" s="1"/>
      <c r="AI793" s="1"/>
      <c r="AJ793" s="1"/>
      <c r="AK793" s="1"/>
      <c r="AL793" s="1"/>
      <c r="AM793" s="1"/>
      <c r="AN793" s="1"/>
    </row>
    <row r="794" spans="31:40" ht="21">
      <c r="AE794" s="1"/>
      <c r="AG794" s="1"/>
      <c r="AH794" s="1"/>
      <c r="AI794" s="1"/>
      <c r="AJ794" s="1"/>
      <c r="AK794" s="1"/>
      <c r="AL794" s="1"/>
      <c r="AM794" s="1"/>
      <c r="AN794" s="1"/>
    </row>
    <row r="795" spans="31:40" ht="21">
      <c r="AE795" s="1"/>
      <c r="AG795" s="1"/>
      <c r="AH795" s="1"/>
      <c r="AI795" s="1"/>
      <c r="AJ795" s="1"/>
      <c r="AK795" s="1"/>
      <c r="AL795" s="1"/>
      <c r="AM795" s="1"/>
      <c r="AN795" s="1"/>
    </row>
    <row r="796" spans="31:40" ht="21">
      <c r="AE796" s="1"/>
      <c r="AG796" s="1"/>
      <c r="AH796" s="1"/>
      <c r="AI796" s="1"/>
      <c r="AJ796" s="1"/>
      <c r="AK796" s="1"/>
      <c r="AL796" s="1"/>
      <c r="AM796" s="1"/>
      <c r="AN796" s="1"/>
    </row>
    <row r="797" spans="31:40" ht="21">
      <c r="AE797" s="1"/>
      <c r="AG797" s="1"/>
      <c r="AH797" s="1"/>
      <c r="AI797" s="1"/>
      <c r="AJ797" s="1"/>
      <c r="AK797" s="1"/>
      <c r="AL797" s="1"/>
      <c r="AM797" s="1"/>
      <c r="AN797" s="1"/>
    </row>
    <row r="798" spans="31:40" ht="21">
      <c r="AE798" s="1"/>
      <c r="AG798" s="1"/>
      <c r="AH798" s="1"/>
      <c r="AI798" s="1"/>
      <c r="AJ798" s="1"/>
      <c r="AK798" s="1"/>
      <c r="AL798" s="1"/>
      <c r="AM798" s="1"/>
      <c r="AN798" s="1"/>
    </row>
    <row r="799" spans="31:40" ht="21">
      <c r="AE799" s="1"/>
      <c r="AG799" s="1"/>
      <c r="AH799" s="1"/>
      <c r="AI799" s="1"/>
      <c r="AJ799" s="1"/>
      <c r="AK799" s="1"/>
      <c r="AL799" s="1"/>
      <c r="AM799" s="1"/>
      <c r="AN799" s="1"/>
    </row>
    <row r="800" spans="31:40" ht="21">
      <c r="AE800" s="1"/>
      <c r="AG800" s="1"/>
      <c r="AH800" s="1"/>
      <c r="AI800" s="1"/>
      <c r="AJ800" s="1"/>
      <c r="AK800" s="1"/>
      <c r="AL800" s="1"/>
      <c r="AM800" s="1"/>
      <c r="AN800" s="1"/>
    </row>
    <row r="801" spans="31:40" ht="21">
      <c r="AE801" s="1"/>
      <c r="AG801" s="1"/>
      <c r="AH801" s="1"/>
      <c r="AI801" s="1"/>
      <c r="AJ801" s="1"/>
      <c r="AK801" s="1"/>
      <c r="AL801" s="1"/>
      <c r="AM801" s="1"/>
      <c r="AN801" s="1"/>
    </row>
    <row r="802" spans="31:40" ht="21">
      <c r="AE802" s="1"/>
      <c r="AG802" s="1"/>
      <c r="AH802" s="1"/>
      <c r="AI802" s="1"/>
      <c r="AJ802" s="1"/>
      <c r="AK802" s="1"/>
      <c r="AL802" s="1"/>
      <c r="AM802" s="1"/>
      <c r="AN802" s="1"/>
    </row>
    <row r="803" spans="31:40" ht="21">
      <c r="AE803" s="1"/>
      <c r="AG803" s="1"/>
      <c r="AH803" s="1"/>
      <c r="AI803" s="1"/>
      <c r="AJ803" s="1"/>
      <c r="AK803" s="1"/>
      <c r="AL803" s="1"/>
      <c r="AM803" s="1"/>
      <c r="AN803" s="1"/>
    </row>
    <row r="804" spans="31:40" ht="21">
      <c r="AE804" s="1"/>
      <c r="AG804" s="1"/>
      <c r="AH804" s="1"/>
      <c r="AI804" s="1"/>
      <c r="AJ804" s="1"/>
      <c r="AK804" s="1"/>
      <c r="AL804" s="1"/>
      <c r="AM804" s="1"/>
      <c r="AN804" s="1"/>
    </row>
    <row r="805" spans="31:40" ht="21">
      <c r="AE805" s="1"/>
      <c r="AG805" s="1"/>
      <c r="AH805" s="1"/>
      <c r="AI805" s="1"/>
      <c r="AJ805" s="1"/>
      <c r="AK805" s="1"/>
      <c r="AL805" s="1"/>
      <c r="AM805" s="1"/>
      <c r="AN805" s="1"/>
    </row>
    <row r="806" spans="31:40" ht="21">
      <c r="AE806" s="1"/>
      <c r="AG806" s="1"/>
      <c r="AH806" s="1"/>
      <c r="AI806" s="1"/>
      <c r="AJ806" s="1"/>
      <c r="AK806" s="1"/>
      <c r="AL806" s="1"/>
      <c r="AM806" s="1"/>
      <c r="AN806" s="1"/>
    </row>
    <row r="807" spans="31:40" ht="21">
      <c r="AE807" s="1"/>
      <c r="AG807" s="1"/>
      <c r="AH807" s="1"/>
      <c r="AI807" s="1"/>
      <c r="AJ807" s="1"/>
      <c r="AK807" s="1"/>
      <c r="AL807" s="1"/>
      <c r="AM807" s="1"/>
      <c r="AN807" s="1"/>
    </row>
    <row r="808" spans="31:40" ht="21">
      <c r="AE808" s="1"/>
      <c r="AG808" s="1"/>
      <c r="AH808" s="1"/>
      <c r="AI808" s="1"/>
      <c r="AJ808" s="1"/>
      <c r="AK808" s="1"/>
      <c r="AL808" s="1"/>
      <c r="AM808" s="1"/>
      <c r="AN808" s="1"/>
    </row>
    <row r="809" spans="31:40" ht="21">
      <c r="AE809" s="1"/>
      <c r="AG809" s="1"/>
      <c r="AH809" s="1"/>
      <c r="AI809" s="1"/>
      <c r="AJ809" s="1"/>
      <c r="AK809" s="1"/>
      <c r="AL809" s="1"/>
      <c r="AM809" s="1"/>
      <c r="AN809" s="1"/>
    </row>
    <row r="810" spans="31:40" ht="21">
      <c r="AE810" s="1"/>
      <c r="AG810" s="1"/>
      <c r="AH810" s="1"/>
      <c r="AI810" s="1"/>
      <c r="AJ810" s="1"/>
      <c r="AK810" s="1"/>
      <c r="AL810" s="1"/>
      <c r="AM810" s="1"/>
      <c r="AN810" s="1"/>
    </row>
    <row r="811" spans="31:40" ht="21">
      <c r="AE811" s="1"/>
      <c r="AG811" s="1"/>
      <c r="AH811" s="1"/>
      <c r="AI811" s="1"/>
      <c r="AJ811" s="1"/>
      <c r="AK811" s="1"/>
      <c r="AL811" s="1"/>
      <c r="AM811" s="1"/>
      <c r="AN811" s="1"/>
    </row>
    <row r="812" spans="31:40" ht="21">
      <c r="AE812" s="1"/>
      <c r="AG812" s="1"/>
      <c r="AH812" s="1"/>
      <c r="AI812" s="1"/>
      <c r="AJ812" s="1"/>
      <c r="AK812" s="1"/>
      <c r="AL812" s="1"/>
      <c r="AM812" s="1"/>
      <c r="AN812" s="1"/>
    </row>
    <row r="813" spans="31:40" ht="21">
      <c r="AE813" s="1"/>
      <c r="AG813" s="1"/>
      <c r="AH813" s="1"/>
      <c r="AI813" s="1"/>
      <c r="AJ813" s="1"/>
      <c r="AK813" s="1"/>
      <c r="AL813" s="1"/>
      <c r="AM813" s="1"/>
      <c r="AN813" s="1"/>
    </row>
    <row r="814" spans="31:40" ht="21">
      <c r="AE814" s="1"/>
      <c r="AG814" s="1"/>
      <c r="AH814" s="1"/>
      <c r="AI814" s="1"/>
      <c r="AJ814" s="1"/>
      <c r="AK814" s="1"/>
      <c r="AL814" s="1"/>
      <c r="AM814" s="1"/>
      <c r="AN814" s="1"/>
    </row>
    <row r="815" spans="31:40" ht="21">
      <c r="AE815" s="1"/>
      <c r="AG815" s="1"/>
      <c r="AH815" s="1"/>
      <c r="AI815" s="1"/>
      <c r="AJ815" s="1"/>
      <c r="AK815" s="1"/>
      <c r="AL815" s="1"/>
      <c r="AM815" s="1"/>
      <c r="AN815" s="1"/>
    </row>
    <row r="816" spans="31:40" ht="21">
      <c r="AE816" s="1"/>
      <c r="AG816" s="1"/>
      <c r="AH816" s="1"/>
      <c r="AI816" s="1"/>
      <c r="AJ816" s="1"/>
      <c r="AK816" s="1"/>
      <c r="AL816" s="1"/>
      <c r="AM816" s="1"/>
      <c r="AN816" s="1"/>
    </row>
    <row r="817" spans="31:40" ht="21">
      <c r="AE817" s="1"/>
      <c r="AG817" s="1"/>
      <c r="AH817" s="1"/>
      <c r="AI817" s="1"/>
      <c r="AJ817" s="1"/>
      <c r="AK817" s="1"/>
      <c r="AL817" s="1"/>
      <c r="AM817" s="1"/>
      <c r="AN817" s="1"/>
    </row>
    <row r="818" spans="31:40" ht="21">
      <c r="AE818" s="1"/>
      <c r="AG818" s="1"/>
      <c r="AH818" s="1"/>
      <c r="AI818" s="1"/>
      <c r="AJ818" s="1"/>
      <c r="AK818" s="1"/>
      <c r="AL818" s="1"/>
      <c r="AM818" s="1"/>
      <c r="AN818" s="1"/>
    </row>
    <row r="819" spans="31:40" ht="21">
      <c r="AE819" s="1"/>
      <c r="AG819" s="1"/>
      <c r="AH819" s="1"/>
      <c r="AI819" s="1"/>
      <c r="AJ819" s="1"/>
      <c r="AK819" s="1"/>
      <c r="AL819" s="1"/>
      <c r="AM819" s="1"/>
      <c r="AN819" s="1"/>
    </row>
    <row r="820" spans="31:40" ht="21">
      <c r="AE820" s="1"/>
      <c r="AG820" s="1"/>
      <c r="AH820" s="1"/>
      <c r="AI820" s="1"/>
      <c r="AJ820" s="1"/>
      <c r="AK820" s="1"/>
      <c r="AL820" s="1"/>
      <c r="AM820" s="1"/>
      <c r="AN820" s="1"/>
    </row>
    <row r="821" spans="31:40" ht="21">
      <c r="AE821" s="1"/>
      <c r="AG821" s="1"/>
      <c r="AH821" s="1"/>
      <c r="AI821" s="1"/>
      <c r="AJ821" s="1"/>
      <c r="AK821" s="1"/>
      <c r="AL821" s="1"/>
      <c r="AM821" s="1"/>
      <c r="AN821" s="1"/>
    </row>
    <row r="822" spans="31:40" ht="21">
      <c r="AE822" s="1"/>
      <c r="AG822" s="1"/>
      <c r="AH822" s="1"/>
      <c r="AI822" s="1"/>
      <c r="AJ822" s="1"/>
      <c r="AK822" s="1"/>
      <c r="AL822" s="1"/>
      <c r="AM822" s="1"/>
      <c r="AN822" s="1"/>
    </row>
    <row r="823" spans="31:40" ht="21">
      <c r="AE823" s="1"/>
      <c r="AG823" s="1"/>
      <c r="AH823" s="1"/>
      <c r="AI823" s="1"/>
      <c r="AJ823" s="1"/>
      <c r="AK823" s="1"/>
      <c r="AL823" s="1"/>
      <c r="AM823" s="1"/>
      <c r="AN823" s="1"/>
    </row>
    <row r="824" spans="31:40" ht="21">
      <c r="AE824" s="1"/>
      <c r="AG824" s="1"/>
      <c r="AH824" s="1"/>
      <c r="AI824" s="1"/>
      <c r="AJ824" s="1"/>
      <c r="AK824" s="1"/>
      <c r="AL824" s="1"/>
      <c r="AM824" s="1"/>
      <c r="AN824" s="1"/>
    </row>
    <row r="825" spans="31:40" ht="21">
      <c r="AE825" s="1"/>
      <c r="AG825" s="1"/>
      <c r="AH825" s="1"/>
      <c r="AI825" s="1"/>
      <c r="AJ825" s="1"/>
      <c r="AK825" s="1"/>
      <c r="AL825" s="1"/>
      <c r="AM825" s="1"/>
      <c r="AN825" s="1"/>
    </row>
    <row r="826" spans="31:40" ht="21">
      <c r="AE826" s="1"/>
      <c r="AG826" s="1"/>
      <c r="AH826" s="1"/>
      <c r="AI826" s="1"/>
      <c r="AJ826" s="1"/>
      <c r="AK826" s="1"/>
      <c r="AL826" s="1"/>
      <c r="AM826" s="1"/>
      <c r="AN826" s="1"/>
    </row>
    <row r="827" spans="31:40" ht="21">
      <c r="AE827" s="1"/>
      <c r="AG827" s="1"/>
      <c r="AH827" s="1"/>
      <c r="AI827" s="1"/>
      <c r="AJ827" s="1"/>
      <c r="AK827" s="1"/>
      <c r="AL827" s="1"/>
      <c r="AM827" s="1"/>
      <c r="AN827" s="1"/>
    </row>
    <row r="828" spans="31:40" ht="21">
      <c r="AE828" s="1"/>
      <c r="AG828" s="1"/>
      <c r="AH828" s="1"/>
      <c r="AI828" s="1"/>
      <c r="AJ828" s="1"/>
      <c r="AK828" s="1"/>
      <c r="AL828" s="1"/>
      <c r="AM828" s="1"/>
      <c r="AN828" s="1"/>
    </row>
    <row r="829" spans="31:40" ht="21">
      <c r="AE829" s="1"/>
      <c r="AG829" s="1"/>
      <c r="AH829" s="1"/>
      <c r="AI829" s="1"/>
      <c r="AJ829" s="1"/>
      <c r="AK829" s="1"/>
      <c r="AL829" s="1"/>
      <c r="AM829" s="1"/>
      <c r="AN829" s="1"/>
    </row>
    <row r="830" spans="31:40" ht="21">
      <c r="AE830" s="1"/>
      <c r="AG830" s="1"/>
      <c r="AH830" s="1"/>
      <c r="AI830" s="1"/>
      <c r="AJ830" s="1"/>
      <c r="AK830" s="1"/>
      <c r="AL830" s="1"/>
      <c r="AM830" s="1"/>
      <c r="AN830" s="1"/>
    </row>
    <row r="831" spans="31:40" ht="21">
      <c r="AE831" s="1"/>
      <c r="AG831" s="1"/>
      <c r="AH831" s="1"/>
      <c r="AI831" s="1"/>
      <c r="AJ831" s="1"/>
      <c r="AK831" s="1"/>
      <c r="AL831" s="1"/>
      <c r="AM831" s="1"/>
      <c r="AN831" s="1"/>
    </row>
    <row r="832" spans="31:40" ht="21">
      <c r="AE832" s="1"/>
      <c r="AG832" s="1"/>
      <c r="AH832" s="1"/>
      <c r="AI832" s="1"/>
      <c r="AJ832" s="1"/>
      <c r="AK832" s="1"/>
      <c r="AL832" s="1"/>
      <c r="AM832" s="1"/>
      <c r="AN832" s="1"/>
    </row>
    <row r="833" spans="31:40" ht="21">
      <c r="AE833" s="1"/>
      <c r="AG833" s="1"/>
      <c r="AH833" s="1"/>
      <c r="AI833" s="1"/>
      <c r="AJ833" s="1"/>
      <c r="AK833" s="1"/>
      <c r="AL833" s="1"/>
      <c r="AM833" s="1"/>
      <c r="AN833" s="1"/>
    </row>
    <row r="834" spans="31:40" ht="21">
      <c r="AE834" s="1"/>
      <c r="AG834" s="1"/>
      <c r="AH834" s="1"/>
      <c r="AI834" s="1"/>
      <c r="AJ834" s="1"/>
      <c r="AK834" s="1"/>
      <c r="AL834" s="1"/>
      <c r="AM834" s="1"/>
      <c r="AN834" s="1"/>
    </row>
    <row r="835" spans="31:40" ht="21">
      <c r="AE835" s="1"/>
      <c r="AG835" s="1"/>
      <c r="AH835" s="1"/>
      <c r="AI835" s="1"/>
      <c r="AJ835" s="1"/>
      <c r="AK835" s="1"/>
      <c r="AL835" s="1"/>
      <c r="AM835" s="1"/>
      <c r="AN835" s="1"/>
    </row>
    <row r="836" spans="31:40" ht="21">
      <c r="AE836" s="1"/>
      <c r="AG836" s="1"/>
      <c r="AH836" s="1"/>
      <c r="AI836" s="1"/>
      <c r="AJ836" s="1"/>
      <c r="AK836" s="1"/>
      <c r="AL836" s="1"/>
      <c r="AM836" s="1"/>
      <c r="AN836" s="1"/>
    </row>
    <row r="837" spans="31:40" ht="21">
      <c r="AE837" s="1"/>
      <c r="AG837" s="1"/>
      <c r="AH837" s="1"/>
      <c r="AI837" s="1"/>
      <c r="AJ837" s="1"/>
      <c r="AK837" s="1"/>
      <c r="AL837" s="1"/>
      <c r="AM837" s="1"/>
      <c r="AN837" s="1"/>
    </row>
    <row r="838" spans="31:40" ht="21">
      <c r="AE838" s="1"/>
      <c r="AG838" s="1"/>
      <c r="AH838" s="1"/>
      <c r="AI838" s="1"/>
      <c r="AJ838" s="1"/>
      <c r="AK838" s="1"/>
      <c r="AL838" s="1"/>
      <c r="AM838" s="1"/>
      <c r="AN838" s="1"/>
    </row>
    <row r="839" spans="31:40" ht="21">
      <c r="AE839" s="1"/>
      <c r="AG839" s="1"/>
      <c r="AH839" s="1"/>
      <c r="AI839" s="1"/>
      <c r="AJ839" s="1"/>
      <c r="AK839" s="1"/>
      <c r="AL839" s="1"/>
      <c r="AM839" s="1"/>
      <c r="AN839" s="1"/>
    </row>
    <row r="840" spans="31:40" ht="21">
      <c r="AE840" s="1"/>
      <c r="AG840" s="1"/>
      <c r="AH840" s="1"/>
      <c r="AI840" s="1"/>
      <c r="AJ840" s="1"/>
      <c r="AK840" s="1"/>
      <c r="AL840" s="1"/>
      <c r="AM840" s="1"/>
      <c r="AN840" s="1"/>
    </row>
    <row r="841" spans="31:40" ht="21">
      <c r="AE841" s="1"/>
      <c r="AG841" s="1"/>
      <c r="AH841" s="1"/>
      <c r="AI841" s="1"/>
      <c r="AJ841" s="1"/>
      <c r="AK841" s="1"/>
      <c r="AL841" s="1"/>
      <c r="AM841" s="1"/>
      <c r="AN841" s="1"/>
    </row>
    <row r="842" spans="31:40" ht="21">
      <c r="AE842" s="1"/>
      <c r="AG842" s="1"/>
      <c r="AH842" s="1"/>
      <c r="AI842" s="1"/>
      <c r="AJ842" s="1"/>
      <c r="AK842" s="1"/>
      <c r="AL842" s="1"/>
      <c r="AM842" s="1"/>
      <c r="AN842" s="1"/>
    </row>
    <row r="843" spans="31:40" ht="21">
      <c r="AE843" s="1"/>
      <c r="AG843" s="1"/>
      <c r="AH843" s="1"/>
      <c r="AI843" s="1"/>
      <c r="AJ843" s="1"/>
      <c r="AK843" s="1"/>
      <c r="AL843" s="1"/>
      <c r="AM843" s="1"/>
      <c r="AN843" s="1"/>
    </row>
    <row r="844" spans="31:40" ht="21">
      <c r="AE844" s="1"/>
      <c r="AG844" s="1"/>
      <c r="AH844" s="1"/>
      <c r="AI844" s="1"/>
      <c r="AJ844" s="1"/>
      <c r="AK844" s="1"/>
      <c r="AL844" s="1"/>
      <c r="AM844" s="1"/>
      <c r="AN844" s="1"/>
    </row>
    <row r="845" spans="31:40" ht="21">
      <c r="AE845" s="1"/>
      <c r="AG845" s="1"/>
      <c r="AH845" s="1"/>
      <c r="AI845" s="1"/>
      <c r="AJ845" s="1"/>
      <c r="AK845" s="1"/>
      <c r="AL845" s="1"/>
      <c r="AM845" s="1"/>
      <c r="AN845" s="1"/>
    </row>
    <row r="846" spans="31:40" ht="21">
      <c r="AE846" s="1"/>
      <c r="AG846" s="1"/>
      <c r="AH846" s="1"/>
      <c r="AI846" s="1"/>
      <c r="AJ846" s="1"/>
      <c r="AK846" s="1"/>
      <c r="AL846" s="1"/>
      <c r="AM846" s="1"/>
      <c r="AN846" s="1"/>
    </row>
    <row r="847" spans="31:40" ht="21">
      <c r="AE847" s="1"/>
      <c r="AG847" s="1"/>
      <c r="AH847" s="1"/>
      <c r="AI847" s="1"/>
      <c r="AJ847" s="1"/>
      <c r="AK847" s="1"/>
      <c r="AL847" s="1"/>
      <c r="AM847" s="1"/>
      <c r="AN847" s="1"/>
    </row>
    <row r="848" spans="31:40" ht="21">
      <c r="AE848" s="1"/>
      <c r="AG848" s="1"/>
      <c r="AH848" s="1"/>
      <c r="AI848" s="1"/>
      <c r="AJ848" s="1"/>
      <c r="AK848" s="1"/>
      <c r="AL848" s="1"/>
      <c r="AM848" s="1"/>
      <c r="AN848" s="1"/>
    </row>
    <row r="849" spans="31:40" ht="21">
      <c r="AE849" s="1"/>
      <c r="AG849" s="1"/>
      <c r="AH849" s="1"/>
      <c r="AI849" s="1"/>
      <c r="AJ849" s="1"/>
      <c r="AK849" s="1"/>
      <c r="AL849" s="1"/>
      <c r="AM849" s="1"/>
      <c r="AN849" s="1"/>
    </row>
    <row r="850" spans="31:40" ht="21">
      <c r="AE850" s="1"/>
      <c r="AG850" s="1"/>
      <c r="AH850" s="1"/>
      <c r="AI850" s="1"/>
      <c r="AJ850" s="1"/>
      <c r="AK850" s="1"/>
      <c r="AL850" s="1"/>
      <c r="AM850" s="1"/>
      <c r="AN850" s="1"/>
    </row>
    <row r="851" spans="31:40" ht="21">
      <c r="AE851" s="1"/>
      <c r="AG851" s="1"/>
      <c r="AH851" s="1"/>
      <c r="AI851" s="1"/>
      <c r="AJ851" s="1"/>
      <c r="AK851" s="1"/>
      <c r="AL851" s="1"/>
      <c r="AM851" s="1"/>
      <c r="AN851" s="1"/>
    </row>
    <row r="852" spans="31:40" ht="21">
      <c r="AE852" s="1"/>
      <c r="AG852" s="1"/>
      <c r="AH852" s="1"/>
      <c r="AI852" s="1"/>
      <c r="AJ852" s="1"/>
      <c r="AK852" s="1"/>
      <c r="AL852" s="1"/>
      <c r="AM852" s="1"/>
      <c r="AN852" s="1"/>
    </row>
    <row r="853" spans="31:40" ht="21">
      <c r="AE853" s="1"/>
      <c r="AG853" s="1"/>
      <c r="AH853" s="1"/>
      <c r="AI853" s="1"/>
      <c r="AJ853" s="1"/>
      <c r="AK853" s="1"/>
      <c r="AL853" s="1"/>
      <c r="AM853" s="1"/>
      <c r="AN853" s="1"/>
    </row>
    <row r="854" spans="31:40" ht="21">
      <c r="AE854" s="1"/>
      <c r="AG854" s="1"/>
      <c r="AH854" s="1"/>
      <c r="AI854" s="1"/>
      <c r="AJ854" s="1"/>
      <c r="AK854" s="1"/>
      <c r="AL854" s="1"/>
      <c r="AM854" s="1"/>
      <c r="AN854" s="1"/>
    </row>
    <row r="855" spans="31:40" ht="21">
      <c r="AE855" s="1"/>
      <c r="AG855" s="1"/>
      <c r="AH855" s="1"/>
      <c r="AI855" s="1"/>
      <c r="AJ855" s="1"/>
      <c r="AK855" s="1"/>
      <c r="AL855" s="1"/>
      <c r="AM855" s="1"/>
      <c r="AN855" s="1"/>
    </row>
    <row r="856" spans="31:40" ht="21">
      <c r="AE856" s="1"/>
      <c r="AG856" s="1"/>
      <c r="AH856" s="1"/>
      <c r="AI856" s="1"/>
      <c r="AJ856" s="1"/>
      <c r="AK856" s="1"/>
      <c r="AL856" s="1"/>
      <c r="AM856" s="1"/>
      <c r="AN856" s="1"/>
    </row>
    <row r="857" spans="31:40" ht="21">
      <c r="AE857" s="1"/>
      <c r="AG857" s="1"/>
      <c r="AH857" s="1"/>
      <c r="AI857" s="1"/>
      <c r="AJ857" s="1"/>
      <c r="AK857" s="1"/>
      <c r="AL857" s="1"/>
      <c r="AM857" s="1"/>
      <c r="AN857" s="1"/>
    </row>
    <row r="858" spans="31:40" ht="21">
      <c r="AE858" s="1"/>
      <c r="AG858" s="1"/>
      <c r="AH858" s="1"/>
      <c r="AI858" s="1"/>
      <c r="AJ858" s="1"/>
      <c r="AK858" s="1"/>
      <c r="AL858" s="1"/>
      <c r="AM858" s="1"/>
      <c r="AN858" s="1"/>
    </row>
    <row r="859" spans="31:40" ht="21">
      <c r="AE859" s="1"/>
      <c r="AG859" s="1"/>
      <c r="AH859" s="1"/>
      <c r="AI859" s="1"/>
      <c r="AJ859" s="1"/>
      <c r="AK859" s="1"/>
      <c r="AL859" s="1"/>
      <c r="AM859" s="1"/>
      <c r="AN859" s="1"/>
    </row>
    <row r="860" spans="31:40" ht="21">
      <c r="AE860" s="1"/>
      <c r="AG860" s="1"/>
      <c r="AH860" s="1"/>
      <c r="AI860" s="1"/>
      <c r="AJ860" s="1"/>
      <c r="AK860" s="1"/>
      <c r="AL860" s="1"/>
      <c r="AM860" s="1"/>
      <c r="AN860" s="1"/>
    </row>
    <row r="861" spans="31:40" ht="21">
      <c r="AE861" s="1"/>
      <c r="AG861" s="1"/>
      <c r="AH861" s="1"/>
      <c r="AI861" s="1"/>
      <c r="AJ861" s="1"/>
      <c r="AK861" s="1"/>
      <c r="AL861" s="1"/>
      <c r="AM861" s="1"/>
      <c r="AN861" s="1"/>
    </row>
    <row r="862" spans="31:40" ht="21">
      <c r="AE862" s="1"/>
      <c r="AG862" s="1"/>
      <c r="AH862" s="1"/>
      <c r="AI862" s="1"/>
      <c r="AJ862" s="1"/>
      <c r="AK862" s="1"/>
      <c r="AL862" s="1"/>
      <c r="AM862" s="1"/>
      <c r="AN862" s="1"/>
    </row>
    <row r="863" spans="31:40" ht="21">
      <c r="AE863" s="1"/>
      <c r="AG863" s="1"/>
      <c r="AH863" s="1"/>
      <c r="AI863" s="1"/>
      <c r="AJ863" s="1"/>
      <c r="AK863" s="1"/>
      <c r="AL863" s="1"/>
      <c r="AM863" s="1"/>
      <c r="AN863" s="1"/>
    </row>
    <row r="864" spans="31:40" ht="21">
      <c r="AE864" s="1"/>
      <c r="AG864" s="1"/>
      <c r="AH864" s="1"/>
      <c r="AI864" s="1"/>
      <c r="AJ864" s="1"/>
      <c r="AK864" s="1"/>
      <c r="AL864" s="1"/>
      <c r="AM864" s="1"/>
      <c r="AN864" s="1"/>
    </row>
    <row r="865" spans="31:40" ht="21">
      <c r="AE865" s="1"/>
      <c r="AG865" s="1"/>
      <c r="AH865" s="1"/>
      <c r="AI865" s="1"/>
      <c r="AJ865" s="1"/>
      <c r="AK865" s="1"/>
      <c r="AL865" s="1"/>
      <c r="AM865" s="1"/>
      <c r="AN865" s="1"/>
    </row>
    <row r="866" spans="31:40" ht="21">
      <c r="AE866" s="1"/>
      <c r="AG866" s="1"/>
      <c r="AH866" s="1"/>
      <c r="AI866" s="1"/>
      <c r="AJ866" s="1"/>
      <c r="AK866" s="1"/>
      <c r="AL866" s="1"/>
      <c r="AM866" s="1"/>
      <c r="AN866" s="1"/>
    </row>
    <row r="867" spans="31:40" ht="21">
      <c r="AE867" s="1"/>
      <c r="AG867" s="1"/>
      <c r="AH867" s="1"/>
      <c r="AI867" s="1"/>
      <c r="AJ867" s="1"/>
      <c r="AK867" s="1"/>
      <c r="AL867" s="1"/>
      <c r="AM867" s="1"/>
      <c r="AN867" s="1"/>
    </row>
    <row r="868" spans="31:40" ht="21">
      <c r="AE868" s="1"/>
      <c r="AG868" s="1"/>
      <c r="AH868" s="1"/>
      <c r="AI868" s="1"/>
      <c r="AJ868" s="1"/>
      <c r="AK868" s="1"/>
      <c r="AL868" s="1"/>
      <c r="AM868" s="1"/>
      <c r="AN868" s="1"/>
    </row>
    <row r="869" spans="31:40" ht="21">
      <c r="AE869" s="1"/>
      <c r="AG869" s="1"/>
      <c r="AH869" s="1"/>
      <c r="AI869" s="1"/>
      <c r="AJ869" s="1"/>
      <c r="AK869" s="1"/>
      <c r="AL869" s="1"/>
      <c r="AM869" s="1"/>
      <c r="AN869" s="1"/>
    </row>
    <row r="870" spans="31:40" ht="21">
      <c r="AE870" s="1"/>
      <c r="AG870" s="1"/>
      <c r="AH870" s="1"/>
      <c r="AI870" s="1"/>
      <c r="AJ870" s="1"/>
      <c r="AK870" s="1"/>
      <c r="AL870" s="1"/>
      <c r="AM870" s="1"/>
      <c r="AN870" s="1"/>
    </row>
    <row r="871" spans="31:40" ht="21">
      <c r="AE871" s="1"/>
      <c r="AG871" s="1"/>
      <c r="AH871" s="1"/>
      <c r="AI871" s="1"/>
      <c r="AJ871" s="1"/>
      <c r="AK871" s="1"/>
      <c r="AL871" s="1"/>
      <c r="AM871" s="1"/>
      <c r="AN871" s="1"/>
    </row>
    <row r="872" spans="31:40" ht="21">
      <c r="AE872" s="1"/>
      <c r="AG872" s="1"/>
      <c r="AH872" s="1"/>
      <c r="AI872" s="1"/>
      <c r="AJ872" s="1"/>
      <c r="AK872" s="1"/>
      <c r="AL872" s="1"/>
      <c r="AM872" s="1"/>
      <c r="AN872" s="1"/>
    </row>
    <row r="873" spans="31:40" ht="21">
      <c r="AE873" s="1"/>
      <c r="AG873" s="1"/>
      <c r="AH873" s="1"/>
      <c r="AI873" s="1"/>
      <c r="AJ873" s="1"/>
      <c r="AK873" s="1"/>
      <c r="AL873" s="1"/>
      <c r="AM873" s="1"/>
      <c r="AN873" s="1"/>
    </row>
    <row r="874" spans="31:40" ht="21">
      <c r="AE874" s="1"/>
      <c r="AG874" s="1"/>
      <c r="AH874" s="1"/>
      <c r="AI874" s="1"/>
      <c r="AJ874" s="1"/>
      <c r="AK874" s="1"/>
      <c r="AL874" s="1"/>
      <c r="AM874" s="1"/>
      <c r="AN874" s="1"/>
    </row>
    <row r="875" spans="31:40" ht="21">
      <c r="AE875" s="1"/>
      <c r="AG875" s="1"/>
      <c r="AH875" s="1"/>
      <c r="AI875" s="1"/>
      <c r="AJ875" s="1"/>
      <c r="AK875" s="1"/>
      <c r="AL875" s="1"/>
      <c r="AM875" s="1"/>
      <c r="AN875" s="1"/>
    </row>
    <row r="876" spans="31:40" ht="21">
      <c r="AE876" s="1"/>
      <c r="AG876" s="1"/>
      <c r="AH876" s="1"/>
      <c r="AI876" s="1"/>
      <c r="AJ876" s="1"/>
      <c r="AK876" s="1"/>
      <c r="AL876" s="1"/>
      <c r="AM876" s="1"/>
      <c r="AN876" s="1"/>
    </row>
    <row r="877" spans="31:40" ht="21">
      <c r="AE877" s="1"/>
      <c r="AG877" s="1"/>
      <c r="AH877" s="1"/>
      <c r="AI877" s="1"/>
      <c r="AJ877" s="1"/>
      <c r="AK877" s="1"/>
      <c r="AL877" s="1"/>
      <c r="AM877" s="1"/>
      <c r="AN877" s="1"/>
    </row>
    <row r="878" spans="31:40" ht="21">
      <c r="AE878" s="1"/>
      <c r="AG878" s="1"/>
      <c r="AH878" s="1"/>
      <c r="AI878" s="1"/>
      <c r="AJ878" s="1"/>
      <c r="AK878" s="1"/>
      <c r="AL878" s="1"/>
      <c r="AM878" s="1"/>
      <c r="AN878" s="1"/>
    </row>
    <row r="879" spans="31:40" ht="21">
      <c r="AE879" s="1"/>
      <c r="AG879" s="1"/>
      <c r="AH879" s="1"/>
      <c r="AI879" s="1"/>
      <c r="AJ879" s="1"/>
      <c r="AK879" s="1"/>
      <c r="AL879" s="1"/>
      <c r="AM879" s="1"/>
      <c r="AN879" s="1"/>
    </row>
    <row r="880" spans="31:40" ht="21">
      <c r="AE880" s="1"/>
      <c r="AG880" s="1"/>
      <c r="AH880" s="1"/>
      <c r="AI880" s="1"/>
      <c r="AJ880" s="1"/>
      <c r="AK880" s="1"/>
      <c r="AL880" s="1"/>
      <c r="AM880" s="1"/>
      <c r="AN880" s="1"/>
    </row>
    <row r="881" spans="31:40" ht="21">
      <c r="AE881" s="1"/>
      <c r="AG881" s="1"/>
      <c r="AH881" s="1"/>
      <c r="AI881" s="1"/>
      <c r="AJ881" s="1"/>
      <c r="AK881" s="1"/>
      <c r="AL881" s="1"/>
      <c r="AM881" s="1"/>
      <c r="AN881" s="1"/>
    </row>
    <row r="882" spans="31:40" ht="21">
      <c r="AE882" s="1"/>
      <c r="AG882" s="1"/>
      <c r="AH882" s="1"/>
      <c r="AI882" s="1"/>
      <c r="AJ882" s="1"/>
      <c r="AK882" s="1"/>
      <c r="AL882" s="1"/>
      <c r="AM882" s="1"/>
      <c r="AN882" s="1"/>
    </row>
    <row r="883" spans="31:40" ht="21">
      <c r="AE883" s="1"/>
      <c r="AG883" s="1"/>
      <c r="AH883" s="1"/>
      <c r="AI883" s="1"/>
      <c r="AJ883" s="1"/>
      <c r="AK883" s="1"/>
      <c r="AL883" s="1"/>
      <c r="AM883" s="1"/>
      <c r="AN883" s="1"/>
    </row>
    <row r="884" spans="31:40" ht="21">
      <c r="AE884" s="1"/>
      <c r="AG884" s="1"/>
      <c r="AH884" s="1"/>
      <c r="AI884" s="1"/>
      <c r="AJ884" s="1"/>
      <c r="AK884" s="1"/>
      <c r="AL884" s="1"/>
      <c r="AM884" s="1"/>
      <c r="AN884" s="1"/>
    </row>
    <row r="885" spans="31:40" ht="21">
      <c r="AE885" s="1"/>
      <c r="AG885" s="1"/>
      <c r="AH885" s="1"/>
      <c r="AI885" s="1"/>
      <c r="AJ885" s="1"/>
      <c r="AK885" s="1"/>
      <c r="AL885" s="1"/>
      <c r="AM885" s="1"/>
      <c r="AN885" s="1"/>
    </row>
    <row r="886" spans="31:40" ht="21">
      <c r="AE886" s="1"/>
      <c r="AG886" s="1"/>
      <c r="AH886" s="1"/>
      <c r="AI886" s="1"/>
      <c r="AJ886" s="1"/>
      <c r="AK886" s="1"/>
      <c r="AL886" s="1"/>
      <c r="AM886" s="1"/>
      <c r="AN886" s="1"/>
    </row>
    <row r="887" spans="31:40" ht="21">
      <c r="AE887" s="1"/>
      <c r="AG887" s="1"/>
      <c r="AH887" s="1"/>
      <c r="AI887" s="1"/>
      <c r="AJ887" s="1"/>
      <c r="AK887" s="1"/>
      <c r="AL887" s="1"/>
      <c r="AM887" s="1"/>
      <c r="AN887" s="1"/>
    </row>
    <row r="888" spans="31:40" ht="21">
      <c r="AE888" s="1"/>
      <c r="AG888" s="1"/>
      <c r="AH888" s="1"/>
      <c r="AI888" s="1"/>
      <c r="AJ888" s="1"/>
      <c r="AK888" s="1"/>
      <c r="AL888" s="1"/>
      <c r="AM888" s="1"/>
      <c r="AN888" s="1"/>
    </row>
    <row r="889" spans="31:40" ht="21">
      <c r="AE889" s="1"/>
      <c r="AG889" s="1"/>
      <c r="AH889" s="1"/>
      <c r="AI889" s="1"/>
      <c r="AJ889" s="1"/>
      <c r="AK889" s="1"/>
      <c r="AL889" s="1"/>
      <c r="AM889" s="1"/>
      <c r="AN889" s="1"/>
    </row>
    <row r="890" spans="31:40" ht="21">
      <c r="AE890" s="1"/>
      <c r="AG890" s="1"/>
      <c r="AH890" s="1"/>
      <c r="AI890" s="1"/>
      <c r="AJ890" s="1"/>
      <c r="AK890" s="1"/>
      <c r="AL890" s="1"/>
      <c r="AM890" s="1"/>
      <c r="AN890" s="1"/>
    </row>
    <row r="891" spans="31:40" ht="21">
      <c r="AE891" s="1"/>
      <c r="AG891" s="1"/>
      <c r="AH891" s="1"/>
      <c r="AI891" s="1"/>
      <c r="AJ891" s="1"/>
      <c r="AK891" s="1"/>
      <c r="AL891" s="1"/>
      <c r="AM891" s="1"/>
      <c r="AN891" s="1"/>
    </row>
    <row r="892" spans="31:40" ht="21">
      <c r="AE892" s="1"/>
      <c r="AG892" s="1"/>
      <c r="AH892" s="1"/>
      <c r="AI892" s="1"/>
      <c r="AJ892" s="1"/>
      <c r="AK892" s="1"/>
      <c r="AL892" s="1"/>
      <c r="AM892" s="1"/>
      <c r="AN892" s="1"/>
    </row>
    <row r="893" spans="31:40" ht="21">
      <c r="AE893" s="1"/>
      <c r="AG893" s="1"/>
      <c r="AH893" s="1"/>
      <c r="AI893" s="1"/>
      <c r="AJ893" s="1"/>
      <c r="AK893" s="1"/>
      <c r="AL893" s="1"/>
      <c r="AM893" s="1"/>
      <c r="AN893" s="1"/>
    </row>
    <row r="894" spans="31:40" ht="21">
      <c r="AE894" s="1"/>
      <c r="AG894" s="1"/>
      <c r="AH894" s="1"/>
      <c r="AI894" s="1"/>
      <c r="AJ894" s="1"/>
      <c r="AK894" s="1"/>
      <c r="AL894" s="1"/>
      <c r="AM894" s="1"/>
      <c r="AN894" s="1"/>
    </row>
    <row r="895" spans="31:40" ht="21">
      <c r="AE895" s="1"/>
      <c r="AG895" s="1"/>
      <c r="AH895" s="1"/>
      <c r="AI895" s="1"/>
      <c r="AJ895" s="1"/>
      <c r="AK895" s="1"/>
      <c r="AL895" s="1"/>
      <c r="AM895" s="1"/>
      <c r="AN895" s="1"/>
    </row>
    <row r="896" spans="31:40" ht="21">
      <c r="AE896" s="1"/>
      <c r="AG896" s="1"/>
      <c r="AH896" s="1"/>
      <c r="AI896" s="1"/>
      <c r="AJ896" s="1"/>
      <c r="AK896" s="1"/>
      <c r="AL896" s="1"/>
      <c r="AM896" s="1"/>
      <c r="AN896" s="1"/>
    </row>
    <row r="897" spans="31:40" ht="21">
      <c r="AE897" s="1"/>
      <c r="AG897" s="1"/>
      <c r="AH897" s="1"/>
      <c r="AI897" s="1"/>
      <c r="AJ897" s="1"/>
      <c r="AK897" s="1"/>
      <c r="AL897" s="1"/>
      <c r="AM897" s="1"/>
      <c r="AN897" s="1"/>
    </row>
    <row r="898" spans="31:40" ht="21">
      <c r="AE898" s="1"/>
      <c r="AG898" s="1"/>
      <c r="AH898" s="1"/>
      <c r="AI898" s="1"/>
      <c r="AJ898" s="1"/>
      <c r="AK898" s="1"/>
      <c r="AL898" s="1"/>
      <c r="AM898" s="1"/>
      <c r="AN898" s="1"/>
    </row>
    <row r="899" spans="31:40" ht="21">
      <c r="AE899" s="1"/>
      <c r="AG899" s="1"/>
      <c r="AH899" s="1"/>
      <c r="AI899" s="1"/>
      <c r="AJ899" s="1"/>
      <c r="AK899" s="1"/>
      <c r="AL899" s="1"/>
      <c r="AM899" s="1"/>
      <c r="AN899" s="1"/>
    </row>
    <row r="900" spans="31:40" ht="21">
      <c r="AE900" s="1"/>
      <c r="AG900" s="1"/>
      <c r="AH900" s="1"/>
      <c r="AI900" s="1"/>
      <c r="AJ900" s="1"/>
      <c r="AK900" s="1"/>
      <c r="AL900" s="1"/>
      <c r="AM900" s="1"/>
      <c r="AN900" s="1"/>
    </row>
    <row r="901" spans="31:40" ht="21">
      <c r="AE901" s="1"/>
      <c r="AG901" s="1"/>
      <c r="AH901" s="1"/>
      <c r="AI901" s="1"/>
      <c r="AJ901" s="1"/>
      <c r="AK901" s="1"/>
      <c r="AL901" s="1"/>
      <c r="AM901" s="1"/>
      <c r="AN901" s="1"/>
    </row>
    <row r="902" spans="31:40" ht="21">
      <c r="AE902" s="1"/>
      <c r="AG902" s="1"/>
      <c r="AH902" s="1"/>
      <c r="AI902" s="1"/>
      <c r="AJ902" s="1"/>
      <c r="AK902" s="1"/>
      <c r="AL902" s="1"/>
      <c r="AM902" s="1"/>
      <c r="AN902" s="1"/>
    </row>
    <row r="903" spans="31:40" ht="21">
      <c r="AE903" s="1"/>
      <c r="AG903" s="1"/>
      <c r="AH903" s="1"/>
      <c r="AI903" s="1"/>
      <c r="AJ903" s="1"/>
      <c r="AK903" s="1"/>
      <c r="AL903" s="1"/>
      <c r="AM903" s="1"/>
      <c r="AN903" s="1"/>
    </row>
    <row r="904" spans="31:40" ht="21">
      <c r="AE904" s="1"/>
      <c r="AG904" s="1"/>
      <c r="AH904" s="1"/>
      <c r="AI904" s="1"/>
      <c r="AJ904" s="1"/>
      <c r="AK904" s="1"/>
      <c r="AL904" s="1"/>
      <c r="AM904" s="1"/>
      <c r="AN904" s="1"/>
    </row>
    <row r="905" spans="31:40" ht="21">
      <c r="AE905" s="1"/>
      <c r="AG905" s="1"/>
      <c r="AH905" s="1"/>
      <c r="AI905" s="1"/>
      <c r="AJ905" s="1"/>
      <c r="AK905" s="1"/>
      <c r="AL905" s="1"/>
      <c r="AM905" s="1"/>
      <c r="AN905" s="1"/>
    </row>
    <row r="906" spans="31:40" ht="21">
      <c r="AE906" s="1"/>
      <c r="AG906" s="1"/>
      <c r="AH906" s="1"/>
      <c r="AI906" s="1"/>
      <c r="AJ906" s="1"/>
      <c r="AK906" s="1"/>
      <c r="AL906" s="1"/>
      <c r="AM906" s="1"/>
      <c r="AN906" s="1"/>
    </row>
    <row r="907" spans="31:40" ht="21">
      <c r="AE907" s="1"/>
      <c r="AG907" s="1"/>
      <c r="AH907" s="1"/>
      <c r="AI907" s="1"/>
      <c r="AJ907" s="1"/>
      <c r="AK907" s="1"/>
      <c r="AL907" s="1"/>
      <c r="AM907" s="1"/>
      <c r="AN907" s="1"/>
    </row>
    <row r="908" spans="31:40" ht="21">
      <c r="AE908" s="1"/>
      <c r="AG908" s="1"/>
      <c r="AH908" s="1"/>
      <c r="AI908" s="1"/>
      <c r="AJ908" s="1"/>
      <c r="AK908" s="1"/>
      <c r="AL908" s="1"/>
      <c r="AM908" s="1"/>
      <c r="AN908" s="1"/>
    </row>
    <row r="909" spans="31:40" ht="21">
      <c r="AE909" s="1"/>
      <c r="AG909" s="1"/>
      <c r="AH909" s="1"/>
      <c r="AI909" s="1"/>
      <c r="AJ909" s="1"/>
      <c r="AK909" s="1"/>
      <c r="AL909" s="1"/>
      <c r="AM909" s="1"/>
      <c r="AN909" s="1"/>
    </row>
    <row r="910" spans="31:40" ht="21">
      <c r="AE910" s="1"/>
      <c r="AG910" s="1"/>
      <c r="AH910" s="1"/>
      <c r="AI910" s="1"/>
      <c r="AJ910" s="1"/>
      <c r="AK910" s="1"/>
      <c r="AL910" s="1"/>
      <c r="AM910" s="1"/>
      <c r="AN910" s="1"/>
    </row>
    <row r="911" spans="31:40" ht="21">
      <c r="AE911" s="1"/>
      <c r="AG911" s="1"/>
      <c r="AH911" s="1"/>
      <c r="AI911" s="1"/>
      <c r="AJ911" s="1"/>
      <c r="AK911" s="1"/>
      <c r="AL911" s="1"/>
      <c r="AM911" s="1"/>
      <c r="AN911" s="1"/>
    </row>
    <row r="912" spans="31:40" ht="21">
      <c r="AE912" s="1"/>
      <c r="AG912" s="1"/>
      <c r="AH912" s="1"/>
      <c r="AI912" s="1"/>
      <c r="AJ912" s="1"/>
      <c r="AK912" s="1"/>
      <c r="AL912" s="1"/>
      <c r="AM912" s="1"/>
      <c r="AN912" s="1"/>
    </row>
    <row r="913" spans="31:40" ht="21">
      <c r="AE913" s="1"/>
      <c r="AG913" s="1"/>
      <c r="AH913" s="1"/>
      <c r="AI913" s="1"/>
      <c r="AJ913" s="1"/>
      <c r="AK913" s="1"/>
      <c r="AL913" s="1"/>
      <c r="AM913" s="1"/>
      <c r="AN913" s="1"/>
    </row>
    <row r="914" spans="31:40" ht="21">
      <c r="AE914" s="1"/>
      <c r="AG914" s="1"/>
      <c r="AH914" s="1"/>
      <c r="AI914" s="1"/>
      <c r="AJ914" s="1"/>
      <c r="AK914" s="1"/>
      <c r="AL914" s="1"/>
      <c r="AM914" s="1"/>
      <c r="AN914" s="1"/>
    </row>
    <row r="915" spans="31:40" ht="21">
      <c r="AE915" s="1"/>
      <c r="AG915" s="1"/>
      <c r="AH915" s="1"/>
      <c r="AI915" s="1"/>
      <c r="AJ915" s="1"/>
      <c r="AK915" s="1"/>
      <c r="AL915" s="1"/>
      <c r="AM915" s="1"/>
      <c r="AN915" s="1"/>
    </row>
    <row r="916" spans="31:40" ht="21">
      <c r="AE916" s="1"/>
      <c r="AG916" s="1"/>
      <c r="AH916" s="1"/>
      <c r="AI916" s="1"/>
      <c r="AJ916" s="1"/>
      <c r="AK916" s="1"/>
      <c r="AL916" s="1"/>
      <c r="AM916" s="1"/>
      <c r="AN916" s="1"/>
    </row>
    <row r="917" spans="31:40" ht="21">
      <c r="AE917" s="1"/>
      <c r="AG917" s="1"/>
      <c r="AH917" s="1"/>
      <c r="AI917" s="1"/>
      <c r="AJ917" s="1"/>
      <c r="AK917" s="1"/>
      <c r="AL917" s="1"/>
      <c r="AM917" s="1"/>
      <c r="AN917" s="1"/>
    </row>
    <row r="918" spans="31:40" ht="21">
      <c r="AE918" s="1"/>
      <c r="AG918" s="1"/>
      <c r="AH918" s="1"/>
      <c r="AI918" s="1"/>
      <c r="AJ918" s="1"/>
      <c r="AK918" s="1"/>
      <c r="AL918" s="1"/>
      <c r="AM918" s="1"/>
      <c r="AN918" s="1"/>
    </row>
    <row r="919" spans="31:40" ht="21">
      <c r="AE919" s="1"/>
      <c r="AG919" s="1"/>
      <c r="AH919" s="1"/>
      <c r="AI919" s="1"/>
      <c r="AJ919" s="1"/>
      <c r="AK919" s="1"/>
      <c r="AL919" s="1"/>
      <c r="AM919" s="1"/>
      <c r="AN919" s="1"/>
    </row>
    <row r="920" spans="31:40" ht="21">
      <c r="AE920" s="1"/>
      <c r="AG920" s="1"/>
      <c r="AH920" s="1"/>
      <c r="AI920" s="1"/>
      <c r="AJ920" s="1"/>
      <c r="AK920" s="1"/>
      <c r="AL920" s="1"/>
      <c r="AM920" s="1"/>
      <c r="AN920" s="1"/>
    </row>
    <row r="921" spans="31:40" ht="21">
      <c r="AE921" s="1"/>
      <c r="AG921" s="1"/>
      <c r="AH921" s="1"/>
      <c r="AI921" s="1"/>
      <c r="AJ921" s="1"/>
      <c r="AK921" s="1"/>
      <c r="AL921" s="1"/>
      <c r="AM921" s="1"/>
      <c r="AN921" s="1"/>
    </row>
    <row r="922" spans="31:40" ht="21">
      <c r="AE922" s="1"/>
      <c r="AG922" s="1"/>
      <c r="AH922" s="1"/>
      <c r="AI922" s="1"/>
      <c r="AJ922" s="1"/>
      <c r="AK922" s="1"/>
      <c r="AL922" s="1"/>
      <c r="AM922" s="1"/>
      <c r="AN922" s="1"/>
    </row>
    <row r="923" spans="31:40" ht="21">
      <c r="AE923" s="1"/>
      <c r="AG923" s="1"/>
      <c r="AH923" s="1"/>
      <c r="AI923" s="1"/>
      <c r="AJ923" s="1"/>
      <c r="AK923" s="1"/>
      <c r="AL923" s="1"/>
      <c r="AM923" s="1"/>
      <c r="AN923" s="1"/>
    </row>
    <row r="924" spans="31:40" ht="21">
      <c r="AE924" s="1"/>
      <c r="AG924" s="1"/>
      <c r="AH924" s="1"/>
      <c r="AI924" s="1"/>
      <c r="AJ924" s="1"/>
      <c r="AK924" s="1"/>
      <c r="AL924" s="1"/>
      <c r="AM924" s="1"/>
      <c r="AN924" s="1"/>
    </row>
    <row r="925" spans="31:40" ht="21">
      <c r="AE925" s="1"/>
      <c r="AG925" s="1"/>
      <c r="AH925" s="1"/>
      <c r="AI925" s="1"/>
      <c r="AJ925" s="1"/>
      <c r="AK925" s="1"/>
      <c r="AL925" s="1"/>
      <c r="AM925" s="1"/>
      <c r="AN925" s="1"/>
    </row>
    <row r="926" spans="31:40" ht="21">
      <c r="AE926" s="1"/>
      <c r="AG926" s="1"/>
      <c r="AH926" s="1"/>
      <c r="AI926" s="1"/>
      <c r="AJ926" s="1"/>
      <c r="AK926" s="1"/>
      <c r="AL926" s="1"/>
      <c r="AM926" s="1"/>
      <c r="AN926" s="1"/>
    </row>
    <row r="927" spans="31:40" ht="21">
      <c r="AE927" s="1"/>
      <c r="AG927" s="1"/>
      <c r="AH927" s="1"/>
      <c r="AI927" s="1"/>
      <c r="AJ927" s="1"/>
      <c r="AK927" s="1"/>
      <c r="AL927" s="1"/>
      <c r="AM927" s="1"/>
      <c r="AN927" s="1"/>
    </row>
    <row r="928" spans="31:40" ht="21">
      <c r="AE928" s="1"/>
      <c r="AG928" s="1"/>
      <c r="AH928" s="1"/>
      <c r="AI928" s="1"/>
      <c r="AJ928" s="1"/>
      <c r="AK928" s="1"/>
      <c r="AL928" s="1"/>
      <c r="AM928" s="1"/>
      <c r="AN928" s="1"/>
    </row>
    <row r="929" spans="31:40" ht="21">
      <c r="AE929" s="1"/>
      <c r="AG929" s="1"/>
      <c r="AH929" s="1"/>
      <c r="AI929" s="1"/>
      <c r="AJ929" s="1"/>
      <c r="AK929" s="1"/>
      <c r="AL929" s="1"/>
      <c r="AM929" s="1"/>
      <c r="AN929" s="1"/>
    </row>
    <row r="930" spans="31:40" ht="21">
      <c r="AE930" s="1"/>
      <c r="AG930" s="1"/>
      <c r="AH930" s="1"/>
      <c r="AI930" s="1"/>
      <c r="AJ930" s="1"/>
      <c r="AK930" s="1"/>
      <c r="AL930" s="1"/>
      <c r="AM930" s="1"/>
      <c r="AN930" s="1"/>
    </row>
    <row r="931" spans="31:40" ht="21">
      <c r="AE931" s="1"/>
      <c r="AG931" s="1"/>
      <c r="AH931" s="1"/>
      <c r="AI931" s="1"/>
      <c r="AJ931" s="1"/>
      <c r="AK931" s="1"/>
      <c r="AL931" s="1"/>
      <c r="AM931" s="1"/>
      <c r="AN931" s="1"/>
    </row>
    <row r="932" spans="31:40" ht="21">
      <c r="AE932" s="1"/>
      <c r="AG932" s="1"/>
      <c r="AH932" s="1"/>
      <c r="AI932" s="1"/>
      <c r="AJ932" s="1"/>
      <c r="AK932" s="1"/>
      <c r="AL932" s="1"/>
      <c r="AM932" s="1"/>
      <c r="AN932" s="1"/>
    </row>
    <row r="933" spans="31:40" ht="21">
      <c r="AE933" s="1"/>
      <c r="AG933" s="1"/>
      <c r="AH933" s="1"/>
      <c r="AI933" s="1"/>
      <c r="AJ933" s="1"/>
      <c r="AK933" s="1"/>
      <c r="AL933" s="1"/>
      <c r="AM933" s="1"/>
      <c r="AN933" s="1"/>
    </row>
    <row r="934" spans="31:40" ht="21">
      <c r="AE934" s="1"/>
      <c r="AG934" s="1"/>
      <c r="AH934" s="1"/>
      <c r="AI934" s="1"/>
      <c r="AJ934" s="1"/>
      <c r="AK934" s="1"/>
      <c r="AL934" s="1"/>
      <c r="AM934" s="1"/>
      <c r="AN934" s="1"/>
    </row>
    <row r="935" spans="31:40" ht="21">
      <c r="AE935" s="1"/>
      <c r="AG935" s="1"/>
      <c r="AH935" s="1"/>
      <c r="AI935" s="1"/>
      <c r="AJ935" s="1"/>
      <c r="AK935" s="1"/>
      <c r="AL935" s="1"/>
      <c r="AM935" s="1"/>
      <c r="AN935" s="1"/>
    </row>
    <row r="936" spans="31:40" ht="21">
      <c r="AE936" s="1"/>
      <c r="AG936" s="1"/>
      <c r="AH936" s="1"/>
      <c r="AI936" s="1"/>
      <c r="AJ936" s="1"/>
      <c r="AK936" s="1"/>
      <c r="AL936" s="1"/>
      <c r="AM936" s="1"/>
      <c r="AN936" s="1"/>
    </row>
    <row r="937" spans="31:40" ht="21">
      <c r="AE937" s="1"/>
      <c r="AG937" s="1"/>
      <c r="AH937" s="1"/>
      <c r="AI937" s="1"/>
      <c r="AJ937" s="1"/>
      <c r="AK937" s="1"/>
      <c r="AL937" s="1"/>
      <c r="AM937" s="1"/>
      <c r="AN937" s="1"/>
    </row>
    <row r="938" spans="31:40" ht="21">
      <c r="AE938" s="1"/>
      <c r="AG938" s="1"/>
      <c r="AH938" s="1"/>
      <c r="AI938" s="1"/>
      <c r="AJ938" s="1"/>
      <c r="AK938" s="1"/>
      <c r="AL938" s="1"/>
      <c r="AM938" s="1"/>
      <c r="AN938" s="1"/>
    </row>
    <row r="939" spans="31:40" ht="21">
      <c r="AE939" s="1"/>
      <c r="AG939" s="1"/>
      <c r="AH939" s="1"/>
      <c r="AI939" s="1"/>
      <c r="AJ939" s="1"/>
      <c r="AK939" s="1"/>
      <c r="AL939" s="1"/>
      <c r="AM939" s="1"/>
      <c r="AN939" s="1"/>
    </row>
    <row r="940" spans="31:40" ht="21">
      <c r="AE940" s="1"/>
      <c r="AG940" s="1"/>
      <c r="AH940" s="1"/>
      <c r="AI940" s="1"/>
      <c r="AJ940" s="1"/>
      <c r="AK940" s="1"/>
      <c r="AL940" s="1"/>
      <c r="AM940" s="1"/>
      <c r="AN940" s="1"/>
    </row>
    <row r="941" spans="31:40" ht="21">
      <c r="AE941" s="1"/>
      <c r="AG941" s="1"/>
      <c r="AH941" s="1"/>
      <c r="AI941" s="1"/>
      <c r="AJ941" s="1"/>
      <c r="AK941" s="1"/>
      <c r="AL941" s="1"/>
      <c r="AM941" s="1"/>
      <c r="AN941" s="1"/>
    </row>
    <row r="942" spans="31:40" ht="21">
      <c r="AE942" s="1"/>
      <c r="AG942" s="1"/>
      <c r="AH942" s="1"/>
      <c r="AI942" s="1"/>
      <c r="AJ942" s="1"/>
      <c r="AK942" s="1"/>
      <c r="AL942" s="1"/>
      <c r="AM942" s="1"/>
      <c r="AN942" s="1"/>
    </row>
    <row r="943" spans="31:40" ht="21">
      <c r="AE943" s="1"/>
      <c r="AG943" s="1"/>
      <c r="AH943" s="1"/>
      <c r="AI943" s="1"/>
      <c r="AJ943" s="1"/>
      <c r="AK943" s="1"/>
      <c r="AL943" s="1"/>
      <c r="AM943" s="1"/>
      <c r="AN943" s="1"/>
    </row>
    <row r="944" spans="31:40" ht="21">
      <c r="AE944" s="1"/>
      <c r="AG944" s="1"/>
      <c r="AH944" s="1"/>
      <c r="AI944" s="1"/>
      <c r="AJ944" s="1"/>
      <c r="AK944" s="1"/>
      <c r="AL944" s="1"/>
      <c r="AM944" s="1"/>
      <c r="AN944" s="1"/>
    </row>
    <row r="945" spans="31:40" ht="21">
      <c r="AE945" s="1"/>
      <c r="AG945" s="1"/>
      <c r="AH945" s="1"/>
      <c r="AI945" s="1"/>
      <c r="AJ945" s="1"/>
      <c r="AK945" s="1"/>
      <c r="AL945" s="1"/>
      <c r="AM945" s="1"/>
      <c r="AN945" s="1"/>
    </row>
    <row r="946" spans="31:40" ht="21">
      <c r="AE946" s="1"/>
      <c r="AG946" s="1"/>
      <c r="AH946" s="1"/>
      <c r="AI946" s="1"/>
      <c r="AJ946" s="1"/>
      <c r="AK946" s="1"/>
      <c r="AL946" s="1"/>
      <c r="AM946" s="1"/>
      <c r="AN946" s="1"/>
    </row>
    <row r="947" spans="31:40" ht="21">
      <c r="AE947" s="1"/>
      <c r="AG947" s="1"/>
      <c r="AH947" s="1"/>
      <c r="AI947" s="1"/>
      <c r="AJ947" s="1"/>
      <c r="AK947" s="1"/>
      <c r="AL947" s="1"/>
      <c r="AM947" s="1"/>
      <c r="AN947" s="1"/>
    </row>
    <row r="948" spans="31:40" ht="21">
      <c r="AE948" s="1"/>
      <c r="AG948" s="1"/>
      <c r="AH948" s="1"/>
      <c r="AI948" s="1"/>
      <c r="AJ948" s="1"/>
      <c r="AK948" s="1"/>
      <c r="AL948" s="1"/>
      <c r="AM948" s="1"/>
      <c r="AN948" s="1"/>
    </row>
    <row r="949" spans="31:40" ht="21">
      <c r="AE949" s="1"/>
      <c r="AG949" s="1"/>
      <c r="AH949" s="1"/>
      <c r="AI949" s="1"/>
      <c r="AJ949" s="1"/>
      <c r="AK949" s="1"/>
      <c r="AL949" s="1"/>
      <c r="AM949" s="1"/>
      <c r="AN949" s="1"/>
    </row>
    <row r="950" spans="31:40" ht="21">
      <c r="AE950" s="1"/>
      <c r="AG950" s="1"/>
      <c r="AH950" s="1"/>
      <c r="AI950" s="1"/>
      <c r="AJ950" s="1"/>
      <c r="AK950" s="1"/>
      <c r="AL950" s="1"/>
      <c r="AM950" s="1"/>
      <c r="AN950" s="1"/>
    </row>
    <row r="951" spans="31:40" ht="21">
      <c r="AE951" s="1"/>
      <c r="AG951" s="1"/>
      <c r="AH951" s="1"/>
      <c r="AI951" s="1"/>
      <c r="AJ951" s="1"/>
      <c r="AK951" s="1"/>
      <c r="AL951" s="1"/>
      <c r="AM951" s="1"/>
      <c r="AN951" s="1"/>
    </row>
    <row r="952" spans="31:40" ht="21">
      <c r="AE952" s="1"/>
      <c r="AG952" s="1"/>
      <c r="AH952" s="1"/>
      <c r="AI952" s="1"/>
      <c r="AJ952" s="1"/>
      <c r="AK952" s="1"/>
      <c r="AL952" s="1"/>
      <c r="AM952" s="1"/>
      <c r="AN952" s="1"/>
    </row>
    <row r="953" spans="31:40" ht="21">
      <c r="AE953" s="1"/>
      <c r="AG953" s="1"/>
      <c r="AH953" s="1"/>
      <c r="AI953" s="1"/>
      <c r="AJ953" s="1"/>
      <c r="AK953" s="1"/>
      <c r="AL953" s="1"/>
      <c r="AM953" s="1"/>
      <c r="AN953" s="1"/>
    </row>
    <row r="954" spans="31:40" ht="21">
      <c r="AE954" s="1"/>
      <c r="AG954" s="1"/>
      <c r="AH954" s="1"/>
      <c r="AI954" s="1"/>
      <c r="AJ954" s="1"/>
      <c r="AK954" s="1"/>
      <c r="AL954" s="1"/>
      <c r="AM954" s="1"/>
      <c r="AN954" s="1"/>
    </row>
    <row r="955" spans="31:40" ht="21">
      <c r="AE955" s="1"/>
      <c r="AG955" s="1"/>
      <c r="AH955" s="1"/>
      <c r="AI955" s="1"/>
      <c r="AJ955" s="1"/>
      <c r="AK955" s="1"/>
      <c r="AL955" s="1"/>
      <c r="AM955" s="1"/>
      <c r="AN955" s="1"/>
    </row>
    <row r="956" spans="31:40" ht="21">
      <c r="AE956" s="1"/>
      <c r="AG956" s="1"/>
      <c r="AH956" s="1"/>
      <c r="AI956" s="1"/>
      <c r="AJ956" s="1"/>
      <c r="AK956" s="1"/>
      <c r="AL956" s="1"/>
      <c r="AM956" s="1"/>
      <c r="AN956" s="1"/>
    </row>
    <row r="957" spans="31:40" ht="21">
      <c r="AE957" s="1"/>
      <c r="AG957" s="1"/>
      <c r="AH957" s="1"/>
      <c r="AI957" s="1"/>
      <c r="AJ957" s="1"/>
      <c r="AK957" s="1"/>
      <c r="AL957" s="1"/>
      <c r="AM957" s="1"/>
      <c r="AN957" s="1"/>
    </row>
    <row r="958" spans="31:40" ht="21">
      <c r="AE958" s="1"/>
      <c r="AG958" s="1"/>
      <c r="AH958" s="1"/>
      <c r="AI958" s="1"/>
      <c r="AJ958" s="1"/>
      <c r="AK958" s="1"/>
      <c r="AL958" s="1"/>
      <c r="AM958" s="1"/>
      <c r="AN958" s="1"/>
    </row>
    <row r="959" spans="31:40" ht="21">
      <c r="AE959" s="1"/>
      <c r="AG959" s="1"/>
      <c r="AH959" s="1"/>
      <c r="AI959" s="1"/>
      <c r="AJ959" s="1"/>
      <c r="AK959" s="1"/>
      <c r="AL959" s="1"/>
      <c r="AM959" s="1"/>
      <c r="AN959" s="1"/>
    </row>
    <row r="960" spans="31:40" ht="21">
      <c r="AE960" s="1"/>
      <c r="AG960" s="1"/>
      <c r="AH960" s="1"/>
      <c r="AI960" s="1"/>
      <c r="AJ960" s="1"/>
      <c r="AK960" s="1"/>
      <c r="AL960" s="1"/>
      <c r="AM960" s="1"/>
      <c r="AN960" s="1"/>
    </row>
    <row r="961" spans="31:40" ht="21">
      <c r="AE961" s="1"/>
      <c r="AG961" s="1"/>
      <c r="AH961" s="1"/>
      <c r="AI961" s="1"/>
      <c r="AJ961" s="1"/>
      <c r="AK961" s="1"/>
      <c r="AL961" s="1"/>
      <c r="AM961" s="1"/>
      <c r="AN961" s="1"/>
    </row>
    <row r="962" spans="31:40" ht="21">
      <c r="AE962" s="1"/>
      <c r="AG962" s="1"/>
      <c r="AH962" s="1"/>
      <c r="AI962" s="1"/>
      <c r="AJ962" s="1"/>
      <c r="AK962" s="1"/>
      <c r="AL962" s="1"/>
      <c r="AM962" s="1"/>
      <c r="AN962" s="1"/>
    </row>
    <row r="963" spans="31:40" ht="21">
      <c r="AE963" s="1"/>
      <c r="AG963" s="1"/>
      <c r="AH963" s="1"/>
      <c r="AI963" s="1"/>
      <c r="AJ963" s="1"/>
      <c r="AK963" s="1"/>
      <c r="AL963" s="1"/>
      <c r="AM963" s="1"/>
      <c r="AN963" s="1"/>
    </row>
    <row r="964" spans="31:40" ht="21">
      <c r="AE964" s="1"/>
      <c r="AG964" s="1"/>
      <c r="AH964" s="1"/>
      <c r="AI964" s="1"/>
      <c r="AJ964" s="1"/>
      <c r="AK964" s="1"/>
      <c r="AL964" s="1"/>
      <c r="AM964" s="1"/>
      <c r="AN964" s="1"/>
    </row>
    <row r="965" spans="31:40" ht="21">
      <c r="AE965" s="1"/>
      <c r="AG965" s="1"/>
      <c r="AH965" s="1"/>
      <c r="AI965" s="1"/>
      <c r="AJ965" s="1"/>
      <c r="AK965" s="1"/>
      <c r="AL965" s="1"/>
      <c r="AM965" s="1"/>
      <c r="AN965" s="1"/>
    </row>
    <row r="966" spans="31:40" ht="21">
      <c r="AE966" s="1"/>
      <c r="AG966" s="1"/>
      <c r="AH966" s="1"/>
      <c r="AI966" s="1"/>
      <c r="AJ966" s="1"/>
      <c r="AK966" s="1"/>
      <c r="AL966" s="1"/>
      <c r="AM966" s="1"/>
      <c r="AN966" s="1"/>
    </row>
    <row r="967" spans="31:40" ht="21">
      <c r="AE967" s="1"/>
      <c r="AG967" s="1"/>
      <c r="AH967" s="1"/>
      <c r="AI967" s="1"/>
      <c r="AJ967" s="1"/>
      <c r="AK967" s="1"/>
      <c r="AL967" s="1"/>
      <c r="AM967" s="1"/>
      <c r="AN967" s="1"/>
    </row>
    <row r="968" spans="31:40" ht="21">
      <c r="AE968" s="1"/>
      <c r="AG968" s="1"/>
      <c r="AH968" s="1"/>
      <c r="AI968" s="1"/>
      <c r="AJ968" s="1"/>
      <c r="AK968" s="1"/>
      <c r="AL968" s="1"/>
      <c r="AM968" s="1"/>
      <c r="AN968" s="1"/>
    </row>
    <row r="969" spans="31:40" ht="21">
      <c r="AE969" s="1"/>
      <c r="AG969" s="1"/>
      <c r="AH969" s="1"/>
      <c r="AI969" s="1"/>
      <c r="AJ969" s="1"/>
      <c r="AK969" s="1"/>
      <c r="AL969" s="1"/>
      <c r="AM969" s="1"/>
      <c r="AN969" s="1"/>
    </row>
    <row r="970" spans="31:40" ht="21">
      <c r="AE970" s="1"/>
      <c r="AG970" s="1"/>
      <c r="AH970" s="1"/>
      <c r="AI970" s="1"/>
      <c r="AJ970" s="1"/>
      <c r="AK970" s="1"/>
      <c r="AL970" s="1"/>
      <c r="AM970" s="1"/>
      <c r="AN970" s="1"/>
    </row>
    <row r="971" spans="31:40" ht="21">
      <c r="AE971" s="1"/>
      <c r="AG971" s="1"/>
      <c r="AH971" s="1"/>
      <c r="AI971" s="1"/>
      <c r="AJ971" s="1"/>
      <c r="AK971" s="1"/>
      <c r="AL971" s="1"/>
      <c r="AM971" s="1"/>
      <c r="AN971" s="1"/>
    </row>
    <row r="972" spans="31:40" ht="21">
      <c r="AE972" s="1"/>
      <c r="AG972" s="1"/>
      <c r="AH972" s="1"/>
      <c r="AI972" s="1"/>
      <c r="AJ972" s="1"/>
      <c r="AK972" s="1"/>
      <c r="AL972" s="1"/>
      <c r="AM972" s="1"/>
      <c r="AN972" s="1"/>
    </row>
    <row r="973" spans="31:40" ht="21">
      <c r="AE973" s="1"/>
      <c r="AG973" s="1"/>
      <c r="AH973" s="1"/>
      <c r="AI973" s="1"/>
      <c r="AJ973" s="1"/>
      <c r="AK973" s="1"/>
      <c r="AL973" s="1"/>
      <c r="AM973" s="1"/>
      <c r="AN973" s="1"/>
    </row>
    <row r="974" spans="31:40" ht="21">
      <c r="AE974" s="1"/>
      <c r="AG974" s="1"/>
      <c r="AH974" s="1"/>
      <c r="AI974" s="1"/>
      <c r="AJ974" s="1"/>
      <c r="AK974" s="1"/>
      <c r="AL974" s="1"/>
      <c r="AM974" s="1"/>
      <c r="AN974" s="1"/>
    </row>
    <row r="975" spans="31:40" ht="21">
      <c r="AE975" s="1"/>
      <c r="AG975" s="1"/>
      <c r="AH975" s="1"/>
      <c r="AI975" s="1"/>
      <c r="AJ975" s="1"/>
      <c r="AK975" s="1"/>
      <c r="AL975" s="1"/>
      <c r="AM975" s="1"/>
      <c r="AN975" s="1"/>
    </row>
    <row r="976" spans="31:40" ht="21">
      <c r="AE976" s="1"/>
      <c r="AG976" s="1"/>
      <c r="AH976" s="1"/>
      <c r="AI976" s="1"/>
      <c r="AJ976" s="1"/>
      <c r="AK976" s="1"/>
      <c r="AL976" s="1"/>
      <c r="AM976" s="1"/>
      <c r="AN976" s="1"/>
    </row>
    <row r="977" spans="31:40" ht="21">
      <c r="AE977" s="1"/>
      <c r="AG977" s="1"/>
      <c r="AH977" s="1"/>
      <c r="AI977" s="1"/>
      <c r="AJ977" s="1"/>
      <c r="AK977" s="1"/>
      <c r="AL977" s="1"/>
      <c r="AM977" s="1"/>
      <c r="AN977" s="1"/>
    </row>
    <row r="978" spans="31:40" ht="21">
      <c r="AE978" s="1"/>
      <c r="AG978" s="1"/>
      <c r="AH978" s="1"/>
      <c r="AI978" s="1"/>
      <c r="AJ978" s="1"/>
      <c r="AK978" s="1"/>
      <c r="AL978" s="1"/>
      <c r="AM978" s="1"/>
      <c r="AN978" s="1"/>
    </row>
    <row r="979" spans="31:40" ht="21">
      <c r="AE979" s="1"/>
      <c r="AG979" s="1"/>
      <c r="AH979" s="1"/>
      <c r="AI979" s="1"/>
      <c r="AJ979" s="1"/>
      <c r="AK979" s="1"/>
      <c r="AL979" s="1"/>
      <c r="AM979" s="1"/>
      <c r="AN979" s="1"/>
    </row>
    <row r="980" spans="31:40" ht="21">
      <c r="AE980" s="1"/>
      <c r="AG980" s="1"/>
      <c r="AH980" s="1"/>
      <c r="AI980" s="1"/>
      <c r="AJ980" s="1"/>
      <c r="AK980" s="1"/>
      <c r="AL980" s="1"/>
      <c r="AM980" s="1"/>
      <c r="AN980" s="1"/>
    </row>
    <row r="981" spans="31:40" ht="21">
      <c r="AE981" s="1"/>
      <c r="AG981" s="1"/>
      <c r="AH981" s="1"/>
      <c r="AI981" s="1"/>
      <c r="AJ981" s="1"/>
      <c r="AK981" s="1"/>
      <c r="AL981" s="1"/>
      <c r="AM981" s="1"/>
      <c r="AN981" s="1"/>
    </row>
    <row r="982" spans="31:40" ht="21">
      <c r="AE982" s="1"/>
      <c r="AG982" s="1"/>
      <c r="AH982" s="1"/>
      <c r="AI982" s="1"/>
      <c r="AJ982" s="1"/>
      <c r="AK982" s="1"/>
      <c r="AL982" s="1"/>
      <c r="AM982" s="1"/>
      <c r="AN982" s="1"/>
    </row>
    <row r="983" spans="31:40" ht="21">
      <c r="AE983" s="1"/>
      <c r="AG983" s="1"/>
      <c r="AH983" s="1"/>
      <c r="AI983" s="1"/>
      <c r="AJ983" s="1"/>
      <c r="AK983" s="1"/>
      <c r="AL983" s="1"/>
      <c r="AM983" s="1"/>
      <c r="AN983" s="1"/>
    </row>
    <row r="984" spans="31:40" ht="21">
      <c r="AE984" s="1"/>
      <c r="AG984" s="1"/>
      <c r="AH984" s="1"/>
      <c r="AI984" s="1"/>
      <c r="AJ984" s="1"/>
      <c r="AK984" s="1"/>
      <c r="AL984" s="1"/>
      <c r="AM984" s="1"/>
      <c r="AN984" s="1"/>
    </row>
    <row r="985" spans="31:40" ht="21">
      <c r="AE985" s="1"/>
      <c r="AG985" s="1"/>
      <c r="AH985" s="1"/>
      <c r="AI985" s="1"/>
      <c r="AJ985" s="1"/>
      <c r="AK985" s="1"/>
      <c r="AL985" s="1"/>
      <c r="AM985" s="1"/>
      <c r="AN985" s="1"/>
    </row>
    <row r="986" spans="31:40" ht="21">
      <c r="AE986" s="1"/>
      <c r="AG986" s="1"/>
      <c r="AH986" s="1"/>
      <c r="AI986" s="1"/>
      <c r="AJ986" s="1"/>
      <c r="AK986" s="1"/>
      <c r="AL986" s="1"/>
      <c r="AM986" s="1"/>
      <c r="AN986" s="1"/>
    </row>
    <row r="987" spans="31:40" ht="21">
      <c r="AE987" s="1"/>
      <c r="AG987" s="1"/>
      <c r="AH987" s="1"/>
      <c r="AI987" s="1"/>
      <c r="AJ987" s="1"/>
      <c r="AK987" s="1"/>
      <c r="AL987" s="1"/>
      <c r="AM987" s="1"/>
      <c r="AN987" s="1"/>
    </row>
    <row r="988" spans="31:40" ht="21">
      <c r="AE988" s="1"/>
      <c r="AG988" s="1"/>
      <c r="AH988" s="1"/>
      <c r="AI988" s="1"/>
      <c r="AJ988" s="1"/>
      <c r="AK988" s="1"/>
      <c r="AL988" s="1"/>
      <c r="AM988" s="1"/>
      <c r="AN988" s="1"/>
    </row>
    <row r="989" spans="31:40" ht="21">
      <c r="AE989" s="1"/>
      <c r="AG989" s="1"/>
      <c r="AH989" s="1"/>
      <c r="AI989" s="1"/>
      <c r="AJ989" s="1"/>
      <c r="AK989" s="1"/>
      <c r="AL989" s="1"/>
      <c r="AM989" s="1"/>
      <c r="AN989" s="1"/>
    </row>
    <row r="990" spans="31:40" ht="21">
      <c r="AE990" s="1"/>
      <c r="AG990" s="1"/>
      <c r="AH990" s="1"/>
      <c r="AI990" s="1"/>
      <c r="AJ990" s="1"/>
      <c r="AK990" s="1"/>
      <c r="AL990" s="1"/>
      <c r="AM990" s="1"/>
      <c r="AN990" s="1"/>
    </row>
    <row r="991" spans="31:40" ht="21">
      <c r="AE991" s="1"/>
      <c r="AG991" s="1"/>
      <c r="AH991" s="1"/>
      <c r="AI991" s="1"/>
      <c r="AJ991" s="1"/>
      <c r="AK991" s="1"/>
      <c r="AL991" s="1"/>
      <c r="AM991" s="1"/>
      <c r="AN991" s="1"/>
    </row>
    <row r="992" spans="31:40" ht="21">
      <c r="AE992" s="1"/>
      <c r="AG992" s="1"/>
      <c r="AH992" s="1"/>
      <c r="AI992" s="1"/>
      <c r="AJ992" s="1"/>
      <c r="AK992" s="1"/>
      <c r="AL992" s="1"/>
      <c r="AM992" s="1"/>
      <c r="AN992" s="1"/>
    </row>
    <row r="993" spans="31:40" ht="21">
      <c r="AE993" s="1"/>
      <c r="AG993" s="1"/>
      <c r="AH993" s="1"/>
      <c r="AI993" s="1"/>
      <c r="AJ993" s="1"/>
      <c r="AK993" s="1"/>
      <c r="AL993" s="1"/>
      <c r="AM993" s="1"/>
      <c r="AN993" s="1"/>
    </row>
    <row r="994" spans="31:40" ht="21">
      <c r="AE994" s="1"/>
      <c r="AG994" s="1"/>
      <c r="AH994" s="1"/>
      <c r="AI994" s="1"/>
      <c r="AJ994" s="1"/>
      <c r="AK994" s="1"/>
      <c r="AL994" s="1"/>
      <c r="AM994" s="1"/>
      <c r="AN994" s="1"/>
    </row>
    <row r="995" spans="31:40" ht="21">
      <c r="AE995" s="1"/>
      <c r="AG995" s="1"/>
      <c r="AH995" s="1"/>
      <c r="AI995" s="1"/>
      <c r="AJ995" s="1"/>
      <c r="AK995" s="1"/>
      <c r="AL995" s="1"/>
      <c r="AM995" s="1"/>
      <c r="AN995" s="1"/>
    </row>
  </sheetData>
  <customSheetViews>
    <customSheetView guid="{3662FBDA-518E-4D58-A85F-B943BC586F75}" filter="1" showAutoFilter="1">
      <pageMargins left="0" right="0" top="0" bottom="0" header="0" footer="0"/>
      <autoFilter ref="A1:K22" xr:uid="{F5A0135F-3939-45B6-9FCB-3C01BC82DAFD}"/>
    </customSheetView>
  </customSheetViews>
  <phoneticPr fontId="5" type="noConversion"/>
  <pageMargins left="0" right="0" top="0" bottom="0" header="0" footer="0"/>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C14D3-D93F-4F1E-8D20-65875B9B32D3}">
  <dimension ref="A1:W49"/>
  <sheetViews>
    <sheetView workbookViewId="0">
      <pane ySplit="2" topLeftCell="A43" activePane="bottomLeft" state="frozen"/>
      <selection pane="bottomLeft" activeCell="C40" sqref="C40"/>
    </sheetView>
  </sheetViews>
  <sheetFormatPr defaultRowHeight="12.75"/>
  <cols>
    <col min="1" max="1" width="7.33203125" style="104" customWidth="1"/>
    <col min="2" max="2" width="10.5546875" style="104" customWidth="1"/>
    <col min="3" max="3" width="31" style="105" customWidth="1"/>
    <col min="4" max="4" width="22.21875" style="105" customWidth="1"/>
    <col min="5" max="5" width="10" style="104" customWidth="1"/>
    <col min="6" max="6" width="11.109375" style="105" customWidth="1"/>
    <col min="7" max="7" width="20.88671875" style="105" customWidth="1"/>
    <col min="8" max="8" width="34.44140625" style="105" customWidth="1"/>
    <col min="9" max="9" width="47.33203125" style="105" customWidth="1"/>
    <col min="10" max="10" width="34.44140625" style="105" customWidth="1"/>
    <col min="11" max="11" width="38.44140625" style="105" customWidth="1"/>
    <col min="12" max="12" width="29.21875" style="105" customWidth="1"/>
    <col min="13" max="14" width="8.88671875" style="105"/>
    <col min="15" max="15" width="17.33203125" style="105" customWidth="1"/>
    <col min="16" max="22" width="8.88671875" style="105"/>
    <col min="23" max="23" width="14.88671875" style="105" customWidth="1"/>
    <col min="24" max="16384" width="8.88671875" style="105"/>
  </cols>
  <sheetData>
    <row r="1" spans="1:23">
      <c r="H1" s="218" t="s">
        <v>127</v>
      </c>
      <c r="I1" s="218"/>
      <c r="J1" s="218"/>
    </row>
    <row r="2" spans="1:23" s="111" customFormat="1" ht="47.25" customHeight="1">
      <c r="A2" s="106" t="s">
        <v>128</v>
      </c>
      <c r="B2" s="107" t="s">
        <v>129</v>
      </c>
      <c r="C2" s="107" t="s">
        <v>130</v>
      </c>
      <c r="D2" s="107" t="s">
        <v>131</v>
      </c>
      <c r="E2" s="107" t="s">
        <v>132</v>
      </c>
      <c r="F2" s="108" t="s">
        <v>133</v>
      </c>
      <c r="G2" s="108" t="s">
        <v>134</v>
      </c>
      <c r="H2" s="108" t="s">
        <v>135</v>
      </c>
      <c r="I2" s="108" t="s">
        <v>136</v>
      </c>
      <c r="J2" s="108" t="s">
        <v>137</v>
      </c>
      <c r="K2" s="109" t="s">
        <v>138</v>
      </c>
      <c r="L2" s="109" t="s">
        <v>139</v>
      </c>
      <c r="M2" s="109" t="s">
        <v>140</v>
      </c>
      <c r="N2" s="109" t="s">
        <v>141</v>
      </c>
      <c r="O2" s="110" t="s">
        <v>142</v>
      </c>
      <c r="W2" s="108" t="s">
        <v>133</v>
      </c>
    </row>
    <row r="3" spans="1:23" s="117" customFormat="1" ht="27" customHeight="1">
      <c r="A3" s="112">
        <v>1</v>
      </c>
      <c r="B3" s="113">
        <v>45399</v>
      </c>
      <c r="C3" s="155" t="s">
        <v>143</v>
      </c>
      <c r="D3" s="155" t="s">
        <v>144</v>
      </c>
      <c r="E3" s="155" t="s">
        <v>145</v>
      </c>
      <c r="F3" s="155" t="s">
        <v>146</v>
      </c>
      <c r="G3" s="155" t="s">
        <v>147</v>
      </c>
      <c r="H3" s="156" t="s">
        <v>148</v>
      </c>
      <c r="I3" s="156"/>
      <c r="J3" s="114"/>
      <c r="K3" s="114" t="s">
        <v>149</v>
      </c>
      <c r="L3" s="115" t="s">
        <v>150</v>
      </c>
      <c r="M3" s="115" t="s">
        <v>151</v>
      </c>
      <c r="N3" s="116">
        <v>45404</v>
      </c>
      <c r="O3" s="114"/>
      <c r="W3" s="117" t="s">
        <v>146</v>
      </c>
    </row>
    <row r="4" spans="1:23" s="117" customFormat="1" ht="27" customHeight="1">
      <c r="A4" s="112">
        <v>2</v>
      </c>
      <c r="B4" s="113">
        <v>45428</v>
      </c>
      <c r="C4" s="155" t="s">
        <v>152</v>
      </c>
      <c r="D4" s="155" t="s">
        <v>153</v>
      </c>
      <c r="E4" s="155" t="s">
        <v>154</v>
      </c>
      <c r="F4" s="155" t="s">
        <v>146</v>
      </c>
      <c r="G4" s="155" t="s">
        <v>147</v>
      </c>
      <c r="H4" s="156" t="s">
        <v>155</v>
      </c>
      <c r="I4" s="156" t="s">
        <v>156</v>
      </c>
      <c r="J4" s="114"/>
      <c r="K4" s="114" t="s">
        <v>157</v>
      </c>
      <c r="L4" s="115" t="s">
        <v>158</v>
      </c>
      <c r="M4" s="115" t="s">
        <v>151</v>
      </c>
      <c r="N4" s="116">
        <v>45432</v>
      </c>
      <c r="O4" s="114"/>
      <c r="W4" s="117" t="s">
        <v>146</v>
      </c>
    </row>
    <row r="5" spans="1:23" s="117" customFormat="1" ht="27" customHeight="1">
      <c r="A5" s="112">
        <v>3</v>
      </c>
      <c r="B5" s="113">
        <v>45470</v>
      </c>
      <c r="C5" s="155" t="s">
        <v>159</v>
      </c>
      <c r="D5" s="155" t="s">
        <v>160</v>
      </c>
      <c r="E5" s="155" t="s">
        <v>154</v>
      </c>
      <c r="F5" s="155" t="s">
        <v>146</v>
      </c>
      <c r="G5" s="155" t="s">
        <v>161</v>
      </c>
      <c r="H5" s="156" t="s">
        <v>162</v>
      </c>
      <c r="I5" s="156" t="s">
        <v>163</v>
      </c>
      <c r="J5" s="114"/>
      <c r="K5" s="119" t="s">
        <v>164</v>
      </c>
      <c r="L5" s="115" t="s">
        <v>165</v>
      </c>
      <c r="M5" s="115" t="s">
        <v>151</v>
      </c>
      <c r="N5" s="116">
        <v>45471</v>
      </c>
      <c r="O5" s="114"/>
      <c r="W5" s="117" t="s">
        <v>146</v>
      </c>
    </row>
    <row r="6" spans="1:23" s="117" customFormat="1" ht="27" customHeight="1">
      <c r="A6" s="112">
        <v>4</v>
      </c>
      <c r="B6" s="113">
        <v>45454</v>
      </c>
      <c r="C6" s="155" t="s">
        <v>166</v>
      </c>
      <c r="D6" s="155" t="s">
        <v>160</v>
      </c>
      <c r="E6" s="155" t="s">
        <v>154</v>
      </c>
      <c r="F6" s="155" t="s">
        <v>146</v>
      </c>
      <c r="G6" s="155" t="s">
        <v>161</v>
      </c>
      <c r="H6" s="156" t="s">
        <v>167</v>
      </c>
      <c r="I6" s="156" t="s">
        <v>163</v>
      </c>
      <c r="J6" s="114"/>
      <c r="K6" s="119" t="s">
        <v>164</v>
      </c>
      <c r="L6" s="115" t="s">
        <v>168</v>
      </c>
      <c r="M6" s="115" t="s">
        <v>151</v>
      </c>
      <c r="N6" s="116">
        <v>45455</v>
      </c>
      <c r="O6" s="114"/>
      <c r="W6" s="117" t="s">
        <v>169</v>
      </c>
    </row>
    <row r="7" spans="1:23" s="120" customFormat="1" ht="27" customHeight="1">
      <c r="A7" s="112">
        <v>5</v>
      </c>
      <c r="B7" s="113">
        <v>45525</v>
      </c>
      <c r="C7" s="155" t="s">
        <v>170</v>
      </c>
      <c r="D7" s="155" t="s">
        <v>160</v>
      </c>
      <c r="E7" s="155" t="s">
        <v>154</v>
      </c>
      <c r="F7" s="155" t="s">
        <v>146</v>
      </c>
      <c r="G7" s="155" t="s">
        <v>171</v>
      </c>
      <c r="H7" s="156" t="s">
        <v>172</v>
      </c>
      <c r="I7" s="156"/>
      <c r="J7" s="114"/>
      <c r="K7" s="114" t="s">
        <v>164</v>
      </c>
      <c r="L7" s="115" t="s">
        <v>173</v>
      </c>
      <c r="M7" s="115" t="s">
        <v>151</v>
      </c>
      <c r="N7" s="116">
        <v>45525</v>
      </c>
      <c r="O7" s="114"/>
      <c r="P7" s="117"/>
      <c r="Q7" s="117"/>
      <c r="R7" s="117"/>
      <c r="S7" s="117"/>
      <c r="T7" s="117"/>
      <c r="U7" s="117"/>
      <c r="V7" s="117"/>
      <c r="W7" s="117"/>
    </row>
    <row r="8" spans="1:23" s="120" customFormat="1" ht="27" customHeight="1">
      <c r="A8" s="112">
        <v>6</v>
      </c>
      <c r="B8" s="113">
        <v>45540</v>
      </c>
      <c r="C8" s="155" t="s">
        <v>174</v>
      </c>
      <c r="D8" s="155" t="s">
        <v>175</v>
      </c>
      <c r="E8" s="155" t="s">
        <v>145</v>
      </c>
      <c r="F8" s="155" t="s">
        <v>146</v>
      </c>
      <c r="G8" s="155"/>
      <c r="H8" s="156" t="s">
        <v>52</v>
      </c>
      <c r="I8" s="156"/>
      <c r="J8" s="114"/>
      <c r="K8" s="114" t="s">
        <v>176</v>
      </c>
      <c r="L8" s="115" t="s">
        <v>177</v>
      </c>
      <c r="M8" s="115" t="s">
        <v>151</v>
      </c>
      <c r="N8" s="116">
        <v>45540</v>
      </c>
      <c r="O8" s="114"/>
      <c r="P8" s="117"/>
      <c r="Q8" s="117"/>
      <c r="R8" s="117"/>
      <c r="S8" s="117"/>
      <c r="T8" s="117"/>
      <c r="U8" s="117"/>
      <c r="V8" s="117"/>
      <c r="W8" s="117"/>
    </row>
    <row r="9" spans="1:23" s="120" customFormat="1" ht="27" customHeight="1">
      <c r="A9" s="112">
        <v>7</v>
      </c>
      <c r="B9" s="113">
        <v>45554</v>
      </c>
      <c r="C9" s="155" t="s">
        <v>178</v>
      </c>
      <c r="D9" s="155" t="s">
        <v>179</v>
      </c>
      <c r="E9" s="155" t="s">
        <v>154</v>
      </c>
      <c r="F9" s="155" t="s">
        <v>146</v>
      </c>
      <c r="G9" s="155" t="s">
        <v>147</v>
      </c>
      <c r="H9" s="156" t="s">
        <v>180</v>
      </c>
      <c r="I9" s="156" t="s">
        <v>181</v>
      </c>
      <c r="J9" s="114"/>
      <c r="K9" s="114" t="s">
        <v>182</v>
      </c>
      <c r="L9" s="115" t="s">
        <v>177</v>
      </c>
      <c r="M9" s="115" t="s">
        <v>151</v>
      </c>
      <c r="N9" s="116">
        <v>45554</v>
      </c>
      <c r="O9" s="114"/>
      <c r="P9" s="117"/>
      <c r="Q9" s="117"/>
      <c r="R9" s="117"/>
      <c r="S9" s="117"/>
      <c r="T9" s="117"/>
      <c r="U9" s="117"/>
      <c r="V9" s="117"/>
      <c r="W9" s="117"/>
    </row>
    <row r="10" spans="1:23" s="120" customFormat="1" ht="27" customHeight="1">
      <c r="A10" s="112">
        <v>8</v>
      </c>
      <c r="B10" s="113">
        <v>45568</v>
      </c>
      <c r="C10" s="155" t="s">
        <v>183</v>
      </c>
      <c r="D10" s="155" t="s">
        <v>175</v>
      </c>
      <c r="E10" s="155" t="s">
        <v>145</v>
      </c>
      <c r="F10" s="155" t="s">
        <v>146</v>
      </c>
      <c r="G10" s="155" t="s">
        <v>147</v>
      </c>
      <c r="H10" s="156" t="s">
        <v>56</v>
      </c>
      <c r="I10" s="156"/>
      <c r="J10" s="114"/>
      <c r="K10" s="114" t="s">
        <v>184</v>
      </c>
      <c r="L10" s="115" t="s">
        <v>165</v>
      </c>
      <c r="M10" s="115" t="s">
        <v>151</v>
      </c>
      <c r="N10" s="116">
        <v>45610</v>
      </c>
      <c r="O10" s="114"/>
      <c r="P10" s="117"/>
      <c r="Q10" s="117"/>
      <c r="R10" s="117"/>
      <c r="S10" s="117"/>
      <c r="T10" s="117"/>
      <c r="U10" s="117"/>
      <c r="V10" s="117"/>
      <c r="W10" s="117"/>
    </row>
    <row r="11" spans="1:23" s="120" customFormat="1" ht="27" customHeight="1">
      <c r="A11" s="112">
        <v>9</v>
      </c>
      <c r="B11" s="113">
        <v>45582</v>
      </c>
      <c r="C11" s="155" t="s">
        <v>185</v>
      </c>
      <c r="D11" s="155" t="s">
        <v>175</v>
      </c>
      <c r="E11" s="155" t="s">
        <v>145</v>
      </c>
      <c r="F11" s="155" t="s">
        <v>146</v>
      </c>
      <c r="G11" s="155" t="s">
        <v>147</v>
      </c>
      <c r="H11" s="156" t="s">
        <v>186</v>
      </c>
      <c r="I11" s="156"/>
      <c r="J11" s="118"/>
      <c r="K11" s="114" t="s">
        <v>187</v>
      </c>
      <c r="L11" s="115" t="s">
        <v>188</v>
      </c>
      <c r="M11" s="115" t="s">
        <v>151</v>
      </c>
      <c r="N11" s="116">
        <v>45610</v>
      </c>
      <c r="O11" s="122"/>
    </row>
    <row r="12" spans="1:23" s="120" customFormat="1" ht="27" customHeight="1">
      <c r="A12" s="112">
        <v>10</v>
      </c>
      <c r="B12" s="113">
        <v>45596</v>
      </c>
      <c r="C12" s="155" t="s">
        <v>189</v>
      </c>
      <c r="D12" s="155" t="s">
        <v>175</v>
      </c>
      <c r="E12" s="155" t="s">
        <v>145</v>
      </c>
      <c r="F12" s="155" t="s">
        <v>146</v>
      </c>
      <c r="G12" s="155" t="s">
        <v>147</v>
      </c>
      <c r="H12" s="156" t="s">
        <v>190</v>
      </c>
      <c r="I12" s="156"/>
      <c r="J12" s="118"/>
      <c r="K12" s="114" t="s">
        <v>191</v>
      </c>
      <c r="L12" s="115" t="s">
        <v>188</v>
      </c>
      <c r="M12" s="115" t="s">
        <v>151</v>
      </c>
      <c r="N12" s="116">
        <v>45610</v>
      </c>
      <c r="O12" s="122"/>
    </row>
    <row r="13" spans="1:23" s="120" customFormat="1" ht="27" customHeight="1">
      <c r="A13" s="112">
        <v>11</v>
      </c>
      <c r="B13" s="113">
        <v>45610</v>
      </c>
      <c r="C13" s="155" t="s">
        <v>192</v>
      </c>
      <c r="D13" s="155" t="s">
        <v>175</v>
      </c>
      <c r="E13" s="155" t="s">
        <v>154</v>
      </c>
      <c r="F13" s="155" t="s">
        <v>146</v>
      </c>
      <c r="G13" s="155" t="s">
        <v>147</v>
      </c>
      <c r="H13" s="156" t="s">
        <v>193</v>
      </c>
      <c r="I13" s="156"/>
      <c r="J13" s="118"/>
      <c r="K13" s="114" t="s">
        <v>194</v>
      </c>
      <c r="L13" s="115" t="s">
        <v>195</v>
      </c>
      <c r="M13" s="115" t="s">
        <v>151</v>
      </c>
      <c r="N13" s="116">
        <v>45610</v>
      </c>
      <c r="O13" s="122"/>
    </row>
    <row r="14" spans="1:23" s="120" customFormat="1" ht="27" customHeight="1">
      <c r="A14" s="112">
        <v>12</v>
      </c>
      <c r="B14" s="113">
        <v>45621</v>
      </c>
      <c r="C14" s="155" t="s">
        <v>196</v>
      </c>
      <c r="D14" s="155" t="s">
        <v>175</v>
      </c>
      <c r="E14" s="155" t="s">
        <v>154</v>
      </c>
      <c r="F14" s="155" t="s">
        <v>146</v>
      </c>
      <c r="G14" s="155" t="s">
        <v>147</v>
      </c>
      <c r="H14" s="156" t="s">
        <v>197</v>
      </c>
      <c r="I14" s="156"/>
      <c r="J14" s="123"/>
      <c r="K14" s="114" t="s">
        <v>198</v>
      </c>
      <c r="L14" s="115" t="s">
        <v>150</v>
      </c>
      <c r="M14" s="115" t="s">
        <v>151</v>
      </c>
      <c r="N14" s="116">
        <v>45621</v>
      </c>
      <c r="O14" s="122"/>
    </row>
    <row r="15" spans="1:23" s="120" customFormat="1" ht="27" customHeight="1">
      <c r="A15" s="112">
        <v>13</v>
      </c>
      <c r="B15" s="113">
        <v>45666</v>
      </c>
      <c r="C15" s="155" t="s">
        <v>199</v>
      </c>
      <c r="D15" s="155" t="s">
        <v>175</v>
      </c>
      <c r="E15" s="155" t="s">
        <v>145</v>
      </c>
      <c r="F15" s="155" t="s">
        <v>146</v>
      </c>
      <c r="G15" s="155" t="s">
        <v>147</v>
      </c>
      <c r="H15" s="156" t="s">
        <v>67</v>
      </c>
      <c r="I15" s="156"/>
      <c r="J15" s="123"/>
      <c r="K15" s="114" t="s">
        <v>200</v>
      </c>
      <c r="L15" s="115" t="s">
        <v>201</v>
      </c>
      <c r="M15" s="115" t="s">
        <v>151</v>
      </c>
      <c r="N15" s="116">
        <v>45666</v>
      </c>
      <c r="O15" s="122"/>
    </row>
    <row r="16" spans="1:23" s="120" customFormat="1" ht="27" customHeight="1">
      <c r="A16" s="112">
        <v>14</v>
      </c>
      <c r="B16" s="113">
        <v>45680</v>
      </c>
      <c r="C16" s="155" t="s">
        <v>202</v>
      </c>
      <c r="D16" s="155" t="s">
        <v>203</v>
      </c>
      <c r="E16" s="155" t="s">
        <v>154</v>
      </c>
      <c r="F16" s="155" t="s">
        <v>146</v>
      </c>
      <c r="G16" s="155" t="s">
        <v>147</v>
      </c>
      <c r="H16" s="156" t="s">
        <v>69</v>
      </c>
      <c r="I16" s="156"/>
      <c r="J16" s="123"/>
      <c r="K16" s="114" t="s">
        <v>204</v>
      </c>
      <c r="L16" s="115" t="s">
        <v>201</v>
      </c>
      <c r="M16" s="115" t="s">
        <v>151</v>
      </c>
      <c r="N16" s="116">
        <v>45680</v>
      </c>
      <c r="O16" s="122"/>
    </row>
    <row r="17" spans="1:15" s="120" customFormat="1" ht="27" customHeight="1">
      <c r="A17" s="125">
        <v>15</v>
      </c>
      <c r="B17" s="126">
        <v>45694</v>
      </c>
      <c r="C17" s="155" t="s">
        <v>205</v>
      </c>
      <c r="D17" s="155" t="s">
        <v>206</v>
      </c>
      <c r="E17" s="155" t="s">
        <v>154</v>
      </c>
      <c r="F17" s="155" t="s">
        <v>146</v>
      </c>
      <c r="G17" s="155" t="s">
        <v>147</v>
      </c>
      <c r="H17" s="156" t="s">
        <v>71</v>
      </c>
      <c r="I17" s="156"/>
      <c r="J17" s="123"/>
      <c r="K17" s="114" t="s">
        <v>207</v>
      </c>
      <c r="L17" s="115" t="s">
        <v>201</v>
      </c>
      <c r="M17" s="115" t="s">
        <v>151</v>
      </c>
      <c r="N17" s="116">
        <v>45694</v>
      </c>
      <c r="O17" s="122"/>
    </row>
    <row r="18" spans="1:15" s="120" customFormat="1" ht="27" customHeight="1">
      <c r="A18" s="125">
        <v>16</v>
      </c>
      <c r="B18" s="126">
        <v>45694</v>
      </c>
      <c r="C18" s="155" t="s">
        <v>205</v>
      </c>
      <c r="D18" s="155" t="s">
        <v>208</v>
      </c>
      <c r="E18" s="155" t="s">
        <v>209</v>
      </c>
      <c r="F18" s="155" t="s">
        <v>146</v>
      </c>
      <c r="G18" s="155" t="s">
        <v>210</v>
      </c>
      <c r="H18" s="156" t="s">
        <v>211</v>
      </c>
      <c r="I18" s="156"/>
      <c r="J18" s="123"/>
      <c r="K18" s="114" t="s">
        <v>212</v>
      </c>
      <c r="L18" s="115" t="s">
        <v>150</v>
      </c>
      <c r="M18" s="115" t="s">
        <v>151</v>
      </c>
      <c r="N18" s="116">
        <v>45694</v>
      </c>
      <c r="O18" s="122"/>
    </row>
    <row r="19" spans="1:15" s="120" customFormat="1" ht="27" customHeight="1">
      <c r="A19" s="125">
        <v>17</v>
      </c>
      <c r="B19" s="126">
        <v>45708</v>
      </c>
      <c r="C19" s="155" t="s">
        <v>213</v>
      </c>
      <c r="D19" s="155" t="s">
        <v>206</v>
      </c>
      <c r="E19" s="155" t="s">
        <v>209</v>
      </c>
      <c r="F19" s="155" t="s">
        <v>146</v>
      </c>
      <c r="G19" s="155" t="s">
        <v>147</v>
      </c>
      <c r="H19" s="156" t="s">
        <v>214</v>
      </c>
      <c r="I19" s="156"/>
      <c r="J19" s="124"/>
      <c r="K19" s="121" t="s">
        <v>215</v>
      </c>
      <c r="L19" s="127" t="s">
        <v>216</v>
      </c>
      <c r="M19" s="127" t="s">
        <v>151</v>
      </c>
      <c r="N19" s="128">
        <v>45708</v>
      </c>
      <c r="O19" s="129" t="s">
        <v>217</v>
      </c>
    </row>
    <row r="20" spans="1:15" s="120" customFormat="1" ht="27" customHeight="1">
      <c r="A20" s="125">
        <v>18</v>
      </c>
      <c r="B20" s="126">
        <v>45722</v>
      </c>
      <c r="C20" s="155" t="s">
        <v>218</v>
      </c>
      <c r="D20" s="155" t="s">
        <v>219</v>
      </c>
      <c r="E20" s="155" t="s">
        <v>154</v>
      </c>
      <c r="F20" s="155" t="s">
        <v>146</v>
      </c>
      <c r="G20" s="155" t="s">
        <v>147</v>
      </c>
      <c r="H20" s="156" t="s">
        <v>75</v>
      </c>
      <c r="I20" s="156"/>
      <c r="J20" s="123"/>
      <c r="K20" s="119" t="s">
        <v>220</v>
      </c>
      <c r="L20" s="118"/>
      <c r="M20" s="118" t="s">
        <v>151</v>
      </c>
      <c r="N20" s="130">
        <v>45728</v>
      </c>
      <c r="O20" s="131" t="s">
        <v>221</v>
      </c>
    </row>
    <row r="21" spans="1:15" s="120" customFormat="1" ht="27" customHeight="1">
      <c r="A21" s="125">
        <v>19</v>
      </c>
      <c r="B21" s="126">
        <v>45750</v>
      </c>
      <c r="C21" s="155" t="s">
        <v>222</v>
      </c>
      <c r="D21" s="155" t="s">
        <v>175</v>
      </c>
      <c r="E21" s="155" t="s">
        <v>209</v>
      </c>
      <c r="F21" s="155" t="s">
        <v>146</v>
      </c>
      <c r="G21" s="155" t="s">
        <v>223</v>
      </c>
      <c r="H21" s="156" t="s">
        <v>224</v>
      </c>
      <c r="I21" s="156"/>
      <c r="J21" s="133"/>
      <c r="K21" s="119" t="s">
        <v>225</v>
      </c>
      <c r="L21" s="115" t="s">
        <v>188</v>
      </c>
      <c r="M21" s="118" t="s">
        <v>151</v>
      </c>
      <c r="N21" s="130">
        <v>45764</v>
      </c>
      <c r="O21" s="131"/>
    </row>
    <row r="22" spans="1:15" s="117" customFormat="1" ht="27" customHeight="1">
      <c r="A22" s="134">
        <v>20</v>
      </c>
      <c r="B22" s="135">
        <v>45764</v>
      </c>
      <c r="C22" s="155" t="s">
        <v>226</v>
      </c>
      <c r="D22" s="155" t="s">
        <v>227</v>
      </c>
      <c r="E22" s="155" t="s">
        <v>209</v>
      </c>
      <c r="F22" s="155" t="s">
        <v>146</v>
      </c>
      <c r="G22" s="155" t="s">
        <v>147</v>
      </c>
      <c r="H22" s="156" t="s">
        <v>228</v>
      </c>
      <c r="I22" s="156" t="s">
        <v>229</v>
      </c>
      <c r="J22" s="136"/>
      <c r="K22" s="137" t="s">
        <v>230</v>
      </c>
      <c r="L22" s="115" t="s">
        <v>231</v>
      </c>
      <c r="M22" s="118" t="s">
        <v>151</v>
      </c>
      <c r="N22" s="130">
        <v>45778</v>
      </c>
      <c r="O22" s="119"/>
    </row>
    <row r="23" spans="1:15" s="120" customFormat="1" ht="27" customHeight="1">
      <c r="A23" s="134">
        <v>21</v>
      </c>
      <c r="B23" s="138">
        <v>45764</v>
      </c>
      <c r="C23" s="155" t="s">
        <v>226</v>
      </c>
      <c r="D23" s="155" t="s">
        <v>232</v>
      </c>
      <c r="E23" s="155" t="s">
        <v>209</v>
      </c>
      <c r="F23" s="155" t="s">
        <v>146</v>
      </c>
      <c r="G23" s="155" t="s">
        <v>233</v>
      </c>
      <c r="H23" s="156" t="s">
        <v>234</v>
      </c>
      <c r="I23" s="156" t="s">
        <v>235</v>
      </c>
      <c r="J23" s="139"/>
      <c r="K23" s="140" t="s">
        <v>236</v>
      </c>
      <c r="L23" s="127" t="s">
        <v>231</v>
      </c>
      <c r="M23" s="141" t="s">
        <v>151</v>
      </c>
      <c r="N23" s="142">
        <v>45778</v>
      </c>
      <c r="O23" s="143"/>
    </row>
    <row r="24" spans="1:15" s="120" customFormat="1" ht="27" customHeight="1">
      <c r="A24" s="134">
        <v>22</v>
      </c>
      <c r="B24" s="135">
        <v>45792</v>
      </c>
      <c r="C24" s="155" t="s">
        <v>237</v>
      </c>
      <c r="D24" s="155" t="s">
        <v>238</v>
      </c>
      <c r="E24" s="155" t="s">
        <v>145</v>
      </c>
      <c r="F24" s="155" t="s">
        <v>146</v>
      </c>
      <c r="G24" s="155" t="s">
        <v>147</v>
      </c>
      <c r="H24" s="156" t="s">
        <v>239</v>
      </c>
      <c r="I24" s="156" t="s">
        <v>240</v>
      </c>
      <c r="J24" s="132"/>
      <c r="K24" s="119" t="s">
        <v>241</v>
      </c>
      <c r="L24" s="118" t="s">
        <v>231</v>
      </c>
      <c r="M24" s="141" t="s">
        <v>151</v>
      </c>
      <c r="N24" s="130">
        <v>45806</v>
      </c>
      <c r="O24" s="132"/>
    </row>
    <row r="25" spans="1:15" s="120" customFormat="1" ht="27" customHeight="1">
      <c r="A25" s="134">
        <v>23</v>
      </c>
      <c r="B25" s="135">
        <v>45792</v>
      </c>
      <c r="C25" s="155" t="s">
        <v>237</v>
      </c>
      <c r="D25" s="155" t="s">
        <v>242</v>
      </c>
      <c r="E25" s="155" t="s">
        <v>154</v>
      </c>
      <c r="F25" s="155" t="s">
        <v>146</v>
      </c>
      <c r="G25" s="155" t="s">
        <v>210</v>
      </c>
      <c r="H25" s="156" t="s">
        <v>243</v>
      </c>
      <c r="I25" s="156" t="s">
        <v>244</v>
      </c>
      <c r="J25" s="145"/>
      <c r="K25" s="119" t="s">
        <v>245</v>
      </c>
      <c r="L25" s="118" t="s">
        <v>231</v>
      </c>
      <c r="M25" s="141" t="s">
        <v>151</v>
      </c>
      <c r="N25" s="130">
        <v>45806</v>
      </c>
      <c r="O25" s="132"/>
    </row>
    <row r="26" spans="1:15" s="120" customFormat="1" ht="27" customHeight="1">
      <c r="A26" s="134">
        <v>24</v>
      </c>
      <c r="B26" s="135">
        <v>45806</v>
      </c>
      <c r="C26" s="155" t="s">
        <v>246</v>
      </c>
      <c r="D26" s="155" t="s">
        <v>247</v>
      </c>
      <c r="E26" s="155" t="s">
        <v>248</v>
      </c>
      <c r="F26" s="155" t="s">
        <v>146</v>
      </c>
      <c r="G26" s="155" t="s">
        <v>147</v>
      </c>
      <c r="H26" s="156" t="s">
        <v>249</v>
      </c>
      <c r="I26" s="156"/>
      <c r="J26" s="145"/>
      <c r="K26" s="143" t="s">
        <v>250</v>
      </c>
      <c r="L26" s="120" t="s">
        <v>195</v>
      </c>
      <c r="M26" s="141" t="s">
        <v>151</v>
      </c>
    </row>
    <row r="27" spans="1:15" s="120" customFormat="1" ht="27" customHeight="1">
      <c r="A27" s="134">
        <v>25</v>
      </c>
      <c r="B27" s="135">
        <v>45820</v>
      </c>
      <c r="C27" s="155" t="s">
        <v>251</v>
      </c>
      <c r="D27" s="155" t="s">
        <v>252</v>
      </c>
      <c r="E27" s="155" t="s">
        <v>145</v>
      </c>
      <c r="F27" s="155" t="s">
        <v>146</v>
      </c>
      <c r="G27" s="155" t="s">
        <v>147</v>
      </c>
      <c r="H27" s="156" t="s">
        <v>253</v>
      </c>
      <c r="I27" s="156" t="s">
        <v>254</v>
      </c>
      <c r="J27" s="132"/>
      <c r="K27" s="119" t="s">
        <v>255</v>
      </c>
      <c r="L27" s="119" t="s">
        <v>231</v>
      </c>
      <c r="M27" s="141" t="s">
        <v>151</v>
      </c>
      <c r="N27" s="130">
        <v>45834</v>
      </c>
    </row>
    <row r="28" spans="1:15" s="120" customFormat="1" ht="27" customHeight="1">
      <c r="A28" s="134">
        <v>26</v>
      </c>
      <c r="B28" s="135">
        <v>45820</v>
      </c>
      <c r="C28" s="155" t="s">
        <v>251</v>
      </c>
      <c r="D28" s="155" t="s">
        <v>256</v>
      </c>
      <c r="E28" s="155" t="s">
        <v>145</v>
      </c>
      <c r="F28" s="155" t="s">
        <v>146</v>
      </c>
      <c r="G28" s="155" t="s">
        <v>210</v>
      </c>
      <c r="H28" s="156" t="s">
        <v>257</v>
      </c>
      <c r="I28" s="156" t="s">
        <v>163</v>
      </c>
      <c r="J28" s="145"/>
      <c r="K28" s="143" t="s">
        <v>255</v>
      </c>
      <c r="L28" s="143" t="s">
        <v>231</v>
      </c>
      <c r="M28" s="141" t="s">
        <v>151</v>
      </c>
      <c r="N28" s="142">
        <v>45834</v>
      </c>
    </row>
    <row r="29" spans="1:15" s="120" customFormat="1" ht="27" customHeight="1">
      <c r="A29" s="134">
        <v>27</v>
      </c>
      <c r="B29" s="135">
        <v>45848</v>
      </c>
      <c r="C29" s="155" t="s">
        <v>258</v>
      </c>
      <c r="D29" s="155" t="s">
        <v>259</v>
      </c>
      <c r="E29" s="155" t="s">
        <v>145</v>
      </c>
      <c r="F29" s="155" t="s">
        <v>146</v>
      </c>
      <c r="G29" s="155" t="s">
        <v>147</v>
      </c>
      <c r="H29" s="156" t="s">
        <v>260</v>
      </c>
      <c r="I29" s="156" t="s">
        <v>254</v>
      </c>
      <c r="J29" s="132"/>
      <c r="K29" s="137" t="s">
        <v>261</v>
      </c>
      <c r="L29" s="119" t="s">
        <v>231</v>
      </c>
      <c r="M29" s="141" t="s">
        <v>151</v>
      </c>
      <c r="N29" s="130">
        <v>45862</v>
      </c>
      <c r="O29" s="132"/>
    </row>
    <row r="30" spans="1:15" s="120" customFormat="1" ht="27" customHeight="1">
      <c r="A30" s="134">
        <v>28</v>
      </c>
      <c r="B30" s="138">
        <v>45862</v>
      </c>
      <c r="C30" s="155" t="s">
        <v>262</v>
      </c>
      <c r="D30" s="155" t="s">
        <v>259</v>
      </c>
      <c r="E30" s="155" t="s">
        <v>145</v>
      </c>
      <c r="F30" s="155" t="s">
        <v>146</v>
      </c>
      <c r="G30" s="155" t="s">
        <v>147</v>
      </c>
      <c r="H30" s="156" t="s">
        <v>263</v>
      </c>
      <c r="I30" s="156" t="s">
        <v>254</v>
      </c>
      <c r="J30" s="145"/>
      <c r="K30" s="140" t="s">
        <v>264</v>
      </c>
      <c r="L30" s="143" t="s">
        <v>231</v>
      </c>
      <c r="M30" s="141" t="s">
        <v>151</v>
      </c>
      <c r="N30" s="142">
        <v>45876</v>
      </c>
    </row>
    <row r="31" spans="1:15" s="145" customFormat="1" ht="27" customHeight="1">
      <c r="A31" s="146">
        <v>29</v>
      </c>
      <c r="B31" s="138">
        <v>45862</v>
      </c>
      <c r="C31" s="155" t="s">
        <v>262</v>
      </c>
      <c r="D31" s="155" t="s">
        <v>256</v>
      </c>
      <c r="E31" s="155" t="s">
        <v>145</v>
      </c>
      <c r="F31" s="155" t="s">
        <v>146</v>
      </c>
      <c r="G31" s="155" t="s">
        <v>210</v>
      </c>
      <c r="H31" s="156" t="s">
        <v>265</v>
      </c>
      <c r="I31" s="156" t="s">
        <v>254</v>
      </c>
      <c r="K31" s="147" t="s">
        <v>266</v>
      </c>
      <c r="L31" s="143" t="s">
        <v>231</v>
      </c>
      <c r="M31" s="141" t="s">
        <v>151</v>
      </c>
      <c r="N31" s="142">
        <v>45876</v>
      </c>
    </row>
    <row r="32" spans="1:15" s="132" customFormat="1" ht="27" customHeight="1">
      <c r="A32" s="146">
        <v>30</v>
      </c>
      <c r="B32" s="135">
        <v>45876</v>
      </c>
      <c r="C32" s="155" t="s">
        <v>267</v>
      </c>
      <c r="D32" s="155" t="s">
        <v>259</v>
      </c>
      <c r="E32" s="155" t="s">
        <v>145</v>
      </c>
      <c r="F32" s="155" t="s">
        <v>146</v>
      </c>
      <c r="G32" s="155" t="s">
        <v>147</v>
      </c>
      <c r="H32" s="156" t="s">
        <v>268</v>
      </c>
      <c r="I32" s="156" t="s">
        <v>254</v>
      </c>
      <c r="K32" s="119" t="s">
        <v>269</v>
      </c>
      <c r="L32" s="119" t="s">
        <v>231</v>
      </c>
      <c r="M32" s="141" t="s">
        <v>151</v>
      </c>
      <c r="N32" s="130">
        <v>45890</v>
      </c>
    </row>
    <row r="33" spans="1:15" s="120" customFormat="1" ht="27" customHeight="1">
      <c r="A33" s="146">
        <v>31</v>
      </c>
      <c r="B33" s="135">
        <v>45890</v>
      </c>
      <c r="C33" s="155" t="s">
        <v>270</v>
      </c>
      <c r="D33" s="155" t="s">
        <v>227</v>
      </c>
      <c r="E33" s="155" t="s">
        <v>145</v>
      </c>
      <c r="F33" s="155" t="s">
        <v>146</v>
      </c>
      <c r="G33" s="155" t="s">
        <v>147</v>
      </c>
      <c r="H33" s="156" t="s">
        <v>271</v>
      </c>
      <c r="I33" s="156" t="s">
        <v>272</v>
      </c>
      <c r="J33" s="145"/>
      <c r="K33" s="148" t="s">
        <v>273</v>
      </c>
      <c r="L33" s="143" t="s">
        <v>274</v>
      </c>
      <c r="M33" s="141" t="s">
        <v>151</v>
      </c>
      <c r="N33" s="142">
        <v>45904</v>
      </c>
      <c r="O33" s="145"/>
    </row>
    <row r="34" spans="1:15" s="120" customFormat="1" ht="27" customHeight="1">
      <c r="A34" s="146">
        <v>32</v>
      </c>
      <c r="B34" s="138">
        <v>45890</v>
      </c>
      <c r="C34" s="155" t="s">
        <v>270</v>
      </c>
      <c r="D34" s="155" t="s">
        <v>275</v>
      </c>
      <c r="E34" s="155" t="s">
        <v>209</v>
      </c>
      <c r="F34" s="155" t="s">
        <v>146</v>
      </c>
      <c r="G34" s="155" t="s">
        <v>171</v>
      </c>
      <c r="H34" s="156" t="s">
        <v>276</v>
      </c>
      <c r="I34" s="156" t="s">
        <v>277</v>
      </c>
      <c r="J34" s="141"/>
      <c r="K34" s="143" t="s">
        <v>278</v>
      </c>
      <c r="L34" s="143" t="s">
        <v>279</v>
      </c>
      <c r="M34" s="141" t="s">
        <v>151</v>
      </c>
      <c r="N34" s="142">
        <v>45890</v>
      </c>
      <c r="O34" s="145"/>
    </row>
    <row r="35" spans="1:15" s="120" customFormat="1" ht="27" customHeight="1">
      <c r="A35" s="149">
        <v>33</v>
      </c>
      <c r="B35" s="135">
        <v>45904</v>
      </c>
      <c r="C35" s="155" t="s">
        <v>100</v>
      </c>
      <c r="D35" s="155" t="s">
        <v>227</v>
      </c>
      <c r="E35" s="155" t="s">
        <v>145</v>
      </c>
      <c r="F35" s="155" t="s">
        <v>146</v>
      </c>
      <c r="G35" s="155" t="s">
        <v>147</v>
      </c>
      <c r="H35" s="156" t="s">
        <v>280</v>
      </c>
      <c r="I35" s="156"/>
      <c r="J35" s="132"/>
      <c r="K35" s="144" t="s">
        <v>281</v>
      </c>
      <c r="L35" s="119" t="s">
        <v>231</v>
      </c>
      <c r="M35" s="118" t="s">
        <v>151</v>
      </c>
      <c r="N35" s="150">
        <v>45918</v>
      </c>
      <c r="O35" s="132"/>
    </row>
    <row r="36" spans="1:15" s="120" customFormat="1" ht="27" customHeight="1">
      <c r="A36" s="149">
        <v>34</v>
      </c>
      <c r="B36" s="135">
        <v>45918</v>
      </c>
      <c r="C36" s="155" t="s">
        <v>102</v>
      </c>
      <c r="D36" s="155" t="s">
        <v>227</v>
      </c>
      <c r="E36" s="155" t="s">
        <v>145</v>
      </c>
      <c r="F36" s="155" t="s">
        <v>146</v>
      </c>
      <c r="G36" s="155" t="s">
        <v>147</v>
      </c>
      <c r="H36" s="156" t="s">
        <v>282</v>
      </c>
      <c r="I36" s="156"/>
      <c r="J36" s="132"/>
      <c r="K36" s="144" t="s">
        <v>283</v>
      </c>
      <c r="L36" s="119" t="s">
        <v>231</v>
      </c>
      <c r="M36" s="118" t="s">
        <v>151</v>
      </c>
      <c r="N36" s="150">
        <v>45918</v>
      </c>
      <c r="O36" s="132"/>
    </row>
    <row r="37" spans="1:15" s="120" customFormat="1" ht="27" customHeight="1">
      <c r="A37" s="151">
        <v>35</v>
      </c>
      <c r="B37" s="138">
        <v>45960</v>
      </c>
      <c r="C37" s="155" t="s">
        <v>107</v>
      </c>
      <c r="D37" s="155" t="s">
        <v>227</v>
      </c>
      <c r="E37" s="155" t="s">
        <v>145</v>
      </c>
      <c r="F37" s="155" t="s">
        <v>146</v>
      </c>
      <c r="G37" s="155" t="s">
        <v>147</v>
      </c>
      <c r="H37" s="156" t="s">
        <v>284</v>
      </c>
      <c r="I37" s="156"/>
      <c r="J37" s="145"/>
      <c r="K37" s="143" t="s">
        <v>285</v>
      </c>
      <c r="L37" s="143" t="s">
        <v>231</v>
      </c>
      <c r="M37" s="118" t="s">
        <v>151</v>
      </c>
      <c r="N37" s="152">
        <v>45974</v>
      </c>
      <c r="O37" s="145"/>
    </row>
    <row r="38" spans="1:15" s="120" customFormat="1" ht="27" customHeight="1">
      <c r="A38" s="151">
        <v>36</v>
      </c>
      <c r="B38" s="138">
        <v>45960</v>
      </c>
      <c r="C38" s="160" t="s">
        <v>107</v>
      </c>
      <c r="D38" s="160" t="s">
        <v>286</v>
      </c>
      <c r="E38" s="155" t="s">
        <v>154</v>
      </c>
      <c r="F38" s="155" t="s">
        <v>146</v>
      </c>
      <c r="G38" s="155" t="s">
        <v>210</v>
      </c>
      <c r="H38" s="156" t="s">
        <v>287</v>
      </c>
      <c r="I38" s="156" t="s">
        <v>288</v>
      </c>
      <c r="J38" s="157"/>
      <c r="K38" s="119" t="s">
        <v>289</v>
      </c>
      <c r="L38" s="143" t="s">
        <v>231</v>
      </c>
      <c r="M38" s="141" t="s">
        <v>151</v>
      </c>
      <c r="N38" s="152">
        <v>45967</v>
      </c>
      <c r="O38" s="132"/>
    </row>
    <row r="39" spans="1:15" s="103" customFormat="1" ht="84" customHeight="1">
      <c r="A39" s="153">
        <v>37</v>
      </c>
      <c r="B39" s="135">
        <v>46044</v>
      </c>
      <c r="C39" s="154" t="s">
        <v>115</v>
      </c>
      <c r="D39" s="154" t="s">
        <v>290</v>
      </c>
      <c r="E39" s="166" t="s">
        <v>145</v>
      </c>
      <c r="F39" s="155" t="s">
        <v>146</v>
      </c>
      <c r="G39" s="155" t="s">
        <v>147</v>
      </c>
      <c r="H39" s="159" t="s">
        <v>291</v>
      </c>
      <c r="I39" s="160"/>
      <c r="J39" s="160"/>
      <c r="K39" s="160" t="s">
        <v>292</v>
      </c>
      <c r="L39" s="119" t="s">
        <v>231</v>
      </c>
      <c r="M39" s="118" t="s">
        <v>293</v>
      </c>
      <c r="N39" s="150">
        <v>46058</v>
      </c>
      <c r="O39" s="163"/>
    </row>
    <row r="40" spans="1:15" s="103" customFormat="1" ht="51.75" customHeight="1">
      <c r="A40" s="164">
        <v>38</v>
      </c>
      <c r="B40" s="165">
        <v>46058</v>
      </c>
      <c r="C40" s="154" t="s">
        <v>117</v>
      </c>
      <c r="D40" s="154" t="s">
        <v>252</v>
      </c>
      <c r="E40" s="166" t="s">
        <v>145</v>
      </c>
      <c r="F40" s="155" t="s">
        <v>146</v>
      </c>
      <c r="G40" s="155" t="s">
        <v>147</v>
      </c>
      <c r="H40" s="159" t="s">
        <v>294</v>
      </c>
      <c r="I40" s="158"/>
      <c r="J40" s="158"/>
      <c r="K40" s="162" t="s">
        <v>295</v>
      </c>
      <c r="L40" s="119" t="s">
        <v>296</v>
      </c>
      <c r="M40" s="118" t="s">
        <v>293</v>
      </c>
      <c r="N40" s="161">
        <v>46072</v>
      </c>
    </row>
    <row r="41" spans="1:15" ht="20.25" customHeight="1"/>
    <row r="42" spans="1:15" ht="20.25" customHeight="1"/>
    <row r="43" spans="1:15" ht="20.25" customHeight="1"/>
    <row r="44" spans="1:15" ht="20.25" customHeight="1"/>
    <row r="45" spans="1:15" ht="20.25" customHeight="1"/>
    <row r="46" spans="1:15" ht="20.25" customHeight="1"/>
    <row r="47" spans="1:15" ht="20.25" customHeight="1"/>
    <row r="48" spans="1:15" ht="20.25" customHeight="1"/>
    <row r="49" ht="20.25" customHeight="1"/>
  </sheetData>
  <mergeCells count="1">
    <mergeCell ref="H1:J1"/>
  </mergeCells>
  <dataValidations count="2">
    <dataValidation type="list" allowBlank="1" showInputMessage="1" showErrorMessage="1" sqref="F3:F4 F8" xr:uid="{6E13B12B-E27E-40ED-BFB8-2EF532A3B30D}">
      <formula1>$W$3:$W$6</formula1>
    </dataValidation>
    <dataValidation type="list" allowBlank="1" showInputMessage="1" showErrorMessage="1" sqref="F5:F7 F9:F40" xr:uid="{94948909-3748-4174-820E-2826648820D0}">
      <formula1>$W$3:$W$5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
  <sheetViews>
    <sheetView zoomScale="80" zoomScaleNormal="80" workbookViewId="0">
      <selection activeCell="B7" sqref="B7"/>
    </sheetView>
  </sheetViews>
  <sheetFormatPr defaultColWidth="12.6640625" defaultRowHeight="15.75" customHeight="1"/>
  <cols>
    <col min="2" max="2" width="45.33203125" customWidth="1"/>
    <col min="3" max="3" width="38" customWidth="1"/>
    <col min="9" max="9" width="15.33203125" customWidth="1"/>
  </cols>
  <sheetData>
    <row r="1" spans="1:10" ht="12.95">
      <c r="A1" s="34" t="s">
        <v>297</v>
      </c>
      <c r="B1" s="35" t="s">
        <v>298</v>
      </c>
      <c r="C1" s="36" t="s">
        <v>299</v>
      </c>
      <c r="D1" s="37" t="s">
        <v>300</v>
      </c>
      <c r="E1" s="38" t="s">
        <v>301</v>
      </c>
      <c r="F1" s="39" t="s">
        <v>302</v>
      </c>
      <c r="G1" s="40" t="s">
        <v>303</v>
      </c>
      <c r="H1" s="37" t="s">
        <v>304</v>
      </c>
    </row>
    <row r="2" spans="1:10" ht="26.1">
      <c r="A2" s="66" t="s">
        <v>13</v>
      </c>
      <c r="B2" s="67" t="s">
        <v>305</v>
      </c>
      <c r="C2" s="68" t="s">
        <v>306</v>
      </c>
      <c r="D2" s="69">
        <v>0.25</v>
      </c>
      <c r="E2" s="70">
        <v>100</v>
      </c>
      <c r="F2" s="70" t="s">
        <v>307</v>
      </c>
      <c r="G2" s="70" t="s">
        <v>308</v>
      </c>
      <c r="H2" s="28"/>
    </row>
    <row r="3" spans="1:10" ht="94.5">
      <c r="A3" s="66" t="s">
        <v>14</v>
      </c>
      <c r="B3" s="71" t="s">
        <v>309</v>
      </c>
      <c r="C3" s="68" t="s">
        <v>310</v>
      </c>
      <c r="D3" s="69">
        <v>0.2</v>
      </c>
      <c r="E3" s="69">
        <v>0.95</v>
      </c>
      <c r="F3" s="70" t="s">
        <v>311</v>
      </c>
      <c r="G3" s="70" t="s">
        <v>312</v>
      </c>
      <c r="H3" s="28"/>
      <c r="I3" s="62"/>
    </row>
    <row r="4" spans="1:10" ht="27">
      <c r="A4" s="66" t="s">
        <v>15</v>
      </c>
      <c r="B4" s="71" t="s">
        <v>313</v>
      </c>
      <c r="C4" s="68" t="s">
        <v>314</v>
      </c>
      <c r="D4" s="69">
        <v>0.2</v>
      </c>
      <c r="E4" s="72">
        <v>1</v>
      </c>
      <c r="F4" s="73" t="s">
        <v>315</v>
      </c>
      <c r="G4" s="74" t="s">
        <v>316</v>
      </c>
      <c r="H4" s="28"/>
    </row>
    <row r="5" spans="1:10" ht="67.5">
      <c r="A5" s="66" t="s">
        <v>16</v>
      </c>
      <c r="B5" s="71" t="s">
        <v>317</v>
      </c>
      <c r="C5" s="68" t="s">
        <v>318</v>
      </c>
      <c r="D5" s="69">
        <v>0.15</v>
      </c>
      <c r="E5" s="70" t="s">
        <v>319</v>
      </c>
      <c r="F5" s="70" t="s">
        <v>320</v>
      </c>
      <c r="G5" s="70" t="s">
        <v>321</v>
      </c>
      <c r="H5" s="28"/>
    </row>
    <row r="6" spans="1:10" ht="27">
      <c r="A6" s="66" t="s">
        <v>322</v>
      </c>
      <c r="B6" s="71" t="s">
        <v>323</v>
      </c>
      <c r="C6" s="68" t="s">
        <v>324</v>
      </c>
      <c r="D6" s="69">
        <v>0.1</v>
      </c>
      <c r="E6" s="70" t="s">
        <v>325</v>
      </c>
      <c r="F6" s="70" t="s">
        <v>326</v>
      </c>
      <c r="G6" s="70" t="s">
        <v>327</v>
      </c>
      <c r="H6" s="28"/>
    </row>
    <row r="7" spans="1:10" ht="26.1">
      <c r="A7" s="66" t="s">
        <v>18</v>
      </c>
      <c r="B7" s="75" t="s">
        <v>328</v>
      </c>
      <c r="C7" s="75" t="s">
        <v>329</v>
      </c>
      <c r="D7" s="69">
        <v>0.1</v>
      </c>
      <c r="E7" s="70">
        <v>100</v>
      </c>
      <c r="F7" s="70" t="s">
        <v>307</v>
      </c>
      <c r="G7" s="70" t="s">
        <v>308</v>
      </c>
      <c r="H7" s="28"/>
    </row>
    <row r="8" spans="1:10" ht="15.75" customHeight="1">
      <c r="A8" s="41" t="s">
        <v>330</v>
      </c>
      <c r="B8" s="42"/>
      <c r="C8" s="41" t="s">
        <v>331</v>
      </c>
      <c r="D8" s="43" t="s">
        <v>332</v>
      </c>
      <c r="E8" s="43" t="s">
        <v>333</v>
      </c>
      <c r="F8" s="43" t="s">
        <v>334</v>
      </c>
      <c r="G8" s="43" t="s">
        <v>308</v>
      </c>
      <c r="H8" s="44"/>
      <c r="I8" s="32"/>
      <c r="J8" s="33"/>
    </row>
    <row r="10" spans="1:10" ht="12.95">
      <c r="C10" s="31">
        <f>6/50</f>
        <v>0.12</v>
      </c>
      <c r="D10" s="62">
        <f>(100%-12%)</f>
        <v>0.88</v>
      </c>
    </row>
  </sheetData>
  <pageMargins left="0" right="0" top="0" bottom="0"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896A-0011-4721-9C27-90586DC5A5F1}">
  <dimension ref="A1:P28"/>
  <sheetViews>
    <sheetView workbookViewId="0">
      <selection activeCell="B3" sqref="B3"/>
    </sheetView>
  </sheetViews>
  <sheetFormatPr defaultColWidth="8.88671875" defaultRowHeight="12.95"/>
  <cols>
    <col min="1" max="1" width="21.44140625" style="14" customWidth="1"/>
    <col min="2" max="2" width="13.33203125" style="14" customWidth="1"/>
    <col min="3" max="3" width="13.88671875" style="14" customWidth="1"/>
    <col min="4" max="9" width="8.88671875" style="14"/>
    <col min="10" max="10" width="9.109375" style="14" customWidth="1"/>
    <col min="11" max="15" width="8.88671875" style="14"/>
    <col min="16" max="16" width="10.21875" style="14" bestFit="1" customWidth="1"/>
    <col min="17" max="16384" width="8.88671875" style="14"/>
  </cols>
  <sheetData>
    <row r="1" spans="1:16" ht="15.75">
      <c r="A1" s="76" t="s">
        <v>19</v>
      </c>
      <c r="B1" s="14" t="str">
        <f>_xlfn.XLOOKUP("Yes",Data!L1:L64,Data!A1:A64,0,0)</f>
        <v>GGO 8.4.0 Sprint 3 (30-Apr-2026 to 14-May-2026)</v>
      </c>
      <c r="C1" s="14" t="str">
        <f>Scorecard!B1</f>
        <v>GGO Web</v>
      </c>
      <c r="I1" s="220" t="s">
        <v>13</v>
      </c>
      <c r="J1" s="220"/>
      <c r="L1" s="14" t="s">
        <v>140</v>
      </c>
      <c r="N1" s="19"/>
      <c r="O1" s="20" t="s">
        <v>335</v>
      </c>
      <c r="P1" s="20" t="s">
        <v>336</v>
      </c>
    </row>
    <row r="2" spans="1:16" ht="15.75">
      <c r="A2" s="77" t="s">
        <v>8</v>
      </c>
      <c r="B2" s="56" t="s">
        <v>9</v>
      </c>
      <c r="C2" s="56" t="s">
        <v>10</v>
      </c>
      <c r="I2" s="4" t="s">
        <v>32</v>
      </c>
      <c r="J2" s="15">
        <v>1</v>
      </c>
      <c r="L2" s="14" t="s">
        <v>337</v>
      </c>
      <c r="N2" s="21" t="s">
        <v>338</v>
      </c>
      <c r="O2" s="20">
        <v>5</v>
      </c>
      <c r="P2" s="20"/>
    </row>
    <row r="3" spans="1:16" ht="12.75">
      <c r="A3" s="14" t="str">
        <f>Scorecard!A8</f>
        <v>Commitment Index</v>
      </c>
      <c r="B3" s="80">
        <f>VLOOKUP($B$1,Table_1[#All],4)</f>
        <v>1</v>
      </c>
      <c r="C3" s="79">
        <f>B3*'QualityMetrics-Definition'!D2</f>
        <v>0.25</v>
      </c>
      <c r="I3" s="4" t="s">
        <v>33</v>
      </c>
      <c r="J3" s="15">
        <v>0.9</v>
      </c>
      <c r="L3" s="14" t="s">
        <v>20</v>
      </c>
      <c r="N3" s="22" t="s">
        <v>339</v>
      </c>
      <c r="O3" s="20">
        <v>10</v>
      </c>
      <c r="P3" s="20">
        <v>15</v>
      </c>
    </row>
    <row r="4" spans="1:16" ht="12.75">
      <c r="A4" s="14" t="str">
        <f>Scorecard!A9</f>
        <v>Velocity</v>
      </c>
      <c r="B4" s="80" t="str">
        <f>IF((VLOOKUP($B$1,Table_1[#Data],5)/Data!AK37)&gt;1,"100%",(VLOOKUP($B$1,Table_1[#Data],5)/Data!AK37))</f>
        <v>100%</v>
      </c>
      <c r="C4" s="79">
        <f>B4*'QualityMetrics-Definition'!D3</f>
        <v>0.2</v>
      </c>
      <c r="I4" s="4" t="s">
        <v>34</v>
      </c>
      <c r="J4" s="15">
        <v>0.8</v>
      </c>
      <c r="L4" s="14" t="s">
        <v>340</v>
      </c>
      <c r="N4" s="23" t="s">
        <v>341</v>
      </c>
      <c r="O4" s="20">
        <v>15</v>
      </c>
      <c r="P4" s="20">
        <v>20</v>
      </c>
    </row>
    <row r="5" spans="1:16" ht="12.75">
      <c r="A5" s="14" t="str">
        <f>Scorecard!A10</f>
        <v>Defect-free Rate</v>
      </c>
      <c r="B5" s="80">
        <f>1-IFERROR((VLOOKUP($B$1,Table_1[],9)+VLOOKUP($B$1,Table_1[],10))/VLOOKUP($B$1,Table_1[],5),0)</f>
        <v>0.96153846153846156</v>
      </c>
      <c r="C5" s="79">
        <f>(B5)*'QualityMetrics-Definition'!D4</f>
        <v>0.19230769230769232</v>
      </c>
      <c r="L5" s="14" t="s">
        <v>342</v>
      </c>
      <c r="N5" s="24" t="s">
        <v>343</v>
      </c>
      <c r="O5" s="20"/>
      <c r="P5" s="20">
        <v>25</v>
      </c>
    </row>
    <row r="6" spans="1:16" ht="12.75">
      <c r="A6" s="14" t="str">
        <f>Scorecard!A11</f>
        <v>Code Quality Index</v>
      </c>
      <c r="B6" s="80">
        <f>1-(VLOOKUP($B$1,Table_1[],7)+VLOOKUP($B$1,Table_1[],8))/VLOOKUP($B$1,Table_1[],3)</f>
        <v>1</v>
      </c>
      <c r="C6" s="79">
        <f>(B6)*'QualityMetrics-Definition'!D5</f>
        <v>0.15</v>
      </c>
      <c r="I6" s="220" t="s">
        <v>14</v>
      </c>
      <c r="J6" s="220"/>
    </row>
    <row r="7" spans="1:16" ht="12.75">
      <c r="A7" s="14" t="str">
        <f>Scorecard!A12</f>
        <v>Unit Testing</v>
      </c>
      <c r="B7" s="80">
        <f>VLOOKUP($B$1,Table_1[],6)</f>
        <v>0.9</v>
      </c>
      <c r="C7" s="79">
        <f>B7*'QualityMetrics-Definition'!D6</f>
        <v>9.0000000000000011E-2</v>
      </c>
      <c r="I7" s="4" t="s">
        <v>32</v>
      </c>
      <c r="J7" s="16">
        <v>20</v>
      </c>
    </row>
    <row r="8" spans="1:16" ht="12.75">
      <c r="A8" s="14" t="str">
        <f>Scorecard!A13</f>
        <v>Backlog Health</v>
      </c>
      <c r="B8" s="80">
        <f>IF((VLOOKUP($B$1,Table_1[#All],11)/Data!K2)&gt;1,"100%",(VLOOKUP($B$1,Table_1[#All],11)/Data!K2))</f>
        <v>1</v>
      </c>
      <c r="C8" s="79">
        <f>B8*'QualityMetrics-Definition'!D7</f>
        <v>0.1</v>
      </c>
    </row>
    <row r="9" spans="1:16" ht="12.75">
      <c r="B9" s="80"/>
      <c r="C9" s="25"/>
      <c r="I9" s="220" t="s">
        <v>22</v>
      </c>
      <c r="J9" s="220"/>
    </row>
    <row r="10" spans="1:16" ht="12.75">
      <c r="I10" s="4" t="s">
        <v>32</v>
      </c>
      <c r="J10" s="15">
        <v>0.9</v>
      </c>
    </row>
    <row r="21" spans="9:16" ht="12.75">
      <c r="I21" s="17" t="s">
        <v>344</v>
      </c>
      <c r="J21" s="17"/>
      <c r="L21" s="219" t="s">
        <v>345</v>
      </c>
      <c r="M21" s="219"/>
      <c r="O21" s="17" t="s">
        <v>346</v>
      </c>
      <c r="P21" s="17"/>
    </row>
    <row r="22" spans="9:16" ht="12.75">
      <c r="I22" s="17" t="s">
        <v>338</v>
      </c>
      <c r="J22" s="17">
        <v>15</v>
      </c>
      <c r="L22" s="18" t="s">
        <v>347</v>
      </c>
      <c r="M22" s="18" t="s">
        <v>348</v>
      </c>
      <c r="O22" s="17" t="s">
        <v>349</v>
      </c>
      <c r="P22" s="17">
        <f>VLOOKUP(Scorecard!B5,Table_1[#All],11)</f>
        <v>30</v>
      </c>
    </row>
    <row r="23" spans="9:16" ht="12.75">
      <c r="I23" s="17" t="s">
        <v>339</v>
      </c>
      <c r="J23" s="17">
        <v>20</v>
      </c>
      <c r="L23" s="18">
        <v>5</v>
      </c>
      <c r="M23" s="18">
        <v>10</v>
      </c>
      <c r="O23" s="17" t="s">
        <v>350</v>
      </c>
      <c r="P23" s="17">
        <v>1</v>
      </c>
    </row>
    <row r="24" spans="9:16" ht="12.75">
      <c r="I24" s="17" t="s">
        <v>341</v>
      </c>
      <c r="J24" s="17">
        <v>25</v>
      </c>
      <c r="L24" s="18">
        <v>10</v>
      </c>
      <c r="M24" s="18">
        <v>10</v>
      </c>
      <c r="O24" s="17" t="s">
        <v>351</v>
      </c>
      <c r="P24" s="17">
        <v>30</v>
      </c>
    </row>
    <row r="25" spans="9:16" ht="12.75">
      <c r="I25" s="17" t="s">
        <v>343</v>
      </c>
      <c r="J25" s="17">
        <v>30</v>
      </c>
      <c r="L25" s="18">
        <v>15</v>
      </c>
      <c r="M25" s="18">
        <v>10</v>
      </c>
    </row>
    <row r="26" spans="9:16" ht="12.75">
      <c r="I26" s="17" t="s">
        <v>352</v>
      </c>
      <c r="J26" s="17">
        <f>SUM(J22:J25)</f>
        <v>90</v>
      </c>
      <c r="L26" s="18">
        <v>20</v>
      </c>
      <c r="M26" s="18">
        <v>10</v>
      </c>
    </row>
    <row r="27" spans="9:16" ht="12.75">
      <c r="L27" s="18">
        <v>25</v>
      </c>
      <c r="M27" s="18">
        <v>10</v>
      </c>
    </row>
    <row r="28" spans="9:16" ht="12.75">
      <c r="L28" s="18"/>
      <c r="M28" s="18">
        <f>SUM(M23:M27)</f>
        <v>50</v>
      </c>
    </row>
  </sheetData>
  <mergeCells count="4">
    <mergeCell ref="L21:M21"/>
    <mergeCell ref="I1:J1"/>
    <mergeCell ref="I6:J6"/>
    <mergeCell ref="I9:J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4378A-4F33-4B92-AA2E-90848D6092DF}">
  <dimension ref="A1:C16"/>
  <sheetViews>
    <sheetView zoomScale="80" zoomScaleNormal="80" workbookViewId="0">
      <selection activeCell="A2" sqref="A2:C16"/>
    </sheetView>
  </sheetViews>
  <sheetFormatPr defaultRowHeight="12.95"/>
  <cols>
    <col min="2" max="2" width="42.6640625" customWidth="1"/>
    <col min="3" max="3" width="53" customWidth="1"/>
  </cols>
  <sheetData>
    <row r="1" spans="1:3" ht="30.95">
      <c r="A1" s="221" t="s">
        <v>353</v>
      </c>
      <c r="B1" s="221"/>
      <c r="C1" s="221"/>
    </row>
    <row r="2" spans="1:3">
      <c r="A2" s="222" t="s">
        <v>354</v>
      </c>
      <c r="B2" s="223"/>
      <c r="C2" s="223"/>
    </row>
    <row r="3" spans="1:3">
      <c r="A3" s="223"/>
      <c r="B3" s="223"/>
      <c r="C3" s="223"/>
    </row>
    <row r="4" spans="1:3">
      <c r="A4" s="223"/>
      <c r="B4" s="223"/>
      <c r="C4" s="223"/>
    </row>
    <row r="5" spans="1:3">
      <c r="A5" s="223"/>
      <c r="B5" s="223"/>
      <c r="C5" s="223"/>
    </row>
    <row r="6" spans="1:3">
      <c r="A6" s="223"/>
      <c r="B6" s="223"/>
      <c r="C6" s="223"/>
    </row>
    <row r="7" spans="1:3">
      <c r="A7" s="223"/>
      <c r="B7" s="223"/>
      <c r="C7" s="223"/>
    </row>
    <row r="8" spans="1:3">
      <c r="A8" s="223"/>
      <c r="B8" s="223"/>
      <c r="C8" s="223"/>
    </row>
    <row r="9" spans="1:3">
      <c r="A9" s="223"/>
      <c r="B9" s="223"/>
      <c r="C9" s="223"/>
    </row>
    <row r="10" spans="1:3">
      <c r="A10" s="223"/>
      <c r="B10" s="223"/>
      <c r="C10" s="223"/>
    </row>
    <row r="11" spans="1:3">
      <c r="A11" s="223"/>
      <c r="B11" s="223"/>
      <c r="C11" s="223"/>
    </row>
    <row r="12" spans="1:3">
      <c r="A12" s="223"/>
      <c r="B12" s="223"/>
      <c r="C12" s="223"/>
    </row>
    <row r="13" spans="1:3">
      <c r="A13" s="223"/>
      <c r="B13" s="223"/>
      <c r="C13" s="223"/>
    </row>
    <row r="14" spans="1:3">
      <c r="A14" s="223"/>
      <c r="B14" s="223"/>
      <c r="C14" s="223"/>
    </row>
    <row r="15" spans="1:3">
      <c r="A15" s="223"/>
      <c r="B15" s="223"/>
      <c r="C15" s="223"/>
    </row>
    <row r="16" spans="1:3">
      <c r="A16" s="223"/>
      <c r="B16" s="223"/>
      <c r="C16" s="223"/>
    </row>
  </sheetData>
  <mergeCells count="2">
    <mergeCell ref="A1:C1"/>
    <mergeCell ref="A2:C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Priyadharshini Ravichandran</cp:lastModifiedBy>
  <cp:revision/>
  <dcterms:created xsi:type="dcterms:W3CDTF">2023-11-20T18:07:28Z</dcterms:created>
  <dcterms:modified xsi:type="dcterms:W3CDTF">2026-05-15T12:06:26Z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2025-04-04T07:43:47Z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0e5026b8-301d-4cc3-87b9-c95cdbdb2fdd</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